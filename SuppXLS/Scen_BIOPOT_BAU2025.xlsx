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MES\MODELS\jrc\ZJULIUS\JRCEU\SuppXLS\"/>
    </mc:Choice>
  </mc:AlternateContent>
  <xr:revisionPtr revIDLastSave="0" documentId="8_{20F56322-C900-48E7-BCA6-6E1134EA81F4}" xr6:coauthVersionLast="47" xr6:coauthVersionMax="47" xr10:uidLastSave="{00000000-0000-0000-0000-000000000000}"/>
  <bookViews>
    <workbookView xWindow="1560" yWindow="1410" windowWidth="26610" windowHeight="16590" tabRatio="889" activeTab="2" xr2:uid="{00000000-000D-0000-FFFF-FFFF00000000}"/>
  </bookViews>
  <sheets>
    <sheet name="BIO" sheetId="31" r:id="rId1"/>
    <sheet name="shares" sheetId="40" r:id="rId2"/>
    <sheet name="BioImport" sheetId="38" r:id="rId3"/>
  </sheets>
  <definedNames>
    <definedName name="_xlnm._FilterDatabase" localSheetId="0" hidden="1">BIO!$E$5:$AU$236</definedName>
    <definedName name="_Toc379539723" localSheetId="2">BioImport!#REF!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8" l="1"/>
  <c r="H13" i="38"/>
  <c r="M14" i="38"/>
  <c r="M13" i="38"/>
  <c r="M12" i="38"/>
  <c r="M11" i="38"/>
  <c r="AL33" i="38"/>
  <c r="AM33" i="38" s="1"/>
  <c r="G33" i="38"/>
  <c r="J27" i="38"/>
  <c r="J25" i="38" s="1"/>
  <c r="J23" i="38" s="1"/>
  <c r="J22" i="38" s="1"/>
  <c r="C2" i="31" l="1"/>
  <c r="F2" i="31" s="1"/>
  <c r="C1" i="31"/>
  <c r="AY247" i="31" l="1"/>
  <c r="AY254" i="31"/>
  <c r="AY261" i="31"/>
  <c r="AY262" i="31"/>
  <c r="AY269" i="31"/>
  <c r="AY276" i="31"/>
  <c r="AY283" i="31"/>
  <c r="AY290" i="31"/>
  <c r="AL34" i="38"/>
  <c r="AM34" i="38" s="1"/>
  <c r="AL35" i="38"/>
  <c r="AM35" i="38" s="1"/>
  <c r="AL36" i="38"/>
  <c r="AM36" i="38" s="1"/>
  <c r="AL32" i="38"/>
  <c r="AM32" i="38" s="1"/>
  <c r="L268" i="31" l="1"/>
  <c r="M268" i="31"/>
  <c r="N268" i="31"/>
  <c r="O268" i="31"/>
  <c r="P268" i="31"/>
  <c r="Q268" i="31"/>
  <c r="R268" i="31"/>
  <c r="S268" i="31"/>
  <c r="T268" i="31"/>
  <c r="U268" i="31"/>
  <c r="V268" i="31"/>
  <c r="W268" i="31"/>
  <c r="X268" i="31"/>
  <c r="Y268" i="31"/>
  <c r="Z268" i="31"/>
  <c r="AA268" i="31"/>
  <c r="AB268" i="31"/>
  <c r="AC268" i="31"/>
  <c r="AD268" i="31"/>
  <c r="AE268" i="31"/>
  <c r="AF268" i="31"/>
  <c r="AG268" i="31"/>
  <c r="AH268" i="31"/>
  <c r="AI268" i="31"/>
  <c r="AJ268" i="31"/>
  <c r="AK268" i="31"/>
  <c r="AL268" i="31"/>
  <c r="AM268" i="31"/>
  <c r="AN268" i="31"/>
  <c r="AO268" i="31"/>
  <c r="AP268" i="31"/>
  <c r="AQ268" i="31"/>
  <c r="AR268" i="31"/>
  <c r="AS268" i="31"/>
  <c r="AT268" i="31"/>
  <c r="AU268" i="31"/>
  <c r="AX261" i="31"/>
  <c r="AX262" i="31"/>
  <c r="N263" i="31"/>
  <c r="O263" i="31"/>
  <c r="P263" i="31"/>
  <c r="Q263" i="31"/>
  <c r="R263" i="31"/>
  <c r="S263" i="31"/>
  <c r="T263" i="31"/>
  <c r="U263" i="31"/>
  <c r="V263" i="31"/>
  <c r="W263" i="31"/>
  <c r="X263" i="31"/>
  <c r="Y263" i="31"/>
  <c r="Z263" i="31"/>
  <c r="AA263" i="31"/>
  <c r="AB263" i="31"/>
  <c r="AC263" i="31"/>
  <c r="AD263" i="31"/>
  <c r="AE263" i="31"/>
  <c r="AF263" i="31"/>
  <c r="AG263" i="31"/>
  <c r="AH263" i="31"/>
  <c r="AI263" i="31"/>
  <c r="AJ263" i="31"/>
  <c r="AK263" i="31"/>
  <c r="AL263" i="31"/>
  <c r="AM263" i="31"/>
  <c r="AN263" i="31"/>
  <c r="AO263" i="31"/>
  <c r="AP263" i="31"/>
  <c r="AQ263" i="31"/>
  <c r="AR263" i="31"/>
  <c r="AS263" i="31"/>
  <c r="AT263" i="31"/>
  <c r="AU263" i="31"/>
  <c r="N264" i="31"/>
  <c r="O264" i="31"/>
  <c r="P264" i="31"/>
  <c r="Q264" i="31"/>
  <c r="R264" i="31"/>
  <c r="S264" i="31"/>
  <c r="T264" i="31"/>
  <c r="U264" i="31"/>
  <c r="V264" i="31"/>
  <c r="W264" i="31"/>
  <c r="X264" i="31"/>
  <c r="Y264" i="31"/>
  <c r="Z264" i="31"/>
  <c r="AA264" i="31"/>
  <c r="AB264" i="31"/>
  <c r="AC264" i="31"/>
  <c r="AD264" i="31"/>
  <c r="AE264" i="31"/>
  <c r="AF264" i="31"/>
  <c r="AG264" i="31"/>
  <c r="AH264" i="31"/>
  <c r="AI264" i="31"/>
  <c r="AJ264" i="31"/>
  <c r="AK264" i="31"/>
  <c r="AL264" i="31"/>
  <c r="AM264" i="31"/>
  <c r="AN264" i="31"/>
  <c r="AO264" i="31"/>
  <c r="AP264" i="31"/>
  <c r="AQ264" i="31"/>
  <c r="AR264" i="31"/>
  <c r="AS264" i="31"/>
  <c r="AT264" i="31"/>
  <c r="AU264" i="31"/>
  <c r="N265" i="31"/>
  <c r="O265" i="31"/>
  <c r="P265" i="31"/>
  <c r="Q265" i="31"/>
  <c r="R265" i="31"/>
  <c r="S265" i="31"/>
  <c r="T265" i="31"/>
  <c r="U265" i="31"/>
  <c r="V265" i="31"/>
  <c r="W265" i="31"/>
  <c r="X265" i="31"/>
  <c r="Y265" i="31"/>
  <c r="Z265" i="31"/>
  <c r="AA265" i="31"/>
  <c r="AB265" i="31"/>
  <c r="AC265" i="31"/>
  <c r="AD265" i="31"/>
  <c r="AE265" i="31"/>
  <c r="AF265" i="31"/>
  <c r="AG265" i="31"/>
  <c r="AH265" i="31"/>
  <c r="AI265" i="31"/>
  <c r="AJ265" i="31"/>
  <c r="AK265" i="31"/>
  <c r="AL265" i="31"/>
  <c r="AM265" i="31"/>
  <c r="AN265" i="31"/>
  <c r="AO265" i="31"/>
  <c r="AP265" i="31"/>
  <c r="AQ265" i="31"/>
  <c r="AR265" i="31"/>
  <c r="AS265" i="31"/>
  <c r="AT265" i="31"/>
  <c r="AU265" i="31"/>
  <c r="N266" i="31"/>
  <c r="O266" i="31"/>
  <c r="P266" i="31"/>
  <c r="Q266" i="31"/>
  <c r="R266" i="31"/>
  <c r="S266" i="31"/>
  <c r="T266" i="31"/>
  <c r="U266" i="31"/>
  <c r="V266" i="31"/>
  <c r="W266" i="31"/>
  <c r="X266" i="31"/>
  <c r="Y266" i="31"/>
  <c r="Z266" i="31"/>
  <c r="AA266" i="31"/>
  <c r="AB266" i="31"/>
  <c r="AC266" i="31"/>
  <c r="AD266" i="31"/>
  <c r="AE266" i="31"/>
  <c r="AF266" i="31"/>
  <c r="AG266" i="31"/>
  <c r="AH266" i="31"/>
  <c r="AI266" i="31"/>
  <c r="AJ266" i="31"/>
  <c r="AK266" i="31"/>
  <c r="AL266" i="31"/>
  <c r="AM266" i="31"/>
  <c r="AN266" i="31"/>
  <c r="AO266" i="31"/>
  <c r="AP266" i="31"/>
  <c r="AQ266" i="31"/>
  <c r="AR266" i="31"/>
  <c r="AS266" i="31"/>
  <c r="AT266" i="31"/>
  <c r="AU266" i="31"/>
  <c r="N267" i="31"/>
  <c r="O267" i="31"/>
  <c r="P267" i="31"/>
  <c r="Q267" i="31"/>
  <c r="R267" i="31"/>
  <c r="S267" i="31"/>
  <c r="T267" i="31"/>
  <c r="U267" i="31"/>
  <c r="V267" i="31"/>
  <c r="W267" i="31"/>
  <c r="X267" i="31"/>
  <c r="Y267" i="31"/>
  <c r="Z267" i="31"/>
  <c r="AA267" i="31"/>
  <c r="AB267" i="31"/>
  <c r="AC267" i="31"/>
  <c r="AD267" i="31"/>
  <c r="AE267" i="31"/>
  <c r="AF267" i="31"/>
  <c r="AG267" i="31"/>
  <c r="AH267" i="31"/>
  <c r="AI267" i="31"/>
  <c r="AJ267" i="31"/>
  <c r="AK267" i="31"/>
  <c r="AL267" i="31"/>
  <c r="AM267" i="31"/>
  <c r="AN267" i="31"/>
  <c r="AO267" i="31"/>
  <c r="AP267" i="31"/>
  <c r="AQ267" i="31"/>
  <c r="AR267" i="31"/>
  <c r="AS267" i="31"/>
  <c r="AT267" i="31"/>
  <c r="AU267" i="31"/>
  <c r="N270" i="31"/>
  <c r="O270" i="31"/>
  <c r="P270" i="31"/>
  <c r="Q270" i="31"/>
  <c r="R270" i="31"/>
  <c r="S270" i="31"/>
  <c r="T270" i="31"/>
  <c r="U270" i="31"/>
  <c r="V270" i="31"/>
  <c r="W270" i="31"/>
  <c r="X270" i="31"/>
  <c r="Y270" i="31"/>
  <c r="Z270" i="31"/>
  <c r="AA270" i="31"/>
  <c r="AB270" i="31"/>
  <c r="AC270" i="31"/>
  <c r="AD270" i="31"/>
  <c r="AE270" i="31"/>
  <c r="AF270" i="31"/>
  <c r="AG270" i="31"/>
  <c r="AH270" i="31"/>
  <c r="AI270" i="31"/>
  <c r="AJ270" i="31"/>
  <c r="AK270" i="31"/>
  <c r="AL270" i="31"/>
  <c r="AM270" i="31"/>
  <c r="AN270" i="31"/>
  <c r="AO270" i="31"/>
  <c r="AP270" i="31"/>
  <c r="AQ270" i="31"/>
  <c r="AR270" i="31"/>
  <c r="AS270" i="31"/>
  <c r="AT270" i="31"/>
  <c r="AU270" i="31"/>
  <c r="N271" i="31"/>
  <c r="O271" i="31"/>
  <c r="P271" i="31"/>
  <c r="Q271" i="31"/>
  <c r="R271" i="31"/>
  <c r="S271" i="31"/>
  <c r="T271" i="31"/>
  <c r="U271" i="31"/>
  <c r="V271" i="31"/>
  <c r="W271" i="31"/>
  <c r="X271" i="31"/>
  <c r="Y271" i="31"/>
  <c r="Z271" i="31"/>
  <c r="AA271" i="31"/>
  <c r="AB271" i="31"/>
  <c r="AC271" i="31"/>
  <c r="AD271" i="31"/>
  <c r="AE271" i="31"/>
  <c r="AF271" i="31"/>
  <c r="AG271" i="31"/>
  <c r="AH271" i="31"/>
  <c r="AI271" i="31"/>
  <c r="AJ271" i="31"/>
  <c r="AK271" i="31"/>
  <c r="AL271" i="31"/>
  <c r="AM271" i="31"/>
  <c r="AN271" i="31"/>
  <c r="AO271" i="31"/>
  <c r="AP271" i="31"/>
  <c r="AQ271" i="31"/>
  <c r="AR271" i="31"/>
  <c r="AS271" i="31"/>
  <c r="AT271" i="31"/>
  <c r="AU271" i="31"/>
  <c r="N272" i="31"/>
  <c r="O272" i="31"/>
  <c r="P272" i="31"/>
  <c r="Q272" i="31"/>
  <c r="R272" i="31"/>
  <c r="S272" i="31"/>
  <c r="T272" i="31"/>
  <c r="U272" i="31"/>
  <c r="V272" i="31"/>
  <c r="W272" i="31"/>
  <c r="X272" i="31"/>
  <c r="Y272" i="31"/>
  <c r="Z272" i="31"/>
  <c r="AA272" i="31"/>
  <c r="AB272" i="31"/>
  <c r="AC272" i="31"/>
  <c r="AD272" i="31"/>
  <c r="AE272" i="31"/>
  <c r="AF272" i="31"/>
  <c r="AG272" i="31"/>
  <c r="AH272" i="31"/>
  <c r="AI272" i="31"/>
  <c r="AJ272" i="31"/>
  <c r="AK272" i="31"/>
  <c r="AL272" i="31"/>
  <c r="AM272" i="31"/>
  <c r="AN272" i="31"/>
  <c r="AO272" i="31"/>
  <c r="AP272" i="31"/>
  <c r="AQ272" i="31"/>
  <c r="AR272" i="31"/>
  <c r="AS272" i="31"/>
  <c r="AT272" i="31"/>
  <c r="AU272" i="31"/>
  <c r="N273" i="31"/>
  <c r="O273" i="31"/>
  <c r="P273" i="31"/>
  <c r="Q273" i="31"/>
  <c r="R273" i="31"/>
  <c r="S273" i="31"/>
  <c r="T273" i="31"/>
  <c r="U273" i="31"/>
  <c r="V273" i="31"/>
  <c r="W273" i="31"/>
  <c r="X273" i="31"/>
  <c r="Y273" i="31"/>
  <c r="Z273" i="31"/>
  <c r="AA273" i="31"/>
  <c r="AB273" i="31"/>
  <c r="AC273" i="31"/>
  <c r="AD273" i="31"/>
  <c r="AE273" i="31"/>
  <c r="AF273" i="31"/>
  <c r="AG273" i="31"/>
  <c r="AH273" i="31"/>
  <c r="AI273" i="31"/>
  <c r="AJ273" i="31"/>
  <c r="AK273" i="31"/>
  <c r="AL273" i="31"/>
  <c r="AM273" i="31"/>
  <c r="AN273" i="31"/>
  <c r="AO273" i="31"/>
  <c r="AP273" i="31"/>
  <c r="AQ273" i="31"/>
  <c r="AR273" i="31"/>
  <c r="AS273" i="31"/>
  <c r="AT273" i="31"/>
  <c r="AU273" i="31"/>
  <c r="N274" i="31"/>
  <c r="O274" i="31"/>
  <c r="P274" i="31"/>
  <c r="Q274" i="31"/>
  <c r="R274" i="31"/>
  <c r="S274" i="31"/>
  <c r="T274" i="31"/>
  <c r="U274" i="31"/>
  <c r="V274" i="31"/>
  <c r="W274" i="31"/>
  <c r="X274" i="31"/>
  <c r="Y274" i="31"/>
  <c r="Z274" i="31"/>
  <c r="AA274" i="31"/>
  <c r="AB274" i="31"/>
  <c r="AC274" i="31"/>
  <c r="AD274" i="31"/>
  <c r="AE274" i="31"/>
  <c r="AF274" i="31"/>
  <c r="AG274" i="31"/>
  <c r="AH274" i="31"/>
  <c r="AI274" i="31"/>
  <c r="AJ274" i="31"/>
  <c r="AK274" i="31"/>
  <c r="AL274" i="31"/>
  <c r="AM274" i="31"/>
  <c r="AN274" i="31"/>
  <c r="AO274" i="31"/>
  <c r="AP274" i="31"/>
  <c r="AQ274" i="31"/>
  <c r="AR274" i="31"/>
  <c r="AS274" i="31"/>
  <c r="AT274" i="31"/>
  <c r="AU274" i="31"/>
  <c r="N275" i="31"/>
  <c r="O275" i="31"/>
  <c r="P275" i="31"/>
  <c r="Q275" i="31"/>
  <c r="R275" i="31"/>
  <c r="S275" i="31"/>
  <c r="T275" i="31"/>
  <c r="U275" i="31"/>
  <c r="V275" i="31"/>
  <c r="W275" i="31"/>
  <c r="X275" i="31"/>
  <c r="Y275" i="31"/>
  <c r="Z275" i="31"/>
  <c r="AA275" i="31"/>
  <c r="AB275" i="31"/>
  <c r="AC275" i="31"/>
  <c r="AD275" i="31"/>
  <c r="AE275" i="31"/>
  <c r="AF275" i="31"/>
  <c r="AG275" i="31"/>
  <c r="AH275" i="31"/>
  <c r="AI275" i="31"/>
  <c r="AJ275" i="31"/>
  <c r="AK275" i="31"/>
  <c r="AL275" i="31"/>
  <c r="AM275" i="31"/>
  <c r="AN275" i="31"/>
  <c r="AO275" i="31"/>
  <c r="AP275" i="31"/>
  <c r="AQ275" i="31"/>
  <c r="AR275" i="31"/>
  <c r="AS275" i="31"/>
  <c r="AT275" i="31"/>
  <c r="AU275" i="31"/>
  <c r="N277" i="31"/>
  <c r="O277" i="31"/>
  <c r="P277" i="31"/>
  <c r="Q277" i="31"/>
  <c r="R277" i="31"/>
  <c r="S277" i="31"/>
  <c r="T277" i="31"/>
  <c r="U277" i="31"/>
  <c r="V277" i="31"/>
  <c r="W277" i="31"/>
  <c r="X277" i="31"/>
  <c r="Y277" i="31"/>
  <c r="Z277" i="31"/>
  <c r="AA277" i="31"/>
  <c r="AB277" i="31"/>
  <c r="AC277" i="31"/>
  <c r="AD277" i="31"/>
  <c r="AE277" i="31"/>
  <c r="AF277" i="31"/>
  <c r="AG277" i="31"/>
  <c r="AH277" i="31"/>
  <c r="AI277" i="31"/>
  <c r="AJ277" i="31"/>
  <c r="AK277" i="31"/>
  <c r="AL277" i="31"/>
  <c r="AM277" i="31"/>
  <c r="AN277" i="31"/>
  <c r="AO277" i="31"/>
  <c r="AP277" i="31"/>
  <c r="AQ277" i="31"/>
  <c r="AR277" i="31"/>
  <c r="AS277" i="31"/>
  <c r="AT277" i="31"/>
  <c r="AU277" i="31"/>
  <c r="N278" i="31"/>
  <c r="O278" i="31"/>
  <c r="P278" i="31"/>
  <c r="Q278" i="31"/>
  <c r="R278" i="31"/>
  <c r="S278" i="31"/>
  <c r="T278" i="31"/>
  <c r="U278" i="31"/>
  <c r="V278" i="31"/>
  <c r="W278" i="31"/>
  <c r="X278" i="31"/>
  <c r="Y278" i="31"/>
  <c r="Z278" i="31"/>
  <c r="AA278" i="31"/>
  <c r="AB278" i="31"/>
  <c r="AC278" i="31"/>
  <c r="AD278" i="31"/>
  <c r="AE278" i="31"/>
  <c r="AF278" i="31"/>
  <c r="AG278" i="31"/>
  <c r="AH278" i="31"/>
  <c r="AI278" i="31"/>
  <c r="AJ278" i="31"/>
  <c r="AK278" i="31"/>
  <c r="AL278" i="31"/>
  <c r="AM278" i="31"/>
  <c r="AN278" i="31"/>
  <c r="AO278" i="31"/>
  <c r="AP278" i="31"/>
  <c r="AQ278" i="31"/>
  <c r="AR278" i="31"/>
  <c r="AS278" i="31"/>
  <c r="AT278" i="31"/>
  <c r="AU278" i="31"/>
  <c r="N279" i="31"/>
  <c r="O279" i="31"/>
  <c r="P279" i="31"/>
  <c r="Q279" i="31"/>
  <c r="R279" i="31"/>
  <c r="S279" i="31"/>
  <c r="T279" i="31"/>
  <c r="U279" i="31"/>
  <c r="V279" i="31"/>
  <c r="W279" i="31"/>
  <c r="X279" i="31"/>
  <c r="Y279" i="31"/>
  <c r="Z279" i="31"/>
  <c r="AA279" i="31"/>
  <c r="AB279" i="31"/>
  <c r="AC279" i="31"/>
  <c r="AD279" i="31"/>
  <c r="AE279" i="31"/>
  <c r="AF279" i="31"/>
  <c r="AG279" i="31"/>
  <c r="AH279" i="31"/>
  <c r="AI279" i="31"/>
  <c r="AJ279" i="31"/>
  <c r="AK279" i="31"/>
  <c r="AL279" i="31"/>
  <c r="AM279" i="31"/>
  <c r="AN279" i="31"/>
  <c r="AO279" i="31"/>
  <c r="AP279" i="31"/>
  <c r="AQ279" i="31"/>
  <c r="AR279" i="31"/>
  <c r="AS279" i="31"/>
  <c r="AT279" i="31"/>
  <c r="AU279" i="31"/>
  <c r="N280" i="31"/>
  <c r="O280" i="31"/>
  <c r="P280" i="31"/>
  <c r="Q280" i="31"/>
  <c r="R280" i="31"/>
  <c r="S280" i="31"/>
  <c r="T280" i="31"/>
  <c r="U280" i="31"/>
  <c r="V280" i="31"/>
  <c r="W280" i="31"/>
  <c r="X280" i="31"/>
  <c r="Y280" i="31"/>
  <c r="Z280" i="31"/>
  <c r="AA280" i="31"/>
  <c r="AB280" i="31"/>
  <c r="AC280" i="31"/>
  <c r="AD280" i="31"/>
  <c r="AE280" i="31"/>
  <c r="AF280" i="31"/>
  <c r="AG280" i="31"/>
  <c r="AH280" i="31"/>
  <c r="AI280" i="31"/>
  <c r="AJ280" i="31"/>
  <c r="AK280" i="31"/>
  <c r="AL280" i="31"/>
  <c r="AM280" i="31"/>
  <c r="AN280" i="31"/>
  <c r="AO280" i="31"/>
  <c r="AP280" i="31"/>
  <c r="AQ280" i="31"/>
  <c r="AR280" i="31"/>
  <c r="AS280" i="31"/>
  <c r="AT280" i="31"/>
  <c r="AU280" i="31"/>
  <c r="N281" i="31"/>
  <c r="O281" i="31"/>
  <c r="P281" i="31"/>
  <c r="Q281" i="31"/>
  <c r="R281" i="31"/>
  <c r="S281" i="31"/>
  <c r="T281" i="31"/>
  <c r="U281" i="31"/>
  <c r="V281" i="31"/>
  <c r="W281" i="31"/>
  <c r="X281" i="31"/>
  <c r="Y281" i="31"/>
  <c r="Z281" i="31"/>
  <c r="AA281" i="31"/>
  <c r="AB281" i="31"/>
  <c r="AC281" i="31"/>
  <c r="AD281" i="31"/>
  <c r="AE281" i="31"/>
  <c r="AF281" i="31"/>
  <c r="AG281" i="31"/>
  <c r="AH281" i="31"/>
  <c r="AI281" i="31"/>
  <c r="AJ281" i="31"/>
  <c r="AK281" i="31"/>
  <c r="AL281" i="31"/>
  <c r="AM281" i="31"/>
  <c r="AN281" i="31"/>
  <c r="AO281" i="31"/>
  <c r="AP281" i="31"/>
  <c r="AQ281" i="31"/>
  <c r="AR281" i="31"/>
  <c r="AS281" i="31"/>
  <c r="AT281" i="31"/>
  <c r="AU281" i="31"/>
  <c r="N282" i="31"/>
  <c r="O282" i="31"/>
  <c r="P282" i="31"/>
  <c r="Q282" i="31"/>
  <c r="R282" i="31"/>
  <c r="S282" i="31"/>
  <c r="T282" i="31"/>
  <c r="U282" i="31"/>
  <c r="V282" i="31"/>
  <c r="W282" i="31"/>
  <c r="X282" i="31"/>
  <c r="Y282" i="31"/>
  <c r="Z282" i="31"/>
  <c r="AA282" i="31"/>
  <c r="AB282" i="31"/>
  <c r="AC282" i="31"/>
  <c r="AD282" i="31"/>
  <c r="AE282" i="31"/>
  <c r="AF282" i="31"/>
  <c r="AG282" i="31"/>
  <c r="AH282" i="31"/>
  <c r="AI282" i="31"/>
  <c r="AJ282" i="31"/>
  <c r="AK282" i="31"/>
  <c r="AL282" i="31"/>
  <c r="AM282" i="31"/>
  <c r="AN282" i="31"/>
  <c r="AO282" i="31"/>
  <c r="AP282" i="31"/>
  <c r="AQ282" i="31"/>
  <c r="AR282" i="31"/>
  <c r="AS282" i="31"/>
  <c r="AT282" i="31"/>
  <c r="AU282" i="31"/>
  <c r="N284" i="31"/>
  <c r="O284" i="31"/>
  <c r="P284" i="31"/>
  <c r="Q284" i="31"/>
  <c r="R284" i="31"/>
  <c r="S284" i="31"/>
  <c r="T284" i="31"/>
  <c r="U284" i="31"/>
  <c r="V284" i="31"/>
  <c r="W284" i="31"/>
  <c r="X284" i="31"/>
  <c r="Y284" i="31"/>
  <c r="Z284" i="31"/>
  <c r="AA284" i="31"/>
  <c r="AB284" i="31"/>
  <c r="AC284" i="31"/>
  <c r="AD284" i="31"/>
  <c r="AE284" i="31"/>
  <c r="AF284" i="31"/>
  <c r="AG284" i="31"/>
  <c r="AH284" i="31"/>
  <c r="AI284" i="31"/>
  <c r="AJ284" i="31"/>
  <c r="AK284" i="31"/>
  <c r="AL284" i="31"/>
  <c r="AM284" i="31"/>
  <c r="AN284" i="31"/>
  <c r="AO284" i="31"/>
  <c r="AP284" i="31"/>
  <c r="AQ284" i="31"/>
  <c r="AR284" i="31"/>
  <c r="AS284" i="31"/>
  <c r="AT284" i="31"/>
  <c r="AU284" i="31"/>
  <c r="N285" i="31"/>
  <c r="O285" i="31"/>
  <c r="P285" i="31"/>
  <c r="Q285" i="31"/>
  <c r="R285" i="31"/>
  <c r="S285" i="31"/>
  <c r="T285" i="31"/>
  <c r="U285" i="31"/>
  <c r="V285" i="31"/>
  <c r="W285" i="31"/>
  <c r="X285" i="31"/>
  <c r="Y285" i="31"/>
  <c r="Z285" i="31"/>
  <c r="AA285" i="31"/>
  <c r="AB285" i="31"/>
  <c r="AC285" i="31"/>
  <c r="AD285" i="31"/>
  <c r="AE285" i="31"/>
  <c r="AF285" i="31"/>
  <c r="AG285" i="31"/>
  <c r="AH285" i="31"/>
  <c r="AI285" i="31"/>
  <c r="AJ285" i="31"/>
  <c r="AK285" i="31"/>
  <c r="AL285" i="31"/>
  <c r="AM285" i="31"/>
  <c r="AN285" i="31"/>
  <c r="AO285" i="31"/>
  <c r="AP285" i="31"/>
  <c r="AQ285" i="31"/>
  <c r="AR285" i="31"/>
  <c r="AS285" i="31"/>
  <c r="AT285" i="31"/>
  <c r="AU285" i="31"/>
  <c r="N286" i="31"/>
  <c r="O286" i="31"/>
  <c r="P286" i="31"/>
  <c r="Q286" i="31"/>
  <c r="R286" i="31"/>
  <c r="S286" i="31"/>
  <c r="T286" i="31"/>
  <c r="U286" i="31"/>
  <c r="V286" i="31"/>
  <c r="W286" i="31"/>
  <c r="X286" i="31"/>
  <c r="Y286" i="31"/>
  <c r="Z286" i="31"/>
  <c r="AA286" i="31"/>
  <c r="AB286" i="31"/>
  <c r="AC286" i="31"/>
  <c r="AD286" i="31"/>
  <c r="AE286" i="31"/>
  <c r="AF286" i="31"/>
  <c r="AG286" i="31"/>
  <c r="AH286" i="31"/>
  <c r="AI286" i="31"/>
  <c r="AJ286" i="31"/>
  <c r="AK286" i="31"/>
  <c r="AL286" i="31"/>
  <c r="AM286" i="31"/>
  <c r="AN286" i="31"/>
  <c r="AO286" i="31"/>
  <c r="AP286" i="31"/>
  <c r="AQ286" i="31"/>
  <c r="AR286" i="31"/>
  <c r="AS286" i="31"/>
  <c r="AT286" i="31"/>
  <c r="AU286" i="31"/>
  <c r="N287" i="31"/>
  <c r="O287" i="31"/>
  <c r="P287" i="31"/>
  <c r="Q287" i="31"/>
  <c r="R287" i="31"/>
  <c r="S287" i="31"/>
  <c r="T287" i="31"/>
  <c r="U287" i="31"/>
  <c r="V287" i="31"/>
  <c r="W287" i="31"/>
  <c r="X287" i="31"/>
  <c r="Y287" i="31"/>
  <c r="Z287" i="31"/>
  <c r="AA287" i="31"/>
  <c r="AB287" i="31"/>
  <c r="AC287" i="31"/>
  <c r="AD287" i="31"/>
  <c r="AE287" i="31"/>
  <c r="AF287" i="31"/>
  <c r="AG287" i="31"/>
  <c r="AH287" i="31"/>
  <c r="AI287" i="31"/>
  <c r="AJ287" i="31"/>
  <c r="AK287" i="31"/>
  <c r="AL287" i="31"/>
  <c r="AM287" i="31"/>
  <c r="AN287" i="31"/>
  <c r="AO287" i="31"/>
  <c r="AP287" i="31"/>
  <c r="AQ287" i="31"/>
  <c r="AR287" i="31"/>
  <c r="AS287" i="31"/>
  <c r="AT287" i="31"/>
  <c r="AU287" i="31"/>
  <c r="N288" i="31"/>
  <c r="O288" i="31"/>
  <c r="P288" i="31"/>
  <c r="Q288" i="31"/>
  <c r="R288" i="31"/>
  <c r="S288" i="31"/>
  <c r="T288" i="31"/>
  <c r="U288" i="31"/>
  <c r="V288" i="31"/>
  <c r="W288" i="31"/>
  <c r="X288" i="31"/>
  <c r="Y288" i="31"/>
  <c r="Z288" i="31"/>
  <c r="AA288" i="31"/>
  <c r="AB288" i="31"/>
  <c r="AC288" i="31"/>
  <c r="AD288" i="31"/>
  <c r="AE288" i="31"/>
  <c r="AF288" i="31"/>
  <c r="AG288" i="31"/>
  <c r="AH288" i="31"/>
  <c r="AI288" i="31"/>
  <c r="AJ288" i="31"/>
  <c r="AK288" i="31"/>
  <c r="AL288" i="31"/>
  <c r="AM288" i="31"/>
  <c r="AN288" i="31"/>
  <c r="AO288" i="31"/>
  <c r="AP288" i="31"/>
  <c r="AQ288" i="31"/>
  <c r="AR288" i="31"/>
  <c r="AS288" i="31"/>
  <c r="AT288" i="31"/>
  <c r="AU288" i="31"/>
  <c r="N289" i="31"/>
  <c r="O289" i="31"/>
  <c r="P289" i="31"/>
  <c r="Q289" i="31"/>
  <c r="R289" i="31"/>
  <c r="S289" i="31"/>
  <c r="T289" i="31"/>
  <c r="U289" i="31"/>
  <c r="V289" i="31"/>
  <c r="W289" i="31"/>
  <c r="X289" i="31"/>
  <c r="Y289" i="31"/>
  <c r="Z289" i="31"/>
  <c r="AA289" i="31"/>
  <c r="AB289" i="31"/>
  <c r="AC289" i="31"/>
  <c r="AD289" i="31"/>
  <c r="AE289" i="31"/>
  <c r="AF289" i="31"/>
  <c r="AG289" i="31"/>
  <c r="AH289" i="31"/>
  <c r="AI289" i="31"/>
  <c r="AJ289" i="31"/>
  <c r="AK289" i="31"/>
  <c r="AL289" i="31"/>
  <c r="AM289" i="31"/>
  <c r="AN289" i="31"/>
  <c r="AO289" i="31"/>
  <c r="AP289" i="31"/>
  <c r="AQ289" i="31"/>
  <c r="AR289" i="31"/>
  <c r="AS289" i="31"/>
  <c r="AT289" i="31"/>
  <c r="AU289" i="31"/>
  <c r="N291" i="31"/>
  <c r="O291" i="31"/>
  <c r="P291" i="31"/>
  <c r="Q291" i="31"/>
  <c r="R291" i="31"/>
  <c r="S291" i="31"/>
  <c r="T291" i="31"/>
  <c r="U291" i="31"/>
  <c r="V291" i="31"/>
  <c r="W291" i="31"/>
  <c r="X291" i="31"/>
  <c r="Y291" i="31"/>
  <c r="Z291" i="31"/>
  <c r="AA291" i="31"/>
  <c r="AB291" i="31"/>
  <c r="AC291" i="31"/>
  <c r="AD291" i="31"/>
  <c r="AE291" i="31"/>
  <c r="AF291" i="31"/>
  <c r="AG291" i="31"/>
  <c r="AH291" i="31"/>
  <c r="AI291" i="31"/>
  <c r="AJ291" i="31"/>
  <c r="AK291" i="31"/>
  <c r="AL291" i="31"/>
  <c r="AM291" i="31"/>
  <c r="AN291" i="31"/>
  <c r="AO291" i="31"/>
  <c r="AP291" i="31"/>
  <c r="AQ291" i="31"/>
  <c r="AR291" i="31"/>
  <c r="AS291" i="31"/>
  <c r="AT291" i="31"/>
  <c r="AU291" i="31"/>
  <c r="N292" i="31"/>
  <c r="O292" i="31"/>
  <c r="P292" i="31"/>
  <c r="Q292" i="31"/>
  <c r="R292" i="31"/>
  <c r="S292" i="31"/>
  <c r="T292" i="31"/>
  <c r="U292" i="31"/>
  <c r="V292" i="31"/>
  <c r="W292" i="31"/>
  <c r="X292" i="31"/>
  <c r="Y292" i="31"/>
  <c r="Z292" i="31"/>
  <c r="AA292" i="31"/>
  <c r="AB292" i="31"/>
  <c r="AC292" i="31"/>
  <c r="AD292" i="31"/>
  <c r="AE292" i="31"/>
  <c r="AF292" i="31"/>
  <c r="AG292" i="31"/>
  <c r="AH292" i="31"/>
  <c r="AI292" i="31"/>
  <c r="AJ292" i="31"/>
  <c r="AK292" i="31"/>
  <c r="AL292" i="31"/>
  <c r="AM292" i="31"/>
  <c r="AN292" i="31"/>
  <c r="AO292" i="31"/>
  <c r="AP292" i="31"/>
  <c r="AQ292" i="31"/>
  <c r="AR292" i="31"/>
  <c r="AS292" i="31"/>
  <c r="AT292" i="31"/>
  <c r="AU292" i="31"/>
  <c r="N293" i="31"/>
  <c r="O293" i="31"/>
  <c r="P293" i="31"/>
  <c r="Q293" i="31"/>
  <c r="R293" i="31"/>
  <c r="S293" i="31"/>
  <c r="T293" i="31"/>
  <c r="U293" i="31"/>
  <c r="V293" i="31"/>
  <c r="W293" i="31"/>
  <c r="X293" i="31"/>
  <c r="Y293" i="31"/>
  <c r="Z293" i="31"/>
  <c r="AA293" i="31"/>
  <c r="AB293" i="31"/>
  <c r="AC293" i="31"/>
  <c r="AD293" i="31"/>
  <c r="AE293" i="31"/>
  <c r="AF293" i="31"/>
  <c r="AG293" i="31"/>
  <c r="AH293" i="31"/>
  <c r="AI293" i="31"/>
  <c r="AJ293" i="31"/>
  <c r="AK293" i="31"/>
  <c r="AL293" i="31"/>
  <c r="AM293" i="31"/>
  <c r="AN293" i="31"/>
  <c r="AO293" i="31"/>
  <c r="AP293" i="31"/>
  <c r="AQ293" i="31"/>
  <c r="AR293" i="31"/>
  <c r="AS293" i="31"/>
  <c r="AT293" i="31"/>
  <c r="AU293" i="31"/>
  <c r="N294" i="31"/>
  <c r="O294" i="31"/>
  <c r="P294" i="31"/>
  <c r="Q294" i="31"/>
  <c r="R294" i="31"/>
  <c r="S294" i="31"/>
  <c r="T294" i="31"/>
  <c r="U294" i="31"/>
  <c r="V294" i="31"/>
  <c r="W294" i="31"/>
  <c r="X294" i="31"/>
  <c r="Y294" i="31"/>
  <c r="Z294" i="31"/>
  <c r="AA294" i="31"/>
  <c r="AB294" i="31"/>
  <c r="AC294" i="31"/>
  <c r="AD294" i="31"/>
  <c r="AE294" i="31"/>
  <c r="AF294" i="31"/>
  <c r="AG294" i="31"/>
  <c r="AH294" i="31"/>
  <c r="AI294" i="31"/>
  <c r="AJ294" i="31"/>
  <c r="AK294" i="31"/>
  <c r="AL294" i="31"/>
  <c r="AM294" i="31"/>
  <c r="AN294" i="31"/>
  <c r="AO294" i="31"/>
  <c r="AP294" i="31"/>
  <c r="AQ294" i="31"/>
  <c r="AR294" i="31"/>
  <c r="AS294" i="31"/>
  <c r="AT294" i="31"/>
  <c r="AU294" i="31"/>
  <c r="N295" i="31"/>
  <c r="O295" i="31"/>
  <c r="P295" i="31"/>
  <c r="Q295" i="31"/>
  <c r="R295" i="31"/>
  <c r="S295" i="31"/>
  <c r="T295" i="31"/>
  <c r="U295" i="31"/>
  <c r="V295" i="31"/>
  <c r="W295" i="31"/>
  <c r="X295" i="31"/>
  <c r="Y295" i="31"/>
  <c r="Z295" i="31"/>
  <c r="AA295" i="31"/>
  <c r="AB295" i="31"/>
  <c r="AC295" i="31"/>
  <c r="AD295" i="31"/>
  <c r="AE295" i="31"/>
  <c r="AF295" i="31"/>
  <c r="AG295" i="31"/>
  <c r="AH295" i="31"/>
  <c r="AI295" i="31"/>
  <c r="AJ295" i="31"/>
  <c r="AK295" i="31"/>
  <c r="AL295" i="31"/>
  <c r="AM295" i="31"/>
  <c r="AN295" i="31"/>
  <c r="AO295" i="31"/>
  <c r="AP295" i="31"/>
  <c r="AQ295" i="31"/>
  <c r="AR295" i="31"/>
  <c r="AS295" i="31"/>
  <c r="AT295" i="31"/>
  <c r="AU295" i="31"/>
  <c r="N296" i="31"/>
  <c r="O296" i="31"/>
  <c r="P296" i="31"/>
  <c r="Q296" i="31"/>
  <c r="R296" i="31"/>
  <c r="S296" i="31"/>
  <c r="T296" i="31"/>
  <c r="U296" i="31"/>
  <c r="V296" i="31"/>
  <c r="W296" i="31"/>
  <c r="X296" i="31"/>
  <c r="Y296" i="31"/>
  <c r="Z296" i="31"/>
  <c r="AA296" i="31"/>
  <c r="AB296" i="31"/>
  <c r="AC296" i="31"/>
  <c r="AD296" i="31"/>
  <c r="AE296" i="31"/>
  <c r="AF296" i="31"/>
  <c r="AG296" i="31"/>
  <c r="AH296" i="31"/>
  <c r="AI296" i="31"/>
  <c r="AJ296" i="31"/>
  <c r="AK296" i="31"/>
  <c r="AL296" i="31"/>
  <c r="AM296" i="31"/>
  <c r="AN296" i="31"/>
  <c r="AO296" i="31"/>
  <c r="AP296" i="31"/>
  <c r="AQ296" i="31"/>
  <c r="AR296" i="31"/>
  <c r="AS296" i="31"/>
  <c r="AT296" i="31"/>
  <c r="AU296" i="31"/>
  <c r="L270" i="31"/>
  <c r="M270" i="31"/>
  <c r="L271" i="31"/>
  <c r="M271" i="31"/>
  <c r="L272" i="31"/>
  <c r="M272" i="31"/>
  <c r="L273" i="31"/>
  <c r="M273" i="31"/>
  <c r="L274" i="31"/>
  <c r="M274" i="31"/>
  <c r="L275" i="31"/>
  <c r="M275" i="31"/>
  <c r="L277" i="31"/>
  <c r="M277" i="31"/>
  <c r="L278" i="31"/>
  <c r="M278" i="31"/>
  <c r="L279" i="31"/>
  <c r="M279" i="31"/>
  <c r="L280" i="31"/>
  <c r="M280" i="31"/>
  <c r="L281" i="31"/>
  <c r="M281" i="31"/>
  <c r="L282" i="31"/>
  <c r="M282" i="31"/>
  <c r="L284" i="31"/>
  <c r="M284" i="31"/>
  <c r="L285" i="31"/>
  <c r="M285" i="31"/>
  <c r="L286" i="31"/>
  <c r="M286" i="31"/>
  <c r="L287" i="31"/>
  <c r="M287" i="31"/>
  <c r="L288" i="31"/>
  <c r="M288" i="31"/>
  <c r="L289" i="31"/>
  <c r="M289" i="31"/>
  <c r="L291" i="31"/>
  <c r="M291" i="31"/>
  <c r="L292" i="31"/>
  <c r="M292" i="31"/>
  <c r="L293" i="31"/>
  <c r="M293" i="31"/>
  <c r="L294" i="31"/>
  <c r="M294" i="31"/>
  <c r="L295" i="31"/>
  <c r="M295" i="31"/>
  <c r="L296" i="31"/>
  <c r="M296" i="31"/>
  <c r="M263" i="31"/>
  <c r="M264" i="31"/>
  <c r="M265" i="31"/>
  <c r="M266" i="31"/>
  <c r="M267" i="31"/>
  <c r="L264" i="31"/>
  <c r="L265" i="31"/>
  <c r="L266" i="31"/>
  <c r="L267" i="31"/>
  <c r="L263" i="31"/>
  <c r="AA124" i="40" l="1"/>
  <c r="AA136" i="40"/>
  <c r="AA130" i="40"/>
  <c r="AA143" i="40" s="1"/>
  <c r="Z124" i="40"/>
  <c r="Z136" i="40"/>
  <c r="Z130" i="40"/>
  <c r="Z143" i="40" s="1"/>
  <c r="Y124" i="40"/>
  <c r="Y136" i="40"/>
  <c r="Y130" i="40"/>
  <c r="L101" i="40"/>
  <c r="L89" i="40"/>
  <c r="L107" i="40"/>
  <c r="L95" i="40"/>
  <c r="L114" i="40" s="1"/>
  <c r="AJ134" i="40"/>
  <c r="AJ122" i="40"/>
  <c r="AJ128" i="40"/>
  <c r="AD130" i="40"/>
  <c r="AD124" i="40"/>
  <c r="AD136" i="40"/>
  <c r="AI101" i="40"/>
  <c r="AI95" i="40"/>
  <c r="AI107" i="40"/>
  <c r="AI89" i="40"/>
  <c r="AA97" i="40"/>
  <c r="AA91" i="40"/>
  <c r="AA85" i="40"/>
  <c r="AA103" i="40"/>
  <c r="Y135" i="40"/>
  <c r="Y123" i="40"/>
  <c r="Y129" i="40"/>
  <c r="G132" i="40"/>
  <c r="G126" i="40"/>
  <c r="G120" i="40"/>
  <c r="X102" i="40"/>
  <c r="X96" i="40"/>
  <c r="X90" i="40"/>
  <c r="X108" i="40"/>
  <c r="F99" i="40"/>
  <c r="F93" i="40"/>
  <c r="F105" i="40"/>
  <c r="F87" i="40"/>
  <c r="X135" i="40"/>
  <c r="X123" i="40"/>
  <c r="X129" i="40"/>
  <c r="J134" i="40"/>
  <c r="J128" i="40"/>
  <c r="J122" i="40"/>
  <c r="J141" i="40" s="1"/>
  <c r="AB130" i="40"/>
  <c r="AB124" i="40"/>
  <c r="AB136" i="40"/>
  <c r="W90" i="40"/>
  <c r="W96" i="40"/>
  <c r="W115" i="40" s="1"/>
  <c r="W102" i="40"/>
  <c r="W108" i="40"/>
  <c r="S100" i="40"/>
  <c r="S94" i="40"/>
  <c r="S88" i="40"/>
  <c r="S106" i="40"/>
  <c r="Y91" i="40"/>
  <c r="Y85" i="40"/>
  <c r="Y103" i="40"/>
  <c r="Y97" i="40"/>
  <c r="W135" i="40"/>
  <c r="W129" i="40"/>
  <c r="W123" i="40"/>
  <c r="AG134" i="40"/>
  <c r="AG128" i="40"/>
  <c r="AG122" i="40"/>
  <c r="AG141" i="40" s="1"/>
  <c r="I134" i="40"/>
  <c r="I128" i="40"/>
  <c r="I122" i="40"/>
  <c r="I141" i="40" s="1"/>
  <c r="S133" i="40"/>
  <c r="S127" i="40"/>
  <c r="S121" i="40"/>
  <c r="AC126" i="40"/>
  <c r="AC120" i="40"/>
  <c r="AC132" i="40"/>
  <c r="AM125" i="40"/>
  <c r="AM131" i="40"/>
  <c r="AM119" i="40"/>
  <c r="O125" i="40"/>
  <c r="O119" i="40"/>
  <c r="O131" i="40"/>
  <c r="O138" i="40" s="1"/>
  <c r="D127" i="40"/>
  <c r="D121" i="40"/>
  <c r="D133" i="40"/>
  <c r="V102" i="40"/>
  <c r="V90" i="40"/>
  <c r="V96" i="40"/>
  <c r="V108" i="40"/>
  <c r="AF101" i="40"/>
  <c r="AF95" i="40"/>
  <c r="AF107" i="40"/>
  <c r="AF89" i="40"/>
  <c r="AF114" i="40" s="1"/>
  <c r="H101" i="40"/>
  <c r="H95" i="40"/>
  <c r="H89" i="40"/>
  <c r="H107" i="40"/>
  <c r="R100" i="40"/>
  <c r="R94" i="40"/>
  <c r="R88" i="40"/>
  <c r="R106" i="40"/>
  <c r="AB93" i="40"/>
  <c r="AB105" i="40"/>
  <c r="AB99" i="40"/>
  <c r="AB87" i="40"/>
  <c r="AB112" i="40" s="1"/>
  <c r="AL92" i="40"/>
  <c r="AL86" i="40"/>
  <c r="AL104" i="40"/>
  <c r="AL98" i="40"/>
  <c r="N92" i="40"/>
  <c r="N86" i="40"/>
  <c r="N104" i="40"/>
  <c r="N98" i="40"/>
  <c r="X91" i="40"/>
  <c r="X85" i="40"/>
  <c r="X97" i="40"/>
  <c r="X103" i="40"/>
  <c r="V135" i="40"/>
  <c r="V129" i="40"/>
  <c r="V123" i="40"/>
  <c r="AF134" i="40"/>
  <c r="AF128" i="40"/>
  <c r="AF122" i="40"/>
  <c r="AF141" i="40" s="1"/>
  <c r="H134" i="40"/>
  <c r="H128" i="40"/>
  <c r="H122" i="40"/>
  <c r="R127" i="40"/>
  <c r="R121" i="40"/>
  <c r="R133" i="40"/>
  <c r="R140" i="40" s="1"/>
  <c r="AB126" i="40"/>
  <c r="AB132" i="40"/>
  <c r="AB120" i="40"/>
  <c r="AL125" i="40"/>
  <c r="AL131" i="40"/>
  <c r="AL119" i="40"/>
  <c r="N125" i="40"/>
  <c r="N119" i="40"/>
  <c r="N131" i="40"/>
  <c r="N138" i="40" s="1"/>
  <c r="D132" i="40"/>
  <c r="D126" i="40"/>
  <c r="D120" i="40"/>
  <c r="D139" i="40" s="1"/>
  <c r="U102" i="40"/>
  <c r="U90" i="40"/>
  <c r="U115" i="40" s="1"/>
  <c r="U96" i="40"/>
  <c r="U108" i="40"/>
  <c r="AE101" i="40"/>
  <c r="AE95" i="40"/>
  <c r="AE107" i="40"/>
  <c r="AE89" i="40"/>
  <c r="G101" i="40"/>
  <c r="G95" i="40"/>
  <c r="G89" i="40"/>
  <c r="G107" i="40"/>
  <c r="Q94" i="40"/>
  <c r="Q106" i="40"/>
  <c r="Q100" i="40"/>
  <c r="Q88" i="40"/>
  <c r="AA93" i="40"/>
  <c r="AA87" i="40"/>
  <c r="AA99" i="40"/>
  <c r="AA105" i="40"/>
  <c r="AK92" i="40"/>
  <c r="AK104" i="40"/>
  <c r="AK98" i="40"/>
  <c r="AK86" i="40"/>
  <c r="AK111" i="40" s="1"/>
  <c r="M92" i="40"/>
  <c r="M104" i="40"/>
  <c r="M98" i="40"/>
  <c r="M86" i="40"/>
  <c r="W91" i="40"/>
  <c r="W97" i="40"/>
  <c r="W103" i="40"/>
  <c r="W85" i="40"/>
  <c r="AM48" i="40"/>
  <c r="AM72" i="40"/>
  <c r="AM54" i="40"/>
  <c r="AM66" i="40"/>
  <c r="AM42" i="40"/>
  <c r="AM60" i="40"/>
  <c r="U135" i="40"/>
  <c r="U129" i="40"/>
  <c r="U123" i="40"/>
  <c r="AE128" i="40"/>
  <c r="AE122" i="40"/>
  <c r="AE134" i="40"/>
  <c r="AE141" i="40" s="1"/>
  <c r="G128" i="40"/>
  <c r="G122" i="40"/>
  <c r="G134" i="40"/>
  <c r="G141" i="40" s="1"/>
  <c r="Q127" i="40"/>
  <c r="Q133" i="40"/>
  <c r="Q121" i="40"/>
  <c r="AA126" i="40"/>
  <c r="AA132" i="40"/>
  <c r="AA120" i="40"/>
  <c r="AK125" i="40"/>
  <c r="AK119" i="40"/>
  <c r="AK131" i="40"/>
  <c r="M125" i="40"/>
  <c r="M119" i="40"/>
  <c r="M131" i="40"/>
  <c r="E135" i="40"/>
  <c r="E129" i="40"/>
  <c r="E123" i="40"/>
  <c r="E142" i="40" s="1"/>
  <c r="T102" i="40"/>
  <c r="T90" i="40"/>
  <c r="T96" i="40"/>
  <c r="T108" i="40"/>
  <c r="AD95" i="40"/>
  <c r="AD107" i="40"/>
  <c r="AD101" i="40"/>
  <c r="AD89" i="40"/>
  <c r="AD114" i="40" s="1"/>
  <c r="F95" i="40"/>
  <c r="F107" i="40"/>
  <c r="F101" i="40"/>
  <c r="F89" i="40"/>
  <c r="F114" i="40" s="1"/>
  <c r="P94" i="40"/>
  <c r="P88" i="40"/>
  <c r="P100" i="40"/>
  <c r="P106" i="40"/>
  <c r="Z87" i="40"/>
  <c r="Z99" i="40"/>
  <c r="Z105" i="40"/>
  <c r="Z93" i="40"/>
  <c r="AJ92" i="40"/>
  <c r="AJ86" i="40"/>
  <c r="AJ98" i="40"/>
  <c r="AJ104" i="40"/>
  <c r="L92" i="40"/>
  <c r="L86" i="40"/>
  <c r="L98" i="40"/>
  <c r="L104" i="40"/>
  <c r="V91" i="40"/>
  <c r="V103" i="40"/>
  <c r="V97" i="40"/>
  <c r="V85" i="40"/>
  <c r="T129" i="40"/>
  <c r="T123" i="40"/>
  <c r="T135" i="40"/>
  <c r="T142" i="40" s="1"/>
  <c r="AD128" i="40"/>
  <c r="AD134" i="40"/>
  <c r="AD122" i="40"/>
  <c r="F128" i="40"/>
  <c r="F134" i="40"/>
  <c r="F141" i="40" s="1"/>
  <c r="F122" i="40"/>
  <c r="P127" i="40"/>
  <c r="P133" i="40"/>
  <c r="P121" i="40"/>
  <c r="Z126" i="40"/>
  <c r="Z120" i="40"/>
  <c r="Z132" i="40"/>
  <c r="AJ125" i="40"/>
  <c r="AJ119" i="40"/>
  <c r="AJ131" i="40"/>
  <c r="L125" i="40"/>
  <c r="L119" i="40"/>
  <c r="L131" i="40"/>
  <c r="X124" i="40"/>
  <c r="X136" i="40"/>
  <c r="X130" i="40"/>
  <c r="X143" i="40" s="1"/>
  <c r="W124" i="40"/>
  <c r="W136" i="40"/>
  <c r="W130" i="40"/>
  <c r="W143" i="40" s="1"/>
  <c r="V124" i="40"/>
  <c r="V136" i="40"/>
  <c r="V130" i="40"/>
  <c r="U136" i="40"/>
  <c r="U130" i="40"/>
  <c r="U124" i="40"/>
  <c r="Z135" i="40"/>
  <c r="Z129" i="40"/>
  <c r="Z123" i="40"/>
  <c r="AM46" i="40"/>
  <c r="AM70" i="40"/>
  <c r="AM40" i="40"/>
  <c r="AM52" i="40"/>
  <c r="AM58" i="40"/>
  <c r="AM64" i="40"/>
  <c r="T133" i="40"/>
  <c r="T127" i="40"/>
  <c r="T121" i="40"/>
  <c r="AM92" i="40"/>
  <c r="AM104" i="40"/>
  <c r="AM98" i="40"/>
  <c r="AM86" i="40"/>
  <c r="AM111" i="40" s="1"/>
  <c r="Y93" i="40"/>
  <c r="Y87" i="40"/>
  <c r="Y99" i="40"/>
  <c r="Y105" i="40"/>
  <c r="S129" i="40"/>
  <c r="S135" i="40"/>
  <c r="S123" i="40"/>
  <c r="AI125" i="40"/>
  <c r="AI119" i="40"/>
  <c r="AI131" i="40"/>
  <c r="AB107" i="40"/>
  <c r="AB89" i="40"/>
  <c r="AB95" i="40"/>
  <c r="AB101" i="40"/>
  <c r="J92" i="40"/>
  <c r="J86" i="40"/>
  <c r="J104" i="40"/>
  <c r="J98" i="40"/>
  <c r="N127" i="40"/>
  <c r="N121" i="40"/>
  <c r="N133" i="40"/>
  <c r="M94" i="40"/>
  <c r="M88" i="40"/>
  <c r="M100" i="40"/>
  <c r="M106" i="40"/>
  <c r="M113" i="40" s="1"/>
  <c r="M127" i="40"/>
  <c r="M121" i="40"/>
  <c r="M140" i="40" s="1"/>
  <c r="M133" i="40"/>
  <c r="E119" i="40"/>
  <c r="E131" i="40"/>
  <c r="E125" i="40"/>
  <c r="E138" i="40" s="1"/>
  <c r="P96" i="40"/>
  <c r="P90" i="40"/>
  <c r="P102" i="40"/>
  <c r="P108" i="40"/>
  <c r="Z95" i="40"/>
  <c r="Z107" i="40"/>
  <c r="Z89" i="40"/>
  <c r="Z101" i="40"/>
  <c r="AJ94" i="40"/>
  <c r="AJ100" i="40"/>
  <c r="AJ88" i="40"/>
  <c r="AJ106" i="40"/>
  <c r="L94" i="40"/>
  <c r="L100" i="40"/>
  <c r="L88" i="40"/>
  <c r="L106" i="40"/>
  <c r="L113" i="40" s="1"/>
  <c r="V87" i="40"/>
  <c r="V99" i="40"/>
  <c r="V93" i="40"/>
  <c r="V105" i="40"/>
  <c r="V112" i="40" s="1"/>
  <c r="AF86" i="40"/>
  <c r="AF104" i="40"/>
  <c r="AF98" i="40"/>
  <c r="AF92" i="40"/>
  <c r="H86" i="40"/>
  <c r="H104" i="40"/>
  <c r="H92" i="40"/>
  <c r="H98" i="40"/>
  <c r="R85" i="40"/>
  <c r="R91" i="40"/>
  <c r="R97" i="40"/>
  <c r="R103" i="40"/>
  <c r="R110" i="40" s="1"/>
  <c r="P129" i="40"/>
  <c r="P123" i="40"/>
  <c r="P135" i="40"/>
  <c r="Z128" i="40"/>
  <c r="Z122" i="40"/>
  <c r="Z134" i="40"/>
  <c r="AJ121" i="40"/>
  <c r="AJ133" i="40"/>
  <c r="AJ127" i="40"/>
  <c r="AJ140" i="40" s="1"/>
  <c r="L121" i="40"/>
  <c r="L133" i="40"/>
  <c r="L127" i="40"/>
  <c r="L140" i="40" s="1"/>
  <c r="V120" i="40"/>
  <c r="V132" i="40"/>
  <c r="V126" i="40"/>
  <c r="AF119" i="40"/>
  <c r="AF131" i="40"/>
  <c r="AF125" i="40"/>
  <c r="AF138" i="40" s="1"/>
  <c r="H119" i="40"/>
  <c r="H131" i="40"/>
  <c r="H125" i="40"/>
  <c r="T130" i="40"/>
  <c r="T124" i="40"/>
  <c r="T136" i="40"/>
  <c r="Z108" i="40"/>
  <c r="Z90" i="40"/>
  <c r="Z96" i="40"/>
  <c r="Z102" i="40"/>
  <c r="Y102" i="40"/>
  <c r="Y90" i="40"/>
  <c r="Y108" i="40"/>
  <c r="Y96" i="40"/>
  <c r="Y115" i="40" s="1"/>
  <c r="AD132" i="40"/>
  <c r="AD126" i="40"/>
  <c r="AD120" i="40"/>
  <c r="AD139" i="40" s="1"/>
  <c r="O92" i="40"/>
  <c r="O104" i="40"/>
  <c r="O98" i="40"/>
  <c r="O86" i="40"/>
  <c r="AC95" i="40"/>
  <c r="AC89" i="40"/>
  <c r="AC107" i="40"/>
  <c r="AC101" i="40"/>
  <c r="K92" i="40"/>
  <c r="K86" i="40"/>
  <c r="K98" i="40"/>
  <c r="K104" i="40"/>
  <c r="K111" i="40" s="1"/>
  <c r="AM127" i="40"/>
  <c r="AM121" i="40"/>
  <c r="AM133" i="40"/>
  <c r="E127" i="40"/>
  <c r="E121" i="40"/>
  <c r="E133" i="40"/>
  <c r="AL94" i="40"/>
  <c r="AL88" i="40"/>
  <c r="AL100" i="40"/>
  <c r="AL106" i="40"/>
  <c r="T85" i="40"/>
  <c r="T97" i="40"/>
  <c r="T91" i="40"/>
  <c r="T103" i="40"/>
  <c r="AL127" i="40"/>
  <c r="AL121" i="40"/>
  <c r="AL133" i="40"/>
  <c r="E126" i="40"/>
  <c r="E120" i="40"/>
  <c r="E132" i="40"/>
  <c r="AK94" i="40"/>
  <c r="AK88" i="40"/>
  <c r="AK100" i="40"/>
  <c r="AK106" i="40"/>
  <c r="AK113" i="40" s="1"/>
  <c r="S85" i="40"/>
  <c r="S103" i="40"/>
  <c r="S91" i="40"/>
  <c r="S97" i="40"/>
  <c r="W120" i="40"/>
  <c r="W132" i="40"/>
  <c r="W126" i="40"/>
  <c r="W139" i="40" s="1"/>
  <c r="E102" i="40"/>
  <c r="E90" i="40"/>
  <c r="E108" i="40"/>
  <c r="E96" i="40"/>
  <c r="AM96" i="40"/>
  <c r="AM108" i="40"/>
  <c r="AM115" i="40" s="1"/>
  <c r="AM90" i="40"/>
  <c r="AM102" i="40"/>
  <c r="O96" i="40"/>
  <c r="O90" i="40"/>
  <c r="O102" i="40"/>
  <c r="O108" i="40"/>
  <c r="O115" i="40" s="1"/>
  <c r="Y95" i="40"/>
  <c r="Y107" i="40"/>
  <c r="Y89" i="40"/>
  <c r="Y101" i="40"/>
  <c r="AI88" i="40"/>
  <c r="AI100" i="40"/>
  <c r="AI94" i="40"/>
  <c r="AI106" i="40"/>
  <c r="K88" i="40"/>
  <c r="K100" i="40"/>
  <c r="K94" i="40"/>
  <c r="K106" i="40"/>
  <c r="U87" i="40"/>
  <c r="U105" i="40"/>
  <c r="U93" i="40"/>
  <c r="U99" i="40"/>
  <c r="AE86" i="40"/>
  <c r="AE98" i="40"/>
  <c r="AE92" i="40"/>
  <c r="AE104" i="40"/>
  <c r="G86" i="40"/>
  <c r="G92" i="40"/>
  <c r="G98" i="40"/>
  <c r="G104" i="40"/>
  <c r="G111" i="40" s="1"/>
  <c r="Q85" i="40"/>
  <c r="Q97" i="40"/>
  <c r="Q103" i="40"/>
  <c r="Q91" i="40"/>
  <c r="AM129" i="40"/>
  <c r="AM123" i="40"/>
  <c r="AM135" i="40"/>
  <c r="O129" i="40"/>
  <c r="O123" i="40"/>
  <c r="O135" i="40"/>
  <c r="Y122" i="40"/>
  <c r="Y134" i="40"/>
  <c r="Y128" i="40"/>
  <c r="Y141" i="40" s="1"/>
  <c r="AI121" i="40"/>
  <c r="AI133" i="40"/>
  <c r="AI127" i="40"/>
  <c r="AI140" i="40" s="1"/>
  <c r="K121" i="40"/>
  <c r="K133" i="40"/>
  <c r="K127" i="40"/>
  <c r="U120" i="40"/>
  <c r="U132" i="40"/>
  <c r="U126" i="40"/>
  <c r="U139" i="40" s="1"/>
  <c r="AE119" i="40"/>
  <c r="AE131" i="40"/>
  <c r="AE125" i="40"/>
  <c r="G119" i="40"/>
  <c r="G131" i="40"/>
  <c r="G125" i="40"/>
  <c r="S130" i="40"/>
  <c r="S124" i="40"/>
  <c r="S136" i="40"/>
  <c r="R136" i="40"/>
  <c r="R130" i="40"/>
  <c r="R124" i="40"/>
  <c r="R143" i="40" s="1"/>
  <c r="H87" i="40"/>
  <c r="H93" i="40"/>
  <c r="H99" i="40"/>
  <c r="H105" i="40"/>
  <c r="L134" i="40"/>
  <c r="L122" i="40"/>
  <c r="L128" i="40"/>
  <c r="D125" i="40"/>
  <c r="D119" i="40"/>
  <c r="D131" i="40"/>
  <c r="K101" i="40"/>
  <c r="K95" i="40"/>
  <c r="K89" i="40"/>
  <c r="K107" i="40"/>
  <c r="AI134" i="40"/>
  <c r="AI122" i="40"/>
  <c r="AI128" i="40"/>
  <c r="AC130" i="40"/>
  <c r="AC124" i="40"/>
  <c r="AC136" i="40"/>
  <c r="AH107" i="40"/>
  <c r="AH101" i="40"/>
  <c r="AH89" i="40"/>
  <c r="AH95" i="40"/>
  <c r="P98" i="40"/>
  <c r="P86" i="40"/>
  <c r="P104" i="40"/>
  <c r="P92" i="40"/>
  <c r="AH134" i="40"/>
  <c r="AH128" i="40"/>
  <c r="AH122" i="40"/>
  <c r="AH141" i="40" s="1"/>
  <c r="F132" i="40"/>
  <c r="F126" i="40"/>
  <c r="F120" i="40"/>
  <c r="D122" i="40"/>
  <c r="D128" i="40"/>
  <c r="D134" i="40"/>
  <c r="AG101" i="40"/>
  <c r="AG95" i="40"/>
  <c r="AG107" i="40"/>
  <c r="AG89" i="40"/>
  <c r="AC99" i="40"/>
  <c r="AC93" i="40"/>
  <c r="AC87" i="40"/>
  <c r="AC105" i="40"/>
  <c r="S96" i="40"/>
  <c r="S108" i="40"/>
  <c r="S102" i="40"/>
  <c r="S90" i="40"/>
  <c r="O88" i="40"/>
  <c r="O94" i="40"/>
  <c r="O100" i="40"/>
  <c r="O106" i="40"/>
  <c r="AI92" i="40"/>
  <c r="AI98" i="40"/>
  <c r="AI86" i="40"/>
  <c r="AI104" i="40"/>
  <c r="AC128" i="40"/>
  <c r="AC134" i="40"/>
  <c r="AC122" i="40"/>
  <c r="O127" i="40"/>
  <c r="O121" i="40"/>
  <c r="O133" i="40"/>
  <c r="K125" i="40"/>
  <c r="K119" i="40"/>
  <c r="K131" i="40"/>
  <c r="R96" i="40"/>
  <c r="R90" i="40"/>
  <c r="R102" i="40"/>
  <c r="R108" i="40"/>
  <c r="N94" i="40"/>
  <c r="N88" i="40"/>
  <c r="N100" i="40"/>
  <c r="N106" i="40"/>
  <c r="AH92" i="40"/>
  <c r="AH98" i="40"/>
  <c r="AH86" i="40"/>
  <c r="AH104" i="40"/>
  <c r="AH111" i="40" s="1"/>
  <c r="AB128" i="40"/>
  <c r="AB122" i="40"/>
  <c r="AB141" i="40" s="1"/>
  <c r="AB134" i="40"/>
  <c r="X126" i="40"/>
  <c r="X120" i="40"/>
  <c r="X132" i="40"/>
  <c r="J119" i="40"/>
  <c r="J131" i="40"/>
  <c r="J125" i="40"/>
  <c r="AA95" i="40"/>
  <c r="AA107" i="40"/>
  <c r="AA89" i="40"/>
  <c r="AA101" i="40"/>
  <c r="W93" i="40"/>
  <c r="W99" i="40"/>
  <c r="W105" i="40"/>
  <c r="W87" i="40"/>
  <c r="I86" i="40"/>
  <c r="I98" i="40"/>
  <c r="I92" i="40"/>
  <c r="I104" i="40"/>
  <c r="I111" i="40" s="1"/>
  <c r="AM44" i="40"/>
  <c r="AM68" i="40"/>
  <c r="AM74" i="40"/>
  <c r="AM50" i="40"/>
  <c r="AM62" i="40"/>
  <c r="AM56" i="40"/>
  <c r="Q129" i="40"/>
  <c r="Q123" i="40"/>
  <c r="Q135" i="40"/>
  <c r="AK127" i="40"/>
  <c r="AK121" i="40"/>
  <c r="AK133" i="40"/>
  <c r="AG119" i="40"/>
  <c r="AG131" i="40"/>
  <c r="AG125" i="40"/>
  <c r="D108" i="40"/>
  <c r="D96" i="40"/>
  <c r="D90" i="40"/>
  <c r="D102" i="40"/>
  <c r="AL96" i="40"/>
  <c r="AL102" i="40"/>
  <c r="AL108" i="40"/>
  <c r="AL90" i="40"/>
  <c r="N96" i="40"/>
  <c r="N90" i="40"/>
  <c r="N102" i="40"/>
  <c r="N108" i="40"/>
  <c r="N115" i="40" s="1"/>
  <c r="X89" i="40"/>
  <c r="X101" i="40"/>
  <c r="X95" i="40"/>
  <c r="X107" i="40"/>
  <c r="AH88" i="40"/>
  <c r="AH106" i="40"/>
  <c r="AH100" i="40"/>
  <c r="AH94" i="40"/>
  <c r="J88" i="40"/>
  <c r="J106" i="40"/>
  <c r="J94" i="40"/>
  <c r="J100" i="40"/>
  <c r="T87" i="40"/>
  <c r="T105" i="40"/>
  <c r="T93" i="40"/>
  <c r="T99" i="40"/>
  <c r="AD86" i="40"/>
  <c r="AD92" i="40"/>
  <c r="AD98" i="40"/>
  <c r="AD104" i="40"/>
  <c r="F86" i="40"/>
  <c r="F92" i="40"/>
  <c r="F98" i="40"/>
  <c r="F104" i="40"/>
  <c r="F111" i="40" s="1"/>
  <c r="P85" i="40"/>
  <c r="P97" i="40"/>
  <c r="P110" i="40" s="1"/>
  <c r="P103" i="40"/>
  <c r="P91" i="40"/>
  <c r="AL123" i="40"/>
  <c r="AL135" i="40"/>
  <c r="AL129" i="40"/>
  <c r="N123" i="40"/>
  <c r="N135" i="40"/>
  <c r="N129" i="40"/>
  <c r="X122" i="40"/>
  <c r="X134" i="40"/>
  <c r="X128" i="40"/>
  <c r="X141" i="40" s="1"/>
  <c r="AH121" i="40"/>
  <c r="AH133" i="40"/>
  <c r="AH127" i="40"/>
  <c r="J121" i="40"/>
  <c r="J133" i="40"/>
  <c r="J127" i="40"/>
  <c r="T120" i="40"/>
  <c r="T132" i="40"/>
  <c r="T126" i="40"/>
  <c r="T139" i="40" s="1"/>
  <c r="AD119" i="40"/>
  <c r="AD131" i="40"/>
  <c r="AD125" i="40"/>
  <c r="AD138" i="40" s="1"/>
  <c r="F119" i="40"/>
  <c r="F131" i="40"/>
  <c r="F125" i="40"/>
  <c r="E95" i="40"/>
  <c r="E89" i="40"/>
  <c r="E107" i="40"/>
  <c r="E101" i="40"/>
  <c r="AK90" i="40"/>
  <c r="AK102" i="40"/>
  <c r="AK96" i="40"/>
  <c r="AK108" i="40"/>
  <c r="M90" i="40"/>
  <c r="M102" i="40"/>
  <c r="M96" i="40"/>
  <c r="M108" i="40"/>
  <c r="W89" i="40"/>
  <c r="W107" i="40"/>
  <c r="W95" i="40"/>
  <c r="W101" i="40"/>
  <c r="AG88" i="40"/>
  <c r="AG100" i="40"/>
  <c r="AG106" i="40"/>
  <c r="AG94" i="40"/>
  <c r="I88" i="40"/>
  <c r="I94" i="40"/>
  <c r="I100" i="40"/>
  <c r="I106" i="40"/>
  <c r="S87" i="40"/>
  <c r="S105" i="40"/>
  <c r="S93" i="40"/>
  <c r="S99" i="40"/>
  <c r="AC86" i="40"/>
  <c r="AC92" i="40"/>
  <c r="AC98" i="40"/>
  <c r="AC104" i="40"/>
  <c r="AM85" i="40"/>
  <c r="AM103" i="40"/>
  <c r="AM91" i="40"/>
  <c r="AM97" i="40"/>
  <c r="O85" i="40"/>
  <c r="O97" i="40"/>
  <c r="O103" i="40"/>
  <c r="O91" i="40"/>
  <c r="AK123" i="40"/>
  <c r="AK135" i="40"/>
  <c r="AK129" i="40"/>
  <c r="AK142" i="40" s="1"/>
  <c r="M123" i="40"/>
  <c r="M135" i="40"/>
  <c r="M129" i="40"/>
  <c r="M142" i="40" s="1"/>
  <c r="W122" i="40"/>
  <c r="W134" i="40"/>
  <c r="W128" i="40"/>
  <c r="W141" i="40" s="1"/>
  <c r="AG121" i="40"/>
  <c r="AG133" i="40"/>
  <c r="AG127" i="40"/>
  <c r="AG140" i="40" s="1"/>
  <c r="I121" i="40"/>
  <c r="I133" i="40"/>
  <c r="I127" i="40"/>
  <c r="S120" i="40"/>
  <c r="S132" i="40"/>
  <c r="S126" i="40"/>
  <c r="S139" i="40" s="1"/>
  <c r="AC119" i="40"/>
  <c r="AC131" i="40"/>
  <c r="AC125" i="40"/>
  <c r="Q136" i="40"/>
  <c r="Q130" i="40"/>
  <c r="Q124" i="40"/>
  <c r="AF93" i="40"/>
  <c r="AF99" i="40"/>
  <c r="AF87" i="40"/>
  <c r="AF105" i="40"/>
  <c r="AF132" i="40"/>
  <c r="AF126" i="40"/>
  <c r="AF120" i="40"/>
  <c r="AE99" i="40"/>
  <c r="AE93" i="40"/>
  <c r="AE87" i="40"/>
  <c r="AE105" i="40"/>
  <c r="K134" i="40"/>
  <c r="K122" i="40"/>
  <c r="K128" i="40"/>
  <c r="T100" i="40"/>
  <c r="T106" i="40"/>
  <c r="T94" i="40"/>
  <c r="T88" i="40"/>
  <c r="P125" i="40"/>
  <c r="P119" i="40"/>
  <c r="P131" i="40"/>
  <c r="I101" i="40"/>
  <c r="I95" i="40"/>
  <c r="I89" i="40"/>
  <c r="I107" i="40"/>
  <c r="E128" i="40"/>
  <c r="E134" i="40"/>
  <c r="E122" i="40"/>
  <c r="AM106" i="40"/>
  <c r="AM94" i="40"/>
  <c r="AM100" i="40"/>
  <c r="AM88" i="40"/>
  <c r="U91" i="40"/>
  <c r="U97" i="40"/>
  <c r="U103" i="40"/>
  <c r="U85" i="40"/>
  <c r="Y126" i="40"/>
  <c r="Y120" i="40"/>
  <c r="Y132" i="40"/>
  <c r="X93" i="40"/>
  <c r="X87" i="40"/>
  <c r="X99" i="40"/>
  <c r="X105" i="40"/>
  <c r="X112" i="40" s="1"/>
  <c r="R129" i="40"/>
  <c r="R135" i="40"/>
  <c r="R123" i="40"/>
  <c r="AH119" i="40"/>
  <c r="AH131" i="40"/>
  <c r="AH125" i="40"/>
  <c r="AH138" i="40" s="1"/>
  <c r="Q96" i="40"/>
  <c r="Q90" i="40"/>
  <c r="Q102" i="40"/>
  <c r="Q108" i="40"/>
  <c r="AG86" i="40"/>
  <c r="AG98" i="40"/>
  <c r="AG92" i="40"/>
  <c r="AG104" i="40"/>
  <c r="AA128" i="40"/>
  <c r="AA122" i="40"/>
  <c r="AA134" i="40"/>
  <c r="I119" i="40"/>
  <c r="I131" i="40"/>
  <c r="I125" i="40"/>
  <c r="D101" i="40"/>
  <c r="D89" i="40"/>
  <c r="D107" i="40"/>
  <c r="D95" i="40"/>
  <c r="AJ90" i="40"/>
  <c r="AJ108" i="40"/>
  <c r="AJ102" i="40"/>
  <c r="AJ96" i="40"/>
  <c r="L90" i="40"/>
  <c r="L108" i="40"/>
  <c r="L96" i="40"/>
  <c r="L102" i="40"/>
  <c r="V89" i="40"/>
  <c r="V107" i="40"/>
  <c r="V95" i="40"/>
  <c r="V101" i="40"/>
  <c r="AF88" i="40"/>
  <c r="AF100" i="40"/>
  <c r="AF106" i="40"/>
  <c r="AF113" i="40" s="1"/>
  <c r="AF94" i="40"/>
  <c r="H88" i="40"/>
  <c r="H94" i="40"/>
  <c r="H100" i="40"/>
  <c r="H106" i="40"/>
  <c r="R87" i="40"/>
  <c r="R99" i="40"/>
  <c r="R105" i="40"/>
  <c r="R93" i="40"/>
  <c r="AB86" i="40"/>
  <c r="AB92" i="40"/>
  <c r="AB98" i="40"/>
  <c r="AB104" i="40"/>
  <c r="AL103" i="40"/>
  <c r="AL91" i="40"/>
  <c r="AL85" i="40"/>
  <c r="AL97" i="40"/>
  <c r="AL110" i="40" s="1"/>
  <c r="N103" i="40"/>
  <c r="N91" i="40"/>
  <c r="N85" i="40"/>
  <c r="N97" i="40"/>
  <c r="AJ123" i="40"/>
  <c r="AJ135" i="40"/>
  <c r="AJ129" i="40"/>
  <c r="AJ142" i="40" s="1"/>
  <c r="L123" i="40"/>
  <c r="L135" i="40"/>
  <c r="L129" i="40"/>
  <c r="V122" i="40"/>
  <c r="V134" i="40"/>
  <c r="V128" i="40"/>
  <c r="AF121" i="40"/>
  <c r="AF133" i="40"/>
  <c r="AF127" i="40"/>
  <c r="AF140" i="40" s="1"/>
  <c r="H121" i="40"/>
  <c r="H133" i="40"/>
  <c r="H127" i="40"/>
  <c r="H140" i="40" s="1"/>
  <c r="R120" i="40"/>
  <c r="R132" i="40"/>
  <c r="R126" i="40"/>
  <c r="R139" i="40" s="1"/>
  <c r="AB131" i="40"/>
  <c r="AB125" i="40"/>
  <c r="AB119" i="40"/>
  <c r="AB138" i="40" s="1"/>
  <c r="P136" i="40"/>
  <c r="P130" i="40"/>
  <c r="P124" i="40"/>
  <c r="O136" i="40"/>
  <c r="O130" i="40"/>
  <c r="O124" i="40"/>
  <c r="O143" i="40" s="1"/>
  <c r="V100" i="40"/>
  <c r="V94" i="40"/>
  <c r="V106" i="40"/>
  <c r="V88" i="40"/>
  <c r="V133" i="40"/>
  <c r="V121" i="40"/>
  <c r="V127" i="40"/>
  <c r="U106" i="40"/>
  <c r="U94" i="40"/>
  <c r="U88" i="40"/>
  <c r="U100" i="40"/>
  <c r="U133" i="40"/>
  <c r="U127" i="40"/>
  <c r="U121" i="40"/>
  <c r="J95" i="40"/>
  <c r="J101" i="40"/>
  <c r="J89" i="40"/>
  <c r="J107" i="40"/>
  <c r="AI90" i="40"/>
  <c r="AI102" i="40"/>
  <c r="AI108" i="40"/>
  <c r="AI96" i="40"/>
  <c r="G88" i="40"/>
  <c r="G106" i="40"/>
  <c r="G94" i="40"/>
  <c r="G100" i="40"/>
  <c r="G113" i="40" s="1"/>
  <c r="M103" i="40"/>
  <c r="M97" i="40"/>
  <c r="M91" i="40"/>
  <c r="M85" i="40"/>
  <c r="AM71" i="40"/>
  <c r="AM41" i="40"/>
  <c r="AM47" i="40"/>
  <c r="AM53" i="40"/>
  <c r="AM65" i="40"/>
  <c r="AM59" i="40"/>
  <c r="AI123" i="40"/>
  <c r="AI135" i="40"/>
  <c r="AI129" i="40"/>
  <c r="AI142" i="40" s="1"/>
  <c r="K123" i="40"/>
  <c r="K135" i="40"/>
  <c r="K129" i="40"/>
  <c r="K142" i="40" s="1"/>
  <c r="U122" i="40"/>
  <c r="U134" i="40"/>
  <c r="U128" i="40"/>
  <c r="AE121" i="40"/>
  <c r="AE133" i="40"/>
  <c r="AE127" i="40"/>
  <c r="AE140" i="40" s="1"/>
  <c r="G121" i="40"/>
  <c r="G133" i="40"/>
  <c r="G127" i="40"/>
  <c r="Q132" i="40"/>
  <c r="Q126" i="40"/>
  <c r="Q120" i="40"/>
  <c r="AA125" i="40"/>
  <c r="AA119" i="40"/>
  <c r="AA131" i="40"/>
  <c r="AM136" i="40"/>
  <c r="AM130" i="40"/>
  <c r="AM124" i="40"/>
  <c r="AM143" i="40" s="1"/>
  <c r="D100" i="40"/>
  <c r="D94" i="40"/>
  <c r="D88" i="40"/>
  <c r="D106" i="40"/>
  <c r="AH90" i="40"/>
  <c r="AH108" i="40"/>
  <c r="AH96" i="40"/>
  <c r="AH102" i="40"/>
  <c r="J90" i="40"/>
  <c r="J96" i="40"/>
  <c r="J102" i="40"/>
  <c r="J108" i="40"/>
  <c r="J115" i="40" s="1"/>
  <c r="T89" i="40"/>
  <c r="T95" i="40"/>
  <c r="T107" i="40"/>
  <c r="T101" i="40"/>
  <c r="AD88" i="40"/>
  <c r="AD94" i="40"/>
  <c r="AD100" i="40"/>
  <c r="AD106" i="40"/>
  <c r="F88" i="40"/>
  <c r="F106" i="40"/>
  <c r="F94" i="40"/>
  <c r="F100" i="40"/>
  <c r="P105" i="40"/>
  <c r="P93" i="40"/>
  <c r="P87" i="40"/>
  <c r="P99" i="40"/>
  <c r="P112" i="40" s="1"/>
  <c r="Z104" i="40"/>
  <c r="Z98" i="40"/>
  <c r="Z92" i="40"/>
  <c r="Z86" i="40"/>
  <c r="AJ85" i="40"/>
  <c r="AJ91" i="40"/>
  <c r="AJ97" i="40"/>
  <c r="AJ103" i="40"/>
  <c r="L91" i="40"/>
  <c r="L103" i="40"/>
  <c r="L85" i="40"/>
  <c r="L97" i="40"/>
  <c r="AH123" i="40"/>
  <c r="AH135" i="40"/>
  <c r="AH129" i="40"/>
  <c r="AH142" i="40" s="1"/>
  <c r="J123" i="40"/>
  <c r="J135" i="40"/>
  <c r="J129" i="40"/>
  <c r="T122" i="40"/>
  <c r="T134" i="40"/>
  <c r="T128" i="40"/>
  <c r="AD133" i="40"/>
  <c r="AD127" i="40"/>
  <c r="AD121" i="40"/>
  <c r="AD140" i="40" s="1"/>
  <c r="F133" i="40"/>
  <c r="F127" i="40"/>
  <c r="F121" i="40"/>
  <c r="F140" i="40" s="1"/>
  <c r="P126" i="40"/>
  <c r="P120" i="40"/>
  <c r="P132" i="40"/>
  <c r="Z125" i="40"/>
  <c r="Z119" i="40"/>
  <c r="Z138" i="40" s="1"/>
  <c r="Z131" i="40"/>
  <c r="AL136" i="40"/>
  <c r="AL124" i="40"/>
  <c r="AL130" i="40"/>
  <c r="N136" i="40"/>
  <c r="N124" i="40"/>
  <c r="N130" i="40"/>
  <c r="M136" i="40"/>
  <c r="M124" i="40"/>
  <c r="M130" i="40"/>
  <c r="L136" i="40"/>
  <c r="L130" i="40"/>
  <c r="L124" i="40"/>
  <c r="AB97" i="40"/>
  <c r="AB91" i="40"/>
  <c r="AB103" i="40"/>
  <c r="AB85" i="40"/>
  <c r="AB110" i="40" s="1"/>
  <c r="D135" i="40"/>
  <c r="D129" i="40"/>
  <c r="D123" i="40"/>
  <c r="D142" i="40" s="1"/>
  <c r="AE88" i="40"/>
  <c r="AE100" i="40"/>
  <c r="AE106" i="40"/>
  <c r="AE94" i="40"/>
  <c r="AK103" i="40"/>
  <c r="AK97" i="40"/>
  <c r="AK85" i="40"/>
  <c r="AK91" i="40"/>
  <c r="AG90" i="40"/>
  <c r="AG108" i="40"/>
  <c r="AG96" i="40"/>
  <c r="AG102" i="40"/>
  <c r="AG115" i="40" s="1"/>
  <c r="AC106" i="40"/>
  <c r="AC94" i="40"/>
  <c r="AC88" i="40"/>
  <c r="AC100" i="40"/>
  <c r="Y92" i="40"/>
  <c r="Y98" i="40"/>
  <c r="Y104" i="40"/>
  <c r="Y86" i="40"/>
  <c r="S134" i="40"/>
  <c r="S128" i="40"/>
  <c r="S122" i="40"/>
  <c r="S141" i="40" s="1"/>
  <c r="O126" i="40"/>
  <c r="O120" i="40"/>
  <c r="O132" i="40"/>
  <c r="D87" i="40"/>
  <c r="D105" i="40"/>
  <c r="D99" i="40"/>
  <c r="D93" i="40"/>
  <c r="H90" i="40"/>
  <c r="H108" i="40"/>
  <c r="H96" i="40"/>
  <c r="H102" i="40"/>
  <c r="AL93" i="40"/>
  <c r="AL99" i="40"/>
  <c r="AL87" i="40"/>
  <c r="AL105" i="40"/>
  <c r="AH103" i="40"/>
  <c r="AH97" i="40"/>
  <c r="AH91" i="40"/>
  <c r="AH85" i="40"/>
  <c r="R128" i="40"/>
  <c r="R122" i="40"/>
  <c r="R134" i="40"/>
  <c r="X131" i="40"/>
  <c r="X125" i="40"/>
  <c r="X119" i="40"/>
  <c r="X138" i="40" s="1"/>
  <c r="E86" i="40"/>
  <c r="E104" i="40"/>
  <c r="E92" i="40"/>
  <c r="E98" i="40"/>
  <c r="E111" i="40" s="1"/>
  <c r="AE108" i="40"/>
  <c r="AE96" i="40"/>
  <c r="AE90" i="40"/>
  <c r="AE102" i="40"/>
  <c r="G108" i="40"/>
  <c r="G96" i="40"/>
  <c r="G90" i="40"/>
  <c r="G102" i="40"/>
  <c r="G115" i="40" s="1"/>
  <c r="Q107" i="40"/>
  <c r="Q101" i="40"/>
  <c r="Q89" i="40"/>
  <c r="Q95" i="40"/>
  <c r="AA94" i="40"/>
  <c r="AA88" i="40"/>
  <c r="AA106" i="40"/>
  <c r="AA100" i="40"/>
  <c r="AA113" i="40" s="1"/>
  <c r="AK105" i="40"/>
  <c r="AK99" i="40"/>
  <c r="AK93" i="40"/>
  <c r="AK87" i="40"/>
  <c r="M105" i="40"/>
  <c r="M87" i="40"/>
  <c r="M93" i="40"/>
  <c r="M99" i="40"/>
  <c r="M112" i="40" s="1"/>
  <c r="W104" i="40"/>
  <c r="W92" i="40"/>
  <c r="W98" i="40"/>
  <c r="W86" i="40"/>
  <c r="AG103" i="40"/>
  <c r="AG97" i="40"/>
  <c r="AG91" i="40"/>
  <c r="AG85" i="40"/>
  <c r="I103" i="40"/>
  <c r="I85" i="40"/>
  <c r="I91" i="40"/>
  <c r="I97" i="40"/>
  <c r="AM49" i="40"/>
  <c r="AM73" i="40"/>
  <c r="AM61" i="40"/>
  <c r="AM43" i="40"/>
  <c r="AM67" i="40"/>
  <c r="AM55" i="40"/>
  <c r="AE129" i="40"/>
  <c r="AE123" i="40"/>
  <c r="AE142" i="40" s="1"/>
  <c r="AE135" i="40"/>
  <c r="G129" i="40"/>
  <c r="G123" i="40"/>
  <c r="G135" i="40"/>
  <c r="Q128" i="40"/>
  <c r="Q122" i="40"/>
  <c r="Q134" i="40"/>
  <c r="AA133" i="40"/>
  <c r="AA127" i="40"/>
  <c r="AA121" i="40"/>
  <c r="AK132" i="40"/>
  <c r="AK126" i="40"/>
  <c r="AK120" i="40"/>
  <c r="AK139" i="40" s="1"/>
  <c r="M132" i="40"/>
  <c r="M126" i="40"/>
  <c r="M120" i="40"/>
  <c r="M139" i="40" s="1"/>
  <c r="W131" i="40"/>
  <c r="W125" i="40"/>
  <c r="W119" i="40"/>
  <c r="W138" i="40" s="1"/>
  <c r="AI136" i="40"/>
  <c r="AI130" i="40"/>
  <c r="AI124" i="40"/>
  <c r="AI143" i="40" s="1"/>
  <c r="K136" i="40"/>
  <c r="K130" i="40"/>
  <c r="K124" i="40"/>
  <c r="AJ101" i="40"/>
  <c r="AJ89" i="40"/>
  <c r="AJ107" i="40"/>
  <c r="AJ95" i="40"/>
  <c r="H132" i="40"/>
  <c r="H126" i="40"/>
  <c r="H120" i="40"/>
  <c r="G99" i="40"/>
  <c r="G87" i="40"/>
  <c r="G93" i="40"/>
  <c r="G105" i="40"/>
  <c r="AE132" i="40"/>
  <c r="AE126" i="40"/>
  <c r="AE120" i="40"/>
  <c r="AD99" i="40"/>
  <c r="AD93" i="40"/>
  <c r="AD87" i="40"/>
  <c r="AD105" i="40"/>
  <c r="K90" i="40"/>
  <c r="K96" i="40"/>
  <c r="K102" i="40"/>
  <c r="K108" i="40"/>
  <c r="K115" i="40" s="1"/>
  <c r="Q87" i="40"/>
  <c r="Q99" i="40"/>
  <c r="Q105" i="40"/>
  <c r="Q93" i="40"/>
  <c r="E99" i="40"/>
  <c r="E93" i="40"/>
  <c r="E105" i="40"/>
  <c r="E87" i="40"/>
  <c r="I90" i="40"/>
  <c r="I108" i="40"/>
  <c r="I96" i="40"/>
  <c r="I102" i="40"/>
  <c r="I115" i="40" s="1"/>
  <c r="AM105" i="40"/>
  <c r="AM99" i="40"/>
  <c r="AM93" i="40"/>
  <c r="AM87" i="40"/>
  <c r="AI103" i="40"/>
  <c r="AI97" i="40"/>
  <c r="AI91" i="40"/>
  <c r="AI85" i="40"/>
  <c r="AG123" i="40"/>
  <c r="AG135" i="40"/>
  <c r="AG129" i="40"/>
  <c r="AG142" i="40" s="1"/>
  <c r="AC127" i="40"/>
  <c r="AC121" i="40"/>
  <c r="AC140" i="40" s="1"/>
  <c r="AC133" i="40"/>
  <c r="AK136" i="40"/>
  <c r="AK124" i="40"/>
  <c r="AK130" i="40"/>
  <c r="AF90" i="40"/>
  <c r="AF96" i="40"/>
  <c r="AF108" i="40"/>
  <c r="AF102" i="40"/>
  <c r="AB106" i="40"/>
  <c r="AB100" i="40"/>
  <c r="AB94" i="40"/>
  <c r="AB88" i="40"/>
  <c r="X104" i="40"/>
  <c r="X92" i="40"/>
  <c r="X98" i="40"/>
  <c r="X86" i="40"/>
  <c r="AF135" i="40"/>
  <c r="AF129" i="40"/>
  <c r="AF123" i="40"/>
  <c r="AF142" i="40" s="1"/>
  <c r="AB127" i="40"/>
  <c r="AB121" i="40"/>
  <c r="AB133" i="40"/>
  <c r="N132" i="40"/>
  <c r="N126" i="40"/>
  <c r="N120" i="40"/>
  <c r="D98" i="40"/>
  <c r="D86" i="40"/>
  <c r="D104" i="40"/>
  <c r="D92" i="40"/>
  <c r="AD108" i="40"/>
  <c r="AD102" i="40"/>
  <c r="AD96" i="40"/>
  <c r="AD90" i="40"/>
  <c r="F108" i="40"/>
  <c r="F102" i="40"/>
  <c r="F96" i="40"/>
  <c r="F90" i="40"/>
  <c r="P101" i="40"/>
  <c r="P95" i="40"/>
  <c r="P89" i="40"/>
  <c r="P107" i="40"/>
  <c r="Z106" i="40"/>
  <c r="Z94" i="40"/>
  <c r="Z88" i="40"/>
  <c r="Z100" i="40"/>
  <c r="Z113" i="40" s="1"/>
  <c r="AJ105" i="40"/>
  <c r="AJ99" i="40"/>
  <c r="AJ93" i="40"/>
  <c r="AJ112" i="40" s="1"/>
  <c r="AJ87" i="40"/>
  <c r="L105" i="40"/>
  <c r="L93" i="40"/>
  <c r="L87" i="40"/>
  <c r="L99" i="40"/>
  <c r="V104" i="40"/>
  <c r="V92" i="40"/>
  <c r="V98" i="40"/>
  <c r="V86" i="40"/>
  <c r="AF97" i="40"/>
  <c r="AF85" i="40"/>
  <c r="AF103" i="40"/>
  <c r="AF91" i="40"/>
  <c r="AF110" i="40" s="1"/>
  <c r="H97" i="40"/>
  <c r="H85" i="40"/>
  <c r="H103" i="40"/>
  <c r="H91" i="40"/>
  <c r="AD129" i="40"/>
  <c r="AD123" i="40"/>
  <c r="AD135" i="40"/>
  <c r="F129" i="40"/>
  <c r="F123" i="40"/>
  <c r="F135" i="40"/>
  <c r="P134" i="40"/>
  <c r="P128" i="40"/>
  <c r="P122" i="40"/>
  <c r="Z133" i="40"/>
  <c r="Z127" i="40"/>
  <c r="Z121" i="40"/>
  <c r="AJ132" i="40"/>
  <c r="AJ126" i="40"/>
  <c r="AJ120" i="40"/>
  <c r="L132" i="40"/>
  <c r="L126" i="40"/>
  <c r="L120" i="40"/>
  <c r="L139" i="40" s="1"/>
  <c r="V131" i="40"/>
  <c r="V125" i="40"/>
  <c r="V119" i="40"/>
  <c r="AH136" i="40"/>
  <c r="AH130" i="40"/>
  <c r="AH124" i="40"/>
  <c r="J136" i="40"/>
  <c r="J130" i="40"/>
  <c r="J124" i="40"/>
  <c r="J143" i="40" s="1"/>
  <c r="R98" i="40"/>
  <c r="R86" i="40"/>
  <c r="R104" i="40"/>
  <c r="R92" i="40"/>
  <c r="R111" i="40" s="1"/>
  <c r="R131" i="40"/>
  <c r="R125" i="40"/>
  <c r="R119" i="40"/>
  <c r="R138" i="40" s="1"/>
  <c r="Q98" i="40"/>
  <c r="Q86" i="40"/>
  <c r="Q104" i="40"/>
  <c r="Q92" i="40"/>
  <c r="Q131" i="40"/>
  <c r="Q125" i="40"/>
  <c r="Q119" i="40"/>
  <c r="Z91" i="40"/>
  <c r="Z103" i="40"/>
  <c r="Z97" i="40"/>
  <c r="Z85" i="40"/>
  <c r="E106" i="40"/>
  <c r="E94" i="40"/>
  <c r="E88" i="40"/>
  <c r="E100" i="40"/>
  <c r="U89" i="40"/>
  <c r="U107" i="40"/>
  <c r="U95" i="40"/>
  <c r="U101" i="40"/>
  <c r="AA104" i="40"/>
  <c r="AA92" i="40"/>
  <c r="AA86" i="40"/>
  <c r="AA98" i="40"/>
  <c r="S89" i="40"/>
  <c r="S101" i="40"/>
  <c r="S95" i="40"/>
  <c r="S107" i="40"/>
  <c r="O105" i="40"/>
  <c r="O99" i="40"/>
  <c r="O87" i="40"/>
  <c r="O93" i="40"/>
  <c r="K103" i="40"/>
  <c r="K91" i="40"/>
  <c r="K85" i="40"/>
  <c r="K97" i="40"/>
  <c r="I123" i="40"/>
  <c r="I135" i="40"/>
  <c r="I129" i="40"/>
  <c r="AM126" i="40"/>
  <c r="AM120" i="40"/>
  <c r="AM132" i="40"/>
  <c r="Y131" i="40"/>
  <c r="Y125" i="40"/>
  <c r="Y119" i="40"/>
  <c r="Y138" i="40" s="1"/>
  <c r="R107" i="40"/>
  <c r="R95" i="40"/>
  <c r="R89" i="40"/>
  <c r="R101" i="40"/>
  <c r="N105" i="40"/>
  <c r="N93" i="40"/>
  <c r="N87" i="40"/>
  <c r="N99" i="40"/>
  <c r="J103" i="40"/>
  <c r="J85" i="40"/>
  <c r="J91" i="40"/>
  <c r="J97" i="40"/>
  <c r="H135" i="40"/>
  <c r="H129" i="40"/>
  <c r="H123" i="40"/>
  <c r="AL132" i="40"/>
  <c r="AL126" i="40"/>
  <c r="AL120" i="40"/>
  <c r="AJ136" i="40"/>
  <c r="AJ130" i="40"/>
  <c r="AJ124" i="40"/>
  <c r="AJ143" i="40" s="1"/>
  <c r="E97" i="40"/>
  <c r="E85" i="40"/>
  <c r="E91" i="40"/>
  <c r="E103" i="40"/>
  <c r="AC96" i="40"/>
  <c r="AC102" i="40"/>
  <c r="AC108" i="40"/>
  <c r="AC90" i="40"/>
  <c r="AM107" i="40"/>
  <c r="AM101" i="40"/>
  <c r="AM89" i="40"/>
  <c r="AM95" i="40"/>
  <c r="O107" i="40"/>
  <c r="O89" i="40"/>
  <c r="O95" i="40"/>
  <c r="O101" i="40"/>
  <c r="O114" i="40" s="1"/>
  <c r="Y106" i="40"/>
  <c r="Y94" i="40"/>
  <c r="Y88" i="40"/>
  <c r="Y100" i="40"/>
  <c r="AI105" i="40"/>
  <c r="AI99" i="40"/>
  <c r="AI93" i="40"/>
  <c r="AI87" i="40"/>
  <c r="K105" i="40"/>
  <c r="K93" i="40"/>
  <c r="K87" i="40"/>
  <c r="K99" i="40"/>
  <c r="U98" i="40"/>
  <c r="U86" i="40"/>
  <c r="U104" i="40"/>
  <c r="U92" i="40"/>
  <c r="U111" i="40" s="1"/>
  <c r="AE97" i="40"/>
  <c r="AE91" i="40"/>
  <c r="AE85" i="40"/>
  <c r="AE103" i="40"/>
  <c r="G97" i="40"/>
  <c r="G91" i="40"/>
  <c r="G103" i="40"/>
  <c r="G85" i="40"/>
  <c r="AC135" i="40"/>
  <c r="AC129" i="40"/>
  <c r="AC123" i="40"/>
  <c r="AM134" i="40"/>
  <c r="AM128" i="40"/>
  <c r="AM122" i="40"/>
  <c r="O134" i="40"/>
  <c r="O128" i="40"/>
  <c r="O122" i="40"/>
  <c r="O141" i="40" s="1"/>
  <c r="Y133" i="40"/>
  <c r="Y127" i="40"/>
  <c r="Y121" i="40"/>
  <c r="Y140" i="40" s="1"/>
  <c r="AI132" i="40"/>
  <c r="AI126" i="40"/>
  <c r="AI120" i="40"/>
  <c r="AI139" i="40" s="1"/>
  <c r="K132" i="40"/>
  <c r="K126" i="40"/>
  <c r="K120" i="40"/>
  <c r="K139" i="40" s="1"/>
  <c r="U131" i="40"/>
  <c r="U119" i="40"/>
  <c r="U125" i="40"/>
  <c r="AG130" i="40"/>
  <c r="AG124" i="40"/>
  <c r="AG136" i="40"/>
  <c r="AG143" i="40" s="1"/>
  <c r="I130" i="40"/>
  <c r="I124" i="40"/>
  <c r="I136" i="40"/>
  <c r="H130" i="40"/>
  <c r="H136" i="40"/>
  <c r="H124" i="40"/>
  <c r="D103" i="40"/>
  <c r="D91" i="40"/>
  <c r="D85" i="40"/>
  <c r="D97" i="40"/>
  <c r="AB108" i="40"/>
  <c r="AB96" i="40"/>
  <c r="AB102" i="40"/>
  <c r="AB90" i="40"/>
  <c r="AL107" i="40"/>
  <c r="AL101" i="40"/>
  <c r="AL89" i="40"/>
  <c r="AL95" i="40"/>
  <c r="AL114" i="40" s="1"/>
  <c r="N107" i="40"/>
  <c r="N89" i="40"/>
  <c r="N95" i="40"/>
  <c r="N101" i="40"/>
  <c r="X106" i="40"/>
  <c r="X94" i="40"/>
  <c r="X88" i="40"/>
  <c r="X100" i="40"/>
  <c r="AH99" i="40"/>
  <c r="AH87" i="40"/>
  <c r="AH105" i="40"/>
  <c r="AH93" i="40"/>
  <c r="J99" i="40"/>
  <c r="J87" i="40"/>
  <c r="J105" i="40"/>
  <c r="J93" i="40"/>
  <c r="J112" i="40" s="1"/>
  <c r="T98" i="40"/>
  <c r="T92" i="40"/>
  <c r="T111" i="40" s="1"/>
  <c r="T86" i="40"/>
  <c r="T104" i="40"/>
  <c r="AD91" i="40"/>
  <c r="AD97" i="40"/>
  <c r="AD85" i="40"/>
  <c r="AD103" i="40"/>
  <c r="F85" i="40"/>
  <c r="F91" i="40"/>
  <c r="F97" i="40"/>
  <c r="F103" i="40"/>
  <c r="AB135" i="40"/>
  <c r="AB129" i="40"/>
  <c r="AB123" i="40"/>
  <c r="AB142" i="40" s="1"/>
  <c r="AL134" i="40"/>
  <c r="AL128" i="40"/>
  <c r="AL122" i="40"/>
  <c r="AL141" i="40" s="1"/>
  <c r="N134" i="40"/>
  <c r="N128" i="40"/>
  <c r="N122" i="40"/>
  <c r="N141" i="40" s="1"/>
  <c r="X133" i="40"/>
  <c r="X127" i="40"/>
  <c r="X121" i="40"/>
  <c r="X140" i="40" s="1"/>
  <c r="AH132" i="40"/>
  <c r="AH120" i="40"/>
  <c r="AH139" i="40" s="1"/>
  <c r="AH126" i="40"/>
  <c r="J132" i="40"/>
  <c r="J120" i="40"/>
  <c r="J126" i="40"/>
  <c r="T131" i="40"/>
  <c r="T119" i="40"/>
  <c r="T125" i="40"/>
  <c r="AF130" i="40"/>
  <c r="AF136" i="40"/>
  <c r="AF124" i="40"/>
  <c r="AA108" i="40"/>
  <c r="AA96" i="40"/>
  <c r="AA90" i="40"/>
  <c r="AA102" i="40"/>
  <c r="AK107" i="40"/>
  <c r="AK101" i="40"/>
  <c r="AK89" i="40"/>
  <c r="AK95" i="40"/>
  <c r="M107" i="40"/>
  <c r="M89" i="40"/>
  <c r="M101" i="40"/>
  <c r="M95" i="40"/>
  <c r="M114" i="40" s="1"/>
  <c r="W100" i="40"/>
  <c r="W88" i="40"/>
  <c r="W106" i="40"/>
  <c r="W94" i="40"/>
  <c r="AG99" i="40"/>
  <c r="AG93" i="40"/>
  <c r="AG87" i="40"/>
  <c r="AG105" i="40"/>
  <c r="I99" i="40"/>
  <c r="I93" i="40"/>
  <c r="I87" i="40"/>
  <c r="I105" i="40"/>
  <c r="S98" i="40"/>
  <c r="S86" i="40"/>
  <c r="S104" i="40"/>
  <c r="S92" i="40"/>
  <c r="AC97" i="40"/>
  <c r="AC91" i="40"/>
  <c r="AC85" i="40"/>
  <c r="AC103" i="40"/>
  <c r="AM45" i="40"/>
  <c r="AM69" i="40"/>
  <c r="AM75" i="40"/>
  <c r="AM51" i="40"/>
  <c r="AM63" i="40"/>
  <c r="AM57" i="40"/>
  <c r="AA135" i="40"/>
  <c r="AA129" i="40"/>
  <c r="AA123" i="40"/>
  <c r="AA142" i="40" s="1"/>
  <c r="AK134" i="40"/>
  <c r="AK128" i="40"/>
  <c r="AK122" i="40"/>
  <c r="AK141" i="40" s="1"/>
  <c r="M134" i="40"/>
  <c r="M128" i="40"/>
  <c r="M122" i="40"/>
  <c r="W133" i="40"/>
  <c r="W121" i="40"/>
  <c r="W127" i="40"/>
  <c r="AG132" i="40"/>
  <c r="AG120" i="40"/>
  <c r="AG126" i="40"/>
  <c r="I132" i="40"/>
  <c r="I120" i="40"/>
  <c r="I126" i="40"/>
  <c r="S131" i="40"/>
  <c r="S125" i="40"/>
  <c r="S119" i="40"/>
  <c r="S138" i="40" s="1"/>
  <c r="AE130" i="40"/>
  <c r="AE136" i="40"/>
  <c r="AE124" i="40"/>
  <c r="G130" i="40"/>
  <c r="G136" i="40"/>
  <c r="G124" i="40"/>
  <c r="F130" i="40"/>
  <c r="F124" i="40"/>
  <c r="F136" i="40"/>
  <c r="E130" i="40"/>
  <c r="E124" i="40"/>
  <c r="E136" i="40"/>
  <c r="D130" i="40"/>
  <c r="D124" i="40"/>
  <c r="D136" i="40"/>
  <c r="AG51" i="40"/>
  <c r="AG45" i="40"/>
  <c r="AG69" i="40"/>
  <c r="AG63" i="40"/>
  <c r="AG57" i="40"/>
  <c r="AG75" i="40"/>
  <c r="AF46" i="40"/>
  <c r="AF40" i="40"/>
  <c r="AF64" i="40"/>
  <c r="AF70" i="40"/>
  <c r="AF52" i="40"/>
  <c r="AF58" i="40"/>
  <c r="K48" i="40"/>
  <c r="K42" i="40"/>
  <c r="K66" i="40"/>
  <c r="K72" i="40"/>
  <c r="K54" i="40"/>
  <c r="K60" i="40"/>
  <c r="AL44" i="40"/>
  <c r="AL50" i="40"/>
  <c r="AL56" i="40"/>
  <c r="AL62" i="40"/>
  <c r="AL68" i="40"/>
  <c r="AL74" i="40"/>
  <c r="AA45" i="40"/>
  <c r="AA51" i="40"/>
  <c r="AA57" i="40"/>
  <c r="AA63" i="40"/>
  <c r="AA69" i="40"/>
  <c r="AA75" i="40"/>
  <c r="AE44" i="40"/>
  <c r="AE50" i="40"/>
  <c r="AE56" i="40"/>
  <c r="AE62" i="40"/>
  <c r="AE68" i="40"/>
  <c r="AE74" i="40"/>
  <c r="AI51" i="40"/>
  <c r="AI45" i="40"/>
  <c r="AI69" i="40"/>
  <c r="AI57" i="40"/>
  <c r="AI75" i="40"/>
  <c r="AI63" i="40"/>
  <c r="K69" i="40"/>
  <c r="K63" i="40"/>
  <c r="K75" i="40"/>
  <c r="K51" i="40"/>
  <c r="K45" i="40"/>
  <c r="K57" i="40"/>
  <c r="U44" i="40"/>
  <c r="U74" i="40"/>
  <c r="U62" i="40"/>
  <c r="U50" i="40"/>
  <c r="U56" i="40"/>
  <c r="U68" i="40"/>
  <c r="AE73" i="40"/>
  <c r="AE61" i="40"/>
  <c r="AE55" i="40"/>
  <c r="AE43" i="40"/>
  <c r="AE67" i="40"/>
  <c r="AE49" i="40"/>
  <c r="G43" i="40"/>
  <c r="G67" i="40"/>
  <c r="G49" i="40"/>
  <c r="G73" i="40"/>
  <c r="G61" i="40"/>
  <c r="G55" i="40"/>
  <c r="Q60" i="40"/>
  <c r="Q54" i="40"/>
  <c r="Q42" i="40"/>
  <c r="Q48" i="40"/>
  <c r="Q72" i="40"/>
  <c r="Q66" i="40"/>
  <c r="AA71" i="40"/>
  <c r="AA53" i="40"/>
  <c r="AA41" i="40"/>
  <c r="AA65" i="40"/>
  <c r="AA59" i="40"/>
  <c r="AA47" i="40"/>
  <c r="AK52" i="40"/>
  <c r="AK46" i="40"/>
  <c r="AK58" i="40"/>
  <c r="AK70" i="40"/>
  <c r="AK40" i="40"/>
  <c r="AK64" i="40"/>
  <c r="M70" i="40"/>
  <c r="M64" i="40"/>
  <c r="M52" i="40"/>
  <c r="M46" i="40"/>
  <c r="M58" i="40"/>
  <c r="M40" i="40"/>
  <c r="M77" i="40" s="1"/>
  <c r="J64" i="40"/>
  <c r="J58" i="40"/>
  <c r="J46" i="40"/>
  <c r="J70" i="40"/>
  <c r="J40" i="40"/>
  <c r="J52" i="40"/>
  <c r="AG46" i="40"/>
  <c r="AG40" i="40"/>
  <c r="AG70" i="40"/>
  <c r="AG64" i="40"/>
  <c r="AG52" i="40"/>
  <c r="AG58" i="40"/>
  <c r="AJ66" i="40"/>
  <c r="AJ72" i="40"/>
  <c r="AJ54" i="40"/>
  <c r="AJ60" i="40"/>
  <c r="AJ42" i="40"/>
  <c r="AJ48" i="40"/>
  <c r="O44" i="40"/>
  <c r="O50" i="40"/>
  <c r="O56" i="40"/>
  <c r="O62" i="40"/>
  <c r="O68" i="40"/>
  <c r="O74" i="40"/>
  <c r="AB40" i="40"/>
  <c r="AB58" i="40"/>
  <c r="AB46" i="40"/>
  <c r="AB52" i="40"/>
  <c r="AB64" i="40"/>
  <c r="AB70" i="40"/>
  <c r="AE42" i="40"/>
  <c r="AE48" i="40"/>
  <c r="AE54" i="40"/>
  <c r="AE60" i="40"/>
  <c r="AE66" i="40"/>
  <c r="AE72" i="40"/>
  <c r="AH51" i="40"/>
  <c r="AH45" i="40"/>
  <c r="AH69" i="40"/>
  <c r="AH57" i="40"/>
  <c r="AH75" i="40"/>
  <c r="AH63" i="40"/>
  <c r="J63" i="40"/>
  <c r="J75" i="40"/>
  <c r="J45" i="40"/>
  <c r="J69" i="40"/>
  <c r="J51" i="40"/>
  <c r="J57" i="40"/>
  <c r="T44" i="40"/>
  <c r="T74" i="40"/>
  <c r="T62" i="40"/>
  <c r="T50" i="40"/>
  <c r="T68" i="40"/>
  <c r="T56" i="40"/>
  <c r="AD61" i="40"/>
  <c r="AD55" i="40"/>
  <c r="AD43" i="40"/>
  <c r="AD73" i="40"/>
  <c r="AD49" i="40"/>
  <c r="AD67" i="40"/>
  <c r="F55" i="40"/>
  <c r="F61" i="40"/>
  <c r="F67" i="40"/>
  <c r="F43" i="40"/>
  <c r="F49" i="40"/>
  <c r="F73" i="40"/>
  <c r="P54" i="40"/>
  <c r="P60" i="40"/>
  <c r="P42" i="40"/>
  <c r="P48" i="40"/>
  <c r="P72" i="40"/>
  <c r="P66" i="40"/>
  <c r="Z71" i="40"/>
  <c r="Z65" i="40"/>
  <c r="Z53" i="40"/>
  <c r="Z41" i="40"/>
  <c r="Z59" i="40"/>
  <c r="Z47" i="40"/>
  <c r="AJ52" i="40"/>
  <c r="AJ46" i="40"/>
  <c r="AJ70" i="40"/>
  <c r="AJ58" i="40"/>
  <c r="AJ40" i="40"/>
  <c r="AJ64" i="40"/>
  <c r="L70" i="40"/>
  <c r="L64" i="40"/>
  <c r="L46" i="40"/>
  <c r="L52" i="40"/>
  <c r="L58" i="40"/>
  <c r="L40" i="40"/>
  <c r="L77" i="40" s="1"/>
  <c r="Y71" i="40"/>
  <c r="Y65" i="40"/>
  <c r="Y53" i="40"/>
  <c r="Y41" i="40"/>
  <c r="Y59" i="40"/>
  <c r="Y47" i="40"/>
  <c r="H45" i="40"/>
  <c r="H51" i="40"/>
  <c r="H57" i="40"/>
  <c r="H63" i="40"/>
  <c r="H69" i="40"/>
  <c r="H75" i="40"/>
  <c r="AE46" i="40"/>
  <c r="AE40" i="40"/>
  <c r="AE64" i="40"/>
  <c r="AE58" i="40"/>
  <c r="AE70" i="40"/>
  <c r="AE52" i="40"/>
  <c r="X43" i="40"/>
  <c r="X49" i="40"/>
  <c r="X55" i="40"/>
  <c r="X61" i="40"/>
  <c r="X67" i="40"/>
  <c r="X73" i="40"/>
  <c r="K44" i="40"/>
  <c r="K50" i="40"/>
  <c r="K56" i="40"/>
  <c r="K62" i="40"/>
  <c r="K68" i="40"/>
  <c r="K74" i="40"/>
  <c r="X45" i="40"/>
  <c r="X51" i="40"/>
  <c r="X57" i="40"/>
  <c r="X63" i="40"/>
  <c r="X69" i="40"/>
  <c r="X75" i="40"/>
  <c r="AH44" i="40"/>
  <c r="AH50" i="40"/>
  <c r="AH56" i="40"/>
  <c r="AH62" i="40"/>
  <c r="AH68" i="40"/>
  <c r="AH74" i="40"/>
  <c r="J44" i="40"/>
  <c r="J50" i="40"/>
  <c r="J56" i="40"/>
  <c r="J62" i="40"/>
  <c r="J68" i="40"/>
  <c r="J74" i="40"/>
  <c r="T73" i="40"/>
  <c r="T43" i="40"/>
  <c r="T49" i="40"/>
  <c r="T55" i="40"/>
  <c r="T61" i="40"/>
  <c r="T67" i="40"/>
  <c r="AD42" i="40"/>
  <c r="AD48" i="40"/>
  <c r="AD54" i="40"/>
  <c r="AD60" i="40"/>
  <c r="AD66" i="40"/>
  <c r="AD72" i="40"/>
  <c r="F60" i="40"/>
  <c r="F54" i="40"/>
  <c r="F66" i="40"/>
  <c r="F42" i="40"/>
  <c r="F48" i="40"/>
  <c r="F72" i="40"/>
  <c r="P41" i="40"/>
  <c r="P47" i="40"/>
  <c r="P53" i="40"/>
  <c r="P59" i="40"/>
  <c r="P65" i="40"/>
  <c r="P71" i="40"/>
  <c r="Z70" i="40"/>
  <c r="Z52" i="40"/>
  <c r="Z40" i="40"/>
  <c r="Z46" i="40"/>
  <c r="Z64" i="40"/>
  <c r="Z58" i="40"/>
  <c r="S44" i="40"/>
  <c r="S74" i="40"/>
  <c r="S62" i="40"/>
  <c r="S68" i="40"/>
  <c r="S56" i="40"/>
  <c r="S50" i="40"/>
  <c r="AF45" i="40"/>
  <c r="AF51" i="40"/>
  <c r="AF57" i="40"/>
  <c r="AF63" i="40"/>
  <c r="AF69" i="40"/>
  <c r="AF75" i="40"/>
  <c r="AL54" i="40"/>
  <c r="AL42" i="40"/>
  <c r="AL60" i="40"/>
  <c r="AL66" i="40"/>
  <c r="AL72" i="40"/>
  <c r="AL48" i="40"/>
  <c r="AK66" i="40"/>
  <c r="AK54" i="40"/>
  <c r="AK42" i="40"/>
  <c r="AK60" i="40"/>
  <c r="AK72" i="40"/>
  <c r="AK48" i="40"/>
  <c r="Z55" i="40"/>
  <c r="Z49" i="40"/>
  <c r="Z73" i="40"/>
  <c r="Z61" i="40"/>
  <c r="Z67" i="40"/>
  <c r="Z43" i="40"/>
  <c r="AX273" i="31"/>
  <c r="AJ14" i="40" s="1"/>
  <c r="Y55" i="40"/>
  <c r="Y49" i="40"/>
  <c r="Y73" i="40"/>
  <c r="Y61" i="40"/>
  <c r="Y67" i="40"/>
  <c r="Y43" i="40"/>
  <c r="Y80" i="40" s="1"/>
  <c r="AB45" i="40"/>
  <c r="AB51" i="40"/>
  <c r="AB57" i="40"/>
  <c r="AB63" i="40"/>
  <c r="AB69" i="40"/>
  <c r="AB75" i="40"/>
  <c r="J48" i="40"/>
  <c r="J42" i="40"/>
  <c r="J66" i="40"/>
  <c r="J72" i="40"/>
  <c r="J54" i="40"/>
  <c r="J60" i="40"/>
  <c r="AK44" i="40"/>
  <c r="AK50" i="40"/>
  <c r="AK56" i="40"/>
  <c r="AK62" i="40"/>
  <c r="AK68" i="40"/>
  <c r="AK74" i="40"/>
  <c r="I48" i="40"/>
  <c r="I42" i="40"/>
  <c r="I66" i="40"/>
  <c r="I72" i="40"/>
  <c r="I60" i="40"/>
  <c r="I54" i="40"/>
  <c r="Z45" i="40"/>
  <c r="Z51" i="40"/>
  <c r="Z57" i="40"/>
  <c r="Z63" i="40"/>
  <c r="Z69" i="40"/>
  <c r="Z75" i="40"/>
  <c r="AF42" i="40"/>
  <c r="AF48" i="40"/>
  <c r="AF54" i="40"/>
  <c r="AF60" i="40"/>
  <c r="AF66" i="40"/>
  <c r="AF72" i="40"/>
  <c r="Q59" i="40"/>
  <c r="Q53" i="40"/>
  <c r="Q41" i="40"/>
  <c r="Q65" i="40"/>
  <c r="Q71" i="40"/>
  <c r="Q47" i="40"/>
  <c r="W45" i="40"/>
  <c r="W51" i="40"/>
  <c r="W57" i="40"/>
  <c r="W63" i="40"/>
  <c r="W69" i="40"/>
  <c r="W75" i="40"/>
  <c r="AG44" i="40"/>
  <c r="AG50" i="40"/>
  <c r="AG56" i="40"/>
  <c r="AG62" i="40"/>
  <c r="AG68" i="40"/>
  <c r="AG74" i="40"/>
  <c r="I44" i="40"/>
  <c r="I50" i="40"/>
  <c r="I56" i="40"/>
  <c r="I62" i="40"/>
  <c r="I68" i="40"/>
  <c r="I74" i="40"/>
  <c r="S43" i="40"/>
  <c r="S49" i="40"/>
  <c r="S55" i="40"/>
  <c r="S61" i="40"/>
  <c r="S67" i="40"/>
  <c r="S73" i="40"/>
  <c r="AC42" i="40"/>
  <c r="AC48" i="40"/>
  <c r="AC54" i="40"/>
  <c r="AC60" i="40"/>
  <c r="AC66" i="40"/>
  <c r="AC72" i="40"/>
  <c r="O41" i="40"/>
  <c r="O47" i="40"/>
  <c r="O53" i="40"/>
  <c r="O59" i="40"/>
  <c r="O65" i="40"/>
  <c r="O71" i="40"/>
  <c r="Y70" i="40"/>
  <c r="Y64" i="40"/>
  <c r="Y52" i="40"/>
  <c r="Y40" i="40"/>
  <c r="Y58" i="40"/>
  <c r="Y46" i="40"/>
  <c r="V45" i="40"/>
  <c r="V63" i="40"/>
  <c r="V75" i="40"/>
  <c r="V51" i="40"/>
  <c r="V57" i="40"/>
  <c r="V69" i="40"/>
  <c r="AF44" i="40"/>
  <c r="AF50" i="40"/>
  <c r="AF56" i="40"/>
  <c r="AF62" i="40"/>
  <c r="AF68" i="40"/>
  <c r="AF74" i="40"/>
  <c r="H44" i="40"/>
  <c r="H50" i="40"/>
  <c r="H56" i="40"/>
  <c r="H62" i="40"/>
  <c r="H68" i="40"/>
  <c r="H74" i="40"/>
  <c r="R43" i="40"/>
  <c r="R49" i="40"/>
  <c r="R55" i="40"/>
  <c r="R61" i="40"/>
  <c r="R67" i="40"/>
  <c r="R73" i="40"/>
  <c r="AB72" i="40"/>
  <c r="AB42" i="40"/>
  <c r="AB48" i="40"/>
  <c r="AB54" i="40"/>
  <c r="AB60" i="40"/>
  <c r="AB66" i="40"/>
  <c r="AL41" i="40"/>
  <c r="AL47" i="40"/>
  <c r="AL53" i="40"/>
  <c r="AL59" i="40"/>
  <c r="AL65" i="40"/>
  <c r="AL71" i="40"/>
  <c r="N41" i="40"/>
  <c r="N47" i="40"/>
  <c r="N53" i="40"/>
  <c r="N59" i="40"/>
  <c r="N65" i="40"/>
  <c r="N71" i="40"/>
  <c r="X40" i="40"/>
  <c r="X46" i="40"/>
  <c r="X52" i="40"/>
  <c r="X58" i="40"/>
  <c r="X64" i="40"/>
  <c r="X70" i="40"/>
  <c r="AC61" i="40"/>
  <c r="AC55" i="40"/>
  <c r="AC43" i="40"/>
  <c r="AC73" i="40"/>
  <c r="AC49" i="40"/>
  <c r="AC67" i="40"/>
  <c r="R44" i="40"/>
  <c r="R62" i="40"/>
  <c r="R56" i="40"/>
  <c r="R50" i="40"/>
  <c r="R68" i="40"/>
  <c r="R74" i="40"/>
  <c r="R81" i="40" s="1"/>
  <c r="AH46" i="40"/>
  <c r="AH70" i="40"/>
  <c r="AH64" i="40"/>
  <c r="AH52" i="40"/>
  <c r="AH40" i="40"/>
  <c r="AH58" i="40"/>
  <c r="G45" i="40"/>
  <c r="G69" i="40"/>
  <c r="G57" i="40"/>
  <c r="G51" i="40"/>
  <c r="G63" i="40"/>
  <c r="G75" i="40"/>
  <c r="H58" i="40"/>
  <c r="H40" i="40"/>
  <c r="H64" i="40"/>
  <c r="H70" i="40"/>
  <c r="H46" i="40"/>
  <c r="H52" i="40"/>
  <c r="AI66" i="40"/>
  <c r="AI72" i="40"/>
  <c r="AI54" i="40"/>
  <c r="AI48" i="40"/>
  <c r="AI60" i="40"/>
  <c r="AI42" i="40"/>
  <c r="AX274" i="31"/>
  <c r="O15" i="40" s="1"/>
  <c r="N44" i="40"/>
  <c r="N50" i="40"/>
  <c r="N56" i="40"/>
  <c r="N62" i="40"/>
  <c r="N68" i="40"/>
  <c r="N74" i="40"/>
  <c r="F58" i="40"/>
  <c r="F64" i="40"/>
  <c r="F52" i="40"/>
  <c r="F46" i="40"/>
  <c r="F70" i="40"/>
  <c r="F40" i="40"/>
  <c r="M44" i="40"/>
  <c r="M50" i="40"/>
  <c r="M56" i="40"/>
  <c r="M62" i="40"/>
  <c r="M68" i="40"/>
  <c r="M74" i="40"/>
  <c r="AC40" i="40"/>
  <c r="AC58" i="40"/>
  <c r="AC46" i="40"/>
  <c r="AC52" i="40"/>
  <c r="AC64" i="40"/>
  <c r="AC70" i="40"/>
  <c r="H42" i="40"/>
  <c r="H48" i="40"/>
  <c r="H54" i="40"/>
  <c r="H60" i="40"/>
  <c r="H66" i="40"/>
  <c r="H72" i="40"/>
  <c r="Y45" i="40"/>
  <c r="Y51" i="40"/>
  <c r="Y57" i="40"/>
  <c r="Y63" i="40"/>
  <c r="Y69" i="40"/>
  <c r="Y75" i="40"/>
  <c r="AA40" i="40"/>
  <c r="AA70" i="40"/>
  <c r="AA58" i="40"/>
  <c r="AA52" i="40"/>
  <c r="AA46" i="40"/>
  <c r="AA64" i="40"/>
  <c r="G44" i="40"/>
  <c r="G68" i="40"/>
  <c r="G56" i="40"/>
  <c r="G62" i="40"/>
  <c r="G50" i="40"/>
  <c r="G74" i="40"/>
  <c r="W40" i="40"/>
  <c r="W46" i="40"/>
  <c r="W52" i="40"/>
  <c r="W58" i="40"/>
  <c r="W64" i="40"/>
  <c r="W70" i="40"/>
  <c r="F56" i="40"/>
  <c r="F62" i="40"/>
  <c r="F68" i="40"/>
  <c r="F74" i="40"/>
  <c r="F44" i="40"/>
  <c r="F50" i="40"/>
  <c r="L41" i="40"/>
  <c r="L47" i="40"/>
  <c r="L53" i="40"/>
  <c r="L59" i="40"/>
  <c r="L65" i="40"/>
  <c r="L71" i="40"/>
  <c r="S45" i="40"/>
  <c r="S63" i="40"/>
  <c r="S75" i="40"/>
  <c r="S57" i="40"/>
  <c r="S69" i="40"/>
  <c r="S51" i="40"/>
  <c r="AC56" i="40"/>
  <c r="AC74" i="40"/>
  <c r="AC62" i="40"/>
  <c r="AC44" i="40"/>
  <c r="AC50" i="40"/>
  <c r="AC68" i="40"/>
  <c r="O43" i="40"/>
  <c r="O49" i="40"/>
  <c r="O55" i="40"/>
  <c r="O61" i="40"/>
  <c r="O67" i="40"/>
  <c r="O73" i="40"/>
  <c r="Y42" i="40"/>
  <c r="Y48" i="40"/>
  <c r="Y54" i="40"/>
  <c r="Y60" i="40"/>
  <c r="Y66" i="40"/>
  <c r="Y72" i="40"/>
  <c r="AI41" i="40"/>
  <c r="AI47" i="40"/>
  <c r="AI53" i="40"/>
  <c r="AI59" i="40"/>
  <c r="AI65" i="40"/>
  <c r="AI71" i="40"/>
  <c r="K41" i="40"/>
  <c r="K47" i="40"/>
  <c r="K53" i="40"/>
  <c r="K59" i="40"/>
  <c r="K65" i="40"/>
  <c r="K71" i="40"/>
  <c r="U40" i="40"/>
  <c r="U46" i="40"/>
  <c r="U52" i="40"/>
  <c r="U58" i="40"/>
  <c r="U64" i="40"/>
  <c r="U70" i="40"/>
  <c r="R57" i="40"/>
  <c r="R45" i="40"/>
  <c r="R63" i="40"/>
  <c r="R51" i="40"/>
  <c r="R75" i="40"/>
  <c r="R69" i="40"/>
  <c r="AB56" i="40"/>
  <c r="AB50" i="40"/>
  <c r="AB62" i="40"/>
  <c r="AB68" i="40"/>
  <c r="AB74" i="40"/>
  <c r="AB44" i="40"/>
  <c r="AL67" i="40"/>
  <c r="AL55" i="40"/>
  <c r="AL73" i="40"/>
  <c r="AL43" i="40"/>
  <c r="AL49" i="40"/>
  <c r="AL61" i="40"/>
  <c r="N49" i="40"/>
  <c r="N67" i="40"/>
  <c r="N55" i="40"/>
  <c r="N73" i="40"/>
  <c r="N43" i="40"/>
  <c r="N61" i="40"/>
  <c r="X42" i="40"/>
  <c r="X48" i="40"/>
  <c r="X54" i="40"/>
  <c r="X60" i="40"/>
  <c r="X66" i="40"/>
  <c r="X72" i="40"/>
  <c r="AH41" i="40"/>
  <c r="AH47" i="40"/>
  <c r="AH53" i="40"/>
  <c r="AH59" i="40"/>
  <c r="AH65" i="40"/>
  <c r="AH71" i="40"/>
  <c r="J41" i="40"/>
  <c r="J47" i="40"/>
  <c r="J53" i="40"/>
  <c r="J59" i="40"/>
  <c r="J65" i="40"/>
  <c r="J71" i="40"/>
  <c r="T40" i="40"/>
  <c r="T46" i="40"/>
  <c r="T52" i="40"/>
  <c r="T58" i="40"/>
  <c r="T64" i="40"/>
  <c r="T70" i="40"/>
  <c r="AI52" i="40"/>
  <c r="AI46" i="40"/>
  <c r="AI70" i="40"/>
  <c r="AI58" i="40"/>
  <c r="AI64" i="40"/>
  <c r="AI40" i="40"/>
  <c r="X71" i="40"/>
  <c r="X65" i="40"/>
  <c r="X53" i="40"/>
  <c r="X47" i="40"/>
  <c r="X41" i="40"/>
  <c r="X59" i="40"/>
  <c r="AA55" i="40"/>
  <c r="AA49" i="40"/>
  <c r="AA61" i="40"/>
  <c r="AA73" i="40"/>
  <c r="AA67" i="40"/>
  <c r="AA43" i="40"/>
  <c r="F57" i="40"/>
  <c r="F63" i="40"/>
  <c r="F75" i="40"/>
  <c r="F51" i="40"/>
  <c r="F69" i="40"/>
  <c r="F45" i="40"/>
  <c r="AX266" i="31"/>
  <c r="O7" i="40" s="1"/>
  <c r="M41" i="40"/>
  <c r="M47" i="40"/>
  <c r="M53" i="40"/>
  <c r="M59" i="40"/>
  <c r="M65" i="40"/>
  <c r="M71" i="40"/>
  <c r="T45" i="40"/>
  <c r="T63" i="40"/>
  <c r="T75" i="40"/>
  <c r="T69" i="40"/>
  <c r="T51" i="40"/>
  <c r="T57" i="40"/>
  <c r="AJ41" i="40"/>
  <c r="AJ47" i="40"/>
  <c r="AJ53" i="40"/>
  <c r="AJ59" i="40"/>
  <c r="AJ65" i="40"/>
  <c r="AJ71" i="40"/>
  <c r="Q69" i="40"/>
  <c r="Q57" i="40"/>
  <c r="Q45" i="40"/>
  <c r="Q63" i="40"/>
  <c r="Q51" i="40"/>
  <c r="Q75" i="40"/>
  <c r="AA56" i="40"/>
  <c r="AA50" i="40"/>
  <c r="AA62" i="40"/>
  <c r="AA68" i="40"/>
  <c r="AA44" i="40"/>
  <c r="AA74" i="40"/>
  <c r="AK67" i="40"/>
  <c r="AK73" i="40"/>
  <c r="AK55" i="40"/>
  <c r="AK49" i="40"/>
  <c r="AK43" i="40"/>
  <c r="AK61" i="40"/>
  <c r="M49" i="40"/>
  <c r="M43" i="40"/>
  <c r="M67" i="40"/>
  <c r="M73" i="40"/>
  <c r="M55" i="40"/>
  <c r="M61" i="40"/>
  <c r="W42" i="40"/>
  <c r="W48" i="40"/>
  <c r="W54" i="40"/>
  <c r="W60" i="40"/>
  <c r="W66" i="40"/>
  <c r="W72" i="40"/>
  <c r="AG41" i="40"/>
  <c r="AG47" i="40"/>
  <c r="AG53" i="40"/>
  <c r="AG59" i="40"/>
  <c r="AG65" i="40"/>
  <c r="AG71" i="40"/>
  <c r="I41" i="40"/>
  <c r="I47" i="40"/>
  <c r="I53" i="40"/>
  <c r="I59" i="40"/>
  <c r="I65" i="40"/>
  <c r="I71" i="40"/>
  <c r="S40" i="40"/>
  <c r="S46" i="40"/>
  <c r="S52" i="40"/>
  <c r="S58" i="40"/>
  <c r="S64" i="40"/>
  <c r="S70" i="40"/>
  <c r="I63" i="40"/>
  <c r="I75" i="40"/>
  <c r="I57" i="40"/>
  <c r="I45" i="40"/>
  <c r="I69" i="40"/>
  <c r="I51" i="40"/>
  <c r="W71" i="40"/>
  <c r="W65" i="40"/>
  <c r="W47" i="40"/>
  <c r="W41" i="40"/>
  <c r="W53" i="40"/>
  <c r="W59" i="40"/>
  <c r="P44" i="40"/>
  <c r="P50" i="40"/>
  <c r="P56" i="40"/>
  <c r="P62" i="40"/>
  <c r="P68" i="40"/>
  <c r="P74" i="40"/>
  <c r="AD40" i="40"/>
  <c r="AD58" i="40"/>
  <c r="AD46" i="40"/>
  <c r="AD70" i="40"/>
  <c r="AD52" i="40"/>
  <c r="AD64" i="40"/>
  <c r="AG66" i="40"/>
  <c r="AG72" i="40"/>
  <c r="AG60" i="40"/>
  <c r="AG48" i="40"/>
  <c r="AG42" i="40"/>
  <c r="AG54" i="40"/>
  <c r="AJ44" i="40"/>
  <c r="AJ50" i="40"/>
  <c r="AJ56" i="40"/>
  <c r="AJ62" i="40"/>
  <c r="AJ68" i="40"/>
  <c r="AJ74" i="40"/>
  <c r="AA42" i="40"/>
  <c r="AA48" i="40"/>
  <c r="AA54" i="40"/>
  <c r="AA60" i="40"/>
  <c r="AA66" i="40"/>
  <c r="AA72" i="40"/>
  <c r="P43" i="40"/>
  <c r="P49" i="40"/>
  <c r="P55" i="40"/>
  <c r="P61" i="40"/>
  <c r="P67" i="40"/>
  <c r="P73" i="40"/>
  <c r="P69" i="40"/>
  <c r="P57" i="40"/>
  <c r="P51" i="40"/>
  <c r="P45" i="40"/>
  <c r="P63" i="40"/>
  <c r="P75" i="40"/>
  <c r="Z56" i="40"/>
  <c r="Z50" i="40"/>
  <c r="Z44" i="40"/>
  <c r="Z68" i="40"/>
  <c r="Z74" i="40"/>
  <c r="Z62" i="40"/>
  <c r="AJ67" i="40"/>
  <c r="AJ73" i="40"/>
  <c r="AJ49" i="40"/>
  <c r="AJ43" i="40"/>
  <c r="AJ61" i="40"/>
  <c r="AJ55" i="40"/>
  <c r="L49" i="40"/>
  <c r="L43" i="40"/>
  <c r="L67" i="40"/>
  <c r="L73" i="40"/>
  <c r="L55" i="40"/>
  <c r="L61" i="40"/>
  <c r="V66" i="40"/>
  <c r="V72" i="40"/>
  <c r="V60" i="40"/>
  <c r="V48" i="40"/>
  <c r="V42" i="40"/>
  <c r="V54" i="40"/>
  <c r="AF41" i="40"/>
  <c r="AF47" i="40"/>
  <c r="AF53" i="40"/>
  <c r="AF59" i="40"/>
  <c r="AF65" i="40"/>
  <c r="AF71" i="40"/>
  <c r="H41" i="40"/>
  <c r="H47" i="40"/>
  <c r="H53" i="40"/>
  <c r="H59" i="40"/>
  <c r="H65" i="40"/>
  <c r="H71" i="40"/>
  <c r="R40" i="40"/>
  <c r="R46" i="40"/>
  <c r="R52" i="40"/>
  <c r="R58" i="40"/>
  <c r="R64" i="40"/>
  <c r="R70" i="40"/>
  <c r="O54" i="40"/>
  <c r="O48" i="40"/>
  <c r="O60" i="40"/>
  <c r="O66" i="40"/>
  <c r="O72" i="40"/>
  <c r="O42" i="40"/>
  <c r="AB55" i="40"/>
  <c r="AB61" i="40"/>
  <c r="AB49" i="40"/>
  <c r="AB73" i="40"/>
  <c r="AB43" i="40"/>
  <c r="AB67" i="40"/>
  <c r="AE45" i="40"/>
  <c r="AE51" i="40"/>
  <c r="AE57" i="40"/>
  <c r="AE63" i="40"/>
  <c r="AE69" i="40"/>
  <c r="AE75" i="40"/>
  <c r="M54" i="40"/>
  <c r="M48" i="40"/>
  <c r="M60" i="40"/>
  <c r="M66" i="40"/>
  <c r="M72" i="40"/>
  <c r="M42" i="40"/>
  <c r="V65" i="40"/>
  <c r="V71" i="40"/>
  <c r="V59" i="40"/>
  <c r="V47" i="40"/>
  <c r="V41" i="40"/>
  <c r="V53" i="40"/>
  <c r="U71" i="40"/>
  <c r="U65" i="40"/>
  <c r="U59" i="40"/>
  <c r="U47" i="40"/>
  <c r="U41" i="40"/>
  <c r="U53" i="40"/>
  <c r="AH66" i="40"/>
  <c r="AH72" i="40"/>
  <c r="AH48" i="40"/>
  <c r="AH60" i="40"/>
  <c r="AH42" i="40"/>
  <c r="AH54" i="40"/>
  <c r="W43" i="40"/>
  <c r="W49" i="40"/>
  <c r="W55" i="40"/>
  <c r="W61" i="40"/>
  <c r="W67" i="40"/>
  <c r="W73" i="40"/>
  <c r="L74" i="40"/>
  <c r="L44" i="40"/>
  <c r="L50" i="40"/>
  <c r="L56" i="40"/>
  <c r="L62" i="40"/>
  <c r="L68" i="40"/>
  <c r="AI44" i="40"/>
  <c r="AI50" i="40"/>
  <c r="AI56" i="40"/>
  <c r="AI62" i="40"/>
  <c r="AI68" i="40"/>
  <c r="AI74" i="40"/>
  <c r="U45" i="40"/>
  <c r="U63" i="40"/>
  <c r="U75" i="40"/>
  <c r="U51" i="40"/>
  <c r="U69" i="40"/>
  <c r="U57" i="40"/>
  <c r="AK41" i="40"/>
  <c r="AK47" i="40"/>
  <c r="AK53" i="40"/>
  <c r="AK59" i="40"/>
  <c r="AK65" i="40"/>
  <c r="AK71" i="40"/>
  <c r="AD62" i="40"/>
  <c r="AD56" i="40"/>
  <c r="AD44" i="40"/>
  <c r="AD74" i="40"/>
  <c r="AD50" i="40"/>
  <c r="AD68" i="40"/>
  <c r="Z42" i="40"/>
  <c r="Z48" i="40"/>
  <c r="Z54" i="40"/>
  <c r="Z60" i="40"/>
  <c r="Z66" i="40"/>
  <c r="Z72" i="40"/>
  <c r="V40" i="40"/>
  <c r="V46" i="40"/>
  <c r="V52" i="40"/>
  <c r="V58" i="40"/>
  <c r="V64" i="40"/>
  <c r="V70" i="40"/>
  <c r="O69" i="40"/>
  <c r="O57" i="40"/>
  <c r="O51" i="40"/>
  <c r="O63" i="40"/>
  <c r="O45" i="40"/>
  <c r="O75" i="40"/>
  <c r="Y50" i="40"/>
  <c r="Y68" i="40"/>
  <c r="Y56" i="40"/>
  <c r="Y44" i="40"/>
  <c r="Y74" i="40"/>
  <c r="Y62" i="40"/>
  <c r="AI67" i="40"/>
  <c r="AI73" i="40"/>
  <c r="AI61" i="40"/>
  <c r="AI49" i="40"/>
  <c r="AI55" i="40"/>
  <c r="AI43" i="40"/>
  <c r="K49" i="40"/>
  <c r="K43" i="40"/>
  <c r="K67" i="40"/>
  <c r="K73" i="40"/>
  <c r="K55" i="40"/>
  <c r="K61" i="40"/>
  <c r="U66" i="40"/>
  <c r="U72" i="40"/>
  <c r="U60" i="40"/>
  <c r="U48" i="40"/>
  <c r="U42" i="40"/>
  <c r="U54" i="40"/>
  <c r="AE41" i="40"/>
  <c r="AE47" i="40"/>
  <c r="AE53" i="40"/>
  <c r="AE59" i="40"/>
  <c r="AE65" i="40"/>
  <c r="AE71" i="40"/>
  <c r="G47" i="40"/>
  <c r="G71" i="40"/>
  <c r="G41" i="40"/>
  <c r="G65" i="40"/>
  <c r="G59" i="40"/>
  <c r="G53" i="40"/>
  <c r="Q40" i="40"/>
  <c r="Q46" i="40"/>
  <c r="Q52" i="40"/>
  <c r="Q58" i="40"/>
  <c r="Q64" i="40"/>
  <c r="Q70" i="40"/>
  <c r="G46" i="40"/>
  <c r="G70" i="40"/>
  <c r="G58" i="40"/>
  <c r="G40" i="40"/>
  <c r="G52" i="40"/>
  <c r="G64" i="40"/>
  <c r="T65" i="40"/>
  <c r="T59" i="40"/>
  <c r="T47" i="40"/>
  <c r="T41" i="40"/>
  <c r="T71" i="40"/>
  <c r="T53" i="40"/>
  <c r="S59" i="40"/>
  <c r="S41" i="40"/>
  <c r="S71" i="40"/>
  <c r="S65" i="40"/>
  <c r="S47" i="40"/>
  <c r="S53" i="40"/>
  <c r="V43" i="40"/>
  <c r="V49" i="40"/>
  <c r="V55" i="40"/>
  <c r="V61" i="40"/>
  <c r="V67" i="40"/>
  <c r="V73" i="40"/>
  <c r="U43" i="40"/>
  <c r="U49" i="40"/>
  <c r="U55" i="40"/>
  <c r="U61" i="40"/>
  <c r="U67" i="40"/>
  <c r="U73" i="40"/>
  <c r="AL57" i="40"/>
  <c r="AL51" i="40"/>
  <c r="AL75" i="40"/>
  <c r="AL63" i="40"/>
  <c r="AL69" i="40"/>
  <c r="AL45" i="40"/>
  <c r="N69" i="40"/>
  <c r="N51" i="40"/>
  <c r="N63" i="40"/>
  <c r="N45" i="40"/>
  <c r="N75" i="40"/>
  <c r="N57" i="40"/>
  <c r="X50" i="40"/>
  <c r="X44" i="40"/>
  <c r="X68" i="40"/>
  <c r="X56" i="40"/>
  <c r="X74" i="40"/>
  <c r="X62" i="40"/>
  <c r="AH67" i="40"/>
  <c r="AH73" i="40"/>
  <c r="AH61" i="40"/>
  <c r="AH49" i="40"/>
  <c r="AH43" i="40"/>
  <c r="AH55" i="40"/>
  <c r="J43" i="40"/>
  <c r="J73" i="40"/>
  <c r="J61" i="40"/>
  <c r="J49" i="40"/>
  <c r="J55" i="40"/>
  <c r="J67" i="40"/>
  <c r="T60" i="40"/>
  <c r="T42" i="40"/>
  <c r="T66" i="40"/>
  <c r="T72" i="40"/>
  <c r="T48" i="40"/>
  <c r="T54" i="40"/>
  <c r="AD41" i="40"/>
  <c r="AD59" i="40"/>
  <c r="AD47" i="40"/>
  <c r="AD65" i="40"/>
  <c r="AD53" i="40"/>
  <c r="AD71" i="40"/>
  <c r="F59" i="40"/>
  <c r="F53" i="40"/>
  <c r="F65" i="40"/>
  <c r="F41" i="40"/>
  <c r="F71" i="40"/>
  <c r="F47" i="40"/>
  <c r="P40" i="40"/>
  <c r="P46" i="40"/>
  <c r="P52" i="40"/>
  <c r="P58" i="40"/>
  <c r="P64" i="40"/>
  <c r="P70" i="40"/>
  <c r="I64" i="40"/>
  <c r="I58" i="40"/>
  <c r="I46" i="40"/>
  <c r="I40" i="40"/>
  <c r="I52" i="40"/>
  <c r="I70" i="40"/>
  <c r="L48" i="40"/>
  <c r="L66" i="40"/>
  <c r="L72" i="40"/>
  <c r="L54" i="40"/>
  <c r="L42" i="40"/>
  <c r="L60" i="40"/>
  <c r="R59" i="40"/>
  <c r="R53" i="40"/>
  <c r="R41" i="40"/>
  <c r="R65" i="40"/>
  <c r="R47" i="40"/>
  <c r="R71" i="40"/>
  <c r="G48" i="40"/>
  <c r="G72" i="40"/>
  <c r="G42" i="40"/>
  <c r="G66" i="40"/>
  <c r="G60" i="40"/>
  <c r="G54" i="40"/>
  <c r="AK57" i="40"/>
  <c r="AK51" i="40"/>
  <c r="AK75" i="40"/>
  <c r="AK69" i="40"/>
  <c r="AK45" i="40"/>
  <c r="AK63" i="40"/>
  <c r="M69" i="40"/>
  <c r="M63" i="40"/>
  <c r="M75" i="40"/>
  <c r="M51" i="40"/>
  <c r="M45" i="40"/>
  <c r="M57" i="40"/>
  <c r="W50" i="40"/>
  <c r="W44" i="40"/>
  <c r="W68" i="40"/>
  <c r="W74" i="40"/>
  <c r="W56" i="40"/>
  <c r="W62" i="40"/>
  <c r="AG67" i="40"/>
  <c r="AG73" i="40"/>
  <c r="AG61" i="40"/>
  <c r="AG49" i="40"/>
  <c r="AG43" i="40"/>
  <c r="AG55" i="40"/>
  <c r="I43" i="40"/>
  <c r="I61" i="40"/>
  <c r="I49" i="40"/>
  <c r="I73" i="40"/>
  <c r="I55" i="40"/>
  <c r="I67" i="40"/>
  <c r="S60" i="40"/>
  <c r="S54" i="40"/>
  <c r="S42" i="40"/>
  <c r="S66" i="40"/>
  <c r="S72" i="40"/>
  <c r="S48" i="40"/>
  <c r="AC41" i="40"/>
  <c r="AC59" i="40"/>
  <c r="AC65" i="40"/>
  <c r="AC47" i="40"/>
  <c r="AC53" i="40"/>
  <c r="AC71" i="40"/>
  <c r="O40" i="40"/>
  <c r="O46" i="40"/>
  <c r="O52" i="40"/>
  <c r="O58" i="40"/>
  <c r="O64" i="40"/>
  <c r="O70" i="40"/>
  <c r="K64" i="40"/>
  <c r="K58" i="40"/>
  <c r="K46" i="40"/>
  <c r="K70" i="40"/>
  <c r="K52" i="40"/>
  <c r="K40" i="40"/>
  <c r="N54" i="40"/>
  <c r="N48" i="40"/>
  <c r="N66" i="40"/>
  <c r="N60" i="40"/>
  <c r="N72" i="40"/>
  <c r="N42" i="40"/>
  <c r="N79" i="40" s="1"/>
  <c r="AX285" i="31"/>
  <c r="R26" i="40" s="1"/>
  <c r="Q56" i="40"/>
  <c r="Q44" i="40"/>
  <c r="Q68" i="40"/>
  <c r="Q50" i="40"/>
  <c r="Q62" i="40"/>
  <c r="Q74" i="40"/>
  <c r="AY285" i="31"/>
  <c r="AD45" i="40"/>
  <c r="AD51" i="40"/>
  <c r="AD57" i="40"/>
  <c r="AD63" i="40"/>
  <c r="AD69" i="40"/>
  <c r="AD75" i="40"/>
  <c r="AC45" i="40"/>
  <c r="AC51" i="40"/>
  <c r="AC57" i="40"/>
  <c r="AC63" i="40"/>
  <c r="AC69" i="40"/>
  <c r="AC75" i="40"/>
  <c r="Q43" i="40"/>
  <c r="Q49" i="40"/>
  <c r="Q55" i="40"/>
  <c r="Q61" i="40"/>
  <c r="Q67" i="40"/>
  <c r="Q73" i="40"/>
  <c r="AJ51" i="40"/>
  <c r="AJ57" i="40"/>
  <c r="AJ75" i="40"/>
  <c r="AJ69" i="40"/>
  <c r="AJ45" i="40"/>
  <c r="AJ63" i="40"/>
  <c r="L69" i="40"/>
  <c r="L63" i="40"/>
  <c r="L75" i="40"/>
  <c r="L51" i="40"/>
  <c r="L45" i="40"/>
  <c r="L57" i="40"/>
  <c r="V50" i="40"/>
  <c r="V44" i="40"/>
  <c r="V68" i="40"/>
  <c r="V74" i="40"/>
  <c r="V56" i="40"/>
  <c r="V62" i="40"/>
  <c r="AF73" i="40"/>
  <c r="AF61" i="40"/>
  <c r="AF43" i="40"/>
  <c r="AF67" i="40"/>
  <c r="AF49" i="40"/>
  <c r="AF55" i="40"/>
  <c r="H43" i="40"/>
  <c r="H61" i="40"/>
  <c r="H55" i="40"/>
  <c r="H67" i="40"/>
  <c r="H49" i="40"/>
  <c r="H73" i="40"/>
  <c r="R60" i="40"/>
  <c r="R54" i="40"/>
  <c r="R42" i="40"/>
  <c r="R48" i="40"/>
  <c r="R72" i="40"/>
  <c r="R66" i="40"/>
  <c r="AB41" i="40"/>
  <c r="AB59" i="40"/>
  <c r="AB53" i="40"/>
  <c r="AB65" i="40"/>
  <c r="AB47" i="40"/>
  <c r="AB71" i="40"/>
  <c r="AL52" i="40"/>
  <c r="AL58" i="40"/>
  <c r="AL40" i="40"/>
  <c r="AL46" i="40"/>
  <c r="AL70" i="40"/>
  <c r="AL64" i="40"/>
  <c r="N70" i="40"/>
  <c r="N64" i="40"/>
  <c r="N52" i="40"/>
  <c r="N58" i="40"/>
  <c r="N40" i="40"/>
  <c r="N46" i="40"/>
  <c r="AX286" i="31"/>
  <c r="K27" i="40" s="1"/>
  <c r="D65" i="40"/>
  <c r="D53" i="40"/>
  <c r="D41" i="40"/>
  <c r="D47" i="40"/>
  <c r="D71" i="40"/>
  <c r="D59" i="40"/>
  <c r="AY271" i="31"/>
  <c r="AX289" i="31"/>
  <c r="AC30" i="40" s="1"/>
  <c r="E64" i="40"/>
  <c r="E52" i="40"/>
  <c r="E40" i="40"/>
  <c r="E70" i="40"/>
  <c r="E46" i="40"/>
  <c r="E58" i="40"/>
  <c r="AX270" i="31"/>
  <c r="AX292" i="31"/>
  <c r="AG33" i="40" s="1"/>
  <c r="AH33" i="40"/>
  <c r="AX264" i="31"/>
  <c r="K5" i="40" s="1"/>
  <c r="AY284" i="31"/>
  <c r="AX294" i="31"/>
  <c r="P35" i="40" s="1"/>
  <c r="AX278" i="31"/>
  <c r="R19" i="40" s="1"/>
  <c r="AX288" i="31"/>
  <c r="N29" i="40" s="1"/>
  <c r="AX284" i="31"/>
  <c r="D64" i="40"/>
  <c r="D52" i="40"/>
  <c r="D40" i="40"/>
  <c r="D58" i="40"/>
  <c r="D70" i="40"/>
  <c r="D46" i="40"/>
  <c r="AY270" i="31"/>
  <c r="AX281" i="31"/>
  <c r="S22" i="40" s="1"/>
  <c r="AK21" i="40"/>
  <c r="AX265" i="31"/>
  <c r="X6" i="40" s="1"/>
  <c r="AX263" i="31"/>
  <c r="O4" i="40" s="1"/>
  <c r="AX293" i="31"/>
  <c r="K34" i="40" s="1"/>
  <c r="AX287" i="31"/>
  <c r="T28" i="40" s="1"/>
  <c r="AY282" i="31"/>
  <c r="Q5" i="40"/>
  <c r="AY294" i="31"/>
  <c r="AY280" i="31"/>
  <c r="AY279" i="31"/>
  <c r="AY292" i="31"/>
  <c r="L5" i="40"/>
  <c r="AC37" i="40"/>
  <c r="AY296" i="31"/>
  <c r="U14" i="40"/>
  <c r="AY281" i="31"/>
  <c r="O14" i="40"/>
  <c r="AY278" i="31"/>
  <c r="AL14" i="40"/>
  <c r="AY291" i="31"/>
  <c r="AY277" i="31"/>
  <c r="T4" i="40"/>
  <c r="S4" i="40"/>
  <c r="AX268" i="31"/>
  <c r="AD9" i="40" s="1"/>
  <c r="AX272" i="31"/>
  <c r="L13" i="40" s="1"/>
  <c r="AX271" i="31"/>
  <c r="AL12" i="40" s="1"/>
  <c r="AX267" i="31"/>
  <c r="R8" i="40" s="1"/>
  <c r="D69" i="40"/>
  <c r="D57" i="40"/>
  <c r="D45" i="40"/>
  <c r="D63" i="40"/>
  <c r="D75" i="40"/>
  <c r="D51" i="40"/>
  <c r="AY275" i="31"/>
  <c r="AY293" i="31"/>
  <c r="AX291" i="31"/>
  <c r="S32" i="40" s="1"/>
  <c r="AY289" i="31"/>
  <c r="AX282" i="31"/>
  <c r="AJ23" i="40" s="1"/>
  <c r="M37" i="40"/>
  <c r="U27" i="40"/>
  <c r="AY288" i="31"/>
  <c r="AF14" i="40"/>
  <c r="P4" i="40"/>
  <c r="E69" i="40"/>
  <c r="E57" i="40"/>
  <c r="E45" i="40"/>
  <c r="E51" i="40"/>
  <c r="E75" i="40"/>
  <c r="E63" i="40"/>
  <c r="AX280" i="31"/>
  <c r="M21" i="40" s="1"/>
  <c r="M5" i="40"/>
  <c r="E68" i="40"/>
  <c r="E56" i="40"/>
  <c r="E44" i="40"/>
  <c r="E74" i="40"/>
  <c r="E62" i="40"/>
  <c r="E50" i="40"/>
  <c r="AY287" i="31"/>
  <c r="AX279" i="31"/>
  <c r="F20" i="40" s="1"/>
  <c r="U5" i="40"/>
  <c r="AX295" i="31"/>
  <c r="F36" i="40" s="1"/>
  <c r="L20" i="40"/>
  <c r="D67" i="40"/>
  <c r="D55" i="40"/>
  <c r="D43" i="40"/>
  <c r="D73" i="40"/>
  <c r="D49" i="40"/>
  <c r="D61" i="40"/>
  <c r="AY273" i="31"/>
  <c r="AX296" i="31"/>
  <c r="AK37" i="40" s="1"/>
  <c r="AY263" i="31"/>
  <c r="D68" i="40"/>
  <c r="D56" i="40"/>
  <c r="D44" i="40"/>
  <c r="D74" i="40"/>
  <c r="D62" i="40"/>
  <c r="D50" i="40"/>
  <c r="AY274" i="31"/>
  <c r="AG30" i="40"/>
  <c r="AY286" i="31"/>
  <c r="T8" i="40"/>
  <c r="AX277" i="31"/>
  <c r="N18" i="40" s="1"/>
  <c r="AG13" i="40"/>
  <c r="AY295" i="31"/>
  <c r="G21" i="40"/>
  <c r="AY267" i="31"/>
  <c r="AY266" i="31"/>
  <c r="E67" i="40"/>
  <c r="E55" i="40"/>
  <c r="E43" i="40"/>
  <c r="E73" i="40"/>
  <c r="E61" i="40"/>
  <c r="E49" i="40"/>
  <c r="AY265" i="31"/>
  <c r="AY264" i="31"/>
  <c r="E66" i="40"/>
  <c r="E54" i="40"/>
  <c r="E42" i="40"/>
  <c r="E72" i="40"/>
  <c r="E60" i="40"/>
  <c r="E48" i="40"/>
  <c r="E13" i="40"/>
  <c r="D54" i="40"/>
  <c r="D72" i="40"/>
  <c r="D48" i="40"/>
  <c r="D66" i="40"/>
  <c r="D60" i="40"/>
  <c r="D42" i="40"/>
  <c r="AY272" i="31"/>
  <c r="E41" i="40"/>
  <c r="E65" i="40"/>
  <c r="E53" i="40"/>
  <c r="E71" i="40"/>
  <c r="E47" i="40"/>
  <c r="E59" i="40"/>
  <c r="E12" i="40"/>
  <c r="Y5" i="40"/>
  <c r="AX275" i="31"/>
  <c r="P16" i="40" s="1"/>
  <c r="AY268" i="31"/>
  <c r="M255" i="31"/>
  <c r="N255" i="31"/>
  <c r="O255" i="31"/>
  <c r="P255" i="31"/>
  <c r="Q255" i="31"/>
  <c r="R255" i="31"/>
  <c r="S255" i="31"/>
  <c r="T255" i="31"/>
  <c r="U255" i="31"/>
  <c r="V255" i="31"/>
  <c r="W255" i="31"/>
  <c r="X255" i="31"/>
  <c r="Y255" i="31"/>
  <c r="Z255" i="31"/>
  <c r="AA255" i="31"/>
  <c r="AB255" i="31"/>
  <c r="AC255" i="31"/>
  <c r="AD255" i="31"/>
  <c r="AE255" i="31"/>
  <c r="AF255" i="31"/>
  <c r="AG255" i="31"/>
  <c r="AH255" i="31"/>
  <c r="AI255" i="31"/>
  <c r="AJ255" i="31"/>
  <c r="AK255" i="31"/>
  <c r="AL255" i="31"/>
  <c r="AM255" i="31"/>
  <c r="AN255" i="31"/>
  <c r="AO255" i="31"/>
  <c r="AP255" i="31"/>
  <c r="AQ255" i="31"/>
  <c r="AR255" i="31"/>
  <c r="AS255" i="31"/>
  <c r="AT255" i="31"/>
  <c r="AU255" i="31"/>
  <c r="M256" i="31"/>
  <c r="N256" i="31"/>
  <c r="O256" i="31"/>
  <c r="P256" i="31"/>
  <c r="Q256" i="31"/>
  <c r="R256" i="31"/>
  <c r="S256" i="31"/>
  <c r="T256" i="31"/>
  <c r="U256" i="31"/>
  <c r="V256" i="31"/>
  <c r="W256" i="31"/>
  <c r="X256" i="31"/>
  <c r="Y256" i="31"/>
  <c r="Z256" i="31"/>
  <c r="AA256" i="31"/>
  <c r="AB256" i="31"/>
  <c r="AC256" i="31"/>
  <c r="AD256" i="31"/>
  <c r="AE256" i="31"/>
  <c r="AF256" i="31"/>
  <c r="AG256" i="31"/>
  <c r="AH256" i="31"/>
  <c r="AI256" i="31"/>
  <c r="AJ256" i="31"/>
  <c r="AK256" i="31"/>
  <c r="AL256" i="31"/>
  <c r="AM256" i="31"/>
  <c r="AN256" i="31"/>
  <c r="AO256" i="31"/>
  <c r="AP256" i="31"/>
  <c r="AQ256" i="31"/>
  <c r="AR256" i="31"/>
  <c r="AS256" i="31"/>
  <c r="AT256" i="31"/>
  <c r="AU256" i="31"/>
  <c r="M257" i="31"/>
  <c r="N257" i="31"/>
  <c r="O257" i="31"/>
  <c r="P257" i="31"/>
  <c r="Q257" i="31"/>
  <c r="R257" i="31"/>
  <c r="S257" i="31"/>
  <c r="T257" i="31"/>
  <c r="U257" i="31"/>
  <c r="V257" i="31"/>
  <c r="W257" i="31"/>
  <c r="X257" i="31"/>
  <c r="Y257" i="31"/>
  <c r="Z257" i="31"/>
  <c r="AA257" i="31"/>
  <c r="AB257" i="31"/>
  <c r="AC257" i="31"/>
  <c r="AD257" i="31"/>
  <c r="AE257" i="31"/>
  <c r="AF257" i="31"/>
  <c r="AG257" i="31"/>
  <c r="AH257" i="31"/>
  <c r="AI257" i="31"/>
  <c r="AJ257" i="31"/>
  <c r="AK257" i="31"/>
  <c r="AL257" i="31"/>
  <c r="AM257" i="31"/>
  <c r="AN257" i="31"/>
  <c r="AO257" i="31"/>
  <c r="AP257" i="31"/>
  <c r="AQ257" i="31"/>
  <c r="AR257" i="31"/>
  <c r="AS257" i="31"/>
  <c r="AT257" i="31"/>
  <c r="AU257" i="31"/>
  <c r="M258" i="31"/>
  <c r="N258" i="31"/>
  <c r="O258" i="31"/>
  <c r="P258" i="31"/>
  <c r="Q258" i="31"/>
  <c r="R258" i="31"/>
  <c r="S258" i="31"/>
  <c r="T258" i="31"/>
  <c r="U258" i="31"/>
  <c r="V258" i="31"/>
  <c r="W258" i="31"/>
  <c r="X258" i="31"/>
  <c r="Y258" i="31"/>
  <c r="Z258" i="31"/>
  <c r="AA258" i="31"/>
  <c r="AB258" i="31"/>
  <c r="AC258" i="31"/>
  <c r="AD258" i="31"/>
  <c r="AE258" i="31"/>
  <c r="AF258" i="31"/>
  <c r="AG258" i="31"/>
  <c r="AH258" i="31"/>
  <c r="AI258" i="31"/>
  <c r="AJ258" i="31"/>
  <c r="AK258" i="31"/>
  <c r="AL258" i="31"/>
  <c r="AM258" i="31"/>
  <c r="AN258" i="31"/>
  <c r="AO258" i="31"/>
  <c r="AP258" i="31"/>
  <c r="AQ258" i="31"/>
  <c r="AR258" i="31"/>
  <c r="AS258" i="31"/>
  <c r="AT258" i="31"/>
  <c r="AU258" i="31"/>
  <c r="M259" i="31"/>
  <c r="N259" i="31"/>
  <c r="O259" i="31"/>
  <c r="P259" i="31"/>
  <c r="Q259" i="31"/>
  <c r="R259" i="31"/>
  <c r="S259" i="31"/>
  <c r="T259" i="31"/>
  <c r="U259" i="31"/>
  <c r="V259" i="31"/>
  <c r="W259" i="31"/>
  <c r="X259" i="31"/>
  <c r="Y259" i="31"/>
  <c r="Z259" i="31"/>
  <c r="AA259" i="31"/>
  <c r="AB259" i="31"/>
  <c r="AC259" i="31"/>
  <c r="AD259" i="31"/>
  <c r="AE259" i="31"/>
  <c r="AF259" i="31"/>
  <c r="AG259" i="31"/>
  <c r="AH259" i="31"/>
  <c r="AI259" i="31"/>
  <c r="AJ259" i="31"/>
  <c r="AK259" i="31"/>
  <c r="AL259" i="31"/>
  <c r="AM259" i="31"/>
  <c r="AN259" i="31"/>
  <c r="AO259" i="31"/>
  <c r="AP259" i="31"/>
  <c r="AQ259" i="31"/>
  <c r="AR259" i="31"/>
  <c r="AS259" i="31"/>
  <c r="AT259" i="31"/>
  <c r="AU259" i="31"/>
  <c r="M260" i="31"/>
  <c r="N260" i="31"/>
  <c r="O260" i="31"/>
  <c r="P260" i="31"/>
  <c r="Q260" i="31"/>
  <c r="R260" i="31"/>
  <c r="S260" i="31"/>
  <c r="T260" i="31"/>
  <c r="U260" i="31"/>
  <c r="V260" i="31"/>
  <c r="W260" i="31"/>
  <c r="X260" i="31"/>
  <c r="Y260" i="31"/>
  <c r="Z260" i="31"/>
  <c r="AA260" i="31"/>
  <c r="AB260" i="31"/>
  <c r="AC260" i="31"/>
  <c r="AD260" i="31"/>
  <c r="AE260" i="31"/>
  <c r="AF260" i="31"/>
  <c r="AG260" i="31"/>
  <c r="AH260" i="31"/>
  <c r="AI260" i="31"/>
  <c r="AJ260" i="31"/>
  <c r="AK260" i="31"/>
  <c r="AL260" i="31"/>
  <c r="AM260" i="31"/>
  <c r="AN260" i="31"/>
  <c r="AO260" i="31"/>
  <c r="AP260" i="31"/>
  <c r="AQ260" i="31"/>
  <c r="AR260" i="31"/>
  <c r="AS260" i="31"/>
  <c r="AT260" i="31"/>
  <c r="AU260" i="31"/>
  <c r="L260" i="31"/>
  <c r="L259" i="31"/>
  <c r="L258" i="31"/>
  <c r="L257" i="31"/>
  <c r="L256" i="31"/>
  <c r="L255" i="31"/>
  <c r="K36" i="40" l="1"/>
  <c r="M13" i="40"/>
  <c r="N4" i="40"/>
  <c r="AK114" i="40"/>
  <c r="AH112" i="40"/>
  <c r="AM141" i="40"/>
  <c r="E113" i="40"/>
  <c r="U140" i="40"/>
  <c r="Q143" i="40"/>
  <c r="O110" i="40"/>
  <c r="AD111" i="40"/>
  <c r="K113" i="40"/>
  <c r="J9" i="40"/>
  <c r="AL139" i="40"/>
  <c r="I142" i="40"/>
  <c r="AH143" i="40"/>
  <c r="H110" i="40"/>
  <c r="L143" i="40"/>
  <c r="T141" i="40"/>
  <c r="J140" i="40"/>
  <c r="S115" i="40"/>
  <c r="T140" i="40"/>
  <c r="W142" i="40"/>
  <c r="F112" i="40"/>
  <c r="R13" i="40"/>
  <c r="AF20" i="40"/>
  <c r="E18" i="40"/>
  <c r="T37" i="40"/>
  <c r="AK4" i="40"/>
  <c r="Q138" i="40"/>
  <c r="AA140" i="40"/>
  <c r="Q139" i="40"/>
  <c r="V141" i="40"/>
  <c r="AK115" i="40"/>
  <c r="AG138" i="40"/>
  <c r="G138" i="40"/>
  <c r="U8" i="40"/>
  <c r="O13" i="40"/>
  <c r="Y14" i="40"/>
  <c r="E143" i="40"/>
  <c r="U138" i="40"/>
  <c r="Y139" i="40"/>
  <c r="AI141" i="40"/>
  <c r="Z142" i="40"/>
  <c r="M138" i="40"/>
  <c r="H141" i="40"/>
  <c r="M36" i="40"/>
  <c r="G36" i="40"/>
  <c r="G15" i="40"/>
  <c r="T138" i="40"/>
  <c r="AE110" i="40"/>
  <c r="AM114" i="40"/>
  <c r="AF115" i="40"/>
  <c r="Q141" i="40"/>
  <c r="W111" i="40"/>
  <c r="AK110" i="40"/>
  <c r="V113" i="40"/>
  <c r="AK140" i="40"/>
  <c r="O140" i="40"/>
  <c r="H111" i="40"/>
  <c r="P115" i="40"/>
  <c r="AI138" i="40"/>
  <c r="D140" i="40"/>
  <c r="AF32" i="40"/>
  <c r="U16" i="40"/>
  <c r="P14" i="40"/>
  <c r="E30" i="40"/>
  <c r="S36" i="40"/>
  <c r="W20" i="40"/>
  <c r="Q14" i="40"/>
  <c r="AO14" i="40" s="1"/>
  <c r="S30" i="40"/>
  <c r="AG37" i="40"/>
  <c r="W32" i="40"/>
  <c r="AH15" i="40"/>
  <c r="AA139" i="40"/>
  <c r="U26" i="40"/>
  <c r="E15" i="40"/>
  <c r="N15" i="40"/>
  <c r="AM112" i="40"/>
  <c r="M143" i="40"/>
  <c r="U113" i="40"/>
  <c r="AM110" i="40"/>
  <c r="D115" i="40"/>
  <c r="S110" i="40"/>
  <c r="AM140" i="40"/>
  <c r="AJ138" i="40"/>
  <c r="S33" i="40"/>
  <c r="AC14" i="40"/>
  <c r="O30" i="40"/>
  <c r="AK33" i="40"/>
  <c r="Z11" i="40"/>
  <c r="AD11" i="40"/>
  <c r="AE143" i="40"/>
  <c r="E110" i="40"/>
  <c r="V114" i="40"/>
  <c r="F142" i="40"/>
  <c r="AK112" i="40"/>
  <c r="Z111" i="40"/>
  <c r="M26" i="40"/>
  <c r="U114" i="40"/>
  <c r="AM81" i="40"/>
  <c r="X110" i="40"/>
  <c r="AC15" i="40"/>
  <c r="AM82" i="40"/>
  <c r="E115" i="40"/>
  <c r="S26" i="40"/>
  <c r="AG12" i="40"/>
  <c r="R14" i="40"/>
  <c r="I139" i="40"/>
  <c r="H143" i="40"/>
  <c r="AI110" i="40"/>
  <c r="AH110" i="40"/>
  <c r="I114" i="40"/>
  <c r="AL115" i="40"/>
  <c r="Z141" i="40"/>
  <c r="N140" i="40"/>
  <c r="V115" i="40"/>
  <c r="AK13" i="40"/>
  <c r="L12" i="40"/>
  <c r="AH26" i="40"/>
  <c r="W13" i="40"/>
  <c r="L32" i="40"/>
  <c r="Z14" i="40"/>
  <c r="AC110" i="40"/>
  <c r="AC113" i="40"/>
  <c r="W114" i="40"/>
  <c r="N113" i="40"/>
  <c r="AH114" i="40"/>
  <c r="E140" i="40"/>
  <c r="AJ113" i="40"/>
  <c r="L138" i="40"/>
  <c r="AA112" i="40"/>
  <c r="N111" i="40"/>
  <c r="Q15" i="40"/>
  <c r="AG14" i="40"/>
  <c r="M14" i="40"/>
  <c r="AJ32" i="40"/>
  <c r="AD80" i="40"/>
  <c r="I143" i="40"/>
  <c r="AC142" i="40"/>
  <c r="X111" i="40"/>
  <c r="AE139" i="40"/>
  <c r="I110" i="40"/>
  <c r="F113" i="40"/>
  <c r="AB111" i="40"/>
  <c r="AJ115" i="40"/>
  <c r="R142" i="40"/>
  <c r="P138" i="40"/>
  <c r="AC138" i="40"/>
  <c r="O142" i="40"/>
  <c r="Z115" i="40"/>
  <c r="U142" i="40"/>
  <c r="AL138" i="40"/>
  <c r="AJ141" i="40"/>
  <c r="AC36" i="40"/>
  <c r="AD36" i="40"/>
  <c r="K14" i="40"/>
  <c r="G14" i="40"/>
  <c r="AC26" i="40"/>
  <c r="AK14" i="40"/>
  <c r="AG139" i="40"/>
  <c r="S111" i="40"/>
  <c r="Y113" i="40"/>
  <c r="H142" i="40"/>
  <c r="K110" i="40"/>
  <c r="Z110" i="40"/>
  <c r="V138" i="40"/>
  <c r="P114" i="40"/>
  <c r="Q114" i="40"/>
  <c r="J142" i="40"/>
  <c r="M115" i="40"/>
  <c r="AH140" i="40"/>
  <c r="W112" i="40"/>
  <c r="AI113" i="40"/>
  <c r="P142" i="40"/>
  <c r="J111" i="40"/>
  <c r="L111" i="40"/>
  <c r="T115" i="40"/>
  <c r="Q113" i="40"/>
  <c r="R141" i="40"/>
  <c r="X113" i="40"/>
  <c r="T14" i="40"/>
  <c r="T5" i="40"/>
  <c r="AG5" i="40"/>
  <c r="N14" i="40"/>
  <c r="S14" i="40"/>
  <c r="AL82" i="40"/>
  <c r="O79" i="40"/>
  <c r="M141" i="40"/>
  <c r="AF143" i="40"/>
  <c r="N114" i="40"/>
  <c r="H115" i="40"/>
  <c r="H113" i="40"/>
  <c r="I138" i="40"/>
  <c r="I140" i="40"/>
  <c r="AC111" i="40"/>
  <c r="K138" i="40"/>
  <c r="Q110" i="40"/>
  <c r="H138" i="40"/>
  <c r="AB114" i="40"/>
  <c r="G114" i="40"/>
  <c r="S113" i="40"/>
  <c r="G139" i="40"/>
  <c r="Y143" i="40"/>
  <c r="D110" i="40"/>
  <c r="R115" i="40"/>
  <c r="E32" i="40"/>
  <c r="L82" i="40"/>
  <c r="E14" i="40"/>
  <c r="Z30" i="40"/>
  <c r="P36" i="40"/>
  <c r="I112" i="40"/>
  <c r="F110" i="40"/>
  <c r="O112" i="40"/>
  <c r="AJ139" i="40"/>
  <c r="H139" i="40"/>
  <c r="AE115" i="40"/>
  <c r="L110" i="40"/>
  <c r="T114" i="40"/>
  <c r="M110" i="40"/>
  <c r="N142" i="40"/>
  <c r="J113" i="40"/>
  <c r="Y114" i="40"/>
  <c r="Y111" i="40"/>
  <c r="AD143" i="40"/>
  <c r="AB139" i="40"/>
  <c r="X115" i="40"/>
  <c r="F14" i="40"/>
  <c r="J14" i="40"/>
  <c r="AF12" i="40"/>
  <c r="W14" i="40"/>
  <c r="X14" i="40"/>
  <c r="L21" i="40"/>
  <c r="N112" i="40"/>
  <c r="V111" i="40"/>
  <c r="AD115" i="40"/>
  <c r="E112" i="40"/>
  <c r="AL143" i="40"/>
  <c r="G140" i="40"/>
  <c r="L142" i="40"/>
  <c r="K141" i="40"/>
  <c r="J138" i="40"/>
  <c r="AG114" i="40"/>
  <c r="AE138" i="40"/>
  <c r="E139" i="40"/>
  <c r="P140" i="40"/>
  <c r="AM138" i="40"/>
  <c r="AL111" i="40"/>
  <c r="I80" i="40"/>
  <c r="J110" i="40"/>
  <c r="AD113" i="40"/>
  <c r="X26" i="40"/>
  <c r="AD14" i="40"/>
  <c r="AH14" i="40"/>
  <c r="L14" i="40"/>
  <c r="T30" i="40"/>
  <c r="W110" i="40"/>
  <c r="AE114" i="40"/>
  <c r="AK26" i="40"/>
  <c r="Y110" i="40"/>
  <c r="AG78" i="40"/>
  <c r="Z78" i="40"/>
  <c r="N143" i="40"/>
  <c r="Z26" i="40"/>
  <c r="W36" i="40"/>
  <c r="X15" i="40"/>
  <c r="F143" i="40"/>
  <c r="S114" i="40"/>
  <c r="Q111" i="40"/>
  <c r="Z140" i="40"/>
  <c r="AJ114" i="40"/>
  <c r="AA141" i="40"/>
  <c r="U110" i="40"/>
  <c r="AL142" i="40"/>
  <c r="AC114" i="40"/>
  <c r="U143" i="40"/>
  <c r="Z112" i="40"/>
  <c r="AK138" i="40"/>
  <c r="R113" i="40"/>
  <c r="AC139" i="40"/>
  <c r="Y142" i="40"/>
  <c r="AA138" i="40"/>
  <c r="T112" i="40"/>
  <c r="AM142" i="40"/>
  <c r="AC80" i="40"/>
  <c r="J30" i="40"/>
  <c r="X36" i="40"/>
  <c r="Z15" i="40"/>
  <c r="AG15" i="40"/>
  <c r="AG112" i="40"/>
  <c r="S112" i="40"/>
  <c r="E114" i="40"/>
  <c r="AH113" i="40"/>
  <c r="K114" i="40"/>
  <c r="R82" i="40"/>
  <c r="X32" i="40"/>
  <c r="S12" i="40"/>
  <c r="Z23" i="40"/>
  <c r="AF26" i="40"/>
  <c r="AJ15" i="40"/>
  <c r="AL15" i="40"/>
  <c r="Z28" i="40"/>
  <c r="J139" i="40"/>
  <c r="AD110" i="40"/>
  <c r="R114" i="40"/>
  <c r="L112" i="40"/>
  <c r="D111" i="40"/>
  <c r="AK143" i="40"/>
  <c r="Q112" i="40"/>
  <c r="G142" i="40"/>
  <c r="D112" i="40"/>
  <c r="AJ110" i="40"/>
  <c r="AG111" i="40"/>
  <c r="AE112" i="40"/>
  <c r="Q142" i="40"/>
  <c r="X139" i="40"/>
  <c r="AC141" i="40"/>
  <c r="D141" i="40"/>
  <c r="AL140" i="40"/>
  <c r="O111" i="40"/>
  <c r="V139" i="40"/>
  <c r="S142" i="40"/>
  <c r="H112" i="40"/>
  <c r="T143" i="40"/>
  <c r="N30" i="40"/>
  <c r="AD32" i="40"/>
  <c r="AK15" i="40"/>
  <c r="Z36" i="40"/>
  <c r="G143" i="40"/>
  <c r="W113" i="40"/>
  <c r="AC115" i="40"/>
  <c r="AA111" i="40"/>
  <c r="P141" i="40"/>
  <c r="AE113" i="40"/>
  <c r="AM113" i="40"/>
  <c r="I113" i="40"/>
  <c r="F138" i="40"/>
  <c r="X114" i="40"/>
  <c r="F139" i="40"/>
  <c r="AE111" i="40"/>
  <c r="AF111" i="40"/>
  <c r="V143" i="40"/>
  <c r="P113" i="40"/>
  <c r="M111" i="40"/>
  <c r="S140" i="40"/>
  <c r="AA110" i="40"/>
  <c r="Y112" i="40"/>
  <c r="Q140" i="40"/>
  <c r="K112" i="40"/>
  <c r="AH115" i="40"/>
  <c r="L141" i="40"/>
  <c r="AB140" i="40"/>
  <c r="Q115" i="40"/>
  <c r="E141" i="40"/>
  <c r="AG113" i="40"/>
  <c r="AI114" i="40"/>
  <c r="AM80" i="40"/>
  <c r="U112" i="40"/>
  <c r="AI112" i="40"/>
  <c r="AM139" i="40"/>
  <c r="AD142" i="40"/>
  <c r="D113" i="40"/>
  <c r="J114" i="40"/>
  <c r="L115" i="40"/>
  <c r="AF112" i="40"/>
  <c r="AL113" i="40"/>
  <c r="X142" i="40"/>
  <c r="AD112" i="40"/>
  <c r="O113" i="40"/>
  <c r="P111" i="40"/>
  <c r="V110" i="40"/>
  <c r="AK22" i="40"/>
  <c r="AH32" i="40"/>
  <c r="AA115" i="40"/>
  <c r="AL112" i="40"/>
  <c r="AM78" i="40"/>
  <c r="AC112" i="40"/>
  <c r="S143" i="40"/>
  <c r="O12" i="40"/>
  <c r="P15" i="40"/>
  <c r="D143" i="40"/>
  <c r="W140" i="40"/>
  <c r="F115" i="40"/>
  <c r="G112" i="40"/>
  <c r="AG110" i="40"/>
  <c r="R112" i="40"/>
  <c r="D114" i="40"/>
  <c r="T113" i="40"/>
  <c r="AC143" i="40"/>
  <c r="AM77" i="40"/>
  <c r="AM79" i="40"/>
  <c r="AC13" i="40"/>
  <c r="Z79" i="40"/>
  <c r="AI81" i="40"/>
  <c r="AF78" i="40"/>
  <c r="AJ81" i="40"/>
  <c r="M78" i="40"/>
  <c r="Q78" i="40"/>
  <c r="G110" i="40"/>
  <c r="AB113" i="40"/>
  <c r="V140" i="40"/>
  <c r="AA114" i="40"/>
  <c r="Z114" i="40"/>
  <c r="Z139" i="40"/>
  <c r="AJ111" i="40"/>
  <c r="AG36" i="40"/>
  <c r="AD5" i="40"/>
  <c r="L36" i="40"/>
  <c r="O5" i="40"/>
  <c r="AB115" i="40"/>
  <c r="N139" i="40"/>
  <c r="K143" i="40"/>
  <c r="O139" i="40"/>
  <c r="P139" i="40"/>
  <c r="U141" i="40"/>
  <c r="AI115" i="40"/>
  <c r="P143" i="40"/>
  <c r="N110" i="40"/>
  <c r="AF139" i="40"/>
  <c r="AI111" i="40"/>
  <c r="D138" i="40"/>
  <c r="K140" i="40"/>
  <c r="T110" i="40"/>
  <c r="AD141" i="40"/>
  <c r="V142" i="40"/>
  <c r="H114" i="40"/>
  <c r="AB143" i="40"/>
  <c r="Q27" i="40"/>
  <c r="J11" i="40"/>
  <c r="W37" i="40"/>
  <c r="AJ22" i="40"/>
  <c r="X20" i="40"/>
  <c r="AL7" i="40"/>
  <c r="X37" i="40"/>
  <c r="U37" i="40"/>
  <c r="O37" i="40"/>
  <c r="AJ36" i="40"/>
  <c r="K20" i="40"/>
  <c r="J4" i="40"/>
  <c r="X77" i="40"/>
  <c r="S9" i="40"/>
  <c r="Z21" i="40"/>
  <c r="W21" i="40"/>
  <c r="Q4" i="40"/>
  <c r="O9" i="40"/>
  <c r="T26" i="40"/>
  <c r="AG11" i="40"/>
  <c r="H80" i="40"/>
  <c r="Q81" i="40"/>
  <c r="R78" i="40"/>
  <c r="G77" i="40"/>
  <c r="AL80" i="40"/>
  <c r="AC81" i="40"/>
  <c r="AH77" i="40"/>
  <c r="P9" i="40"/>
  <c r="Y27" i="40"/>
  <c r="S27" i="40"/>
  <c r="AC32" i="40"/>
  <c r="F23" i="40"/>
  <c r="P32" i="40"/>
  <c r="Y36" i="40"/>
  <c r="Z27" i="40"/>
  <c r="X33" i="40"/>
  <c r="AG9" i="40"/>
  <c r="M82" i="40"/>
  <c r="G9" i="40"/>
  <c r="Q20" i="40"/>
  <c r="F37" i="40"/>
  <c r="AG32" i="40"/>
  <c r="AB81" i="40"/>
  <c r="S37" i="40"/>
  <c r="G7" i="40"/>
  <c r="AK32" i="40"/>
  <c r="AK20" i="40"/>
  <c r="AL20" i="40"/>
  <c r="Q32" i="40"/>
  <c r="O32" i="40"/>
  <c r="N11" i="40"/>
  <c r="AL32" i="40"/>
  <c r="U36" i="40"/>
  <c r="AH9" i="40"/>
  <c r="AL23" i="40"/>
  <c r="E9" i="40"/>
  <c r="K11" i="40"/>
  <c r="AL4" i="40"/>
  <c r="K21" i="40"/>
  <c r="P18" i="40"/>
  <c r="U22" i="40"/>
  <c r="N32" i="40"/>
  <c r="AK18" i="40"/>
  <c r="Y23" i="40"/>
  <c r="AC9" i="40"/>
  <c r="Y12" i="40"/>
  <c r="AF9" i="40"/>
  <c r="S5" i="40"/>
  <c r="S20" i="40"/>
  <c r="M32" i="40"/>
  <c r="AJ27" i="40"/>
  <c r="AF4" i="40"/>
  <c r="AD20" i="40"/>
  <c r="AA78" i="40"/>
  <c r="X27" i="40"/>
  <c r="R28" i="40"/>
  <c r="L4" i="40"/>
  <c r="R21" i="40"/>
  <c r="Z32" i="40"/>
  <c r="M23" i="40"/>
  <c r="Z5" i="40"/>
  <c r="Y26" i="40"/>
  <c r="AF22" i="40"/>
  <c r="AG22" i="40"/>
  <c r="P33" i="40"/>
  <c r="L9" i="40"/>
  <c r="E36" i="40"/>
  <c r="Y4" i="40"/>
  <c r="G33" i="40"/>
  <c r="AH13" i="40"/>
  <c r="AY255" i="31"/>
  <c r="G25" i="40"/>
  <c r="X25" i="40"/>
  <c r="J25" i="40"/>
  <c r="O25" i="40"/>
  <c r="R25" i="40"/>
  <c r="AC25" i="40"/>
  <c r="AH25" i="40"/>
  <c r="AJ25" i="40"/>
  <c r="AK25" i="40"/>
  <c r="E25" i="40"/>
  <c r="AL25" i="40"/>
  <c r="AD25" i="40"/>
  <c r="N25" i="40"/>
  <c r="AF25" i="40"/>
  <c r="AG25" i="40"/>
  <c r="Z25" i="40"/>
  <c r="S25" i="40"/>
  <c r="Y25" i="40"/>
  <c r="P25" i="40"/>
  <c r="F25" i="40"/>
  <c r="L25" i="40"/>
  <c r="Q25" i="40"/>
  <c r="K25" i="40"/>
  <c r="U25" i="40"/>
  <c r="T25" i="40"/>
  <c r="W25" i="40"/>
  <c r="M25" i="40"/>
  <c r="AG79" i="40"/>
  <c r="V82" i="40"/>
  <c r="S80" i="40"/>
  <c r="G28" i="40"/>
  <c r="AC28" i="40"/>
  <c r="K78" i="40"/>
  <c r="W77" i="40"/>
  <c r="H79" i="40"/>
  <c r="N81" i="40"/>
  <c r="Y34" i="40"/>
  <c r="AG20" i="40"/>
  <c r="AD33" i="40"/>
  <c r="N27" i="40"/>
  <c r="F9" i="40"/>
  <c r="AC20" i="40"/>
  <c r="AJ30" i="40"/>
  <c r="U21" i="40"/>
  <c r="AD12" i="40"/>
  <c r="AC8" i="40"/>
  <c r="AK12" i="40"/>
  <c r="N26" i="40"/>
  <c r="AB78" i="40"/>
  <c r="AC82" i="40"/>
  <c r="Z81" i="40"/>
  <c r="Z80" i="40"/>
  <c r="AY256" i="31"/>
  <c r="S28" i="40"/>
  <c r="M33" i="40"/>
  <c r="G26" i="40"/>
  <c r="AL37" i="40"/>
  <c r="T15" i="40"/>
  <c r="S16" i="40"/>
  <c r="S21" i="40"/>
  <c r="R12" i="40"/>
  <c r="K22" i="40"/>
  <c r="T13" i="40"/>
  <c r="N7" i="40"/>
  <c r="N28" i="40"/>
  <c r="S11" i="40"/>
  <c r="W33" i="40"/>
  <c r="AL26" i="40"/>
  <c r="U20" i="40"/>
  <c r="AL21" i="40"/>
  <c r="T79" i="40"/>
  <c r="J77" i="40"/>
  <c r="K82" i="40"/>
  <c r="X79" i="40"/>
  <c r="L78" i="40"/>
  <c r="AG80" i="40"/>
  <c r="V78" i="40"/>
  <c r="N33" i="40"/>
  <c r="E28" i="40"/>
  <c r="AG28" i="40"/>
  <c r="AD82" i="40"/>
  <c r="AD81" i="40"/>
  <c r="Q82" i="40"/>
  <c r="G82" i="40"/>
  <c r="AY258" i="31"/>
  <c r="O6" i="40"/>
  <c r="O28" i="40"/>
  <c r="K26" i="40"/>
  <c r="P27" i="40"/>
  <c r="R20" i="40"/>
  <c r="O33" i="40"/>
  <c r="AJ12" i="40"/>
  <c r="J20" i="40"/>
  <c r="P28" i="40"/>
  <c r="Y21" i="40"/>
  <c r="Q28" i="40"/>
  <c r="L81" i="40"/>
  <c r="Y77" i="40"/>
  <c r="G80" i="40"/>
  <c r="AY259" i="31"/>
  <c r="AC7" i="40"/>
  <c r="R7" i="40"/>
  <c r="S15" i="40"/>
  <c r="F28" i="40"/>
  <c r="X30" i="40"/>
  <c r="Q12" i="40"/>
  <c r="AJ20" i="40"/>
  <c r="Q9" i="40"/>
  <c r="AH20" i="40"/>
  <c r="U9" i="40"/>
  <c r="U30" i="40"/>
  <c r="F11" i="40"/>
  <c r="N77" i="40"/>
  <c r="AJ82" i="40"/>
  <c r="O77" i="40"/>
  <c r="P77" i="40"/>
  <c r="J80" i="40"/>
  <c r="AE78" i="40"/>
  <c r="W79" i="40"/>
  <c r="F82" i="40"/>
  <c r="F81" i="40"/>
  <c r="Y78" i="40"/>
  <c r="AY260" i="31"/>
  <c r="S8" i="40"/>
  <c r="W18" i="40"/>
  <c r="AD28" i="40"/>
  <c r="AH36" i="40"/>
  <c r="J7" i="40"/>
  <c r="AK23" i="40"/>
  <c r="F26" i="40"/>
  <c r="F15" i="40"/>
  <c r="X21" i="40"/>
  <c r="P26" i="40"/>
  <c r="AG26" i="40"/>
  <c r="F13" i="40"/>
  <c r="K32" i="40"/>
  <c r="U7" i="40"/>
  <c r="AJ21" i="40"/>
  <c r="M79" i="40"/>
  <c r="S77" i="40"/>
  <c r="T77" i="40"/>
  <c r="U77" i="40"/>
  <c r="O80" i="40"/>
  <c r="Y82" i="40"/>
  <c r="F77" i="40"/>
  <c r="J79" i="40"/>
  <c r="AK79" i="40"/>
  <c r="Z77" i="40"/>
  <c r="P79" i="40"/>
  <c r="J82" i="40"/>
  <c r="K79" i="40"/>
  <c r="AA77" i="40"/>
  <c r="M81" i="40"/>
  <c r="H77" i="40"/>
  <c r="AB79" i="40"/>
  <c r="Q79" i="40"/>
  <c r="AK81" i="40"/>
  <c r="E26" i="40"/>
  <c r="X19" i="40"/>
  <c r="Q21" i="40"/>
  <c r="AF21" i="40"/>
  <c r="X7" i="40"/>
  <c r="Q33" i="40"/>
  <c r="AH7" i="40"/>
  <c r="AD26" i="40"/>
  <c r="L26" i="40"/>
  <c r="N22" i="40"/>
  <c r="W27" i="40"/>
  <c r="X16" i="40"/>
  <c r="Y33" i="40"/>
  <c r="K8" i="40"/>
  <c r="L27" i="40"/>
  <c r="AF33" i="40"/>
  <c r="AH80" i="40"/>
  <c r="U79" i="40"/>
  <c r="O82" i="40"/>
  <c r="R80" i="40"/>
  <c r="I81" i="40"/>
  <c r="AF79" i="40"/>
  <c r="T80" i="40"/>
  <c r="AI82" i="40"/>
  <c r="W12" i="40"/>
  <c r="E7" i="40"/>
  <c r="AL33" i="40"/>
  <c r="N34" i="40"/>
  <c r="F7" i="40"/>
  <c r="G22" i="40"/>
  <c r="AG21" i="40"/>
  <c r="J21" i="40"/>
  <c r="Y15" i="40"/>
  <c r="X8" i="40"/>
  <c r="N37" i="40"/>
  <c r="O26" i="40"/>
  <c r="T27" i="40"/>
  <c r="R36" i="40"/>
  <c r="AL22" i="40"/>
  <c r="U33" i="40"/>
  <c r="O34" i="40"/>
  <c r="Y11" i="40"/>
  <c r="T32" i="40"/>
  <c r="AF11" i="40"/>
  <c r="E11" i="40"/>
  <c r="AA80" i="40"/>
  <c r="K81" i="40"/>
  <c r="O81" i="40"/>
  <c r="K28" i="40"/>
  <c r="U80" i="40"/>
  <c r="Y7" i="40"/>
  <c r="AH82" i="40"/>
  <c r="W7" i="40"/>
  <c r="R15" i="40"/>
  <c r="E33" i="40"/>
  <c r="E27" i="40"/>
  <c r="AF7" i="40"/>
  <c r="M11" i="40"/>
  <c r="AH22" i="40"/>
  <c r="K7" i="40"/>
  <c r="K9" i="40"/>
  <c r="AJ9" i="40"/>
  <c r="AH21" i="40"/>
  <c r="Y9" i="40"/>
  <c r="Z19" i="40"/>
  <c r="J15" i="40"/>
  <c r="T12" i="40"/>
  <c r="Q80" i="40"/>
  <c r="S79" i="40"/>
  <c r="G81" i="40"/>
  <c r="AD27" i="40"/>
  <c r="Q7" i="40"/>
  <c r="W26" i="40"/>
  <c r="D79" i="40"/>
  <c r="W22" i="40"/>
  <c r="Z20" i="40"/>
  <c r="Z13" i="40"/>
  <c r="L11" i="40"/>
  <c r="AK11" i="40"/>
  <c r="X23" i="40"/>
  <c r="AC12" i="40"/>
  <c r="AF5" i="40"/>
  <c r="AF27" i="40"/>
  <c r="J26" i="40"/>
  <c r="R9" i="40"/>
  <c r="P20" i="40"/>
  <c r="F27" i="40"/>
  <c r="R18" i="40"/>
  <c r="X81" i="40"/>
  <c r="K80" i="40"/>
  <c r="AJ77" i="40"/>
  <c r="F78" i="40"/>
  <c r="AK80" i="40"/>
  <c r="AF77" i="40"/>
  <c r="J81" i="40"/>
  <c r="X80" i="40"/>
  <c r="M27" i="40"/>
  <c r="G27" i="40"/>
  <c r="P21" i="40"/>
  <c r="W30" i="40"/>
  <c r="AJ11" i="40"/>
  <c r="Q13" i="40"/>
  <c r="AD15" i="40"/>
  <c r="S13" i="40"/>
  <c r="L7" i="40"/>
  <c r="P7" i="40"/>
  <c r="AL28" i="40"/>
  <c r="F21" i="40"/>
  <c r="K15" i="40"/>
  <c r="AD30" i="40"/>
  <c r="AD78" i="40"/>
  <c r="V80" i="40"/>
  <c r="Q77" i="40"/>
  <c r="V77" i="40"/>
  <c r="U82" i="40"/>
  <c r="AE82" i="40"/>
  <c r="H78" i="40"/>
  <c r="AA79" i="40"/>
  <c r="P81" i="40"/>
  <c r="I78" i="40"/>
  <c r="T82" i="40"/>
  <c r="AY257" i="31"/>
  <c r="Y20" i="40"/>
  <c r="P78" i="40"/>
  <c r="AE81" i="40"/>
  <c r="AK27" i="40"/>
  <c r="AF13" i="40"/>
  <c r="F22" i="40"/>
  <c r="Z12" i="40"/>
  <c r="Y29" i="40"/>
  <c r="AJ26" i="40"/>
  <c r="AJ7" i="40"/>
  <c r="M7" i="40"/>
  <c r="J12" i="40"/>
  <c r="M15" i="40"/>
  <c r="AD21" i="40"/>
  <c r="AC33" i="40"/>
  <c r="X28" i="40"/>
  <c r="K77" i="40"/>
  <c r="AI80" i="40"/>
  <c r="AH78" i="40"/>
  <c r="AI78" i="40"/>
  <c r="S82" i="40"/>
  <c r="AC77" i="40"/>
  <c r="I79" i="40"/>
  <c r="G79" i="40"/>
  <c r="V79" i="40"/>
  <c r="Z7" i="40"/>
  <c r="T16" i="40"/>
  <c r="Z33" i="40"/>
  <c r="T78" i="40"/>
  <c r="Y81" i="40"/>
  <c r="P82" i="40"/>
  <c r="I82" i="40"/>
  <c r="N80" i="40"/>
  <c r="S81" i="40"/>
  <c r="AD79" i="40"/>
  <c r="X82" i="40"/>
  <c r="H82" i="40"/>
  <c r="T81" i="40"/>
  <c r="AB77" i="40"/>
  <c r="AL81" i="40"/>
  <c r="F33" i="40"/>
  <c r="J28" i="40"/>
  <c r="AC27" i="40"/>
  <c r="Q8" i="40"/>
  <c r="W81" i="40"/>
  <c r="L80" i="40"/>
  <c r="M80" i="40"/>
  <c r="AJ79" i="40"/>
  <c r="AK77" i="40"/>
  <c r="G16" i="40"/>
  <c r="X12" i="40"/>
  <c r="R33" i="40"/>
  <c r="AJ28" i="40"/>
  <c r="U28" i="40"/>
  <c r="J33" i="40"/>
  <c r="L34" i="40"/>
  <c r="AL77" i="40"/>
  <c r="L79" i="40"/>
  <c r="N78" i="40"/>
  <c r="O78" i="40"/>
  <c r="Z82" i="40"/>
  <c r="AB82" i="40"/>
  <c r="F80" i="40"/>
  <c r="O21" i="40"/>
  <c r="J22" i="40"/>
  <c r="Y22" i="40"/>
  <c r="T33" i="40"/>
  <c r="W28" i="40"/>
  <c r="E21" i="40"/>
  <c r="AJ80" i="40"/>
  <c r="X78" i="40"/>
  <c r="U32" i="40"/>
  <c r="T20" i="40"/>
  <c r="AD22" i="40"/>
  <c r="Y30" i="40"/>
  <c r="P13" i="40"/>
  <c r="AK36" i="40"/>
  <c r="U15" i="40"/>
  <c r="P12" i="40"/>
  <c r="R27" i="40"/>
  <c r="W15" i="40"/>
  <c r="P11" i="40"/>
  <c r="D82" i="40"/>
  <c r="AK7" i="40"/>
  <c r="X13" i="40"/>
  <c r="AG27" i="40"/>
  <c r="S7" i="40"/>
  <c r="T22" i="40"/>
  <c r="AK82" i="40"/>
  <c r="G78" i="40"/>
  <c r="U78" i="40"/>
  <c r="AB80" i="40"/>
  <c r="AA81" i="40"/>
  <c r="AI77" i="40"/>
  <c r="AI79" i="40"/>
  <c r="AL78" i="40"/>
  <c r="AF81" i="40"/>
  <c r="AC79" i="40"/>
  <c r="W82" i="40"/>
  <c r="AE77" i="40"/>
  <c r="AG77" i="40"/>
  <c r="AG82" i="40"/>
  <c r="Y79" i="40"/>
  <c r="R79" i="40"/>
  <c r="AD7" i="40"/>
  <c r="AH28" i="40"/>
  <c r="AL27" i="40"/>
  <c r="L8" i="40"/>
  <c r="O27" i="40"/>
  <c r="L28" i="40"/>
  <c r="Q26" i="40"/>
  <c r="AC78" i="40"/>
  <c r="AK78" i="40"/>
  <c r="W80" i="40"/>
  <c r="R77" i="40"/>
  <c r="P80" i="40"/>
  <c r="AD77" i="40"/>
  <c r="AJ78" i="40"/>
  <c r="AE80" i="40"/>
  <c r="L33" i="40"/>
  <c r="T7" i="40"/>
  <c r="J78" i="40"/>
  <c r="AJ33" i="40"/>
  <c r="N13" i="40"/>
  <c r="AG7" i="40"/>
  <c r="T21" i="40"/>
  <c r="AF80" i="40"/>
  <c r="AH79" i="40"/>
  <c r="H81" i="40"/>
  <c r="AG81" i="40"/>
  <c r="AL79" i="40"/>
  <c r="AL13" i="40"/>
  <c r="W8" i="40"/>
  <c r="L15" i="40"/>
  <c r="AH12" i="40"/>
  <c r="AF15" i="40"/>
  <c r="AH27" i="40"/>
  <c r="N21" i="40"/>
  <c r="K33" i="40"/>
  <c r="U13" i="40"/>
  <c r="AD4" i="40"/>
  <c r="P22" i="40"/>
  <c r="Y18" i="40"/>
  <c r="G13" i="40"/>
  <c r="AF28" i="40"/>
  <c r="G20" i="40"/>
  <c r="F12" i="40"/>
  <c r="AK9" i="40"/>
  <c r="Y13" i="40"/>
  <c r="M12" i="40"/>
  <c r="O8" i="40"/>
  <c r="V81" i="40"/>
  <c r="I77" i="40"/>
  <c r="N82" i="40"/>
  <c r="S78" i="40"/>
  <c r="W78" i="40"/>
  <c r="AF82" i="40"/>
  <c r="F79" i="40"/>
  <c r="AH81" i="40"/>
  <c r="AE79" i="40"/>
  <c r="U81" i="40"/>
  <c r="AA82" i="40"/>
  <c r="R29" i="40"/>
  <c r="U19" i="40"/>
  <c r="AC23" i="40"/>
  <c r="M34" i="40"/>
  <c r="N19" i="40"/>
  <c r="AC5" i="40"/>
  <c r="L23" i="40"/>
  <c r="Y16" i="40"/>
  <c r="AD18" i="40"/>
  <c r="Y6" i="40"/>
  <c r="Y35" i="40"/>
  <c r="J18" i="40"/>
  <c r="O23" i="40"/>
  <c r="L18" i="40"/>
  <c r="X22" i="40"/>
  <c r="AH19" i="40"/>
  <c r="AD16" i="40"/>
  <c r="K4" i="40"/>
  <c r="E19" i="40"/>
  <c r="O16" i="40"/>
  <c r="Q6" i="40"/>
  <c r="AC4" i="40"/>
  <c r="AL19" i="40"/>
  <c r="M22" i="40"/>
  <c r="S6" i="40"/>
  <c r="AF35" i="40"/>
  <c r="K29" i="40"/>
  <c r="L22" i="40"/>
  <c r="T19" i="40"/>
  <c r="AD8" i="40"/>
  <c r="O36" i="40"/>
  <c r="N20" i="40"/>
  <c r="G29" i="40"/>
  <c r="AJ18" i="40"/>
  <c r="T9" i="40"/>
  <c r="T34" i="40"/>
  <c r="X34" i="40"/>
  <c r="E29" i="40"/>
  <c r="AD19" i="40"/>
  <c r="AC6" i="40"/>
  <c r="AC35" i="40"/>
  <c r="L35" i="40"/>
  <c r="Z34" i="40"/>
  <c r="T35" i="40"/>
  <c r="G19" i="40"/>
  <c r="K35" i="40"/>
  <c r="Z35" i="40"/>
  <c r="AG35" i="40"/>
  <c r="Z6" i="40"/>
  <c r="J23" i="40"/>
  <c r="E23" i="40"/>
  <c r="D78" i="40"/>
  <c r="E8" i="40"/>
  <c r="AF23" i="40"/>
  <c r="AK30" i="40"/>
  <c r="W29" i="40"/>
  <c r="Q11" i="40"/>
  <c r="Q16" i="40"/>
  <c r="F8" i="40"/>
  <c r="AG8" i="40"/>
  <c r="AH23" i="40"/>
  <c r="AJ6" i="40"/>
  <c r="M35" i="40"/>
  <c r="G11" i="40"/>
  <c r="N6" i="40"/>
  <c r="Z37" i="40"/>
  <c r="E35" i="40"/>
  <c r="AJ4" i="40"/>
  <c r="AL34" i="40"/>
  <c r="AG16" i="40"/>
  <c r="Y37" i="40"/>
  <c r="R22" i="40"/>
  <c r="K16" i="40"/>
  <c r="E16" i="40"/>
  <c r="F5" i="40"/>
  <c r="L30" i="40"/>
  <c r="M30" i="40"/>
  <c r="R4" i="40"/>
  <c r="M9" i="40"/>
  <c r="U11" i="40"/>
  <c r="AL8" i="40"/>
  <c r="G18" i="40"/>
  <c r="T11" i="40"/>
  <c r="W11" i="40"/>
  <c r="E20" i="40"/>
  <c r="R23" i="40"/>
  <c r="W34" i="40"/>
  <c r="Q23" i="40"/>
  <c r="E80" i="40"/>
  <c r="D80" i="40"/>
  <c r="E77" i="40"/>
  <c r="T29" i="40"/>
  <c r="U35" i="40"/>
  <c r="X29" i="40"/>
  <c r="L6" i="40"/>
  <c r="Q35" i="40"/>
  <c r="AC18" i="40"/>
  <c r="P6" i="40"/>
  <c r="AH29" i="40"/>
  <c r="M19" i="40"/>
  <c r="O19" i="40"/>
  <c r="E82" i="40"/>
  <c r="T6" i="40"/>
  <c r="Z29" i="40"/>
  <c r="AL35" i="40"/>
  <c r="U18" i="40"/>
  <c r="E78" i="40"/>
  <c r="AK19" i="40"/>
  <c r="R6" i="40"/>
  <c r="AH30" i="40"/>
  <c r="G5" i="40"/>
  <c r="S19" i="40"/>
  <c r="AL30" i="40"/>
  <c r="Q34" i="40"/>
  <c r="J5" i="40"/>
  <c r="P30" i="40"/>
  <c r="AK34" i="40"/>
  <c r="AF18" i="40"/>
  <c r="Z4" i="40"/>
  <c r="E5" i="40"/>
  <c r="F30" i="40"/>
  <c r="AL29" i="40"/>
  <c r="K19" i="40"/>
  <c r="AF36" i="40"/>
  <c r="AC19" i="40"/>
  <c r="W35" i="40"/>
  <c r="AF6" i="40"/>
  <c r="F34" i="40"/>
  <c r="U6" i="40"/>
  <c r="AG34" i="40"/>
  <c r="Z8" i="40"/>
  <c r="J29" i="40"/>
  <c r="AH5" i="40"/>
  <c r="F32" i="40"/>
  <c r="X4" i="40"/>
  <c r="J35" i="40"/>
  <c r="O22" i="40"/>
  <c r="L37" i="40"/>
  <c r="P5" i="40"/>
  <c r="AF29" i="40"/>
  <c r="R5" i="40"/>
  <c r="Z22" i="40"/>
  <c r="F16" i="40"/>
  <c r="R37" i="40"/>
  <c r="AG4" i="40"/>
  <c r="O35" i="40"/>
  <c r="J6" i="40"/>
  <c r="W19" i="40"/>
  <c r="W6" i="40"/>
  <c r="J19" i="40"/>
  <c r="AC34" i="40"/>
  <c r="AD34" i="40"/>
  <c r="AF34" i="40"/>
  <c r="AG6" i="40"/>
  <c r="F6" i="40"/>
  <c r="S18" i="40"/>
  <c r="U23" i="40"/>
  <c r="R30" i="40"/>
  <c r="W23" i="40"/>
  <c r="Y8" i="40"/>
  <c r="AG18" i="40"/>
  <c r="K18" i="40"/>
  <c r="AD6" i="40"/>
  <c r="AL18" i="40"/>
  <c r="AC22" i="40"/>
  <c r="R16" i="40"/>
  <c r="AH11" i="40"/>
  <c r="F19" i="40"/>
  <c r="G8" i="40"/>
  <c r="O11" i="40"/>
  <c r="AC29" i="40"/>
  <c r="Y19" i="40"/>
  <c r="T18" i="40"/>
  <c r="S23" i="40"/>
  <c r="S34" i="40"/>
  <c r="AJ29" i="40"/>
  <c r="J36" i="40"/>
  <c r="M20" i="40"/>
  <c r="F4" i="40"/>
  <c r="R11" i="40"/>
  <c r="AH34" i="40"/>
  <c r="J32" i="40"/>
  <c r="U34" i="40"/>
  <c r="K12" i="40"/>
  <c r="W9" i="40"/>
  <c r="O20" i="40"/>
  <c r="J8" i="40"/>
  <c r="P34" i="40"/>
  <c r="R34" i="40"/>
  <c r="E4" i="40"/>
  <c r="J27" i="40"/>
  <c r="P29" i="40"/>
  <c r="AJ34" i="40"/>
  <c r="AL11" i="40"/>
  <c r="P23" i="40"/>
  <c r="E22" i="40"/>
  <c r="G4" i="40"/>
  <c r="Q36" i="40"/>
  <c r="AL5" i="40"/>
  <c r="W4" i="40"/>
  <c r="AH18" i="40"/>
  <c r="Z16" i="40"/>
  <c r="X35" i="40"/>
  <c r="AF37" i="40"/>
  <c r="E37" i="40"/>
  <c r="M28" i="40"/>
  <c r="AC21" i="40"/>
  <c r="AH8" i="40"/>
  <c r="F35" i="40"/>
  <c r="AJ37" i="40"/>
  <c r="U12" i="40"/>
  <c r="D77" i="40"/>
  <c r="G12" i="40"/>
  <c r="J13" i="40"/>
  <c r="AJ35" i="40"/>
  <c r="Z9" i="40"/>
  <c r="AD29" i="40"/>
  <c r="AD23" i="40"/>
  <c r="AK8" i="40"/>
  <c r="J34" i="40"/>
  <c r="AF30" i="40"/>
  <c r="AH6" i="40"/>
  <c r="Q18" i="40"/>
  <c r="L16" i="40"/>
  <c r="F29" i="40"/>
  <c r="L29" i="40"/>
  <c r="N36" i="40"/>
  <c r="W16" i="40"/>
  <c r="P8" i="40"/>
  <c r="AK28" i="40"/>
  <c r="Q22" i="40"/>
  <c r="N23" i="40"/>
  <c r="X11" i="40"/>
  <c r="AD35" i="40"/>
  <c r="M8" i="40"/>
  <c r="AC16" i="40"/>
  <c r="K13" i="40"/>
  <c r="G6" i="40"/>
  <c r="E6" i="40"/>
  <c r="N35" i="40"/>
  <c r="T23" i="40"/>
  <c r="AL6" i="40"/>
  <c r="O18" i="40"/>
  <c r="AD37" i="40"/>
  <c r="D81" i="40"/>
  <c r="AK29" i="40"/>
  <c r="S29" i="40"/>
  <c r="M18" i="40"/>
  <c r="U29" i="40"/>
  <c r="AJ16" i="40"/>
  <c r="G37" i="40"/>
  <c r="AL36" i="40"/>
  <c r="N9" i="40"/>
  <c r="Q30" i="40"/>
  <c r="AH35" i="40"/>
  <c r="AG23" i="40"/>
  <c r="N12" i="40"/>
  <c r="T36" i="40"/>
  <c r="O29" i="40"/>
  <c r="R32" i="40"/>
  <c r="P37" i="40"/>
  <c r="W5" i="40"/>
  <c r="AF19" i="40"/>
  <c r="E34" i="40"/>
  <c r="AF16" i="40"/>
  <c r="AG29" i="40"/>
  <c r="K30" i="40"/>
  <c r="K23" i="40"/>
  <c r="Z18" i="40"/>
  <c r="M16" i="40"/>
  <c r="N16" i="40"/>
  <c r="K6" i="40"/>
  <c r="K37" i="40"/>
  <c r="AL9" i="40"/>
  <c r="G32" i="40"/>
  <c r="X9" i="40"/>
  <c r="J37" i="40"/>
  <c r="Q37" i="40"/>
  <c r="AK6" i="40"/>
  <c r="M6" i="40"/>
  <c r="Y28" i="40"/>
  <c r="AG19" i="40"/>
  <c r="AK35" i="40"/>
  <c r="R35" i="40"/>
  <c r="E79" i="40"/>
  <c r="AK5" i="40"/>
  <c r="J16" i="40"/>
  <c r="Q29" i="40"/>
  <c r="S35" i="40"/>
  <c r="G23" i="40"/>
  <c r="L19" i="40"/>
  <c r="AH16" i="40"/>
  <c r="E81" i="40"/>
  <c r="Y32" i="40"/>
  <c r="P19" i="40"/>
  <c r="G35" i="40"/>
  <c r="AK16" i="40"/>
  <c r="AL16" i="40"/>
  <c r="M29" i="40"/>
  <c r="AD13" i="40"/>
  <c r="U4" i="40"/>
  <c r="N5" i="40"/>
  <c r="AC11" i="40"/>
  <c r="AH37" i="40"/>
  <c r="AH4" i="40"/>
  <c r="X5" i="40"/>
  <c r="G30" i="40"/>
  <c r="AJ19" i="40"/>
  <c r="G34" i="40"/>
  <c r="M4" i="40"/>
  <c r="AJ8" i="40"/>
  <c r="X18" i="40"/>
  <c r="Q19" i="40"/>
  <c r="F18" i="40"/>
  <c r="AJ5" i="40"/>
  <c r="AF8" i="40"/>
  <c r="N8" i="40"/>
  <c r="AJ13" i="40"/>
  <c r="AX258" i="31"/>
  <c r="AX260" i="31"/>
  <c r="AX259" i="31"/>
  <c r="AX256" i="31"/>
  <c r="AX257" i="31"/>
  <c r="AX255" i="31"/>
  <c r="AO12" i="40" l="1"/>
  <c r="AO28" i="40"/>
  <c r="AO27" i="40"/>
  <c r="AO21" i="40"/>
  <c r="AO26" i="40"/>
  <c r="AO33" i="40"/>
  <c r="AO9" i="40"/>
  <c r="AO7" i="40"/>
  <c r="AO13" i="40"/>
  <c r="AO22" i="40"/>
  <c r="AO25" i="40"/>
  <c r="AO15" i="40"/>
  <c r="AO18" i="40"/>
  <c r="AO30" i="40"/>
  <c r="AO32" i="40"/>
  <c r="AO36" i="40"/>
  <c r="AO11" i="40"/>
  <c r="AO29" i="40"/>
  <c r="AO34" i="40"/>
  <c r="AO20" i="40"/>
  <c r="AO8" i="40"/>
  <c r="AO4" i="40"/>
  <c r="AO5" i="40"/>
  <c r="AO16" i="40"/>
  <c r="AO23" i="40"/>
  <c r="AO6" i="40"/>
  <c r="AO19" i="40"/>
  <c r="AO37" i="40"/>
  <c r="AO35" i="40"/>
  <c r="M241" i="31"/>
  <c r="N241" i="31"/>
  <c r="O241" i="31"/>
  <c r="P241" i="31"/>
  <c r="Q241" i="31"/>
  <c r="R241" i="31"/>
  <c r="S241" i="31"/>
  <c r="T241" i="31"/>
  <c r="U241" i="31"/>
  <c r="V241" i="31"/>
  <c r="W241" i="31"/>
  <c r="X241" i="31"/>
  <c r="Y241" i="31"/>
  <c r="Z241" i="31"/>
  <c r="AA241" i="31"/>
  <c r="AB241" i="31"/>
  <c r="AC241" i="31"/>
  <c r="AD241" i="31"/>
  <c r="AE241" i="31"/>
  <c r="AF241" i="31"/>
  <c r="AG241" i="31"/>
  <c r="AH241" i="31"/>
  <c r="AI241" i="31"/>
  <c r="AJ241" i="31"/>
  <c r="AK241" i="31"/>
  <c r="AL241" i="31"/>
  <c r="AM241" i="31"/>
  <c r="AN241" i="31"/>
  <c r="AO241" i="31"/>
  <c r="AP241" i="31"/>
  <c r="AQ241" i="31"/>
  <c r="AR241" i="31"/>
  <c r="AS241" i="31"/>
  <c r="AT241" i="31"/>
  <c r="AU241" i="31"/>
  <c r="M242" i="31"/>
  <c r="N242" i="31"/>
  <c r="O242" i="31"/>
  <c r="P242" i="31"/>
  <c r="Q242" i="31"/>
  <c r="R242" i="31"/>
  <c r="S242" i="31"/>
  <c r="T242" i="31"/>
  <c r="U242" i="31"/>
  <c r="V242" i="31"/>
  <c r="W242" i="31"/>
  <c r="X242" i="31"/>
  <c r="Y242" i="31"/>
  <c r="Z242" i="31"/>
  <c r="AA242" i="31"/>
  <c r="AB242" i="31"/>
  <c r="AC242" i="31"/>
  <c r="AD242" i="31"/>
  <c r="AE242" i="31"/>
  <c r="AF242" i="31"/>
  <c r="AG242" i="31"/>
  <c r="AH242" i="31"/>
  <c r="AI242" i="31"/>
  <c r="AJ242" i="31"/>
  <c r="AK242" i="31"/>
  <c r="AL242" i="31"/>
  <c r="AM242" i="31"/>
  <c r="AN242" i="31"/>
  <c r="AO242" i="31"/>
  <c r="AP242" i="31"/>
  <c r="AQ242" i="31"/>
  <c r="AR242" i="31"/>
  <c r="AS242" i="31"/>
  <c r="AT242" i="31"/>
  <c r="AU242" i="31"/>
  <c r="M243" i="31"/>
  <c r="N243" i="31"/>
  <c r="O243" i="31"/>
  <c r="P243" i="31"/>
  <c r="Q243" i="31"/>
  <c r="R243" i="31"/>
  <c r="S243" i="31"/>
  <c r="T243" i="31"/>
  <c r="U243" i="31"/>
  <c r="V243" i="31"/>
  <c r="W243" i="31"/>
  <c r="X243" i="31"/>
  <c r="Y243" i="31"/>
  <c r="Z243" i="31"/>
  <c r="AA243" i="31"/>
  <c r="AB243" i="31"/>
  <c r="AC243" i="31"/>
  <c r="AD243" i="31"/>
  <c r="AE243" i="31"/>
  <c r="AF243" i="31"/>
  <c r="AG243" i="31"/>
  <c r="AH243" i="31"/>
  <c r="AI243" i="31"/>
  <c r="AJ243" i="31"/>
  <c r="AK243" i="31"/>
  <c r="AL243" i="31"/>
  <c r="AM243" i="31"/>
  <c r="AN243" i="31"/>
  <c r="AO243" i="31"/>
  <c r="AP243" i="31"/>
  <c r="AQ243" i="31"/>
  <c r="AR243" i="31"/>
  <c r="AS243" i="31"/>
  <c r="AT243" i="31"/>
  <c r="AU243" i="31"/>
  <c r="M244" i="31"/>
  <c r="N244" i="31"/>
  <c r="O244" i="31"/>
  <c r="P244" i="31"/>
  <c r="Q244" i="31"/>
  <c r="R244" i="31"/>
  <c r="S244" i="31"/>
  <c r="T244" i="31"/>
  <c r="U244" i="31"/>
  <c r="V244" i="31"/>
  <c r="W244" i="31"/>
  <c r="X244" i="31"/>
  <c r="Y244" i="31"/>
  <c r="Z244" i="31"/>
  <c r="AA244" i="31"/>
  <c r="AB244" i="31"/>
  <c r="AC244" i="31"/>
  <c r="AD244" i="31"/>
  <c r="AE244" i="31"/>
  <c r="AF244" i="31"/>
  <c r="AG244" i="31"/>
  <c r="AH244" i="31"/>
  <c r="AI244" i="31"/>
  <c r="AJ244" i="31"/>
  <c r="AK244" i="31"/>
  <c r="AL244" i="31"/>
  <c r="AM244" i="31"/>
  <c r="AN244" i="31"/>
  <c r="AO244" i="31"/>
  <c r="AP244" i="31"/>
  <c r="AQ244" i="31"/>
  <c r="AR244" i="31"/>
  <c r="AS244" i="31"/>
  <c r="AT244" i="31"/>
  <c r="AU244" i="31"/>
  <c r="M245" i="31"/>
  <c r="N245" i="31"/>
  <c r="O245" i="31"/>
  <c r="P245" i="31"/>
  <c r="Q245" i="31"/>
  <c r="R245" i="31"/>
  <c r="S245" i="31"/>
  <c r="T245" i="31"/>
  <c r="U245" i="31"/>
  <c r="V245" i="31"/>
  <c r="W245" i="31"/>
  <c r="X245" i="31"/>
  <c r="Y245" i="31"/>
  <c r="Z245" i="31"/>
  <c r="AA245" i="31"/>
  <c r="AB245" i="31"/>
  <c r="AC245" i="31"/>
  <c r="AD245" i="31"/>
  <c r="AE245" i="31"/>
  <c r="AF245" i="31"/>
  <c r="AG245" i="31"/>
  <c r="AH245" i="31"/>
  <c r="AI245" i="31"/>
  <c r="AJ245" i="31"/>
  <c r="AK245" i="31"/>
  <c r="AL245" i="31"/>
  <c r="AM245" i="31"/>
  <c r="AN245" i="31"/>
  <c r="AO245" i="31"/>
  <c r="AP245" i="31"/>
  <c r="AQ245" i="31"/>
  <c r="AR245" i="31"/>
  <c r="AS245" i="31"/>
  <c r="AT245" i="31"/>
  <c r="AU245" i="31"/>
  <c r="M246" i="31"/>
  <c r="N246" i="31"/>
  <c r="O246" i="31"/>
  <c r="P246" i="31"/>
  <c r="Q246" i="31"/>
  <c r="R246" i="31"/>
  <c r="S246" i="31"/>
  <c r="T246" i="31"/>
  <c r="U246" i="31"/>
  <c r="V246" i="31"/>
  <c r="W246" i="31"/>
  <c r="X246" i="31"/>
  <c r="Y246" i="31"/>
  <c r="Z246" i="31"/>
  <c r="AA246" i="31"/>
  <c r="AB246" i="31"/>
  <c r="AC246" i="31"/>
  <c r="AD246" i="31"/>
  <c r="AE246" i="31"/>
  <c r="AF246" i="31"/>
  <c r="AG246" i="31"/>
  <c r="AH246" i="31"/>
  <c r="AI246" i="31"/>
  <c r="AJ246" i="31"/>
  <c r="AK246" i="31"/>
  <c r="AL246" i="31"/>
  <c r="AM246" i="31"/>
  <c r="AN246" i="31"/>
  <c r="AO246" i="31"/>
  <c r="AP246" i="31"/>
  <c r="AQ246" i="31"/>
  <c r="AR246" i="31"/>
  <c r="AS246" i="31"/>
  <c r="AT246" i="31"/>
  <c r="AU246" i="31"/>
  <c r="M248" i="31"/>
  <c r="N248" i="31"/>
  <c r="O248" i="31"/>
  <c r="P248" i="31"/>
  <c r="Q248" i="31"/>
  <c r="R248" i="31"/>
  <c r="S248" i="31"/>
  <c r="T248" i="31"/>
  <c r="U248" i="31"/>
  <c r="V248" i="31"/>
  <c r="W248" i="31"/>
  <c r="X248" i="31"/>
  <c r="Y248" i="31"/>
  <c r="Z248" i="31"/>
  <c r="AA248" i="31"/>
  <c r="AB248" i="31"/>
  <c r="AC248" i="31"/>
  <c r="AD248" i="31"/>
  <c r="AE248" i="31"/>
  <c r="AF248" i="31"/>
  <c r="AG248" i="31"/>
  <c r="AH248" i="31"/>
  <c r="AI248" i="31"/>
  <c r="AJ248" i="31"/>
  <c r="AK248" i="31"/>
  <c r="AL248" i="31"/>
  <c r="AM248" i="31"/>
  <c r="AN248" i="31"/>
  <c r="AO248" i="31"/>
  <c r="AP248" i="31"/>
  <c r="AQ248" i="31"/>
  <c r="AR248" i="31"/>
  <c r="AS248" i="31"/>
  <c r="AT248" i="31"/>
  <c r="AU248" i="31"/>
  <c r="M249" i="31"/>
  <c r="N249" i="31"/>
  <c r="O249" i="31"/>
  <c r="P249" i="31"/>
  <c r="Q249" i="31"/>
  <c r="R249" i="31"/>
  <c r="S249" i="31"/>
  <c r="T249" i="31"/>
  <c r="U249" i="31"/>
  <c r="V249" i="31"/>
  <c r="W249" i="31"/>
  <c r="X249" i="31"/>
  <c r="Y249" i="31"/>
  <c r="Z249" i="31"/>
  <c r="AA249" i="31"/>
  <c r="AB249" i="31"/>
  <c r="AC249" i="31"/>
  <c r="AD249" i="31"/>
  <c r="AE249" i="31"/>
  <c r="AF249" i="31"/>
  <c r="AG249" i="31"/>
  <c r="AH249" i="31"/>
  <c r="AI249" i="31"/>
  <c r="AJ249" i="31"/>
  <c r="AK249" i="31"/>
  <c r="AL249" i="31"/>
  <c r="AM249" i="31"/>
  <c r="AN249" i="31"/>
  <c r="AO249" i="31"/>
  <c r="AP249" i="31"/>
  <c r="AQ249" i="31"/>
  <c r="AR249" i="31"/>
  <c r="AS249" i="31"/>
  <c r="AT249" i="31"/>
  <c r="AU249" i="31"/>
  <c r="M250" i="31"/>
  <c r="N250" i="31"/>
  <c r="O250" i="31"/>
  <c r="P250" i="31"/>
  <c r="Q250" i="31"/>
  <c r="R250" i="31"/>
  <c r="S250" i="31"/>
  <c r="T250" i="31"/>
  <c r="U250" i="31"/>
  <c r="V250" i="31"/>
  <c r="W250" i="31"/>
  <c r="X250" i="31"/>
  <c r="Y250" i="31"/>
  <c r="Z250" i="31"/>
  <c r="AA250" i="31"/>
  <c r="AB250" i="31"/>
  <c r="AC250" i="31"/>
  <c r="AD250" i="31"/>
  <c r="AE250" i="31"/>
  <c r="AF250" i="31"/>
  <c r="AG250" i="31"/>
  <c r="AH250" i="31"/>
  <c r="AI250" i="31"/>
  <c r="AJ250" i="31"/>
  <c r="AK250" i="31"/>
  <c r="AL250" i="31"/>
  <c r="AM250" i="31"/>
  <c r="AN250" i="31"/>
  <c r="AO250" i="31"/>
  <c r="AP250" i="31"/>
  <c r="AQ250" i="31"/>
  <c r="AR250" i="31"/>
  <c r="AS250" i="31"/>
  <c r="AT250" i="31"/>
  <c r="AU250" i="31"/>
  <c r="M251" i="31"/>
  <c r="N251" i="31"/>
  <c r="O251" i="31"/>
  <c r="P251" i="31"/>
  <c r="Q251" i="31"/>
  <c r="R251" i="31"/>
  <c r="S251" i="31"/>
  <c r="T251" i="31"/>
  <c r="U251" i="31"/>
  <c r="V251" i="31"/>
  <c r="W251" i="31"/>
  <c r="X251" i="31"/>
  <c r="Y251" i="31"/>
  <c r="Z251" i="31"/>
  <c r="AA251" i="31"/>
  <c r="AB251" i="31"/>
  <c r="AC251" i="31"/>
  <c r="AD251" i="31"/>
  <c r="AE251" i="31"/>
  <c r="AF251" i="31"/>
  <c r="AG251" i="31"/>
  <c r="AH251" i="31"/>
  <c r="AI251" i="31"/>
  <c r="AJ251" i="31"/>
  <c r="AK251" i="31"/>
  <c r="AL251" i="31"/>
  <c r="AM251" i="31"/>
  <c r="AN251" i="31"/>
  <c r="AO251" i="31"/>
  <c r="AP251" i="31"/>
  <c r="AQ251" i="31"/>
  <c r="AR251" i="31"/>
  <c r="AS251" i="31"/>
  <c r="AT251" i="31"/>
  <c r="AU251" i="31"/>
  <c r="M252" i="31"/>
  <c r="N252" i="31"/>
  <c r="O252" i="31"/>
  <c r="P252" i="31"/>
  <c r="Q252" i="31"/>
  <c r="R252" i="31"/>
  <c r="S252" i="31"/>
  <c r="T252" i="31"/>
  <c r="U252" i="31"/>
  <c r="V252" i="31"/>
  <c r="W252" i="31"/>
  <c r="X252" i="31"/>
  <c r="Y252" i="31"/>
  <c r="Z252" i="31"/>
  <c r="AA252" i="31"/>
  <c r="AB252" i="31"/>
  <c r="AC252" i="31"/>
  <c r="AD252" i="31"/>
  <c r="AE252" i="31"/>
  <c r="AF252" i="31"/>
  <c r="AG252" i="31"/>
  <c r="AH252" i="31"/>
  <c r="AI252" i="31"/>
  <c r="AJ252" i="31"/>
  <c r="AK252" i="31"/>
  <c r="AL252" i="31"/>
  <c r="AM252" i="31"/>
  <c r="AN252" i="31"/>
  <c r="AO252" i="31"/>
  <c r="AP252" i="31"/>
  <c r="AQ252" i="31"/>
  <c r="AR252" i="31"/>
  <c r="AS252" i="31"/>
  <c r="AT252" i="31"/>
  <c r="AU252" i="31"/>
  <c r="M253" i="31"/>
  <c r="N253" i="31"/>
  <c r="O253" i="31"/>
  <c r="P253" i="31"/>
  <c r="Q253" i="31"/>
  <c r="R253" i="31"/>
  <c r="S253" i="31"/>
  <c r="T253" i="31"/>
  <c r="U253" i="31"/>
  <c r="V253" i="31"/>
  <c r="W253" i="31"/>
  <c r="X253" i="31"/>
  <c r="Y253" i="31"/>
  <c r="Z253" i="31"/>
  <c r="AA253" i="31"/>
  <c r="AB253" i="31"/>
  <c r="AC253" i="31"/>
  <c r="AD253" i="31"/>
  <c r="AE253" i="31"/>
  <c r="AF253" i="31"/>
  <c r="AG253" i="31"/>
  <c r="AH253" i="31"/>
  <c r="AI253" i="31"/>
  <c r="AJ253" i="31"/>
  <c r="AK253" i="31"/>
  <c r="AL253" i="31"/>
  <c r="AM253" i="31"/>
  <c r="AN253" i="31"/>
  <c r="AO253" i="31"/>
  <c r="AP253" i="31"/>
  <c r="AQ253" i="31"/>
  <c r="AR253" i="31"/>
  <c r="AS253" i="31"/>
  <c r="AT253" i="31"/>
  <c r="AU253" i="31"/>
  <c r="L248" i="31"/>
  <c r="L249" i="31"/>
  <c r="L250" i="31"/>
  <c r="L251" i="31"/>
  <c r="L252" i="31"/>
  <c r="L253" i="31"/>
  <c r="L242" i="31"/>
  <c r="L243" i="31"/>
  <c r="L244" i="31"/>
  <c r="L245" i="31"/>
  <c r="L246" i="31"/>
  <c r="L241" i="31"/>
  <c r="AY245" i="31" l="1"/>
  <c r="AY252" i="31"/>
  <c r="AY242" i="31"/>
  <c r="AY253" i="31"/>
  <c r="AY246" i="31"/>
  <c r="AY244" i="31"/>
  <c r="AY250" i="31"/>
  <c r="AY243" i="31"/>
  <c r="AY241" i="31"/>
  <c r="AY251" i="31"/>
  <c r="AY249" i="31"/>
  <c r="AY248" i="31"/>
  <c r="AX252" i="31"/>
  <c r="AX249" i="31"/>
  <c r="AX248" i="31"/>
  <c r="AX251" i="31"/>
  <c r="AX242" i="31"/>
  <c r="AX244" i="31"/>
  <c r="AX246" i="31"/>
  <c r="AX253" i="31"/>
  <c r="AX241" i="31"/>
  <c r="AX243" i="31"/>
  <c r="AX245" i="31"/>
  <c r="AX250" i="31"/>
  <c r="E50" i="38" l="1"/>
  <c r="E51" i="38" s="1"/>
  <c r="E52" i="38" s="1"/>
  <c r="E48" i="38"/>
  <c r="E49" i="38" s="1"/>
  <c r="G36" i="38" l="1"/>
  <c r="G35" i="38"/>
  <c r="G34" i="38"/>
  <c r="G32" i="38"/>
  <c r="O232" i="31" l="1"/>
  <c r="V232" i="31"/>
  <c r="AF232" i="31"/>
  <c r="AH232" i="31"/>
  <c r="N232" i="31"/>
  <c r="AG232" i="31"/>
  <c r="U232" i="31"/>
  <c r="W232" i="31"/>
  <c r="Y232" i="31"/>
  <c r="AU232" i="31"/>
  <c r="Z232" i="31"/>
  <c r="AB232" i="31"/>
  <c r="AC232" i="31"/>
  <c r="AE232" i="31"/>
  <c r="AL232" i="31"/>
  <c r="AN232" i="31"/>
  <c r="AO232" i="31"/>
  <c r="S232" i="31"/>
  <c r="T232" i="31"/>
  <c r="AP232" i="31"/>
  <c r="AT232" i="31"/>
  <c r="R232" i="31"/>
  <c r="AK232" i="31"/>
  <c r="AS232" i="31"/>
  <c r="AR232" i="31"/>
  <c r="Q232" i="31"/>
  <c r="AD232" i="31"/>
  <c r="AM232" i="31"/>
  <c r="L232" i="31"/>
  <c r="P232" i="31"/>
  <c r="AA232" i="31"/>
  <c r="AI232" i="31"/>
  <c r="AJ232" i="31"/>
  <c r="AQ232" i="31"/>
  <c r="M232" i="31"/>
  <c r="AX7" i="31"/>
  <c r="BD7" i="31" s="1"/>
  <c r="AW7" i="31" s="1"/>
  <c r="AX58" i="31" l="1"/>
  <c r="BD58" i="31" s="1"/>
  <c r="AW58" i="31" s="1"/>
  <c r="BB203" i="31"/>
  <c r="BH203" i="31" s="1"/>
  <c r="AW203" i="31" s="1"/>
  <c r="BA202" i="31"/>
  <c r="BG202" i="31" s="1"/>
  <c r="AW202" i="31" s="1"/>
  <c r="AZ201" i="31"/>
  <c r="BF201" i="31" s="1"/>
  <c r="AW201" i="31" s="1"/>
  <c r="AY200" i="31"/>
  <c r="BE200" i="31" s="1"/>
  <c r="AW200" i="31" s="1"/>
  <c r="AX199" i="31"/>
  <c r="BD199" i="31" s="1"/>
  <c r="AW199" i="31" s="1"/>
  <c r="BB190" i="31"/>
  <c r="BH190" i="31" s="1"/>
  <c r="AW190" i="31" s="1"/>
  <c r="BA189" i="31"/>
  <c r="BG189" i="31" s="1"/>
  <c r="AW189" i="31" s="1"/>
  <c r="AZ188" i="31"/>
  <c r="BF188" i="31" s="1"/>
  <c r="AW188" i="31" s="1"/>
  <c r="AY187" i="31"/>
  <c r="BE187" i="31" s="1"/>
  <c r="AW187" i="31" s="1"/>
  <c r="AX186" i="31"/>
  <c r="BD186" i="31" s="1"/>
  <c r="AW186" i="31" s="1"/>
  <c r="BB177" i="31"/>
  <c r="BH177" i="31" s="1"/>
  <c r="AW177" i="31" s="1"/>
  <c r="BA176" i="31"/>
  <c r="BG176" i="31" s="1"/>
  <c r="AW176" i="31" s="1"/>
  <c r="AZ175" i="31"/>
  <c r="BF175" i="31" s="1"/>
  <c r="AW175" i="31" s="1"/>
  <c r="AY174" i="31"/>
  <c r="BE174" i="31" s="1"/>
  <c r="AW174" i="31" s="1"/>
  <c r="AX173" i="31"/>
  <c r="BD173" i="31" s="1"/>
  <c r="AW173" i="31" s="1"/>
  <c r="BB164" i="31"/>
  <c r="BH164" i="31" s="1"/>
  <c r="AW164" i="31" s="1"/>
  <c r="BA163" i="31"/>
  <c r="BG163" i="31" s="1"/>
  <c r="AW163" i="31" s="1"/>
  <c r="AZ162" i="31"/>
  <c r="BF162" i="31" s="1"/>
  <c r="AW162" i="31" s="1"/>
  <c r="AY161" i="31"/>
  <c r="BE161" i="31" s="1"/>
  <c r="AW161" i="31" s="1"/>
  <c r="AX160" i="31"/>
  <c r="BD160" i="31" s="1"/>
  <c r="AW160" i="31" s="1"/>
  <c r="BB151" i="31"/>
  <c r="BH151" i="31" s="1"/>
  <c r="AW151" i="31" s="1"/>
  <c r="BA150" i="31"/>
  <c r="BG150" i="31" s="1"/>
  <c r="AW150" i="31" s="1"/>
  <c r="AZ149" i="31"/>
  <c r="BF149" i="31" s="1"/>
  <c r="AW149" i="31" s="1"/>
  <c r="AY148" i="31"/>
  <c r="BE148" i="31" s="1"/>
  <c r="AW148" i="31" s="1"/>
  <c r="AX147" i="31"/>
  <c r="BD147" i="31" s="1"/>
  <c r="AW147" i="31" s="1"/>
  <c r="BB138" i="31"/>
  <c r="BH138" i="31" s="1"/>
  <c r="AW138" i="31" s="1"/>
  <c r="BA137" i="31"/>
  <c r="BG137" i="31" s="1"/>
  <c r="AW137" i="31" s="1"/>
  <c r="AZ136" i="31"/>
  <c r="BF136" i="31" s="1"/>
  <c r="AW136" i="31" s="1"/>
  <c r="AY135" i="31"/>
  <c r="BE135" i="31" s="1"/>
  <c r="AW135" i="31" s="1"/>
  <c r="AX134" i="31"/>
  <c r="BD134" i="31" s="1"/>
  <c r="AW134" i="31" s="1"/>
  <c r="BB125" i="31"/>
  <c r="BH125" i="31" s="1"/>
  <c r="AW125" i="31" s="1"/>
  <c r="BA124" i="31"/>
  <c r="BG124" i="31" s="1"/>
  <c r="AW124" i="31" s="1"/>
  <c r="AZ123" i="31"/>
  <c r="BF123" i="31" s="1"/>
  <c r="AW123" i="31" s="1"/>
  <c r="AY122" i="31"/>
  <c r="BE122" i="31" s="1"/>
  <c r="AW122" i="31" s="1"/>
  <c r="AX121" i="31"/>
  <c r="BD121" i="31" s="1"/>
  <c r="AW121" i="31" s="1"/>
  <c r="BB112" i="31"/>
  <c r="BH112" i="31" s="1"/>
  <c r="AW112" i="31" s="1"/>
  <c r="BA111" i="31"/>
  <c r="BG111" i="31" s="1"/>
  <c r="AW111" i="31" s="1"/>
  <c r="AZ110" i="31"/>
  <c r="BF110" i="31" s="1"/>
  <c r="AW110" i="31" s="1"/>
  <c r="AY109" i="31"/>
  <c r="BE109" i="31" s="1"/>
  <c r="AW109" i="31" s="1"/>
  <c r="AX108" i="31"/>
  <c r="BD108" i="31" s="1"/>
  <c r="AW108" i="31" s="1"/>
  <c r="BB99" i="31"/>
  <c r="BH99" i="31" s="1"/>
  <c r="AW99" i="31" s="1"/>
  <c r="BA98" i="31"/>
  <c r="BG98" i="31" s="1"/>
  <c r="AW98" i="31" s="1"/>
  <c r="AZ97" i="31"/>
  <c r="BF97" i="31" s="1"/>
  <c r="AW97" i="31" s="1"/>
  <c r="AY96" i="31"/>
  <c r="BE96" i="31" s="1"/>
  <c r="AW96" i="31" s="1"/>
  <c r="AX95" i="31"/>
  <c r="BD95" i="31" s="1"/>
  <c r="AW95" i="31" s="1"/>
  <c r="AX70" i="31"/>
  <c r="BD70" i="31" s="1"/>
  <c r="AW70" i="31" s="1"/>
  <c r="AX46" i="31"/>
  <c r="BD46" i="31" s="1"/>
  <c r="AW46" i="31" s="1"/>
  <c r="AY8" i="31"/>
  <c r="BE8" i="31" s="1"/>
  <c r="AW8" i="31" s="1"/>
  <c r="AZ60" i="31" l="1"/>
  <c r="BF60" i="31" s="1"/>
  <c r="AW60" i="31" s="1"/>
  <c r="BB50" i="31"/>
  <c r="BH50" i="31" s="1"/>
  <c r="AW50" i="31" s="1"/>
  <c r="BB74" i="31"/>
  <c r="BH74" i="31" s="1"/>
  <c r="AW74" i="31" s="1"/>
  <c r="AY47" i="31"/>
  <c r="BE47" i="31" s="1"/>
  <c r="AW47" i="31" s="1"/>
  <c r="AY71" i="31"/>
  <c r="BE71" i="31" s="1"/>
  <c r="AW71" i="31" s="1"/>
  <c r="AZ84" i="31"/>
  <c r="BF84" i="31" s="1"/>
  <c r="AW84" i="31" s="1"/>
  <c r="BA36" i="31"/>
  <c r="BG36" i="31" s="1"/>
  <c r="AW36" i="31" s="1"/>
  <c r="AX33" i="31"/>
  <c r="BD33" i="31" s="1"/>
  <c r="AW33" i="31" s="1"/>
  <c r="BA49" i="31"/>
  <c r="BG49" i="31" s="1"/>
  <c r="AW49" i="31" s="1"/>
  <c r="AY59" i="31"/>
  <c r="BE59" i="31" s="1"/>
  <c r="AW59" i="31" s="1"/>
  <c r="BA73" i="31"/>
  <c r="BG73" i="31" s="1"/>
  <c r="AW73" i="31" s="1"/>
  <c r="BA61" i="31"/>
  <c r="BG61" i="31" s="1"/>
  <c r="AW61" i="31" s="1"/>
  <c r="BB37" i="31"/>
  <c r="BH37" i="31" s="1"/>
  <c r="AW37" i="31" s="1"/>
  <c r="BB86" i="31"/>
  <c r="BH86" i="31" s="1"/>
  <c r="AW86" i="31" s="1"/>
  <c r="AY83" i="31"/>
  <c r="BE83" i="31" s="1"/>
  <c r="AW83" i="31" s="1"/>
  <c r="AZ35" i="31"/>
  <c r="BF35" i="31" s="1"/>
  <c r="AW35" i="31" s="1"/>
  <c r="BB62" i="31"/>
  <c r="BH62" i="31" s="1"/>
  <c r="AW62" i="31" s="1"/>
  <c r="AZ48" i="31"/>
  <c r="BF48" i="31" s="1"/>
  <c r="AW48" i="31" s="1"/>
  <c r="AZ72" i="31"/>
  <c r="BF72" i="31" s="1"/>
  <c r="AW72" i="31" s="1"/>
  <c r="AX82" i="31"/>
  <c r="BD82" i="31" s="1"/>
  <c r="AW82" i="31" s="1"/>
  <c r="AY34" i="31"/>
  <c r="BE34" i="31" s="1"/>
  <c r="BA85" i="31"/>
  <c r="BG85" i="31" s="1"/>
  <c r="AW85" i="31" s="1"/>
  <c r="AW34" i="31" l="1"/>
  <c r="BB11" i="31"/>
  <c r="BH11" i="31" s="1"/>
  <c r="AW11" i="31" s="1"/>
  <c r="BA10" i="31"/>
  <c r="BG10" i="31" s="1"/>
  <c r="AW10" i="31" s="1"/>
  <c r="AZ9" i="31"/>
  <c r="BF9" i="31" s="1"/>
  <c r="AW9" i="31" s="1"/>
  <c r="C21" i="31"/>
  <c r="C22" i="31" s="1"/>
  <c r="C23" i="31" s="1"/>
  <c r="C24" i="31" s="1"/>
  <c r="BA23" i="31" l="1"/>
  <c r="BB24" i="31"/>
  <c r="AY21" i="31"/>
  <c r="AX20" i="31"/>
  <c r="AZ22" i="31"/>
  <c r="AY5" i="31" l="1"/>
  <c r="BE21" i="31"/>
  <c r="AZ5" i="31"/>
  <c r="BF22" i="31"/>
  <c r="AX5" i="31"/>
  <c r="BD20" i="31"/>
  <c r="BB5" i="31"/>
  <c r="BH24" i="31"/>
  <c r="BA5" i="31"/>
  <c r="BG23" i="31"/>
  <c r="AW20" i="31" l="1"/>
  <c r="BD5" i="31"/>
  <c r="AW22" i="31"/>
  <c r="BF5" i="31"/>
  <c r="AW21" i="31"/>
  <c r="BE5" i="31"/>
  <c r="AW23" i="31"/>
  <c r="BG5" i="31"/>
  <c r="AW24" i="31"/>
  <c r="BH5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Kober, T. (Tom)</author>
    <author>Johanna Markkanen</author>
  </authors>
  <commentList>
    <comment ref="C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C2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the sum of rape_seed and other oil crops
</t>
        </r>
      </text>
    </comment>
    <comment ref="J3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J3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starchy crops</t>
        </r>
      </text>
    </comment>
    <comment ref="J4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L45" authorId="1" shapeId="0" xr:uid="{00000000-0006-0000-0000-000006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J46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grassy crops</t>
        </r>
      </text>
    </comment>
    <comment ref="L46" authorId="1" shapeId="0" xr:uid="{00000000-0006-0000-0000-000008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57" authorId="1" shapeId="0" xr:uid="{00000000-0006-0000-0000-000009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58" authorId="1" shapeId="0" xr:uid="{00000000-0006-0000-0000-00000A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L69" authorId="1" shapeId="0" xr:uid="{00000000-0006-0000-0000-00000B000000}">
      <text>
        <r>
          <rPr>
            <b/>
            <sz val="14"/>
            <color indexed="81"/>
            <rFont val="Tahoma"/>
            <family val="2"/>
          </rPr>
          <t>Kober, T. (Tom):</t>
        </r>
        <r>
          <rPr>
            <sz val="14"/>
            <color indexed="81"/>
            <rFont val="Tahoma"/>
            <family val="2"/>
          </rPr>
          <t xml:space="preserve">
no dedicated cropping of perennials</t>
        </r>
      </text>
    </comment>
    <comment ref="J8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J82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manure</t>
        </r>
      </text>
    </comment>
    <comment ref="J94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J95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aggregated all AGR residues</t>
        </r>
      </text>
    </comment>
    <comment ref="J113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J114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priced of fire wood</t>
        </r>
      </text>
    </comment>
    <comment ref="J126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27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33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AR133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Update by Antti Lehtilä</t>
        </r>
      </text>
    </comment>
    <comment ref="J134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now aggregated fuelwoof and chips from residues, however we would recommend to introduce a second process in order to separate both potentials</t>
        </r>
      </text>
    </comment>
    <comment ref="J13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J140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used price for wood chips
mark-up costs to produce pellets could be modelled via additional process or FLO_DELIV for process consuming pellets</t>
        </r>
      </text>
    </comment>
    <comment ref="L178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L179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costs of industrial woody waste assumed
TO BE CHECKED !!</t>
        </r>
      </text>
    </comment>
    <comment ref="X228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high number just to ensure this process is not used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Kober, T. (Tom)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here assumption imports refer to all model regions
that have a port!</t>
        </r>
      </text>
    </comment>
    <comment ref="N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  <comment ref="N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Kober, T. (Tom):</t>
        </r>
        <r>
          <rPr>
            <sz val="9"/>
            <color indexed="81"/>
            <rFont val="Tahoma"/>
            <family val="2"/>
          </rPr>
          <t xml:space="preserve">
unit = kt</t>
        </r>
      </text>
    </comment>
  </commentList>
</comments>
</file>

<file path=xl/sharedStrings.xml><?xml version="1.0" encoding="utf-8"?>
<sst xmlns="http://schemas.openxmlformats.org/spreadsheetml/2006/main" count="1963" uniqueCount="166">
  <si>
    <t>TimeSlice</t>
  </si>
  <si>
    <t>LimType</t>
  </si>
  <si>
    <t>Attribute</t>
  </si>
  <si>
    <t>Year</t>
  </si>
  <si>
    <t>AllRegions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</si>
  <si>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</si>
  <si>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</si>
  <si>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</si>
  <si>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</si>
  <si>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</si>
  <si>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</si>
  <si>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</si>
  <si>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</si>
  <si>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</si>
  <si>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</si>
  <si>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</si>
  <si>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</si>
  <si>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</si>
  <si>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</si>
  <si>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</si>
  <si>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</si>
  <si>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</si>
  <si>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</si>
  <si>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</si>
  <si>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</si>
  <si>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</si>
  <si>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</si>
  <si>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</si>
  <si>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</si>
  <si>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</si>
  <si>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</si>
  <si>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</si>
  <si>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</si>
  <si>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</si>
  <si>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</si>
  <si>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</si>
  <si>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</si>
  <si>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</si>
  <si>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</si>
  <si>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Pset_PN</t>
  </si>
  <si>
    <t>UP</t>
  </si>
  <si>
    <t>ACT_BND</t>
  </si>
  <si>
    <t>ANNUAL</t>
  </si>
  <si>
    <t>MINBIOCRP21</t>
  </si>
  <si>
    <t>reference</t>
  </si>
  <si>
    <t>ACT_COST</t>
  </si>
  <si>
    <t>\I:</t>
  </si>
  <si>
    <t>MINBIORPS1</t>
  </si>
  <si>
    <t>MINBIOCRP11</t>
  </si>
  <si>
    <t>MINBIOCRP41</t>
  </si>
  <si>
    <t>MINBIOCRP41a</t>
  </si>
  <si>
    <t>EU-28</t>
  </si>
  <si>
    <t>in PJ</t>
  </si>
  <si>
    <t>MINBIOGAS1</t>
  </si>
  <si>
    <t>starchy grops</t>
  </si>
  <si>
    <t>grassy crops</t>
  </si>
  <si>
    <t>Primary AGR residues</t>
  </si>
  <si>
    <t>MINBIOAGRW1</t>
  </si>
  <si>
    <t>Roundwood</t>
  </si>
  <si>
    <t>MINBIOWOO</t>
  </si>
  <si>
    <t>MINBIOFRSR1</t>
  </si>
  <si>
    <t>Secondary Forestry residues - woodchips</t>
  </si>
  <si>
    <t>MINBIOWOOW1</t>
  </si>
  <si>
    <t>MINBIOWOOW1a</t>
  </si>
  <si>
    <t>Secondary Forestry residues - sawdust</t>
  </si>
  <si>
    <t>MINBIOMUN1</t>
  </si>
  <si>
    <t>MINBIOSLU1</t>
  </si>
  <si>
    <t>MINBIOFRSR1a</t>
  </si>
  <si>
    <t>Residues from landscape care</t>
  </si>
  <si>
    <t>municipal waste</t>
  </si>
  <si>
    <t>sludge</t>
  </si>
  <si>
    <t>MINBIOWOOa</t>
  </si>
  <si>
    <t>EnergyResidue</t>
  </si>
  <si>
    <t>Roundwood Chips &amp; Pellets</t>
  </si>
  <si>
    <t>Macedonia</t>
  </si>
  <si>
    <t>Montenegro</t>
  </si>
  <si>
    <t>MINBIOCRP31</t>
  </si>
  <si>
    <t>~UC_T</t>
  </si>
  <si>
    <t>UC_N</t>
  </si>
  <si>
    <t>UC_COMPRD</t>
  </si>
  <si>
    <t>UC_FLO</t>
  </si>
  <si>
    <t>UC_ACT</t>
  </si>
  <si>
    <t>UC_Desc</t>
  </si>
  <si>
    <t>UC_RHST~2020</t>
  </si>
  <si>
    <t>UC_RHST~2030</t>
  </si>
  <si>
    <t>UC_RHST~2040</t>
  </si>
  <si>
    <t>UC_RHST~2050</t>
  </si>
  <si>
    <t>2020,2030,2040,2050</t>
  </si>
  <si>
    <t>AU_EU-IMP_ETH</t>
  </si>
  <si>
    <t>IMPBIOETH*</t>
  </si>
  <si>
    <t>AU_EU-IMP_WOO</t>
  </si>
  <si>
    <t>2030,2040,2050</t>
  </si>
  <si>
    <t>AU_EU-IMP_EMHV</t>
  </si>
  <si>
    <t>IMPBIOEMHV*</t>
  </si>
  <si>
    <t>sugar from sugarbeet</t>
  </si>
  <si>
    <t>Willow</t>
  </si>
  <si>
    <t>Poplar</t>
  </si>
  <si>
    <t>BA</t>
  </si>
  <si>
    <t>EL</t>
  </si>
  <si>
    <t>CS</t>
  </si>
  <si>
    <t>Bioethanol_sugarbeet</t>
  </si>
  <si>
    <t>EUR/GJ</t>
  </si>
  <si>
    <t>Cset_CN</t>
  </si>
  <si>
    <t>Pset_CI</t>
  </si>
  <si>
    <t>Curr</t>
  </si>
  <si>
    <t>EUR10</t>
  </si>
  <si>
    <t>~TFM_INS</t>
  </si>
  <si>
    <t>Biodiesel_oil_crops</t>
  </si>
  <si>
    <t>oil_crops</t>
  </si>
  <si>
    <t>MINBIOLIQ1</t>
  </si>
  <si>
    <t>Pset_Set</t>
  </si>
  <si>
    <t>UC_RHST~2005</t>
  </si>
  <si>
    <t>UC_RHST~0</t>
  </si>
  <si>
    <t>2005,2020</t>
  </si>
  <si>
    <t>IMPBIOWOO</t>
  </si>
  <si>
    <t>Wood for paper production</t>
  </si>
  <si>
    <t>MINMPPWOO1</t>
  </si>
  <si>
    <t>agricultural biogas from manure etc.</t>
  </si>
  <si>
    <t>Biofuels</t>
  </si>
  <si>
    <t>MINBIO*</t>
  </si>
  <si>
    <t>Interpolation rule for cost</t>
  </si>
  <si>
    <t>Interpolation rule for act bound</t>
  </si>
  <si>
    <t>TB_BIOWOO-G26</t>
  </si>
  <si>
    <t>Nordic export limits within EU</t>
  </si>
  <si>
    <t>~TFM_MIG</t>
  </si>
  <si>
    <t>Attribute2</t>
  </si>
  <si>
    <t>Cset_CN2</t>
  </si>
  <si>
    <t>Timeslice2</t>
  </si>
  <si>
    <t>SourceScen</t>
  </si>
  <si>
    <t>FLO_DELIV</t>
  </si>
  <si>
    <t>*-1</t>
  </si>
  <si>
    <t>BIOWOO</t>
  </si>
  <si>
    <t>biopot_biom16_forestbau</t>
  </si>
  <si>
    <t>FLO_COST</t>
  </si>
  <si>
    <t>EU-27</t>
  </si>
  <si>
    <t>Energy crop feedstock</t>
  </si>
  <si>
    <t>Forestry biomass</t>
  </si>
  <si>
    <t>EU27</t>
  </si>
  <si>
    <t>All other</t>
  </si>
  <si>
    <t>crops</t>
  </si>
  <si>
    <t>waste</t>
  </si>
  <si>
    <t>agriculture residues</t>
  </si>
  <si>
    <t>forest stemwood</t>
  </si>
  <si>
    <t>forest residues</t>
  </si>
  <si>
    <t>EU31</t>
  </si>
  <si>
    <t>COUNTRY SHARES</t>
  </si>
  <si>
    <t>ALL</t>
  </si>
  <si>
    <t>*EU27</t>
  </si>
  <si>
    <t>EU27 shares</t>
  </si>
  <si>
    <t>crops: subcategories</t>
  </si>
  <si>
    <t>share of all crops</t>
  </si>
  <si>
    <t>forestry residues: subcategories</t>
  </si>
  <si>
    <t>waste: subcategories</t>
  </si>
  <si>
    <t>share of all waste</t>
  </si>
  <si>
    <t>share of all forestry residues</t>
  </si>
  <si>
    <t>~UC_SETS: R_S: AT,BE,BG,CH,CY,CZ,DE,DK,EE,ES,FI,FR,EL,HU,IE,IT,IS,LT,LU,LV,MT,NL,NO,PL,PT,RO,SE,SI,SK,HR,UK</t>
  </si>
  <si>
    <t>PJ/dry tonne</t>
  </si>
  <si>
    <t>M€/dry tonne</t>
  </si>
  <si>
    <t>kt</t>
  </si>
  <si>
    <t>t</t>
  </si>
  <si>
    <t>toe/t</t>
  </si>
  <si>
    <t>toe</t>
  </si>
  <si>
    <t>GJ/toe</t>
  </si>
  <si>
    <t>GJ</t>
  </si>
  <si>
    <t>UC_RHST~2010</t>
  </si>
  <si>
    <t>MJ/kg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</si>
</sst>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0.000000"/>
    <numFmt numFmtId="167" formatCode="0.00000"/>
    <numFmt numFmtId="168" formatCode="###0.00_)"/>
    <numFmt numFmtId="169" formatCode="#,##0_)"/>
    <numFmt numFmtId="170" formatCode="???,???.00"/>
    <numFmt numFmtId="171" formatCode="#,##0.0000"/>
    <numFmt numFmtId="172" formatCode="0.0%"/>
    <numFmt numFmtId="173" formatCode="_-&quot;$&quot;* #,##0.00_-;\-&quot;$&quot;* #,##0.00_-;_-&quot;$&quot;* &quot;-&quot;??_-;_-@_-"/>
    <numFmt numFmtId="174" formatCode="_-[$€-2]\ * #,##0.00_-;\-[$€-2]\ * #,##0.00_-;_-[$€-2]\ * &quot;-&quot;??_-"/>
    <numFmt numFmtId="175" formatCode="_([$€-2]* #,##0.00_);_([$€-2]* \(#,##0.00\);_([$€-2]* &quot;-&quot;??_)"/>
    <numFmt numFmtId="176" formatCode="_-&quot;€&quot;\ * #,##0.00_-;\-&quot;€&quot;\ * #,##0.00_-;_-&quot;€&quot;\ * &quot;-&quot;??_-;_-@_-"/>
    <numFmt numFmtId="177" formatCode="_([$€]* #,##0.00_);_([$€]* \(#,##0.00\);_([$€]* &quot;-&quot;??_);_(@_)"/>
    <numFmt numFmtId="178" formatCode="_-* #,##0.00\ _€_-;\-* #,##0.00\ _€_-;_-* &quot;-&quot;??\ _€_-;_-@_-"/>
    <numFmt numFmtId="179" formatCode="&quot;$&quot;#,##0_);\(&quot;$&quot;#,##0\)"/>
    <numFmt numFmtId="180" formatCode="General_)"/>
    <numFmt numFmtId="181" formatCode="#,##0;\-\ #,##0;_-\ &quot;- &quot;"/>
    <numFmt numFmtId="182" formatCode="_ &quot;kr&quot;\ * #,##0_ ;_ &quot;kr&quot;\ * \-#,##0_ ;_ &quot;kr&quot;\ * &quot;-&quot;_ ;_ @_ "/>
    <numFmt numFmtId="183" formatCode="_ &quot;kr&quot;\ * #,##0.00_ ;_ &quot;kr&quot;\ * \-#,##0.00_ ;_ &quot;kr&quot;\ * &quot;-&quot;??_ ;_ @_ "/>
  </numFmts>
  <fonts count="9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Helv"/>
    </font>
    <font>
      <sz val="8"/>
      <name val="Arial"/>
      <family val="2"/>
      <charset val="161"/>
    </font>
    <font>
      <b/>
      <sz val="12"/>
      <name val="Helv"/>
    </font>
    <font>
      <sz val="10"/>
      <name val="Helv"/>
    </font>
    <font>
      <sz val="9"/>
      <name val="Helv"/>
    </font>
    <font>
      <vertAlign val="superscript"/>
      <sz val="12"/>
      <name val="Helv"/>
    </font>
    <font>
      <b/>
      <sz val="12"/>
      <name val="Times New Roman"/>
      <family val="1"/>
    </font>
    <font>
      <b/>
      <sz val="10"/>
      <name val="Helv"/>
    </font>
    <font>
      <b/>
      <sz val="9"/>
      <name val="Helv"/>
    </font>
    <font>
      <sz val="8.5"/>
      <name val="Helv"/>
    </font>
    <font>
      <sz val="10"/>
      <name val="Arial"/>
      <family val="2"/>
      <charset val="161"/>
    </font>
    <font>
      <sz val="8"/>
      <name val="Helvetica"/>
    </font>
    <font>
      <sz val="8"/>
      <name val="Helv"/>
    </font>
    <font>
      <b/>
      <sz val="14"/>
      <name val="Helv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b/>
      <sz val="12"/>
      <color indexed="10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2"/>
      <color indexed="3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10"/>
      <name val="Helvetica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rgb="FF0070C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rgb="FF4C4845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</patternFill>
    </fill>
    <fill>
      <patternFill patternType="solid">
        <fgColor rgb="FFFFCCFF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hair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2698">
    <xf numFmtId="0" fontId="0" fillId="0" borderId="0"/>
    <xf numFmtId="0" fontId="4" fillId="0" borderId="0"/>
    <xf numFmtId="0" fontId="17" fillId="0" borderId="0" applyNumberFormat="0" applyFill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17" applyNumberFormat="0" applyAlignment="0" applyProtection="0"/>
    <xf numFmtId="0" fontId="25" fillId="12" borderId="18" applyNumberFormat="0" applyAlignment="0" applyProtection="0"/>
    <xf numFmtId="0" fontId="26" fillId="12" borderId="17" applyNumberFormat="0" applyAlignment="0" applyProtection="0"/>
    <xf numFmtId="0" fontId="27" fillId="0" borderId="19" applyNumberFormat="0" applyFill="0" applyAlignment="0" applyProtection="0"/>
    <xf numFmtId="0" fontId="1" fillId="13" borderId="20" applyNumberFormat="0" applyAlignment="0" applyProtection="0"/>
    <xf numFmtId="0" fontId="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0" borderId="22" applyNumberFormat="0" applyFill="0" applyAlignment="0" applyProtection="0"/>
    <xf numFmtId="0" fontId="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2" fillId="38" borderId="0" applyNumberFormat="0" applyBorder="0" applyAlignment="0" applyProtection="0"/>
    <xf numFmtId="0" fontId="30" fillId="0" borderId="0">
      <alignment wrapText="1"/>
    </xf>
    <xf numFmtId="0" fontId="29" fillId="0" borderId="0"/>
    <xf numFmtId="0" fontId="35" fillId="41" borderId="0" applyNumberFormat="0" applyBorder="0" applyAlignment="0" applyProtection="0"/>
    <xf numFmtId="43" fontId="29" fillId="0" borderId="0" applyFont="0" applyFill="0" applyBorder="0" applyAlignment="0" applyProtection="0"/>
    <xf numFmtId="0" fontId="16" fillId="0" borderId="0"/>
    <xf numFmtId="0" fontId="4" fillId="0" borderId="0"/>
    <xf numFmtId="0" fontId="16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49" fontId="38" fillId="0" borderId="11" applyNumberFormat="0" applyFont="0" applyFill="0" applyBorder="0" applyProtection="0">
      <alignment horizontal="left" vertical="center" indent="5"/>
    </xf>
    <xf numFmtId="4" fontId="39" fillId="0" borderId="24" applyFill="0" applyBorder="0" applyProtection="0">
      <alignment horizontal="right" vertical="center"/>
    </xf>
    <xf numFmtId="0" fontId="40" fillId="0" borderId="0">
      <alignment horizontal="center" vertical="center" wrapText="1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42" fillId="0" borderId="0">
      <alignment horizontal="left" vertical="center" wrapText="1"/>
    </xf>
    <xf numFmtId="168" fontId="43" fillId="0" borderId="25" applyNumberFormat="0" applyFill="0">
      <alignment horizontal="right"/>
    </xf>
    <xf numFmtId="169" fontId="44" fillId="0" borderId="25">
      <alignment horizontal="right" vertical="center"/>
    </xf>
    <xf numFmtId="49" fontId="45" fillId="0" borderId="25">
      <alignment horizontal="left" vertical="center"/>
    </xf>
    <xf numFmtId="168" fontId="43" fillId="0" borderId="25" applyNumberFormat="0" applyFill="0">
      <alignment horizontal="right"/>
    </xf>
    <xf numFmtId="0" fontId="46" fillId="0" borderId="0" applyNumberFormat="0" applyFill="0" applyBorder="0" applyAlignment="0" applyProtection="0"/>
    <xf numFmtId="0" fontId="47" fillId="0" borderId="25">
      <alignment horizontal="left"/>
    </xf>
    <xf numFmtId="0" fontId="48" fillId="0" borderId="26">
      <alignment horizontal="right" vertical="center"/>
    </xf>
    <xf numFmtId="0" fontId="49" fillId="0" borderId="25">
      <alignment horizontal="left" vertical="center"/>
    </xf>
    <xf numFmtId="0" fontId="43" fillId="0" borderId="25">
      <alignment horizontal="left" vertical="center"/>
    </xf>
    <xf numFmtId="0" fontId="47" fillId="0" borderId="25">
      <alignment horizontal="left"/>
    </xf>
    <xf numFmtId="0" fontId="47" fillId="50" borderId="0">
      <alignment horizontal="centerContinuous" wrapText="1"/>
    </xf>
    <xf numFmtId="49" fontId="47" fillId="50" borderId="2">
      <alignment horizontal="left" vertical="center"/>
    </xf>
    <xf numFmtId="0" fontId="47" fillId="50" borderId="0">
      <alignment horizontal="centerContinuous" vertical="center" wrapText="1"/>
    </xf>
    <xf numFmtId="0" fontId="4" fillId="0" borderId="0"/>
    <xf numFmtId="0" fontId="4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170" fontId="32" fillId="0" borderId="0" applyNumberFormat="0" applyProtection="0">
      <alignment horizontal="center" vertical="center"/>
    </xf>
    <xf numFmtId="0" fontId="41" fillId="0" borderId="0"/>
    <xf numFmtId="0" fontId="4" fillId="0" borderId="0"/>
    <xf numFmtId="0" fontId="50" fillId="0" borderId="0"/>
    <xf numFmtId="4" fontId="38" fillId="0" borderId="12" applyFill="0" applyBorder="0" applyProtection="0">
      <alignment horizontal="right" vertical="center"/>
    </xf>
    <xf numFmtId="0" fontId="38" fillId="0" borderId="12" applyNumberFormat="0" applyFill="0" applyAlignment="0" applyProtection="0"/>
    <xf numFmtId="0" fontId="51" fillId="51" borderId="0" applyNumberFormat="0" applyFont="0" applyBorder="0" applyAlignment="0" applyProtection="0"/>
    <xf numFmtId="0" fontId="33" fillId="45" borderId="27" applyNumberFormat="0" applyFont="0" applyAlignment="0" applyProtection="0"/>
    <xf numFmtId="0" fontId="33" fillId="45" borderId="27" applyNumberFormat="0" applyFont="0" applyAlignment="0" applyProtection="0"/>
    <xf numFmtId="0" fontId="33" fillId="45" borderId="27" applyNumberFormat="0" applyFont="0" applyAlignment="0" applyProtection="0"/>
    <xf numFmtId="171" fontId="38" fillId="52" borderId="12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3" fontId="44" fillId="0" borderId="0">
      <alignment horizontal="left" vertical="center"/>
    </xf>
    <xf numFmtId="0" fontId="40" fillId="0" borderId="0">
      <alignment horizontal="left" vertical="center"/>
    </xf>
    <xf numFmtId="0" fontId="52" fillId="0" borderId="0">
      <alignment horizontal="right"/>
    </xf>
    <xf numFmtId="49" fontId="52" fillId="0" borderId="0">
      <alignment horizontal="center"/>
    </xf>
    <xf numFmtId="0" fontId="45" fillId="0" borderId="0">
      <alignment horizontal="right"/>
    </xf>
    <xf numFmtId="0" fontId="52" fillId="0" borderId="0">
      <alignment horizontal="left"/>
    </xf>
    <xf numFmtId="0" fontId="29" fillId="0" borderId="0"/>
    <xf numFmtId="49" fontId="44" fillId="0" borderId="0">
      <alignment horizontal="left" vertical="center"/>
    </xf>
    <xf numFmtId="49" fontId="45" fillId="0" borderId="25">
      <alignment horizontal="left"/>
    </xf>
    <xf numFmtId="168" fontId="44" fillId="0" borderId="0" applyNumberFormat="0">
      <alignment horizontal="right"/>
    </xf>
    <xf numFmtId="0" fontId="48" fillId="53" borderId="0">
      <alignment horizontal="centerContinuous" vertical="center" wrapText="1"/>
    </xf>
    <xf numFmtId="0" fontId="48" fillId="0" borderId="28">
      <alignment horizontal="left" vertical="center"/>
    </xf>
    <xf numFmtId="0" fontId="53" fillId="0" borderId="0">
      <alignment horizontal="left" vertical="top"/>
    </xf>
    <xf numFmtId="0" fontId="47" fillId="0" borderId="0">
      <alignment horizontal="left"/>
    </xf>
    <xf numFmtId="0" fontId="42" fillId="0" borderId="0">
      <alignment horizontal="left"/>
    </xf>
    <xf numFmtId="0" fontId="43" fillId="0" borderId="0">
      <alignment horizontal="left"/>
    </xf>
    <xf numFmtId="0" fontId="53" fillId="0" borderId="0">
      <alignment horizontal="left" vertical="top"/>
    </xf>
    <xf numFmtId="0" fontId="42" fillId="0" borderId="0">
      <alignment horizontal="left"/>
    </xf>
    <xf numFmtId="0" fontId="43" fillId="0" borderId="0">
      <alignment horizontal="left"/>
    </xf>
    <xf numFmtId="0" fontId="54" fillId="54" borderId="0" applyNumberFormat="0" applyBorder="0">
      <protection locked="0"/>
    </xf>
    <xf numFmtId="0" fontId="55" fillId="55" borderId="0" applyNumberFormat="0" applyBorder="0">
      <protection locked="0"/>
    </xf>
    <xf numFmtId="49" fontId="44" fillId="0" borderId="25">
      <alignment horizontal="left"/>
    </xf>
    <xf numFmtId="0" fontId="48" fillId="0" borderId="26">
      <alignment horizontal="left"/>
    </xf>
    <xf numFmtId="0" fontId="47" fillId="0" borderId="0">
      <alignment horizontal="left" vertical="center"/>
    </xf>
    <xf numFmtId="49" fontId="52" fillId="0" borderId="25">
      <alignment horizontal="left"/>
    </xf>
    <xf numFmtId="0" fontId="56" fillId="0" borderId="29">
      <alignment horizontal="center"/>
      <protection hidden="1"/>
    </xf>
    <xf numFmtId="43" fontId="41" fillId="0" borderId="0" applyFont="0" applyFill="0" applyBorder="0" applyAlignment="0" applyProtection="0"/>
    <xf numFmtId="0" fontId="16" fillId="0" borderId="0"/>
    <xf numFmtId="0" fontId="4" fillId="0" borderId="30"/>
    <xf numFmtId="43" fontId="29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  <xf numFmtId="0" fontId="4" fillId="0" borderId="0"/>
    <xf numFmtId="0" fontId="57" fillId="31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7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59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60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5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6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60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5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6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58" fillId="63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8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1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5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/>
    <xf numFmtId="0" fontId="58" fillId="6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58" fillId="67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58" fillId="68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64" borderId="0" applyNumberFormat="0" applyBorder="0" applyAlignment="0" applyProtection="0"/>
    <xf numFmtId="0" fontId="58" fillId="71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2" borderId="0" applyNumberFormat="0" applyBorder="0" applyAlignment="0" applyProtection="0"/>
    <xf numFmtId="0" fontId="58" fillId="65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4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4" fontId="59" fillId="73" borderId="12">
      <alignment horizontal="right" vertical="center"/>
    </xf>
    <xf numFmtId="4" fontId="59" fillId="73" borderId="12">
      <alignment horizontal="right" vertical="center"/>
    </xf>
    <xf numFmtId="0" fontId="60" fillId="58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0" fillId="60" borderId="0" applyNumberFormat="0" applyBorder="0" applyAlignment="0" applyProtection="0"/>
    <xf numFmtId="0" fontId="61" fillId="47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2" fillId="43" borderId="31" applyNumberFormat="0" applyAlignment="0" applyProtection="0"/>
    <xf numFmtId="0" fontId="61" fillId="47" borderId="31" applyNumberFormat="0" applyAlignment="0" applyProtection="0"/>
    <xf numFmtId="0" fontId="62" fillId="43" borderId="31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0" fontId="63" fillId="74" borderId="32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6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6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38" fillId="0" borderId="33">
      <alignment horizontal="left" vertical="center" wrapText="1" indent="2"/>
    </xf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66" fillId="59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6" fillId="46" borderId="0" applyNumberFormat="0" applyBorder="0" applyAlignment="0" applyProtection="0"/>
    <xf numFmtId="0" fontId="67" fillId="0" borderId="34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7" fillId="0" borderId="34" applyNumberFormat="0" applyFill="0" applyAlignment="0" applyProtection="0"/>
    <xf numFmtId="0" fontId="68" fillId="0" borderId="35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1" fillId="0" borderId="38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2" fillId="0" borderId="3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44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1" borderId="31" applyNumberFormat="0" applyAlignment="0" applyProtection="0"/>
    <xf numFmtId="0" fontId="74" fillId="44" borderId="31" applyNumberFormat="0" applyAlignment="0" applyProtection="0"/>
    <xf numFmtId="0" fontId="74" fillId="41" borderId="31" applyNumberFormat="0" applyAlignment="0" applyProtection="0"/>
    <xf numFmtId="4" fontId="38" fillId="0" borderId="0" applyBorder="0">
      <alignment horizontal="right" vertical="center"/>
    </xf>
    <xf numFmtId="0" fontId="75" fillId="0" borderId="40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6" fillId="0" borderId="41" applyNumberFormat="0" applyFill="0" applyAlignment="0" applyProtection="0"/>
    <xf numFmtId="0" fontId="75" fillId="0" borderId="40" applyNumberFormat="0" applyFill="0" applyAlignment="0" applyProtection="0"/>
    <xf numFmtId="0" fontId="76" fillId="0" borderId="41" applyNumberFormat="0" applyFill="0" applyAlignment="0" applyProtection="0"/>
    <xf numFmtId="178" fontId="4" fillId="0" borderId="0" applyFont="0" applyFill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77" fillId="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179" fontId="5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179" fontId="52" fillId="0" borderId="0">
      <alignment vertical="center"/>
    </xf>
    <xf numFmtId="179" fontId="52" fillId="0" borderId="0">
      <alignment vertical="center"/>
    </xf>
    <xf numFmtId="179" fontId="52" fillId="0" borderId="0">
      <alignment vertical="center"/>
    </xf>
    <xf numFmtId="179" fontId="5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9" fontId="52" fillId="0" borderId="0">
      <alignment vertical="center"/>
    </xf>
    <xf numFmtId="179" fontId="52" fillId="0" borderId="0">
      <alignment vertical="center"/>
    </xf>
    <xf numFmtId="179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179" fontId="52" fillId="0" borderId="0">
      <alignment vertical="center"/>
    </xf>
    <xf numFmtId="179" fontId="52" fillId="0" borderId="0">
      <alignment vertical="center"/>
    </xf>
    <xf numFmtId="179" fontId="52" fillId="0" borderId="0">
      <alignment vertical="center"/>
    </xf>
    <xf numFmtId="179" fontId="52" fillId="0" borderId="0">
      <alignment vertical="center"/>
    </xf>
    <xf numFmtId="0" fontId="33" fillId="0" borderId="0"/>
    <xf numFmtId="172" fontId="5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18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 applyNumberFormat="0" applyFill="0" applyBorder="0" applyProtection="0">
      <alignment horizontal="left" vertical="center"/>
    </xf>
    <xf numFmtId="0" fontId="80" fillId="0" borderId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33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0" fontId="4" fillId="45" borderId="27" applyNumberFormat="0" applyFont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81" fillId="47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3" borderId="42" applyNumberFormat="0" applyAlignment="0" applyProtection="0"/>
    <xf numFmtId="0" fontId="81" fillId="47" borderId="42" applyNumberFormat="0" applyAlignment="0" applyProtection="0"/>
    <xf numFmtId="0" fontId="81" fillId="43" borderId="42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182" fontId="82" fillId="0" borderId="0" applyFont="0" applyFill="0" applyBorder="0" applyAlignment="0" applyProtection="0"/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3" fillId="75" borderId="12" applyNumberFormat="0" applyProtection="0">
      <alignment horizontal="right"/>
    </xf>
    <xf numFmtId="0" fontId="31" fillId="75" borderId="0" applyNumberFormat="0" applyBorder="0" applyProtection="0">
      <alignment horizontal="left"/>
    </xf>
    <xf numFmtId="0" fontId="3" fillId="75" borderId="12" applyNumberFormat="0" applyProtection="0">
      <alignment horizontal="left"/>
    </xf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4" fillId="0" borderId="12" applyNumberFormat="0" applyFill="0" applyProtection="0">
      <alignment horizontal="right"/>
    </xf>
    <xf numFmtId="0" fontId="83" fillId="76" borderId="0" applyNumberFormat="0" applyBorder="0" applyProtection="0">
      <alignment horizontal="left"/>
    </xf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4" fillId="0" borderId="43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3" applyNumberFormat="0" applyFill="0" applyAlignment="0" applyProtection="0"/>
    <xf numFmtId="0" fontId="34" fillId="0" borderId="44" applyNumberFormat="0" applyFill="0" applyAlignment="0" applyProtection="0"/>
    <xf numFmtId="183" fontId="82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4" fontId="38" fillId="0" borderId="0"/>
    <xf numFmtId="0" fontId="86" fillId="0" borderId="0" applyNumberForma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6" fillId="0" borderId="0"/>
    <xf numFmtId="0" fontId="16" fillId="0" borderId="0"/>
    <xf numFmtId="0" fontId="30" fillId="0" borderId="0">
      <alignment wrapText="1"/>
    </xf>
    <xf numFmtId="0" fontId="16" fillId="0" borderId="0"/>
    <xf numFmtId="0" fontId="16" fillId="14" borderId="21" applyNumberFormat="0" applyFont="0" applyAlignment="0" applyProtection="0"/>
    <xf numFmtId="0" fontId="4" fillId="0" borderId="0">
      <alignment wrapText="1"/>
    </xf>
    <xf numFmtId="43" fontId="2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41" fillId="0" borderId="0" applyFont="0" applyFill="0" applyBorder="0" applyAlignment="0" applyProtection="0"/>
    <xf numFmtId="0" fontId="16" fillId="0" borderId="0"/>
    <xf numFmtId="43" fontId="29" fillId="0" borderId="0" applyFont="0" applyFill="0" applyBorder="0" applyAlignment="0" applyProtection="0"/>
    <xf numFmtId="0" fontId="16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>
      <alignment wrapText="1"/>
    </xf>
    <xf numFmtId="0" fontId="16" fillId="0" borderId="0"/>
    <xf numFmtId="0" fontId="4" fillId="0" borderId="0">
      <alignment wrapText="1"/>
    </xf>
    <xf numFmtId="0" fontId="33" fillId="0" borderId="0"/>
    <xf numFmtId="0" fontId="4" fillId="0" borderId="0"/>
    <xf numFmtId="0" fontId="16" fillId="0" borderId="0"/>
    <xf numFmtId="0" fontId="16" fillId="0" borderId="0"/>
    <xf numFmtId="0" fontId="30" fillId="0" borderId="0">
      <alignment wrapText="1"/>
    </xf>
  </cellStyleXfs>
  <cellXfs count="99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0" borderId="3" xfId="0" applyBorder="1"/>
    <xf numFmtId="0" fontId="2" fillId="4" borderId="0" xfId="0" applyFont="1" applyFill="1"/>
    <xf numFmtId="1" fontId="0" fillId="0" borderId="0" xfId="0" applyNumberFormat="1"/>
    <xf numFmtId="1" fontId="0" fillId="0" borderId="2" xfId="0" applyNumberFormat="1" applyBorder="1"/>
    <xf numFmtId="1" fontId="2" fillId="4" borderId="0" xfId="0" applyNumberFormat="1" applyFont="1" applyFill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0" fillId="0" borderId="0" xfId="0" quotePrefix="1" applyAlignment="1">
      <alignment horizontal="left"/>
    </xf>
    <xf numFmtId="0" fontId="0" fillId="6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wrapText="1"/>
    </xf>
    <xf numFmtId="3" fontId="0" fillId="0" borderId="0" xfId="0" quotePrefix="1" applyNumberFormat="1"/>
    <xf numFmtId="0" fontId="0" fillId="0" borderId="10" xfId="0" applyBorder="1"/>
    <xf numFmtId="3" fontId="0" fillId="0" borderId="3" xfId="0" quotePrefix="1" applyNumberFormat="1" applyBorder="1"/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64" fontId="0" fillId="0" borderId="3" xfId="0" applyNumberFormat="1" applyBorder="1"/>
    <xf numFmtId="164" fontId="0" fillId="0" borderId="6" xfId="0" applyNumberFormat="1" applyBorder="1"/>
    <xf numFmtId="0" fontId="3" fillId="2" borderId="1" xfId="0" applyFont="1" applyFill="1" applyBorder="1" applyAlignment="1">
      <alignment horizontal="justify" vertical="center"/>
    </xf>
    <xf numFmtId="164" fontId="12" fillId="0" borderId="0" xfId="0" applyNumberFormat="1" applyFont="1"/>
    <xf numFmtId="0" fontId="0" fillId="0" borderId="13" xfId="0" applyBorder="1"/>
    <xf numFmtId="164" fontId="0" fillId="0" borderId="13" xfId="0" applyNumberFormat="1" applyBorder="1"/>
    <xf numFmtId="165" fontId="0" fillId="0" borderId="0" xfId="0" applyNumberFormat="1"/>
    <xf numFmtId="3" fontId="0" fillId="0" borderId="0" xfId="0" quotePrefix="1" applyNumberFormat="1" applyAlignment="1">
      <alignment horizontal="left"/>
    </xf>
    <xf numFmtId="0" fontId="0" fillId="7" borderId="0" xfId="0" applyFill="1"/>
    <xf numFmtId="164" fontId="0" fillId="5" borderId="0" xfId="0" applyNumberFormat="1" applyFill="1"/>
    <xf numFmtId="164" fontId="0" fillId="5" borderId="2" xfId="0" applyNumberFormat="1" applyFill="1" applyBorder="1"/>
    <xf numFmtId="1" fontId="0" fillId="5" borderId="0" xfId="0" applyNumberFormat="1" applyFill="1"/>
    <xf numFmtId="2" fontId="0" fillId="0" borderId="0" xfId="0" applyNumberFormat="1"/>
    <xf numFmtId="166" fontId="0" fillId="0" borderId="0" xfId="0" applyNumberFormat="1"/>
    <xf numFmtId="2" fontId="0" fillId="5" borderId="0" xfId="0" applyNumberFormat="1" applyFill="1"/>
    <xf numFmtId="0" fontId="3" fillId="3" borderId="0" xfId="0" applyFont="1" applyFill="1"/>
    <xf numFmtId="167" fontId="7" fillId="0" borderId="0" xfId="0" applyNumberFormat="1" applyFont="1"/>
    <xf numFmtId="167" fontId="0" fillId="0" borderId="0" xfId="0" applyNumberFormat="1"/>
    <xf numFmtId="167" fontId="0" fillId="0" borderId="2" xfId="0" applyNumberFormat="1" applyBorder="1"/>
    <xf numFmtId="1" fontId="0" fillId="6" borderId="0" xfId="0" applyNumberFormat="1" applyFill="1"/>
    <xf numFmtId="164" fontId="0" fillId="6" borderId="0" xfId="0" applyNumberFormat="1" applyFill="1"/>
    <xf numFmtId="164" fontId="0" fillId="6" borderId="2" xfId="0" applyNumberFormat="1" applyFill="1" applyBorder="1"/>
    <xf numFmtId="1" fontId="0" fillId="6" borderId="2" xfId="0" applyNumberFormat="1" applyFill="1" applyBorder="1"/>
    <xf numFmtId="1" fontId="0" fillId="39" borderId="0" xfId="0" applyNumberFormat="1" applyFill="1"/>
    <xf numFmtId="1" fontId="0" fillId="39" borderId="2" xfId="0" applyNumberFormat="1" applyFill="1" applyBorder="1"/>
    <xf numFmtId="164" fontId="0" fillId="39" borderId="0" xfId="0" applyNumberFormat="1" applyFill="1"/>
    <xf numFmtId="164" fontId="0" fillId="39" borderId="2" xfId="0" applyNumberFormat="1" applyFill="1" applyBorder="1"/>
    <xf numFmtId="0" fontId="0" fillId="39" borderId="2" xfId="0" applyFill="1" applyBorder="1"/>
    <xf numFmtId="164" fontId="7" fillId="39" borderId="0" xfId="0" applyNumberFormat="1" applyFont="1" applyFill="1"/>
    <xf numFmtId="164" fontId="11" fillId="39" borderId="0" xfId="0" applyNumberFormat="1" applyFont="1" applyFill="1"/>
    <xf numFmtId="0" fontId="16" fillId="39" borderId="0" xfId="2691" applyFill="1"/>
    <xf numFmtId="0" fontId="0" fillId="39" borderId="0" xfId="0" applyFill="1"/>
    <xf numFmtId="1" fontId="11" fillId="39" borderId="0" xfId="2691" applyNumberFormat="1" applyFont="1" applyFill="1"/>
    <xf numFmtId="0" fontId="16" fillId="39" borderId="2" xfId="2691" applyFill="1" applyBorder="1"/>
    <xf numFmtId="1" fontId="0" fillId="42" borderId="0" xfId="0" applyNumberFormat="1" applyFill="1" applyAlignment="1">
      <alignment horizontal="center"/>
    </xf>
    <xf numFmtId="0" fontId="0" fillId="42" borderId="0" xfId="0" applyFill="1"/>
    <xf numFmtId="0" fontId="0" fillId="42" borderId="0" xfId="0" applyFill="1" applyAlignment="1">
      <alignment horizontal="center"/>
    </xf>
    <xf numFmtId="1" fontId="0" fillId="78" borderId="0" xfId="0" applyNumberFormat="1" applyFill="1" applyAlignment="1">
      <alignment horizontal="center"/>
    </xf>
    <xf numFmtId="0" fontId="0" fillId="78" borderId="0" xfId="0" applyFill="1" applyAlignment="1">
      <alignment horizontal="center"/>
    </xf>
    <xf numFmtId="0" fontId="0" fillId="78" borderId="0" xfId="0" applyFill="1"/>
    <xf numFmtId="0" fontId="0" fillId="6" borderId="23" xfId="0" applyFill="1" applyBorder="1" applyAlignment="1">
      <alignment horizontal="center"/>
    </xf>
    <xf numFmtId="0" fontId="3" fillId="77" borderId="0" xfId="2694" applyFont="1" applyFill="1" applyAlignment="1">
      <alignment horizontal="center"/>
    </xf>
    <xf numFmtId="0" fontId="3" fillId="3" borderId="0" xfId="2694" applyFont="1" applyFill="1"/>
    <xf numFmtId="0" fontId="15" fillId="0" borderId="0" xfId="2694" applyFont="1" applyAlignment="1">
      <alignment horizontal="left"/>
    </xf>
    <xf numFmtId="0" fontId="34" fillId="40" borderId="0" xfId="0" applyFont="1" applyFill="1"/>
    <xf numFmtId="0" fontId="30" fillId="39" borderId="0" xfId="2176" applyFill="1">
      <alignment wrapText="1"/>
    </xf>
    <xf numFmtId="0" fontId="0" fillId="0" borderId="0" xfId="0" applyAlignment="1">
      <alignment horizontal="center"/>
    </xf>
    <xf numFmtId="0" fontId="34" fillId="0" borderId="0" xfId="0" applyFon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87" fillId="0" borderId="0" xfId="0" applyFont="1"/>
    <xf numFmtId="0" fontId="0" fillId="79" borderId="0" xfId="0" applyFill="1"/>
    <xf numFmtId="0" fontId="0" fillId="79" borderId="0" xfId="0" applyFill="1" applyAlignment="1">
      <alignment horizontal="center"/>
    </xf>
    <xf numFmtId="2" fontId="0" fillId="79" borderId="0" xfId="0" applyNumberFormat="1" applyFill="1" applyAlignment="1">
      <alignment horizontal="center"/>
    </xf>
    <xf numFmtId="0" fontId="88" fillId="0" borderId="0" xfId="0" applyFont="1"/>
    <xf numFmtId="3" fontId="0" fillId="0" borderId="0" xfId="0" applyNumberFormat="1"/>
    <xf numFmtId="3" fontId="7" fillId="0" borderId="0" xfId="0" applyNumberFormat="1" applyFont="1"/>
    <xf numFmtId="0" fontId="7" fillId="0" borderId="0" xfId="0" applyFont="1"/>
    <xf numFmtId="0" fontId="0" fillId="6" borderId="0" xfId="0" applyFill="1"/>
    <xf numFmtId="0" fontId="3" fillId="6" borderId="1" xfId="0" applyFont="1" applyFill="1" applyBorder="1"/>
    <xf numFmtId="164" fontId="0" fillId="6" borderId="13" xfId="0" applyNumberFormat="1" applyFill="1" applyBorder="1"/>
    <xf numFmtId="164" fontId="7" fillId="6" borderId="0" xfId="0" applyNumberFormat="1" applyFont="1" applyFill="1"/>
    <xf numFmtId="164" fontId="11" fillId="6" borderId="0" xfId="0" applyNumberFormat="1" applyFont="1" applyFill="1"/>
    <xf numFmtId="0" fontId="0" fillId="6" borderId="2" xfId="0" applyFill="1" applyBorder="1"/>
    <xf numFmtId="0" fontId="89" fillId="0" borderId="0" xfId="0" applyFont="1"/>
    <xf numFmtId="2" fontId="0" fillId="0" borderId="0" xfId="0" applyNumberFormat="1" applyAlignment="1">
      <alignment horizontal="center"/>
    </xf>
    <xf numFmtId="165" fontId="0" fillId="80" borderId="0" xfId="0" applyNumberFormat="1" applyFill="1"/>
  </cellXfs>
  <cellStyles count="2698">
    <cellStyle name="20% - Accent1" xfId="19" builtinId="30" customBuiltin="1"/>
    <cellStyle name="20% - Accent1 2" xfId="53" xr:uid="{00000000-0005-0000-0000-000001000000}"/>
    <cellStyle name="20% - Accent1 2 10" xfId="159" xr:uid="{00000000-0005-0000-0000-000002000000}"/>
    <cellStyle name="20% - Accent1 2 11" xfId="160" xr:uid="{00000000-0005-0000-0000-000003000000}"/>
    <cellStyle name="20% - Accent1 2 12" xfId="161" xr:uid="{00000000-0005-0000-0000-000004000000}"/>
    <cellStyle name="20% - Accent1 2 13" xfId="162" xr:uid="{00000000-0005-0000-0000-000005000000}"/>
    <cellStyle name="20% - Accent1 2 14" xfId="163" xr:uid="{00000000-0005-0000-0000-000006000000}"/>
    <cellStyle name="20% - Accent1 2 15" xfId="164" xr:uid="{00000000-0005-0000-0000-000007000000}"/>
    <cellStyle name="20% - Accent1 2 2" xfId="165" xr:uid="{00000000-0005-0000-0000-000008000000}"/>
    <cellStyle name="20% - Accent1 2 3" xfId="166" xr:uid="{00000000-0005-0000-0000-000009000000}"/>
    <cellStyle name="20% - Accent1 2 4" xfId="167" xr:uid="{00000000-0005-0000-0000-00000A000000}"/>
    <cellStyle name="20% - Accent1 2 5" xfId="168" xr:uid="{00000000-0005-0000-0000-00000B000000}"/>
    <cellStyle name="20% - Accent1 2 6" xfId="169" xr:uid="{00000000-0005-0000-0000-00000C000000}"/>
    <cellStyle name="20% - Accent1 2 7" xfId="170" xr:uid="{00000000-0005-0000-0000-00000D000000}"/>
    <cellStyle name="20% - Accent1 2 8" xfId="171" xr:uid="{00000000-0005-0000-0000-00000E000000}"/>
    <cellStyle name="20% - Accent1 2 9" xfId="172" xr:uid="{00000000-0005-0000-0000-00000F000000}"/>
    <cellStyle name="20% - Accent1 2_AREFOR" xfId="173" xr:uid="{00000000-0005-0000-0000-000010000000}"/>
    <cellStyle name="20% - Accent1 3" xfId="54" xr:uid="{00000000-0005-0000-0000-000011000000}"/>
    <cellStyle name="20% - Accent1 4" xfId="174" xr:uid="{00000000-0005-0000-0000-000012000000}"/>
    <cellStyle name="20% - Accent1 5" xfId="175" xr:uid="{00000000-0005-0000-0000-000013000000}"/>
    <cellStyle name="20% - Accent1 6" xfId="176" xr:uid="{00000000-0005-0000-0000-000014000000}"/>
    <cellStyle name="20% - Accent1 7" xfId="177" xr:uid="{00000000-0005-0000-0000-000015000000}"/>
    <cellStyle name="20% - Accent1 8" xfId="178" xr:uid="{00000000-0005-0000-0000-000016000000}"/>
    <cellStyle name="20% - Accent2" xfId="23" builtinId="34" customBuiltin="1"/>
    <cellStyle name="20% - Accent2 2" xfId="55" xr:uid="{00000000-0005-0000-0000-000018000000}"/>
    <cellStyle name="20% - Accent2 2 10" xfId="179" xr:uid="{00000000-0005-0000-0000-000019000000}"/>
    <cellStyle name="20% - Accent2 2 11" xfId="180" xr:uid="{00000000-0005-0000-0000-00001A000000}"/>
    <cellStyle name="20% - Accent2 2 12" xfId="181" xr:uid="{00000000-0005-0000-0000-00001B000000}"/>
    <cellStyle name="20% - Accent2 2 13" xfId="182" xr:uid="{00000000-0005-0000-0000-00001C000000}"/>
    <cellStyle name="20% - Accent2 2 14" xfId="183" xr:uid="{00000000-0005-0000-0000-00001D000000}"/>
    <cellStyle name="20% - Accent2 2 15" xfId="184" xr:uid="{00000000-0005-0000-0000-00001E000000}"/>
    <cellStyle name="20% - Accent2 2 2" xfId="185" xr:uid="{00000000-0005-0000-0000-00001F000000}"/>
    <cellStyle name="20% - Accent2 2 3" xfId="186" xr:uid="{00000000-0005-0000-0000-000020000000}"/>
    <cellStyle name="20% - Accent2 2 4" xfId="187" xr:uid="{00000000-0005-0000-0000-000021000000}"/>
    <cellStyle name="20% - Accent2 2 5" xfId="188" xr:uid="{00000000-0005-0000-0000-000022000000}"/>
    <cellStyle name="20% - Accent2 2 6" xfId="189" xr:uid="{00000000-0005-0000-0000-000023000000}"/>
    <cellStyle name="20% - Accent2 2 7" xfId="190" xr:uid="{00000000-0005-0000-0000-000024000000}"/>
    <cellStyle name="20% - Accent2 2 8" xfId="191" xr:uid="{00000000-0005-0000-0000-000025000000}"/>
    <cellStyle name="20% - Accent2 2 9" xfId="192" xr:uid="{00000000-0005-0000-0000-000026000000}"/>
    <cellStyle name="20% - Accent2 2_AREFOR" xfId="193" xr:uid="{00000000-0005-0000-0000-000027000000}"/>
    <cellStyle name="20% - Accent2 3" xfId="56" xr:uid="{00000000-0005-0000-0000-000028000000}"/>
    <cellStyle name="20% - Accent2 4" xfId="194" xr:uid="{00000000-0005-0000-0000-000029000000}"/>
    <cellStyle name="20% - Accent2 5" xfId="195" xr:uid="{00000000-0005-0000-0000-00002A000000}"/>
    <cellStyle name="20% - Accent2 6" xfId="196" xr:uid="{00000000-0005-0000-0000-00002B000000}"/>
    <cellStyle name="20% - Accent2 7" xfId="197" xr:uid="{00000000-0005-0000-0000-00002C000000}"/>
    <cellStyle name="20% - Accent2 8" xfId="198" xr:uid="{00000000-0005-0000-0000-00002D000000}"/>
    <cellStyle name="20% - Accent3" xfId="27" builtinId="38" customBuiltin="1"/>
    <cellStyle name="20% - Accent3 2" xfId="57" xr:uid="{00000000-0005-0000-0000-00002F000000}"/>
    <cellStyle name="20% - Accent3 2 10" xfId="199" xr:uid="{00000000-0005-0000-0000-000030000000}"/>
    <cellStyle name="20% - Accent3 2 11" xfId="200" xr:uid="{00000000-0005-0000-0000-000031000000}"/>
    <cellStyle name="20% - Accent3 2 12" xfId="201" xr:uid="{00000000-0005-0000-0000-000032000000}"/>
    <cellStyle name="20% - Accent3 2 13" xfId="202" xr:uid="{00000000-0005-0000-0000-000033000000}"/>
    <cellStyle name="20% - Accent3 2 14" xfId="203" xr:uid="{00000000-0005-0000-0000-000034000000}"/>
    <cellStyle name="20% - Accent3 2 15" xfId="204" xr:uid="{00000000-0005-0000-0000-000035000000}"/>
    <cellStyle name="20% - Accent3 2 2" xfId="205" xr:uid="{00000000-0005-0000-0000-000036000000}"/>
    <cellStyle name="20% - Accent3 2 3" xfId="206" xr:uid="{00000000-0005-0000-0000-000037000000}"/>
    <cellStyle name="20% - Accent3 2 4" xfId="207" xr:uid="{00000000-0005-0000-0000-000038000000}"/>
    <cellStyle name="20% - Accent3 2 5" xfId="208" xr:uid="{00000000-0005-0000-0000-000039000000}"/>
    <cellStyle name="20% - Accent3 2 6" xfId="209" xr:uid="{00000000-0005-0000-0000-00003A000000}"/>
    <cellStyle name="20% - Accent3 2 7" xfId="210" xr:uid="{00000000-0005-0000-0000-00003B000000}"/>
    <cellStyle name="20% - Accent3 2 8" xfId="211" xr:uid="{00000000-0005-0000-0000-00003C000000}"/>
    <cellStyle name="20% - Accent3 2 9" xfId="212" xr:uid="{00000000-0005-0000-0000-00003D000000}"/>
    <cellStyle name="20% - Accent3 2_AREFOR" xfId="213" xr:uid="{00000000-0005-0000-0000-00003E000000}"/>
    <cellStyle name="20% - Accent3 3" xfId="58" xr:uid="{00000000-0005-0000-0000-00003F000000}"/>
    <cellStyle name="20% - Accent3 4" xfId="214" xr:uid="{00000000-0005-0000-0000-000040000000}"/>
    <cellStyle name="20% - Accent3 5" xfId="215" xr:uid="{00000000-0005-0000-0000-000041000000}"/>
    <cellStyle name="20% - Accent3 6" xfId="216" xr:uid="{00000000-0005-0000-0000-000042000000}"/>
    <cellStyle name="20% - Accent3 7" xfId="217" xr:uid="{00000000-0005-0000-0000-000043000000}"/>
    <cellStyle name="20% - Accent3 8" xfId="218" xr:uid="{00000000-0005-0000-0000-000044000000}"/>
    <cellStyle name="20% - Accent4" xfId="31" builtinId="42" customBuiltin="1"/>
    <cellStyle name="20% - Accent4 2" xfId="59" xr:uid="{00000000-0005-0000-0000-000046000000}"/>
    <cellStyle name="20% - Accent4 2 10" xfId="219" xr:uid="{00000000-0005-0000-0000-000047000000}"/>
    <cellStyle name="20% - Accent4 2 11" xfId="220" xr:uid="{00000000-0005-0000-0000-000048000000}"/>
    <cellStyle name="20% - Accent4 2 12" xfId="221" xr:uid="{00000000-0005-0000-0000-000049000000}"/>
    <cellStyle name="20% - Accent4 2 13" xfId="222" xr:uid="{00000000-0005-0000-0000-00004A000000}"/>
    <cellStyle name="20% - Accent4 2 14" xfId="223" xr:uid="{00000000-0005-0000-0000-00004B000000}"/>
    <cellStyle name="20% - Accent4 2 15" xfId="224" xr:uid="{00000000-0005-0000-0000-00004C000000}"/>
    <cellStyle name="20% - Accent4 2 2" xfId="225" xr:uid="{00000000-0005-0000-0000-00004D000000}"/>
    <cellStyle name="20% - Accent4 2 3" xfId="226" xr:uid="{00000000-0005-0000-0000-00004E000000}"/>
    <cellStyle name="20% - Accent4 2 4" xfId="227" xr:uid="{00000000-0005-0000-0000-00004F000000}"/>
    <cellStyle name="20% - Accent4 2 5" xfId="228" xr:uid="{00000000-0005-0000-0000-000050000000}"/>
    <cellStyle name="20% - Accent4 2 6" xfId="229" xr:uid="{00000000-0005-0000-0000-000051000000}"/>
    <cellStyle name="20% - Accent4 2 7" xfId="230" xr:uid="{00000000-0005-0000-0000-000052000000}"/>
    <cellStyle name="20% - Accent4 2 8" xfId="231" xr:uid="{00000000-0005-0000-0000-000053000000}"/>
    <cellStyle name="20% - Accent4 2 9" xfId="232" xr:uid="{00000000-0005-0000-0000-000054000000}"/>
    <cellStyle name="20% - Accent4 2_AREFOR" xfId="233" xr:uid="{00000000-0005-0000-0000-000055000000}"/>
    <cellStyle name="20% - Accent4 3" xfId="60" xr:uid="{00000000-0005-0000-0000-000056000000}"/>
    <cellStyle name="20% - Accent4 4" xfId="234" xr:uid="{00000000-0005-0000-0000-000057000000}"/>
    <cellStyle name="20% - Accent4 5" xfId="235" xr:uid="{00000000-0005-0000-0000-000058000000}"/>
    <cellStyle name="20% - Accent4 6" xfId="236" xr:uid="{00000000-0005-0000-0000-000059000000}"/>
    <cellStyle name="20% - Accent4 7" xfId="237" xr:uid="{00000000-0005-0000-0000-00005A000000}"/>
    <cellStyle name="20% - Accent4 8" xfId="238" xr:uid="{00000000-0005-0000-0000-00005B000000}"/>
    <cellStyle name="20% - Accent5" xfId="35" builtinId="46" customBuiltin="1"/>
    <cellStyle name="20% - Accent5 2" xfId="61" xr:uid="{00000000-0005-0000-0000-00005D000000}"/>
    <cellStyle name="20% - Accent5 2 10" xfId="239" xr:uid="{00000000-0005-0000-0000-00005E000000}"/>
    <cellStyle name="20% - Accent5 2 11" xfId="240" xr:uid="{00000000-0005-0000-0000-00005F000000}"/>
    <cellStyle name="20% - Accent5 2 12" xfId="241" xr:uid="{00000000-0005-0000-0000-000060000000}"/>
    <cellStyle name="20% - Accent5 2 13" xfId="242" xr:uid="{00000000-0005-0000-0000-000061000000}"/>
    <cellStyle name="20% - Accent5 2 14" xfId="243" xr:uid="{00000000-0005-0000-0000-000062000000}"/>
    <cellStyle name="20% - Accent5 2 15" xfId="244" xr:uid="{00000000-0005-0000-0000-000063000000}"/>
    <cellStyle name="20% - Accent5 2 2" xfId="245" xr:uid="{00000000-0005-0000-0000-000064000000}"/>
    <cellStyle name="20% - Accent5 2 3" xfId="246" xr:uid="{00000000-0005-0000-0000-000065000000}"/>
    <cellStyle name="20% - Accent5 2 4" xfId="247" xr:uid="{00000000-0005-0000-0000-000066000000}"/>
    <cellStyle name="20% - Accent5 2 5" xfId="248" xr:uid="{00000000-0005-0000-0000-000067000000}"/>
    <cellStyle name="20% - Accent5 2 6" xfId="249" xr:uid="{00000000-0005-0000-0000-000068000000}"/>
    <cellStyle name="20% - Accent5 2 7" xfId="250" xr:uid="{00000000-0005-0000-0000-000069000000}"/>
    <cellStyle name="20% - Accent5 2 8" xfId="251" xr:uid="{00000000-0005-0000-0000-00006A000000}"/>
    <cellStyle name="20% - Accent5 2 9" xfId="252" xr:uid="{00000000-0005-0000-0000-00006B000000}"/>
    <cellStyle name="20% - Accent5 3" xfId="62" xr:uid="{00000000-0005-0000-0000-00006C000000}"/>
    <cellStyle name="20% - Accent5 4" xfId="253" xr:uid="{00000000-0005-0000-0000-00006D000000}"/>
    <cellStyle name="20% - Accent5 5" xfId="254" xr:uid="{00000000-0005-0000-0000-00006E000000}"/>
    <cellStyle name="20% - Accent5 6" xfId="255" xr:uid="{00000000-0005-0000-0000-00006F000000}"/>
    <cellStyle name="20% - Accent5 7" xfId="256" xr:uid="{00000000-0005-0000-0000-000070000000}"/>
    <cellStyle name="20% - Accent5 8" xfId="257" xr:uid="{00000000-0005-0000-0000-000071000000}"/>
    <cellStyle name="20% - Accent6" xfId="39" builtinId="50" customBuiltin="1"/>
    <cellStyle name="20% - Accent6 2" xfId="63" xr:uid="{00000000-0005-0000-0000-000073000000}"/>
    <cellStyle name="20% - Accent6 2 10" xfId="258" xr:uid="{00000000-0005-0000-0000-000074000000}"/>
    <cellStyle name="20% - Accent6 2 11" xfId="259" xr:uid="{00000000-0005-0000-0000-000075000000}"/>
    <cellStyle name="20% - Accent6 2 12" xfId="260" xr:uid="{00000000-0005-0000-0000-000076000000}"/>
    <cellStyle name="20% - Accent6 2 13" xfId="261" xr:uid="{00000000-0005-0000-0000-000077000000}"/>
    <cellStyle name="20% - Accent6 2 14" xfId="262" xr:uid="{00000000-0005-0000-0000-000078000000}"/>
    <cellStyle name="20% - Accent6 2 15" xfId="263" xr:uid="{00000000-0005-0000-0000-000079000000}"/>
    <cellStyle name="20% - Accent6 2 2" xfId="264" xr:uid="{00000000-0005-0000-0000-00007A000000}"/>
    <cellStyle name="20% - Accent6 2 3" xfId="265" xr:uid="{00000000-0005-0000-0000-00007B000000}"/>
    <cellStyle name="20% - Accent6 2 4" xfId="266" xr:uid="{00000000-0005-0000-0000-00007C000000}"/>
    <cellStyle name="20% - Accent6 2 5" xfId="267" xr:uid="{00000000-0005-0000-0000-00007D000000}"/>
    <cellStyle name="20% - Accent6 2 6" xfId="268" xr:uid="{00000000-0005-0000-0000-00007E000000}"/>
    <cellStyle name="20% - Accent6 2 7" xfId="269" xr:uid="{00000000-0005-0000-0000-00007F000000}"/>
    <cellStyle name="20% - Accent6 2 8" xfId="270" xr:uid="{00000000-0005-0000-0000-000080000000}"/>
    <cellStyle name="20% - Accent6 2 9" xfId="271" xr:uid="{00000000-0005-0000-0000-000081000000}"/>
    <cellStyle name="20% - Accent6 3" xfId="64" xr:uid="{00000000-0005-0000-0000-000082000000}"/>
    <cellStyle name="20% - Accent6 4" xfId="272" xr:uid="{00000000-0005-0000-0000-000083000000}"/>
    <cellStyle name="20% - Accent6 5" xfId="273" xr:uid="{00000000-0005-0000-0000-000084000000}"/>
    <cellStyle name="20% - Accent6 6" xfId="274" xr:uid="{00000000-0005-0000-0000-000085000000}"/>
    <cellStyle name="20% - Accent6 7" xfId="275" xr:uid="{00000000-0005-0000-0000-000086000000}"/>
    <cellStyle name="20% - Accent6 8" xfId="276" xr:uid="{00000000-0005-0000-0000-000087000000}"/>
    <cellStyle name="40% - Accent1" xfId="20" builtinId="31" customBuiltin="1"/>
    <cellStyle name="40% - Accent1 2" xfId="65" xr:uid="{00000000-0005-0000-0000-000089000000}"/>
    <cellStyle name="40% - Accent1 2 10" xfId="277" xr:uid="{00000000-0005-0000-0000-00008A000000}"/>
    <cellStyle name="40% - Accent1 2 11" xfId="278" xr:uid="{00000000-0005-0000-0000-00008B000000}"/>
    <cellStyle name="40% - Accent1 2 12" xfId="279" xr:uid="{00000000-0005-0000-0000-00008C000000}"/>
    <cellStyle name="40% - Accent1 2 13" xfId="280" xr:uid="{00000000-0005-0000-0000-00008D000000}"/>
    <cellStyle name="40% - Accent1 2 14" xfId="281" xr:uid="{00000000-0005-0000-0000-00008E000000}"/>
    <cellStyle name="40% - Accent1 2 15" xfId="282" xr:uid="{00000000-0005-0000-0000-00008F000000}"/>
    <cellStyle name="40% - Accent1 2 2" xfId="283" xr:uid="{00000000-0005-0000-0000-000090000000}"/>
    <cellStyle name="40% - Accent1 2 3" xfId="284" xr:uid="{00000000-0005-0000-0000-000091000000}"/>
    <cellStyle name="40% - Accent1 2 4" xfId="285" xr:uid="{00000000-0005-0000-0000-000092000000}"/>
    <cellStyle name="40% - Accent1 2 5" xfId="286" xr:uid="{00000000-0005-0000-0000-000093000000}"/>
    <cellStyle name="40% - Accent1 2 6" xfId="287" xr:uid="{00000000-0005-0000-0000-000094000000}"/>
    <cellStyle name="40% - Accent1 2 7" xfId="288" xr:uid="{00000000-0005-0000-0000-000095000000}"/>
    <cellStyle name="40% - Accent1 2 8" xfId="289" xr:uid="{00000000-0005-0000-0000-000096000000}"/>
    <cellStyle name="40% - Accent1 2 9" xfId="290" xr:uid="{00000000-0005-0000-0000-000097000000}"/>
    <cellStyle name="40% - Accent1 2_AREFOR" xfId="291" xr:uid="{00000000-0005-0000-0000-000098000000}"/>
    <cellStyle name="40% - Accent1 3" xfId="66" xr:uid="{00000000-0005-0000-0000-000099000000}"/>
    <cellStyle name="40% - Accent1 4" xfId="292" xr:uid="{00000000-0005-0000-0000-00009A000000}"/>
    <cellStyle name="40% - Accent1 5" xfId="293" xr:uid="{00000000-0005-0000-0000-00009B000000}"/>
    <cellStyle name="40% - Accent1 6" xfId="294" xr:uid="{00000000-0005-0000-0000-00009C000000}"/>
    <cellStyle name="40% - Accent1 7" xfId="295" xr:uid="{00000000-0005-0000-0000-00009D000000}"/>
    <cellStyle name="40% - Accent1 8" xfId="296" xr:uid="{00000000-0005-0000-0000-00009E000000}"/>
    <cellStyle name="40% - Accent2" xfId="24" builtinId="35" customBuiltin="1"/>
    <cellStyle name="40% - Accent2 2" xfId="67" xr:uid="{00000000-0005-0000-0000-0000A0000000}"/>
    <cellStyle name="40% - Accent2 2 10" xfId="297" xr:uid="{00000000-0005-0000-0000-0000A1000000}"/>
    <cellStyle name="40% - Accent2 2 11" xfId="298" xr:uid="{00000000-0005-0000-0000-0000A2000000}"/>
    <cellStyle name="40% - Accent2 2 12" xfId="299" xr:uid="{00000000-0005-0000-0000-0000A3000000}"/>
    <cellStyle name="40% - Accent2 2 13" xfId="300" xr:uid="{00000000-0005-0000-0000-0000A4000000}"/>
    <cellStyle name="40% - Accent2 2 14" xfId="301" xr:uid="{00000000-0005-0000-0000-0000A5000000}"/>
    <cellStyle name="40% - Accent2 2 15" xfId="302" xr:uid="{00000000-0005-0000-0000-0000A6000000}"/>
    <cellStyle name="40% - Accent2 2 2" xfId="303" xr:uid="{00000000-0005-0000-0000-0000A7000000}"/>
    <cellStyle name="40% - Accent2 2 3" xfId="304" xr:uid="{00000000-0005-0000-0000-0000A8000000}"/>
    <cellStyle name="40% - Accent2 2 4" xfId="305" xr:uid="{00000000-0005-0000-0000-0000A9000000}"/>
    <cellStyle name="40% - Accent2 2 5" xfId="306" xr:uid="{00000000-0005-0000-0000-0000AA000000}"/>
    <cellStyle name="40% - Accent2 2 6" xfId="307" xr:uid="{00000000-0005-0000-0000-0000AB000000}"/>
    <cellStyle name="40% - Accent2 2 7" xfId="308" xr:uid="{00000000-0005-0000-0000-0000AC000000}"/>
    <cellStyle name="40% - Accent2 2 8" xfId="309" xr:uid="{00000000-0005-0000-0000-0000AD000000}"/>
    <cellStyle name="40% - Accent2 2 9" xfId="310" xr:uid="{00000000-0005-0000-0000-0000AE000000}"/>
    <cellStyle name="40% - Accent2 3" xfId="68" xr:uid="{00000000-0005-0000-0000-0000AF000000}"/>
    <cellStyle name="40% - Accent2 4" xfId="311" xr:uid="{00000000-0005-0000-0000-0000B0000000}"/>
    <cellStyle name="40% - Accent2 5" xfId="312" xr:uid="{00000000-0005-0000-0000-0000B1000000}"/>
    <cellStyle name="40% - Accent2 6" xfId="313" xr:uid="{00000000-0005-0000-0000-0000B2000000}"/>
    <cellStyle name="40% - Accent2 7" xfId="314" xr:uid="{00000000-0005-0000-0000-0000B3000000}"/>
    <cellStyle name="40% - Accent2 8" xfId="315" xr:uid="{00000000-0005-0000-0000-0000B4000000}"/>
    <cellStyle name="40% - Accent3" xfId="28" builtinId="39" customBuiltin="1"/>
    <cellStyle name="40% - Accent3 2" xfId="69" xr:uid="{00000000-0005-0000-0000-0000B6000000}"/>
    <cellStyle name="40% - Accent3 2 10" xfId="316" xr:uid="{00000000-0005-0000-0000-0000B7000000}"/>
    <cellStyle name="40% - Accent3 2 11" xfId="317" xr:uid="{00000000-0005-0000-0000-0000B8000000}"/>
    <cellStyle name="40% - Accent3 2 12" xfId="318" xr:uid="{00000000-0005-0000-0000-0000B9000000}"/>
    <cellStyle name="40% - Accent3 2 13" xfId="319" xr:uid="{00000000-0005-0000-0000-0000BA000000}"/>
    <cellStyle name="40% - Accent3 2 14" xfId="320" xr:uid="{00000000-0005-0000-0000-0000BB000000}"/>
    <cellStyle name="40% - Accent3 2 15" xfId="321" xr:uid="{00000000-0005-0000-0000-0000BC000000}"/>
    <cellStyle name="40% - Accent3 2 2" xfId="322" xr:uid="{00000000-0005-0000-0000-0000BD000000}"/>
    <cellStyle name="40% - Accent3 2 3" xfId="323" xr:uid="{00000000-0005-0000-0000-0000BE000000}"/>
    <cellStyle name="40% - Accent3 2 4" xfId="324" xr:uid="{00000000-0005-0000-0000-0000BF000000}"/>
    <cellStyle name="40% - Accent3 2 5" xfId="325" xr:uid="{00000000-0005-0000-0000-0000C0000000}"/>
    <cellStyle name="40% - Accent3 2 6" xfId="326" xr:uid="{00000000-0005-0000-0000-0000C1000000}"/>
    <cellStyle name="40% - Accent3 2 7" xfId="327" xr:uid="{00000000-0005-0000-0000-0000C2000000}"/>
    <cellStyle name="40% - Accent3 2 8" xfId="328" xr:uid="{00000000-0005-0000-0000-0000C3000000}"/>
    <cellStyle name="40% - Accent3 2 9" xfId="329" xr:uid="{00000000-0005-0000-0000-0000C4000000}"/>
    <cellStyle name="40% - Accent3 2_AREFOR" xfId="330" xr:uid="{00000000-0005-0000-0000-0000C5000000}"/>
    <cellStyle name="40% - Accent3 3" xfId="70" xr:uid="{00000000-0005-0000-0000-0000C6000000}"/>
    <cellStyle name="40% - Accent3 4" xfId="331" xr:uid="{00000000-0005-0000-0000-0000C7000000}"/>
    <cellStyle name="40% - Accent3 5" xfId="332" xr:uid="{00000000-0005-0000-0000-0000C8000000}"/>
    <cellStyle name="40% - Accent3 6" xfId="333" xr:uid="{00000000-0005-0000-0000-0000C9000000}"/>
    <cellStyle name="40% - Accent3 7" xfId="334" xr:uid="{00000000-0005-0000-0000-0000CA000000}"/>
    <cellStyle name="40% - Accent3 8" xfId="335" xr:uid="{00000000-0005-0000-0000-0000CB000000}"/>
    <cellStyle name="40% - Accent4" xfId="32" builtinId="43" customBuiltin="1"/>
    <cellStyle name="40% - Accent4 2" xfId="71" xr:uid="{00000000-0005-0000-0000-0000CD000000}"/>
    <cellStyle name="40% - Accent4 2 10" xfId="336" xr:uid="{00000000-0005-0000-0000-0000CE000000}"/>
    <cellStyle name="40% - Accent4 2 11" xfId="337" xr:uid="{00000000-0005-0000-0000-0000CF000000}"/>
    <cellStyle name="40% - Accent4 2 12" xfId="338" xr:uid="{00000000-0005-0000-0000-0000D0000000}"/>
    <cellStyle name="40% - Accent4 2 13" xfId="339" xr:uid="{00000000-0005-0000-0000-0000D1000000}"/>
    <cellStyle name="40% - Accent4 2 14" xfId="340" xr:uid="{00000000-0005-0000-0000-0000D2000000}"/>
    <cellStyle name="40% - Accent4 2 15" xfId="341" xr:uid="{00000000-0005-0000-0000-0000D3000000}"/>
    <cellStyle name="40% - Accent4 2 2" xfId="342" xr:uid="{00000000-0005-0000-0000-0000D4000000}"/>
    <cellStyle name="40% - Accent4 2 3" xfId="343" xr:uid="{00000000-0005-0000-0000-0000D5000000}"/>
    <cellStyle name="40% - Accent4 2 4" xfId="344" xr:uid="{00000000-0005-0000-0000-0000D6000000}"/>
    <cellStyle name="40% - Accent4 2 5" xfId="345" xr:uid="{00000000-0005-0000-0000-0000D7000000}"/>
    <cellStyle name="40% - Accent4 2 6" xfId="346" xr:uid="{00000000-0005-0000-0000-0000D8000000}"/>
    <cellStyle name="40% - Accent4 2 7" xfId="347" xr:uid="{00000000-0005-0000-0000-0000D9000000}"/>
    <cellStyle name="40% - Accent4 2 8" xfId="348" xr:uid="{00000000-0005-0000-0000-0000DA000000}"/>
    <cellStyle name="40% - Accent4 2 9" xfId="349" xr:uid="{00000000-0005-0000-0000-0000DB000000}"/>
    <cellStyle name="40% - Accent4 2_AREFOR" xfId="350" xr:uid="{00000000-0005-0000-0000-0000DC000000}"/>
    <cellStyle name="40% - Accent4 3" xfId="72" xr:uid="{00000000-0005-0000-0000-0000DD000000}"/>
    <cellStyle name="40% - Accent4 4" xfId="351" xr:uid="{00000000-0005-0000-0000-0000DE000000}"/>
    <cellStyle name="40% - Accent4 5" xfId="352" xr:uid="{00000000-0005-0000-0000-0000DF000000}"/>
    <cellStyle name="40% - Accent4 6" xfId="353" xr:uid="{00000000-0005-0000-0000-0000E0000000}"/>
    <cellStyle name="40% - Accent4 7" xfId="354" xr:uid="{00000000-0005-0000-0000-0000E1000000}"/>
    <cellStyle name="40% - Accent4 8" xfId="355" xr:uid="{00000000-0005-0000-0000-0000E2000000}"/>
    <cellStyle name="40% - Accent5" xfId="36" builtinId="47" customBuiltin="1"/>
    <cellStyle name="40% - Accent5 2" xfId="73" xr:uid="{00000000-0005-0000-0000-0000E4000000}"/>
    <cellStyle name="40% - Accent5 2 10" xfId="356" xr:uid="{00000000-0005-0000-0000-0000E5000000}"/>
    <cellStyle name="40% - Accent5 2 11" xfId="357" xr:uid="{00000000-0005-0000-0000-0000E6000000}"/>
    <cellStyle name="40% - Accent5 2 12" xfId="358" xr:uid="{00000000-0005-0000-0000-0000E7000000}"/>
    <cellStyle name="40% - Accent5 2 13" xfId="359" xr:uid="{00000000-0005-0000-0000-0000E8000000}"/>
    <cellStyle name="40% - Accent5 2 14" xfId="360" xr:uid="{00000000-0005-0000-0000-0000E9000000}"/>
    <cellStyle name="40% - Accent5 2 15" xfId="361" xr:uid="{00000000-0005-0000-0000-0000EA000000}"/>
    <cellStyle name="40% - Accent5 2 2" xfId="362" xr:uid="{00000000-0005-0000-0000-0000EB000000}"/>
    <cellStyle name="40% - Accent5 2 3" xfId="363" xr:uid="{00000000-0005-0000-0000-0000EC000000}"/>
    <cellStyle name="40% - Accent5 2 4" xfId="364" xr:uid="{00000000-0005-0000-0000-0000ED000000}"/>
    <cellStyle name="40% - Accent5 2 5" xfId="365" xr:uid="{00000000-0005-0000-0000-0000EE000000}"/>
    <cellStyle name="40% - Accent5 2 6" xfId="366" xr:uid="{00000000-0005-0000-0000-0000EF000000}"/>
    <cellStyle name="40% - Accent5 2 7" xfId="367" xr:uid="{00000000-0005-0000-0000-0000F0000000}"/>
    <cellStyle name="40% - Accent5 2 8" xfId="368" xr:uid="{00000000-0005-0000-0000-0000F1000000}"/>
    <cellStyle name="40% - Accent5 2 9" xfId="369" xr:uid="{00000000-0005-0000-0000-0000F2000000}"/>
    <cellStyle name="40% - Accent5 2_AREFOR" xfId="370" xr:uid="{00000000-0005-0000-0000-0000F3000000}"/>
    <cellStyle name="40% - Accent5 3" xfId="74" xr:uid="{00000000-0005-0000-0000-0000F4000000}"/>
    <cellStyle name="40% - Accent5 4" xfId="371" xr:uid="{00000000-0005-0000-0000-0000F5000000}"/>
    <cellStyle name="40% - Accent5 5" xfId="372" xr:uid="{00000000-0005-0000-0000-0000F6000000}"/>
    <cellStyle name="40% - Accent5 6" xfId="373" xr:uid="{00000000-0005-0000-0000-0000F7000000}"/>
    <cellStyle name="40% - Accent5 7" xfId="374" xr:uid="{00000000-0005-0000-0000-0000F8000000}"/>
    <cellStyle name="40% - Accent5 8" xfId="375" xr:uid="{00000000-0005-0000-0000-0000F9000000}"/>
    <cellStyle name="40% - Accent6" xfId="40" builtinId="51" customBuiltin="1"/>
    <cellStyle name="40% - Accent6 2" xfId="75" xr:uid="{00000000-0005-0000-0000-0000FB000000}"/>
    <cellStyle name="40% - Accent6 2 10" xfId="376" xr:uid="{00000000-0005-0000-0000-0000FC000000}"/>
    <cellStyle name="40% - Accent6 2 11" xfId="377" xr:uid="{00000000-0005-0000-0000-0000FD000000}"/>
    <cellStyle name="40% - Accent6 2 12" xfId="378" xr:uid="{00000000-0005-0000-0000-0000FE000000}"/>
    <cellStyle name="40% - Accent6 2 13" xfId="379" xr:uid="{00000000-0005-0000-0000-0000FF000000}"/>
    <cellStyle name="40% - Accent6 2 14" xfId="380" xr:uid="{00000000-0005-0000-0000-000000010000}"/>
    <cellStyle name="40% - Accent6 2 15" xfId="381" xr:uid="{00000000-0005-0000-0000-000001010000}"/>
    <cellStyle name="40% - Accent6 2 2" xfId="382" xr:uid="{00000000-0005-0000-0000-000002010000}"/>
    <cellStyle name="40% - Accent6 2 3" xfId="383" xr:uid="{00000000-0005-0000-0000-000003010000}"/>
    <cellStyle name="40% - Accent6 2 4" xfId="384" xr:uid="{00000000-0005-0000-0000-000004010000}"/>
    <cellStyle name="40% - Accent6 2 5" xfId="385" xr:uid="{00000000-0005-0000-0000-000005010000}"/>
    <cellStyle name="40% - Accent6 2 6" xfId="386" xr:uid="{00000000-0005-0000-0000-000006010000}"/>
    <cellStyle name="40% - Accent6 2 7" xfId="387" xr:uid="{00000000-0005-0000-0000-000007010000}"/>
    <cellStyle name="40% - Accent6 2 8" xfId="388" xr:uid="{00000000-0005-0000-0000-000008010000}"/>
    <cellStyle name="40% - Accent6 2 9" xfId="389" xr:uid="{00000000-0005-0000-0000-000009010000}"/>
    <cellStyle name="40% - Accent6 2_AREFOR" xfId="390" xr:uid="{00000000-0005-0000-0000-00000A010000}"/>
    <cellStyle name="40% - Accent6 3" xfId="76" xr:uid="{00000000-0005-0000-0000-00000B010000}"/>
    <cellStyle name="40% - Accent6 4" xfId="391" xr:uid="{00000000-0005-0000-0000-00000C010000}"/>
    <cellStyle name="40% - Accent6 5" xfId="392" xr:uid="{00000000-0005-0000-0000-00000D010000}"/>
    <cellStyle name="40% - Accent6 6" xfId="393" xr:uid="{00000000-0005-0000-0000-00000E010000}"/>
    <cellStyle name="40% - Accent6 7" xfId="394" xr:uid="{00000000-0005-0000-0000-00000F010000}"/>
    <cellStyle name="40% - Accent6 8" xfId="395" xr:uid="{00000000-0005-0000-0000-000010010000}"/>
    <cellStyle name="5x indented GHG Textfiels" xfId="77" xr:uid="{00000000-0005-0000-0000-000011010000}"/>
    <cellStyle name="60% - Accent1" xfId="21" builtinId="32" customBuiltin="1"/>
    <cellStyle name="60% - Accent1 2" xfId="396" xr:uid="{00000000-0005-0000-0000-000013010000}"/>
    <cellStyle name="60% - Accent1 2 10" xfId="397" xr:uid="{00000000-0005-0000-0000-000014010000}"/>
    <cellStyle name="60% - Accent1 2 2" xfId="398" xr:uid="{00000000-0005-0000-0000-000015010000}"/>
    <cellStyle name="60% - Accent1 2 3" xfId="399" xr:uid="{00000000-0005-0000-0000-000016010000}"/>
    <cellStyle name="60% - Accent1 2 4" xfId="400" xr:uid="{00000000-0005-0000-0000-000017010000}"/>
    <cellStyle name="60% - Accent1 2 5" xfId="401" xr:uid="{00000000-0005-0000-0000-000018010000}"/>
    <cellStyle name="60% - Accent1 2 6" xfId="402" xr:uid="{00000000-0005-0000-0000-000019010000}"/>
    <cellStyle name="60% - Accent1 2 7" xfId="403" xr:uid="{00000000-0005-0000-0000-00001A010000}"/>
    <cellStyle name="60% - Accent1 2 8" xfId="404" xr:uid="{00000000-0005-0000-0000-00001B010000}"/>
    <cellStyle name="60% - Accent1 2 9" xfId="405" xr:uid="{00000000-0005-0000-0000-00001C010000}"/>
    <cellStyle name="60% - Accent1 3" xfId="406" xr:uid="{00000000-0005-0000-0000-00001D010000}"/>
    <cellStyle name="60% - Accent2" xfId="25" builtinId="36" customBuiltin="1"/>
    <cellStyle name="60% - Accent2 2" xfId="407" xr:uid="{00000000-0005-0000-0000-00001F010000}"/>
    <cellStyle name="60% - Accent2 2 10" xfId="408" xr:uid="{00000000-0005-0000-0000-000020010000}"/>
    <cellStyle name="60% - Accent2 2 2" xfId="409" xr:uid="{00000000-0005-0000-0000-000021010000}"/>
    <cellStyle name="60% - Accent2 2 3" xfId="410" xr:uid="{00000000-0005-0000-0000-000022010000}"/>
    <cellStyle name="60% - Accent2 2 4" xfId="411" xr:uid="{00000000-0005-0000-0000-000023010000}"/>
    <cellStyle name="60% - Accent2 2 5" xfId="412" xr:uid="{00000000-0005-0000-0000-000024010000}"/>
    <cellStyle name="60% - Accent2 2 6" xfId="413" xr:uid="{00000000-0005-0000-0000-000025010000}"/>
    <cellStyle name="60% - Accent2 2 7" xfId="414" xr:uid="{00000000-0005-0000-0000-000026010000}"/>
    <cellStyle name="60% - Accent2 2 8" xfId="415" xr:uid="{00000000-0005-0000-0000-000027010000}"/>
    <cellStyle name="60% - Accent2 2 9" xfId="416" xr:uid="{00000000-0005-0000-0000-000028010000}"/>
    <cellStyle name="60% - Accent2 3" xfId="417" xr:uid="{00000000-0005-0000-0000-000029010000}"/>
    <cellStyle name="60% - Accent3" xfId="29" builtinId="40" customBuiltin="1"/>
    <cellStyle name="60% - Accent3 2" xfId="418" xr:uid="{00000000-0005-0000-0000-00002B010000}"/>
    <cellStyle name="60% - Accent3 2 10" xfId="419" xr:uid="{00000000-0005-0000-0000-00002C010000}"/>
    <cellStyle name="60% - Accent3 2 2" xfId="420" xr:uid="{00000000-0005-0000-0000-00002D010000}"/>
    <cellStyle name="60% - Accent3 2 3" xfId="421" xr:uid="{00000000-0005-0000-0000-00002E010000}"/>
    <cellStyle name="60% - Accent3 2 4" xfId="422" xr:uid="{00000000-0005-0000-0000-00002F010000}"/>
    <cellStyle name="60% - Accent3 2 5" xfId="423" xr:uid="{00000000-0005-0000-0000-000030010000}"/>
    <cellStyle name="60% - Accent3 2 6" xfId="424" xr:uid="{00000000-0005-0000-0000-000031010000}"/>
    <cellStyle name="60% - Accent3 2 7" xfId="425" xr:uid="{00000000-0005-0000-0000-000032010000}"/>
    <cellStyle name="60% - Accent3 2 8" xfId="426" xr:uid="{00000000-0005-0000-0000-000033010000}"/>
    <cellStyle name="60% - Accent3 2 9" xfId="427" xr:uid="{00000000-0005-0000-0000-000034010000}"/>
    <cellStyle name="60% - Accent3 3" xfId="428" xr:uid="{00000000-0005-0000-0000-000035010000}"/>
    <cellStyle name="60% - Accent4" xfId="33" builtinId="44" customBuiltin="1"/>
    <cellStyle name="60% - Accent4 2" xfId="429" xr:uid="{00000000-0005-0000-0000-000037010000}"/>
    <cellStyle name="60% - Accent4 2 10" xfId="430" xr:uid="{00000000-0005-0000-0000-000038010000}"/>
    <cellStyle name="60% - Accent4 2 2" xfId="431" xr:uid="{00000000-0005-0000-0000-000039010000}"/>
    <cellStyle name="60% - Accent4 2 3" xfId="432" xr:uid="{00000000-0005-0000-0000-00003A010000}"/>
    <cellStyle name="60% - Accent4 2 4" xfId="433" xr:uid="{00000000-0005-0000-0000-00003B010000}"/>
    <cellStyle name="60% - Accent4 2 5" xfId="434" xr:uid="{00000000-0005-0000-0000-00003C010000}"/>
    <cellStyle name="60% - Accent4 2 6" xfId="435" xr:uid="{00000000-0005-0000-0000-00003D010000}"/>
    <cellStyle name="60% - Accent4 2 7" xfId="436" xr:uid="{00000000-0005-0000-0000-00003E010000}"/>
    <cellStyle name="60% - Accent4 2 8" xfId="437" xr:uid="{00000000-0005-0000-0000-00003F010000}"/>
    <cellStyle name="60% - Accent4 2 9" xfId="438" xr:uid="{00000000-0005-0000-0000-000040010000}"/>
    <cellStyle name="60% - Accent4 3" xfId="439" xr:uid="{00000000-0005-0000-0000-000041010000}"/>
    <cellStyle name="60% - Accent5" xfId="37" builtinId="48" customBuiltin="1"/>
    <cellStyle name="60% - Accent5 2" xfId="440" xr:uid="{00000000-0005-0000-0000-000043010000}"/>
    <cellStyle name="60% - Accent5 2 10" xfId="441" xr:uid="{00000000-0005-0000-0000-000044010000}"/>
    <cellStyle name="60% - Accent5 2 2" xfId="442" xr:uid="{00000000-0005-0000-0000-000045010000}"/>
    <cellStyle name="60% - Accent5 2 3" xfId="443" xr:uid="{00000000-0005-0000-0000-000046010000}"/>
    <cellStyle name="60% - Accent5 2 4" xfId="444" xr:uid="{00000000-0005-0000-0000-000047010000}"/>
    <cellStyle name="60% - Accent5 2 5" xfId="445" xr:uid="{00000000-0005-0000-0000-000048010000}"/>
    <cellStyle name="60% - Accent5 2 6" xfId="446" xr:uid="{00000000-0005-0000-0000-000049010000}"/>
    <cellStyle name="60% - Accent5 2 7" xfId="447" xr:uid="{00000000-0005-0000-0000-00004A010000}"/>
    <cellStyle name="60% - Accent5 2 8" xfId="448" xr:uid="{00000000-0005-0000-0000-00004B010000}"/>
    <cellStyle name="60% - Accent5 2 9" xfId="449" xr:uid="{00000000-0005-0000-0000-00004C010000}"/>
    <cellStyle name="60% - Accent5 3" xfId="450" xr:uid="{00000000-0005-0000-0000-00004D010000}"/>
    <cellStyle name="60% - Accent6" xfId="41" builtinId="52" customBuiltin="1"/>
    <cellStyle name="60% - Accent6 2" xfId="451" xr:uid="{00000000-0005-0000-0000-00004F010000}"/>
    <cellStyle name="60% - Accent6 2 10" xfId="452" xr:uid="{00000000-0005-0000-0000-000050010000}"/>
    <cellStyle name="60% - Accent6 2 2" xfId="453" xr:uid="{00000000-0005-0000-0000-000051010000}"/>
    <cellStyle name="60% - Accent6 2 3" xfId="454" xr:uid="{00000000-0005-0000-0000-000052010000}"/>
    <cellStyle name="60% - Accent6 2 4" xfId="455" xr:uid="{00000000-0005-0000-0000-000053010000}"/>
    <cellStyle name="60% - Accent6 2 5" xfId="456" xr:uid="{00000000-0005-0000-0000-000054010000}"/>
    <cellStyle name="60% - Accent6 2 6" xfId="457" xr:uid="{00000000-0005-0000-0000-000055010000}"/>
    <cellStyle name="60% - Accent6 2 7" xfId="458" xr:uid="{00000000-0005-0000-0000-000056010000}"/>
    <cellStyle name="60% - Accent6 2 8" xfId="459" xr:uid="{00000000-0005-0000-0000-000057010000}"/>
    <cellStyle name="60% - Accent6 2 9" xfId="460" xr:uid="{00000000-0005-0000-0000-000058010000}"/>
    <cellStyle name="60% - Accent6 3" xfId="461" xr:uid="{00000000-0005-0000-0000-000059010000}"/>
    <cellStyle name="Accent1" xfId="18" builtinId="29" customBuiltin="1"/>
    <cellStyle name="Accent1 2" xfId="462" xr:uid="{00000000-0005-0000-0000-00005B010000}"/>
    <cellStyle name="Accent1 2 10" xfId="463" xr:uid="{00000000-0005-0000-0000-00005C010000}"/>
    <cellStyle name="Accent1 2 2" xfId="464" xr:uid="{00000000-0005-0000-0000-00005D010000}"/>
    <cellStyle name="Accent1 2 3" xfId="465" xr:uid="{00000000-0005-0000-0000-00005E010000}"/>
    <cellStyle name="Accent1 2 4" xfId="466" xr:uid="{00000000-0005-0000-0000-00005F010000}"/>
    <cellStyle name="Accent1 2 5" xfId="467" xr:uid="{00000000-0005-0000-0000-000060010000}"/>
    <cellStyle name="Accent1 2 6" xfId="468" xr:uid="{00000000-0005-0000-0000-000061010000}"/>
    <cellStyle name="Accent1 2 7" xfId="469" xr:uid="{00000000-0005-0000-0000-000062010000}"/>
    <cellStyle name="Accent1 2 8" xfId="470" xr:uid="{00000000-0005-0000-0000-000063010000}"/>
    <cellStyle name="Accent1 2 9" xfId="471" xr:uid="{00000000-0005-0000-0000-000064010000}"/>
    <cellStyle name="Accent1 3" xfId="472" xr:uid="{00000000-0005-0000-0000-000065010000}"/>
    <cellStyle name="Accent2" xfId="22" builtinId="33" customBuiltin="1"/>
    <cellStyle name="Accent2 2" xfId="473" xr:uid="{00000000-0005-0000-0000-000067010000}"/>
    <cellStyle name="Accent2 2 10" xfId="474" xr:uid="{00000000-0005-0000-0000-000068010000}"/>
    <cellStyle name="Accent2 2 2" xfId="475" xr:uid="{00000000-0005-0000-0000-000069010000}"/>
    <cellStyle name="Accent2 2 3" xfId="476" xr:uid="{00000000-0005-0000-0000-00006A010000}"/>
    <cellStyle name="Accent2 2 4" xfId="477" xr:uid="{00000000-0005-0000-0000-00006B010000}"/>
    <cellStyle name="Accent2 2 5" xfId="478" xr:uid="{00000000-0005-0000-0000-00006C010000}"/>
    <cellStyle name="Accent2 2 6" xfId="479" xr:uid="{00000000-0005-0000-0000-00006D010000}"/>
    <cellStyle name="Accent2 2 7" xfId="480" xr:uid="{00000000-0005-0000-0000-00006E010000}"/>
    <cellStyle name="Accent2 2 8" xfId="481" xr:uid="{00000000-0005-0000-0000-00006F010000}"/>
    <cellStyle name="Accent2 2 9" xfId="482" xr:uid="{00000000-0005-0000-0000-000070010000}"/>
    <cellStyle name="Accent2 3" xfId="483" xr:uid="{00000000-0005-0000-0000-000071010000}"/>
    <cellStyle name="Accent3" xfId="26" builtinId="37" customBuiltin="1"/>
    <cellStyle name="Accent3 2" xfId="484" xr:uid="{00000000-0005-0000-0000-000073010000}"/>
    <cellStyle name="Accent3 2 10" xfId="485" xr:uid="{00000000-0005-0000-0000-000074010000}"/>
    <cellStyle name="Accent3 2 2" xfId="486" xr:uid="{00000000-0005-0000-0000-000075010000}"/>
    <cellStyle name="Accent3 2 3" xfId="487" xr:uid="{00000000-0005-0000-0000-000076010000}"/>
    <cellStyle name="Accent3 2 4" xfId="488" xr:uid="{00000000-0005-0000-0000-000077010000}"/>
    <cellStyle name="Accent3 2 5" xfId="489" xr:uid="{00000000-0005-0000-0000-000078010000}"/>
    <cellStyle name="Accent3 2 6" xfId="490" xr:uid="{00000000-0005-0000-0000-000079010000}"/>
    <cellStyle name="Accent3 2 7" xfId="491" xr:uid="{00000000-0005-0000-0000-00007A010000}"/>
    <cellStyle name="Accent3 2 8" xfId="492" xr:uid="{00000000-0005-0000-0000-00007B010000}"/>
    <cellStyle name="Accent3 2 9" xfId="493" xr:uid="{00000000-0005-0000-0000-00007C010000}"/>
    <cellStyle name="Accent3 3" xfId="494" xr:uid="{00000000-0005-0000-0000-00007D010000}"/>
    <cellStyle name="Accent4" xfId="30" builtinId="41" customBuiltin="1"/>
    <cellStyle name="Accent4 2" xfId="495" xr:uid="{00000000-0005-0000-0000-00007F010000}"/>
    <cellStyle name="Accent4 2 10" xfId="496" xr:uid="{00000000-0005-0000-0000-000080010000}"/>
    <cellStyle name="Accent4 2 2" xfId="497" xr:uid="{00000000-0005-0000-0000-000081010000}"/>
    <cellStyle name="Accent4 2 3" xfId="498" xr:uid="{00000000-0005-0000-0000-000082010000}"/>
    <cellStyle name="Accent4 2 4" xfId="499" xr:uid="{00000000-0005-0000-0000-000083010000}"/>
    <cellStyle name="Accent4 2 5" xfId="500" xr:uid="{00000000-0005-0000-0000-000084010000}"/>
    <cellStyle name="Accent4 2 6" xfId="501" xr:uid="{00000000-0005-0000-0000-000085010000}"/>
    <cellStyle name="Accent4 2 7" xfId="502" xr:uid="{00000000-0005-0000-0000-000086010000}"/>
    <cellStyle name="Accent4 2 8" xfId="503" xr:uid="{00000000-0005-0000-0000-000087010000}"/>
    <cellStyle name="Accent4 2 9" xfId="504" xr:uid="{00000000-0005-0000-0000-000088010000}"/>
    <cellStyle name="Accent4 3" xfId="505" xr:uid="{00000000-0005-0000-0000-000089010000}"/>
    <cellStyle name="Accent5" xfId="34" builtinId="45" customBuiltin="1"/>
    <cellStyle name="Accent5 2" xfId="506" xr:uid="{00000000-0005-0000-0000-00008B010000}"/>
    <cellStyle name="Accent5 2 10" xfId="507" xr:uid="{00000000-0005-0000-0000-00008C010000}"/>
    <cellStyle name="Accent5 2 2" xfId="508" xr:uid="{00000000-0005-0000-0000-00008D010000}"/>
    <cellStyle name="Accent5 2 3" xfId="509" xr:uid="{00000000-0005-0000-0000-00008E010000}"/>
    <cellStyle name="Accent5 2 4" xfId="510" xr:uid="{00000000-0005-0000-0000-00008F010000}"/>
    <cellStyle name="Accent5 2 5" xfId="511" xr:uid="{00000000-0005-0000-0000-000090010000}"/>
    <cellStyle name="Accent5 2 6" xfId="512" xr:uid="{00000000-0005-0000-0000-000091010000}"/>
    <cellStyle name="Accent5 2 7" xfId="513" xr:uid="{00000000-0005-0000-0000-000092010000}"/>
    <cellStyle name="Accent5 2 8" xfId="514" xr:uid="{00000000-0005-0000-0000-000093010000}"/>
    <cellStyle name="Accent5 2 9" xfId="515" xr:uid="{00000000-0005-0000-0000-000094010000}"/>
    <cellStyle name="Accent5 3" xfId="516" xr:uid="{00000000-0005-0000-0000-000095010000}"/>
    <cellStyle name="Accent5 4" xfId="158" xr:uid="{00000000-0005-0000-0000-000096010000}"/>
    <cellStyle name="Accent6" xfId="38" builtinId="49" customBuiltin="1"/>
    <cellStyle name="Accent6 2" xfId="517" xr:uid="{00000000-0005-0000-0000-000098010000}"/>
    <cellStyle name="Accent6 2 10" xfId="518" xr:uid="{00000000-0005-0000-0000-000099010000}"/>
    <cellStyle name="Accent6 2 2" xfId="519" xr:uid="{00000000-0005-0000-0000-00009A010000}"/>
    <cellStyle name="Accent6 2 3" xfId="520" xr:uid="{00000000-0005-0000-0000-00009B010000}"/>
    <cellStyle name="Accent6 2 4" xfId="521" xr:uid="{00000000-0005-0000-0000-00009C010000}"/>
    <cellStyle name="Accent6 2 5" xfId="522" xr:uid="{00000000-0005-0000-0000-00009D010000}"/>
    <cellStyle name="Accent6 2 6" xfId="523" xr:uid="{00000000-0005-0000-0000-00009E010000}"/>
    <cellStyle name="Accent6 2 7" xfId="524" xr:uid="{00000000-0005-0000-0000-00009F010000}"/>
    <cellStyle name="Accent6 2 8" xfId="525" xr:uid="{00000000-0005-0000-0000-0000A0010000}"/>
    <cellStyle name="Accent6 2 9" xfId="526" xr:uid="{00000000-0005-0000-0000-0000A1010000}"/>
    <cellStyle name="Accent6 3" xfId="527" xr:uid="{00000000-0005-0000-0000-0000A2010000}"/>
    <cellStyle name="AggOrange_CRFReport-template" xfId="528" xr:uid="{00000000-0005-0000-0000-0000A3010000}"/>
    <cellStyle name="AggOrange9_CRFReport-template" xfId="529" xr:uid="{00000000-0005-0000-0000-0000A4010000}"/>
    <cellStyle name="Bad" xfId="8" builtinId="27" customBuiltin="1"/>
    <cellStyle name="Bad 2" xfId="530" xr:uid="{00000000-0005-0000-0000-0000A6010000}"/>
    <cellStyle name="Bad 2 10" xfId="531" xr:uid="{00000000-0005-0000-0000-0000A7010000}"/>
    <cellStyle name="Bad 2 2" xfId="532" xr:uid="{00000000-0005-0000-0000-0000A8010000}"/>
    <cellStyle name="Bad 2 3" xfId="533" xr:uid="{00000000-0005-0000-0000-0000A9010000}"/>
    <cellStyle name="Bad 2 4" xfId="534" xr:uid="{00000000-0005-0000-0000-0000AA010000}"/>
    <cellStyle name="Bad 2 5" xfId="535" xr:uid="{00000000-0005-0000-0000-0000AB010000}"/>
    <cellStyle name="Bad 2 6" xfId="536" xr:uid="{00000000-0005-0000-0000-0000AC010000}"/>
    <cellStyle name="Bad 2 7" xfId="537" xr:uid="{00000000-0005-0000-0000-0000AD010000}"/>
    <cellStyle name="Bad 2 8" xfId="538" xr:uid="{00000000-0005-0000-0000-0000AE010000}"/>
    <cellStyle name="Bad 2 9" xfId="539" xr:uid="{00000000-0005-0000-0000-0000AF010000}"/>
    <cellStyle name="Bad 3" xfId="540" xr:uid="{00000000-0005-0000-0000-0000B0010000}"/>
    <cellStyle name="Bold GHG Numbers (0.00)" xfId="78" xr:uid="{00000000-0005-0000-0000-0000B1010000}"/>
    <cellStyle name="Calculation" xfId="12" builtinId="22" customBuiltin="1"/>
    <cellStyle name="Calculation 2" xfId="541" xr:uid="{00000000-0005-0000-0000-0000B3010000}"/>
    <cellStyle name="Calculation 2 10" xfId="542" xr:uid="{00000000-0005-0000-0000-0000B4010000}"/>
    <cellStyle name="Calculation 2 2" xfId="543" xr:uid="{00000000-0005-0000-0000-0000B5010000}"/>
    <cellStyle name="Calculation 2 3" xfId="544" xr:uid="{00000000-0005-0000-0000-0000B6010000}"/>
    <cellStyle name="Calculation 2 4" xfId="545" xr:uid="{00000000-0005-0000-0000-0000B7010000}"/>
    <cellStyle name="Calculation 2 5" xfId="546" xr:uid="{00000000-0005-0000-0000-0000B8010000}"/>
    <cellStyle name="Calculation 2 6" xfId="547" xr:uid="{00000000-0005-0000-0000-0000B9010000}"/>
    <cellStyle name="Calculation 2 7" xfId="548" xr:uid="{00000000-0005-0000-0000-0000BA010000}"/>
    <cellStyle name="Calculation 2 8" xfId="549" xr:uid="{00000000-0005-0000-0000-0000BB010000}"/>
    <cellStyle name="Calculation 2 9" xfId="550" xr:uid="{00000000-0005-0000-0000-0000BC010000}"/>
    <cellStyle name="Calculation 2_PotsLow" xfId="551" xr:uid="{00000000-0005-0000-0000-0000BD010000}"/>
    <cellStyle name="Calculation 3" xfId="552" xr:uid="{00000000-0005-0000-0000-0000BE010000}"/>
    <cellStyle name="Check Cell" xfId="14" builtinId="23" customBuiltin="1"/>
    <cellStyle name="Check Cell 2" xfId="553" xr:uid="{00000000-0005-0000-0000-0000C0010000}"/>
    <cellStyle name="Check Cell 2 10" xfId="554" xr:uid="{00000000-0005-0000-0000-0000C1010000}"/>
    <cellStyle name="Check Cell 2 2" xfId="555" xr:uid="{00000000-0005-0000-0000-0000C2010000}"/>
    <cellStyle name="Check Cell 2 3" xfId="556" xr:uid="{00000000-0005-0000-0000-0000C3010000}"/>
    <cellStyle name="Check Cell 2 4" xfId="557" xr:uid="{00000000-0005-0000-0000-0000C4010000}"/>
    <cellStyle name="Check Cell 2 5" xfId="558" xr:uid="{00000000-0005-0000-0000-0000C5010000}"/>
    <cellStyle name="Check Cell 2 6" xfId="559" xr:uid="{00000000-0005-0000-0000-0000C6010000}"/>
    <cellStyle name="Check Cell 2 7" xfId="560" xr:uid="{00000000-0005-0000-0000-0000C7010000}"/>
    <cellStyle name="Check Cell 2 8" xfId="561" xr:uid="{00000000-0005-0000-0000-0000C8010000}"/>
    <cellStyle name="Check Cell 2 9" xfId="562" xr:uid="{00000000-0005-0000-0000-0000C9010000}"/>
    <cellStyle name="Check Cell 2_PotsLow" xfId="563" xr:uid="{00000000-0005-0000-0000-0000CA010000}"/>
    <cellStyle name="Check Cell 3" xfId="564" xr:uid="{00000000-0005-0000-0000-0000CB010000}"/>
    <cellStyle name="Column heading" xfId="79" xr:uid="{00000000-0005-0000-0000-0000CC010000}"/>
    <cellStyle name="Comma [0] 2 10" xfId="565" xr:uid="{00000000-0005-0000-0000-0000CD010000}"/>
    <cellStyle name="Comma [0] 2 10 2" xfId="566" xr:uid="{00000000-0005-0000-0000-0000CE010000}"/>
    <cellStyle name="Comma [0] 2 10 2 2" xfId="2204" xr:uid="{00000000-0005-0000-0000-0000CF010000}"/>
    <cellStyle name="Comma [0] 2 10 3" xfId="2203" xr:uid="{00000000-0005-0000-0000-0000D0010000}"/>
    <cellStyle name="Comma [0] 2 2" xfId="567" xr:uid="{00000000-0005-0000-0000-0000D1010000}"/>
    <cellStyle name="Comma [0] 2 2 2" xfId="568" xr:uid="{00000000-0005-0000-0000-0000D2010000}"/>
    <cellStyle name="Comma [0] 2 2 2 2" xfId="2206" xr:uid="{00000000-0005-0000-0000-0000D3010000}"/>
    <cellStyle name="Comma [0] 2 2 3" xfId="2205" xr:uid="{00000000-0005-0000-0000-0000D4010000}"/>
    <cellStyle name="Comma [0] 2 3" xfId="569" xr:uid="{00000000-0005-0000-0000-0000D5010000}"/>
    <cellStyle name="Comma [0] 2 3 2" xfId="570" xr:uid="{00000000-0005-0000-0000-0000D6010000}"/>
    <cellStyle name="Comma [0] 2 3 2 2" xfId="2208" xr:uid="{00000000-0005-0000-0000-0000D7010000}"/>
    <cellStyle name="Comma [0] 2 3 3" xfId="2207" xr:uid="{00000000-0005-0000-0000-0000D8010000}"/>
    <cellStyle name="Comma [0] 2 4" xfId="571" xr:uid="{00000000-0005-0000-0000-0000D9010000}"/>
    <cellStyle name="Comma [0] 2 4 2" xfId="572" xr:uid="{00000000-0005-0000-0000-0000DA010000}"/>
    <cellStyle name="Comma [0] 2 4 2 2" xfId="2210" xr:uid="{00000000-0005-0000-0000-0000DB010000}"/>
    <cellStyle name="Comma [0] 2 4 3" xfId="2209" xr:uid="{00000000-0005-0000-0000-0000DC010000}"/>
    <cellStyle name="Comma [0] 2 5" xfId="573" xr:uid="{00000000-0005-0000-0000-0000DD010000}"/>
    <cellStyle name="Comma [0] 2 5 2" xfId="574" xr:uid="{00000000-0005-0000-0000-0000DE010000}"/>
    <cellStyle name="Comma [0] 2 5 2 2" xfId="2212" xr:uid="{00000000-0005-0000-0000-0000DF010000}"/>
    <cellStyle name="Comma [0] 2 5 3" xfId="2211" xr:uid="{00000000-0005-0000-0000-0000E0010000}"/>
    <cellStyle name="Comma [0] 2 6" xfId="575" xr:uid="{00000000-0005-0000-0000-0000E1010000}"/>
    <cellStyle name="Comma [0] 2 6 2" xfId="576" xr:uid="{00000000-0005-0000-0000-0000E2010000}"/>
    <cellStyle name="Comma [0] 2 6 2 2" xfId="2214" xr:uid="{00000000-0005-0000-0000-0000E3010000}"/>
    <cellStyle name="Comma [0] 2 6 3" xfId="2213" xr:uid="{00000000-0005-0000-0000-0000E4010000}"/>
    <cellStyle name="Comma [0] 2 7" xfId="577" xr:uid="{00000000-0005-0000-0000-0000E5010000}"/>
    <cellStyle name="Comma [0] 2 7 2" xfId="578" xr:uid="{00000000-0005-0000-0000-0000E6010000}"/>
    <cellStyle name="Comma [0] 2 7 2 2" xfId="2216" xr:uid="{00000000-0005-0000-0000-0000E7010000}"/>
    <cellStyle name="Comma [0] 2 7 3" xfId="2215" xr:uid="{00000000-0005-0000-0000-0000E8010000}"/>
    <cellStyle name="Comma [0] 2 8" xfId="579" xr:uid="{00000000-0005-0000-0000-0000E9010000}"/>
    <cellStyle name="Comma [0] 2 8 2" xfId="580" xr:uid="{00000000-0005-0000-0000-0000EA010000}"/>
    <cellStyle name="Comma [0] 2 8 2 2" xfId="2218" xr:uid="{00000000-0005-0000-0000-0000EB010000}"/>
    <cellStyle name="Comma [0] 2 8 3" xfId="2217" xr:uid="{00000000-0005-0000-0000-0000EC010000}"/>
    <cellStyle name="Comma [0] 2 9" xfId="581" xr:uid="{00000000-0005-0000-0000-0000ED010000}"/>
    <cellStyle name="Comma [0] 2 9 2" xfId="582" xr:uid="{00000000-0005-0000-0000-0000EE010000}"/>
    <cellStyle name="Comma [0] 2 9 2 2" xfId="2220" xr:uid="{00000000-0005-0000-0000-0000EF010000}"/>
    <cellStyle name="Comma [0] 2 9 3" xfId="2219" xr:uid="{00000000-0005-0000-0000-0000F0010000}"/>
    <cellStyle name="Comma 10" xfId="583" xr:uid="{00000000-0005-0000-0000-0000F1010000}"/>
    <cellStyle name="Comma 10 2" xfId="584" xr:uid="{00000000-0005-0000-0000-0000F2010000}"/>
    <cellStyle name="Comma 10 2 10" xfId="585" xr:uid="{00000000-0005-0000-0000-0000F3010000}"/>
    <cellStyle name="Comma 10 2 10 2" xfId="586" xr:uid="{00000000-0005-0000-0000-0000F4010000}"/>
    <cellStyle name="Comma 10 2 10 2 2" xfId="2224" xr:uid="{00000000-0005-0000-0000-0000F5010000}"/>
    <cellStyle name="Comma 10 2 10 3" xfId="2223" xr:uid="{00000000-0005-0000-0000-0000F6010000}"/>
    <cellStyle name="Comma 10 2 11" xfId="587" xr:uid="{00000000-0005-0000-0000-0000F7010000}"/>
    <cellStyle name="Comma 10 2 11 2" xfId="588" xr:uid="{00000000-0005-0000-0000-0000F8010000}"/>
    <cellStyle name="Comma 10 2 11 2 2" xfId="2226" xr:uid="{00000000-0005-0000-0000-0000F9010000}"/>
    <cellStyle name="Comma 10 2 11 3" xfId="2225" xr:uid="{00000000-0005-0000-0000-0000FA010000}"/>
    <cellStyle name="Comma 10 2 12" xfId="589" xr:uid="{00000000-0005-0000-0000-0000FB010000}"/>
    <cellStyle name="Comma 10 2 12 2" xfId="590" xr:uid="{00000000-0005-0000-0000-0000FC010000}"/>
    <cellStyle name="Comma 10 2 12 2 2" xfId="2228" xr:uid="{00000000-0005-0000-0000-0000FD010000}"/>
    <cellStyle name="Comma 10 2 12 3" xfId="2227" xr:uid="{00000000-0005-0000-0000-0000FE010000}"/>
    <cellStyle name="Comma 10 2 13" xfId="591" xr:uid="{00000000-0005-0000-0000-0000FF010000}"/>
    <cellStyle name="Comma 10 2 13 2" xfId="592" xr:uid="{00000000-0005-0000-0000-000000020000}"/>
    <cellStyle name="Comma 10 2 13 2 2" xfId="2230" xr:uid="{00000000-0005-0000-0000-000001020000}"/>
    <cellStyle name="Comma 10 2 13 3" xfId="2229" xr:uid="{00000000-0005-0000-0000-000002020000}"/>
    <cellStyle name="Comma 10 2 14" xfId="593" xr:uid="{00000000-0005-0000-0000-000003020000}"/>
    <cellStyle name="Comma 10 2 14 2" xfId="594" xr:uid="{00000000-0005-0000-0000-000004020000}"/>
    <cellStyle name="Comma 10 2 14 2 2" xfId="2232" xr:uid="{00000000-0005-0000-0000-000005020000}"/>
    <cellStyle name="Comma 10 2 14 3" xfId="2231" xr:uid="{00000000-0005-0000-0000-000006020000}"/>
    <cellStyle name="Comma 10 2 15" xfId="595" xr:uid="{00000000-0005-0000-0000-000007020000}"/>
    <cellStyle name="Comma 10 2 15 2" xfId="596" xr:uid="{00000000-0005-0000-0000-000008020000}"/>
    <cellStyle name="Comma 10 2 15 2 2" xfId="2234" xr:uid="{00000000-0005-0000-0000-000009020000}"/>
    <cellStyle name="Comma 10 2 15 3" xfId="2233" xr:uid="{00000000-0005-0000-0000-00000A020000}"/>
    <cellStyle name="Comma 10 2 16" xfId="597" xr:uid="{00000000-0005-0000-0000-00000B020000}"/>
    <cellStyle name="Comma 10 2 16 2" xfId="598" xr:uid="{00000000-0005-0000-0000-00000C020000}"/>
    <cellStyle name="Comma 10 2 16 2 2" xfId="2236" xr:uid="{00000000-0005-0000-0000-00000D020000}"/>
    <cellStyle name="Comma 10 2 16 3" xfId="2235" xr:uid="{00000000-0005-0000-0000-00000E020000}"/>
    <cellStyle name="Comma 10 2 17" xfId="599" xr:uid="{00000000-0005-0000-0000-00000F020000}"/>
    <cellStyle name="Comma 10 2 17 2" xfId="600" xr:uid="{00000000-0005-0000-0000-000010020000}"/>
    <cellStyle name="Comma 10 2 17 2 2" xfId="2238" xr:uid="{00000000-0005-0000-0000-000011020000}"/>
    <cellStyle name="Comma 10 2 17 3" xfId="2237" xr:uid="{00000000-0005-0000-0000-000012020000}"/>
    <cellStyle name="Comma 10 2 18" xfId="601" xr:uid="{00000000-0005-0000-0000-000013020000}"/>
    <cellStyle name="Comma 10 2 18 2" xfId="2239" xr:uid="{00000000-0005-0000-0000-000014020000}"/>
    <cellStyle name="Comma 10 2 19" xfId="2222" xr:uid="{00000000-0005-0000-0000-000015020000}"/>
    <cellStyle name="Comma 10 2 2" xfId="602" xr:uid="{00000000-0005-0000-0000-000016020000}"/>
    <cellStyle name="Comma 10 2 2 2" xfId="603" xr:uid="{00000000-0005-0000-0000-000017020000}"/>
    <cellStyle name="Comma 10 2 2 2 2" xfId="2241" xr:uid="{00000000-0005-0000-0000-000018020000}"/>
    <cellStyle name="Comma 10 2 2 3" xfId="2240" xr:uid="{00000000-0005-0000-0000-000019020000}"/>
    <cellStyle name="Comma 10 2 3" xfId="604" xr:uid="{00000000-0005-0000-0000-00001A020000}"/>
    <cellStyle name="Comma 10 2 3 2" xfId="605" xr:uid="{00000000-0005-0000-0000-00001B020000}"/>
    <cellStyle name="Comma 10 2 3 2 2" xfId="2243" xr:uid="{00000000-0005-0000-0000-00001C020000}"/>
    <cellStyle name="Comma 10 2 3 3" xfId="2242" xr:uid="{00000000-0005-0000-0000-00001D020000}"/>
    <cellStyle name="Comma 10 2 4" xfId="606" xr:uid="{00000000-0005-0000-0000-00001E020000}"/>
    <cellStyle name="Comma 10 2 4 2" xfId="607" xr:uid="{00000000-0005-0000-0000-00001F020000}"/>
    <cellStyle name="Comma 10 2 4 2 2" xfId="2245" xr:uid="{00000000-0005-0000-0000-000020020000}"/>
    <cellStyle name="Comma 10 2 4 3" xfId="2244" xr:uid="{00000000-0005-0000-0000-000021020000}"/>
    <cellStyle name="Comma 10 2 5" xfId="608" xr:uid="{00000000-0005-0000-0000-000022020000}"/>
    <cellStyle name="Comma 10 2 5 2" xfId="609" xr:uid="{00000000-0005-0000-0000-000023020000}"/>
    <cellStyle name="Comma 10 2 5 2 2" xfId="2247" xr:uid="{00000000-0005-0000-0000-000024020000}"/>
    <cellStyle name="Comma 10 2 5 3" xfId="2246" xr:uid="{00000000-0005-0000-0000-000025020000}"/>
    <cellStyle name="Comma 10 2 6" xfId="610" xr:uid="{00000000-0005-0000-0000-000026020000}"/>
    <cellStyle name="Comma 10 2 6 2" xfId="611" xr:uid="{00000000-0005-0000-0000-000027020000}"/>
    <cellStyle name="Comma 10 2 6 2 2" xfId="2249" xr:uid="{00000000-0005-0000-0000-000028020000}"/>
    <cellStyle name="Comma 10 2 6 3" xfId="2248" xr:uid="{00000000-0005-0000-0000-000029020000}"/>
    <cellStyle name="Comma 10 2 7" xfId="612" xr:uid="{00000000-0005-0000-0000-00002A020000}"/>
    <cellStyle name="Comma 10 2 7 2" xfId="613" xr:uid="{00000000-0005-0000-0000-00002B020000}"/>
    <cellStyle name="Comma 10 2 7 2 2" xfId="2251" xr:uid="{00000000-0005-0000-0000-00002C020000}"/>
    <cellStyle name="Comma 10 2 7 3" xfId="2250" xr:uid="{00000000-0005-0000-0000-00002D020000}"/>
    <cellStyle name="Comma 10 2 8" xfId="614" xr:uid="{00000000-0005-0000-0000-00002E020000}"/>
    <cellStyle name="Comma 10 2 8 2" xfId="615" xr:uid="{00000000-0005-0000-0000-00002F020000}"/>
    <cellStyle name="Comma 10 2 8 2 2" xfId="2253" xr:uid="{00000000-0005-0000-0000-000030020000}"/>
    <cellStyle name="Comma 10 2 8 3" xfId="2252" xr:uid="{00000000-0005-0000-0000-000031020000}"/>
    <cellStyle name="Comma 10 2 9" xfId="616" xr:uid="{00000000-0005-0000-0000-000032020000}"/>
    <cellStyle name="Comma 10 2 9 2" xfId="617" xr:uid="{00000000-0005-0000-0000-000033020000}"/>
    <cellStyle name="Comma 10 2 9 2 2" xfId="2255" xr:uid="{00000000-0005-0000-0000-000034020000}"/>
    <cellStyle name="Comma 10 2 9 3" xfId="2254" xr:uid="{00000000-0005-0000-0000-000035020000}"/>
    <cellStyle name="Comma 10 3" xfId="618" xr:uid="{00000000-0005-0000-0000-000036020000}"/>
    <cellStyle name="Comma 10 3 10" xfId="619" xr:uid="{00000000-0005-0000-0000-000037020000}"/>
    <cellStyle name="Comma 10 3 10 2" xfId="620" xr:uid="{00000000-0005-0000-0000-000038020000}"/>
    <cellStyle name="Comma 10 3 10 2 2" xfId="2258" xr:uid="{00000000-0005-0000-0000-000039020000}"/>
    <cellStyle name="Comma 10 3 10 3" xfId="2257" xr:uid="{00000000-0005-0000-0000-00003A020000}"/>
    <cellStyle name="Comma 10 3 11" xfId="621" xr:uid="{00000000-0005-0000-0000-00003B020000}"/>
    <cellStyle name="Comma 10 3 11 2" xfId="622" xr:uid="{00000000-0005-0000-0000-00003C020000}"/>
    <cellStyle name="Comma 10 3 11 2 2" xfId="2260" xr:uid="{00000000-0005-0000-0000-00003D020000}"/>
    <cellStyle name="Comma 10 3 11 3" xfId="2259" xr:uid="{00000000-0005-0000-0000-00003E020000}"/>
    <cellStyle name="Comma 10 3 12" xfId="623" xr:uid="{00000000-0005-0000-0000-00003F020000}"/>
    <cellStyle name="Comma 10 3 12 2" xfId="624" xr:uid="{00000000-0005-0000-0000-000040020000}"/>
    <cellStyle name="Comma 10 3 12 2 2" xfId="2262" xr:uid="{00000000-0005-0000-0000-000041020000}"/>
    <cellStyle name="Comma 10 3 12 3" xfId="2261" xr:uid="{00000000-0005-0000-0000-000042020000}"/>
    <cellStyle name="Comma 10 3 13" xfId="625" xr:uid="{00000000-0005-0000-0000-000043020000}"/>
    <cellStyle name="Comma 10 3 13 2" xfId="626" xr:uid="{00000000-0005-0000-0000-000044020000}"/>
    <cellStyle name="Comma 10 3 13 2 2" xfId="2264" xr:uid="{00000000-0005-0000-0000-000045020000}"/>
    <cellStyle name="Comma 10 3 13 3" xfId="2263" xr:uid="{00000000-0005-0000-0000-000046020000}"/>
    <cellStyle name="Comma 10 3 14" xfId="627" xr:uid="{00000000-0005-0000-0000-000047020000}"/>
    <cellStyle name="Comma 10 3 14 2" xfId="628" xr:uid="{00000000-0005-0000-0000-000048020000}"/>
    <cellStyle name="Comma 10 3 14 2 2" xfId="2266" xr:uid="{00000000-0005-0000-0000-000049020000}"/>
    <cellStyle name="Comma 10 3 14 3" xfId="2265" xr:uid="{00000000-0005-0000-0000-00004A020000}"/>
    <cellStyle name="Comma 10 3 15" xfId="629" xr:uid="{00000000-0005-0000-0000-00004B020000}"/>
    <cellStyle name="Comma 10 3 15 2" xfId="630" xr:uid="{00000000-0005-0000-0000-00004C020000}"/>
    <cellStyle name="Comma 10 3 15 2 2" xfId="2268" xr:uid="{00000000-0005-0000-0000-00004D020000}"/>
    <cellStyle name="Comma 10 3 15 3" xfId="2267" xr:uid="{00000000-0005-0000-0000-00004E020000}"/>
    <cellStyle name="Comma 10 3 16" xfId="631" xr:uid="{00000000-0005-0000-0000-00004F020000}"/>
    <cellStyle name="Comma 10 3 16 2" xfId="632" xr:uid="{00000000-0005-0000-0000-000050020000}"/>
    <cellStyle name="Comma 10 3 16 2 2" xfId="2270" xr:uid="{00000000-0005-0000-0000-000051020000}"/>
    <cellStyle name="Comma 10 3 16 3" xfId="2269" xr:uid="{00000000-0005-0000-0000-000052020000}"/>
    <cellStyle name="Comma 10 3 17" xfId="633" xr:uid="{00000000-0005-0000-0000-000053020000}"/>
    <cellStyle name="Comma 10 3 17 2" xfId="634" xr:uid="{00000000-0005-0000-0000-000054020000}"/>
    <cellStyle name="Comma 10 3 17 2 2" xfId="2272" xr:uid="{00000000-0005-0000-0000-000055020000}"/>
    <cellStyle name="Comma 10 3 17 3" xfId="2271" xr:uid="{00000000-0005-0000-0000-000056020000}"/>
    <cellStyle name="Comma 10 3 18" xfId="635" xr:uid="{00000000-0005-0000-0000-000057020000}"/>
    <cellStyle name="Comma 10 3 18 2" xfId="2273" xr:uid="{00000000-0005-0000-0000-000058020000}"/>
    <cellStyle name="Comma 10 3 19" xfId="2256" xr:uid="{00000000-0005-0000-0000-000059020000}"/>
    <cellStyle name="Comma 10 3 2" xfId="636" xr:uid="{00000000-0005-0000-0000-00005A020000}"/>
    <cellStyle name="Comma 10 3 2 2" xfId="637" xr:uid="{00000000-0005-0000-0000-00005B020000}"/>
    <cellStyle name="Comma 10 3 2 2 2" xfId="2275" xr:uid="{00000000-0005-0000-0000-00005C020000}"/>
    <cellStyle name="Comma 10 3 2 3" xfId="2274" xr:uid="{00000000-0005-0000-0000-00005D020000}"/>
    <cellStyle name="Comma 10 3 3" xfId="638" xr:uid="{00000000-0005-0000-0000-00005E020000}"/>
    <cellStyle name="Comma 10 3 3 2" xfId="639" xr:uid="{00000000-0005-0000-0000-00005F020000}"/>
    <cellStyle name="Comma 10 3 3 2 2" xfId="2277" xr:uid="{00000000-0005-0000-0000-000060020000}"/>
    <cellStyle name="Comma 10 3 3 3" xfId="2276" xr:uid="{00000000-0005-0000-0000-000061020000}"/>
    <cellStyle name="Comma 10 3 4" xfId="640" xr:uid="{00000000-0005-0000-0000-000062020000}"/>
    <cellStyle name="Comma 10 3 4 2" xfId="641" xr:uid="{00000000-0005-0000-0000-000063020000}"/>
    <cellStyle name="Comma 10 3 4 2 2" xfId="2279" xr:uid="{00000000-0005-0000-0000-000064020000}"/>
    <cellStyle name="Comma 10 3 4 3" xfId="2278" xr:uid="{00000000-0005-0000-0000-000065020000}"/>
    <cellStyle name="Comma 10 3 5" xfId="642" xr:uid="{00000000-0005-0000-0000-000066020000}"/>
    <cellStyle name="Comma 10 3 5 2" xfId="643" xr:uid="{00000000-0005-0000-0000-000067020000}"/>
    <cellStyle name="Comma 10 3 5 2 2" xfId="2281" xr:uid="{00000000-0005-0000-0000-000068020000}"/>
    <cellStyle name="Comma 10 3 5 3" xfId="2280" xr:uid="{00000000-0005-0000-0000-000069020000}"/>
    <cellStyle name="Comma 10 3 6" xfId="644" xr:uid="{00000000-0005-0000-0000-00006A020000}"/>
    <cellStyle name="Comma 10 3 6 2" xfId="645" xr:uid="{00000000-0005-0000-0000-00006B020000}"/>
    <cellStyle name="Comma 10 3 6 2 2" xfId="2283" xr:uid="{00000000-0005-0000-0000-00006C020000}"/>
    <cellStyle name="Comma 10 3 6 3" xfId="2282" xr:uid="{00000000-0005-0000-0000-00006D020000}"/>
    <cellStyle name="Comma 10 3 7" xfId="646" xr:uid="{00000000-0005-0000-0000-00006E020000}"/>
    <cellStyle name="Comma 10 3 7 2" xfId="647" xr:uid="{00000000-0005-0000-0000-00006F020000}"/>
    <cellStyle name="Comma 10 3 7 2 2" xfId="2285" xr:uid="{00000000-0005-0000-0000-000070020000}"/>
    <cellStyle name="Comma 10 3 7 3" xfId="2284" xr:uid="{00000000-0005-0000-0000-000071020000}"/>
    <cellStyle name="Comma 10 3 8" xfId="648" xr:uid="{00000000-0005-0000-0000-000072020000}"/>
    <cellStyle name="Comma 10 3 8 2" xfId="649" xr:uid="{00000000-0005-0000-0000-000073020000}"/>
    <cellStyle name="Comma 10 3 8 2 2" xfId="2287" xr:uid="{00000000-0005-0000-0000-000074020000}"/>
    <cellStyle name="Comma 10 3 8 3" xfId="2286" xr:uid="{00000000-0005-0000-0000-000075020000}"/>
    <cellStyle name="Comma 10 3 9" xfId="650" xr:uid="{00000000-0005-0000-0000-000076020000}"/>
    <cellStyle name="Comma 10 3 9 2" xfId="651" xr:uid="{00000000-0005-0000-0000-000077020000}"/>
    <cellStyle name="Comma 10 3 9 2 2" xfId="2289" xr:uid="{00000000-0005-0000-0000-000078020000}"/>
    <cellStyle name="Comma 10 3 9 3" xfId="2288" xr:uid="{00000000-0005-0000-0000-000079020000}"/>
    <cellStyle name="Comma 10 4" xfId="652" xr:uid="{00000000-0005-0000-0000-00007A020000}"/>
    <cellStyle name="Comma 10 4 10" xfId="653" xr:uid="{00000000-0005-0000-0000-00007B020000}"/>
    <cellStyle name="Comma 10 4 10 2" xfId="654" xr:uid="{00000000-0005-0000-0000-00007C020000}"/>
    <cellStyle name="Comma 10 4 10 2 2" xfId="2292" xr:uid="{00000000-0005-0000-0000-00007D020000}"/>
    <cellStyle name="Comma 10 4 10 3" xfId="2291" xr:uid="{00000000-0005-0000-0000-00007E020000}"/>
    <cellStyle name="Comma 10 4 11" xfId="655" xr:uid="{00000000-0005-0000-0000-00007F020000}"/>
    <cellStyle name="Comma 10 4 11 2" xfId="656" xr:uid="{00000000-0005-0000-0000-000080020000}"/>
    <cellStyle name="Comma 10 4 11 2 2" xfId="2294" xr:uid="{00000000-0005-0000-0000-000081020000}"/>
    <cellStyle name="Comma 10 4 11 3" xfId="2293" xr:uid="{00000000-0005-0000-0000-000082020000}"/>
    <cellStyle name="Comma 10 4 12" xfId="657" xr:uid="{00000000-0005-0000-0000-000083020000}"/>
    <cellStyle name="Comma 10 4 12 2" xfId="658" xr:uid="{00000000-0005-0000-0000-000084020000}"/>
    <cellStyle name="Comma 10 4 12 2 2" xfId="2296" xr:uid="{00000000-0005-0000-0000-000085020000}"/>
    <cellStyle name="Comma 10 4 12 3" xfId="2295" xr:uid="{00000000-0005-0000-0000-000086020000}"/>
    <cellStyle name="Comma 10 4 13" xfId="659" xr:uid="{00000000-0005-0000-0000-000087020000}"/>
    <cellStyle name="Comma 10 4 13 2" xfId="660" xr:uid="{00000000-0005-0000-0000-000088020000}"/>
    <cellStyle name="Comma 10 4 13 2 2" xfId="2298" xr:uid="{00000000-0005-0000-0000-000089020000}"/>
    <cellStyle name="Comma 10 4 13 3" xfId="2297" xr:uid="{00000000-0005-0000-0000-00008A020000}"/>
    <cellStyle name="Comma 10 4 14" xfId="661" xr:uid="{00000000-0005-0000-0000-00008B020000}"/>
    <cellStyle name="Comma 10 4 14 2" xfId="662" xr:uid="{00000000-0005-0000-0000-00008C020000}"/>
    <cellStyle name="Comma 10 4 14 2 2" xfId="2300" xr:uid="{00000000-0005-0000-0000-00008D020000}"/>
    <cellStyle name="Comma 10 4 14 3" xfId="2299" xr:uid="{00000000-0005-0000-0000-00008E020000}"/>
    <cellStyle name="Comma 10 4 15" xfId="663" xr:uid="{00000000-0005-0000-0000-00008F020000}"/>
    <cellStyle name="Comma 10 4 15 2" xfId="664" xr:uid="{00000000-0005-0000-0000-000090020000}"/>
    <cellStyle name="Comma 10 4 15 2 2" xfId="2302" xr:uid="{00000000-0005-0000-0000-000091020000}"/>
    <cellStyle name="Comma 10 4 15 3" xfId="2301" xr:uid="{00000000-0005-0000-0000-000092020000}"/>
    <cellStyle name="Comma 10 4 16" xfId="665" xr:uid="{00000000-0005-0000-0000-000093020000}"/>
    <cellStyle name="Comma 10 4 16 2" xfId="666" xr:uid="{00000000-0005-0000-0000-000094020000}"/>
    <cellStyle name="Comma 10 4 16 2 2" xfId="2304" xr:uid="{00000000-0005-0000-0000-000095020000}"/>
    <cellStyle name="Comma 10 4 16 3" xfId="2303" xr:uid="{00000000-0005-0000-0000-000096020000}"/>
    <cellStyle name="Comma 10 4 17" xfId="667" xr:uid="{00000000-0005-0000-0000-000097020000}"/>
    <cellStyle name="Comma 10 4 17 2" xfId="668" xr:uid="{00000000-0005-0000-0000-000098020000}"/>
    <cellStyle name="Comma 10 4 17 2 2" xfId="2306" xr:uid="{00000000-0005-0000-0000-000099020000}"/>
    <cellStyle name="Comma 10 4 17 3" xfId="2305" xr:uid="{00000000-0005-0000-0000-00009A020000}"/>
    <cellStyle name="Comma 10 4 18" xfId="669" xr:uid="{00000000-0005-0000-0000-00009B020000}"/>
    <cellStyle name="Comma 10 4 18 2" xfId="2307" xr:uid="{00000000-0005-0000-0000-00009C020000}"/>
    <cellStyle name="Comma 10 4 19" xfId="2290" xr:uid="{00000000-0005-0000-0000-00009D020000}"/>
    <cellStyle name="Comma 10 4 2" xfId="670" xr:uid="{00000000-0005-0000-0000-00009E020000}"/>
    <cellStyle name="Comma 10 4 2 2" xfId="671" xr:uid="{00000000-0005-0000-0000-00009F020000}"/>
    <cellStyle name="Comma 10 4 2 2 2" xfId="2309" xr:uid="{00000000-0005-0000-0000-0000A0020000}"/>
    <cellStyle name="Comma 10 4 2 3" xfId="2308" xr:uid="{00000000-0005-0000-0000-0000A1020000}"/>
    <cellStyle name="Comma 10 4 3" xfId="672" xr:uid="{00000000-0005-0000-0000-0000A2020000}"/>
    <cellStyle name="Comma 10 4 3 2" xfId="673" xr:uid="{00000000-0005-0000-0000-0000A3020000}"/>
    <cellStyle name="Comma 10 4 3 2 2" xfId="2311" xr:uid="{00000000-0005-0000-0000-0000A4020000}"/>
    <cellStyle name="Comma 10 4 3 3" xfId="2310" xr:uid="{00000000-0005-0000-0000-0000A5020000}"/>
    <cellStyle name="Comma 10 4 4" xfId="674" xr:uid="{00000000-0005-0000-0000-0000A6020000}"/>
    <cellStyle name="Comma 10 4 4 2" xfId="675" xr:uid="{00000000-0005-0000-0000-0000A7020000}"/>
    <cellStyle name="Comma 10 4 4 2 2" xfId="2313" xr:uid="{00000000-0005-0000-0000-0000A8020000}"/>
    <cellStyle name="Comma 10 4 4 3" xfId="2312" xr:uid="{00000000-0005-0000-0000-0000A9020000}"/>
    <cellStyle name="Comma 10 4 5" xfId="676" xr:uid="{00000000-0005-0000-0000-0000AA020000}"/>
    <cellStyle name="Comma 10 4 5 2" xfId="677" xr:uid="{00000000-0005-0000-0000-0000AB020000}"/>
    <cellStyle name="Comma 10 4 5 2 2" xfId="2315" xr:uid="{00000000-0005-0000-0000-0000AC020000}"/>
    <cellStyle name="Comma 10 4 5 3" xfId="2314" xr:uid="{00000000-0005-0000-0000-0000AD020000}"/>
    <cellStyle name="Comma 10 4 6" xfId="678" xr:uid="{00000000-0005-0000-0000-0000AE020000}"/>
    <cellStyle name="Comma 10 4 6 2" xfId="679" xr:uid="{00000000-0005-0000-0000-0000AF020000}"/>
    <cellStyle name="Comma 10 4 6 2 2" xfId="2317" xr:uid="{00000000-0005-0000-0000-0000B0020000}"/>
    <cellStyle name="Comma 10 4 6 3" xfId="2316" xr:uid="{00000000-0005-0000-0000-0000B1020000}"/>
    <cellStyle name="Comma 10 4 7" xfId="680" xr:uid="{00000000-0005-0000-0000-0000B2020000}"/>
    <cellStyle name="Comma 10 4 7 2" xfId="681" xr:uid="{00000000-0005-0000-0000-0000B3020000}"/>
    <cellStyle name="Comma 10 4 7 2 2" xfId="2319" xr:uid="{00000000-0005-0000-0000-0000B4020000}"/>
    <cellStyle name="Comma 10 4 7 3" xfId="2318" xr:uid="{00000000-0005-0000-0000-0000B5020000}"/>
    <cellStyle name="Comma 10 4 8" xfId="682" xr:uid="{00000000-0005-0000-0000-0000B6020000}"/>
    <cellStyle name="Comma 10 4 8 2" xfId="683" xr:uid="{00000000-0005-0000-0000-0000B7020000}"/>
    <cellStyle name="Comma 10 4 8 2 2" xfId="2321" xr:uid="{00000000-0005-0000-0000-0000B8020000}"/>
    <cellStyle name="Comma 10 4 8 3" xfId="2320" xr:uid="{00000000-0005-0000-0000-0000B9020000}"/>
    <cellStyle name="Comma 10 4 9" xfId="684" xr:uid="{00000000-0005-0000-0000-0000BA020000}"/>
    <cellStyle name="Comma 10 4 9 2" xfId="685" xr:uid="{00000000-0005-0000-0000-0000BB020000}"/>
    <cellStyle name="Comma 10 4 9 2 2" xfId="2323" xr:uid="{00000000-0005-0000-0000-0000BC020000}"/>
    <cellStyle name="Comma 10 4 9 3" xfId="2322" xr:uid="{00000000-0005-0000-0000-0000BD020000}"/>
    <cellStyle name="Comma 10 5" xfId="686" xr:uid="{00000000-0005-0000-0000-0000BE020000}"/>
    <cellStyle name="Comma 10 5 10" xfId="687" xr:uid="{00000000-0005-0000-0000-0000BF020000}"/>
    <cellStyle name="Comma 10 5 10 2" xfId="688" xr:uid="{00000000-0005-0000-0000-0000C0020000}"/>
    <cellStyle name="Comma 10 5 10 2 2" xfId="2326" xr:uid="{00000000-0005-0000-0000-0000C1020000}"/>
    <cellStyle name="Comma 10 5 10 3" xfId="2325" xr:uid="{00000000-0005-0000-0000-0000C2020000}"/>
    <cellStyle name="Comma 10 5 11" xfId="689" xr:uid="{00000000-0005-0000-0000-0000C3020000}"/>
    <cellStyle name="Comma 10 5 11 2" xfId="690" xr:uid="{00000000-0005-0000-0000-0000C4020000}"/>
    <cellStyle name="Comma 10 5 11 2 2" xfId="2328" xr:uid="{00000000-0005-0000-0000-0000C5020000}"/>
    <cellStyle name="Comma 10 5 11 3" xfId="2327" xr:uid="{00000000-0005-0000-0000-0000C6020000}"/>
    <cellStyle name="Comma 10 5 12" xfId="691" xr:uid="{00000000-0005-0000-0000-0000C7020000}"/>
    <cellStyle name="Comma 10 5 12 2" xfId="692" xr:uid="{00000000-0005-0000-0000-0000C8020000}"/>
    <cellStyle name="Comma 10 5 12 2 2" xfId="2330" xr:uid="{00000000-0005-0000-0000-0000C9020000}"/>
    <cellStyle name="Comma 10 5 12 3" xfId="2329" xr:uid="{00000000-0005-0000-0000-0000CA020000}"/>
    <cellStyle name="Comma 10 5 13" xfId="693" xr:uid="{00000000-0005-0000-0000-0000CB020000}"/>
    <cellStyle name="Comma 10 5 13 2" xfId="694" xr:uid="{00000000-0005-0000-0000-0000CC020000}"/>
    <cellStyle name="Comma 10 5 13 2 2" xfId="2332" xr:uid="{00000000-0005-0000-0000-0000CD020000}"/>
    <cellStyle name="Comma 10 5 13 3" xfId="2331" xr:uid="{00000000-0005-0000-0000-0000CE020000}"/>
    <cellStyle name="Comma 10 5 14" xfId="695" xr:uid="{00000000-0005-0000-0000-0000CF020000}"/>
    <cellStyle name="Comma 10 5 14 2" xfId="696" xr:uid="{00000000-0005-0000-0000-0000D0020000}"/>
    <cellStyle name="Comma 10 5 14 2 2" xfId="2334" xr:uid="{00000000-0005-0000-0000-0000D1020000}"/>
    <cellStyle name="Comma 10 5 14 3" xfId="2333" xr:uid="{00000000-0005-0000-0000-0000D2020000}"/>
    <cellStyle name="Comma 10 5 15" xfId="697" xr:uid="{00000000-0005-0000-0000-0000D3020000}"/>
    <cellStyle name="Comma 10 5 15 2" xfId="698" xr:uid="{00000000-0005-0000-0000-0000D4020000}"/>
    <cellStyle name="Comma 10 5 15 2 2" xfId="2336" xr:uid="{00000000-0005-0000-0000-0000D5020000}"/>
    <cellStyle name="Comma 10 5 15 3" xfId="2335" xr:uid="{00000000-0005-0000-0000-0000D6020000}"/>
    <cellStyle name="Comma 10 5 16" xfId="699" xr:uid="{00000000-0005-0000-0000-0000D7020000}"/>
    <cellStyle name="Comma 10 5 16 2" xfId="700" xr:uid="{00000000-0005-0000-0000-0000D8020000}"/>
    <cellStyle name="Comma 10 5 16 2 2" xfId="2338" xr:uid="{00000000-0005-0000-0000-0000D9020000}"/>
    <cellStyle name="Comma 10 5 16 3" xfId="2337" xr:uid="{00000000-0005-0000-0000-0000DA020000}"/>
    <cellStyle name="Comma 10 5 17" xfId="701" xr:uid="{00000000-0005-0000-0000-0000DB020000}"/>
    <cellStyle name="Comma 10 5 17 2" xfId="702" xr:uid="{00000000-0005-0000-0000-0000DC020000}"/>
    <cellStyle name="Comma 10 5 17 2 2" xfId="2340" xr:uid="{00000000-0005-0000-0000-0000DD020000}"/>
    <cellStyle name="Comma 10 5 17 3" xfId="2339" xr:uid="{00000000-0005-0000-0000-0000DE020000}"/>
    <cellStyle name="Comma 10 5 18" xfId="703" xr:uid="{00000000-0005-0000-0000-0000DF020000}"/>
    <cellStyle name="Comma 10 5 18 2" xfId="2341" xr:uid="{00000000-0005-0000-0000-0000E0020000}"/>
    <cellStyle name="Comma 10 5 19" xfId="2324" xr:uid="{00000000-0005-0000-0000-0000E1020000}"/>
    <cellStyle name="Comma 10 5 2" xfId="704" xr:uid="{00000000-0005-0000-0000-0000E2020000}"/>
    <cellStyle name="Comma 10 5 2 2" xfId="705" xr:uid="{00000000-0005-0000-0000-0000E3020000}"/>
    <cellStyle name="Comma 10 5 2 2 2" xfId="2343" xr:uid="{00000000-0005-0000-0000-0000E4020000}"/>
    <cellStyle name="Comma 10 5 2 3" xfId="2342" xr:uid="{00000000-0005-0000-0000-0000E5020000}"/>
    <cellStyle name="Comma 10 5 3" xfId="706" xr:uid="{00000000-0005-0000-0000-0000E6020000}"/>
    <cellStyle name="Comma 10 5 3 2" xfId="707" xr:uid="{00000000-0005-0000-0000-0000E7020000}"/>
    <cellStyle name="Comma 10 5 3 2 2" xfId="2345" xr:uid="{00000000-0005-0000-0000-0000E8020000}"/>
    <cellStyle name="Comma 10 5 3 3" xfId="2344" xr:uid="{00000000-0005-0000-0000-0000E9020000}"/>
    <cellStyle name="Comma 10 5 4" xfId="708" xr:uid="{00000000-0005-0000-0000-0000EA020000}"/>
    <cellStyle name="Comma 10 5 4 2" xfId="709" xr:uid="{00000000-0005-0000-0000-0000EB020000}"/>
    <cellStyle name="Comma 10 5 4 2 2" xfId="2347" xr:uid="{00000000-0005-0000-0000-0000EC020000}"/>
    <cellStyle name="Comma 10 5 4 3" xfId="2346" xr:uid="{00000000-0005-0000-0000-0000ED020000}"/>
    <cellStyle name="Comma 10 5 5" xfId="710" xr:uid="{00000000-0005-0000-0000-0000EE020000}"/>
    <cellStyle name="Comma 10 5 5 2" xfId="711" xr:uid="{00000000-0005-0000-0000-0000EF020000}"/>
    <cellStyle name="Comma 10 5 5 2 2" xfId="2349" xr:uid="{00000000-0005-0000-0000-0000F0020000}"/>
    <cellStyle name="Comma 10 5 5 3" xfId="2348" xr:uid="{00000000-0005-0000-0000-0000F1020000}"/>
    <cellStyle name="Comma 10 5 6" xfId="712" xr:uid="{00000000-0005-0000-0000-0000F2020000}"/>
    <cellStyle name="Comma 10 5 6 2" xfId="713" xr:uid="{00000000-0005-0000-0000-0000F3020000}"/>
    <cellStyle name="Comma 10 5 6 2 2" xfId="2351" xr:uid="{00000000-0005-0000-0000-0000F4020000}"/>
    <cellStyle name="Comma 10 5 6 3" xfId="2350" xr:uid="{00000000-0005-0000-0000-0000F5020000}"/>
    <cellStyle name="Comma 10 5 7" xfId="714" xr:uid="{00000000-0005-0000-0000-0000F6020000}"/>
    <cellStyle name="Comma 10 5 7 2" xfId="715" xr:uid="{00000000-0005-0000-0000-0000F7020000}"/>
    <cellStyle name="Comma 10 5 7 2 2" xfId="2353" xr:uid="{00000000-0005-0000-0000-0000F8020000}"/>
    <cellStyle name="Comma 10 5 7 3" xfId="2352" xr:uid="{00000000-0005-0000-0000-0000F9020000}"/>
    <cellStyle name="Comma 10 5 8" xfId="716" xr:uid="{00000000-0005-0000-0000-0000FA020000}"/>
    <cellStyle name="Comma 10 5 8 2" xfId="717" xr:uid="{00000000-0005-0000-0000-0000FB020000}"/>
    <cellStyle name="Comma 10 5 8 2 2" xfId="2355" xr:uid="{00000000-0005-0000-0000-0000FC020000}"/>
    <cellStyle name="Comma 10 5 8 3" xfId="2354" xr:uid="{00000000-0005-0000-0000-0000FD020000}"/>
    <cellStyle name="Comma 10 5 9" xfId="718" xr:uid="{00000000-0005-0000-0000-0000FE020000}"/>
    <cellStyle name="Comma 10 5 9 2" xfId="719" xr:uid="{00000000-0005-0000-0000-0000FF020000}"/>
    <cellStyle name="Comma 10 5 9 2 2" xfId="2357" xr:uid="{00000000-0005-0000-0000-000000030000}"/>
    <cellStyle name="Comma 10 5 9 3" xfId="2356" xr:uid="{00000000-0005-0000-0000-000001030000}"/>
    <cellStyle name="Comma 10 6" xfId="720" xr:uid="{00000000-0005-0000-0000-000002030000}"/>
    <cellStyle name="Comma 10 6 10" xfId="721" xr:uid="{00000000-0005-0000-0000-000003030000}"/>
    <cellStyle name="Comma 10 6 10 2" xfId="722" xr:uid="{00000000-0005-0000-0000-000004030000}"/>
    <cellStyle name="Comma 10 6 10 2 2" xfId="2360" xr:uid="{00000000-0005-0000-0000-000005030000}"/>
    <cellStyle name="Comma 10 6 10 3" xfId="2359" xr:uid="{00000000-0005-0000-0000-000006030000}"/>
    <cellStyle name="Comma 10 6 11" xfId="723" xr:uid="{00000000-0005-0000-0000-000007030000}"/>
    <cellStyle name="Comma 10 6 11 2" xfId="724" xr:uid="{00000000-0005-0000-0000-000008030000}"/>
    <cellStyle name="Comma 10 6 11 2 2" xfId="2362" xr:uid="{00000000-0005-0000-0000-000009030000}"/>
    <cellStyle name="Comma 10 6 11 3" xfId="2361" xr:uid="{00000000-0005-0000-0000-00000A030000}"/>
    <cellStyle name="Comma 10 6 12" xfId="725" xr:uid="{00000000-0005-0000-0000-00000B030000}"/>
    <cellStyle name="Comma 10 6 12 2" xfId="726" xr:uid="{00000000-0005-0000-0000-00000C030000}"/>
    <cellStyle name="Comma 10 6 12 2 2" xfId="2364" xr:uid="{00000000-0005-0000-0000-00000D030000}"/>
    <cellStyle name="Comma 10 6 12 3" xfId="2363" xr:uid="{00000000-0005-0000-0000-00000E030000}"/>
    <cellStyle name="Comma 10 6 13" xfId="727" xr:uid="{00000000-0005-0000-0000-00000F030000}"/>
    <cellStyle name="Comma 10 6 13 2" xfId="728" xr:uid="{00000000-0005-0000-0000-000010030000}"/>
    <cellStyle name="Comma 10 6 13 2 2" xfId="2366" xr:uid="{00000000-0005-0000-0000-000011030000}"/>
    <cellStyle name="Comma 10 6 13 3" xfId="2365" xr:uid="{00000000-0005-0000-0000-000012030000}"/>
    <cellStyle name="Comma 10 6 14" xfId="729" xr:uid="{00000000-0005-0000-0000-000013030000}"/>
    <cellStyle name="Comma 10 6 14 2" xfId="730" xr:uid="{00000000-0005-0000-0000-000014030000}"/>
    <cellStyle name="Comma 10 6 14 2 2" xfId="2368" xr:uid="{00000000-0005-0000-0000-000015030000}"/>
    <cellStyle name="Comma 10 6 14 3" xfId="2367" xr:uid="{00000000-0005-0000-0000-000016030000}"/>
    <cellStyle name="Comma 10 6 15" xfId="731" xr:uid="{00000000-0005-0000-0000-000017030000}"/>
    <cellStyle name="Comma 10 6 15 2" xfId="732" xr:uid="{00000000-0005-0000-0000-000018030000}"/>
    <cellStyle name="Comma 10 6 15 2 2" xfId="2370" xr:uid="{00000000-0005-0000-0000-000019030000}"/>
    <cellStyle name="Comma 10 6 15 3" xfId="2369" xr:uid="{00000000-0005-0000-0000-00001A030000}"/>
    <cellStyle name="Comma 10 6 16" xfId="733" xr:uid="{00000000-0005-0000-0000-00001B030000}"/>
    <cellStyle name="Comma 10 6 16 2" xfId="734" xr:uid="{00000000-0005-0000-0000-00001C030000}"/>
    <cellStyle name="Comma 10 6 16 2 2" xfId="2372" xr:uid="{00000000-0005-0000-0000-00001D030000}"/>
    <cellStyle name="Comma 10 6 16 3" xfId="2371" xr:uid="{00000000-0005-0000-0000-00001E030000}"/>
    <cellStyle name="Comma 10 6 17" xfId="735" xr:uid="{00000000-0005-0000-0000-00001F030000}"/>
    <cellStyle name="Comma 10 6 17 2" xfId="736" xr:uid="{00000000-0005-0000-0000-000020030000}"/>
    <cellStyle name="Comma 10 6 17 2 2" xfId="2374" xr:uid="{00000000-0005-0000-0000-000021030000}"/>
    <cellStyle name="Comma 10 6 17 3" xfId="2373" xr:uid="{00000000-0005-0000-0000-000022030000}"/>
    <cellStyle name="Comma 10 6 18" xfId="737" xr:uid="{00000000-0005-0000-0000-000023030000}"/>
    <cellStyle name="Comma 10 6 18 2" xfId="2375" xr:uid="{00000000-0005-0000-0000-000024030000}"/>
    <cellStyle name="Comma 10 6 19" xfId="2358" xr:uid="{00000000-0005-0000-0000-000025030000}"/>
    <cellStyle name="Comma 10 6 2" xfId="738" xr:uid="{00000000-0005-0000-0000-000026030000}"/>
    <cellStyle name="Comma 10 6 2 2" xfId="739" xr:uid="{00000000-0005-0000-0000-000027030000}"/>
    <cellStyle name="Comma 10 6 2 2 2" xfId="2377" xr:uid="{00000000-0005-0000-0000-000028030000}"/>
    <cellStyle name="Comma 10 6 2 3" xfId="2376" xr:uid="{00000000-0005-0000-0000-000029030000}"/>
    <cellStyle name="Comma 10 6 3" xfId="740" xr:uid="{00000000-0005-0000-0000-00002A030000}"/>
    <cellStyle name="Comma 10 6 3 2" xfId="741" xr:uid="{00000000-0005-0000-0000-00002B030000}"/>
    <cellStyle name="Comma 10 6 3 2 2" xfId="2379" xr:uid="{00000000-0005-0000-0000-00002C030000}"/>
    <cellStyle name="Comma 10 6 3 3" xfId="2378" xr:uid="{00000000-0005-0000-0000-00002D030000}"/>
    <cellStyle name="Comma 10 6 4" xfId="742" xr:uid="{00000000-0005-0000-0000-00002E030000}"/>
    <cellStyle name="Comma 10 6 4 2" xfId="743" xr:uid="{00000000-0005-0000-0000-00002F030000}"/>
    <cellStyle name="Comma 10 6 4 2 2" xfId="2381" xr:uid="{00000000-0005-0000-0000-000030030000}"/>
    <cellStyle name="Comma 10 6 4 3" xfId="2380" xr:uid="{00000000-0005-0000-0000-000031030000}"/>
    <cellStyle name="Comma 10 6 5" xfId="744" xr:uid="{00000000-0005-0000-0000-000032030000}"/>
    <cellStyle name="Comma 10 6 5 2" xfId="745" xr:uid="{00000000-0005-0000-0000-000033030000}"/>
    <cellStyle name="Comma 10 6 5 2 2" xfId="2383" xr:uid="{00000000-0005-0000-0000-000034030000}"/>
    <cellStyle name="Comma 10 6 5 3" xfId="2382" xr:uid="{00000000-0005-0000-0000-000035030000}"/>
    <cellStyle name="Comma 10 6 6" xfId="746" xr:uid="{00000000-0005-0000-0000-000036030000}"/>
    <cellStyle name="Comma 10 6 6 2" xfId="747" xr:uid="{00000000-0005-0000-0000-000037030000}"/>
    <cellStyle name="Comma 10 6 6 2 2" xfId="2385" xr:uid="{00000000-0005-0000-0000-000038030000}"/>
    <cellStyle name="Comma 10 6 6 3" xfId="2384" xr:uid="{00000000-0005-0000-0000-000039030000}"/>
    <cellStyle name="Comma 10 6 7" xfId="748" xr:uid="{00000000-0005-0000-0000-00003A030000}"/>
    <cellStyle name="Comma 10 6 7 2" xfId="749" xr:uid="{00000000-0005-0000-0000-00003B030000}"/>
    <cellStyle name="Comma 10 6 7 2 2" xfId="2387" xr:uid="{00000000-0005-0000-0000-00003C030000}"/>
    <cellStyle name="Comma 10 6 7 3" xfId="2386" xr:uid="{00000000-0005-0000-0000-00003D030000}"/>
    <cellStyle name="Comma 10 6 8" xfId="750" xr:uid="{00000000-0005-0000-0000-00003E030000}"/>
    <cellStyle name="Comma 10 6 8 2" xfId="751" xr:uid="{00000000-0005-0000-0000-00003F030000}"/>
    <cellStyle name="Comma 10 6 8 2 2" xfId="2389" xr:uid="{00000000-0005-0000-0000-000040030000}"/>
    <cellStyle name="Comma 10 6 8 3" xfId="2388" xr:uid="{00000000-0005-0000-0000-000041030000}"/>
    <cellStyle name="Comma 10 6 9" xfId="752" xr:uid="{00000000-0005-0000-0000-000042030000}"/>
    <cellStyle name="Comma 10 6 9 2" xfId="753" xr:uid="{00000000-0005-0000-0000-000043030000}"/>
    <cellStyle name="Comma 10 6 9 2 2" xfId="2391" xr:uid="{00000000-0005-0000-0000-000044030000}"/>
    <cellStyle name="Comma 10 6 9 3" xfId="2390" xr:uid="{00000000-0005-0000-0000-000045030000}"/>
    <cellStyle name="Comma 10 7" xfId="754" xr:uid="{00000000-0005-0000-0000-000046030000}"/>
    <cellStyle name="Comma 10 7 10" xfId="755" xr:uid="{00000000-0005-0000-0000-000047030000}"/>
    <cellStyle name="Comma 10 7 10 2" xfId="756" xr:uid="{00000000-0005-0000-0000-000048030000}"/>
    <cellStyle name="Comma 10 7 10 2 2" xfId="2394" xr:uid="{00000000-0005-0000-0000-000049030000}"/>
    <cellStyle name="Comma 10 7 10 3" xfId="2393" xr:uid="{00000000-0005-0000-0000-00004A030000}"/>
    <cellStyle name="Comma 10 7 11" xfId="757" xr:uid="{00000000-0005-0000-0000-00004B030000}"/>
    <cellStyle name="Comma 10 7 11 2" xfId="758" xr:uid="{00000000-0005-0000-0000-00004C030000}"/>
    <cellStyle name="Comma 10 7 11 2 2" xfId="2396" xr:uid="{00000000-0005-0000-0000-00004D030000}"/>
    <cellStyle name="Comma 10 7 11 3" xfId="2395" xr:uid="{00000000-0005-0000-0000-00004E030000}"/>
    <cellStyle name="Comma 10 7 12" xfId="759" xr:uid="{00000000-0005-0000-0000-00004F030000}"/>
    <cellStyle name="Comma 10 7 12 2" xfId="760" xr:uid="{00000000-0005-0000-0000-000050030000}"/>
    <cellStyle name="Comma 10 7 12 2 2" xfId="2398" xr:uid="{00000000-0005-0000-0000-000051030000}"/>
    <cellStyle name="Comma 10 7 12 3" xfId="2397" xr:uid="{00000000-0005-0000-0000-000052030000}"/>
    <cellStyle name="Comma 10 7 13" xfId="761" xr:uid="{00000000-0005-0000-0000-000053030000}"/>
    <cellStyle name="Comma 10 7 13 2" xfId="762" xr:uid="{00000000-0005-0000-0000-000054030000}"/>
    <cellStyle name="Comma 10 7 13 2 2" xfId="2400" xr:uid="{00000000-0005-0000-0000-000055030000}"/>
    <cellStyle name="Comma 10 7 13 3" xfId="2399" xr:uid="{00000000-0005-0000-0000-000056030000}"/>
    <cellStyle name="Comma 10 7 14" xfId="763" xr:uid="{00000000-0005-0000-0000-000057030000}"/>
    <cellStyle name="Comma 10 7 14 2" xfId="764" xr:uid="{00000000-0005-0000-0000-000058030000}"/>
    <cellStyle name="Comma 10 7 14 2 2" xfId="2402" xr:uid="{00000000-0005-0000-0000-000059030000}"/>
    <cellStyle name="Comma 10 7 14 3" xfId="2401" xr:uid="{00000000-0005-0000-0000-00005A030000}"/>
    <cellStyle name="Comma 10 7 15" xfId="765" xr:uid="{00000000-0005-0000-0000-00005B030000}"/>
    <cellStyle name="Comma 10 7 15 2" xfId="766" xr:uid="{00000000-0005-0000-0000-00005C030000}"/>
    <cellStyle name="Comma 10 7 15 2 2" xfId="2404" xr:uid="{00000000-0005-0000-0000-00005D030000}"/>
    <cellStyle name="Comma 10 7 15 3" xfId="2403" xr:uid="{00000000-0005-0000-0000-00005E030000}"/>
    <cellStyle name="Comma 10 7 16" xfId="767" xr:uid="{00000000-0005-0000-0000-00005F030000}"/>
    <cellStyle name="Comma 10 7 16 2" xfId="768" xr:uid="{00000000-0005-0000-0000-000060030000}"/>
    <cellStyle name="Comma 10 7 16 2 2" xfId="2406" xr:uid="{00000000-0005-0000-0000-000061030000}"/>
    <cellStyle name="Comma 10 7 16 3" xfId="2405" xr:uid="{00000000-0005-0000-0000-000062030000}"/>
    <cellStyle name="Comma 10 7 17" xfId="769" xr:uid="{00000000-0005-0000-0000-000063030000}"/>
    <cellStyle name="Comma 10 7 17 2" xfId="770" xr:uid="{00000000-0005-0000-0000-000064030000}"/>
    <cellStyle name="Comma 10 7 17 2 2" xfId="2408" xr:uid="{00000000-0005-0000-0000-000065030000}"/>
    <cellStyle name="Comma 10 7 17 3" xfId="2407" xr:uid="{00000000-0005-0000-0000-000066030000}"/>
    <cellStyle name="Comma 10 7 18" xfId="771" xr:uid="{00000000-0005-0000-0000-000067030000}"/>
    <cellStyle name="Comma 10 7 18 2" xfId="2409" xr:uid="{00000000-0005-0000-0000-000068030000}"/>
    <cellStyle name="Comma 10 7 19" xfId="2392" xr:uid="{00000000-0005-0000-0000-000069030000}"/>
    <cellStyle name="Comma 10 7 2" xfId="772" xr:uid="{00000000-0005-0000-0000-00006A030000}"/>
    <cellStyle name="Comma 10 7 2 2" xfId="773" xr:uid="{00000000-0005-0000-0000-00006B030000}"/>
    <cellStyle name="Comma 10 7 2 2 2" xfId="2411" xr:uid="{00000000-0005-0000-0000-00006C030000}"/>
    <cellStyle name="Comma 10 7 2 3" xfId="2410" xr:uid="{00000000-0005-0000-0000-00006D030000}"/>
    <cellStyle name="Comma 10 7 3" xfId="774" xr:uid="{00000000-0005-0000-0000-00006E030000}"/>
    <cellStyle name="Comma 10 7 3 2" xfId="775" xr:uid="{00000000-0005-0000-0000-00006F030000}"/>
    <cellStyle name="Comma 10 7 3 2 2" xfId="2413" xr:uid="{00000000-0005-0000-0000-000070030000}"/>
    <cellStyle name="Comma 10 7 3 3" xfId="2412" xr:uid="{00000000-0005-0000-0000-000071030000}"/>
    <cellStyle name="Comma 10 7 4" xfId="776" xr:uid="{00000000-0005-0000-0000-000072030000}"/>
    <cellStyle name="Comma 10 7 4 2" xfId="777" xr:uid="{00000000-0005-0000-0000-000073030000}"/>
    <cellStyle name="Comma 10 7 4 2 2" xfId="2415" xr:uid="{00000000-0005-0000-0000-000074030000}"/>
    <cellStyle name="Comma 10 7 4 3" xfId="2414" xr:uid="{00000000-0005-0000-0000-000075030000}"/>
    <cellStyle name="Comma 10 7 5" xfId="778" xr:uid="{00000000-0005-0000-0000-000076030000}"/>
    <cellStyle name="Comma 10 7 5 2" xfId="779" xr:uid="{00000000-0005-0000-0000-000077030000}"/>
    <cellStyle name="Comma 10 7 5 2 2" xfId="2417" xr:uid="{00000000-0005-0000-0000-000078030000}"/>
    <cellStyle name="Comma 10 7 5 3" xfId="2416" xr:uid="{00000000-0005-0000-0000-000079030000}"/>
    <cellStyle name="Comma 10 7 6" xfId="780" xr:uid="{00000000-0005-0000-0000-00007A030000}"/>
    <cellStyle name="Comma 10 7 6 2" xfId="781" xr:uid="{00000000-0005-0000-0000-00007B030000}"/>
    <cellStyle name="Comma 10 7 6 2 2" xfId="2419" xr:uid="{00000000-0005-0000-0000-00007C030000}"/>
    <cellStyle name="Comma 10 7 6 3" xfId="2418" xr:uid="{00000000-0005-0000-0000-00007D030000}"/>
    <cellStyle name="Comma 10 7 7" xfId="782" xr:uid="{00000000-0005-0000-0000-00007E030000}"/>
    <cellStyle name="Comma 10 7 7 2" xfId="783" xr:uid="{00000000-0005-0000-0000-00007F030000}"/>
    <cellStyle name="Comma 10 7 7 2 2" xfId="2421" xr:uid="{00000000-0005-0000-0000-000080030000}"/>
    <cellStyle name="Comma 10 7 7 3" xfId="2420" xr:uid="{00000000-0005-0000-0000-000081030000}"/>
    <cellStyle name="Comma 10 7 8" xfId="784" xr:uid="{00000000-0005-0000-0000-000082030000}"/>
    <cellStyle name="Comma 10 7 8 2" xfId="785" xr:uid="{00000000-0005-0000-0000-000083030000}"/>
    <cellStyle name="Comma 10 7 8 2 2" xfId="2423" xr:uid="{00000000-0005-0000-0000-000084030000}"/>
    <cellStyle name="Comma 10 7 8 3" xfId="2422" xr:uid="{00000000-0005-0000-0000-000085030000}"/>
    <cellStyle name="Comma 10 7 9" xfId="786" xr:uid="{00000000-0005-0000-0000-000086030000}"/>
    <cellStyle name="Comma 10 7 9 2" xfId="787" xr:uid="{00000000-0005-0000-0000-000087030000}"/>
    <cellStyle name="Comma 10 7 9 2 2" xfId="2425" xr:uid="{00000000-0005-0000-0000-000088030000}"/>
    <cellStyle name="Comma 10 7 9 3" xfId="2424" xr:uid="{00000000-0005-0000-0000-000089030000}"/>
    <cellStyle name="Comma 10 8" xfId="788" xr:uid="{00000000-0005-0000-0000-00008A030000}"/>
    <cellStyle name="Comma 10 8 10" xfId="789" xr:uid="{00000000-0005-0000-0000-00008B030000}"/>
    <cellStyle name="Comma 10 8 10 2" xfId="790" xr:uid="{00000000-0005-0000-0000-00008C030000}"/>
    <cellStyle name="Comma 10 8 10 2 2" xfId="2428" xr:uid="{00000000-0005-0000-0000-00008D030000}"/>
    <cellStyle name="Comma 10 8 10 3" xfId="2427" xr:uid="{00000000-0005-0000-0000-00008E030000}"/>
    <cellStyle name="Comma 10 8 11" xfId="791" xr:uid="{00000000-0005-0000-0000-00008F030000}"/>
    <cellStyle name="Comma 10 8 11 2" xfId="792" xr:uid="{00000000-0005-0000-0000-000090030000}"/>
    <cellStyle name="Comma 10 8 11 2 2" xfId="2430" xr:uid="{00000000-0005-0000-0000-000091030000}"/>
    <cellStyle name="Comma 10 8 11 3" xfId="2429" xr:uid="{00000000-0005-0000-0000-000092030000}"/>
    <cellStyle name="Comma 10 8 12" xfId="793" xr:uid="{00000000-0005-0000-0000-000093030000}"/>
    <cellStyle name="Comma 10 8 12 2" xfId="794" xr:uid="{00000000-0005-0000-0000-000094030000}"/>
    <cellStyle name="Comma 10 8 12 2 2" xfId="2432" xr:uid="{00000000-0005-0000-0000-000095030000}"/>
    <cellStyle name="Comma 10 8 12 3" xfId="2431" xr:uid="{00000000-0005-0000-0000-000096030000}"/>
    <cellStyle name="Comma 10 8 13" xfId="795" xr:uid="{00000000-0005-0000-0000-000097030000}"/>
    <cellStyle name="Comma 10 8 13 2" xfId="796" xr:uid="{00000000-0005-0000-0000-000098030000}"/>
    <cellStyle name="Comma 10 8 13 2 2" xfId="2434" xr:uid="{00000000-0005-0000-0000-000099030000}"/>
    <cellStyle name="Comma 10 8 13 3" xfId="2433" xr:uid="{00000000-0005-0000-0000-00009A030000}"/>
    <cellStyle name="Comma 10 8 14" xfId="797" xr:uid="{00000000-0005-0000-0000-00009B030000}"/>
    <cellStyle name="Comma 10 8 14 2" xfId="798" xr:uid="{00000000-0005-0000-0000-00009C030000}"/>
    <cellStyle name="Comma 10 8 14 2 2" xfId="2436" xr:uid="{00000000-0005-0000-0000-00009D030000}"/>
    <cellStyle name="Comma 10 8 14 3" xfId="2435" xr:uid="{00000000-0005-0000-0000-00009E030000}"/>
    <cellStyle name="Comma 10 8 15" xfId="799" xr:uid="{00000000-0005-0000-0000-00009F030000}"/>
    <cellStyle name="Comma 10 8 15 2" xfId="800" xr:uid="{00000000-0005-0000-0000-0000A0030000}"/>
    <cellStyle name="Comma 10 8 15 2 2" xfId="2438" xr:uid="{00000000-0005-0000-0000-0000A1030000}"/>
    <cellStyle name="Comma 10 8 15 3" xfId="2437" xr:uid="{00000000-0005-0000-0000-0000A2030000}"/>
    <cellStyle name="Comma 10 8 16" xfId="801" xr:uid="{00000000-0005-0000-0000-0000A3030000}"/>
    <cellStyle name="Comma 10 8 16 2" xfId="802" xr:uid="{00000000-0005-0000-0000-0000A4030000}"/>
    <cellStyle name="Comma 10 8 16 2 2" xfId="2440" xr:uid="{00000000-0005-0000-0000-0000A5030000}"/>
    <cellStyle name="Comma 10 8 16 3" xfId="2439" xr:uid="{00000000-0005-0000-0000-0000A6030000}"/>
    <cellStyle name="Comma 10 8 17" xfId="803" xr:uid="{00000000-0005-0000-0000-0000A7030000}"/>
    <cellStyle name="Comma 10 8 17 2" xfId="804" xr:uid="{00000000-0005-0000-0000-0000A8030000}"/>
    <cellStyle name="Comma 10 8 17 2 2" xfId="2442" xr:uid="{00000000-0005-0000-0000-0000A9030000}"/>
    <cellStyle name="Comma 10 8 17 3" xfId="2441" xr:uid="{00000000-0005-0000-0000-0000AA030000}"/>
    <cellStyle name="Comma 10 8 18" xfId="805" xr:uid="{00000000-0005-0000-0000-0000AB030000}"/>
    <cellStyle name="Comma 10 8 18 2" xfId="2443" xr:uid="{00000000-0005-0000-0000-0000AC030000}"/>
    <cellStyle name="Comma 10 8 19" xfId="2426" xr:uid="{00000000-0005-0000-0000-0000AD030000}"/>
    <cellStyle name="Comma 10 8 2" xfId="806" xr:uid="{00000000-0005-0000-0000-0000AE030000}"/>
    <cellStyle name="Comma 10 8 2 2" xfId="807" xr:uid="{00000000-0005-0000-0000-0000AF030000}"/>
    <cellStyle name="Comma 10 8 2 2 2" xfId="2445" xr:uid="{00000000-0005-0000-0000-0000B0030000}"/>
    <cellStyle name="Comma 10 8 2 3" xfId="2444" xr:uid="{00000000-0005-0000-0000-0000B1030000}"/>
    <cellStyle name="Comma 10 8 3" xfId="808" xr:uid="{00000000-0005-0000-0000-0000B2030000}"/>
    <cellStyle name="Comma 10 8 3 2" xfId="809" xr:uid="{00000000-0005-0000-0000-0000B3030000}"/>
    <cellStyle name="Comma 10 8 3 2 2" xfId="2447" xr:uid="{00000000-0005-0000-0000-0000B4030000}"/>
    <cellStyle name="Comma 10 8 3 3" xfId="2446" xr:uid="{00000000-0005-0000-0000-0000B5030000}"/>
    <cellStyle name="Comma 10 8 4" xfId="810" xr:uid="{00000000-0005-0000-0000-0000B6030000}"/>
    <cellStyle name="Comma 10 8 4 2" xfId="811" xr:uid="{00000000-0005-0000-0000-0000B7030000}"/>
    <cellStyle name="Comma 10 8 4 2 2" xfId="2449" xr:uid="{00000000-0005-0000-0000-0000B8030000}"/>
    <cellStyle name="Comma 10 8 4 3" xfId="2448" xr:uid="{00000000-0005-0000-0000-0000B9030000}"/>
    <cellStyle name="Comma 10 8 5" xfId="812" xr:uid="{00000000-0005-0000-0000-0000BA030000}"/>
    <cellStyle name="Comma 10 8 5 2" xfId="813" xr:uid="{00000000-0005-0000-0000-0000BB030000}"/>
    <cellStyle name="Comma 10 8 5 2 2" xfId="2451" xr:uid="{00000000-0005-0000-0000-0000BC030000}"/>
    <cellStyle name="Comma 10 8 5 3" xfId="2450" xr:uid="{00000000-0005-0000-0000-0000BD030000}"/>
    <cellStyle name="Comma 10 8 6" xfId="814" xr:uid="{00000000-0005-0000-0000-0000BE030000}"/>
    <cellStyle name="Comma 10 8 6 2" xfId="815" xr:uid="{00000000-0005-0000-0000-0000BF030000}"/>
    <cellStyle name="Comma 10 8 6 2 2" xfId="2453" xr:uid="{00000000-0005-0000-0000-0000C0030000}"/>
    <cellStyle name="Comma 10 8 6 3" xfId="2452" xr:uid="{00000000-0005-0000-0000-0000C1030000}"/>
    <cellStyle name="Comma 10 8 7" xfId="816" xr:uid="{00000000-0005-0000-0000-0000C2030000}"/>
    <cellStyle name="Comma 10 8 7 2" xfId="817" xr:uid="{00000000-0005-0000-0000-0000C3030000}"/>
    <cellStyle name="Comma 10 8 7 2 2" xfId="2455" xr:uid="{00000000-0005-0000-0000-0000C4030000}"/>
    <cellStyle name="Comma 10 8 7 3" xfId="2454" xr:uid="{00000000-0005-0000-0000-0000C5030000}"/>
    <cellStyle name="Comma 10 8 8" xfId="818" xr:uid="{00000000-0005-0000-0000-0000C6030000}"/>
    <cellStyle name="Comma 10 8 8 2" xfId="819" xr:uid="{00000000-0005-0000-0000-0000C7030000}"/>
    <cellStyle name="Comma 10 8 8 2 2" xfId="2457" xr:uid="{00000000-0005-0000-0000-0000C8030000}"/>
    <cellStyle name="Comma 10 8 8 3" xfId="2456" xr:uid="{00000000-0005-0000-0000-0000C9030000}"/>
    <cellStyle name="Comma 10 8 9" xfId="820" xr:uid="{00000000-0005-0000-0000-0000CA030000}"/>
    <cellStyle name="Comma 10 8 9 2" xfId="821" xr:uid="{00000000-0005-0000-0000-0000CB030000}"/>
    <cellStyle name="Comma 10 8 9 2 2" xfId="2459" xr:uid="{00000000-0005-0000-0000-0000CC030000}"/>
    <cellStyle name="Comma 10 8 9 3" xfId="2458" xr:uid="{00000000-0005-0000-0000-0000CD030000}"/>
    <cellStyle name="Comma 10 9" xfId="2221" xr:uid="{00000000-0005-0000-0000-0000CE030000}"/>
    <cellStyle name="Comma 11" xfId="822" xr:uid="{00000000-0005-0000-0000-0000CF030000}"/>
    <cellStyle name="Comma 11 2" xfId="823" xr:uid="{00000000-0005-0000-0000-0000D0030000}"/>
    <cellStyle name="Comma 11 2 2" xfId="2461" xr:uid="{00000000-0005-0000-0000-0000D1030000}"/>
    <cellStyle name="Comma 11 3" xfId="2460" xr:uid="{00000000-0005-0000-0000-0000D2030000}"/>
    <cellStyle name="Comma 12" xfId="824" xr:uid="{00000000-0005-0000-0000-0000D3030000}"/>
    <cellStyle name="Comma 12 2" xfId="825" xr:uid="{00000000-0005-0000-0000-0000D4030000}"/>
    <cellStyle name="Comma 12 2 2" xfId="2463" xr:uid="{00000000-0005-0000-0000-0000D5030000}"/>
    <cellStyle name="Comma 12 3" xfId="2462" xr:uid="{00000000-0005-0000-0000-0000D6030000}"/>
    <cellStyle name="Comma 13" xfId="826" xr:uid="{00000000-0005-0000-0000-0000D7030000}"/>
    <cellStyle name="Comma 13 2" xfId="827" xr:uid="{00000000-0005-0000-0000-0000D8030000}"/>
    <cellStyle name="Comma 13 2 2" xfId="2465" xr:uid="{00000000-0005-0000-0000-0000D9030000}"/>
    <cellStyle name="Comma 13 3" xfId="2464" xr:uid="{00000000-0005-0000-0000-0000DA030000}"/>
    <cellStyle name="Comma 14" xfId="828" xr:uid="{00000000-0005-0000-0000-0000DB030000}"/>
    <cellStyle name="Comma 14 2" xfId="829" xr:uid="{00000000-0005-0000-0000-0000DC030000}"/>
    <cellStyle name="Comma 14 2 2" xfId="2467" xr:uid="{00000000-0005-0000-0000-0000DD030000}"/>
    <cellStyle name="Comma 14 3" xfId="2466" xr:uid="{00000000-0005-0000-0000-0000DE030000}"/>
    <cellStyle name="Comma 15" xfId="830" xr:uid="{00000000-0005-0000-0000-0000DF030000}"/>
    <cellStyle name="Comma 15 2" xfId="831" xr:uid="{00000000-0005-0000-0000-0000E0030000}"/>
    <cellStyle name="Comma 15 2 2" xfId="832" xr:uid="{00000000-0005-0000-0000-0000E1030000}"/>
    <cellStyle name="Comma 15 2 2 2" xfId="2470" xr:uid="{00000000-0005-0000-0000-0000E2030000}"/>
    <cellStyle name="Comma 15 2 3" xfId="2469" xr:uid="{00000000-0005-0000-0000-0000E3030000}"/>
    <cellStyle name="Comma 15 3" xfId="833" xr:uid="{00000000-0005-0000-0000-0000E4030000}"/>
    <cellStyle name="Comma 15 3 2" xfId="834" xr:uid="{00000000-0005-0000-0000-0000E5030000}"/>
    <cellStyle name="Comma 15 3 2 2" xfId="2472" xr:uid="{00000000-0005-0000-0000-0000E6030000}"/>
    <cellStyle name="Comma 15 3 3" xfId="2471" xr:uid="{00000000-0005-0000-0000-0000E7030000}"/>
    <cellStyle name="Comma 15 4" xfId="835" xr:uid="{00000000-0005-0000-0000-0000E8030000}"/>
    <cellStyle name="Comma 15 4 2" xfId="2473" xr:uid="{00000000-0005-0000-0000-0000E9030000}"/>
    <cellStyle name="Comma 15 5" xfId="2468" xr:uid="{00000000-0005-0000-0000-0000EA030000}"/>
    <cellStyle name="Comma 16" xfId="836" xr:uid="{00000000-0005-0000-0000-0000EB030000}"/>
    <cellStyle name="Comma 16 2" xfId="837" xr:uid="{00000000-0005-0000-0000-0000EC030000}"/>
    <cellStyle name="Comma 16 2 2" xfId="838" xr:uid="{00000000-0005-0000-0000-0000ED030000}"/>
    <cellStyle name="Comma 16 2 2 2" xfId="2476" xr:uid="{00000000-0005-0000-0000-0000EE030000}"/>
    <cellStyle name="Comma 16 2 3" xfId="2475" xr:uid="{00000000-0005-0000-0000-0000EF030000}"/>
    <cellStyle name="Comma 16 3" xfId="839" xr:uid="{00000000-0005-0000-0000-0000F0030000}"/>
    <cellStyle name="Comma 16 3 2" xfId="840" xr:uid="{00000000-0005-0000-0000-0000F1030000}"/>
    <cellStyle name="Comma 16 3 2 2" xfId="2478" xr:uid="{00000000-0005-0000-0000-0000F2030000}"/>
    <cellStyle name="Comma 16 3 3" xfId="2477" xr:uid="{00000000-0005-0000-0000-0000F3030000}"/>
    <cellStyle name="Comma 16 4" xfId="841" xr:uid="{00000000-0005-0000-0000-0000F4030000}"/>
    <cellStyle name="Comma 16 4 2" xfId="2479" xr:uid="{00000000-0005-0000-0000-0000F5030000}"/>
    <cellStyle name="Comma 16 5" xfId="2474" xr:uid="{00000000-0005-0000-0000-0000F6030000}"/>
    <cellStyle name="Comma 17" xfId="842" xr:uid="{00000000-0005-0000-0000-0000F7030000}"/>
    <cellStyle name="Comma 17 2" xfId="843" xr:uid="{00000000-0005-0000-0000-0000F8030000}"/>
    <cellStyle name="Comma 17 2 2" xfId="844" xr:uid="{00000000-0005-0000-0000-0000F9030000}"/>
    <cellStyle name="Comma 17 2 2 2" xfId="2482" xr:uid="{00000000-0005-0000-0000-0000FA030000}"/>
    <cellStyle name="Comma 17 2 3" xfId="2481" xr:uid="{00000000-0005-0000-0000-0000FB030000}"/>
    <cellStyle name="Comma 17 3" xfId="845" xr:uid="{00000000-0005-0000-0000-0000FC030000}"/>
    <cellStyle name="Comma 17 3 2" xfId="2483" xr:uid="{00000000-0005-0000-0000-0000FD030000}"/>
    <cellStyle name="Comma 17 4" xfId="2480" xr:uid="{00000000-0005-0000-0000-0000FE030000}"/>
    <cellStyle name="Comma 18" xfId="846" xr:uid="{00000000-0005-0000-0000-0000FF030000}"/>
    <cellStyle name="Comma 18 2" xfId="847" xr:uid="{00000000-0005-0000-0000-000000040000}"/>
    <cellStyle name="Comma 18 2 2" xfId="2485" xr:uid="{00000000-0005-0000-0000-000001040000}"/>
    <cellStyle name="Comma 18 3" xfId="2484" xr:uid="{00000000-0005-0000-0000-000002040000}"/>
    <cellStyle name="Comma 19" xfId="848" xr:uid="{00000000-0005-0000-0000-000003040000}"/>
    <cellStyle name="Comma 19 2" xfId="849" xr:uid="{00000000-0005-0000-0000-000004040000}"/>
    <cellStyle name="Comma 19 2 2" xfId="2487" xr:uid="{00000000-0005-0000-0000-000005040000}"/>
    <cellStyle name="Comma 19 3" xfId="2486" xr:uid="{00000000-0005-0000-0000-000006040000}"/>
    <cellStyle name="Comma 2" xfId="45" xr:uid="{00000000-0005-0000-0000-000007040000}"/>
    <cellStyle name="Comma 2 10" xfId="850" xr:uid="{00000000-0005-0000-0000-000008040000}"/>
    <cellStyle name="Comma 2 11" xfId="851" xr:uid="{00000000-0005-0000-0000-000009040000}"/>
    <cellStyle name="Comma 2 12" xfId="852" xr:uid="{00000000-0005-0000-0000-00000A040000}"/>
    <cellStyle name="Comma 2 13" xfId="853" xr:uid="{00000000-0005-0000-0000-00000B040000}"/>
    <cellStyle name="Comma 2 14" xfId="854" xr:uid="{00000000-0005-0000-0000-00000C040000}"/>
    <cellStyle name="Comma 2 15" xfId="855" xr:uid="{00000000-0005-0000-0000-00000D040000}"/>
    <cellStyle name="Comma 2 16" xfId="856" xr:uid="{00000000-0005-0000-0000-00000E040000}"/>
    <cellStyle name="Comma 2 17" xfId="857" xr:uid="{00000000-0005-0000-0000-00000F040000}"/>
    <cellStyle name="Comma 2 17 2" xfId="858" xr:uid="{00000000-0005-0000-0000-000010040000}"/>
    <cellStyle name="Comma 2 17 2 2" xfId="2489" xr:uid="{00000000-0005-0000-0000-000011040000}"/>
    <cellStyle name="Comma 2 17 3" xfId="2488" xr:uid="{00000000-0005-0000-0000-000012040000}"/>
    <cellStyle name="Comma 2 18" xfId="859" xr:uid="{00000000-0005-0000-0000-000013040000}"/>
    <cellStyle name="Comma 2 18 2" xfId="860" xr:uid="{00000000-0005-0000-0000-000014040000}"/>
    <cellStyle name="Comma 2 18 2 2" xfId="2491" xr:uid="{00000000-0005-0000-0000-000015040000}"/>
    <cellStyle name="Comma 2 18 3" xfId="2490" xr:uid="{00000000-0005-0000-0000-000016040000}"/>
    <cellStyle name="Comma 2 19" xfId="861" xr:uid="{00000000-0005-0000-0000-000017040000}"/>
    <cellStyle name="Comma 2 19 2" xfId="862" xr:uid="{00000000-0005-0000-0000-000018040000}"/>
    <cellStyle name="Comma 2 19 2 2" xfId="863" xr:uid="{00000000-0005-0000-0000-000019040000}"/>
    <cellStyle name="Comma 2 19 2 2 2" xfId="2494" xr:uid="{00000000-0005-0000-0000-00001A040000}"/>
    <cellStyle name="Comma 2 19 2 3" xfId="2493" xr:uid="{00000000-0005-0000-0000-00001B040000}"/>
    <cellStyle name="Comma 2 19 3" xfId="864" xr:uid="{00000000-0005-0000-0000-00001C040000}"/>
    <cellStyle name="Comma 2 19 3 2" xfId="865" xr:uid="{00000000-0005-0000-0000-00001D040000}"/>
    <cellStyle name="Comma 2 19 3 2 2" xfId="2496" xr:uid="{00000000-0005-0000-0000-00001E040000}"/>
    <cellStyle name="Comma 2 19 3 3" xfId="2495" xr:uid="{00000000-0005-0000-0000-00001F040000}"/>
    <cellStyle name="Comma 2 19 4" xfId="866" xr:uid="{00000000-0005-0000-0000-000020040000}"/>
    <cellStyle name="Comma 2 19 4 2" xfId="2497" xr:uid="{00000000-0005-0000-0000-000021040000}"/>
    <cellStyle name="Comma 2 19 5" xfId="2492" xr:uid="{00000000-0005-0000-0000-000022040000}"/>
    <cellStyle name="Comma 2 2" xfId="81" xr:uid="{00000000-0005-0000-0000-000023040000}"/>
    <cellStyle name="Comma 2 2 2" xfId="82" xr:uid="{00000000-0005-0000-0000-000024040000}"/>
    <cellStyle name="Comma 2 2 2 2" xfId="867" xr:uid="{00000000-0005-0000-0000-000025040000}"/>
    <cellStyle name="Comma 2 2 2 2 2" xfId="2498" xr:uid="{00000000-0005-0000-0000-000026040000}"/>
    <cellStyle name="Comma 2 2 2 3" xfId="2188" xr:uid="{00000000-0005-0000-0000-000027040000}"/>
    <cellStyle name="Comma 2 2 2_AREFOR" xfId="868" xr:uid="{00000000-0005-0000-0000-000028040000}"/>
    <cellStyle name="Comma 2 2 3" xfId="869" xr:uid="{00000000-0005-0000-0000-000029040000}"/>
    <cellStyle name="Comma 2 2 3 2" xfId="870" xr:uid="{00000000-0005-0000-0000-00002A040000}"/>
    <cellStyle name="Comma 2 2 3 2 2" xfId="2500" xr:uid="{00000000-0005-0000-0000-00002B040000}"/>
    <cellStyle name="Comma 2 2 3 3" xfId="2499" xr:uid="{00000000-0005-0000-0000-00002C040000}"/>
    <cellStyle name="Comma 2 2 3_AREFOR" xfId="871" xr:uid="{00000000-0005-0000-0000-00002D040000}"/>
    <cellStyle name="Comma 2 2 4" xfId="2187" xr:uid="{00000000-0005-0000-0000-00002E040000}"/>
    <cellStyle name="Comma 2 2_AREFOR" xfId="872" xr:uid="{00000000-0005-0000-0000-00002F040000}"/>
    <cellStyle name="Comma 2 20" xfId="873" xr:uid="{00000000-0005-0000-0000-000030040000}"/>
    <cellStyle name="Comma 2 20 2" xfId="874" xr:uid="{00000000-0005-0000-0000-000031040000}"/>
    <cellStyle name="Comma 2 20 2 2" xfId="2502" xr:uid="{00000000-0005-0000-0000-000032040000}"/>
    <cellStyle name="Comma 2 20 3" xfId="2501" xr:uid="{00000000-0005-0000-0000-000033040000}"/>
    <cellStyle name="Comma 2 21" xfId="875" xr:uid="{00000000-0005-0000-0000-000034040000}"/>
    <cellStyle name="Comma 2 21 2" xfId="2503" xr:uid="{00000000-0005-0000-0000-000035040000}"/>
    <cellStyle name="Comma 2 22" xfId="80" xr:uid="{00000000-0005-0000-0000-000036040000}"/>
    <cellStyle name="Comma 2 22 2" xfId="2186" xr:uid="{00000000-0005-0000-0000-000037040000}"/>
    <cellStyle name="Comma 2 23" xfId="2180" xr:uid="{00000000-0005-0000-0000-000038040000}"/>
    <cellStyle name="Comma 2 3" xfId="83" xr:uid="{00000000-0005-0000-0000-000039040000}"/>
    <cellStyle name="Comma 2 3 2" xfId="876" xr:uid="{00000000-0005-0000-0000-00003A040000}"/>
    <cellStyle name="Comma 2 3 2 2" xfId="2504" xr:uid="{00000000-0005-0000-0000-00003B040000}"/>
    <cellStyle name="Comma 2 3 3" xfId="2189" xr:uid="{00000000-0005-0000-0000-00003C040000}"/>
    <cellStyle name="Comma 2 3_AREFOR" xfId="877" xr:uid="{00000000-0005-0000-0000-00003D040000}"/>
    <cellStyle name="Comma 2 4" xfId="878" xr:uid="{00000000-0005-0000-0000-00003E040000}"/>
    <cellStyle name="Comma 2 4 2" xfId="2505" xr:uid="{00000000-0005-0000-0000-00003F040000}"/>
    <cellStyle name="Comma 2 5" xfId="879" xr:uid="{00000000-0005-0000-0000-000040040000}"/>
    <cellStyle name="Comma 2 6" xfId="880" xr:uid="{00000000-0005-0000-0000-000041040000}"/>
    <cellStyle name="Comma 2 7" xfId="881" xr:uid="{00000000-0005-0000-0000-000042040000}"/>
    <cellStyle name="Comma 2 8" xfId="882" xr:uid="{00000000-0005-0000-0000-000043040000}"/>
    <cellStyle name="Comma 2 9" xfId="883" xr:uid="{00000000-0005-0000-0000-000044040000}"/>
    <cellStyle name="Comma 2_CDR" xfId="884" xr:uid="{00000000-0005-0000-0000-000045040000}"/>
    <cellStyle name="Comma 20" xfId="885" xr:uid="{00000000-0005-0000-0000-000046040000}"/>
    <cellStyle name="Comma 20 2" xfId="886" xr:uid="{00000000-0005-0000-0000-000047040000}"/>
    <cellStyle name="Comma 20 2 2" xfId="2507" xr:uid="{00000000-0005-0000-0000-000048040000}"/>
    <cellStyle name="Comma 20 3" xfId="2506" xr:uid="{00000000-0005-0000-0000-000049040000}"/>
    <cellStyle name="Comma 21" xfId="887" xr:uid="{00000000-0005-0000-0000-00004A040000}"/>
    <cellStyle name="Comma 21 2" xfId="888" xr:uid="{00000000-0005-0000-0000-00004B040000}"/>
    <cellStyle name="Comma 21 2 2" xfId="2509" xr:uid="{00000000-0005-0000-0000-00004C040000}"/>
    <cellStyle name="Comma 21 3" xfId="2508" xr:uid="{00000000-0005-0000-0000-00004D040000}"/>
    <cellStyle name="Comma 22" xfId="889" xr:uid="{00000000-0005-0000-0000-00004E040000}"/>
    <cellStyle name="Comma 22 2" xfId="890" xr:uid="{00000000-0005-0000-0000-00004F040000}"/>
    <cellStyle name="Comma 22 2 2" xfId="2511" xr:uid="{00000000-0005-0000-0000-000050040000}"/>
    <cellStyle name="Comma 22 3" xfId="2510" xr:uid="{00000000-0005-0000-0000-000051040000}"/>
    <cellStyle name="Comma 23" xfId="891" xr:uid="{00000000-0005-0000-0000-000052040000}"/>
    <cellStyle name="Comma 23 2" xfId="892" xr:uid="{00000000-0005-0000-0000-000053040000}"/>
    <cellStyle name="Comma 23 2 2" xfId="2513" xr:uid="{00000000-0005-0000-0000-000054040000}"/>
    <cellStyle name="Comma 23 3" xfId="2512" xr:uid="{00000000-0005-0000-0000-000055040000}"/>
    <cellStyle name="Comma 24" xfId="893" xr:uid="{00000000-0005-0000-0000-000056040000}"/>
    <cellStyle name="Comma 24 2" xfId="894" xr:uid="{00000000-0005-0000-0000-000057040000}"/>
    <cellStyle name="Comma 24 2 2" xfId="2515" xr:uid="{00000000-0005-0000-0000-000058040000}"/>
    <cellStyle name="Comma 24 3" xfId="2514" xr:uid="{00000000-0005-0000-0000-000059040000}"/>
    <cellStyle name="Comma 25" xfId="895" xr:uid="{00000000-0005-0000-0000-00005A040000}"/>
    <cellStyle name="Comma 25 2" xfId="896" xr:uid="{00000000-0005-0000-0000-00005B040000}"/>
    <cellStyle name="Comma 25 2 2" xfId="2517" xr:uid="{00000000-0005-0000-0000-00005C040000}"/>
    <cellStyle name="Comma 25 3" xfId="2516" xr:uid="{00000000-0005-0000-0000-00005D040000}"/>
    <cellStyle name="Comma 26" xfId="897" xr:uid="{00000000-0005-0000-0000-00005E040000}"/>
    <cellStyle name="Comma 26 2" xfId="898" xr:uid="{00000000-0005-0000-0000-00005F040000}"/>
    <cellStyle name="Comma 26 2 2" xfId="2519" xr:uid="{00000000-0005-0000-0000-000060040000}"/>
    <cellStyle name="Comma 26 3" xfId="2518" xr:uid="{00000000-0005-0000-0000-000061040000}"/>
    <cellStyle name="Comma 27" xfId="899" xr:uid="{00000000-0005-0000-0000-000062040000}"/>
    <cellStyle name="Comma 27 2" xfId="2520" xr:uid="{00000000-0005-0000-0000-000063040000}"/>
    <cellStyle name="Comma 28" xfId="153" xr:uid="{00000000-0005-0000-0000-000064040000}"/>
    <cellStyle name="Comma 28 2" xfId="2201" xr:uid="{00000000-0005-0000-0000-000065040000}"/>
    <cellStyle name="Comma 29" xfId="2169" xr:uid="{00000000-0005-0000-0000-000066040000}"/>
    <cellStyle name="Comma 29 2" xfId="2683" xr:uid="{00000000-0005-0000-0000-000067040000}"/>
    <cellStyle name="Comma 3" xfId="84" xr:uid="{00000000-0005-0000-0000-000068040000}"/>
    <cellStyle name="Comma 3 10" xfId="900" xr:uid="{00000000-0005-0000-0000-000069040000}"/>
    <cellStyle name="Comma 3 10 2" xfId="901" xr:uid="{00000000-0005-0000-0000-00006A040000}"/>
    <cellStyle name="Comma 3 10 2 2" xfId="2522" xr:uid="{00000000-0005-0000-0000-00006B040000}"/>
    <cellStyle name="Comma 3 10 3" xfId="2521" xr:uid="{00000000-0005-0000-0000-00006C040000}"/>
    <cellStyle name="Comma 3 11" xfId="902" xr:uid="{00000000-0005-0000-0000-00006D040000}"/>
    <cellStyle name="Comma 3 11 2" xfId="2523" xr:uid="{00000000-0005-0000-0000-00006E040000}"/>
    <cellStyle name="Comma 3 12" xfId="2190" xr:uid="{00000000-0005-0000-0000-00006F040000}"/>
    <cellStyle name="Comma 3 2" xfId="85" xr:uid="{00000000-0005-0000-0000-000070040000}"/>
    <cellStyle name="Comma 3 2 2" xfId="903" xr:uid="{00000000-0005-0000-0000-000071040000}"/>
    <cellStyle name="Comma 3 2 2 2" xfId="2524" xr:uid="{00000000-0005-0000-0000-000072040000}"/>
    <cellStyle name="Comma 3 2_AREFOR" xfId="904" xr:uid="{00000000-0005-0000-0000-000073040000}"/>
    <cellStyle name="Comma 3 3" xfId="86" xr:uid="{00000000-0005-0000-0000-000074040000}"/>
    <cellStyle name="Comma 3 3 2" xfId="87" xr:uid="{00000000-0005-0000-0000-000075040000}"/>
    <cellStyle name="Comma 3 3 2 2" xfId="2192" xr:uid="{00000000-0005-0000-0000-000076040000}"/>
    <cellStyle name="Comma 3 3 3" xfId="2191" xr:uid="{00000000-0005-0000-0000-000077040000}"/>
    <cellStyle name="Comma 3 3_AREFOR" xfId="905" xr:uid="{00000000-0005-0000-0000-000078040000}"/>
    <cellStyle name="Comma 3 4" xfId="88" xr:uid="{00000000-0005-0000-0000-000079040000}"/>
    <cellStyle name="Comma 3 4 2" xfId="906" xr:uid="{00000000-0005-0000-0000-00007A040000}"/>
    <cellStyle name="Comma 3 4 2 2" xfId="2525" xr:uid="{00000000-0005-0000-0000-00007B040000}"/>
    <cellStyle name="Comma 3 4 3" xfId="2193" xr:uid="{00000000-0005-0000-0000-00007C040000}"/>
    <cellStyle name="Comma 3 4_AREFOR" xfId="907" xr:uid="{00000000-0005-0000-0000-00007D040000}"/>
    <cellStyle name="Comma 3 5" xfId="908" xr:uid="{00000000-0005-0000-0000-00007E040000}"/>
    <cellStyle name="Comma 3 5 2" xfId="909" xr:uid="{00000000-0005-0000-0000-00007F040000}"/>
    <cellStyle name="Comma 3 5 2 2" xfId="2527" xr:uid="{00000000-0005-0000-0000-000080040000}"/>
    <cellStyle name="Comma 3 5 3" xfId="2526" xr:uid="{00000000-0005-0000-0000-000081040000}"/>
    <cellStyle name="Comma 3 6" xfId="910" xr:uid="{00000000-0005-0000-0000-000082040000}"/>
    <cellStyle name="Comma 3 6 2" xfId="911" xr:uid="{00000000-0005-0000-0000-000083040000}"/>
    <cellStyle name="Comma 3 6 2 2" xfId="2529" xr:uid="{00000000-0005-0000-0000-000084040000}"/>
    <cellStyle name="Comma 3 6 3" xfId="2528" xr:uid="{00000000-0005-0000-0000-000085040000}"/>
    <cellStyle name="Comma 3 7" xfId="912" xr:uid="{00000000-0005-0000-0000-000086040000}"/>
    <cellStyle name="Comma 3 7 2" xfId="913" xr:uid="{00000000-0005-0000-0000-000087040000}"/>
    <cellStyle name="Comma 3 7 2 2" xfId="2531" xr:uid="{00000000-0005-0000-0000-000088040000}"/>
    <cellStyle name="Comma 3 7 3" xfId="2530" xr:uid="{00000000-0005-0000-0000-000089040000}"/>
    <cellStyle name="Comma 3 8" xfId="914" xr:uid="{00000000-0005-0000-0000-00008A040000}"/>
    <cellStyle name="Comma 3 8 2" xfId="915" xr:uid="{00000000-0005-0000-0000-00008B040000}"/>
    <cellStyle name="Comma 3 8 2 2" xfId="2533" xr:uid="{00000000-0005-0000-0000-00008C040000}"/>
    <cellStyle name="Comma 3 8 3" xfId="2532" xr:uid="{00000000-0005-0000-0000-00008D040000}"/>
    <cellStyle name="Comma 3 9" xfId="916" xr:uid="{00000000-0005-0000-0000-00008E040000}"/>
    <cellStyle name="Comma 3 9 2" xfId="917" xr:uid="{00000000-0005-0000-0000-00008F040000}"/>
    <cellStyle name="Comma 3 9 2 2" xfId="2535" xr:uid="{00000000-0005-0000-0000-000090040000}"/>
    <cellStyle name="Comma 3 9 3" xfId="2534" xr:uid="{00000000-0005-0000-0000-000091040000}"/>
    <cellStyle name="Comma 3_AREFOR" xfId="918" xr:uid="{00000000-0005-0000-0000-000092040000}"/>
    <cellStyle name="Comma 30" xfId="2173" xr:uid="{00000000-0005-0000-0000-000093040000}"/>
    <cellStyle name="Comma 30 2" xfId="2687" xr:uid="{00000000-0005-0000-0000-000094040000}"/>
    <cellStyle name="Comma 31" xfId="2170" xr:uid="{00000000-0005-0000-0000-000095040000}"/>
    <cellStyle name="Comma 31 2" xfId="2684" xr:uid="{00000000-0005-0000-0000-000096040000}"/>
    <cellStyle name="Comma 32" xfId="2172" xr:uid="{00000000-0005-0000-0000-000097040000}"/>
    <cellStyle name="Comma 32 2" xfId="2686" xr:uid="{00000000-0005-0000-0000-000098040000}"/>
    <cellStyle name="Comma 33" xfId="2168" xr:uid="{00000000-0005-0000-0000-000099040000}"/>
    <cellStyle name="Comma 33 2" xfId="2682" xr:uid="{00000000-0005-0000-0000-00009A040000}"/>
    <cellStyle name="Comma 34" xfId="2171" xr:uid="{00000000-0005-0000-0000-00009B040000}"/>
    <cellStyle name="Comma 34 2" xfId="2685" xr:uid="{00000000-0005-0000-0000-00009C040000}"/>
    <cellStyle name="Comma 4" xfId="89" xr:uid="{00000000-0005-0000-0000-00009D040000}"/>
    <cellStyle name="Comma 4 10" xfId="2194" xr:uid="{00000000-0005-0000-0000-00009E040000}"/>
    <cellStyle name="Comma 4 2" xfId="919" xr:uid="{00000000-0005-0000-0000-00009F040000}"/>
    <cellStyle name="Comma 4 2 2" xfId="920" xr:uid="{00000000-0005-0000-0000-0000A0040000}"/>
    <cellStyle name="Comma 4 2 2 2" xfId="2537" xr:uid="{00000000-0005-0000-0000-0000A1040000}"/>
    <cellStyle name="Comma 4 2 3" xfId="2536" xr:uid="{00000000-0005-0000-0000-0000A2040000}"/>
    <cellStyle name="Comma 4 3" xfId="921" xr:uid="{00000000-0005-0000-0000-0000A3040000}"/>
    <cellStyle name="Comma 4 3 2" xfId="922" xr:uid="{00000000-0005-0000-0000-0000A4040000}"/>
    <cellStyle name="Comma 4 3 2 2" xfId="2539" xr:uid="{00000000-0005-0000-0000-0000A5040000}"/>
    <cellStyle name="Comma 4 3 3" xfId="2538" xr:uid="{00000000-0005-0000-0000-0000A6040000}"/>
    <cellStyle name="Comma 4 4" xfId="923" xr:uid="{00000000-0005-0000-0000-0000A7040000}"/>
    <cellStyle name="Comma 4 4 2" xfId="924" xr:uid="{00000000-0005-0000-0000-0000A8040000}"/>
    <cellStyle name="Comma 4 4 2 2" xfId="2541" xr:uid="{00000000-0005-0000-0000-0000A9040000}"/>
    <cellStyle name="Comma 4 4 3" xfId="2540" xr:uid="{00000000-0005-0000-0000-0000AA040000}"/>
    <cellStyle name="Comma 4 5" xfId="925" xr:uid="{00000000-0005-0000-0000-0000AB040000}"/>
    <cellStyle name="Comma 4 5 2" xfId="926" xr:uid="{00000000-0005-0000-0000-0000AC040000}"/>
    <cellStyle name="Comma 4 5 2 2" xfId="2543" xr:uid="{00000000-0005-0000-0000-0000AD040000}"/>
    <cellStyle name="Comma 4 5 3" xfId="2542" xr:uid="{00000000-0005-0000-0000-0000AE040000}"/>
    <cellStyle name="Comma 4 6" xfId="927" xr:uid="{00000000-0005-0000-0000-0000AF040000}"/>
    <cellStyle name="Comma 4 6 2" xfId="928" xr:uid="{00000000-0005-0000-0000-0000B0040000}"/>
    <cellStyle name="Comma 4 6 2 2" xfId="2545" xr:uid="{00000000-0005-0000-0000-0000B1040000}"/>
    <cellStyle name="Comma 4 6 3" xfId="2544" xr:uid="{00000000-0005-0000-0000-0000B2040000}"/>
    <cellStyle name="Comma 4 7" xfId="929" xr:uid="{00000000-0005-0000-0000-0000B3040000}"/>
    <cellStyle name="Comma 4 7 2" xfId="930" xr:uid="{00000000-0005-0000-0000-0000B4040000}"/>
    <cellStyle name="Comma 4 7 2 2" xfId="2547" xr:uid="{00000000-0005-0000-0000-0000B5040000}"/>
    <cellStyle name="Comma 4 7 3" xfId="2546" xr:uid="{00000000-0005-0000-0000-0000B6040000}"/>
    <cellStyle name="Comma 4 8" xfId="931" xr:uid="{00000000-0005-0000-0000-0000B7040000}"/>
    <cellStyle name="Comma 4 8 2" xfId="932" xr:uid="{00000000-0005-0000-0000-0000B8040000}"/>
    <cellStyle name="Comma 4 8 2 2" xfId="2549" xr:uid="{00000000-0005-0000-0000-0000B9040000}"/>
    <cellStyle name="Comma 4 8 3" xfId="2548" xr:uid="{00000000-0005-0000-0000-0000BA040000}"/>
    <cellStyle name="Comma 4 9" xfId="933" xr:uid="{00000000-0005-0000-0000-0000BB040000}"/>
    <cellStyle name="Comma 4 9 2" xfId="2550" xr:uid="{00000000-0005-0000-0000-0000BC040000}"/>
    <cellStyle name="Comma 4_AREFOR" xfId="934" xr:uid="{00000000-0005-0000-0000-0000BD040000}"/>
    <cellStyle name="Comma 5" xfId="90" xr:uid="{00000000-0005-0000-0000-0000BE040000}"/>
    <cellStyle name="Comma 5 10" xfId="2195" xr:uid="{00000000-0005-0000-0000-0000BF040000}"/>
    <cellStyle name="Comma 5 2" xfId="935" xr:uid="{00000000-0005-0000-0000-0000C0040000}"/>
    <cellStyle name="Comma 5 2 2" xfId="936" xr:uid="{00000000-0005-0000-0000-0000C1040000}"/>
    <cellStyle name="Comma 5 2 2 2" xfId="2552" xr:uid="{00000000-0005-0000-0000-0000C2040000}"/>
    <cellStyle name="Comma 5 2 3" xfId="2551" xr:uid="{00000000-0005-0000-0000-0000C3040000}"/>
    <cellStyle name="Comma 5 3" xfId="937" xr:uid="{00000000-0005-0000-0000-0000C4040000}"/>
    <cellStyle name="Comma 5 3 2" xfId="938" xr:uid="{00000000-0005-0000-0000-0000C5040000}"/>
    <cellStyle name="Comma 5 3 2 2" xfId="2554" xr:uid="{00000000-0005-0000-0000-0000C6040000}"/>
    <cellStyle name="Comma 5 3 3" xfId="2553" xr:uid="{00000000-0005-0000-0000-0000C7040000}"/>
    <cellStyle name="Comma 5 4" xfId="939" xr:uid="{00000000-0005-0000-0000-0000C8040000}"/>
    <cellStyle name="Comma 5 4 2" xfId="940" xr:uid="{00000000-0005-0000-0000-0000C9040000}"/>
    <cellStyle name="Comma 5 4 2 2" xfId="2556" xr:uid="{00000000-0005-0000-0000-0000CA040000}"/>
    <cellStyle name="Comma 5 4 3" xfId="2555" xr:uid="{00000000-0005-0000-0000-0000CB040000}"/>
    <cellStyle name="Comma 5 5" xfId="941" xr:uid="{00000000-0005-0000-0000-0000CC040000}"/>
    <cellStyle name="Comma 5 5 2" xfId="942" xr:uid="{00000000-0005-0000-0000-0000CD040000}"/>
    <cellStyle name="Comma 5 5 2 2" xfId="2558" xr:uid="{00000000-0005-0000-0000-0000CE040000}"/>
    <cellStyle name="Comma 5 5 3" xfId="2557" xr:uid="{00000000-0005-0000-0000-0000CF040000}"/>
    <cellStyle name="Comma 5 6" xfId="943" xr:uid="{00000000-0005-0000-0000-0000D0040000}"/>
    <cellStyle name="Comma 5 6 2" xfId="944" xr:uid="{00000000-0005-0000-0000-0000D1040000}"/>
    <cellStyle name="Comma 5 6 2 2" xfId="2560" xr:uid="{00000000-0005-0000-0000-0000D2040000}"/>
    <cellStyle name="Comma 5 6 3" xfId="2559" xr:uid="{00000000-0005-0000-0000-0000D3040000}"/>
    <cellStyle name="Comma 5 7" xfId="945" xr:uid="{00000000-0005-0000-0000-0000D4040000}"/>
    <cellStyle name="Comma 5 7 2" xfId="946" xr:uid="{00000000-0005-0000-0000-0000D5040000}"/>
    <cellStyle name="Comma 5 7 2 2" xfId="2562" xr:uid="{00000000-0005-0000-0000-0000D6040000}"/>
    <cellStyle name="Comma 5 7 3" xfId="2561" xr:uid="{00000000-0005-0000-0000-0000D7040000}"/>
    <cellStyle name="Comma 5 8" xfId="947" xr:uid="{00000000-0005-0000-0000-0000D8040000}"/>
    <cellStyle name="Comma 5 8 2" xfId="948" xr:uid="{00000000-0005-0000-0000-0000D9040000}"/>
    <cellStyle name="Comma 5 8 2 2" xfId="2564" xr:uid="{00000000-0005-0000-0000-0000DA040000}"/>
    <cellStyle name="Comma 5 8 3" xfId="2563" xr:uid="{00000000-0005-0000-0000-0000DB040000}"/>
    <cellStyle name="Comma 5 9" xfId="949" xr:uid="{00000000-0005-0000-0000-0000DC040000}"/>
    <cellStyle name="Comma 5 9 2" xfId="2565" xr:uid="{00000000-0005-0000-0000-0000DD040000}"/>
    <cellStyle name="Comma 6" xfId="950" xr:uid="{00000000-0005-0000-0000-0000DE040000}"/>
    <cellStyle name="Comma 6 10" xfId="2566" xr:uid="{00000000-0005-0000-0000-0000DF040000}"/>
    <cellStyle name="Comma 6 2" xfId="951" xr:uid="{00000000-0005-0000-0000-0000E0040000}"/>
    <cellStyle name="Comma 6 2 2" xfId="952" xr:uid="{00000000-0005-0000-0000-0000E1040000}"/>
    <cellStyle name="Comma 6 2 2 2" xfId="2568" xr:uid="{00000000-0005-0000-0000-0000E2040000}"/>
    <cellStyle name="Comma 6 2 3" xfId="2567" xr:uid="{00000000-0005-0000-0000-0000E3040000}"/>
    <cellStyle name="Comma 6 3" xfId="953" xr:uid="{00000000-0005-0000-0000-0000E4040000}"/>
    <cellStyle name="Comma 6 3 2" xfId="954" xr:uid="{00000000-0005-0000-0000-0000E5040000}"/>
    <cellStyle name="Comma 6 3 2 2" xfId="2570" xr:uid="{00000000-0005-0000-0000-0000E6040000}"/>
    <cellStyle name="Comma 6 3 3" xfId="2569" xr:uid="{00000000-0005-0000-0000-0000E7040000}"/>
    <cellStyle name="Comma 6 4" xfId="955" xr:uid="{00000000-0005-0000-0000-0000E8040000}"/>
    <cellStyle name="Comma 6 4 2" xfId="956" xr:uid="{00000000-0005-0000-0000-0000E9040000}"/>
    <cellStyle name="Comma 6 4 2 2" xfId="2572" xr:uid="{00000000-0005-0000-0000-0000EA040000}"/>
    <cellStyle name="Comma 6 4 3" xfId="2571" xr:uid="{00000000-0005-0000-0000-0000EB040000}"/>
    <cellStyle name="Comma 6 5" xfId="957" xr:uid="{00000000-0005-0000-0000-0000EC040000}"/>
    <cellStyle name="Comma 6 5 2" xfId="958" xr:uid="{00000000-0005-0000-0000-0000ED040000}"/>
    <cellStyle name="Comma 6 5 2 2" xfId="2574" xr:uid="{00000000-0005-0000-0000-0000EE040000}"/>
    <cellStyle name="Comma 6 5 3" xfId="2573" xr:uid="{00000000-0005-0000-0000-0000EF040000}"/>
    <cellStyle name="Comma 6 6" xfId="959" xr:uid="{00000000-0005-0000-0000-0000F0040000}"/>
    <cellStyle name="Comma 6 6 2" xfId="960" xr:uid="{00000000-0005-0000-0000-0000F1040000}"/>
    <cellStyle name="Comma 6 6 2 2" xfId="2576" xr:uid="{00000000-0005-0000-0000-0000F2040000}"/>
    <cellStyle name="Comma 6 6 3" xfId="2575" xr:uid="{00000000-0005-0000-0000-0000F3040000}"/>
    <cellStyle name="Comma 6 7" xfId="961" xr:uid="{00000000-0005-0000-0000-0000F4040000}"/>
    <cellStyle name="Comma 6 7 2" xfId="962" xr:uid="{00000000-0005-0000-0000-0000F5040000}"/>
    <cellStyle name="Comma 6 7 2 2" xfId="2578" xr:uid="{00000000-0005-0000-0000-0000F6040000}"/>
    <cellStyle name="Comma 6 7 3" xfId="2577" xr:uid="{00000000-0005-0000-0000-0000F7040000}"/>
    <cellStyle name="Comma 6 8" xfId="963" xr:uid="{00000000-0005-0000-0000-0000F8040000}"/>
    <cellStyle name="Comma 6 8 2" xfId="964" xr:uid="{00000000-0005-0000-0000-0000F9040000}"/>
    <cellStyle name="Comma 6 8 2 2" xfId="2580" xr:uid="{00000000-0005-0000-0000-0000FA040000}"/>
    <cellStyle name="Comma 6 8 3" xfId="2579" xr:uid="{00000000-0005-0000-0000-0000FB040000}"/>
    <cellStyle name="Comma 6 9" xfId="965" xr:uid="{00000000-0005-0000-0000-0000FC040000}"/>
    <cellStyle name="Comma 6 9 2" xfId="2581" xr:uid="{00000000-0005-0000-0000-0000FD040000}"/>
    <cellStyle name="Comma 7" xfId="966" xr:uid="{00000000-0005-0000-0000-0000FE040000}"/>
    <cellStyle name="Comma 7 10" xfId="967" xr:uid="{00000000-0005-0000-0000-0000FF040000}"/>
    <cellStyle name="Comma 7 10 2" xfId="968" xr:uid="{00000000-0005-0000-0000-000000050000}"/>
    <cellStyle name="Comma 7 10 2 2" xfId="2583" xr:uid="{00000000-0005-0000-0000-000001050000}"/>
    <cellStyle name="Comma 7 10 3" xfId="2582" xr:uid="{00000000-0005-0000-0000-000002050000}"/>
    <cellStyle name="Comma 7 11" xfId="969" xr:uid="{00000000-0005-0000-0000-000003050000}"/>
    <cellStyle name="Comma 7 11 2" xfId="970" xr:uid="{00000000-0005-0000-0000-000004050000}"/>
    <cellStyle name="Comma 7 11 2 2" xfId="2585" xr:uid="{00000000-0005-0000-0000-000005050000}"/>
    <cellStyle name="Comma 7 11 3" xfId="2584" xr:uid="{00000000-0005-0000-0000-000006050000}"/>
    <cellStyle name="Comma 7 12" xfId="971" xr:uid="{00000000-0005-0000-0000-000007050000}"/>
    <cellStyle name="Comma 7 12 2" xfId="972" xr:uid="{00000000-0005-0000-0000-000008050000}"/>
    <cellStyle name="Comma 7 12 2 2" xfId="2587" xr:uid="{00000000-0005-0000-0000-000009050000}"/>
    <cellStyle name="Comma 7 12 3" xfId="2586" xr:uid="{00000000-0005-0000-0000-00000A050000}"/>
    <cellStyle name="Comma 7 13" xfId="973" xr:uid="{00000000-0005-0000-0000-00000B050000}"/>
    <cellStyle name="Comma 7 13 2" xfId="974" xr:uid="{00000000-0005-0000-0000-00000C050000}"/>
    <cellStyle name="Comma 7 13 2 2" xfId="2589" xr:uid="{00000000-0005-0000-0000-00000D050000}"/>
    <cellStyle name="Comma 7 13 3" xfId="2588" xr:uid="{00000000-0005-0000-0000-00000E050000}"/>
    <cellStyle name="Comma 7 14" xfId="975" xr:uid="{00000000-0005-0000-0000-00000F050000}"/>
    <cellStyle name="Comma 7 14 2" xfId="976" xr:uid="{00000000-0005-0000-0000-000010050000}"/>
    <cellStyle name="Comma 7 14 2 2" xfId="2591" xr:uid="{00000000-0005-0000-0000-000011050000}"/>
    <cellStyle name="Comma 7 14 3" xfId="2590" xr:uid="{00000000-0005-0000-0000-000012050000}"/>
    <cellStyle name="Comma 7 15" xfId="977" xr:uid="{00000000-0005-0000-0000-000013050000}"/>
    <cellStyle name="Comma 7 15 2" xfId="978" xr:uid="{00000000-0005-0000-0000-000014050000}"/>
    <cellStyle name="Comma 7 15 2 2" xfId="2593" xr:uid="{00000000-0005-0000-0000-000015050000}"/>
    <cellStyle name="Comma 7 15 3" xfId="2592" xr:uid="{00000000-0005-0000-0000-000016050000}"/>
    <cellStyle name="Comma 7 16" xfId="979" xr:uid="{00000000-0005-0000-0000-000017050000}"/>
    <cellStyle name="Comma 7 16 2" xfId="980" xr:uid="{00000000-0005-0000-0000-000018050000}"/>
    <cellStyle name="Comma 7 16 2 2" xfId="2595" xr:uid="{00000000-0005-0000-0000-000019050000}"/>
    <cellStyle name="Comma 7 16 3" xfId="2594" xr:uid="{00000000-0005-0000-0000-00001A050000}"/>
    <cellStyle name="Comma 7 17" xfId="981" xr:uid="{00000000-0005-0000-0000-00001B050000}"/>
    <cellStyle name="Comma 7 17 2" xfId="982" xr:uid="{00000000-0005-0000-0000-00001C050000}"/>
    <cellStyle name="Comma 7 17 2 2" xfId="2597" xr:uid="{00000000-0005-0000-0000-00001D050000}"/>
    <cellStyle name="Comma 7 17 3" xfId="2596" xr:uid="{00000000-0005-0000-0000-00001E050000}"/>
    <cellStyle name="Comma 7 18" xfId="983" xr:uid="{00000000-0005-0000-0000-00001F050000}"/>
    <cellStyle name="Comma 7 18 2" xfId="984" xr:uid="{00000000-0005-0000-0000-000020050000}"/>
    <cellStyle name="Comma 7 18 2 2" xfId="2599" xr:uid="{00000000-0005-0000-0000-000021050000}"/>
    <cellStyle name="Comma 7 18 3" xfId="2598" xr:uid="{00000000-0005-0000-0000-000022050000}"/>
    <cellStyle name="Comma 7 19" xfId="985" xr:uid="{00000000-0005-0000-0000-000023050000}"/>
    <cellStyle name="Comma 7 19 2" xfId="986" xr:uid="{00000000-0005-0000-0000-000024050000}"/>
    <cellStyle name="Comma 7 19 2 2" xfId="2601" xr:uid="{00000000-0005-0000-0000-000025050000}"/>
    <cellStyle name="Comma 7 19 3" xfId="2600" xr:uid="{00000000-0005-0000-0000-000026050000}"/>
    <cellStyle name="Comma 7 2" xfId="987" xr:uid="{00000000-0005-0000-0000-000027050000}"/>
    <cellStyle name="Comma 7 2 2" xfId="988" xr:uid="{00000000-0005-0000-0000-000028050000}"/>
    <cellStyle name="Comma 7 2 2 2" xfId="2603" xr:uid="{00000000-0005-0000-0000-000029050000}"/>
    <cellStyle name="Comma 7 2 3" xfId="2602" xr:uid="{00000000-0005-0000-0000-00002A050000}"/>
    <cellStyle name="Comma 7 20" xfId="989" xr:uid="{00000000-0005-0000-0000-00002B050000}"/>
    <cellStyle name="Comma 7 20 2" xfId="990" xr:uid="{00000000-0005-0000-0000-00002C050000}"/>
    <cellStyle name="Comma 7 20 2 2" xfId="2605" xr:uid="{00000000-0005-0000-0000-00002D050000}"/>
    <cellStyle name="Comma 7 20 3" xfId="2604" xr:uid="{00000000-0005-0000-0000-00002E050000}"/>
    <cellStyle name="Comma 7 21" xfId="991" xr:uid="{00000000-0005-0000-0000-00002F050000}"/>
    <cellStyle name="Comma 7 21 2" xfId="992" xr:uid="{00000000-0005-0000-0000-000030050000}"/>
    <cellStyle name="Comma 7 21 2 2" xfId="2607" xr:uid="{00000000-0005-0000-0000-000031050000}"/>
    <cellStyle name="Comma 7 21 3" xfId="2606" xr:uid="{00000000-0005-0000-0000-000032050000}"/>
    <cellStyle name="Comma 7 3" xfId="993" xr:uid="{00000000-0005-0000-0000-000033050000}"/>
    <cellStyle name="Comma 7 3 10" xfId="994" xr:uid="{00000000-0005-0000-0000-000034050000}"/>
    <cellStyle name="Comma 7 3 10 2" xfId="995" xr:uid="{00000000-0005-0000-0000-000035050000}"/>
    <cellStyle name="Comma 7 3 10 2 2" xfId="2610" xr:uid="{00000000-0005-0000-0000-000036050000}"/>
    <cellStyle name="Comma 7 3 10 3" xfId="2609" xr:uid="{00000000-0005-0000-0000-000037050000}"/>
    <cellStyle name="Comma 7 3 11" xfId="996" xr:uid="{00000000-0005-0000-0000-000038050000}"/>
    <cellStyle name="Comma 7 3 11 2" xfId="997" xr:uid="{00000000-0005-0000-0000-000039050000}"/>
    <cellStyle name="Comma 7 3 11 2 2" xfId="2612" xr:uid="{00000000-0005-0000-0000-00003A050000}"/>
    <cellStyle name="Comma 7 3 11 3" xfId="2611" xr:uid="{00000000-0005-0000-0000-00003B050000}"/>
    <cellStyle name="Comma 7 3 12" xfId="998" xr:uid="{00000000-0005-0000-0000-00003C050000}"/>
    <cellStyle name="Comma 7 3 12 2" xfId="999" xr:uid="{00000000-0005-0000-0000-00003D050000}"/>
    <cellStyle name="Comma 7 3 12 2 2" xfId="2614" xr:uid="{00000000-0005-0000-0000-00003E050000}"/>
    <cellStyle name="Comma 7 3 12 3" xfId="2613" xr:uid="{00000000-0005-0000-0000-00003F050000}"/>
    <cellStyle name="Comma 7 3 13" xfId="1000" xr:uid="{00000000-0005-0000-0000-000040050000}"/>
    <cellStyle name="Comma 7 3 13 2" xfId="1001" xr:uid="{00000000-0005-0000-0000-000041050000}"/>
    <cellStyle name="Comma 7 3 13 2 2" xfId="2616" xr:uid="{00000000-0005-0000-0000-000042050000}"/>
    <cellStyle name="Comma 7 3 13 3" xfId="2615" xr:uid="{00000000-0005-0000-0000-000043050000}"/>
    <cellStyle name="Comma 7 3 14" xfId="1002" xr:uid="{00000000-0005-0000-0000-000044050000}"/>
    <cellStyle name="Comma 7 3 14 2" xfId="1003" xr:uid="{00000000-0005-0000-0000-000045050000}"/>
    <cellStyle name="Comma 7 3 14 2 2" xfId="2618" xr:uid="{00000000-0005-0000-0000-000046050000}"/>
    <cellStyle name="Comma 7 3 14 3" xfId="2617" xr:uid="{00000000-0005-0000-0000-000047050000}"/>
    <cellStyle name="Comma 7 3 15" xfId="1004" xr:uid="{00000000-0005-0000-0000-000048050000}"/>
    <cellStyle name="Comma 7 3 15 2" xfId="1005" xr:uid="{00000000-0005-0000-0000-000049050000}"/>
    <cellStyle name="Comma 7 3 15 2 2" xfId="2620" xr:uid="{00000000-0005-0000-0000-00004A050000}"/>
    <cellStyle name="Comma 7 3 15 3" xfId="2619" xr:uid="{00000000-0005-0000-0000-00004B050000}"/>
    <cellStyle name="Comma 7 3 16" xfId="2608" xr:uid="{00000000-0005-0000-0000-00004C050000}"/>
    <cellStyle name="Comma 7 3 2" xfId="1006" xr:uid="{00000000-0005-0000-0000-00004D050000}"/>
    <cellStyle name="Comma 7 3 2 2" xfId="1007" xr:uid="{00000000-0005-0000-0000-00004E050000}"/>
    <cellStyle name="Comma 7 3 2 2 2" xfId="2622" xr:uid="{00000000-0005-0000-0000-00004F050000}"/>
    <cellStyle name="Comma 7 3 2 3" xfId="2621" xr:uid="{00000000-0005-0000-0000-000050050000}"/>
    <cellStyle name="Comma 7 3 3" xfId="1008" xr:uid="{00000000-0005-0000-0000-000051050000}"/>
    <cellStyle name="Comma 7 3 3 2" xfId="1009" xr:uid="{00000000-0005-0000-0000-000052050000}"/>
    <cellStyle name="Comma 7 3 3 2 2" xfId="2624" xr:uid="{00000000-0005-0000-0000-000053050000}"/>
    <cellStyle name="Comma 7 3 3 3" xfId="2623" xr:uid="{00000000-0005-0000-0000-000054050000}"/>
    <cellStyle name="Comma 7 3 4" xfId="1010" xr:uid="{00000000-0005-0000-0000-000055050000}"/>
    <cellStyle name="Comma 7 3 4 2" xfId="1011" xr:uid="{00000000-0005-0000-0000-000056050000}"/>
    <cellStyle name="Comma 7 3 4 2 2" xfId="2626" xr:uid="{00000000-0005-0000-0000-000057050000}"/>
    <cellStyle name="Comma 7 3 4 3" xfId="2625" xr:uid="{00000000-0005-0000-0000-000058050000}"/>
    <cellStyle name="Comma 7 3 5" xfId="1012" xr:uid="{00000000-0005-0000-0000-000059050000}"/>
    <cellStyle name="Comma 7 3 5 2" xfId="1013" xr:uid="{00000000-0005-0000-0000-00005A050000}"/>
    <cellStyle name="Comma 7 3 5 2 2" xfId="2628" xr:uid="{00000000-0005-0000-0000-00005B050000}"/>
    <cellStyle name="Comma 7 3 5 3" xfId="2627" xr:uid="{00000000-0005-0000-0000-00005C050000}"/>
    <cellStyle name="Comma 7 3 6" xfId="1014" xr:uid="{00000000-0005-0000-0000-00005D050000}"/>
    <cellStyle name="Comma 7 3 6 2" xfId="1015" xr:uid="{00000000-0005-0000-0000-00005E050000}"/>
    <cellStyle name="Comma 7 3 6 2 2" xfId="2630" xr:uid="{00000000-0005-0000-0000-00005F050000}"/>
    <cellStyle name="Comma 7 3 6 3" xfId="2629" xr:uid="{00000000-0005-0000-0000-000060050000}"/>
    <cellStyle name="Comma 7 3 7" xfId="1016" xr:uid="{00000000-0005-0000-0000-000061050000}"/>
    <cellStyle name="Comma 7 3 7 2" xfId="1017" xr:uid="{00000000-0005-0000-0000-000062050000}"/>
    <cellStyle name="Comma 7 3 7 2 2" xfId="2632" xr:uid="{00000000-0005-0000-0000-000063050000}"/>
    <cellStyle name="Comma 7 3 7 3" xfId="2631" xr:uid="{00000000-0005-0000-0000-000064050000}"/>
    <cellStyle name="Comma 7 3 8" xfId="1018" xr:uid="{00000000-0005-0000-0000-000065050000}"/>
    <cellStyle name="Comma 7 3 8 2" xfId="1019" xr:uid="{00000000-0005-0000-0000-000066050000}"/>
    <cellStyle name="Comma 7 3 8 2 2" xfId="2634" xr:uid="{00000000-0005-0000-0000-000067050000}"/>
    <cellStyle name="Comma 7 3 8 3" xfId="2633" xr:uid="{00000000-0005-0000-0000-000068050000}"/>
    <cellStyle name="Comma 7 3 9" xfId="1020" xr:uid="{00000000-0005-0000-0000-000069050000}"/>
    <cellStyle name="Comma 7 3 9 2" xfId="1021" xr:uid="{00000000-0005-0000-0000-00006A050000}"/>
    <cellStyle name="Comma 7 3 9 2 2" xfId="2636" xr:uid="{00000000-0005-0000-0000-00006B050000}"/>
    <cellStyle name="Comma 7 3 9 3" xfId="2635" xr:uid="{00000000-0005-0000-0000-00006C050000}"/>
    <cellStyle name="Comma 7 4" xfId="1022" xr:uid="{00000000-0005-0000-0000-00006D050000}"/>
    <cellStyle name="Comma 7 4 2" xfId="1023" xr:uid="{00000000-0005-0000-0000-00006E050000}"/>
    <cellStyle name="Comma 7 4 2 2" xfId="2638" xr:uid="{00000000-0005-0000-0000-00006F050000}"/>
    <cellStyle name="Comma 7 4 3" xfId="2637" xr:uid="{00000000-0005-0000-0000-000070050000}"/>
    <cellStyle name="Comma 7 5" xfId="1024" xr:uid="{00000000-0005-0000-0000-000071050000}"/>
    <cellStyle name="Comma 7 5 2" xfId="1025" xr:uid="{00000000-0005-0000-0000-000072050000}"/>
    <cellStyle name="Comma 7 5 2 2" xfId="2640" xr:uid="{00000000-0005-0000-0000-000073050000}"/>
    <cellStyle name="Comma 7 5 3" xfId="2639" xr:uid="{00000000-0005-0000-0000-000074050000}"/>
    <cellStyle name="Comma 7 6" xfId="1026" xr:uid="{00000000-0005-0000-0000-000075050000}"/>
    <cellStyle name="Comma 7 6 2" xfId="1027" xr:uid="{00000000-0005-0000-0000-000076050000}"/>
    <cellStyle name="Comma 7 6 2 2" xfId="2642" xr:uid="{00000000-0005-0000-0000-000077050000}"/>
    <cellStyle name="Comma 7 6 3" xfId="2641" xr:uid="{00000000-0005-0000-0000-000078050000}"/>
    <cellStyle name="Comma 7 7" xfId="1028" xr:uid="{00000000-0005-0000-0000-000079050000}"/>
    <cellStyle name="Comma 7 7 2" xfId="1029" xr:uid="{00000000-0005-0000-0000-00007A050000}"/>
    <cellStyle name="Comma 7 7 2 2" xfId="2644" xr:uid="{00000000-0005-0000-0000-00007B050000}"/>
    <cellStyle name="Comma 7 7 3" xfId="2643" xr:uid="{00000000-0005-0000-0000-00007C050000}"/>
    <cellStyle name="Comma 7 8" xfId="1030" xr:uid="{00000000-0005-0000-0000-00007D050000}"/>
    <cellStyle name="Comma 7 8 2" xfId="1031" xr:uid="{00000000-0005-0000-0000-00007E050000}"/>
    <cellStyle name="Comma 7 8 2 2" xfId="2646" xr:uid="{00000000-0005-0000-0000-00007F050000}"/>
    <cellStyle name="Comma 7 8 3" xfId="2645" xr:uid="{00000000-0005-0000-0000-000080050000}"/>
    <cellStyle name="Comma 7 9" xfId="1032" xr:uid="{00000000-0005-0000-0000-000081050000}"/>
    <cellStyle name="Comma 7 9 2" xfId="1033" xr:uid="{00000000-0005-0000-0000-000082050000}"/>
    <cellStyle name="Comma 7 9 2 2" xfId="2648" xr:uid="{00000000-0005-0000-0000-000083050000}"/>
    <cellStyle name="Comma 7 9 3" xfId="2647" xr:uid="{00000000-0005-0000-0000-000084050000}"/>
    <cellStyle name="Comma 8" xfId="1034" xr:uid="{00000000-0005-0000-0000-000085050000}"/>
    <cellStyle name="Comma 8 2" xfId="1035" xr:uid="{00000000-0005-0000-0000-000086050000}"/>
    <cellStyle name="Comma 8 2 2" xfId="1036" xr:uid="{00000000-0005-0000-0000-000087050000}"/>
    <cellStyle name="Comma 8 2 2 2" xfId="2650" xr:uid="{00000000-0005-0000-0000-000088050000}"/>
    <cellStyle name="Comma 8 2 3" xfId="2649" xr:uid="{00000000-0005-0000-0000-000089050000}"/>
    <cellStyle name="Comma 8 3" xfId="1037" xr:uid="{00000000-0005-0000-0000-00008A050000}"/>
    <cellStyle name="Comma 8 3 2" xfId="1038" xr:uid="{00000000-0005-0000-0000-00008B050000}"/>
    <cellStyle name="Comma 8 3 2 2" xfId="2652" xr:uid="{00000000-0005-0000-0000-00008C050000}"/>
    <cellStyle name="Comma 8 3 3" xfId="2651" xr:uid="{00000000-0005-0000-0000-00008D050000}"/>
    <cellStyle name="Comma 8 4" xfId="1039" xr:uid="{00000000-0005-0000-0000-00008E050000}"/>
    <cellStyle name="Comma 8 4 2" xfId="1040" xr:uid="{00000000-0005-0000-0000-00008F050000}"/>
    <cellStyle name="Comma 8 4 2 2" xfId="2654" xr:uid="{00000000-0005-0000-0000-000090050000}"/>
    <cellStyle name="Comma 8 4 3" xfId="2653" xr:uid="{00000000-0005-0000-0000-000091050000}"/>
    <cellStyle name="Comma 8 5" xfId="1041" xr:uid="{00000000-0005-0000-0000-000092050000}"/>
    <cellStyle name="Comma 8 5 2" xfId="1042" xr:uid="{00000000-0005-0000-0000-000093050000}"/>
    <cellStyle name="Comma 8 5 2 2" xfId="2656" xr:uid="{00000000-0005-0000-0000-000094050000}"/>
    <cellStyle name="Comma 8 5 3" xfId="2655" xr:uid="{00000000-0005-0000-0000-000095050000}"/>
    <cellStyle name="Comma 8 6" xfId="1043" xr:uid="{00000000-0005-0000-0000-000096050000}"/>
    <cellStyle name="Comma 8 6 2" xfId="1044" xr:uid="{00000000-0005-0000-0000-000097050000}"/>
    <cellStyle name="Comma 8 6 2 2" xfId="2658" xr:uid="{00000000-0005-0000-0000-000098050000}"/>
    <cellStyle name="Comma 8 6 3" xfId="2657" xr:uid="{00000000-0005-0000-0000-000099050000}"/>
    <cellStyle name="Comma 8 7" xfId="1045" xr:uid="{00000000-0005-0000-0000-00009A050000}"/>
    <cellStyle name="Comma 8 7 2" xfId="1046" xr:uid="{00000000-0005-0000-0000-00009B050000}"/>
    <cellStyle name="Comma 8 7 2 2" xfId="2660" xr:uid="{00000000-0005-0000-0000-00009C050000}"/>
    <cellStyle name="Comma 8 7 3" xfId="2659" xr:uid="{00000000-0005-0000-0000-00009D050000}"/>
    <cellStyle name="Comma 8 8" xfId="1047" xr:uid="{00000000-0005-0000-0000-00009E050000}"/>
    <cellStyle name="Comma 8 8 2" xfId="1048" xr:uid="{00000000-0005-0000-0000-00009F050000}"/>
    <cellStyle name="Comma 8 8 2 2" xfId="2662" xr:uid="{00000000-0005-0000-0000-0000A0050000}"/>
    <cellStyle name="Comma 8 8 3" xfId="2661" xr:uid="{00000000-0005-0000-0000-0000A1050000}"/>
    <cellStyle name="Comma 9" xfId="1049" xr:uid="{00000000-0005-0000-0000-0000A2050000}"/>
    <cellStyle name="Comma 9 10" xfId="1050" xr:uid="{00000000-0005-0000-0000-0000A3050000}"/>
    <cellStyle name="Comma 9 10 2" xfId="1051" xr:uid="{00000000-0005-0000-0000-0000A4050000}"/>
    <cellStyle name="Comma 9 10 2 2" xfId="2665" xr:uid="{00000000-0005-0000-0000-0000A5050000}"/>
    <cellStyle name="Comma 9 10 3" xfId="2664" xr:uid="{00000000-0005-0000-0000-0000A6050000}"/>
    <cellStyle name="Comma 9 11" xfId="2663" xr:uid="{00000000-0005-0000-0000-0000A7050000}"/>
    <cellStyle name="Comma 9 2" xfId="1052" xr:uid="{00000000-0005-0000-0000-0000A8050000}"/>
    <cellStyle name="Comma 9 2 2" xfId="1053" xr:uid="{00000000-0005-0000-0000-0000A9050000}"/>
    <cellStyle name="Comma 9 2 2 2" xfId="2667" xr:uid="{00000000-0005-0000-0000-0000AA050000}"/>
    <cellStyle name="Comma 9 2 3" xfId="2666" xr:uid="{00000000-0005-0000-0000-0000AB050000}"/>
    <cellStyle name="Comma 9 3" xfId="1054" xr:uid="{00000000-0005-0000-0000-0000AC050000}"/>
    <cellStyle name="Comma 9 3 2" xfId="1055" xr:uid="{00000000-0005-0000-0000-0000AD050000}"/>
    <cellStyle name="Comma 9 3 2 2" xfId="2669" xr:uid="{00000000-0005-0000-0000-0000AE050000}"/>
    <cellStyle name="Comma 9 3 3" xfId="2668" xr:uid="{00000000-0005-0000-0000-0000AF050000}"/>
    <cellStyle name="Comma 9 4" xfId="1056" xr:uid="{00000000-0005-0000-0000-0000B0050000}"/>
    <cellStyle name="Comma 9 4 2" xfId="1057" xr:uid="{00000000-0005-0000-0000-0000B1050000}"/>
    <cellStyle name="Comma 9 4 2 2" xfId="2671" xr:uid="{00000000-0005-0000-0000-0000B2050000}"/>
    <cellStyle name="Comma 9 4 3" xfId="2670" xr:uid="{00000000-0005-0000-0000-0000B3050000}"/>
    <cellStyle name="Comma 9 5" xfId="1058" xr:uid="{00000000-0005-0000-0000-0000B4050000}"/>
    <cellStyle name="Comma 9 5 2" xfId="1059" xr:uid="{00000000-0005-0000-0000-0000B5050000}"/>
    <cellStyle name="Comma 9 5 2 2" xfId="2673" xr:uid="{00000000-0005-0000-0000-0000B6050000}"/>
    <cellStyle name="Comma 9 5 3" xfId="2672" xr:uid="{00000000-0005-0000-0000-0000B7050000}"/>
    <cellStyle name="Comma 9 6" xfId="1060" xr:uid="{00000000-0005-0000-0000-0000B8050000}"/>
    <cellStyle name="Comma 9 6 2" xfId="1061" xr:uid="{00000000-0005-0000-0000-0000B9050000}"/>
    <cellStyle name="Comma 9 6 2 2" xfId="2675" xr:uid="{00000000-0005-0000-0000-0000BA050000}"/>
    <cellStyle name="Comma 9 6 3" xfId="2674" xr:uid="{00000000-0005-0000-0000-0000BB050000}"/>
    <cellStyle name="Comma 9 7" xfId="1062" xr:uid="{00000000-0005-0000-0000-0000BC050000}"/>
    <cellStyle name="Comma 9 7 2" xfId="1063" xr:uid="{00000000-0005-0000-0000-0000BD050000}"/>
    <cellStyle name="Comma 9 7 2 2" xfId="2677" xr:uid="{00000000-0005-0000-0000-0000BE050000}"/>
    <cellStyle name="Comma 9 7 3" xfId="2676" xr:uid="{00000000-0005-0000-0000-0000BF050000}"/>
    <cellStyle name="Comma 9 8" xfId="1064" xr:uid="{00000000-0005-0000-0000-0000C0050000}"/>
    <cellStyle name="Comma 9 8 2" xfId="1065" xr:uid="{00000000-0005-0000-0000-0000C1050000}"/>
    <cellStyle name="Comma 9 8 2 2" xfId="2679" xr:uid="{00000000-0005-0000-0000-0000C2050000}"/>
    <cellStyle name="Comma 9 8 3" xfId="2678" xr:uid="{00000000-0005-0000-0000-0000C3050000}"/>
    <cellStyle name="Comma 9 9" xfId="1066" xr:uid="{00000000-0005-0000-0000-0000C4050000}"/>
    <cellStyle name="Comma 9 9 2" xfId="1067" xr:uid="{00000000-0005-0000-0000-0000C5050000}"/>
    <cellStyle name="Comma 9 9 2 2" xfId="2681" xr:uid="{00000000-0005-0000-0000-0000C6050000}"/>
    <cellStyle name="Comma 9 9 3" xfId="2680" xr:uid="{00000000-0005-0000-0000-0000C7050000}"/>
    <cellStyle name="Corner heading" xfId="91" xr:uid="{00000000-0005-0000-0000-0000C8050000}"/>
    <cellStyle name="Currency 2 2" xfId="1068" xr:uid="{00000000-0005-0000-0000-0000C9050000}"/>
    <cellStyle name="CustomizationCells" xfId="1069" xr:uid="{00000000-0005-0000-0000-0000CA050000}"/>
    <cellStyle name="Data" xfId="92" xr:uid="{00000000-0005-0000-0000-0000CB050000}"/>
    <cellStyle name="Data no deci" xfId="93" xr:uid="{00000000-0005-0000-0000-0000CC050000}"/>
    <cellStyle name="Data Superscript" xfId="94" xr:uid="{00000000-0005-0000-0000-0000CD050000}"/>
    <cellStyle name="Data_1-1A-Regular" xfId="95" xr:uid="{00000000-0005-0000-0000-0000CE050000}"/>
    <cellStyle name="Euro" xfId="1070" xr:uid="{00000000-0005-0000-0000-0000CF050000}"/>
    <cellStyle name="Euro 2" xfId="1071" xr:uid="{00000000-0005-0000-0000-0000D0050000}"/>
    <cellStyle name="Euro 2 2" xfId="1072" xr:uid="{00000000-0005-0000-0000-0000D1050000}"/>
    <cellStyle name="Euro 2 2 2" xfId="1073" xr:uid="{00000000-0005-0000-0000-0000D2050000}"/>
    <cellStyle name="Euro 3" xfId="1074" xr:uid="{00000000-0005-0000-0000-0000D3050000}"/>
    <cellStyle name="Euro 4" xfId="1075" xr:uid="{00000000-0005-0000-0000-0000D4050000}"/>
    <cellStyle name="Euro 4 2" xfId="1076" xr:uid="{00000000-0005-0000-0000-0000D5050000}"/>
    <cellStyle name="Euro 4 3" xfId="1077" xr:uid="{00000000-0005-0000-0000-0000D6050000}"/>
    <cellStyle name="Euro 5" xfId="1078" xr:uid="{00000000-0005-0000-0000-0000D7050000}"/>
    <cellStyle name="Euro 5 2" xfId="1079" xr:uid="{00000000-0005-0000-0000-0000D8050000}"/>
    <cellStyle name="Euro 6" xfId="1080" xr:uid="{00000000-0005-0000-0000-0000D9050000}"/>
    <cellStyle name="Euro 6 2" xfId="1081" xr:uid="{00000000-0005-0000-0000-0000DA050000}"/>
    <cellStyle name="Euro 6 3" xfId="1082" xr:uid="{00000000-0005-0000-0000-0000DB050000}"/>
    <cellStyle name="Euro 7" xfId="1083" xr:uid="{00000000-0005-0000-0000-0000DC050000}"/>
    <cellStyle name="Explanatory Text" xfId="16" builtinId="53" customBuiltin="1"/>
    <cellStyle name="Explanatory Text 2" xfId="1084" xr:uid="{00000000-0005-0000-0000-0000DE050000}"/>
    <cellStyle name="Explanatory Text 2 10" xfId="1085" xr:uid="{00000000-0005-0000-0000-0000DF050000}"/>
    <cellStyle name="Explanatory Text 2 2" xfId="1086" xr:uid="{00000000-0005-0000-0000-0000E0050000}"/>
    <cellStyle name="Explanatory Text 2 3" xfId="1087" xr:uid="{00000000-0005-0000-0000-0000E1050000}"/>
    <cellStyle name="Explanatory Text 2 4" xfId="1088" xr:uid="{00000000-0005-0000-0000-0000E2050000}"/>
    <cellStyle name="Explanatory Text 2 5" xfId="1089" xr:uid="{00000000-0005-0000-0000-0000E3050000}"/>
    <cellStyle name="Explanatory Text 2 6" xfId="1090" xr:uid="{00000000-0005-0000-0000-0000E4050000}"/>
    <cellStyle name="Explanatory Text 2 7" xfId="1091" xr:uid="{00000000-0005-0000-0000-0000E5050000}"/>
    <cellStyle name="Explanatory Text 2 8" xfId="1092" xr:uid="{00000000-0005-0000-0000-0000E6050000}"/>
    <cellStyle name="Explanatory Text 2 9" xfId="1093" xr:uid="{00000000-0005-0000-0000-0000E7050000}"/>
    <cellStyle name="Explanatory Text 3" xfId="1094" xr:uid="{00000000-0005-0000-0000-0000E8050000}"/>
    <cellStyle name="Float" xfId="1095" xr:uid="{00000000-0005-0000-0000-0000E9050000}"/>
    <cellStyle name="Float 2" xfId="1096" xr:uid="{00000000-0005-0000-0000-0000EA050000}"/>
    <cellStyle name="Float 2 2" xfId="1097" xr:uid="{00000000-0005-0000-0000-0000EB050000}"/>
    <cellStyle name="Float 3" xfId="1098" xr:uid="{00000000-0005-0000-0000-0000EC050000}"/>
    <cellStyle name="Good" xfId="7" builtinId="26" customBuiltin="1"/>
    <cellStyle name="Good 2" xfId="1099" xr:uid="{00000000-0005-0000-0000-0000EE050000}"/>
    <cellStyle name="Good 2 10" xfId="1100" xr:uid="{00000000-0005-0000-0000-0000EF050000}"/>
    <cellStyle name="Good 2 2" xfId="1101" xr:uid="{00000000-0005-0000-0000-0000F0050000}"/>
    <cellStyle name="Good 2 3" xfId="1102" xr:uid="{00000000-0005-0000-0000-0000F1050000}"/>
    <cellStyle name="Good 2 4" xfId="1103" xr:uid="{00000000-0005-0000-0000-0000F2050000}"/>
    <cellStyle name="Good 2 5" xfId="1104" xr:uid="{00000000-0005-0000-0000-0000F3050000}"/>
    <cellStyle name="Good 2 6" xfId="1105" xr:uid="{00000000-0005-0000-0000-0000F4050000}"/>
    <cellStyle name="Good 2 7" xfId="1106" xr:uid="{00000000-0005-0000-0000-0000F5050000}"/>
    <cellStyle name="Good 2 8" xfId="1107" xr:uid="{00000000-0005-0000-0000-0000F6050000}"/>
    <cellStyle name="Good 2 9" xfId="1108" xr:uid="{00000000-0005-0000-0000-0000F7050000}"/>
    <cellStyle name="Good 3" xfId="1109" xr:uid="{00000000-0005-0000-0000-0000F8050000}"/>
    <cellStyle name="Heading 1" xfId="3" builtinId="16" customBuiltin="1"/>
    <cellStyle name="Heading 1 2" xfId="1110" xr:uid="{00000000-0005-0000-0000-0000FA050000}"/>
    <cellStyle name="Heading 1 2 10" xfId="1111" xr:uid="{00000000-0005-0000-0000-0000FB050000}"/>
    <cellStyle name="Heading 1 2 2" xfId="1112" xr:uid="{00000000-0005-0000-0000-0000FC050000}"/>
    <cellStyle name="Heading 1 2 3" xfId="1113" xr:uid="{00000000-0005-0000-0000-0000FD050000}"/>
    <cellStyle name="Heading 1 2 4" xfId="1114" xr:uid="{00000000-0005-0000-0000-0000FE050000}"/>
    <cellStyle name="Heading 1 2 5" xfId="1115" xr:uid="{00000000-0005-0000-0000-0000FF050000}"/>
    <cellStyle name="Heading 1 2 6" xfId="1116" xr:uid="{00000000-0005-0000-0000-000000060000}"/>
    <cellStyle name="Heading 1 2 7" xfId="1117" xr:uid="{00000000-0005-0000-0000-000001060000}"/>
    <cellStyle name="Heading 1 2 8" xfId="1118" xr:uid="{00000000-0005-0000-0000-000002060000}"/>
    <cellStyle name="Heading 1 2 9" xfId="1119" xr:uid="{00000000-0005-0000-0000-000003060000}"/>
    <cellStyle name="Heading 1 2_PotsLow" xfId="1120" xr:uid="{00000000-0005-0000-0000-000004060000}"/>
    <cellStyle name="Heading 1 3" xfId="1121" xr:uid="{00000000-0005-0000-0000-000005060000}"/>
    <cellStyle name="Heading 2" xfId="4" builtinId="17" customBuiltin="1"/>
    <cellStyle name="Heading 2 2" xfId="1122" xr:uid="{00000000-0005-0000-0000-000007060000}"/>
    <cellStyle name="Heading 2 2 10" xfId="1123" xr:uid="{00000000-0005-0000-0000-000008060000}"/>
    <cellStyle name="Heading 2 2 2" xfId="1124" xr:uid="{00000000-0005-0000-0000-000009060000}"/>
    <cellStyle name="Heading 2 2 3" xfId="1125" xr:uid="{00000000-0005-0000-0000-00000A060000}"/>
    <cellStyle name="Heading 2 2 4" xfId="1126" xr:uid="{00000000-0005-0000-0000-00000B060000}"/>
    <cellStyle name="Heading 2 2 5" xfId="1127" xr:uid="{00000000-0005-0000-0000-00000C060000}"/>
    <cellStyle name="Heading 2 2 6" xfId="1128" xr:uid="{00000000-0005-0000-0000-00000D060000}"/>
    <cellStyle name="Heading 2 2 7" xfId="1129" xr:uid="{00000000-0005-0000-0000-00000E060000}"/>
    <cellStyle name="Heading 2 2 8" xfId="1130" xr:uid="{00000000-0005-0000-0000-00000F060000}"/>
    <cellStyle name="Heading 2 2 9" xfId="1131" xr:uid="{00000000-0005-0000-0000-000010060000}"/>
    <cellStyle name="Heading 2 3" xfId="1132" xr:uid="{00000000-0005-0000-0000-000011060000}"/>
    <cellStyle name="Heading 3" xfId="5" builtinId="18" customBuiltin="1"/>
    <cellStyle name="Heading 3 2" xfId="1133" xr:uid="{00000000-0005-0000-0000-000013060000}"/>
    <cellStyle name="Heading 3 2 10" xfId="1134" xr:uid="{00000000-0005-0000-0000-000014060000}"/>
    <cellStyle name="Heading 3 2 2" xfId="1135" xr:uid="{00000000-0005-0000-0000-000015060000}"/>
    <cellStyle name="Heading 3 2 3" xfId="1136" xr:uid="{00000000-0005-0000-0000-000016060000}"/>
    <cellStyle name="Heading 3 2 4" xfId="1137" xr:uid="{00000000-0005-0000-0000-000017060000}"/>
    <cellStyle name="Heading 3 2 5" xfId="1138" xr:uid="{00000000-0005-0000-0000-000018060000}"/>
    <cellStyle name="Heading 3 2 6" xfId="1139" xr:uid="{00000000-0005-0000-0000-000019060000}"/>
    <cellStyle name="Heading 3 2 7" xfId="1140" xr:uid="{00000000-0005-0000-0000-00001A060000}"/>
    <cellStyle name="Heading 3 2 8" xfId="1141" xr:uid="{00000000-0005-0000-0000-00001B060000}"/>
    <cellStyle name="Heading 3 2 9" xfId="1142" xr:uid="{00000000-0005-0000-0000-00001C060000}"/>
    <cellStyle name="Heading 3 3" xfId="1143" xr:uid="{00000000-0005-0000-0000-00001D060000}"/>
    <cellStyle name="Heading 4" xfId="6" builtinId="19" customBuiltin="1"/>
    <cellStyle name="Heading 4 2" xfId="1144" xr:uid="{00000000-0005-0000-0000-00001F060000}"/>
    <cellStyle name="Heading 4 2 10" xfId="1145" xr:uid="{00000000-0005-0000-0000-000020060000}"/>
    <cellStyle name="Heading 4 2 2" xfId="1146" xr:uid="{00000000-0005-0000-0000-000021060000}"/>
    <cellStyle name="Heading 4 2 3" xfId="1147" xr:uid="{00000000-0005-0000-0000-000022060000}"/>
    <cellStyle name="Heading 4 2 4" xfId="1148" xr:uid="{00000000-0005-0000-0000-000023060000}"/>
    <cellStyle name="Heading 4 2 5" xfId="1149" xr:uid="{00000000-0005-0000-0000-000024060000}"/>
    <cellStyle name="Heading 4 2 6" xfId="1150" xr:uid="{00000000-0005-0000-0000-000025060000}"/>
    <cellStyle name="Heading 4 2 7" xfId="1151" xr:uid="{00000000-0005-0000-0000-000026060000}"/>
    <cellStyle name="Heading 4 2 8" xfId="1152" xr:uid="{00000000-0005-0000-0000-000027060000}"/>
    <cellStyle name="Heading 4 2 9" xfId="1153" xr:uid="{00000000-0005-0000-0000-000028060000}"/>
    <cellStyle name="Heading 4 3" xfId="1154" xr:uid="{00000000-0005-0000-0000-000029060000}"/>
    <cellStyle name="Headline" xfId="96" xr:uid="{00000000-0005-0000-0000-00002A060000}"/>
    <cellStyle name="Hed Side" xfId="97" xr:uid="{00000000-0005-0000-0000-00002B060000}"/>
    <cellStyle name="Hed Side bold" xfId="98" xr:uid="{00000000-0005-0000-0000-00002C060000}"/>
    <cellStyle name="Hed Side Indent" xfId="99" xr:uid="{00000000-0005-0000-0000-00002D060000}"/>
    <cellStyle name="Hed Side Regular" xfId="100" xr:uid="{00000000-0005-0000-0000-00002E060000}"/>
    <cellStyle name="Hed Side_1-1A-Regular" xfId="101" xr:uid="{00000000-0005-0000-0000-00002F060000}"/>
    <cellStyle name="Hed Top" xfId="102" xr:uid="{00000000-0005-0000-0000-000030060000}"/>
    <cellStyle name="Hed Top - SECTION" xfId="103" xr:uid="{00000000-0005-0000-0000-000031060000}"/>
    <cellStyle name="Hed Top_3-new4" xfId="104" xr:uid="{00000000-0005-0000-0000-000032060000}"/>
    <cellStyle name="Hyperlink 2" xfId="1155" xr:uid="{00000000-0005-0000-0000-000033060000}"/>
    <cellStyle name="Input" xfId="10" builtinId="20" customBuiltin="1"/>
    <cellStyle name="Input 2" xfId="1156" xr:uid="{00000000-0005-0000-0000-000035060000}"/>
    <cellStyle name="Input 2 10" xfId="1157" xr:uid="{00000000-0005-0000-0000-000036060000}"/>
    <cellStyle name="Input 2 2" xfId="1158" xr:uid="{00000000-0005-0000-0000-000037060000}"/>
    <cellStyle name="Input 2 3" xfId="1159" xr:uid="{00000000-0005-0000-0000-000038060000}"/>
    <cellStyle name="Input 2 4" xfId="1160" xr:uid="{00000000-0005-0000-0000-000039060000}"/>
    <cellStyle name="Input 2 5" xfId="1161" xr:uid="{00000000-0005-0000-0000-00003A060000}"/>
    <cellStyle name="Input 2 6" xfId="1162" xr:uid="{00000000-0005-0000-0000-00003B060000}"/>
    <cellStyle name="Input 2 7" xfId="1163" xr:uid="{00000000-0005-0000-0000-00003C060000}"/>
    <cellStyle name="Input 2 8" xfId="1164" xr:uid="{00000000-0005-0000-0000-00003D060000}"/>
    <cellStyle name="Input 2 9" xfId="1165" xr:uid="{00000000-0005-0000-0000-00003E060000}"/>
    <cellStyle name="Input 2_PotsLow" xfId="1166" xr:uid="{00000000-0005-0000-0000-00003F060000}"/>
    <cellStyle name="Input 3" xfId="1167" xr:uid="{00000000-0005-0000-0000-000040060000}"/>
    <cellStyle name="InputCells" xfId="1168" xr:uid="{00000000-0005-0000-0000-000041060000}"/>
    <cellStyle name="Linked Cell" xfId="13" builtinId="24" customBuiltin="1"/>
    <cellStyle name="Linked Cell 2" xfId="1169" xr:uid="{00000000-0005-0000-0000-000043060000}"/>
    <cellStyle name="Linked Cell 2 10" xfId="1170" xr:uid="{00000000-0005-0000-0000-000044060000}"/>
    <cellStyle name="Linked Cell 2 2" xfId="1171" xr:uid="{00000000-0005-0000-0000-000045060000}"/>
    <cellStyle name="Linked Cell 2 3" xfId="1172" xr:uid="{00000000-0005-0000-0000-000046060000}"/>
    <cellStyle name="Linked Cell 2 4" xfId="1173" xr:uid="{00000000-0005-0000-0000-000047060000}"/>
    <cellStyle name="Linked Cell 2 5" xfId="1174" xr:uid="{00000000-0005-0000-0000-000048060000}"/>
    <cellStyle name="Linked Cell 2 6" xfId="1175" xr:uid="{00000000-0005-0000-0000-000049060000}"/>
    <cellStyle name="Linked Cell 2 7" xfId="1176" xr:uid="{00000000-0005-0000-0000-00004A060000}"/>
    <cellStyle name="Linked Cell 2 8" xfId="1177" xr:uid="{00000000-0005-0000-0000-00004B060000}"/>
    <cellStyle name="Linked Cell 2 9" xfId="1178" xr:uid="{00000000-0005-0000-0000-00004C060000}"/>
    <cellStyle name="Linked Cell 2_PotsLow" xfId="1179" xr:uid="{00000000-0005-0000-0000-00004D060000}"/>
    <cellStyle name="Linked Cell 3" xfId="1180" xr:uid="{00000000-0005-0000-0000-00004E060000}"/>
    <cellStyle name="Migliaia_Oil&amp;Gas IFE ARC POLITO" xfId="1181" xr:uid="{00000000-0005-0000-0000-00004F060000}"/>
    <cellStyle name="Neutral" xfId="9" builtinId="28" customBuiltin="1"/>
    <cellStyle name="Neutral 2" xfId="44" xr:uid="{00000000-0005-0000-0000-000051060000}"/>
    <cellStyle name="Neutral 2 10" xfId="1182" xr:uid="{00000000-0005-0000-0000-000052060000}"/>
    <cellStyle name="Neutral 2 2" xfId="1183" xr:uid="{00000000-0005-0000-0000-000053060000}"/>
    <cellStyle name="Neutral 2 3" xfId="1184" xr:uid="{00000000-0005-0000-0000-000054060000}"/>
    <cellStyle name="Neutral 2 4" xfId="1185" xr:uid="{00000000-0005-0000-0000-000055060000}"/>
    <cellStyle name="Neutral 2 5" xfId="1186" xr:uid="{00000000-0005-0000-0000-000056060000}"/>
    <cellStyle name="Neutral 2 6" xfId="1187" xr:uid="{00000000-0005-0000-0000-000057060000}"/>
    <cellStyle name="Neutral 2 7" xfId="1188" xr:uid="{00000000-0005-0000-0000-000058060000}"/>
    <cellStyle name="Neutral 2 8" xfId="1189" xr:uid="{00000000-0005-0000-0000-000059060000}"/>
    <cellStyle name="Neutral 2 9" xfId="1190" xr:uid="{00000000-0005-0000-0000-00005A060000}"/>
    <cellStyle name="Neutral 3" xfId="1191" xr:uid="{00000000-0005-0000-0000-00005B060000}"/>
    <cellStyle name="Normaali_Baseline050902" xfId="152" xr:uid="{00000000-0005-0000-0000-00005C060000}"/>
    <cellStyle name="Normal" xfId="0" builtinId="0"/>
    <cellStyle name="Normal 10" xfId="47" xr:uid="{00000000-0005-0000-0000-00005E060000}"/>
    <cellStyle name="Normal 10 2" xfId="1192" xr:uid="{00000000-0005-0000-0000-00005F060000}"/>
    <cellStyle name="Normal 10 2 2 2 2 2" xfId="2694" xr:uid="{00000000-0005-0000-0000-000060060000}"/>
    <cellStyle name="Normal 10 3" xfId="1193" xr:uid="{00000000-0005-0000-0000-000061060000}"/>
    <cellStyle name="Normal 10 4" xfId="1194" xr:uid="{00000000-0005-0000-0000-000062060000}"/>
    <cellStyle name="Normal 10 5" xfId="1195" xr:uid="{00000000-0005-0000-0000-000063060000}"/>
    <cellStyle name="Normal 10 6" xfId="1196" xr:uid="{00000000-0005-0000-0000-000064060000}"/>
    <cellStyle name="Normal 10 7" xfId="1197" xr:uid="{00000000-0005-0000-0000-000065060000}"/>
    <cellStyle name="Normal 10 8" xfId="1198" xr:uid="{00000000-0005-0000-0000-000066060000}"/>
    <cellStyle name="Normal 10 9" xfId="1199" xr:uid="{00000000-0005-0000-0000-000067060000}"/>
    <cellStyle name="Normal 11" xfId="1200" xr:uid="{00000000-0005-0000-0000-000068060000}"/>
    <cellStyle name="Normal 11 2" xfId="46" xr:uid="{00000000-0005-0000-0000-000069060000}"/>
    <cellStyle name="Normal 11 2 2" xfId="52" xr:uid="{00000000-0005-0000-0000-00006A060000}"/>
    <cellStyle name="Normal 11 2 2 2" xfId="2185" xr:uid="{00000000-0005-0000-0000-00006B060000}"/>
    <cellStyle name="Normal 11 2 2 3" xfId="2695" xr:uid="{00000000-0005-0000-0000-00006C060000}"/>
    <cellStyle name="Normal 11 2 3" xfId="151" xr:uid="{00000000-0005-0000-0000-00006D060000}"/>
    <cellStyle name="Normal 11 2 3 2" xfId="2200" xr:uid="{00000000-0005-0000-0000-00006E060000}"/>
    <cellStyle name="Normal 11 2 4" xfId="2175" xr:uid="{00000000-0005-0000-0000-00006F060000}"/>
    <cellStyle name="Normal 11 2 4 2" xfId="2689" xr:uid="{00000000-0005-0000-0000-000070060000}"/>
    <cellStyle name="Normal 11 2 5" xfId="2181" xr:uid="{00000000-0005-0000-0000-000071060000}"/>
    <cellStyle name="Normal 11 3" xfId="1201" xr:uid="{00000000-0005-0000-0000-000072060000}"/>
    <cellStyle name="Normal 11 4" xfId="1202" xr:uid="{00000000-0005-0000-0000-000073060000}"/>
    <cellStyle name="Normal 11 5" xfId="1203" xr:uid="{00000000-0005-0000-0000-000074060000}"/>
    <cellStyle name="Normal 11 6" xfId="1204" xr:uid="{00000000-0005-0000-0000-000075060000}"/>
    <cellStyle name="Normal 11 7" xfId="1205" xr:uid="{00000000-0005-0000-0000-000076060000}"/>
    <cellStyle name="Normal 11 8" xfId="1206" xr:uid="{00000000-0005-0000-0000-000077060000}"/>
    <cellStyle name="Normal 12" xfId="1207" xr:uid="{00000000-0005-0000-0000-000078060000}"/>
    <cellStyle name="Normal 12 2" xfId="1208" xr:uid="{00000000-0005-0000-0000-000079060000}"/>
    <cellStyle name="Normal 12 3" xfId="1209" xr:uid="{00000000-0005-0000-0000-00007A060000}"/>
    <cellStyle name="Normal 12 4" xfId="1210" xr:uid="{00000000-0005-0000-0000-00007B060000}"/>
    <cellStyle name="Normal 12 5" xfId="1211" xr:uid="{00000000-0005-0000-0000-00007C060000}"/>
    <cellStyle name="Normal 12 6" xfId="1212" xr:uid="{00000000-0005-0000-0000-00007D060000}"/>
    <cellStyle name="Normal 12 7" xfId="1213" xr:uid="{00000000-0005-0000-0000-00007E060000}"/>
    <cellStyle name="Normal 12 8" xfId="1214" xr:uid="{00000000-0005-0000-0000-00007F060000}"/>
    <cellStyle name="Normal 13" xfId="1215" xr:uid="{00000000-0005-0000-0000-000080060000}"/>
    <cellStyle name="Normal 13 10" xfId="1216" xr:uid="{00000000-0005-0000-0000-000081060000}"/>
    <cellStyle name="Normal 13 11" xfId="1217" xr:uid="{00000000-0005-0000-0000-000082060000}"/>
    <cellStyle name="Normal 13 12" xfId="1218" xr:uid="{00000000-0005-0000-0000-000083060000}"/>
    <cellStyle name="Normal 13 13" xfId="1219" xr:uid="{00000000-0005-0000-0000-000084060000}"/>
    <cellStyle name="Normal 13 14" xfId="1220" xr:uid="{00000000-0005-0000-0000-000085060000}"/>
    <cellStyle name="Normal 13 15" xfId="1221" xr:uid="{00000000-0005-0000-0000-000086060000}"/>
    <cellStyle name="Normal 13 16" xfId="1222" xr:uid="{00000000-0005-0000-0000-000087060000}"/>
    <cellStyle name="Normal 13 17" xfId="1223" xr:uid="{00000000-0005-0000-0000-000088060000}"/>
    <cellStyle name="Normal 13 18" xfId="1224" xr:uid="{00000000-0005-0000-0000-000089060000}"/>
    <cellStyle name="Normal 13 19" xfId="1225" xr:uid="{00000000-0005-0000-0000-00008A060000}"/>
    <cellStyle name="Normal 13 2" xfId="1226" xr:uid="{00000000-0005-0000-0000-00008B060000}"/>
    <cellStyle name="Normal 13 2 2" xfId="1227" xr:uid="{00000000-0005-0000-0000-00008C060000}"/>
    <cellStyle name="Normal 13 2 3" xfId="1228" xr:uid="{00000000-0005-0000-0000-00008D060000}"/>
    <cellStyle name="Normal 13 2 4" xfId="1229" xr:uid="{00000000-0005-0000-0000-00008E060000}"/>
    <cellStyle name="Normal 13 2 5" xfId="1230" xr:uid="{00000000-0005-0000-0000-00008F060000}"/>
    <cellStyle name="Normal 13 2 6" xfId="1231" xr:uid="{00000000-0005-0000-0000-000090060000}"/>
    <cellStyle name="Normal 13 2 7" xfId="1232" xr:uid="{00000000-0005-0000-0000-000091060000}"/>
    <cellStyle name="Normal 13 2 8" xfId="1233" xr:uid="{00000000-0005-0000-0000-000092060000}"/>
    <cellStyle name="Normal 13 20" xfId="1234" xr:uid="{00000000-0005-0000-0000-000093060000}"/>
    <cellStyle name="Normal 13 21" xfId="1235" xr:uid="{00000000-0005-0000-0000-000094060000}"/>
    <cellStyle name="Normal 13 22" xfId="1236" xr:uid="{00000000-0005-0000-0000-000095060000}"/>
    <cellStyle name="Normal 13 23" xfId="1237" xr:uid="{00000000-0005-0000-0000-000096060000}"/>
    <cellStyle name="Normal 13 24" xfId="1238" xr:uid="{00000000-0005-0000-0000-000097060000}"/>
    <cellStyle name="Normal 13 25" xfId="1239" xr:uid="{00000000-0005-0000-0000-000098060000}"/>
    <cellStyle name="Normal 13 26" xfId="1240" xr:uid="{00000000-0005-0000-0000-000099060000}"/>
    <cellStyle name="Normal 13 27" xfId="1241" xr:uid="{00000000-0005-0000-0000-00009A060000}"/>
    <cellStyle name="Normal 13 28" xfId="1242" xr:uid="{00000000-0005-0000-0000-00009B060000}"/>
    <cellStyle name="Normal 13 29" xfId="1243" xr:uid="{00000000-0005-0000-0000-00009C060000}"/>
    <cellStyle name="Normal 13 3" xfId="1244" xr:uid="{00000000-0005-0000-0000-00009D060000}"/>
    <cellStyle name="Normal 13 30" xfId="1245" xr:uid="{00000000-0005-0000-0000-00009E060000}"/>
    <cellStyle name="Normal 13 31" xfId="1246" xr:uid="{00000000-0005-0000-0000-00009F060000}"/>
    <cellStyle name="Normal 13 32" xfId="1247" xr:uid="{00000000-0005-0000-0000-0000A0060000}"/>
    <cellStyle name="Normal 13 33" xfId="1248" xr:uid="{00000000-0005-0000-0000-0000A1060000}"/>
    <cellStyle name="Normal 13 34" xfId="1249" xr:uid="{00000000-0005-0000-0000-0000A2060000}"/>
    <cellStyle name="Normal 13 35" xfId="1250" xr:uid="{00000000-0005-0000-0000-0000A3060000}"/>
    <cellStyle name="Normal 13 36" xfId="1251" xr:uid="{00000000-0005-0000-0000-0000A4060000}"/>
    <cellStyle name="Normal 13 37" xfId="1252" xr:uid="{00000000-0005-0000-0000-0000A5060000}"/>
    <cellStyle name="Normal 13 38" xfId="1253" xr:uid="{00000000-0005-0000-0000-0000A6060000}"/>
    <cellStyle name="Normal 13 4" xfId="1254" xr:uid="{00000000-0005-0000-0000-0000A7060000}"/>
    <cellStyle name="Normal 13 5" xfId="1255" xr:uid="{00000000-0005-0000-0000-0000A8060000}"/>
    <cellStyle name="Normal 13 6" xfId="1256" xr:uid="{00000000-0005-0000-0000-0000A9060000}"/>
    <cellStyle name="Normal 13 7" xfId="1257" xr:uid="{00000000-0005-0000-0000-0000AA060000}"/>
    <cellStyle name="Normal 13 8" xfId="1258" xr:uid="{00000000-0005-0000-0000-0000AB060000}"/>
    <cellStyle name="Normal 13 9" xfId="1259" xr:uid="{00000000-0005-0000-0000-0000AC060000}"/>
    <cellStyle name="Normal 14" xfId="1260" xr:uid="{00000000-0005-0000-0000-0000AD060000}"/>
    <cellStyle name="Normal 14 10" xfId="1261" xr:uid="{00000000-0005-0000-0000-0000AE060000}"/>
    <cellStyle name="Normal 14 11" xfId="1262" xr:uid="{00000000-0005-0000-0000-0000AF060000}"/>
    <cellStyle name="Normal 14 12" xfId="1263" xr:uid="{00000000-0005-0000-0000-0000B0060000}"/>
    <cellStyle name="Normal 14 13" xfId="1264" xr:uid="{00000000-0005-0000-0000-0000B1060000}"/>
    <cellStyle name="Normal 14 14" xfId="1265" xr:uid="{00000000-0005-0000-0000-0000B2060000}"/>
    <cellStyle name="Normal 14 15" xfId="1266" xr:uid="{00000000-0005-0000-0000-0000B3060000}"/>
    <cellStyle name="Normal 14 2" xfId="1267" xr:uid="{00000000-0005-0000-0000-0000B4060000}"/>
    <cellStyle name="Normal 14 2 2" xfId="1268" xr:uid="{00000000-0005-0000-0000-0000B5060000}"/>
    <cellStyle name="Normal 14 2 3" xfId="1269" xr:uid="{00000000-0005-0000-0000-0000B6060000}"/>
    <cellStyle name="Normal 14 2 4" xfId="1270" xr:uid="{00000000-0005-0000-0000-0000B7060000}"/>
    <cellStyle name="Normal 14 2 5" xfId="1271" xr:uid="{00000000-0005-0000-0000-0000B8060000}"/>
    <cellStyle name="Normal 14 2 6" xfId="1272" xr:uid="{00000000-0005-0000-0000-0000B9060000}"/>
    <cellStyle name="Normal 14 2 7" xfId="1273" xr:uid="{00000000-0005-0000-0000-0000BA060000}"/>
    <cellStyle name="Normal 14 3" xfId="1274" xr:uid="{00000000-0005-0000-0000-0000BB060000}"/>
    <cellStyle name="Normal 14 4" xfId="1275" xr:uid="{00000000-0005-0000-0000-0000BC060000}"/>
    <cellStyle name="Normal 14 5" xfId="1276" xr:uid="{00000000-0005-0000-0000-0000BD060000}"/>
    <cellStyle name="Normal 14 6" xfId="1277" xr:uid="{00000000-0005-0000-0000-0000BE060000}"/>
    <cellStyle name="Normal 14 7" xfId="1278" xr:uid="{00000000-0005-0000-0000-0000BF060000}"/>
    <cellStyle name="Normal 14 8" xfId="1279" xr:uid="{00000000-0005-0000-0000-0000C0060000}"/>
    <cellStyle name="Normal 14 9" xfId="1280" xr:uid="{00000000-0005-0000-0000-0000C1060000}"/>
    <cellStyle name="Normal 15" xfId="1281" xr:uid="{00000000-0005-0000-0000-0000C2060000}"/>
    <cellStyle name="Normal 15 2" xfId="1282" xr:uid="{00000000-0005-0000-0000-0000C3060000}"/>
    <cellStyle name="Normal 15 3" xfId="1283" xr:uid="{00000000-0005-0000-0000-0000C4060000}"/>
    <cellStyle name="Normal 15 4" xfId="1284" xr:uid="{00000000-0005-0000-0000-0000C5060000}"/>
    <cellStyle name="Normal 15 5" xfId="1285" xr:uid="{00000000-0005-0000-0000-0000C6060000}"/>
    <cellStyle name="Normal 15 6" xfId="1286" xr:uid="{00000000-0005-0000-0000-0000C7060000}"/>
    <cellStyle name="Normal 16" xfId="1287" xr:uid="{00000000-0005-0000-0000-0000C8060000}"/>
    <cellStyle name="Normal 16 2" xfId="1288" xr:uid="{00000000-0005-0000-0000-0000C9060000}"/>
    <cellStyle name="Normal 16 3" xfId="1289" xr:uid="{00000000-0005-0000-0000-0000CA060000}"/>
    <cellStyle name="Normal 16 4" xfId="1290" xr:uid="{00000000-0005-0000-0000-0000CB060000}"/>
    <cellStyle name="Normal 16 5" xfId="1291" xr:uid="{00000000-0005-0000-0000-0000CC060000}"/>
    <cellStyle name="Normal 16 6" xfId="1292" xr:uid="{00000000-0005-0000-0000-0000CD060000}"/>
    <cellStyle name="Normal 17" xfId="1293" xr:uid="{00000000-0005-0000-0000-0000CE060000}"/>
    <cellStyle name="Normal 17 10" xfId="1294" xr:uid="{00000000-0005-0000-0000-0000CF060000}"/>
    <cellStyle name="Normal 17 11" xfId="1295" xr:uid="{00000000-0005-0000-0000-0000D0060000}"/>
    <cellStyle name="Normal 17 12" xfId="1296" xr:uid="{00000000-0005-0000-0000-0000D1060000}"/>
    <cellStyle name="Normal 17 13" xfId="1297" xr:uid="{00000000-0005-0000-0000-0000D2060000}"/>
    <cellStyle name="Normal 17 2" xfId="1298" xr:uid="{00000000-0005-0000-0000-0000D3060000}"/>
    <cellStyle name="Normal 17 3" xfId="1299" xr:uid="{00000000-0005-0000-0000-0000D4060000}"/>
    <cellStyle name="Normal 17 4" xfId="1300" xr:uid="{00000000-0005-0000-0000-0000D5060000}"/>
    <cellStyle name="Normal 17 5" xfId="1301" xr:uid="{00000000-0005-0000-0000-0000D6060000}"/>
    <cellStyle name="Normal 17 6" xfId="1302" xr:uid="{00000000-0005-0000-0000-0000D7060000}"/>
    <cellStyle name="Normal 17 7" xfId="1303" xr:uid="{00000000-0005-0000-0000-0000D8060000}"/>
    <cellStyle name="Normal 17 8" xfId="1304" xr:uid="{00000000-0005-0000-0000-0000D9060000}"/>
    <cellStyle name="Normal 17 9" xfId="1305" xr:uid="{00000000-0005-0000-0000-0000DA060000}"/>
    <cellStyle name="Normal 18" xfId="1306" xr:uid="{00000000-0005-0000-0000-0000DB060000}"/>
    <cellStyle name="Normal 19" xfId="1307" xr:uid="{00000000-0005-0000-0000-0000DC060000}"/>
    <cellStyle name="Normal 19 2" xfId="1308" xr:uid="{00000000-0005-0000-0000-0000DD060000}"/>
    <cellStyle name="Normal 19 3" xfId="49" xr:uid="{00000000-0005-0000-0000-0000DE060000}"/>
    <cellStyle name="Normal 2" xfId="43" xr:uid="{00000000-0005-0000-0000-0000DF060000}"/>
    <cellStyle name="Normal 2 10" xfId="1309" xr:uid="{00000000-0005-0000-0000-0000E0060000}"/>
    <cellStyle name="Normal 2 11" xfId="1310" xr:uid="{00000000-0005-0000-0000-0000E1060000}"/>
    <cellStyle name="Normal 2 12" xfId="1311" xr:uid="{00000000-0005-0000-0000-0000E2060000}"/>
    <cellStyle name="Normal 2 13" xfId="1312" xr:uid="{00000000-0005-0000-0000-0000E3060000}"/>
    <cellStyle name="Normal 2 14" xfId="1313" xr:uid="{00000000-0005-0000-0000-0000E4060000}"/>
    <cellStyle name="Normal 2 15" xfId="1314" xr:uid="{00000000-0005-0000-0000-0000E5060000}"/>
    <cellStyle name="Normal 2 16" xfId="1315" xr:uid="{00000000-0005-0000-0000-0000E6060000}"/>
    <cellStyle name="Normal 2 17" xfId="1316" xr:uid="{00000000-0005-0000-0000-0000E7060000}"/>
    <cellStyle name="Normal 2 18" xfId="1317" xr:uid="{00000000-0005-0000-0000-0000E8060000}"/>
    <cellStyle name="Normal 2 19" xfId="1318" xr:uid="{00000000-0005-0000-0000-0000E9060000}"/>
    <cellStyle name="Normal 2 2" xfId="106" xr:uid="{00000000-0005-0000-0000-0000EA060000}"/>
    <cellStyle name="Normal 2 2 10" xfId="1319" xr:uid="{00000000-0005-0000-0000-0000EB060000}"/>
    <cellStyle name="Normal 2 2 11" xfId="1320" xr:uid="{00000000-0005-0000-0000-0000EC060000}"/>
    <cellStyle name="Normal 2 2 12" xfId="1321" xr:uid="{00000000-0005-0000-0000-0000ED060000}"/>
    <cellStyle name="Normal 2 2 13" xfId="1322" xr:uid="{00000000-0005-0000-0000-0000EE060000}"/>
    <cellStyle name="Normal 2 2 14" xfId="1323" xr:uid="{00000000-0005-0000-0000-0000EF060000}"/>
    <cellStyle name="Normal 2 2 2" xfId="1324" xr:uid="{00000000-0005-0000-0000-0000F0060000}"/>
    <cellStyle name="Normal 2 2 3" xfId="1325" xr:uid="{00000000-0005-0000-0000-0000F1060000}"/>
    <cellStyle name="Normal 2 2 4" xfId="1326" xr:uid="{00000000-0005-0000-0000-0000F2060000}"/>
    <cellStyle name="Normal 2 2 5" xfId="1327" xr:uid="{00000000-0005-0000-0000-0000F3060000}"/>
    <cellStyle name="Normal 2 2 6" xfId="1328" xr:uid="{00000000-0005-0000-0000-0000F4060000}"/>
    <cellStyle name="Normal 2 2 7" xfId="1329" xr:uid="{00000000-0005-0000-0000-0000F5060000}"/>
    <cellStyle name="Normal 2 2 8" xfId="1330" xr:uid="{00000000-0005-0000-0000-0000F6060000}"/>
    <cellStyle name="Normal 2 2 9" xfId="1331" xr:uid="{00000000-0005-0000-0000-0000F7060000}"/>
    <cellStyle name="Normal 2 2_AREFOR" xfId="1332" xr:uid="{00000000-0005-0000-0000-0000F8060000}"/>
    <cellStyle name="Normal 2 20" xfId="105" xr:uid="{00000000-0005-0000-0000-0000F9060000}"/>
    <cellStyle name="Normal 2 3" xfId="155" xr:uid="{00000000-0005-0000-0000-0000FA060000}"/>
    <cellStyle name="Normal 2 3 10" xfId="1333" xr:uid="{00000000-0005-0000-0000-0000FB060000}"/>
    <cellStyle name="Normal 2 3 11" xfId="1334" xr:uid="{00000000-0005-0000-0000-0000FC060000}"/>
    <cellStyle name="Normal 2 3 12" xfId="1335" xr:uid="{00000000-0005-0000-0000-0000FD060000}"/>
    <cellStyle name="Normal 2 3 13" xfId="1336" xr:uid="{00000000-0005-0000-0000-0000FE060000}"/>
    <cellStyle name="Normal 2 3 14" xfId="1337" xr:uid="{00000000-0005-0000-0000-0000FF060000}"/>
    <cellStyle name="Normal 2 3 2" xfId="1338" xr:uid="{00000000-0005-0000-0000-000000070000}"/>
    <cellStyle name="Normal 2 3 3" xfId="1339" xr:uid="{00000000-0005-0000-0000-000001070000}"/>
    <cellStyle name="Normal 2 3 4" xfId="1340" xr:uid="{00000000-0005-0000-0000-000002070000}"/>
    <cellStyle name="Normal 2 3 5" xfId="1341" xr:uid="{00000000-0005-0000-0000-000003070000}"/>
    <cellStyle name="Normal 2 3 6" xfId="1342" xr:uid="{00000000-0005-0000-0000-000004070000}"/>
    <cellStyle name="Normal 2 3 7" xfId="1343" xr:uid="{00000000-0005-0000-0000-000005070000}"/>
    <cellStyle name="Normal 2 3 8" xfId="1344" xr:uid="{00000000-0005-0000-0000-000006070000}"/>
    <cellStyle name="Normal 2 3 9" xfId="1345" xr:uid="{00000000-0005-0000-0000-000007070000}"/>
    <cellStyle name="Normal 2 4" xfId="156" xr:uid="{00000000-0005-0000-0000-000008070000}"/>
    <cellStyle name="Normal 2 4 10" xfId="1346" xr:uid="{00000000-0005-0000-0000-000009070000}"/>
    <cellStyle name="Normal 2 4 11" xfId="1347" xr:uid="{00000000-0005-0000-0000-00000A070000}"/>
    <cellStyle name="Normal 2 4 12" xfId="1348" xr:uid="{00000000-0005-0000-0000-00000B070000}"/>
    <cellStyle name="Normal 2 4 13" xfId="1349" xr:uid="{00000000-0005-0000-0000-00000C070000}"/>
    <cellStyle name="Normal 2 4 2" xfId="1350" xr:uid="{00000000-0005-0000-0000-00000D070000}"/>
    <cellStyle name="Normal 2 4 3" xfId="1351" xr:uid="{00000000-0005-0000-0000-00000E070000}"/>
    <cellStyle name="Normal 2 4 4" xfId="1352" xr:uid="{00000000-0005-0000-0000-00000F070000}"/>
    <cellStyle name="Normal 2 4 5" xfId="1353" xr:uid="{00000000-0005-0000-0000-000010070000}"/>
    <cellStyle name="Normal 2 4 6" xfId="1354" xr:uid="{00000000-0005-0000-0000-000011070000}"/>
    <cellStyle name="Normal 2 4 7" xfId="1355" xr:uid="{00000000-0005-0000-0000-000012070000}"/>
    <cellStyle name="Normal 2 4 8" xfId="1356" xr:uid="{00000000-0005-0000-0000-000013070000}"/>
    <cellStyle name="Normal 2 4 9" xfId="1357" xr:uid="{00000000-0005-0000-0000-000014070000}"/>
    <cellStyle name="Normal 2 5" xfId="1358" xr:uid="{00000000-0005-0000-0000-000015070000}"/>
    <cellStyle name="Normal 2 6" xfId="1359" xr:uid="{00000000-0005-0000-0000-000016070000}"/>
    <cellStyle name="Normal 2 7" xfId="1360" xr:uid="{00000000-0005-0000-0000-000017070000}"/>
    <cellStyle name="Normal 2 8" xfId="1361" xr:uid="{00000000-0005-0000-0000-000018070000}"/>
    <cellStyle name="Normal 2 9" xfId="1362" xr:uid="{00000000-0005-0000-0000-000019070000}"/>
    <cellStyle name="Normal 2_AREFOR" xfId="1363" xr:uid="{00000000-0005-0000-0000-00001A070000}"/>
    <cellStyle name="Normal 20" xfId="1364" xr:uid="{00000000-0005-0000-0000-00001B070000}"/>
    <cellStyle name="Normal 21" xfId="1365" xr:uid="{00000000-0005-0000-0000-00001C070000}"/>
    <cellStyle name="Normal 22" xfId="1366" xr:uid="{00000000-0005-0000-0000-00001D070000}"/>
    <cellStyle name="Normal 22 2" xfId="1367" xr:uid="{00000000-0005-0000-0000-00001E070000}"/>
    <cellStyle name="Normal 23" xfId="157" xr:uid="{00000000-0005-0000-0000-00001F070000}"/>
    <cellStyle name="Normal 24" xfId="2174" xr:uid="{00000000-0005-0000-0000-000020070000}"/>
    <cellStyle name="Normal 24 2" xfId="2688" xr:uid="{00000000-0005-0000-0000-000021070000}"/>
    <cellStyle name="Normal 25" xfId="2179" xr:uid="{00000000-0005-0000-0000-000022070000}"/>
    <cellStyle name="Normal 26" xfId="1368" xr:uid="{00000000-0005-0000-0000-000023070000}"/>
    <cellStyle name="Normal 27" xfId="2690" xr:uid="{00000000-0005-0000-0000-000024070000}"/>
    <cellStyle name="Normal 28" xfId="2177" xr:uid="{00000000-0005-0000-0000-000025070000}"/>
    <cellStyle name="Normal 29" xfId="2692" xr:uid="{00000000-0005-0000-0000-000026070000}"/>
    <cellStyle name="Normal 3" xfId="1" xr:uid="{00000000-0005-0000-0000-000027070000}"/>
    <cellStyle name="Normal 3 10" xfId="1369" xr:uid="{00000000-0005-0000-0000-000028070000}"/>
    <cellStyle name="Normal 3 11" xfId="1370" xr:uid="{00000000-0005-0000-0000-000029070000}"/>
    <cellStyle name="Normal 3 12" xfId="1371" xr:uid="{00000000-0005-0000-0000-00002A070000}"/>
    <cellStyle name="Normal 3 13" xfId="107" xr:uid="{00000000-0005-0000-0000-00002B070000}"/>
    <cellStyle name="Normal 3 14" xfId="2182" xr:uid="{00000000-0005-0000-0000-00002C070000}"/>
    <cellStyle name="Normal 3 15" xfId="48" xr:uid="{00000000-0005-0000-0000-00002D070000}"/>
    <cellStyle name="Normal 3 16" xfId="2697" xr:uid="{00000000-0005-0000-0000-00002E070000}"/>
    <cellStyle name="Normal 3 2" xfId="1372" xr:uid="{00000000-0005-0000-0000-00002F070000}"/>
    <cellStyle name="Normal 3 2 10" xfId="1373" xr:uid="{00000000-0005-0000-0000-000030070000}"/>
    <cellStyle name="Normal 3 2 2" xfId="1374" xr:uid="{00000000-0005-0000-0000-000031070000}"/>
    <cellStyle name="Normal 3 2 3" xfId="1375" xr:uid="{00000000-0005-0000-0000-000032070000}"/>
    <cellStyle name="Normal 3 2 4" xfId="1376" xr:uid="{00000000-0005-0000-0000-000033070000}"/>
    <cellStyle name="Normal 3 2 5" xfId="1377" xr:uid="{00000000-0005-0000-0000-000034070000}"/>
    <cellStyle name="Normal 3 2 6" xfId="1378" xr:uid="{00000000-0005-0000-0000-000035070000}"/>
    <cellStyle name="Normal 3 2 7" xfId="1379" xr:uid="{00000000-0005-0000-0000-000036070000}"/>
    <cellStyle name="Normal 3 2 8" xfId="1380" xr:uid="{00000000-0005-0000-0000-000037070000}"/>
    <cellStyle name="Normal 3 2 9" xfId="1381" xr:uid="{00000000-0005-0000-0000-000038070000}"/>
    <cellStyle name="Normal 3 2 9 2" xfId="1382" xr:uid="{00000000-0005-0000-0000-000039070000}"/>
    <cellStyle name="Normal 3 2 9 3" xfId="1383" xr:uid="{00000000-0005-0000-0000-00003A070000}"/>
    <cellStyle name="Normal 3 2_AREFOR" xfId="1384" xr:uid="{00000000-0005-0000-0000-00003B070000}"/>
    <cellStyle name="Normal 3 3" xfId="1385" xr:uid="{00000000-0005-0000-0000-00003C070000}"/>
    <cellStyle name="Normal 3 3 2" xfId="1386" xr:uid="{00000000-0005-0000-0000-00003D070000}"/>
    <cellStyle name="Normal 3 3 3" xfId="1387" xr:uid="{00000000-0005-0000-0000-00003E070000}"/>
    <cellStyle name="Normal 3 3 4" xfId="1388" xr:uid="{00000000-0005-0000-0000-00003F070000}"/>
    <cellStyle name="Normal 3 3 5" xfId="1389" xr:uid="{00000000-0005-0000-0000-000040070000}"/>
    <cellStyle name="Normal 3 3 6" xfId="1390" xr:uid="{00000000-0005-0000-0000-000041070000}"/>
    <cellStyle name="Normal 3 3 7" xfId="1391" xr:uid="{00000000-0005-0000-0000-000042070000}"/>
    <cellStyle name="Normal 3 3 8" xfId="1392" xr:uid="{00000000-0005-0000-0000-000043070000}"/>
    <cellStyle name="Normal 3 3 9" xfId="1393" xr:uid="{00000000-0005-0000-0000-000044070000}"/>
    <cellStyle name="Normal 3 4" xfId="1394" xr:uid="{00000000-0005-0000-0000-000045070000}"/>
    <cellStyle name="Normal 3 4 2" xfId="1395" xr:uid="{00000000-0005-0000-0000-000046070000}"/>
    <cellStyle name="Normal 3 4 3" xfId="1396" xr:uid="{00000000-0005-0000-0000-000047070000}"/>
    <cellStyle name="Normal 3 4 4" xfId="1397" xr:uid="{00000000-0005-0000-0000-000048070000}"/>
    <cellStyle name="Normal 3 4 5" xfId="1398" xr:uid="{00000000-0005-0000-0000-000049070000}"/>
    <cellStyle name="Normal 3 4 6" xfId="1399" xr:uid="{00000000-0005-0000-0000-00004A070000}"/>
    <cellStyle name="Normal 3 4 7" xfId="1400" xr:uid="{00000000-0005-0000-0000-00004B070000}"/>
    <cellStyle name="Normal 3 4 8" xfId="1401" xr:uid="{00000000-0005-0000-0000-00004C070000}"/>
    <cellStyle name="Normal 3 5" xfId="1402" xr:uid="{00000000-0005-0000-0000-00004D070000}"/>
    <cellStyle name="Normal 3 5 2" xfId="1403" xr:uid="{00000000-0005-0000-0000-00004E070000}"/>
    <cellStyle name="Normal 3 5 3" xfId="1404" xr:uid="{00000000-0005-0000-0000-00004F070000}"/>
    <cellStyle name="Normal 3 5 4" xfId="1405" xr:uid="{00000000-0005-0000-0000-000050070000}"/>
    <cellStyle name="Normal 3 5 5" xfId="1406" xr:uid="{00000000-0005-0000-0000-000051070000}"/>
    <cellStyle name="Normal 3 5 6" xfId="1407" xr:uid="{00000000-0005-0000-0000-000052070000}"/>
    <cellStyle name="Normal 3 5 7" xfId="1408" xr:uid="{00000000-0005-0000-0000-000053070000}"/>
    <cellStyle name="Normal 3 5 8" xfId="1409" xr:uid="{00000000-0005-0000-0000-000054070000}"/>
    <cellStyle name="Normal 3 6" xfId="1410" xr:uid="{00000000-0005-0000-0000-000055070000}"/>
    <cellStyle name="Normal 3 7" xfId="1411" xr:uid="{00000000-0005-0000-0000-000056070000}"/>
    <cellStyle name="Normal 3 8" xfId="1412" xr:uid="{00000000-0005-0000-0000-000057070000}"/>
    <cellStyle name="Normal 3 9" xfId="1413" xr:uid="{00000000-0005-0000-0000-000058070000}"/>
    <cellStyle name="Normal 3_AREFOR" xfId="1414" xr:uid="{00000000-0005-0000-0000-000059070000}"/>
    <cellStyle name="Normal 30" xfId="42" xr:uid="{00000000-0005-0000-0000-00005A070000}"/>
    <cellStyle name="Normal 30 2" xfId="2696" xr:uid="{00000000-0005-0000-0000-00005B070000}"/>
    <cellStyle name="Normal 31" xfId="2176" xr:uid="{00000000-0005-0000-0000-00005C070000}"/>
    <cellStyle name="Normal 4" xfId="50" xr:uid="{00000000-0005-0000-0000-00005D070000}"/>
    <cellStyle name="Normal 4 10" xfId="1415" xr:uid="{00000000-0005-0000-0000-00005E070000}"/>
    <cellStyle name="Normal 4 11" xfId="1416" xr:uid="{00000000-0005-0000-0000-00005F070000}"/>
    <cellStyle name="Normal 4 12" xfId="1417" xr:uid="{00000000-0005-0000-0000-000060070000}"/>
    <cellStyle name="Normal 4 13" xfId="108" xr:uid="{00000000-0005-0000-0000-000061070000}"/>
    <cellStyle name="Normal 4 13 2" xfId="2196" xr:uid="{00000000-0005-0000-0000-000062070000}"/>
    <cellStyle name="Normal 4 14" xfId="2183" xr:uid="{00000000-0005-0000-0000-000063070000}"/>
    <cellStyle name="Normal 4 2" xfId="109" xr:uid="{00000000-0005-0000-0000-000064070000}"/>
    <cellStyle name="Normal 4 2 10" xfId="2197" xr:uid="{00000000-0005-0000-0000-000065070000}"/>
    <cellStyle name="Normal 4 2 2" xfId="1418" xr:uid="{00000000-0005-0000-0000-000066070000}"/>
    <cellStyle name="Normal 4 2 2 10" xfId="1419" xr:uid="{00000000-0005-0000-0000-000067070000}"/>
    <cellStyle name="Normal 4 2 2 11" xfId="1420" xr:uid="{00000000-0005-0000-0000-000068070000}"/>
    <cellStyle name="Normal 4 2 2 12" xfId="1421" xr:uid="{00000000-0005-0000-0000-000069070000}"/>
    <cellStyle name="Normal 4 2 2 13" xfId="1422" xr:uid="{00000000-0005-0000-0000-00006A070000}"/>
    <cellStyle name="Normal 4 2 2 2" xfId="1423" xr:uid="{00000000-0005-0000-0000-00006B070000}"/>
    <cellStyle name="Normal 4 2 2 2 10" xfId="1424" xr:uid="{00000000-0005-0000-0000-00006C070000}"/>
    <cellStyle name="Normal 4 2 2 2 11" xfId="1425" xr:uid="{00000000-0005-0000-0000-00006D070000}"/>
    <cellStyle name="Normal 4 2 2 2 12" xfId="1426" xr:uid="{00000000-0005-0000-0000-00006E070000}"/>
    <cellStyle name="Normal 4 2 2 2 13" xfId="1427" xr:uid="{00000000-0005-0000-0000-00006F070000}"/>
    <cellStyle name="Normal 4 2 2 2 2" xfId="1428" xr:uid="{00000000-0005-0000-0000-000070070000}"/>
    <cellStyle name="Normal 4 2 2 2 3" xfId="1429" xr:uid="{00000000-0005-0000-0000-000071070000}"/>
    <cellStyle name="Normal 4 2 2 2 4" xfId="1430" xr:uid="{00000000-0005-0000-0000-000072070000}"/>
    <cellStyle name="Normal 4 2 2 2 5" xfId="1431" xr:uid="{00000000-0005-0000-0000-000073070000}"/>
    <cellStyle name="Normal 4 2 2 2 6" xfId="1432" xr:uid="{00000000-0005-0000-0000-000074070000}"/>
    <cellStyle name="Normal 4 2 2 2 7" xfId="1433" xr:uid="{00000000-0005-0000-0000-000075070000}"/>
    <cellStyle name="Normal 4 2 2 2 8" xfId="1434" xr:uid="{00000000-0005-0000-0000-000076070000}"/>
    <cellStyle name="Normal 4 2 2 2 9" xfId="1435" xr:uid="{00000000-0005-0000-0000-000077070000}"/>
    <cellStyle name="Normal 4 2 2 3" xfId="1436" xr:uid="{00000000-0005-0000-0000-000078070000}"/>
    <cellStyle name="Normal 4 2 2 4" xfId="1437" xr:uid="{00000000-0005-0000-0000-000079070000}"/>
    <cellStyle name="Normal 4 2 2 5" xfId="1438" xr:uid="{00000000-0005-0000-0000-00007A070000}"/>
    <cellStyle name="Normal 4 2 2 6" xfId="1439" xr:uid="{00000000-0005-0000-0000-00007B070000}"/>
    <cellStyle name="Normal 4 2 2 7" xfId="1440" xr:uid="{00000000-0005-0000-0000-00007C070000}"/>
    <cellStyle name="Normal 4 2 2 8" xfId="1441" xr:uid="{00000000-0005-0000-0000-00007D070000}"/>
    <cellStyle name="Normal 4 2 2 9" xfId="1442" xr:uid="{00000000-0005-0000-0000-00007E070000}"/>
    <cellStyle name="Normal 4 2 3" xfId="1443" xr:uid="{00000000-0005-0000-0000-00007F070000}"/>
    <cellStyle name="Normal 4 2 3 4" xfId="2693" xr:uid="{00000000-0005-0000-0000-000080070000}"/>
    <cellStyle name="Normal 4 2 4" xfId="1444" xr:uid="{00000000-0005-0000-0000-000081070000}"/>
    <cellStyle name="Normal 4 2 5" xfId="1445" xr:uid="{00000000-0005-0000-0000-000082070000}"/>
    <cellStyle name="Normal 4 2 6" xfId="1446" xr:uid="{00000000-0005-0000-0000-000083070000}"/>
    <cellStyle name="Normal 4 2 7" xfId="1447" xr:uid="{00000000-0005-0000-0000-000084070000}"/>
    <cellStyle name="Normal 4 2 8" xfId="1448" xr:uid="{00000000-0005-0000-0000-000085070000}"/>
    <cellStyle name="Normal 4 2 9" xfId="1449" xr:uid="{00000000-0005-0000-0000-000086070000}"/>
    <cellStyle name="Normal 4 2_AREFOR" xfId="1450" xr:uid="{00000000-0005-0000-0000-000087070000}"/>
    <cellStyle name="Normal 4 3" xfId="110" xr:uid="{00000000-0005-0000-0000-000088070000}"/>
    <cellStyle name="Normal 4 3 2" xfId="1451" xr:uid="{00000000-0005-0000-0000-000089070000}"/>
    <cellStyle name="Normal 4 3 3" xfId="1452" xr:uid="{00000000-0005-0000-0000-00008A070000}"/>
    <cellStyle name="Normal 4 3 4" xfId="1453" xr:uid="{00000000-0005-0000-0000-00008B070000}"/>
    <cellStyle name="Normal 4 3 5" xfId="1454" xr:uid="{00000000-0005-0000-0000-00008C070000}"/>
    <cellStyle name="Normal 4 3 6" xfId="1455" xr:uid="{00000000-0005-0000-0000-00008D070000}"/>
    <cellStyle name="Normal 4 3 7" xfId="1456" xr:uid="{00000000-0005-0000-0000-00008E070000}"/>
    <cellStyle name="Normal 4 3 8" xfId="1457" xr:uid="{00000000-0005-0000-0000-00008F070000}"/>
    <cellStyle name="Normal 4 3 9" xfId="2198" xr:uid="{00000000-0005-0000-0000-000090070000}"/>
    <cellStyle name="Normal 4 3_AREFOR" xfId="1458" xr:uid="{00000000-0005-0000-0000-000091070000}"/>
    <cellStyle name="Normal 4 4" xfId="1459" xr:uid="{00000000-0005-0000-0000-000092070000}"/>
    <cellStyle name="Normal 4 4 2" xfId="1460" xr:uid="{00000000-0005-0000-0000-000093070000}"/>
    <cellStyle name="Normal 4 4 3" xfId="1461" xr:uid="{00000000-0005-0000-0000-000094070000}"/>
    <cellStyle name="Normal 4 4 4" xfId="1462" xr:uid="{00000000-0005-0000-0000-000095070000}"/>
    <cellStyle name="Normal 4 4 5" xfId="1463" xr:uid="{00000000-0005-0000-0000-000096070000}"/>
    <cellStyle name="Normal 4 4 6" xfId="1464" xr:uid="{00000000-0005-0000-0000-000097070000}"/>
    <cellStyle name="Normal 4 4 7" xfId="1465" xr:uid="{00000000-0005-0000-0000-000098070000}"/>
    <cellStyle name="Normal 4 4 8" xfId="1466" xr:uid="{00000000-0005-0000-0000-000099070000}"/>
    <cellStyle name="Normal 4 5" xfId="1467" xr:uid="{00000000-0005-0000-0000-00009A070000}"/>
    <cellStyle name="Normal 4 5 2" xfId="1468" xr:uid="{00000000-0005-0000-0000-00009B070000}"/>
    <cellStyle name="Normal 4 5 3" xfId="1469" xr:uid="{00000000-0005-0000-0000-00009C070000}"/>
    <cellStyle name="Normal 4 5 4" xfId="1470" xr:uid="{00000000-0005-0000-0000-00009D070000}"/>
    <cellStyle name="Normal 4 5 5" xfId="1471" xr:uid="{00000000-0005-0000-0000-00009E070000}"/>
    <cellStyle name="Normal 4 5 6" xfId="1472" xr:uid="{00000000-0005-0000-0000-00009F070000}"/>
    <cellStyle name="Normal 4 5 7" xfId="1473" xr:uid="{00000000-0005-0000-0000-0000A0070000}"/>
    <cellStyle name="Normal 4 5 8" xfId="1474" xr:uid="{00000000-0005-0000-0000-0000A1070000}"/>
    <cellStyle name="Normal 4 6" xfId="1475" xr:uid="{00000000-0005-0000-0000-0000A2070000}"/>
    <cellStyle name="Normal 4 7" xfId="1476" xr:uid="{00000000-0005-0000-0000-0000A3070000}"/>
    <cellStyle name="Normal 4 8" xfId="1477" xr:uid="{00000000-0005-0000-0000-0000A4070000}"/>
    <cellStyle name="Normal 4 9" xfId="1478" xr:uid="{00000000-0005-0000-0000-0000A5070000}"/>
    <cellStyle name="Normal 4_AREFOR" xfId="1479" xr:uid="{00000000-0005-0000-0000-0000A6070000}"/>
    <cellStyle name="Normal 5" xfId="51" xr:uid="{00000000-0005-0000-0000-0000A7070000}"/>
    <cellStyle name="Normal 5 10" xfId="1480" xr:uid="{00000000-0005-0000-0000-0000A8070000}"/>
    <cellStyle name="Normal 5 11" xfId="1481" xr:uid="{00000000-0005-0000-0000-0000A9070000}"/>
    <cellStyle name="Normal 5 12" xfId="1482" xr:uid="{00000000-0005-0000-0000-0000AA070000}"/>
    <cellStyle name="Normal 5 13" xfId="111" xr:uid="{00000000-0005-0000-0000-0000AB070000}"/>
    <cellStyle name="Normal 5 14" xfId="2184" xr:uid="{00000000-0005-0000-0000-0000AC070000}"/>
    <cellStyle name="Normal 5 15" xfId="2691" xr:uid="{00000000-0005-0000-0000-0000AD070000}"/>
    <cellStyle name="Normal 5 2" xfId="1483" xr:uid="{00000000-0005-0000-0000-0000AE070000}"/>
    <cellStyle name="Normal 5 2 2" xfId="1484" xr:uid="{00000000-0005-0000-0000-0000AF070000}"/>
    <cellStyle name="Normal 5 2 2 10" xfId="1485" xr:uid="{00000000-0005-0000-0000-0000B0070000}"/>
    <cellStyle name="Normal 5 2 2 11" xfId="1486" xr:uid="{00000000-0005-0000-0000-0000B1070000}"/>
    <cellStyle name="Normal 5 2 2 12" xfId="1487" xr:uid="{00000000-0005-0000-0000-0000B2070000}"/>
    <cellStyle name="Normal 5 2 2 13" xfId="1488" xr:uid="{00000000-0005-0000-0000-0000B3070000}"/>
    <cellStyle name="Normal 5 2 2 2" xfId="1489" xr:uid="{00000000-0005-0000-0000-0000B4070000}"/>
    <cellStyle name="Normal 5 2 2 2 10" xfId="1490" xr:uid="{00000000-0005-0000-0000-0000B5070000}"/>
    <cellStyle name="Normal 5 2 2 2 11" xfId="1491" xr:uid="{00000000-0005-0000-0000-0000B6070000}"/>
    <cellStyle name="Normal 5 2 2 2 12" xfId="1492" xr:uid="{00000000-0005-0000-0000-0000B7070000}"/>
    <cellStyle name="Normal 5 2 2 2 13" xfId="1493" xr:uid="{00000000-0005-0000-0000-0000B8070000}"/>
    <cellStyle name="Normal 5 2 2 2 2" xfId="1494" xr:uid="{00000000-0005-0000-0000-0000B9070000}"/>
    <cellStyle name="Normal 5 2 2 2 3" xfId="1495" xr:uid="{00000000-0005-0000-0000-0000BA070000}"/>
    <cellStyle name="Normal 5 2 2 2 4" xfId="1496" xr:uid="{00000000-0005-0000-0000-0000BB070000}"/>
    <cellStyle name="Normal 5 2 2 2 5" xfId="1497" xr:uid="{00000000-0005-0000-0000-0000BC070000}"/>
    <cellStyle name="Normal 5 2 2 2 6" xfId="1498" xr:uid="{00000000-0005-0000-0000-0000BD070000}"/>
    <cellStyle name="Normal 5 2 2 2 7" xfId="1499" xr:uid="{00000000-0005-0000-0000-0000BE070000}"/>
    <cellStyle name="Normal 5 2 2 2 8" xfId="1500" xr:uid="{00000000-0005-0000-0000-0000BF070000}"/>
    <cellStyle name="Normal 5 2 2 2 9" xfId="1501" xr:uid="{00000000-0005-0000-0000-0000C0070000}"/>
    <cellStyle name="Normal 5 2 2 3" xfId="1502" xr:uid="{00000000-0005-0000-0000-0000C1070000}"/>
    <cellStyle name="Normal 5 2 2 4" xfId="1503" xr:uid="{00000000-0005-0000-0000-0000C2070000}"/>
    <cellStyle name="Normal 5 2 2 5" xfId="1504" xr:uid="{00000000-0005-0000-0000-0000C3070000}"/>
    <cellStyle name="Normal 5 2 2 6" xfId="1505" xr:uid="{00000000-0005-0000-0000-0000C4070000}"/>
    <cellStyle name="Normal 5 2 2 7" xfId="1506" xr:uid="{00000000-0005-0000-0000-0000C5070000}"/>
    <cellStyle name="Normal 5 2 2 8" xfId="1507" xr:uid="{00000000-0005-0000-0000-0000C6070000}"/>
    <cellStyle name="Normal 5 2 2 9" xfId="1508" xr:uid="{00000000-0005-0000-0000-0000C7070000}"/>
    <cellStyle name="Normal 5 2 3" xfId="1509" xr:uid="{00000000-0005-0000-0000-0000C8070000}"/>
    <cellStyle name="Normal 5 2 4" xfId="1510" xr:uid="{00000000-0005-0000-0000-0000C9070000}"/>
    <cellStyle name="Normal 5 2 5" xfId="1511" xr:uid="{00000000-0005-0000-0000-0000CA070000}"/>
    <cellStyle name="Normal 5 2 6" xfId="1512" xr:uid="{00000000-0005-0000-0000-0000CB070000}"/>
    <cellStyle name="Normal 5 2 7" xfId="1513" xr:uid="{00000000-0005-0000-0000-0000CC070000}"/>
    <cellStyle name="Normal 5 2 8" xfId="1514" xr:uid="{00000000-0005-0000-0000-0000CD070000}"/>
    <cellStyle name="Normal 5 3" xfId="1515" xr:uid="{00000000-0005-0000-0000-0000CE070000}"/>
    <cellStyle name="Normal 5 3 2" xfId="1516" xr:uid="{00000000-0005-0000-0000-0000CF070000}"/>
    <cellStyle name="Normal 5 3 3" xfId="1517" xr:uid="{00000000-0005-0000-0000-0000D0070000}"/>
    <cellStyle name="Normal 5 3 4" xfId="1518" xr:uid="{00000000-0005-0000-0000-0000D1070000}"/>
    <cellStyle name="Normal 5 3 5" xfId="1519" xr:uid="{00000000-0005-0000-0000-0000D2070000}"/>
    <cellStyle name="Normal 5 3 6" xfId="1520" xr:uid="{00000000-0005-0000-0000-0000D3070000}"/>
    <cellStyle name="Normal 5 3 7" xfId="1521" xr:uid="{00000000-0005-0000-0000-0000D4070000}"/>
    <cellStyle name="Normal 5 3 8" xfId="1522" xr:uid="{00000000-0005-0000-0000-0000D5070000}"/>
    <cellStyle name="Normal 5 4" xfId="1523" xr:uid="{00000000-0005-0000-0000-0000D6070000}"/>
    <cellStyle name="Normal 5 4 2" xfId="1524" xr:uid="{00000000-0005-0000-0000-0000D7070000}"/>
    <cellStyle name="Normal 5 4 3" xfId="1525" xr:uid="{00000000-0005-0000-0000-0000D8070000}"/>
    <cellStyle name="Normal 5 4 4" xfId="1526" xr:uid="{00000000-0005-0000-0000-0000D9070000}"/>
    <cellStyle name="Normal 5 4 5" xfId="1527" xr:uid="{00000000-0005-0000-0000-0000DA070000}"/>
    <cellStyle name="Normal 5 4 6" xfId="1528" xr:uid="{00000000-0005-0000-0000-0000DB070000}"/>
    <cellStyle name="Normal 5 4 7" xfId="1529" xr:uid="{00000000-0005-0000-0000-0000DC070000}"/>
    <cellStyle name="Normal 5 4 8" xfId="1530" xr:uid="{00000000-0005-0000-0000-0000DD070000}"/>
    <cellStyle name="Normal 5 5" xfId="1531" xr:uid="{00000000-0005-0000-0000-0000DE070000}"/>
    <cellStyle name="Normal 5 5 2" xfId="1532" xr:uid="{00000000-0005-0000-0000-0000DF070000}"/>
    <cellStyle name="Normal 5 5 3" xfId="1533" xr:uid="{00000000-0005-0000-0000-0000E0070000}"/>
    <cellStyle name="Normal 5 5 4" xfId="1534" xr:uid="{00000000-0005-0000-0000-0000E1070000}"/>
    <cellStyle name="Normal 5 5 5" xfId="1535" xr:uid="{00000000-0005-0000-0000-0000E2070000}"/>
    <cellStyle name="Normal 5 5 6" xfId="1536" xr:uid="{00000000-0005-0000-0000-0000E3070000}"/>
    <cellStyle name="Normal 5 5 7" xfId="1537" xr:uid="{00000000-0005-0000-0000-0000E4070000}"/>
    <cellStyle name="Normal 5 5 8" xfId="1538" xr:uid="{00000000-0005-0000-0000-0000E5070000}"/>
    <cellStyle name="Normal 5 6" xfId="1539" xr:uid="{00000000-0005-0000-0000-0000E6070000}"/>
    <cellStyle name="Normal 5 7" xfId="1540" xr:uid="{00000000-0005-0000-0000-0000E7070000}"/>
    <cellStyle name="Normal 5 8" xfId="1541" xr:uid="{00000000-0005-0000-0000-0000E8070000}"/>
    <cellStyle name="Normal 5 9" xfId="1542" xr:uid="{00000000-0005-0000-0000-0000E9070000}"/>
    <cellStyle name="Normal 5_AREFOR" xfId="1543" xr:uid="{00000000-0005-0000-0000-0000EA070000}"/>
    <cellStyle name="Normal 6" xfId="112" xr:uid="{00000000-0005-0000-0000-0000EB070000}"/>
    <cellStyle name="Normal 6 10" xfId="1544" xr:uid="{00000000-0005-0000-0000-0000EC070000}"/>
    <cellStyle name="Normal 6 11" xfId="1545" xr:uid="{00000000-0005-0000-0000-0000ED070000}"/>
    <cellStyle name="Normal 6 12" xfId="1546" xr:uid="{00000000-0005-0000-0000-0000EE070000}"/>
    <cellStyle name="Normal 6 2" xfId="113" xr:uid="{00000000-0005-0000-0000-0000EF070000}"/>
    <cellStyle name="Normal 6 2 2" xfId="1547" xr:uid="{00000000-0005-0000-0000-0000F0070000}"/>
    <cellStyle name="Normal 6 2 2 10" xfId="1548" xr:uid="{00000000-0005-0000-0000-0000F1070000}"/>
    <cellStyle name="Normal 6 2 2 11" xfId="1549" xr:uid="{00000000-0005-0000-0000-0000F2070000}"/>
    <cellStyle name="Normal 6 2 2 12" xfId="1550" xr:uid="{00000000-0005-0000-0000-0000F3070000}"/>
    <cellStyle name="Normal 6 2 2 13" xfId="1551" xr:uid="{00000000-0005-0000-0000-0000F4070000}"/>
    <cellStyle name="Normal 6 2 2 2" xfId="1552" xr:uid="{00000000-0005-0000-0000-0000F5070000}"/>
    <cellStyle name="Normal 6 2 2 3" xfId="1553" xr:uid="{00000000-0005-0000-0000-0000F6070000}"/>
    <cellStyle name="Normal 6 2 2 4" xfId="1554" xr:uid="{00000000-0005-0000-0000-0000F7070000}"/>
    <cellStyle name="Normal 6 2 2 5" xfId="1555" xr:uid="{00000000-0005-0000-0000-0000F8070000}"/>
    <cellStyle name="Normal 6 2 2 6" xfId="1556" xr:uid="{00000000-0005-0000-0000-0000F9070000}"/>
    <cellStyle name="Normal 6 2 2 7" xfId="1557" xr:uid="{00000000-0005-0000-0000-0000FA070000}"/>
    <cellStyle name="Normal 6 2 2 8" xfId="1558" xr:uid="{00000000-0005-0000-0000-0000FB070000}"/>
    <cellStyle name="Normal 6 2 2 9" xfId="1559" xr:uid="{00000000-0005-0000-0000-0000FC070000}"/>
    <cellStyle name="Normal 6 2 3" xfId="1560" xr:uid="{00000000-0005-0000-0000-0000FD070000}"/>
    <cellStyle name="Normal 6 2 4" xfId="1561" xr:uid="{00000000-0005-0000-0000-0000FE070000}"/>
    <cellStyle name="Normal 6 2 5" xfId="1562" xr:uid="{00000000-0005-0000-0000-0000FF070000}"/>
    <cellStyle name="Normal 6 2 6" xfId="1563" xr:uid="{00000000-0005-0000-0000-000000080000}"/>
    <cellStyle name="Normal 6 2 7" xfId="1564" xr:uid="{00000000-0005-0000-0000-000001080000}"/>
    <cellStyle name="Normal 6 2 8" xfId="1565" xr:uid="{00000000-0005-0000-0000-000002080000}"/>
    <cellStyle name="Normal 6 3" xfId="1566" xr:uid="{00000000-0005-0000-0000-000003080000}"/>
    <cellStyle name="Normal 6 3 2" xfId="1567" xr:uid="{00000000-0005-0000-0000-000004080000}"/>
    <cellStyle name="Normal 6 3 3" xfId="1568" xr:uid="{00000000-0005-0000-0000-000005080000}"/>
    <cellStyle name="Normal 6 3 4" xfId="1569" xr:uid="{00000000-0005-0000-0000-000006080000}"/>
    <cellStyle name="Normal 6 3 5" xfId="1570" xr:uid="{00000000-0005-0000-0000-000007080000}"/>
    <cellStyle name="Normal 6 3 6" xfId="1571" xr:uid="{00000000-0005-0000-0000-000008080000}"/>
    <cellStyle name="Normal 6 3 7" xfId="1572" xr:uid="{00000000-0005-0000-0000-000009080000}"/>
    <cellStyle name="Normal 6 3 8" xfId="1573" xr:uid="{00000000-0005-0000-0000-00000A080000}"/>
    <cellStyle name="Normal 6 4" xfId="1574" xr:uid="{00000000-0005-0000-0000-00000B080000}"/>
    <cellStyle name="Normal 6 4 2" xfId="1575" xr:uid="{00000000-0005-0000-0000-00000C080000}"/>
    <cellStyle name="Normal 6 4 3" xfId="1576" xr:uid="{00000000-0005-0000-0000-00000D080000}"/>
    <cellStyle name="Normal 6 4 4" xfId="1577" xr:uid="{00000000-0005-0000-0000-00000E080000}"/>
    <cellStyle name="Normal 6 4 5" xfId="1578" xr:uid="{00000000-0005-0000-0000-00000F080000}"/>
    <cellStyle name="Normal 6 4 6" xfId="1579" xr:uid="{00000000-0005-0000-0000-000010080000}"/>
    <cellStyle name="Normal 6 4 7" xfId="1580" xr:uid="{00000000-0005-0000-0000-000011080000}"/>
    <cellStyle name="Normal 6 4 8" xfId="1581" xr:uid="{00000000-0005-0000-0000-000012080000}"/>
    <cellStyle name="Normal 6 5" xfId="1582" xr:uid="{00000000-0005-0000-0000-000013080000}"/>
    <cellStyle name="Normal 6 5 2" xfId="1583" xr:uid="{00000000-0005-0000-0000-000014080000}"/>
    <cellStyle name="Normal 6 5 3" xfId="1584" xr:uid="{00000000-0005-0000-0000-000015080000}"/>
    <cellStyle name="Normal 6 5 4" xfId="1585" xr:uid="{00000000-0005-0000-0000-000016080000}"/>
    <cellStyle name="Normal 6 5 5" xfId="1586" xr:uid="{00000000-0005-0000-0000-000017080000}"/>
    <cellStyle name="Normal 6 5 6" xfId="1587" xr:uid="{00000000-0005-0000-0000-000018080000}"/>
    <cellStyle name="Normal 6 5 7" xfId="1588" xr:uid="{00000000-0005-0000-0000-000019080000}"/>
    <cellStyle name="Normal 6 5 8" xfId="1589" xr:uid="{00000000-0005-0000-0000-00001A080000}"/>
    <cellStyle name="Normal 6 6" xfId="1590" xr:uid="{00000000-0005-0000-0000-00001B080000}"/>
    <cellStyle name="Normal 6 7" xfId="1591" xr:uid="{00000000-0005-0000-0000-00001C080000}"/>
    <cellStyle name="Normal 6 8" xfId="1592" xr:uid="{00000000-0005-0000-0000-00001D080000}"/>
    <cellStyle name="Normal 6 9" xfId="1593" xr:uid="{00000000-0005-0000-0000-00001E080000}"/>
    <cellStyle name="Normal 6_AREFOR" xfId="1594" xr:uid="{00000000-0005-0000-0000-00001F080000}"/>
    <cellStyle name="Normal 7" xfId="114" xr:uid="{00000000-0005-0000-0000-000020080000}"/>
    <cellStyle name="Normal 7 10" xfId="1595" xr:uid="{00000000-0005-0000-0000-000021080000}"/>
    <cellStyle name="Normal 7 11" xfId="1596" xr:uid="{00000000-0005-0000-0000-000022080000}"/>
    <cellStyle name="Normal 7 12" xfId="1597" xr:uid="{00000000-0005-0000-0000-000023080000}"/>
    <cellStyle name="Normal 7 13" xfId="1598" xr:uid="{00000000-0005-0000-0000-000024080000}"/>
    <cellStyle name="Normal 7 2" xfId="1599" xr:uid="{00000000-0005-0000-0000-000025080000}"/>
    <cellStyle name="Normal 7 2 2" xfId="1600" xr:uid="{00000000-0005-0000-0000-000026080000}"/>
    <cellStyle name="Normal 7 2 3" xfId="1601" xr:uid="{00000000-0005-0000-0000-000027080000}"/>
    <cellStyle name="Normal 7 2 4" xfId="1602" xr:uid="{00000000-0005-0000-0000-000028080000}"/>
    <cellStyle name="Normal 7 2 5" xfId="1603" xr:uid="{00000000-0005-0000-0000-000029080000}"/>
    <cellStyle name="Normal 7 2 6" xfId="1604" xr:uid="{00000000-0005-0000-0000-00002A080000}"/>
    <cellStyle name="Normal 7 2 7" xfId="1605" xr:uid="{00000000-0005-0000-0000-00002B080000}"/>
    <cellStyle name="Normal 7 2 8" xfId="1606" xr:uid="{00000000-0005-0000-0000-00002C080000}"/>
    <cellStyle name="Normal 7 2 9" xfId="1607" xr:uid="{00000000-0005-0000-0000-00002D080000}"/>
    <cellStyle name="Normal 7 3" xfId="1608" xr:uid="{00000000-0005-0000-0000-00002E080000}"/>
    <cellStyle name="Normal 7 3 2" xfId="1609" xr:uid="{00000000-0005-0000-0000-00002F080000}"/>
    <cellStyle name="Normal 7 3 3" xfId="1610" xr:uid="{00000000-0005-0000-0000-000030080000}"/>
    <cellStyle name="Normal 7 3 4" xfId="1611" xr:uid="{00000000-0005-0000-0000-000031080000}"/>
    <cellStyle name="Normal 7 3 5" xfId="1612" xr:uid="{00000000-0005-0000-0000-000032080000}"/>
    <cellStyle name="Normal 7 3 6" xfId="1613" xr:uid="{00000000-0005-0000-0000-000033080000}"/>
    <cellStyle name="Normal 7 3 7" xfId="1614" xr:uid="{00000000-0005-0000-0000-000034080000}"/>
    <cellStyle name="Normal 7 3 8" xfId="1615" xr:uid="{00000000-0005-0000-0000-000035080000}"/>
    <cellStyle name="Normal 7 4" xfId="1616" xr:uid="{00000000-0005-0000-0000-000036080000}"/>
    <cellStyle name="Normal 7 4 2" xfId="1617" xr:uid="{00000000-0005-0000-0000-000037080000}"/>
    <cellStyle name="Normal 7 4 3" xfId="1618" xr:uid="{00000000-0005-0000-0000-000038080000}"/>
    <cellStyle name="Normal 7 4 4" xfId="1619" xr:uid="{00000000-0005-0000-0000-000039080000}"/>
    <cellStyle name="Normal 7 4 5" xfId="1620" xr:uid="{00000000-0005-0000-0000-00003A080000}"/>
    <cellStyle name="Normal 7 4 6" xfId="1621" xr:uid="{00000000-0005-0000-0000-00003B080000}"/>
    <cellStyle name="Normal 7 4 7" xfId="1622" xr:uid="{00000000-0005-0000-0000-00003C080000}"/>
    <cellStyle name="Normal 7 4 8" xfId="1623" xr:uid="{00000000-0005-0000-0000-00003D080000}"/>
    <cellStyle name="Normal 7 5" xfId="1624" xr:uid="{00000000-0005-0000-0000-00003E080000}"/>
    <cellStyle name="Normal 7 5 2" xfId="1625" xr:uid="{00000000-0005-0000-0000-00003F080000}"/>
    <cellStyle name="Normal 7 5 3" xfId="1626" xr:uid="{00000000-0005-0000-0000-000040080000}"/>
    <cellStyle name="Normal 7 5 4" xfId="1627" xr:uid="{00000000-0005-0000-0000-000041080000}"/>
    <cellStyle name="Normal 7 5 5" xfId="1628" xr:uid="{00000000-0005-0000-0000-000042080000}"/>
    <cellStyle name="Normal 7 5 6" xfId="1629" xr:uid="{00000000-0005-0000-0000-000043080000}"/>
    <cellStyle name="Normal 7 5 7" xfId="1630" xr:uid="{00000000-0005-0000-0000-000044080000}"/>
    <cellStyle name="Normal 7 5 8" xfId="1631" xr:uid="{00000000-0005-0000-0000-000045080000}"/>
    <cellStyle name="Normal 7 6" xfId="1632" xr:uid="{00000000-0005-0000-0000-000046080000}"/>
    <cellStyle name="Normal 7 7" xfId="1633" xr:uid="{00000000-0005-0000-0000-000047080000}"/>
    <cellStyle name="Normal 7 8" xfId="1634" xr:uid="{00000000-0005-0000-0000-000048080000}"/>
    <cellStyle name="Normal 7 9" xfId="1635" xr:uid="{00000000-0005-0000-0000-000049080000}"/>
    <cellStyle name="Normal 7_AREFOR" xfId="1636" xr:uid="{00000000-0005-0000-0000-00004A080000}"/>
    <cellStyle name="Normal 8" xfId="1637" xr:uid="{00000000-0005-0000-0000-00004B080000}"/>
    <cellStyle name="Normal 8 10" xfId="1638" xr:uid="{00000000-0005-0000-0000-00004C080000}"/>
    <cellStyle name="Normal 8 11" xfId="1639" xr:uid="{00000000-0005-0000-0000-00004D080000}"/>
    <cellStyle name="Normal 8 12" xfId="1640" xr:uid="{00000000-0005-0000-0000-00004E080000}"/>
    <cellStyle name="Normal 8 13" xfId="1641" xr:uid="{00000000-0005-0000-0000-00004F080000}"/>
    <cellStyle name="Normal 8 2" xfId="1642" xr:uid="{00000000-0005-0000-0000-000050080000}"/>
    <cellStyle name="Normal 8 2 2" xfId="1643" xr:uid="{00000000-0005-0000-0000-000051080000}"/>
    <cellStyle name="Normal 8 2 3" xfId="1644" xr:uid="{00000000-0005-0000-0000-000052080000}"/>
    <cellStyle name="Normal 8 2 4" xfId="1645" xr:uid="{00000000-0005-0000-0000-000053080000}"/>
    <cellStyle name="Normal 8 2 5" xfId="1646" xr:uid="{00000000-0005-0000-0000-000054080000}"/>
    <cellStyle name="Normal 8 2 6" xfId="1647" xr:uid="{00000000-0005-0000-0000-000055080000}"/>
    <cellStyle name="Normal 8 2 7" xfId="1648" xr:uid="{00000000-0005-0000-0000-000056080000}"/>
    <cellStyle name="Normal 8 2 8" xfId="1649" xr:uid="{00000000-0005-0000-0000-000057080000}"/>
    <cellStyle name="Normal 8 2 9" xfId="1650" xr:uid="{00000000-0005-0000-0000-000058080000}"/>
    <cellStyle name="Normal 8 3" xfId="1651" xr:uid="{00000000-0005-0000-0000-000059080000}"/>
    <cellStyle name="Normal 8 3 2" xfId="1652" xr:uid="{00000000-0005-0000-0000-00005A080000}"/>
    <cellStyle name="Normal 8 3 3" xfId="1653" xr:uid="{00000000-0005-0000-0000-00005B080000}"/>
    <cellStyle name="Normal 8 3 4" xfId="1654" xr:uid="{00000000-0005-0000-0000-00005C080000}"/>
    <cellStyle name="Normal 8 3 5" xfId="1655" xr:uid="{00000000-0005-0000-0000-00005D080000}"/>
    <cellStyle name="Normal 8 3 6" xfId="1656" xr:uid="{00000000-0005-0000-0000-00005E080000}"/>
    <cellStyle name="Normal 8 3 7" xfId="1657" xr:uid="{00000000-0005-0000-0000-00005F080000}"/>
    <cellStyle name="Normal 8 3 8" xfId="1658" xr:uid="{00000000-0005-0000-0000-000060080000}"/>
    <cellStyle name="Normal 8 4" xfId="1659" xr:uid="{00000000-0005-0000-0000-000061080000}"/>
    <cellStyle name="Normal 8 4 2" xfId="1660" xr:uid="{00000000-0005-0000-0000-000062080000}"/>
    <cellStyle name="Normal 8 4 3" xfId="1661" xr:uid="{00000000-0005-0000-0000-000063080000}"/>
    <cellStyle name="Normal 8 4 4" xfId="1662" xr:uid="{00000000-0005-0000-0000-000064080000}"/>
    <cellStyle name="Normal 8 4 5" xfId="1663" xr:uid="{00000000-0005-0000-0000-000065080000}"/>
    <cellStyle name="Normal 8 4 6" xfId="1664" xr:uid="{00000000-0005-0000-0000-000066080000}"/>
    <cellStyle name="Normal 8 4 7" xfId="1665" xr:uid="{00000000-0005-0000-0000-000067080000}"/>
    <cellStyle name="Normal 8 4 8" xfId="1666" xr:uid="{00000000-0005-0000-0000-000068080000}"/>
    <cellStyle name="Normal 8 5" xfId="1667" xr:uid="{00000000-0005-0000-0000-000069080000}"/>
    <cellStyle name="Normal 8 5 2" xfId="1668" xr:uid="{00000000-0005-0000-0000-00006A080000}"/>
    <cellStyle name="Normal 8 5 3" xfId="1669" xr:uid="{00000000-0005-0000-0000-00006B080000}"/>
    <cellStyle name="Normal 8 5 4" xfId="1670" xr:uid="{00000000-0005-0000-0000-00006C080000}"/>
    <cellStyle name="Normal 8 5 5" xfId="1671" xr:uid="{00000000-0005-0000-0000-00006D080000}"/>
    <cellStyle name="Normal 8 5 6" xfId="1672" xr:uid="{00000000-0005-0000-0000-00006E080000}"/>
    <cellStyle name="Normal 8 5 7" xfId="1673" xr:uid="{00000000-0005-0000-0000-00006F080000}"/>
    <cellStyle name="Normal 8 5 8" xfId="1674" xr:uid="{00000000-0005-0000-0000-000070080000}"/>
    <cellStyle name="Normal 8 6" xfId="1675" xr:uid="{00000000-0005-0000-0000-000071080000}"/>
    <cellStyle name="Normal 8 7" xfId="1676" xr:uid="{00000000-0005-0000-0000-000072080000}"/>
    <cellStyle name="Normal 8 8" xfId="1677" xr:uid="{00000000-0005-0000-0000-000073080000}"/>
    <cellStyle name="Normal 8 9" xfId="1678" xr:uid="{00000000-0005-0000-0000-000074080000}"/>
    <cellStyle name="Normal 9" xfId="154" xr:uid="{00000000-0005-0000-0000-000075080000}"/>
    <cellStyle name="Normal 9 2" xfId="1679" xr:uid="{00000000-0005-0000-0000-000076080000}"/>
    <cellStyle name="Normal 9 3" xfId="1680" xr:uid="{00000000-0005-0000-0000-000077080000}"/>
    <cellStyle name="Normal 9 4" xfId="1681" xr:uid="{00000000-0005-0000-0000-000078080000}"/>
    <cellStyle name="Normal 9 5" xfId="1682" xr:uid="{00000000-0005-0000-0000-000079080000}"/>
    <cellStyle name="Normal 9 6" xfId="1683" xr:uid="{00000000-0005-0000-0000-00007A080000}"/>
    <cellStyle name="Normal 9 7" xfId="1684" xr:uid="{00000000-0005-0000-0000-00007B080000}"/>
    <cellStyle name="Normal 9 8" xfId="1685" xr:uid="{00000000-0005-0000-0000-00007C080000}"/>
    <cellStyle name="Normal 9 9" xfId="2202" xr:uid="{00000000-0005-0000-0000-00007D080000}"/>
    <cellStyle name="Normal 9_AREFOR" xfId="1686" xr:uid="{00000000-0005-0000-0000-00007E080000}"/>
    <cellStyle name="Normal GHG Numbers (0.00)" xfId="115" xr:uid="{00000000-0005-0000-0000-00007F080000}"/>
    <cellStyle name="Normal GHG Textfiels Bold" xfId="1687" xr:uid="{00000000-0005-0000-0000-000080080000}"/>
    <cellStyle name="Normal GHG whole table" xfId="116" xr:uid="{00000000-0005-0000-0000-000081080000}"/>
    <cellStyle name="Normal GHG-Shade" xfId="117" xr:uid="{00000000-0005-0000-0000-000082080000}"/>
    <cellStyle name="Normale_B2020" xfId="1688" xr:uid="{00000000-0005-0000-0000-000083080000}"/>
    <cellStyle name="Note 2" xfId="118" xr:uid="{00000000-0005-0000-0000-000084080000}"/>
    <cellStyle name="Note 2 10" xfId="1689" xr:uid="{00000000-0005-0000-0000-000085080000}"/>
    <cellStyle name="Note 2 11" xfId="1690" xr:uid="{00000000-0005-0000-0000-000086080000}"/>
    <cellStyle name="Note 2 12" xfId="1691" xr:uid="{00000000-0005-0000-0000-000087080000}"/>
    <cellStyle name="Note 2 13" xfId="1692" xr:uid="{00000000-0005-0000-0000-000088080000}"/>
    <cellStyle name="Note 2 14" xfId="1693" xr:uid="{00000000-0005-0000-0000-000089080000}"/>
    <cellStyle name="Note 2 15" xfId="1694" xr:uid="{00000000-0005-0000-0000-00008A080000}"/>
    <cellStyle name="Note 2 2" xfId="1695" xr:uid="{00000000-0005-0000-0000-00008B080000}"/>
    <cellStyle name="Note 2 3" xfId="1696" xr:uid="{00000000-0005-0000-0000-00008C080000}"/>
    <cellStyle name="Note 2 4" xfId="1697" xr:uid="{00000000-0005-0000-0000-00008D080000}"/>
    <cellStyle name="Note 2 5" xfId="1698" xr:uid="{00000000-0005-0000-0000-00008E080000}"/>
    <cellStyle name="Note 2 6" xfId="1699" xr:uid="{00000000-0005-0000-0000-00008F080000}"/>
    <cellStyle name="Note 2 7" xfId="1700" xr:uid="{00000000-0005-0000-0000-000090080000}"/>
    <cellStyle name="Note 2 8" xfId="1701" xr:uid="{00000000-0005-0000-0000-000091080000}"/>
    <cellStyle name="Note 2 9" xfId="1702" xr:uid="{00000000-0005-0000-0000-000092080000}"/>
    <cellStyle name="Note 2_PotsLow" xfId="1703" xr:uid="{00000000-0005-0000-0000-000093080000}"/>
    <cellStyle name="Note 3" xfId="119" xr:uid="{00000000-0005-0000-0000-000094080000}"/>
    <cellStyle name="Note 4" xfId="120" xr:uid="{00000000-0005-0000-0000-000095080000}"/>
    <cellStyle name="Note 5" xfId="1704" xr:uid="{00000000-0005-0000-0000-000096080000}"/>
    <cellStyle name="Note 6" xfId="1705" xr:uid="{00000000-0005-0000-0000-000097080000}"/>
    <cellStyle name="Note 7" xfId="1706" xr:uid="{00000000-0005-0000-0000-000098080000}"/>
    <cellStyle name="Note 8" xfId="1707" xr:uid="{00000000-0005-0000-0000-000099080000}"/>
    <cellStyle name="Note 9" xfId="2178" xr:uid="{00000000-0005-0000-0000-00009A080000}"/>
    <cellStyle name="Nuovo" xfId="1708" xr:uid="{00000000-0005-0000-0000-00009B080000}"/>
    <cellStyle name="Nuovo 2" xfId="1709" xr:uid="{00000000-0005-0000-0000-00009C080000}"/>
    <cellStyle name="Nuovo 2 2" xfId="1710" xr:uid="{00000000-0005-0000-0000-00009D080000}"/>
    <cellStyle name="Nuovo 3" xfId="1711" xr:uid="{00000000-0005-0000-0000-00009E080000}"/>
    <cellStyle name="Nuovo 4" xfId="1712" xr:uid="{00000000-0005-0000-0000-00009F080000}"/>
    <cellStyle name="Nuovo 4 2" xfId="1713" xr:uid="{00000000-0005-0000-0000-0000A0080000}"/>
    <cellStyle name="Nuovo 5" xfId="1714" xr:uid="{00000000-0005-0000-0000-0000A1080000}"/>
    <cellStyle name="Output" xfId="11" builtinId="21" customBuiltin="1"/>
    <cellStyle name="Output 2" xfId="1715" xr:uid="{00000000-0005-0000-0000-0000A3080000}"/>
    <cellStyle name="Output 2 10" xfId="1716" xr:uid="{00000000-0005-0000-0000-0000A4080000}"/>
    <cellStyle name="Output 2 2" xfId="1717" xr:uid="{00000000-0005-0000-0000-0000A5080000}"/>
    <cellStyle name="Output 2 3" xfId="1718" xr:uid="{00000000-0005-0000-0000-0000A6080000}"/>
    <cellStyle name="Output 2 4" xfId="1719" xr:uid="{00000000-0005-0000-0000-0000A7080000}"/>
    <cellStyle name="Output 2 5" xfId="1720" xr:uid="{00000000-0005-0000-0000-0000A8080000}"/>
    <cellStyle name="Output 2 6" xfId="1721" xr:uid="{00000000-0005-0000-0000-0000A9080000}"/>
    <cellStyle name="Output 2 7" xfId="1722" xr:uid="{00000000-0005-0000-0000-0000AA080000}"/>
    <cellStyle name="Output 2 8" xfId="1723" xr:uid="{00000000-0005-0000-0000-0000AB080000}"/>
    <cellStyle name="Output 2 9" xfId="1724" xr:uid="{00000000-0005-0000-0000-0000AC080000}"/>
    <cellStyle name="Output 2_PotsLow" xfId="1725" xr:uid="{00000000-0005-0000-0000-0000AD080000}"/>
    <cellStyle name="Output 3" xfId="1726" xr:uid="{00000000-0005-0000-0000-0000AE080000}"/>
    <cellStyle name="Pattern" xfId="121" xr:uid="{00000000-0005-0000-0000-0000AF080000}"/>
    <cellStyle name="Percent 10" xfId="1727" xr:uid="{00000000-0005-0000-0000-0000B0080000}"/>
    <cellStyle name="Percent 10 2" xfId="1728" xr:uid="{00000000-0005-0000-0000-0000B1080000}"/>
    <cellStyle name="Percent 10 3" xfId="1729" xr:uid="{00000000-0005-0000-0000-0000B2080000}"/>
    <cellStyle name="Percent 10 4" xfId="1730" xr:uid="{00000000-0005-0000-0000-0000B3080000}"/>
    <cellStyle name="Percent 10 5" xfId="1731" xr:uid="{00000000-0005-0000-0000-0000B4080000}"/>
    <cellStyle name="Percent 10 6" xfId="1732" xr:uid="{00000000-0005-0000-0000-0000B5080000}"/>
    <cellStyle name="Percent 10 7" xfId="1733" xr:uid="{00000000-0005-0000-0000-0000B6080000}"/>
    <cellStyle name="Percent 10 8" xfId="1734" xr:uid="{00000000-0005-0000-0000-0000B7080000}"/>
    <cellStyle name="Percent 11" xfId="1735" xr:uid="{00000000-0005-0000-0000-0000B8080000}"/>
    <cellStyle name="Percent 11 2" xfId="1736" xr:uid="{00000000-0005-0000-0000-0000B9080000}"/>
    <cellStyle name="Percent 11 3" xfId="1737" xr:uid="{00000000-0005-0000-0000-0000BA080000}"/>
    <cellStyle name="Percent 11 4" xfId="1738" xr:uid="{00000000-0005-0000-0000-0000BB080000}"/>
    <cellStyle name="Percent 11 5" xfId="1739" xr:uid="{00000000-0005-0000-0000-0000BC080000}"/>
    <cellStyle name="Percent 11 6" xfId="1740" xr:uid="{00000000-0005-0000-0000-0000BD080000}"/>
    <cellStyle name="Percent 11 7" xfId="1741" xr:uid="{00000000-0005-0000-0000-0000BE080000}"/>
    <cellStyle name="Percent 11 8" xfId="1742" xr:uid="{00000000-0005-0000-0000-0000BF080000}"/>
    <cellStyle name="Percent 12" xfId="1743" xr:uid="{00000000-0005-0000-0000-0000C0080000}"/>
    <cellStyle name="Percent 12 2" xfId="1744" xr:uid="{00000000-0005-0000-0000-0000C1080000}"/>
    <cellStyle name="Percent 12 3" xfId="1745" xr:uid="{00000000-0005-0000-0000-0000C2080000}"/>
    <cellStyle name="Percent 12 4" xfId="1746" xr:uid="{00000000-0005-0000-0000-0000C3080000}"/>
    <cellStyle name="Percent 12 5" xfId="1747" xr:uid="{00000000-0005-0000-0000-0000C4080000}"/>
    <cellStyle name="Percent 12 6" xfId="1748" xr:uid="{00000000-0005-0000-0000-0000C5080000}"/>
    <cellStyle name="Percent 12 7" xfId="1749" xr:uid="{00000000-0005-0000-0000-0000C6080000}"/>
    <cellStyle name="Percent 12 8" xfId="1750" xr:uid="{00000000-0005-0000-0000-0000C7080000}"/>
    <cellStyle name="Percent 13" xfId="1751" xr:uid="{00000000-0005-0000-0000-0000C8080000}"/>
    <cellStyle name="Percent 13 2" xfId="1752" xr:uid="{00000000-0005-0000-0000-0000C9080000}"/>
    <cellStyle name="Percent 13 3" xfId="1753" xr:uid="{00000000-0005-0000-0000-0000CA080000}"/>
    <cellStyle name="Percent 13 4" xfId="1754" xr:uid="{00000000-0005-0000-0000-0000CB080000}"/>
    <cellStyle name="Percent 13 5" xfId="1755" xr:uid="{00000000-0005-0000-0000-0000CC080000}"/>
    <cellStyle name="Percent 13 6" xfId="1756" xr:uid="{00000000-0005-0000-0000-0000CD080000}"/>
    <cellStyle name="Percent 13 7" xfId="1757" xr:uid="{00000000-0005-0000-0000-0000CE080000}"/>
    <cellStyle name="Percent 13 8" xfId="1758" xr:uid="{00000000-0005-0000-0000-0000CF080000}"/>
    <cellStyle name="Percent 14" xfId="1759" xr:uid="{00000000-0005-0000-0000-0000D0080000}"/>
    <cellStyle name="Percent 14 2" xfId="1760" xr:uid="{00000000-0005-0000-0000-0000D1080000}"/>
    <cellStyle name="Percent 14 3" xfId="1761" xr:uid="{00000000-0005-0000-0000-0000D2080000}"/>
    <cellStyle name="Percent 14 4" xfId="1762" xr:uid="{00000000-0005-0000-0000-0000D3080000}"/>
    <cellStyle name="Percent 14 5" xfId="1763" xr:uid="{00000000-0005-0000-0000-0000D4080000}"/>
    <cellStyle name="Percent 14 6" xfId="1764" xr:uid="{00000000-0005-0000-0000-0000D5080000}"/>
    <cellStyle name="Percent 14 7" xfId="1765" xr:uid="{00000000-0005-0000-0000-0000D6080000}"/>
    <cellStyle name="Percent 14 8" xfId="1766" xr:uid="{00000000-0005-0000-0000-0000D7080000}"/>
    <cellStyle name="Percent 15" xfId="1767" xr:uid="{00000000-0005-0000-0000-0000D8080000}"/>
    <cellStyle name="Percent 15 10" xfId="1768" xr:uid="{00000000-0005-0000-0000-0000D9080000}"/>
    <cellStyle name="Percent 15 11" xfId="1769" xr:uid="{00000000-0005-0000-0000-0000DA080000}"/>
    <cellStyle name="Percent 15 12" xfId="1770" xr:uid="{00000000-0005-0000-0000-0000DB080000}"/>
    <cellStyle name="Percent 15 13" xfId="1771" xr:uid="{00000000-0005-0000-0000-0000DC080000}"/>
    <cellStyle name="Percent 15 14" xfId="1772" xr:uid="{00000000-0005-0000-0000-0000DD080000}"/>
    <cellStyle name="Percent 15 2" xfId="1773" xr:uid="{00000000-0005-0000-0000-0000DE080000}"/>
    <cellStyle name="Percent 15 2 2" xfId="1774" xr:uid="{00000000-0005-0000-0000-0000DF080000}"/>
    <cellStyle name="Percent 15 2 3" xfId="1775" xr:uid="{00000000-0005-0000-0000-0000E0080000}"/>
    <cellStyle name="Percent 15 2 4" xfId="1776" xr:uid="{00000000-0005-0000-0000-0000E1080000}"/>
    <cellStyle name="Percent 15 2 5" xfId="1777" xr:uid="{00000000-0005-0000-0000-0000E2080000}"/>
    <cellStyle name="Percent 15 2 6" xfId="1778" xr:uid="{00000000-0005-0000-0000-0000E3080000}"/>
    <cellStyle name="Percent 15 2 7" xfId="1779" xr:uid="{00000000-0005-0000-0000-0000E4080000}"/>
    <cellStyle name="Percent 15 3" xfId="1780" xr:uid="{00000000-0005-0000-0000-0000E5080000}"/>
    <cellStyle name="Percent 15 4" xfId="1781" xr:uid="{00000000-0005-0000-0000-0000E6080000}"/>
    <cellStyle name="Percent 15 5" xfId="1782" xr:uid="{00000000-0005-0000-0000-0000E7080000}"/>
    <cellStyle name="Percent 15 6" xfId="1783" xr:uid="{00000000-0005-0000-0000-0000E8080000}"/>
    <cellStyle name="Percent 15 7" xfId="1784" xr:uid="{00000000-0005-0000-0000-0000E9080000}"/>
    <cellStyle name="Percent 15 8" xfId="1785" xr:uid="{00000000-0005-0000-0000-0000EA080000}"/>
    <cellStyle name="Percent 15 9" xfId="1786" xr:uid="{00000000-0005-0000-0000-0000EB080000}"/>
    <cellStyle name="Percent 16" xfId="1787" xr:uid="{00000000-0005-0000-0000-0000EC080000}"/>
    <cellStyle name="Percent 16 10" xfId="1788" xr:uid="{00000000-0005-0000-0000-0000ED080000}"/>
    <cellStyle name="Percent 16 10 2" xfId="1789" xr:uid="{00000000-0005-0000-0000-0000EE080000}"/>
    <cellStyle name="Percent 16 2" xfId="1790" xr:uid="{00000000-0005-0000-0000-0000EF080000}"/>
    <cellStyle name="Percent 16 3" xfId="1791" xr:uid="{00000000-0005-0000-0000-0000F0080000}"/>
    <cellStyle name="Percent 16 3 10" xfId="1792" xr:uid="{00000000-0005-0000-0000-0000F1080000}"/>
    <cellStyle name="Percent 16 3 11" xfId="1793" xr:uid="{00000000-0005-0000-0000-0000F2080000}"/>
    <cellStyle name="Percent 16 3 12" xfId="1794" xr:uid="{00000000-0005-0000-0000-0000F3080000}"/>
    <cellStyle name="Percent 16 3 13" xfId="1795" xr:uid="{00000000-0005-0000-0000-0000F4080000}"/>
    <cellStyle name="Percent 16 3 14" xfId="1796" xr:uid="{00000000-0005-0000-0000-0000F5080000}"/>
    <cellStyle name="Percent 16 3 15" xfId="1797" xr:uid="{00000000-0005-0000-0000-0000F6080000}"/>
    <cellStyle name="Percent 16 3 16" xfId="1798" xr:uid="{00000000-0005-0000-0000-0000F7080000}"/>
    <cellStyle name="Percent 16 3 17" xfId="1799" xr:uid="{00000000-0005-0000-0000-0000F8080000}"/>
    <cellStyle name="Percent 16 3 2" xfId="1800" xr:uid="{00000000-0005-0000-0000-0000F9080000}"/>
    <cellStyle name="Percent 16 3 3" xfId="1801" xr:uid="{00000000-0005-0000-0000-0000FA080000}"/>
    <cellStyle name="Percent 16 3 4" xfId="1802" xr:uid="{00000000-0005-0000-0000-0000FB080000}"/>
    <cellStyle name="Percent 16 3 5" xfId="1803" xr:uid="{00000000-0005-0000-0000-0000FC080000}"/>
    <cellStyle name="Percent 16 3 6" xfId="1804" xr:uid="{00000000-0005-0000-0000-0000FD080000}"/>
    <cellStyle name="Percent 16 3 7" xfId="1805" xr:uid="{00000000-0005-0000-0000-0000FE080000}"/>
    <cellStyle name="Percent 16 3 8" xfId="1806" xr:uid="{00000000-0005-0000-0000-0000FF080000}"/>
    <cellStyle name="Percent 16 3 9" xfId="1807" xr:uid="{00000000-0005-0000-0000-000000090000}"/>
    <cellStyle name="Percent 16 4" xfId="1808" xr:uid="{00000000-0005-0000-0000-000001090000}"/>
    <cellStyle name="Percent 16 4 10" xfId="1809" xr:uid="{00000000-0005-0000-0000-000002090000}"/>
    <cellStyle name="Percent 16 4 11" xfId="1810" xr:uid="{00000000-0005-0000-0000-000003090000}"/>
    <cellStyle name="Percent 16 4 12" xfId="1811" xr:uid="{00000000-0005-0000-0000-000004090000}"/>
    <cellStyle name="Percent 16 4 13" xfId="1812" xr:uid="{00000000-0005-0000-0000-000005090000}"/>
    <cellStyle name="Percent 16 4 14" xfId="1813" xr:uid="{00000000-0005-0000-0000-000006090000}"/>
    <cellStyle name="Percent 16 4 15" xfId="1814" xr:uid="{00000000-0005-0000-0000-000007090000}"/>
    <cellStyle name="Percent 16 4 16" xfId="1815" xr:uid="{00000000-0005-0000-0000-000008090000}"/>
    <cellStyle name="Percent 16 4 17" xfId="1816" xr:uid="{00000000-0005-0000-0000-000009090000}"/>
    <cellStyle name="Percent 16 4 2" xfId="1817" xr:uid="{00000000-0005-0000-0000-00000A090000}"/>
    <cellStyle name="Percent 16 4 3" xfId="1818" xr:uid="{00000000-0005-0000-0000-00000B090000}"/>
    <cellStyle name="Percent 16 4 4" xfId="1819" xr:uid="{00000000-0005-0000-0000-00000C090000}"/>
    <cellStyle name="Percent 16 4 5" xfId="1820" xr:uid="{00000000-0005-0000-0000-00000D090000}"/>
    <cellStyle name="Percent 16 4 6" xfId="1821" xr:uid="{00000000-0005-0000-0000-00000E090000}"/>
    <cellStyle name="Percent 16 4 7" xfId="1822" xr:uid="{00000000-0005-0000-0000-00000F090000}"/>
    <cellStyle name="Percent 16 4 8" xfId="1823" xr:uid="{00000000-0005-0000-0000-000010090000}"/>
    <cellStyle name="Percent 16 4 9" xfId="1824" xr:uid="{00000000-0005-0000-0000-000011090000}"/>
    <cellStyle name="Percent 16 5" xfId="1825" xr:uid="{00000000-0005-0000-0000-000012090000}"/>
    <cellStyle name="Percent 16 5 10" xfId="1826" xr:uid="{00000000-0005-0000-0000-000013090000}"/>
    <cellStyle name="Percent 16 5 11" xfId="1827" xr:uid="{00000000-0005-0000-0000-000014090000}"/>
    <cellStyle name="Percent 16 5 12" xfId="1828" xr:uid="{00000000-0005-0000-0000-000015090000}"/>
    <cellStyle name="Percent 16 5 13" xfId="1829" xr:uid="{00000000-0005-0000-0000-000016090000}"/>
    <cellStyle name="Percent 16 5 14" xfId="1830" xr:uid="{00000000-0005-0000-0000-000017090000}"/>
    <cellStyle name="Percent 16 5 15" xfId="1831" xr:uid="{00000000-0005-0000-0000-000018090000}"/>
    <cellStyle name="Percent 16 5 16" xfId="1832" xr:uid="{00000000-0005-0000-0000-000019090000}"/>
    <cellStyle name="Percent 16 5 17" xfId="1833" xr:uid="{00000000-0005-0000-0000-00001A090000}"/>
    <cellStyle name="Percent 16 5 2" xfId="1834" xr:uid="{00000000-0005-0000-0000-00001B090000}"/>
    <cellStyle name="Percent 16 5 3" xfId="1835" xr:uid="{00000000-0005-0000-0000-00001C090000}"/>
    <cellStyle name="Percent 16 5 4" xfId="1836" xr:uid="{00000000-0005-0000-0000-00001D090000}"/>
    <cellStyle name="Percent 16 5 5" xfId="1837" xr:uid="{00000000-0005-0000-0000-00001E090000}"/>
    <cellStyle name="Percent 16 5 6" xfId="1838" xr:uid="{00000000-0005-0000-0000-00001F090000}"/>
    <cellStyle name="Percent 16 5 7" xfId="1839" xr:uid="{00000000-0005-0000-0000-000020090000}"/>
    <cellStyle name="Percent 16 5 8" xfId="1840" xr:uid="{00000000-0005-0000-0000-000021090000}"/>
    <cellStyle name="Percent 16 5 9" xfId="1841" xr:uid="{00000000-0005-0000-0000-000022090000}"/>
    <cellStyle name="Percent 16 6" xfId="1842" xr:uid="{00000000-0005-0000-0000-000023090000}"/>
    <cellStyle name="Percent 16 6 10" xfId="1843" xr:uid="{00000000-0005-0000-0000-000024090000}"/>
    <cellStyle name="Percent 16 6 11" xfId="1844" xr:uid="{00000000-0005-0000-0000-000025090000}"/>
    <cellStyle name="Percent 16 6 12" xfId="1845" xr:uid="{00000000-0005-0000-0000-000026090000}"/>
    <cellStyle name="Percent 16 6 13" xfId="1846" xr:uid="{00000000-0005-0000-0000-000027090000}"/>
    <cellStyle name="Percent 16 6 14" xfId="1847" xr:uid="{00000000-0005-0000-0000-000028090000}"/>
    <cellStyle name="Percent 16 6 15" xfId="1848" xr:uid="{00000000-0005-0000-0000-000029090000}"/>
    <cellStyle name="Percent 16 6 16" xfId="1849" xr:uid="{00000000-0005-0000-0000-00002A090000}"/>
    <cellStyle name="Percent 16 6 17" xfId="1850" xr:uid="{00000000-0005-0000-0000-00002B090000}"/>
    <cellStyle name="Percent 16 6 2" xfId="1851" xr:uid="{00000000-0005-0000-0000-00002C090000}"/>
    <cellStyle name="Percent 16 6 3" xfId="1852" xr:uid="{00000000-0005-0000-0000-00002D090000}"/>
    <cellStyle name="Percent 16 6 4" xfId="1853" xr:uid="{00000000-0005-0000-0000-00002E090000}"/>
    <cellStyle name="Percent 16 6 5" xfId="1854" xr:uid="{00000000-0005-0000-0000-00002F090000}"/>
    <cellStyle name="Percent 16 6 6" xfId="1855" xr:uid="{00000000-0005-0000-0000-000030090000}"/>
    <cellStyle name="Percent 16 6 7" xfId="1856" xr:uid="{00000000-0005-0000-0000-000031090000}"/>
    <cellStyle name="Percent 16 6 8" xfId="1857" xr:uid="{00000000-0005-0000-0000-000032090000}"/>
    <cellStyle name="Percent 16 6 9" xfId="1858" xr:uid="{00000000-0005-0000-0000-000033090000}"/>
    <cellStyle name="Percent 16 7" xfId="1859" xr:uid="{00000000-0005-0000-0000-000034090000}"/>
    <cellStyle name="Percent 16 7 10" xfId="1860" xr:uid="{00000000-0005-0000-0000-000035090000}"/>
    <cellStyle name="Percent 16 7 11" xfId="1861" xr:uid="{00000000-0005-0000-0000-000036090000}"/>
    <cellStyle name="Percent 16 7 12" xfId="1862" xr:uid="{00000000-0005-0000-0000-000037090000}"/>
    <cellStyle name="Percent 16 7 13" xfId="1863" xr:uid="{00000000-0005-0000-0000-000038090000}"/>
    <cellStyle name="Percent 16 7 14" xfId="1864" xr:uid="{00000000-0005-0000-0000-000039090000}"/>
    <cellStyle name="Percent 16 7 15" xfId="1865" xr:uid="{00000000-0005-0000-0000-00003A090000}"/>
    <cellStyle name="Percent 16 7 16" xfId="1866" xr:uid="{00000000-0005-0000-0000-00003B090000}"/>
    <cellStyle name="Percent 16 7 17" xfId="1867" xr:uid="{00000000-0005-0000-0000-00003C090000}"/>
    <cellStyle name="Percent 16 7 2" xfId="1868" xr:uid="{00000000-0005-0000-0000-00003D090000}"/>
    <cellStyle name="Percent 16 7 3" xfId="1869" xr:uid="{00000000-0005-0000-0000-00003E090000}"/>
    <cellStyle name="Percent 16 7 4" xfId="1870" xr:uid="{00000000-0005-0000-0000-00003F090000}"/>
    <cellStyle name="Percent 16 7 5" xfId="1871" xr:uid="{00000000-0005-0000-0000-000040090000}"/>
    <cellStyle name="Percent 16 7 6" xfId="1872" xr:uid="{00000000-0005-0000-0000-000041090000}"/>
    <cellStyle name="Percent 16 7 7" xfId="1873" xr:uid="{00000000-0005-0000-0000-000042090000}"/>
    <cellStyle name="Percent 16 7 8" xfId="1874" xr:uid="{00000000-0005-0000-0000-000043090000}"/>
    <cellStyle name="Percent 16 7 9" xfId="1875" xr:uid="{00000000-0005-0000-0000-000044090000}"/>
    <cellStyle name="Percent 16 8" xfId="1876" xr:uid="{00000000-0005-0000-0000-000045090000}"/>
    <cellStyle name="Percent 16 8 10" xfId="1877" xr:uid="{00000000-0005-0000-0000-000046090000}"/>
    <cellStyle name="Percent 16 8 11" xfId="1878" xr:uid="{00000000-0005-0000-0000-000047090000}"/>
    <cellStyle name="Percent 16 8 12" xfId="1879" xr:uid="{00000000-0005-0000-0000-000048090000}"/>
    <cellStyle name="Percent 16 8 13" xfId="1880" xr:uid="{00000000-0005-0000-0000-000049090000}"/>
    <cellStyle name="Percent 16 8 14" xfId="1881" xr:uid="{00000000-0005-0000-0000-00004A090000}"/>
    <cellStyle name="Percent 16 8 15" xfId="1882" xr:uid="{00000000-0005-0000-0000-00004B090000}"/>
    <cellStyle name="Percent 16 8 16" xfId="1883" xr:uid="{00000000-0005-0000-0000-00004C090000}"/>
    <cellStyle name="Percent 16 8 17" xfId="1884" xr:uid="{00000000-0005-0000-0000-00004D090000}"/>
    <cellStyle name="Percent 16 8 2" xfId="1885" xr:uid="{00000000-0005-0000-0000-00004E090000}"/>
    <cellStyle name="Percent 16 8 3" xfId="1886" xr:uid="{00000000-0005-0000-0000-00004F090000}"/>
    <cellStyle name="Percent 16 8 4" xfId="1887" xr:uid="{00000000-0005-0000-0000-000050090000}"/>
    <cellStyle name="Percent 16 8 5" xfId="1888" xr:uid="{00000000-0005-0000-0000-000051090000}"/>
    <cellStyle name="Percent 16 8 6" xfId="1889" xr:uid="{00000000-0005-0000-0000-000052090000}"/>
    <cellStyle name="Percent 16 8 7" xfId="1890" xr:uid="{00000000-0005-0000-0000-000053090000}"/>
    <cellStyle name="Percent 16 8 8" xfId="1891" xr:uid="{00000000-0005-0000-0000-000054090000}"/>
    <cellStyle name="Percent 16 8 9" xfId="1892" xr:uid="{00000000-0005-0000-0000-000055090000}"/>
    <cellStyle name="Percent 16 9" xfId="1893" xr:uid="{00000000-0005-0000-0000-000056090000}"/>
    <cellStyle name="Percent 16 9 10" xfId="1894" xr:uid="{00000000-0005-0000-0000-000057090000}"/>
    <cellStyle name="Percent 16 9 11" xfId="1895" xr:uid="{00000000-0005-0000-0000-000058090000}"/>
    <cellStyle name="Percent 16 9 12" xfId="1896" xr:uid="{00000000-0005-0000-0000-000059090000}"/>
    <cellStyle name="Percent 16 9 13" xfId="1897" xr:uid="{00000000-0005-0000-0000-00005A090000}"/>
    <cellStyle name="Percent 16 9 14" xfId="1898" xr:uid="{00000000-0005-0000-0000-00005B090000}"/>
    <cellStyle name="Percent 16 9 15" xfId="1899" xr:uid="{00000000-0005-0000-0000-00005C090000}"/>
    <cellStyle name="Percent 16 9 16" xfId="1900" xr:uid="{00000000-0005-0000-0000-00005D090000}"/>
    <cellStyle name="Percent 16 9 17" xfId="1901" xr:uid="{00000000-0005-0000-0000-00005E090000}"/>
    <cellStyle name="Percent 16 9 2" xfId="1902" xr:uid="{00000000-0005-0000-0000-00005F090000}"/>
    <cellStyle name="Percent 16 9 3" xfId="1903" xr:uid="{00000000-0005-0000-0000-000060090000}"/>
    <cellStyle name="Percent 16 9 4" xfId="1904" xr:uid="{00000000-0005-0000-0000-000061090000}"/>
    <cellStyle name="Percent 16 9 5" xfId="1905" xr:uid="{00000000-0005-0000-0000-000062090000}"/>
    <cellStyle name="Percent 16 9 6" xfId="1906" xr:uid="{00000000-0005-0000-0000-000063090000}"/>
    <cellStyle name="Percent 16 9 7" xfId="1907" xr:uid="{00000000-0005-0000-0000-000064090000}"/>
    <cellStyle name="Percent 16 9 8" xfId="1908" xr:uid="{00000000-0005-0000-0000-000065090000}"/>
    <cellStyle name="Percent 16 9 9" xfId="1909" xr:uid="{00000000-0005-0000-0000-000066090000}"/>
    <cellStyle name="Percent 17" xfId="1910" xr:uid="{00000000-0005-0000-0000-000067090000}"/>
    <cellStyle name="Percent 2" xfId="122" xr:uid="{00000000-0005-0000-0000-000068090000}"/>
    <cellStyle name="Percent 2 10" xfId="1911" xr:uid="{00000000-0005-0000-0000-000069090000}"/>
    <cellStyle name="Percent 2 10 2" xfId="1912" xr:uid="{00000000-0005-0000-0000-00006A090000}"/>
    <cellStyle name="Percent 2 10 3" xfId="1913" xr:uid="{00000000-0005-0000-0000-00006B090000}"/>
    <cellStyle name="Percent 2 10 4" xfId="1914" xr:uid="{00000000-0005-0000-0000-00006C090000}"/>
    <cellStyle name="Percent 2 10 5" xfId="1915" xr:uid="{00000000-0005-0000-0000-00006D090000}"/>
    <cellStyle name="Percent 2 10 6" xfId="1916" xr:uid="{00000000-0005-0000-0000-00006E090000}"/>
    <cellStyle name="Percent 2 10 7" xfId="1917" xr:uid="{00000000-0005-0000-0000-00006F090000}"/>
    <cellStyle name="Percent 2 10 8" xfId="1918" xr:uid="{00000000-0005-0000-0000-000070090000}"/>
    <cellStyle name="Percent 2 11" xfId="1919" xr:uid="{00000000-0005-0000-0000-000071090000}"/>
    <cellStyle name="Percent 2 11 2" xfId="1920" xr:uid="{00000000-0005-0000-0000-000072090000}"/>
    <cellStyle name="Percent 2 11 3" xfId="1921" xr:uid="{00000000-0005-0000-0000-000073090000}"/>
    <cellStyle name="Percent 2 11 4" xfId="1922" xr:uid="{00000000-0005-0000-0000-000074090000}"/>
    <cellStyle name="Percent 2 11 5" xfId="1923" xr:uid="{00000000-0005-0000-0000-000075090000}"/>
    <cellStyle name="Percent 2 11 6" xfId="1924" xr:uid="{00000000-0005-0000-0000-000076090000}"/>
    <cellStyle name="Percent 2 11 7" xfId="1925" xr:uid="{00000000-0005-0000-0000-000077090000}"/>
    <cellStyle name="Percent 2 11 8" xfId="1926" xr:uid="{00000000-0005-0000-0000-000078090000}"/>
    <cellStyle name="Percent 2 12" xfId="1927" xr:uid="{00000000-0005-0000-0000-000079090000}"/>
    <cellStyle name="Percent 2 13" xfId="1928" xr:uid="{00000000-0005-0000-0000-00007A090000}"/>
    <cellStyle name="Percent 2 14" xfId="1929" xr:uid="{00000000-0005-0000-0000-00007B090000}"/>
    <cellStyle name="Percent 2 15" xfId="1930" xr:uid="{00000000-0005-0000-0000-00007C090000}"/>
    <cellStyle name="Percent 2 16" xfId="1931" xr:uid="{00000000-0005-0000-0000-00007D090000}"/>
    <cellStyle name="Percent 2 17" xfId="1932" xr:uid="{00000000-0005-0000-0000-00007E090000}"/>
    <cellStyle name="Percent 2 18" xfId="1933" xr:uid="{00000000-0005-0000-0000-00007F090000}"/>
    <cellStyle name="Percent 2 19" xfId="1934" xr:uid="{00000000-0005-0000-0000-000080090000}"/>
    <cellStyle name="Percent 2 19 2" xfId="1935" xr:uid="{00000000-0005-0000-0000-000081090000}"/>
    <cellStyle name="Percent 2 19 2 2" xfId="1936" xr:uid="{00000000-0005-0000-0000-000082090000}"/>
    <cellStyle name="Percent 2 19 3" xfId="1937" xr:uid="{00000000-0005-0000-0000-000083090000}"/>
    <cellStyle name="Percent 2 2" xfId="1938" xr:uid="{00000000-0005-0000-0000-000084090000}"/>
    <cellStyle name="Percent 2 2 2" xfId="1939" xr:uid="{00000000-0005-0000-0000-000085090000}"/>
    <cellStyle name="Percent 2 2 3" xfId="1940" xr:uid="{00000000-0005-0000-0000-000086090000}"/>
    <cellStyle name="Percent 2 2 4" xfId="1941" xr:uid="{00000000-0005-0000-0000-000087090000}"/>
    <cellStyle name="Percent 2 2 5" xfId="1942" xr:uid="{00000000-0005-0000-0000-000088090000}"/>
    <cellStyle name="Percent 2 2 6" xfId="1943" xr:uid="{00000000-0005-0000-0000-000089090000}"/>
    <cellStyle name="Percent 2 2 7" xfId="1944" xr:uid="{00000000-0005-0000-0000-00008A090000}"/>
    <cellStyle name="Percent 2 2 8" xfId="1945" xr:uid="{00000000-0005-0000-0000-00008B090000}"/>
    <cellStyle name="Percent 2 2 9" xfId="1946" xr:uid="{00000000-0005-0000-0000-00008C090000}"/>
    <cellStyle name="Percent 2 3" xfId="1947" xr:uid="{00000000-0005-0000-0000-00008D090000}"/>
    <cellStyle name="Percent 2 3 2" xfId="1948" xr:uid="{00000000-0005-0000-0000-00008E090000}"/>
    <cellStyle name="Percent 2 3 3" xfId="1949" xr:uid="{00000000-0005-0000-0000-00008F090000}"/>
    <cellStyle name="Percent 2 3 4" xfId="1950" xr:uid="{00000000-0005-0000-0000-000090090000}"/>
    <cellStyle name="Percent 2 3 5" xfId="1951" xr:uid="{00000000-0005-0000-0000-000091090000}"/>
    <cellStyle name="Percent 2 3 6" xfId="1952" xr:uid="{00000000-0005-0000-0000-000092090000}"/>
    <cellStyle name="Percent 2 3 7" xfId="1953" xr:uid="{00000000-0005-0000-0000-000093090000}"/>
    <cellStyle name="Percent 2 3 8" xfId="1954" xr:uid="{00000000-0005-0000-0000-000094090000}"/>
    <cellStyle name="Percent 2 4" xfId="1955" xr:uid="{00000000-0005-0000-0000-000095090000}"/>
    <cellStyle name="Percent 2 4 2" xfId="1956" xr:uid="{00000000-0005-0000-0000-000096090000}"/>
    <cellStyle name="Percent 2 4 3" xfId="1957" xr:uid="{00000000-0005-0000-0000-000097090000}"/>
    <cellStyle name="Percent 2 4 4" xfId="1958" xr:uid="{00000000-0005-0000-0000-000098090000}"/>
    <cellStyle name="Percent 2 4 5" xfId="1959" xr:uid="{00000000-0005-0000-0000-000099090000}"/>
    <cellStyle name="Percent 2 4 6" xfId="1960" xr:uid="{00000000-0005-0000-0000-00009A090000}"/>
    <cellStyle name="Percent 2 4 7" xfId="1961" xr:uid="{00000000-0005-0000-0000-00009B090000}"/>
    <cellStyle name="Percent 2 4 8" xfId="1962" xr:uid="{00000000-0005-0000-0000-00009C090000}"/>
    <cellStyle name="Percent 2 5" xfId="1963" xr:uid="{00000000-0005-0000-0000-00009D090000}"/>
    <cellStyle name="Percent 2 5 2" xfId="1964" xr:uid="{00000000-0005-0000-0000-00009E090000}"/>
    <cellStyle name="Percent 2 5 3" xfId="1965" xr:uid="{00000000-0005-0000-0000-00009F090000}"/>
    <cellStyle name="Percent 2 5 4" xfId="1966" xr:uid="{00000000-0005-0000-0000-0000A0090000}"/>
    <cellStyle name="Percent 2 5 5" xfId="1967" xr:uid="{00000000-0005-0000-0000-0000A1090000}"/>
    <cellStyle name="Percent 2 5 6" xfId="1968" xr:uid="{00000000-0005-0000-0000-0000A2090000}"/>
    <cellStyle name="Percent 2 5 7" xfId="1969" xr:uid="{00000000-0005-0000-0000-0000A3090000}"/>
    <cellStyle name="Percent 2 5 8" xfId="1970" xr:uid="{00000000-0005-0000-0000-0000A4090000}"/>
    <cellStyle name="Percent 2 6" xfId="1971" xr:uid="{00000000-0005-0000-0000-0000A5090000}"/>
    <cellStyle name="Percent 2 6 2" xfId="1972" xr:uid="{00000000-0005-0000-0000-0000A6090000}"/>
    <cellStyle name="Percent 2 6 3" xfId="1973" xr:uid="{00000000-0005-0000-0000-0000A7090000}"/>
    <cellStyle name="Percent 2 6 4" xfId="1974" xr:uid="{00000000-0005-0000-0000-0000A8090000}"/>
    <cellStyle name="Percent 2 6 5" xfId="1975" xr:uid="{00000000-0005-0000-0000-0000A9090000}"/>
    <cellStyle name="Percent 2 6 6" xfId="1976" xr:uid="{00000000-0005-0000-0000-0000AA090000}"/>
    <cellStyle name="Percent 2 6 7" xfId="1977" xr:uid="{00000000-0005-0000-0000-0000AB090000}"/>
    <cellStyle name="Percent 2 6 8" xfId="1978" xr:uid="{00000000-0005-0000-0000-0000AC090000}"/>
    <cellStyle name="Percent 2 7" xfId="1979" xr:uid="{00000000-0005-0000-0000-0000AD090000}"/>
    <cellStyle name="Percent 2 7 2" xfId="1980" xr:uid="{00000000-0005-0000-0000-0000AE090000}"/>
    <cellStyle name="Percent 2 7 3" xfId="1981" xr:uid="{00000000-0005-0000-0000-0000AF090000}"/>
    <cellStyle name="Percent 2 7 4" xfId="1982" xr:uid="{00000000-0005-0000-0000-0000B0090000}"/>
    <cellStyle name="Percent 2 7 5" xfId="1983" xr:uid="{00000000-0005-0000-0000-0000B1090000}"/>
    <cellStyle name="Percent 2 7 6" xfId="1984" xr:uid="{00000000-0005-0000-0000-0000B2090000}"/>
    <cellStyle name="Percent 2 7 7" xfId="1985" xr:uid="{00000000-0005-0000-0000-0000B3090000}"/>
    <cellStyle name="Percent 2 7 8" xfId="1986" xr:uid="{00000000-0005-0000-0000-0000B4090000}"/>
    <cellStyle name="Percent 2 8" xfId="1987" xr:uid="{00000000-0005-0000-0000-0000B5090000}"/>
    <cellStyle name="Percent 2 8 2" xfId="1988" xr:uid="{00000000-0005-0000-0000-0000B6090000}"/>
    <cellStyle name="Percent 2 8 3" xfId="1989" xr:uid="{00000000-0005-0000-0000-0000B7090000}"/>
    <cellStyle name="Percent 2 8 4" xfId="1990" xr:uid="{00000000-0005-0000-0000-0000B8090000}"/>
    <cellStyle name="Percent 2 8 5" xfId="1991" xr:uid="{00000000-0005-0000-0000-0000B9090000}"/>
    <cellStyle name="Percent 2 8 6" xfId="1992" xr:uid="{00000000-0005-0000-0000-0000BA090000}"/>
    <cellStyle name="Percent 2 8 7" xfId="1993" xr:uid="{00000000-0005-0000-0000-0000BB090000}"/>
    <cellStyle name="Percent 2 8 8" xfId="1994" xr:uid="{00000000-0005-0000-0000-0000BC090000}"/>
    <cellStyle name="Percent 2 9" xfId="1995" xr:uid="{00000000-0005-0000-0000-0000BD090000}"/>
    <cellStyle name="Percent 2 9 2" xfId="1996" xr:uid="{00000000-0005-0000-0000-0000BE090000}"/>
    <cellStyle name="Percent 2 9 3" xfId="1997" xr:uid="{00000000-0005-0000-0000-0000BF090000}"/>
    <cellStyle name="Percent 2 9 4" xfId="1998" xr:uid="{00000000-0005-0000-0000-0000C0090000}"/>
    <cellStyle name="Percent 2 9 5" xfId="1999" xr:uid="{00000000-0005-0000-0000-0000C1090000}"/>
    <cellStyle name="Percent 2 9 6" xfId="2000" xr:uid="{00000000-0005-0000-0000-0000C2090000}"/>
    <cellStyle name="Percent 2 9 7" xfId="2001" xr:uid="{00000000-0005-0000-0000-0000C3090000}"/>
    <cellStyle name="Percent 2 9 8" xfId="2002" xr:uid="{00000000-0005-0000-0000-0000C4090000}"/>
    <cellStyle name="Percent 3" xfId="123" xr:uid="{00000000-0005-0000-0000-0000C5090000}"/>
    <cellStyle name="Percent 3 2" xfId="2003" xr:uid="{00000000-0005-0000-0000-0000C6090000}"/>
    <cellStyle name="Percent 3 2 2" xfId="2004" xr:uid="{00000000-0005-0000-0000-0000C7090000}"/>
    <cellStyle name="Percent 3 2 2 2" xfId="2005" xr:uid="{00000000-0005-0000-0000-0000C8090000}"/>
    <cellStyle name="Percent 3 2 2 3" xfId="2006" xr:uid="{00000000-0005-0000-0000-0000C9090000}"/>
    <cellStyle name="Percent 3 2 3" xfId="2007" xr:uid="{00000000-0005-0000-0000-0000CA090000}"/>
    <cellStyle name="Percent 3 3" xfId="2008" xr:uid="{00000000-0005-0000-0000-0000CB090000}"/>
    <cellStyle name="Percent 3 4" xfId="2009" xr:uid="{00000000-0005-0000-0000-0000CC090000}"/>
    <cellStyle name="Percent 3 5" xfId="2010" xr:uid="{00000000-0005-0000-0000-0000CD090000}"/>
    <cellStyle name="Percent 3 6" xfId="2011" xr:uid="{00000000-0005-0000-0000-0000CE090000}"/>
    <cellStyle name="Percent 3 7" xfId="2012" xr:uid="{00000000-0005-0000-0000-0000CF090000}"/>
    <cellStyle name="Percent 3 8" xfId="2013" xr:uid="{00000000-0005-0000-0000-0000D0090000}"/>
    <cellStyle name="Percent 4" xfId="2014" xr:uid="{00000000-0005-0000-0000-0000D1090000}"/>
    <cellStyle name="Percent 4 10" xfId="2015" xr:uid="{00000000-0005-0000-0000-0000D2090000}"/>
    <cellStyle name="Percent 4 11" xfId="2016" xr:uid="{00000000-0005-0000-0000-0000D3090000}"/>
    <cellStyle name="Percent 4 12" xfId="2017" xr:uid="{00000000-0005-0000-0000-0000D4090000}"/>
    <cellStyle name="Percent 4 13" xfId="2018" xr:uid="{00000000-0005-0000-0000-0000D5090000}"/>
    <cellStyle name="Percent 4 14" xfId="2019" xr:uid="{00000000-0005-0000-0000-0000D6090000}"/>
    <cellStyle name="Percent 4 14 2" xfId="2020" xr:uid="{00000000-0005-0000-0000-0000D7090000}"/>
    <cellStyle name="Percent 4 15" xfId="2021" xr:uid="{00000000-0005-0000-0000-0000D8090000}"/>
    <cellStyle name="Percent 4 16" xfId="2022" xr:uid="{00000000-0005-0000-0000-0000D9090000}"/>
    <cellStyle name="Percent 4 16 2" xfId="2023" xr:uid="{00000000-0005-0000-0000-0000DA090000}"/>
    <cellStyle name="Percent 4 16 3" xfId="2024" xr:uid="{00000000-0005-0000-0000-0000DB090000}"/>
    <cellStyle name="Percent 4 16 3 2" xfId="2025" xr:uid="{00000000-0005-0000-0000-0000DC090000}"/>
    <cellStyle name="Percent 4 17" xfId="2026" xr:uid="{00000000-0005-0000-0000-0000DD090000}"/>
    <cellStyle name="Percent 4 2" xfId="2027" xr:uid="{00000000-0005-0000-0000-0000DE090000}"/>
    <cellStyle name="Percent 4 2 2" xfId="2028" xr:uid="{00000000-0005-0000-0000-0000DF090000}"/>
    <cellStyle name="Percent 4 2 3" xfId="2029" xr:uid="{00000000-0005-0000-0000-0000E0090000}"/>
    <cellStyle name="Percent 4 2 4" xfId="2030" xr:uid="{00000000-0005-0000-0000-0000E1090000}"/>
    <cellStyle name="Percent 4 2 5" xfId="2031" xr:uid="{00000000-0005-0000-0000-0000E2090000}"/>
    <cellStyle name="Percent 4 2 6" xfId="2032" xr:uid="{00000000-0005-0000-0000-0000E3090000}"/>
    <cellStyle name="Percent 4 2 7" xfId="2033" xr:uid="{00000000-0005-0000-0000-0000E4090000}"/>
    <cellStyle name="Percent 4 2 8" xfId="2034" xr:uid="{00000000-0005-0000-0000-0000E5090000}"/>
    <cellStyle name="Percent 4 2 9" xfId="2035" xr:uid="{00000000-0005-0000-0000-0000E6090000}"/>
    <cellStyle name="Percent 4 3" xfId="2036" xr:uid="{00000000-0005-0000-0000-0000E7090000}"/>
    <cellStyle name="Percent 4 3 2" xfId="2037" xr:uid="{00000000-0005-0000-0000-0000E8090000}"/>
    <cellStyle name="Percent 4 3 3" xfId="2038" xr:uid="{00000000-0005-0000-0000-0000E9090000}"/>
    <cellStyle name="Percent 4 3 4" xfId="2039" xr:uid="{00000000-0005-0000-0000-0000EA090000}"/>
    <cellStyle name="Percent 4 3 5" xfId="2040" xr:uid="{00000000-0005-0000-0000-0000EB090000}"/>
    <cellStyle name="Percent 4 3 6" xfId="2041" xr:uid="{00000000-0005-0000-0000-0000EC090000}"/>
    <cellStyle name="Percent 4 3 7" xfId="2042" xr:uid="{00000000-0005-0000-0000-0000ED090000}"/>
    <cellStyle name="Percent 4 3 8" xfId="2043" xr:uid="{00000000-0005-0000-0000-0000EE090000}"/>
    <cellStyle name="Percent 4 4" xfId="2044" xr:uid="{00000000-0005-0000-0000-0000EF090000}"/>
    <cellStyle name="Percent 4 4 2" xfId="2045" xr:uid="{00000000-0005-0000-0000-0000F0090000}"/>
    <cellStyle name="Percent 4 4 3" xfId="2046" xr:uid="{00000000-0005-0000-0000-0000F1090000}"/>
    <cellStyle name="Percent 4 4 4" xfId="2047" xr:uid="{00000000-0005-0000-0000-0000F2090000}"/>
    <cellStyle name="Percent 4 4 5" xfId="2048" xr:uid="{00000000-0005-0000-0000-0000F3090000}"/>
    <cellStyle name="Percent 4 4 6" xfId="2049" xr:uid="{00000000-0005-0000-0000-0000F4090000}"/>
    <cellStyle name="Percent 4 4 7" xfId="2050" xr:uid="{00000000-0005-0000-0000-0000F5090000}"/>
    <cellStyle name="Percent 4 4 8" xfId="2051" xr:uid="{00000000-0005-0000-0000-0000F6090000}"/>
    <cellStyle name="Percent 4 5" xfId="2052" xr:uid="{00000000-0005-0000-0000-0000F7090000}"/>
    <cellStyle name="Percent 4 5 2" xfId="2053" xr:uid="{00000000-0005-0000-0000-0000F8090000}"/>
    <cellStyle name="Percent 4 5 3" xfId="2054" xr:uid="{00000000-0005-0000-0000-0000F9090000}"/>
    <cellStyle name="Percent 4 5 4" xfId="2055" xr:uid="{00000000-0005-0000-0000-0000FA090000}"/>
    <cellStyle name="Percent 4 5 5" xfId="2056" xr:uid="{00000000-0005-0000-0000-0000FB090000}"/>
    <cellStyle name="Percent 4 5 6" xfId="2057" xr:uid="{00000000-0005-0000-0000-0000FC090000}"/>
    <cellStyle name="Percent 4 5 7" xfId="2058" xr:uid="{00000000-0005-0000-0000-0000FD090000}"/>
    <cellStyle name="Percent 4 5 8" xfId="2059" xr:uid="{00000000-0005-0000-0000-0000FE090000}"/>
    <cellStyle name="Percent 4 6" xfId="2060" xr:uid="{00000000-0005-0000-0000-0000FF090000}"/>
    <cellStyle name="Percent 4 6 2" xfId="2061" xr:uid="{00000000-0005-0000-0000-0000000A0000}"/>
    <cellStyle name="Percent 4 6 3" xfId="2062" xr:uid="{00000000-0005-0000-0000-0000010A0000}"/>
    <cellStyle name="Percent 4 6 4" xfId="2063" xr:uid="{00000000-0005-0000-0000-0000020A0000}"/>
    <cellStyle name="Percent 4 6 5" xfId="2064" xr:uid="{00000000-0005-0000-0000-0000030A0000}"/>
    <cellStyle name="Percent 4 6 6" xfId="2065" xr:uid="{00000000-0005-0000-0000-0000040A0000}"/>
    <cellStyle name="Percent 4 6 7" xfId="2066" xr:uid="{00000000-0005-0000-0000-0000050A0000}"/>
    <cellStyle name="Percent 4 6 8" xfId="2067" xr:uid="{00000000-0005-0000-0000-0000060A0000}"/>
    <cellStyle name="Percent 4 7" xfId="2068" xr:uid="{00000000-0005-0000-0000-0000070A0000}"/>
    <cellStyle name="Percent 4 8" xfId="2069" xr:uid="{00000000-0005-0000-0000-0000080A0000}"/>
    <cellStyle name="Percent 4 9" xfId="2070" xr:uid="{00000000-0005-0000-0000-0000090A0000}"/>
    <cellStyle name="Percent 5" xfId="2071" xr:uid="{00000000-0005-0000-0000-00000A0A0000}"/>
    <cellStyle name="Percent 5 10" xfId="2072" xr:uid="{00000000-0005-0000-0000-00000B0A0000}"/>
    <cellStyle name="Percent 5 11" xfId="2073" xr:uid="{00000000-0005-0000-0000-00000C0A0000}"/>
    <cellStyle name="Percent 5 2" xfId="2074" xr:uid="{00000000-0005-0000-0000-00000D0A0000}"/>
    <cellStyle name="Percent 5 3" xfId="2075" xr:uid="{00000000-0005-0000-0000-00000E0A0000}"/>
    <cellStyle name="Percent 5 4" xfId="2076" xr:uid="{00000000-0005-0000-0000-00000F0A0000}"/>
    <cellStyle name="Percent 5 5" xfId="2077" xr:uid="{00000000-0005-0000-0000-0000100A0000}"/>
    <cellStyle name="Percent 5 6" xfId="2078" xr:uid="{00000000-0005-0000-0000-0000110A0000}"/>
    <cellStyle name="Percent 5 7" xfId="2079" xr:uid="{00000000-0005-0000-0000-0000120A0000}"/>
    <cellStyle name="Percent 5 8" xfId="2080" xr:uid="{00000000-0005-0000-0000-0000130A0000}"/>
    <cellStyle name="Percent 5 9" xfId="2081" xr:uid="{00000000-0005-0000-0000-0000140A0000}"/>
    <cellStyle name="Percent 5 9 2" xfId="2082" xr:uid="{00000000-0005-0000-0000-0000150A0000}"/>
    <cellStyle name="Percent 5 9 3" xfId="2083" xr:uid="{00000000-0005-0000-0000-0000160A0000}"/>
    <cellStyle name="Percent 6" xfId="2084" xr:uid="{00000000-0005-0000-0000-0000170A0000}"/>
    <cellStyle name="Percent 6 2" xfId="2085" xr:uid="{00000000-0005-0000-0000-0000180A0000}"/>
    <cellStyle name="Percent 6 3" xfId="2086" xr:uid="{00000000-0005-0000-0000-0000190A0000}"/>
    <cellStyle name="Percent 6 4" xfId="2087" xr:uid="{00000000-0005-0000-0000-00001A0A0000}"/>
    <cellStyle name="Percent 6 5" xfId="2088" xr:uid="{00000000-0005-0000-0000-00001B0A0000}"/>
    <cellStyle name="Percent 6 6" xfId="2089" xr:uid="{00000000-0005-0000-0000-00001C0A0000}"/>
    <cellStyle name="Percent 6 7" xfId="2090" xr:uid="{00000000-0005-0000-0000-00001D0A0000}"/>
    <cellStyle name="Percent 6 8" xfId="2091" xr:uid="{00000000-0005-0000-0000-00001E0A0000}"/>
    <cellStyle name="Percent 7" xfId="2092" xr:uid="{00000000-0005-0000-0000-00001F0A0000}"/>
    <cellStyle name="Percent 7 2" xfId="2093" xr:uid="{00000000-0005-0000-0000-0000200A0000}"/>
    <cellStyle name="Percent 7 3" xfId="2094" xr:uid="{00000000-0005-0000-0000-0000210A0000}"/>
    <cellStyle name="Percent 7 4" xfId="2095" xr:uid="{00000000-0005-0000-0000-0000220A0000}"/>
    <cellStyle name="Percent 7 5" xfId="2096" xr:uid="{00000000-0005-0000-0000-0000230A0000}"/>
    <cellStyle name="Percent 7 6" xfId="2097" xr:uid="{00000000-0005-0000-0000-0000240A0000}"/>
    <cellStyle name="Percent 7 7" xfId="2098" xr:uid="{00000000-0005-0000-0000-0000250A0000}"/>
    <cellStyle name="Percent 7 8" xfId="2099" xr:uid="{00000000-0005-0000-0000-0000260A0000}"/>
    <cellStyle name="Percent 8" xfId="2100" xr:uid="{00000000-0005-0000-0000-0000270A0000}"/>
    <cellStyle name="Percent 8 2" xfId="2101" xr:uid="{00000000-0005-0000-0000-0000280A0000}"/>
    <cellStyle name="Percent 8 3" xfId="2102" xr:uid="{00000000-0005-0000-0000-0000290A0000}"/>
    <cellStyle name="Percent 8 4" xfId="2103" xr:uid="{00000000-0005-0000-0000-00002A0A0000}"/>
    <cellStyle name="Percent 8 5" xfId="2104" xr:uid="{00000000-0005-0000-0000-00002B0A0000}"/>
    <cellStyle name="Percent 8 6" xfId="2105" xr:uid="{00000000-0005-0000-0000-00002C0A0000}"/>
    <cellStyle name="Percent 8 7" xfId="2106" xr:uid="{00000000-0005-0000-0000-00002D0A0000}"/>
    <cellStyle name="Percent 8 8" xfId="2107" xr:uid="{00000000-0005-0000-0000-00002E0A0000}"/>
    <cellStyle name="Percent 9" xfId="2108" xr:uid="{00000000-0005-0000-0000-00002F0A0000}"/>
    <cellStyle name="Percent 9 2" xfId="2109" xr:uid="{00000000-0005-0000-0000-0000300A0000}"/>
    <cellStyle name="Percent 9 3" xfId="2110" xr:uid="{00000000-0005-0000-0000-0000310A0000}"/>
    <cellStyle name="Percent 9 4" xfId="2111" xr:uid="{00000000-0005-0000-0000-0000320A0000}"/>
    <cellStyle name="Percent 9 5" xfId="2112" xr:uid="{00000000-0005-0000-0000-0000330A0000}"/>
    <cellStyle name="Percent 9 6" xfId="2113" xr:uid="{00000000-0005-0000-0000-0000340A0000}"/>
    <cellStyle name="Percent 9 7" xfId="2114" xr:uid="{00000000-0005-0000-0000-0000350A0000}"/>
    <cellStyle name="Percent 9 8" xfId="2115" xr:uid="{00000000-0005-0000-0000-0000360A0000}"/>
    <cellStyle name="Pilkku_Layo9704" xfId="2116" xr:uid="{00000000-0005-0000-0000-0000370A0000}"/>
    <cellStyle name="Pyör. luku_Layo9704" xfId="2117" xr:uid="{00000000-0005-0000-0000-0000380A0000}"/>
    <cellStyle name="Pyör. valuutta_Layo9704" xfId="2118" xr:uid="{00000000-0005-0000-0000-0000390A0000}"/>
    <cellStyle name="Reference" xfId="124" xr:uid="{00000000-0005-0000-0000-00003A0A0000}"/>
    <cellStyle name="Row heading" xfId="125" xr:uid="{00000000-0005-0000-0000-00003B0A0000}"/>
    <cellStyle name="Source Hed" xfId="126" xr:uid="{00000000-0005-0000-0000-00003C0A0000}"/>
    <cellStyle name="Source Letter" xfId="127" xr:uid="{00000000-0005-0000-0000-00003D0A0000}"/>
    <cellStyle name="Source Superscript" xfId="128" xr:uid="{00000000-0005-0000-0000-00003E0A0000}"/>
    <cellStyle name="Source Text" xfId="129" xr:uid="{00000000-0005-0000-0000-00003F0A0000}"/>
    <cellStyle name="Standard_E00seit45" xfId="130" xr:uid="{00000000-0005-0000-0000-0000400A0000}"/>
    <cellStyle name="State" xfId="131" xr:uid="{00000000-0005-0000-0000-0000410A0000}"/>
    <cellStyle name="Style 21" xfId="2119" xr:uid="{00000000-0005-0000-0000-0000420A0000}"/>
    <cellStyle name="Style 21 2" xfId="2120" xr:uid="{00000000-0005-0000-0000-0000430A0000}"/>
    <cellStyle name="Style 21 2 2" xfId="2121" xr:uid="{00000000-0005-0000-0000-0000440A0000}"/>
    <cellStyle name="Style 21 3" xfId="2122" xr:uid="{00000000-0005-0000-0000-0000450A0000}"/>
    <cellStyle name="Style 22" xfId="2123" xr:uid="{00000000-0005-0000-0000-0000460A0000}"/>
    <cellStyle name="Style 23" xfId="2124" xr:uid="{00000000-0005-0000-0000-0000470A0000}"/>
    <cellStyle name="Style 24" xfId="2125" xr:uid="{00000000-0005-0000-0000-0000480A0000}"/>
    <cellStyle name="Style 25" xfId="2126" xr:uid="{00000000-0005-0000-0000-0000490A0000}"/>
    <cellStyle name="Style 25 2" xfId="2127" xr:uid="{00000000-0005-0000-0000-00004A0A0000}"/>
    <cellStyle name="Style 25 2 2" xfId="2128" xr:uid="{00000000-0005-0000-0000-00004B0A0000}"/>
    <cellStyle name="Style 25 3" xfId="2129" xr:uid="{00000000-0005-0000-0000-00004C0A0000}"/>
    <cellStyle name="Style 26" xfId="2130" xr:uid="{00000000-0005-0000-0000-00004D0A0000}"/>
    <cellStyle name="Superscript" xfId="132" xr:uid="{00000000-0005-0000-0000-00004E0A0000}"/>
    <cellStyle name="Table Data" xfId="133" xr:uid="{00000000-0005-0000-0000-00004F0A0000}"/>
    <cellStyle name="Table Head Top" xfId="134" xr:uid="{00000000-0005-0000-0000-0000500A0000}"/>
    <cellStyle name="Table Hed Side" xfId="135" xr:uid="{00000000-0005-0000-0000-0000510A0000}"/>
    <cellStyle name="Table Title" xfId="136" xr:uid="{00000000-0005-0000-0000-0000520A0000}"/>
    <cellStyle name="Title" xfId="2" builtinId="15" customBuiltin="1"/>
    <cellStyle name="Title 2" xfId="2131" xr:uid="{00000000-0005-0000-0000-0000540A0000}"/>
    <cellStyle name="Title 2 10" xfId="2132" xr:uid="{00000000-0005-0000-0000-0000550A0000}"/>
    <cellStyle name="Title 2 2" xfId="2133" xr:uid="{00000000-0005-0000-0000-0000560A0000}"/>
    <cellStyle name="Title 2 3" xfId="2134" xr:uid="{00000000-0005-0000-0000-0000570A0000}"/>
    <cellStyle name="Title 2 4" xfId="2135" xr:uid="{00000000-0005-0000-0000-0000580A0000}"/>
    <cellStyle name="Title 2 5" xfId="2136" xr:uid="{00000000-0005-0000-0000-0000590A0000}"/>
    <cellStyle name="Title 2 6" xfId="2137" xr:uid="{00000000-0005-0000-0000-00005A0A0000}"/>
    <cellStyle name="Title 2 7" xfId="2138" xr:uid="{00000000-0005-0000-0000-00005B0A0000}"/>
    <cellStyle name="Title 2 8" xfId="2139" xr:uid="{00000000-0005-0000-0000-00005C0A0000}"/>
    <cellStyle name="Title 2 9" xfId="2140" xr:uid="{00000000-0005-0000-0000-00005D0A0000}"/>
    <cellStyle name="Title 3" xfId="2141" xr:uid="{00000000-0005-0000-0000-00005E0A0000}"/>
    <cellStyle name="Title Text" xfId="137" xr:uid="{00000000-0005-0000-0000-00005F0A0000}"/>
    <cellStyle name="Title Text 1" xfId="138" xr:uid="{00000000-0005-0000-0000-0000600A0000}"/>
    <cellStyle name="Title Text 2" xfId="139" xr:uid="{00000000-0005-0000-0000-0000610A0000}"/>
    <cellStyle name="Title-1" xfId="140" xr:uid="{00000000-0005-0000-0000-0000620A0000}"/>
    <cellStyle name="Title-2" xfId="141" xr:uid="{00000000-0005-0000-0000-0000630A0000}"/>
    <cellStyle name="Title-3" xfId="142" xr:uid="{00000000-0005-0000-0000-0000640A0000}"/>
    <cellStyle name="Titre ligne" xfId="143" xr:uid="{00000000-0005-0000-0000-0000650A0000}"/>
    <cellStyle name="Total" xfId="17" builtinId="25" customBuiltin="1"/>
    <cellStyle name="Total 2" xfId="2142" xr:uid="{00000000-0005-0000-0000-0000670A0000}"/>
    <cellStyle name="Total 2 10" xfId="2143" xr:uid="{00000000-0005-0000-0000-0000680A0000}"/>
    <cellStyle name="Total 2 2" xfId="2144" xr:uid="{00000000-0005-0000-0000-0000690A0000}"/>
    <cellStyle name="Total 2 3" xfId="2145" xr:uid="{00000000-0005-0000-0000-00006A0A0000}"/>
    <cellStyle name="Total 2 4" xfId="2146" xr:uid="{00000000-0005-0000-0000-00006B0A0000}"/>
    <cellStyle name="Total 2 5" xfId="2147" xr:uid="{00000000-0005-0000-0000-00006C0A0000}"/>
    <cellStyle name="Total 2 6" xfId="2148" xr:uid="{00000000-0005-0000-0000-00006D0A0000}"/>
    <cellStyle name="Total 2 7" xfId="2149" xr:uid="{00000000-0005-0000-0000-00006E0A0000}"/>
    <cellStyle name="Total 2 8" xfId="2150" xr:uid="{00000000-0005-0000-0000-00006F0A0000}"/>
    <cellStyle name="Total 2 9" xfId="2151" xr:uid="{00000000-0005-0000-0000-0000700A0000}"/>
    <cellStyle name="Total 2_PotsLow" xfId="2152" xr:uid="{00000000-0005-0000-0000-0000710A0000}"/>
    <cellStyle name="Total 3" xfId="2153" xr:uid="{00000000-0005-0000-0000-0000720A0000}"/>
    <cellStyle name="Total intermediaire" xfId="144" xr:uid="{00000000-0005-0000-0000-0000730A0000}"/>
    <cellStyle name="Valuutta_Layo9704" xfId="2154" xr:uid="{00000000-0005-0000-0000-0000740A0000}"/>
    <cellStyle name="Warning Text" xfId="15" builtinId="11" customBuiltin="1"/>
    <cellStyle name="Warning Text 2" xfId="2155" xr:uid="{00000000-0005-0000-0000-0000760A0000}"/>
    <cellStyle name="Warning Text 2 10" xfId="2156" xr:uid="{00000000-0005-0000-0000-0000770A0000}"/>
    <cellStyle name="Warning Text 2 2" xfId="2157" xr:uid="{00000000-0005-0000-0000-0000780A0000}"/>
    <cellStyle name="Warning Text 2 3" xfId="2158" xr:uid="{00000000-0005-0000-0000-0000790A0000}"/>
    <cellStyle name="Warning Text 2 4" xfId="2159" xr:uid="{00000000-0005-0000-0000-00007A0A0000}"/>
    <cellStyle name="Warning Text 2 5" xfId="2160" xr:uid="{00000000-0005-0000-0000-00007B0A0000}"/>
    <cellStyle name="Warning Text 2 6" xfId="2161" xr:uid="{00000000-0005-0000-0000-00007C0A0000}"/>
    <cellStyle name="Warning Text 2 7" xfId="2162" xr:uid="{00000000-0005-0000-0000-00007D0A0000}"/>
    <cellStyle name="Warning Text 2 8" xfId="2163" xr:uid="{00000000-0005-0000-0000-00007E0A0000}"/>
    <cellStyle name="Warning Text 2 9" xfId="2164" xr:uid="{00000000-0005-0000-0000-00007F0A0000}"/>
    <cellStyle name="Warning Text 3" xfId="2165" xr:uid="{00000000-0005-0000-0000-0000800A0000}"/>
    <cellStyle name="Wrap" xfId="145" xr:uid="{00000000-0005-0000-0000-0000810A0000}"/>
    <cellStyle name="Wrap Bold" xfId="146" xr:uid="{00000000-0005-0000-0000-0000820A0000}"/>
    <cellStyle name="Wrap Title" xfId="147" xr:uid="{00000000-0005-0000-0000-0000830A0000}"/>
    <cellStyle name="Wrap_NTS99-~11" xfId="148" xr:uid="{00000000-0005-0000-0000-0000840A0000}"/>
    <cellStyle name="Year" xfId="149" xr:uid="{00000000-0005-0000-0000-0000850A0000}"/>
    <cellStyle name="Κόμμα 2" xfId="150" xr:uid="{00000000-0005-0000-0000-0000860A0000}"/>
    <cellStyle name="Κόμμα 2 2" xfId="2199" xr:uid="{00000000-0005-0000-0000-0000870A0000}"/>
    <cellStyle name="Обычный_CRF2002 (1)" xfId="2166" xr:uid="{00000000-0005-0000-0000-0000880A0000}"/>
    <cellStyle name="已访问的超链接" xfId="2167" xr:uid="{00000000-0005-0000-0000-0000890A0000}"/>
  </cellStyles>
  <dxfs count="0"/>
  <tableStyles count="0" defaultTableStyle="TableStyleMedium2" defaultPivotStyle="PivotStyleLight16"/>
  <colors>
    <mruColors>
      <color rgb="FFCC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BH296"/>
  <sheetViews>
    <sheetView zoomScale="90" zoomScaleNormal="90" workbookViewId="0">
      <pane ySplit="6" topLeftCell="A7" activePane="bottomLeft" state="frozen"/>
      <selection pane="bottomLeft"/>
    </sheetView>
  </sheetViews>
  <sheetFormatPr defaultRowHeight="15"/>
  <cols>
    <col min="1" max="1" width="15" customWidth="1"/>
    <col min="2" max="2" width="8.42578125" customWidth="1"/>
    <col min="3" max="3" width="25.7109375" customWidth="1"/>
    <col min="4" max="4" width="5.7109375" customWidth="1"/>
    <col min="5" max="5" width="10.140625" bestFit="1" customWidth="1"/>
    <col min="7" max="7" width="8.85546875" bestFit="1" customWidth="1"/>
    <col min="8" max="8" width="12.42578125" bestFit="1" customWidth="1"/>
    <col min="9" max="9" width="6.42578125" bestFit="1" customWidth="1"/>
    <col min="10" max="10" width="16.5703125" bestFit="1" customWidth="1"/>
    <col min="11" max="11" width="5.42578125" customWidth="1"/>
    <col min="12" max="12" width="7.28515625" customWidth="1"/>
    <col min="13" max="13" width="6.42578125" customWidth="1"/>
    <col min="14" max="14" width="6.42578125" style="90" customWidth="1"/>
    <col min="15" max="20" width="6.42578125" customWidth="1"/>
    <col min="21" max="21" width="16.140625" customWidth="1"/>
    <col min="22" max="23" width="6.42578125" customWidth="1"/>
    <col min="24" max="24" width="8.7109375" customWidth="1"/>
    <col min="25" max="49" width="6.42578125" customWidth="1"/>
    <col min="51" max="51" width="9.140625" customWidth="1"/>
  </cols>
  <sheetData>
    <row r="1" spans="1:60">
      <c r="C1">
        <f>18/1000/1000</f>
        <v>1.7999999999999997E-5</v>
      </c>
      <c r="D1" t="s">
        <v>156</v>
      </c>
      <c r="P1" t="s">
        <v>97</v>
      </c>
      <c r="Z1" t="s">
        <v>98</v>
      </c>
      <c r="AI1" t="s">
        <v>75</v>
      </c>
      <c r="AJ1" t="s">
        <v>74</v>
      </c>
      <c r="AQ1" t="s">
        <v>99</v>
      </c>
      <c r="AY1" s="9" t="s">
        <v>51</v>
      </c>
      <c r="AZ1" s="9" t="s">
        <v>52</v>
      </c>
      <c r="BA1" s="9"/>
      <c r="BB1" s="9"/>
      <c r="BE1" s="9" t="s">
        <v>134</v>
      </c>
      <c r="BF1" s="9" t="s">
        <v>52</v>
      </c>
      <c r="BG1" s="9"/>
      <c r="BH1" s="9"/>
    </row>
    <row r="2" spans="1:60">
      <c r="C2">
        <f>60/1000/1000</f>
        <v>5.9999999999999995E-5</v>
      </c>
      <c r="D2" t="s">
        <v>157</v>
      </c>
      <c r="F2">
        <f>C2/C1</f>
        <v>3.3333333333333335</v>
      </c>
      <c r="AY2" s="9"/>
      <c r="AZ2" s="9"/>
      <c r="BA2" s="9"/>
      <c r="BB2" s="9"/>
      <c r="BE2" s="9"/>
      <c r="BF2" s="9"/>
      <c r="BG2" s="9"/>
      <c r="BH2" s="9"/>
    </row>
    <row r="3" spans="1:60">
      <c r="AY3" s="9"/>
      <c r="AZ3" s="9"/>
      <c r="BA3" s="9"/>
      <c r="BB3" s="9"/>
      <c r="BE3" s="9"/>
      <c r="BF3" s="9"/>
      <c r="BG3" s="9"/>
      <c r="BH3" s="9"/>
    </row>
    <row r="4" spans="1:60" ht="18.75">
      <c r="E4" s="86" t="s">
        <v>106</v>
      </c>
      <c r="AX4" s="9">
        <v>2010</v>
      </c>
      <c r="AY4" s="9">
        <v>2020</v>
      </c>
      <c r="AZ4" s="9">
        <v>2030</v>
      </c>
      <c r="BA4" s="9">
        <v>2040</v>
      </c>
      <c r="BB4" s="9">
        <v>2050</v>
      </c>
      <c r="BD4" s="9">
        <v>2010</v>
      </c>
      <c r="BE4" s="9">
        <v>2020</v>
      </c>
      <c r="BF4" s="9">
        <v>2030</v>
      </c>
      <c r="BG4" s="9">
        <v>2040</v>
      </c>
      <c r="BH4" s="9">
        <v>2050</v>
      </c>
    </row>
    <row r="5" spans="1:60" ht="15.75" thickBot="1">
      <c r="E5" s="1" t="s">
        <v>0</v>
      </c>
      <c r="F5" s="1" t="s">
        <v>104</v>
      </c>
      <c r="G5" s="1" t="s">
        <v>1</v>
      </c>
      <c r="H5" s="1" t="s">
        <v>2</v>
      </c>
      <c r="I5" s="1" t="s">
        <v>3</v>
      </c>
      <c r="J5" s="3" t="s">
        <v>39</v>
      </c>
      <c r="K5" s="2" t="s">
        <v>4</v>
      </c>
      <c r="L5" s="2" t="s">
        <v>5</v>
      </c>
      <c r="M5" s="2" t="s">
        <v>6</v>
      </c>
      <c r="N5" s="91" t="s">
        <v>7</v>
      </c>
      <c r="O5" s="2" t="s">
        <v>8</v>
      </c>
      <c r="P5" s="2" t="s">
        <v>97</v>
      </c>
      <c r="Q5" s="2" t="s">
        <v>9</v>
      </c>
      <c r="R5" s="2" t="s">
        <v>10</v>
      </c>
      <c r="S5" s="2" t="s">
        <v>11</v>
      </c>
      <c r="T5" s="2" t="s">
        <v>12</v>
      </c>
      <c r="U5" s="2" t="s">
        <v>13</v>
      </c>
      <c r="V5" s="2" t="s">
        <v>14</v>
      </c>
      <c r="W5" s="2" t="s">
        <v>15</v>
      </c>
      <c r="X5" s="2" t="s">
        <v>16</v>
      </c>
      <c r="Y5" s="2" t="s">
        <v>17</v>
      </c>
      <c r="Z5" s="2" t="s">
        <v>98</v>
      </c>
      <c r="AA5" s="2" t="s">
        <v>18</v>
      </c>
      <c r="AB5" s="2" t="s">
        <v>19</v>
      </c>
      <c r="AC5" s="2" t="s">
        <v>20</v>
      </c>
      <c r="AD5" s="2" t="s">
        <v>21</v>
      </c>
      <c r="AE5" s="2" t="s">
        <v>22</v>
      </c>
      <c r="AF5" s="2" t="s">
        <v>23</v>
      </c>
      <c r="AG5" s="2" t="s">
        <v>24</v>
      </c>
      <c r="AH5" s="2" t="s">
        <v>25</v>
      </c>
      <c r="AI5" s="2" t="s">
        <v>26</v>
      </c>
      <c r="AJ5" s="2" t="s">
        <v>27</v>
      </c>
      <c r="AK5" s="2" t="s">
        <v>28</v>
      </c>
      <c r="AL5" s="2" t="s">
        <v>29</v>
      </c>
      <c r="AM5" s="2" t="s">
        <v>30</v>
      </c>
      <c r="AN5" s="2" t="s">
        <v>31</v>
      </c>
      <c r="AO5" s="2" t="s">
        <v>32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37</v>
      </c>
      <c r="AU5" s="2" t="s">
        <v>38</v>
      </c>
      <c r="AV5" s="47"/>
      <c r="AW5" s="47" t="s">
        <v>147</v>
      </c>
      <c r="AX5" s="12">
        <f>SUM(AX7:AX209)</f>
        <v>5100.7378914350493</v>
      </c>
      <c r="AY5" s="12">
        <f t="shared" ref="AY5:BA5" si="0">SUM(AY7:AY209)</f>
        <v>7288.6486699764928</v>
      </c>
      <c r="AZ5" s="12">
        <f t="shared" si="0"/>
        <v>8384.7723219834988</v>
      </c>
      <c r="BA5" s="12">
        <f t="shared" si="0"/>
        <v>8478.9497149361996</v>
      </c>
      <c r="BB5" s="12">
        <f>SUM(BB7:BB209)</f>
        <v>8556.8349491935824</v>
      </c>
      <c r="BD5" s="12">
        <f>SUM(BD7:BD209)</f>
        <v>4799.4808272820956</v>
      </c>
      <c r="BE5" s="12">
        <f t="shared" ref="BE5:BG5" si="1">SUM(BE7:BE209)</f>
        <v>6916.3833022696117</v>
      </c>
      <c r="BF5" s="12">
        <f t="shared" si="1"/>
        <v>7750.3733241902028</v>
      </c>
      <c r="BG5" s="12">
        <f t="shared" si="1"/>
        <v>7916.7265192519653</v>
      </c>
      <c r="BH5" s="12">
        <f>SUM(BH7:BH209)</f>
        <v>8065.807027162421</v>
      </c>
    </row>
    <row r="6" spans="1:60">
      <c r="A6" t="s">
        <v>135</v>
      </c>
      <c r="B6" t="s">
        <v>139</v>
      </c>
      <c r="C6" t="s">
        <v>100</v>
      </c>
      <c r="E6" t="s">
        <v>42</v>
      </c>
      <c r="G6" t="s">
        <v>40</v>
      </c>
      <c r="H6" t="s">
        <v>41</v>
      </c>
      <c r="I6">
        <v>2005</v>
      </c>
      <c r="J6" t="s">
        <v>43</v>
      </c>
      <c r="L6" s="6">
        <v>0</v>
      </c>
      <c r="M6" s="6">
        <v>13.88028360145829</v>
      </c>
      <c r="N6" s="52">
        <v>4.5870892324240868</v>
      </c>
      <c r="O6" s="6">
        <v>0</v>
      </c>
      <c r="P6" s="6">
        <v>0</v>
      </c>
      <c r="Q6" s="6">
        <v>0</v>
      </c>
      <c r="R6" s="6">
        <v>0</v>
      </c>
      <c r="S6" s="6">
        <v>9.6852713325215678</v>
      </c>
      <c r="T6" s="6">
        <v>72.382004438548279</v>
      </c>
      <c r="U6" s="6">
        <v>1.4394638787425129</v>
      </c>
      <c r="V6" s="6">
        <v>0</v>
      </c>
      <c r="W6" s="6">
        <v>0</v>
      </c>
      <c r="X6" s="57">
        <v>0</v>
      </c>
      <c r="Y6" s="6">
        <v>230.31117172256856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1.6270660098606533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1.5812101831283181</v>
      </c>
      <c r="AM6" s="6">
        <v>0</v>
      </c>
      <c r="AN6" s="6">
        <v>1.7885305999732002</v>
      </c>
      <c r="AO6" s="6">
        <v>0</v>
      </c>
      <c r="AP6" s="6">
        <v>0</v>
      </c>
      <c r="AQ6" s="6">
        <v>0</v>
      </c>
      <c r="AR6" s="6">
        <v>4.8568285335089296</v>
      </c>
      <c r="AS6" s="6">
        <v>0</v>
      </c>
      <c r="AT6" s="6">
        <v>1.4679579775908658</v>
      </c>
      <c r="AU6" s="6">
        <v>3.0246297206634032</v>
      </c>
      <c r="AV6" s="6"/>
      <c r="AW6" s="6"/>
      <c r="AY6" s="6"/>
    </row>
    <row r="7" spans="1:60">
      <c r="A7" t="s">
        <v>135</v>
      </c>
      <c r="B7" t="s">
        <v>139</v>
      </c>
      <c r="C7" t="s">
        <v>100</v>
      </c>
      <c r="E7" t="s">
        <v>42</v>
      </c>
      <c r="G7" t="s">
        <v>40</v>
      </c>
      <c r="H7" t="s">
        <v>41</v>
      </c>
      <c r="I7">
        <v>2010</v>
      </c>
      <c r="J7" t="s">
        <v>43</v>
      </c>
      <c r="L7" s="6">
        <v>0</v>
      </c>
      <c r="M7" s="6">
        <v>13.88028360145829</v>
      </c>
      <c r="N7" s="52">
        <v>4.5870892324240868</v>
      </c>
      <c r="O7" s="6">
        <v>0</v>
      </c>
      <c r="P7" s="6">
        <v>0</v>
      </c>
      <c r="Q7" s="41">
        <v>0</v>
      </c>
      <c r="R7" s="6">
        <v>0</v>
      </c>
      <c r="S7" s="6">
        <v>9.6852713325215678</v>
      </c>
      <c r="T7" s="6">
        <v>72.382004438548279</v>
      </c>
      <c r="U7" s="6">
        <v>1.4394638787425129</v>
      </c>
      <c r="V7" s="6">
        <v>0</v>
      </c>
      <c r="W7" s="6">
        <v>0</v>
      </c>
      <c r="X7" s="57">
        <v>0</v>
      </c>
      <c r="Y7" s="6">
        <v>230.31117172256856</v>
      </c>
      <c r="Z7" s="6">
        <v>0</v>
      </c>
      <c r="AA7" s="6">
        <v>0</v>
      </c>
      <c r="AB7" s="6">
        <v>0</v>
      </c>
      <c r="AC7" s="6">
        <v>0</v>
      </c>
      <c r="AD7" s="41">
        <v>0</v>
      </c>
      <c r="AE7" s="6">
        <v>0</v>
      </c>
      <c r="AF7" s="6">
        <v>1.6270660098606533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1.5812101831283181</v>
      </c>
      <c r="AM7" s="41">
        <v>0</v>
      </c>
      <c r="AN7" s="6">
        <v>1.7885305999732002</v>
      </c>
      <c r="AO7" s="6">
        <v>0</v>
      </c>
      <c r="AP7" s="6">
        <v>0</v>
      </c>
      <c r="AQ7" s="6">
        <v>0</v>
      </c>
      <c r="AR7" s="6">
        <v>4.8568285335089296</v>
      </c>
      <c r="AS7" s="6">
        <v>0</v>
      </c>
      <c r="AT7" s="6">
        <v>1.4679579775908658</v>
      </c>
      <c r="AU7" s="6">
        <v>3.0246297206634032</v>
      </c>
      <c r="AV7" s="6"/>
      <c r="AW7" s="6">
        <f>BD7</f>
        <v>343.60687751032526</v>
      </c>
      <c r="AX7" s="6">
        <f>SUM(M7:O7,R7:AC7,AE7:AH7,AK7:AL7,AN7:AP7,AR7:AU7)</f>
        <v>346.63150723098869</v>
      </c>
      <c r="BD7" s="6">
        <f>AX7-AU7</f>
        <v>343.60687751032526</v>
      </c>
    </row>
    <row r="8" spans="1:60">
      <c r="A8" t="s">
        <v>135</v>
      </c>
      <c r="B8" t="s">
        <v>139</v>
      </c>
      <c r="C8" t="s">
        <v>100</v>
      </c>
      <c r="E8" t="s">
        <v>42</v>
      </c>
      <c r="G8" t="s">
        <v>40</v>
      </c>
      <c r="H8" t="s">
        <v>41</v>
      </c>
      <c r="I8">
        <v>2020</v>
      </c>
      <c r="J8" t="s">
        <v>43</v>
      </c>
      <c r="L8" s="6">
        <v>0</v>
      </c>
      <c r="M8" s="6">
        <v>13.763613900985881</v>
      </c>
      <c r="N8" s="52">
        <v>17.36917363811672</v>
      </c>
      <c r="O8" s="6">
        <v>8.5780194617771581</v>
      </c>
      <c r="P8" s="6">
        <v>0</v>
      </c>
      <c r="Q8" s="41">
        <v>0</v>
      </c>
      <c r="R8" s="6">
        <v>0</v>
      </c>
      <c r="S8" s="6">
        <v>14.641597428457208</v>
      </c>
      <c r="T8" s="6">
        <v>48.939887571067857</v>
      </c>
      <c r="U8" s="6">
        <v>0.67147150156021984</v>
      </c>
      <c r="V8" s="6">
        <v>0</v>
      </c>
      <c r="W8" s="6">
        <v>106.07933527838496</v>
      </c>
      <c r="X8" s="57">
        <v>0</v>
      </c>
      <c r="Y8" s="6">
        <v>228.25899803193647</v>
      </c>
      <c r="Z8" s="6">
        <v>14.722842728140789</v>
      </c>
      <c r="AA8" s="6">
        <v>0</v>
      </c>
      <c r="AB8" s="6">
        <v>4.2584532651923217</v>
      </c>
      <c r="AC8" s="6">
        <v>0</v>
      </c>
      <c r="AD8" s="41">
        <v>0</v>
      </c>
      <c r="AE8" s="6">
        <v>44.343330696921939</v>
      </c>
      <c r="AF8" s="6">
        <v>24.295866760260513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14.17204036627616</v>
      </c>
      <c r="AM8" s="41">
        <v>0</v>
      </c>
      <c r="AN8" s="6">
        <v>28.690385093576516</v>
      </c>
      <c r="AO8" s="6">
        <v>0.20171668365858555</v>
      </c>
      <c r="AP8" s="6">
        <v>9.8986830277410256</v>
      </c>
      <c r="AQ8" s="6">
        <v>0</v>
      </c>
      <c r="AR8" s="6">
        <v>4.5473747137070069</v>
      </c>
      <c r="AS8" s="6">
        <v>0</v>
      </c>
      <c r="AT8" s="6">
        <v>1.6141066497428975</v>
      </c>
      <c r="AU8" s="6">
        <v>18.16654429965606</v>
      </c>
      <c r="AV8" s="6"/>
      <c r="AW8" s="6">
        <f>BE8</f>
        <v>585.04689679750425</v>
      </c>
      <c r="AY8" s="6">
        <f>SUM(M8:O8,R8:AC8,AE8:AH8,AK8:AL8,AN8:AP8,AR8:AU8)</f>
        <v>603.21344109716028</v>
      </c>
      <c r="BE8" s="6">
        <f>AY8-AU8</f>
        <v>585.04689679750425</v>
      </c>
    </row>
    <row r="9" spans="1:60">
      <c r="A9" t="s">
        <v>135</v>
      </c>
      <c r="B9" t="s">
        <v>139</v>
      </c>
      <c r="C9" t="s">
        <v>100</v>
      </c>
      <c r="E9" t="s">
        <v>42</v>
      </c>
      <c r="G9" t="s">
        <v>40</v>
      </c>
      <c r="H9" t="s">
        <v>41</v>
      </c>
      <c r="I9">
        <v>2030</v>
      </c>
      <c r="J9" t="s">
        <v>43</v>
      </c>
      <c r="L9" s="6">
        <v>0</v>
      </c>
      <c r="M9" s="6">
        <v>15.318842539611374</v>
      </c>
      <c r="N9" s="52">
        <v>30.820799132111134</v>
      </c>
      <c r="O9" s="6">
        <v>1.5152494318523886</v>
      </c>
      <c r="P9" s="6">
        <v>0</v>
      </c>
      <c r="Q9" s="41">
        <v>0</v>
      </c>
      <c r="R9" s="6">
        <v>0</v>
      </c>
      <c r="S9" s="6">
        <v>25.037529546114548</v>
      </c>
      <c r="T9" s="6">
        <v>45.765400444768964</v>
      </c>
      <c r="U9" s="6">
        <v>1.3470716291842988</v>
      </c>
      <c r="V9" s="6">
        <v>0</v>
      </c>
      <c r="W9" s="6">
        <v>136.66556269251532</v>
      </c>
      <c r="X9" s="57">
        <v>0</v>
      </c>
      <c r="Y9" s="6">
        <v>251.3532413835253</v>
      </c>
      <c r="Z9" s="6">
        <v>16.523797685978383</v>
      </c>
      <c r="AA9" s="6">
        <v>0</v>
      </c>
      <c r="AB9" s="6">
        <v>9.133254197327382</v>
      </c>
      <c r="AC9" s="6">
        <v>0</v>
      </c>
      <c r="AD9" s="41">
        <v>0</v>
      </c>
      <c r="AE9" s="6">
        <v>110.97734973223722</v>
      </c>
      <c r="AF9" s="6">
        <v>33.857988085848191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20.938520977084668</v>
      </c>
      <c r="AM9" s="41">
        <v>0</v>
      </c>
      <c r="AN9" s="6">
        <v>47.667554674149017</v>
      </c>
      <c r="AO9" s="6">
        <v>6.4776837176426988E-2</v>
      </c>
      <c r="AP9" s="6">
        <v>6.1280271030998458E-3</v>
      </c>
      <c r="AQ9" s="6">
        <v>0</v>
      </c>
      <c r="AR9" s="6">
        <v>5.100918975969905</v>
      </c>
      <c r="AS9" s="6">
        <v>0</v>
      </c>
      <c r="AT9" s="6">
        <v>4.2235842290642509</v>
      </c>
      <c r="AU9" s="6">
        <v>126.16931880941168</v>
      </c>
      <c r="AV9" s="6"/>
      <c r="AW9" s="6">
        <f>BF9</f>
        <v>756.31757022162174</v>
      </c>
      <c r="AZ9" s="6">
        <f>SUM(M9:O9,R9:AC9,AE9:AH9,AK9:AL9,AN9:AP9,AR9:AU9)</f>
        <v>882.48688903103346</v>
      </c>
      <c r="BF9" s="6">
        <f>AZ9-AU9</f>
        <v>756.31757022162174</v>
      </c>
    </row>
    <row r="10" spans="1:60">
      <c r="A10" t="s">
        <v>135</v>
      </c>
      <c r="B10" t="s">
        <v>139</v>
      </c>
      <c r="C10" t="s">
        <v>100</v>
      </c>
      <c r="E10" t="s">
        <v>42</v>
      </c>
      <c r="G10" t="s">
        <v>40</v>
      </c>
      <c r="H10" t="s">
        <v>41</v>
      </c>
      <c r="I10">
        <v>2040</v>
      </c>
      <c r="J10" t="s">
        <v>43</v>
      </c>
      <c r="L10" s="6">
        <v>0</v>
      </c>
      <c r="M10" s="6">
        <v>14.826541323951419</v>
      </c>
      <c r="N10" s="52">
        <v>33.647112604780531</v>
      </c>
      <c r="O10" s="6">
        <v>8.7856949140811871</v>
      </c>
      <c r="P10" s="6">
        <v>0</v>
      </c>
      <c r="Q10" s="41">
        <v>0</v>
      </c>
      <c r="R10" s="6">
        <v>0</v>
      </c>
      <c r="S10" s="6">
        <v>29.67275534705723</v>
      </c>
      <c r="T10" s="6">
        <v>44.590686463655651</v>
      </c>
      <c r="U10" s="6">
        <v>2.103594770982987</v>
      </c>
      <c r="V10" s="6">
        <v>0</v>
      </c>
      <c r="W10" s="6">
        <v>154.33494330015009</v>
      </c>
      <c r="X10" s="57">
        <v>0</v>
      </c>
      <c r="Y10" s="6">
        <v>241.64204744278373</v>
      </c>
      <c r="Z10" s="6">
        <v>19.241579590719617</v>
      </c>
      <c r="AA10" s="6">
        <v>0</v>
      </c>
      <c r="AB10" s="6">
        <v>12.800706311393654</v>
      </c>
      <c r="AC10" s="6">
        <v>0</v>
      </c>
      <c r="AD10" s="41">
        <v>0</v>
      </c>
      <c r="AE10" s="6">
        <v>119.96625026962333</v>
      </c>
      <c r="AF10" s="6">
        <v>37.812739681708194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17.58706915481066</v>
      </c>
      <c r="AM10" s="41">
        <v>0</v>
      </c>
      <c r="AN10" s="6">
        <v>89.370986925302731</v>
      </c>
      <c r="AO10" s="6">
        <v>0.22237599582774784</v>
      </c>
      <c r="AP10" s="6">
        <v>9.5818844848198612</v>
      </c>
      <c r="AQ10" s="6">
        <v>0</v>
      </c>
      <c r="AR10" s="6">
        <v>5.2708450095858828</v>
      </c>
      <c r="AS10" s="6">
        <v>0</v>
      </c>
      <c r="AT10" s="6">
        <v>6.3034391982607962</v>
      </c>
      <c r="AU10" s="6">
        <v>96.761883173129391</v>
      </c>
      <c r="AV10" s="6"/>
      <c r="AW10" s="6">
        <f>BG10</f>
        <v>847.7612527894953</v>
      </c>
      <c r="AZ10" s="6"/>
      <c r="BA10" s="6">
        <f>SUM(M10:O10,R10:AC10,AE10:AH10,AK10:AL10,AN10:AP10,AR10:AU10)</f>
        <v>944.52313596262468</v>
      </c>
      <c r="BG10" s="6">
        <f>BA10-AU10</f>
        <v>847.7612527894953</v>
      </c>
    </row>
    <row r="11" spans="1:60">
      <c r="A11" t="s">
        <v>135</v>
      </c>
      <c r="B11" t="s">
        <v>139</v>
      </c>
      <c r="C11" t="s">
        <v>100</v>
      </c>
      <c r="E11" t="s">
        <v>42</v>
      </c>
      <c r="G11" t="s">
        <v>40</v>
      </c>
      <c r="H11" s="5" t="s">
        <v>41</v>
      </c>
      <c r="I11" s="5">
        <v>2050</v>
      </c>
      <c r="J11" s="5" t="s">
        <v>43</v>
      </c>
      <c r="K11" s="5"/>
      <c r="L11" s="7">
        <v>0</v>
      </c>
      <c r="M11" s="7">
        <v>14.335299148984362</v>
      </c>
      <c r="N11" s="53">
        <v>36.400841195090337</v>
      </c>
      <c r="O11" s="7">
        <v>11.674660652140407</v>
      </c>
      <c r="P11" s="7">
        <v>0</v>
      </c>
      <c r="Q11" s="41">
        <v>0</v>
      </c>
      <c r="R11" s="7">
        <v>0</v>
      </c>
      <c r="S11" s="7">
        <v>34.388210855291582</v>
      </c>
      <c r="T11" s="7">
        <v>43.513847023492417</v>
      </c>
      <c r="U11" s="7">
        <v>2.6991449516613688</v>
      </c>
      <c r="V11" s="7">
        <v>0</v>
      </c>
      <c r="W11" s="7">
        <v>170.00479257615217</v>
      </c>
      <c r="X11" s="58">
        <v>0</v>
      </c>
      <c r="Y11" s="7">
        <v>231.88142905842523</v>
      </c>
      <c r="Z11" s="7">
        <v>21.77410832860982</v>
      </c>
      <c r="AA11" s="7">
        <v>0</v>
      </c>
      <c r="AB11" s="7">
        <v>16.997486854686628</v>
      </c>
      <c r="AC11" s="7">
        <v>0</v>
      </c>
      <c r="AD11" s="41">
        <v>0</v>
      </c>
      <c r="AE11" s="7">
        <v>130.29806576169997</v>
      </c>
      <c r="AF11" s="7">
        <v>41.634753313809249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14.358482242310025</v>
      </c>
      <c r="AM11" s="42">
        <v>0</v>
      </c>
      <c r="AN11" s="7">
        <v>133.0356442755849</v>
      </c>
      <c r="AO11" s="7">
        <v>0.47666832169245538</v>
      </c>
      <c r="AP11" s="7">
        <v>9.3721601651697988</v>
      </c>
      <c r="AQ11" s="7">
        <v>0</v>
      </c>
      <c r="AR11" s="7">
        <v>5.4375972186382366</v>
      </c>
      <c r="AS11" s="7">
        <v>0</v>
      </c>
      <c r="AT11" s="7">
        <v>8.7917621933171102</v>
      </c>
      <c r="AU11" s="7">
        <v>67.979602559701917</v>
      </c>
      <c r="AV11" s="6"/>
      <c r="AW11" s="6">
        <f>BH11</f>
        <v>927.07495413675611</v>
      </c>
      <c r="AZ11" s="6"/>
      <c r="BA11" s="6"/>
      <c r="BB11" s="6">
        <f>SUM(M11:O11,R11:AC11,AE11:AH11,AK11:AL11,AN11:AP11,AR11:AU11)</f>
        <v>995.05455669645801</v>
      </c>
      <c r="BH11" s="6">
        <f>BB11-AU11</f>
        <v>927.07495413675611</v>
      </c>
    </row>
    <row r="12" spans="1:60">
      <c r="A12" t="s">
        <v>135</v>
      </c>
      <c r="B12" t="s">
        <v>139</v>
      </c>
      <c r="C12" t="s">
        <v>94</v>
      </c>
      <c r="F12" t="s">
        <v>105</v>
      </c>
      <c r="H12" t="s">
        <v>45</v>
      </c>
      <c r="I12">
        <v>2005</v>
      </c>
      <c r="J12" t="s">
        <v>43</v>
      </c>
      <c r="L12" s="6">
        <v>4.322700563148743</v>
      </c>
      <c r="M12" s="6">
        <v>3.7313424360020333</v>
      </c>
      <c r="N12" s="52">
        <v>3.7483714471093954</v>
      </c>
      <c r="O12" s="6">
        <v>7.6957777433695558</v>
      </c>
      <c r="P12" s="6">
        <v>5.0657973172360489</v>
      </c>
      <c r="Q12" s="6"/>
      <c r="R12" s="6">
        <v>7.7652205544134114</v>
      </c>
      <c r="S12" s="6">
        <v>3.6633593917936813</v>
      </c>
      <c r="T12" s="6">
        <v>3.7304316623830958</v>
      </c>
      <c r="U12" s="6">
        <v>5.2892617675841684</v>
      </c>
      <c r="V12" s="6">
        <v>7.7257092217077661</v>
      </c>
      <c r="W12" s="6">
        <v>3.710426995169771</v>
      </c>
      <c r="X12" s="6">
        <v>3.7604921982181829</v>
      </c>
      <c r="Y12" s="6">
        <v>3.7404681786675629</v>
      </c>
      <c r="Z12" s="6">
        <v>3.6960761704180403</v>
      </c>
      <c r="AA12" s="6">
        <v>4.3014237125880168</v>
      </c>
      <c r="AB12" s="6">
        <v>3.6519030006241908</v>
      </c>
      <c r="AC12" s="6">
        <v>7.807495029643011</v>
      </c>
      <c r="AD12" s="6"/>
      <c r="AE12" s="6">
        <v>3.7535259583020384</v>
      </c>
      <c r="AF12" s="6">
        <v>3.6398196400059577</v>
      </c>
      <c r="AG12" s="6">
        <v>3.7483714471093954</v>
      </c>
      <c r="AH12" s="6">
        <v>3.6513503151431945</v>
      </c>
      <c r="AI12" s="6">
        <v>0</v>
      </c>
      <c r="AJ12" s="6">
        <v>4.98886290942324</v>
      </c>
      <c r="AK12" s="6">
        <v>7.7381441196977025</v>
      </c>
      <c r="AL12" s="6">
        <v>3.7587972242545775</v>
      </c>
      <c r="AM12" s="6">
        <v>3.8991766045141847</v>
      </c>
      <c r="AN12" s="6">
        <v>3.649621437352617</v>
      </c>
      <c r="AO12" s="6">
        <v>3.6698931683302765</v>
      </c>
      <c r="AP12" s="6">
        <v>3.6253669122302443</v>
      </c>
      <c r="AQ12" s="6">
        <v>4.322700563148743</v>
      </c>
      <c r="AR12" s="6">
        <v>3.7850474161029064</v>
      </c>
      <c r="AS12" s="6">
        <v>7.7449267105062232</v>
      </c>
      <c r="AT12" s="6">
        <v>3.6623611582834279</v>
      </c>
      <c r="AU12" s="6">
        <v>3.7657060192813172</v>
      </c>
      <c r="AV12" s="6"/>
      <c r="AW12" s="6"/>
      <c r="AZ12" s="6"/>
      <c r="BA12" s="6"/>
      <c r="BB12" s="6"/>
    </row>
    <row r="13" spans="1:60">
      <c r="A13" t="s">
        <v>135</v>
      </c>
      <c r="B13" t="s">
        <v>139</v>
      </c>
      <c r="C13" t="s">
        <v>94</v>
      </c>
      <c r="F13" t="s">
        <v>105</v>
      </c>
      <c r="H13" t="s">
        <v>45</v>
      </c>
      <c r="I13">
        <v>2010</v>
      </c>
      <c r="J13" t="s">
        <v>43</v>
      </c>
      <c r="L13" s="6">
        <v>4.322700563148743</v>
      </c>
      <c r="M13" s="6">
        <v>3.7313424360020333</v>
      </c>
      <c r="N13" s="52">
        <v>3.7483714471093954</v>
      </c>
      <c r="O13" s="6">
        <v>7.6957777433695558</v>
      </c>
      <c r="P13" s="6">
        <v>5.0657973172360489</v>
      </c>
      <c r="Q13" s="6"/>
      <c r="R13" s="6">
        <v>7.7652205544134114</v>
      </c>
      <c r="S13" s="6">
        <v>3.6633593917936813</v>
      </c>
      <c r="T13" s="6">
        <v>3.7304316623830958</v>
      </c>
      <c r="U13" s="6">
        <v>5.2892617675841684</v>
      </c>
      <c r="V13" s="6">
        <v>7.7257092217077661</v>
      </c>
      <c r="W13" s="6">
        <v>3.710426995169771</v>
      </c>
      <c r="X13" s="6">
        <v>3.7604921982181829</v>
      </c>
      <c r="Y13" s="6">
        <v>3.7404681786675629</v>
      </c>
      <c r="Z13" s="6">
        <v>3.6960761704180403</v>
      </c>
      <c r="AA13" s="6">
        <v>4.3014237125880168</v>
      </c>
      <c r="AB13" s="6">
        <v>3.6519030006241908</v>
      </c>
      <c r="AC13" s="6">
        <v>7.807495029643011</v>
      </c>
      <c r="AD13" s="6"/>
      <c r="AE13" s="6">
        <v>3.7535259583020384</v>
      </c>
      <c r="AF13" s="6">
        <v>3.6398196400059577</v>
      </c>
      <c r="AG13" s="14">
        <v>3.7483714471093954</v>
      </c>
      <c r="AH13" s="6">
        <v>3.6513503151431945</v>
      </c>
      <c r="AI13" s="6">
        <v>0</v>
      </c>
      <c r="AJ13" s="6">
        <v>4.98886290942324</v>
      </c>
      <c r="AK13" s="6">
        <v>7.7381441196977025</v>
      </c>
      <c r="AL13" s="6">
        <v>3.7587972242545775</v>
      </c>
      <c r="AM13" s="6">
        <v>3.8991766045141847</v>
      </c>
      <c r="AN13" s="6">
        <v>3.649621437352617</v>
      </c>
      <c r="AO13" s="6">
        <v>3.6698931683302765</v>
      </c>
      <c r="AP13" s="6">
        <v>3.6253669122302443</v>
      </c>
      <c r="AQ13" s="6">
        <v>4.322700563148743</v>
      </c>
      <c r="AR13" s="6">
        <v>3.7850474161029064</v>
      </c>
      <c r="AS13" s="6">
        <v>7.7449267105062232</v>
      </c>
      <c r="AT13" s="6">
        <v>3.6623611582834279</v>
      </c>
      <c r="AU13" s="6">
        <v>3.7657060192813172</v>
      </c>
      <c r="AV13" s="6"/>
      <c r="AW13" s="6"/>
      <c r="AY13" s="6"/>
      <c r="AZ13" s="6"/>
      <c r="BA13" s="6"/>
      <c r="BB13" s="6"/>
    </row>
    <row r="14" spans="1:60">
      <c r="A14" t="s">
        <v>135</v>
      </c>
      <c r="B14" t="s">
        <v>139</v>
      </c>
      <c r="C14" t="s">
        <v>94</v>
      </c>
      <c r="F14" t="s">
        <v>105</v>
      </c>
      <c r="H14" t="s">
        <v>45</v>
      </c>
      <c r="I14">
        <v>2020</v>
      </c>
      <c r="J14" t="s">
        <v>43</v>
      </c>
      <c r="L14" s="6">
        <v>4.5255391517082293</v>
      </c>
      <c r="M14" s="6">
        <v>3.7764228064853191</v>
      </c>
      <c r="N14" s="52">
        <v>3.7934518175926821</v>
      </c>
      <c r="O14" s="6">
        <v>3.6715363678854609</v>
      </c>
      <c r="P14" s="6">
        <v>4.5255391517082293</v>
      </c>
      <c r="Q14" s="6"/>
      <c r="R14" s="6">
        <v>6.9156303549158293</v>
      </c>
      <c r="S14" s="6">
        <v>3.7041531669491223</v>
      </c>
      <c r="T14" s="6">
        <v>3.7755120328663847</v>
      </c>
      <c r="U14" s="6">
        <v>5.3552420628327058</v>
      </c>
      <c r="V14" s="6">
        <v>6.876119022210184</v>
      </c>
      <c r="W14" s="6">
        <v>3.7555073656530591</v>
      </c>
      <c r="X14" s="6">
        <v>3.8055725687014688</v>
      </c>
      <c r="Y14" s="6">
        <v>3.785548549150846</v>
      </c>
      <c r="Z14" s="6">
        <v>3.741156540901327</v>
      </c>
      <c r="AA14" s="6">
        <v>4.5042623011475023</v>
      </c>
      <c r="AB14" s="6">
        <v>3.6926967757796323</v>
      </c>
      <c r="AC14" s="6">
        <v>6.9579048301454289</v>
      </c>
      <c r="AD14" s="6"/>
      <c r="AE14" s="6">
        <v>3.7986063287853229</v>
      </c>
      <c r="AF14" s="6">
        <v>3.6806134151613992</v>
      </c>
      <c r="AG14" s="14">
        <v>3.7934518175926821</v>
      </c>
      <c r="AH14" s="6">
        <v>3.6921440902986356</v>
      </c>
      <c r="AI14" s="6">
        <v>0</v>
      </c>
      <c r="AJ14" s="6">
        <v>4.3617963370871422</v>
      </c>
      <c r="AK14" s="6">
        <v>6.8885539202001214</v>
      </c>
      <c r="AL14" s="6">
        <v>3.8038775947378642</v>
      </c>
      <c r="AM14" s="6">
        <v>3.5166582372358364</v>
      </c>
      <c r="AN14" s="6">
        <v>3.6904152125080594</v>
      </c>
      <c r="AO14" s="6">
        <v>3.7149735388135632</v>
      </c>
      <c r="AP14" s="6">
        <v>3.6637654647095816</v>
      </c>
      <c r="AQ14" s="6">
        <v>4.5255391517082293</v>
      </c>
      <c r="AR14" s="6">
        <v>3.8301277865861927</v>
      </c>
      <c r="AS14" s="6">
        <v>6.8953365110086411</v>
      </c>
      <c r="AT14" s="6">
        <v>3.7031549334388689</v>
      </c>
      <c r="AU14" s="6">
        <v>3.8107863897646004</v>
      </c>
      <c r="AV14" s="6"/>
      <c r="AW14" s="6"/>
      <c r="AY14" s="6"/>
      <c r="AZ14" s="6"/>
      <c r="BA14" s="6"/>
      <c r="BB14" s="6"/>
    </row>
    <row r="15" spans="1:60">
      <c r="A15" t="s">
        <v>135</v>
      </c>
      <c r="B15" t="s">
        <v>139</v>
      </c>
      <c r="C15" t="s">
        <v>94</v>
      </c>
      <c r="F15" t="s">
        <v>105</v>
      </c>
      <c r="H15" t="s">
        <v>45</v>
      </c>
      <c r="I15">
        <v>2030</v>
      </c>
      <c r="J15" t="s">
        <v>43</v>
      </c>
      <c r="L15" s="6">
        <v>4.3253392985740806</v>
      </c>
      <c r="M15" s="6">
        <v>4.0289004682390468</v>
      </c>
      <c r="N15" s="52">
        <v>4.0459294793464089</v>
      </c>
      <c r="O15" s="6">
        <v>3.9233864655297506</v>
      </c>
      <c r="P15" s="6">
        <v>4.6588269006323868</v>
      </c>
      <c r="Q15" s="6"/>
      <c r="R15" s="6">
        <v>7.4208289311344551</v>
      </c>
      <c r="S15" s="6">
        <v>3.9575424473782106</v>
      </c>
      <c r="T15" s="6">
        <v>4.0279896946201097</v>
      </c>
      <c r="U15" s="6">
        <v>5.7247720930339305</v>
      </c>
      <c r="V15" s="6">
        <v>7.3813175984288089</v>
      </c>
      <c r="W15" s="6">
        <v>4.007985027406785</v>
      </c>
      <c r="X15" s="6">
        <v>4.058050230455196</v>
      </c>
      <c r="Y15" s="6">
        <v>4.0380262109045741</v>
      </c>
      <c r="Z15" s="6">
        <v>3.9936342026550546</v>
      </c>
      <c r="AA15" s="6">
        <v>4.3040624480133536</v>
      </c>
      <c r="AB15" s="6">
        <v>3.9460860562087201</v>
      </c>
      <c r="AC15" s="6">
        <v>7.4631034063640538</v>
      </c>
      <c r="AD15" s="6"/>
      <c r="AE15" s="6">
        <v>4.0510839905390492</v>
      </c>
      <c r="AF15" s="6">
        <v>3.934002695590487</v>
      </c>
      <c r="AG15" s="14">
        <v>4.0459294793464089</v>
      </c>
      <c r="AH15" s="6">
        <v>3.9455333707277234</v>
      </c>
      <c r="AI15" s="6">
        <v>0</v>
      </c>
      <c r="AJ15" s="6">
        <v>4.2484048907612717</v>
      </c>
      <c r="AK15" s="6">
        <v>7.3937524964187462</v>
      </c>
      <c r="AL15" s="6">
        <v>4.0563552564915923</v>
      </c>
      <c r="AM15" s="6">
        <v>3.7441181757341564</v>
      </c>
      <c r="AN15" s="6">
        <v>3.9438044929371467</v>
      </c>
      <c r="AO15" s="6">
        <v>3.9674512005672904</v>
      </c>
      <c r="AP15" s="6">
        <v>3.9156155623538718</v>
      </c>
      <c r="AQ15" s="6">
        <v>4.3253392985740806</v>
      </c>
      <c r="AR15" s="6">
        <v>4.0826054483399181</v>
      </c>
      <c r="AS15" s="6">
        <v>7.4005350872272659</v>
      </c>
      <c r="AT15" s="6">
        <v>3.9565442138679567</v>
      </c>
      <c r="AU15" s="6">
        <v>4.063264051518332</v>
      </c>
      <c r="AV15" s="6"/>
      <c r="AW15" s="6"/>
      <c r="AY15" s="6"/>
      <c r="AZ15" s="6"/>
      <c r="BA15" s="6"/>
      <c r="BB15" s="6"/>
    </row>
    <row r="16" spans="1:60">
      <c r="A16" t="s">
        <v>135</v>
      </c>
      <c r="B16" t="s">
        <v>139</v>
      </c>
      <c r="C16" t="s">
        <v>94</v>
      </c>
      <c r="F16" t="s">
        <v>105</v>
      </c>
      <c r="H16" t="s">
        <v>45</v>
      </c>
      <c r="I16">
        <v>2040</v>
      </c>
      <c r="J16" t="s">
        <v>43</v>
      </c>
      <c r="L16" s="6">
        <v>4.3249491757329093</v>
      </c>
      <c r="M16" s="6">
        <v>4.0540558824750308</v>
      </c>
      <c r="N16" s="52">
        <v>4.0710848935823938</v>
      </c>
      <c r="O16" s="6">
        <v>3.9483099653480336</v>
      </c>
      <c r="P16" s="6">
        <v>5.3327967006748924</v>
      </c>
      <c r="Q16" s="6"/>
      <c r="R16" s="6">
        <v>8.3407475641750306</v>
      </c>
      <c r="S16" s="6">
        <v>3.9820771894121347</v>
      </c>
      <c r="T16" s="6">
        <v>4.0531451088560919</v>
      </c>
      <c r="U16" s="6">
        <v>5.7615899283932226</v>
      </c>
      <c r="V16" s="6">
        <v>8.3012362314693853</v>
      </c>
      <c r="W16" s="6">
        <v>4.0331404416427707</v>
      </c>
      <c r="X16" s="6">
        <v>4.0832056446911809</v>
      </c>
      <c r="Y16" s="6">
        <v>4.0631816251405626</v>
      </c>
      <c r="Z16" s="6">
        <v>4.0187896168910378</v>
      </c>
      <c r="AA16" s="6">
        <v>4.3036723251721822</v>
      </c>
      <c r="AB16" s="6">
        <v>3.9706207982426442</v>
      </c>
      <c r="AC16" s="6">
        <v>8.3830220394046293</v>
      </c>
      <c r="AD16" s="6"/>
      <c r="AE16" s="6">
        <v>4.076239404775035</v>
      </c>
      <c r="AF16" s="6">
        <v>3.9585374376244116</v>
      </c>
      <c r="AG16" s="14">
        <v>4.0710848935823938</v>
      </c>
      <c r="AH16" s="6">
        <v>3.9700681127616479</v>
      </c>
      <c r="AI16" s="6">
        <v>0</v>
      </c>
      <c r="AJ16" s="6">
        <v>4.2480147679200995</v>
      </c>
      <c r="AK16" s="6">
        <v>8.3136711294593226</v>
      </c>
      <c r="AL16" s="6">
        <v>4.0815106707275755</v>
      </c>
      <c r="AM16" s="6">
        <v>4.1583011238751588</v>
      </c>
      <c r="AN16" s="6">
        <v>3.9683392349710704</v>
      </c>
      <c r="AO16" s="6">
        <v>3.9926066148032744</v>
      </c>
      <c r="AP16" s="6">
        <v>3.9405390621721548</v>
      </c>
      <c r="AQ16" s="6">
        <v>4.3249491757329093</v>
      </c>
      <c r="AR16" s="6">
        <v>4.1077608625759039</v>
      </c>
      <c r="AS16" s="6">
        <v>8.3204537202678424</v>
      </c>
      <c r="AT16" s="6">
        <v>3.9810789559018818</v>
      </c>
      <c r="AU16" s="6">
        <v>4.0884194657543151</v>
      </c>
      <c r="AV16" s="6"/>
      <c r="AW16" s="6"/>
      <c r="AY16" s="6"/>
      <c r="AZ16" s="6"/>
      <c r="BA16" s="6"/>
      <c r="BB16" s="6"/>
    </row>
    <row r="17" spans="1:60">
      <c r="A17" t="s">
        <v>135</v>
      </c>
      <c r="B17" t="s">
        <v>139</v>
      </c>
      <c r="C17" t="s">
        <v>94</v>
      </c>
      <c r="F17" t="s">
        <v>105</v>
      </c>
      <c r="H17" t="s">
        <v>45</v>
      </c>
      <c r="I17">
        <v>2050</v>
      </c>
      <c r="J17" t="s">
        <v>43</v>
      </c>
      <c r="L17" s="6">
        <v>4.324559052891737</v>
      </c>
      <c r="M17" s="6">
        <v>4.0792112967110148</v>
      </c>
      <c r="N17" s="52">
        <v>4.0962403078183787</v>
      </c>
      <c r="O17" s="6">
        <v>3.9732334651663161</v>
      </c>
      <c r="P17" s="6">
        <v>6.006766500717398</v>
      </c>
      <c r="Q17" s="6"/>
      <c r="R17" s="6">
        <v>9.2606661972156079</v>
      </c>
      <c r="S17" s="6">
        <v>4.0066119314460611</v>
      </c>
      <c r="T17" s="6">
        <v>4.078300523092083</v>
      </c>
      <c r="U17" s="6">
        <v>5.7984077637525155</v>
      </c>
      <c r="V17" s="6">
        <v>9.2211548645099626</v>
      </c>
      <c r="W17" s="6">
        <v>4.058295855878753</v>
      </c>
      <c r="X17" s="6">
        <v>4.1083610589271657</v>
      </c>
      <c r="Y17" s="6">
        <v>4.0883370393765439</v>
      </c>
      <c r="Z17" s="6">
        <v>4.0439450311270235</v>
      </c>
      <c r="AA17" s="6">
        <v>4.3032822023310109</v>
      </c>
      <c r="AB17" s="6">
        <v>3.9951555402765702</v>
      </c>
      <c r="AC17" s="6">
        <v>9.3029406724452066</v>
      </c>
      <c r="AD17" s="6"/>
      <c r="AE17" s="6">
        <v>4.1013948190110217</v>
      </c>
      <c r="AF17" s="6">
        <v>3.983072179658337</v>
      </c>
      <c r="AG17" s="14">
        <v>4.0962403078183787</v>
      </c>
      <c r="AH17" s="6">
        <v>3.9946028547955734</v>
      </c>
      <c r="AI17" s="6">
        <v>0</v>
      </c>
      <c r="AJ17" s="6">
        <v>4.247624645078929</v>
      </c>
      <c r="AK17" s="6">
        <v>9.2335897624998999</v>
      </c>
      <c r="AL17" s="6">
        <v>4.1066660849635621</v>
      </c>
      <c r="AM17" s="6">
        <v>4.572484072016163</v>
      </c>
      <c r="AN17" s="6">
        <v>3.992873977004995</v>
      </c>
      <c r="AO17" s="6">
        <v>4.0177620290392584</v>
      </c>
      <c r="AP17" s="6">
        <v>3.9654625619904382</v>
      </c>
      <c r="AQ17" s="6">
        <v>4.324559052891737</v>
      </c>
      <c r="AR17" s="6">
        <v>4.1329162768118888</v>
      </c>
      <c r="AS17" s="6">
        <v>9.2403723533084214</v>
      </c>
      <c r="AT17" s="6">
        <v>4.0056136979358072</v>
      </c>
      <c r="AU17" s="6">
        <v>4.1135748799902956</v>
      </c>
      <c r="AV17" s="6"/>
      <c r="AW17" s="6"/>
      <c r="AY17" s="6"/>
      <c r="AZ17" s="6"/>
      <c r="BA17" s="6"/>
      <c r="BB17" s="6"/>
    </row>
    <row r="18" spans="1:60">
      <c r="E18" t="s">
        <v>46</v>
      </c>
      <c r="AY18" s="6"/>
      <c r="AZ18" s="6"/>
      <c r="BA18" s="6"/>
      <c r="BB18" s="6"/>
    </row>
    <row r="19" spans="1:60">
      <c r="A19" t="s">
        <v>135</v>
      </c>
      <c r="B19" t="s">
        <v>139</v>
      </c>
      <c r="C19" t="s">
        <v>107</v>
      </c>
      <c r="E19" t="s">
        <v>42</v>
      </c>
      <c r="G19" t="s">
        <v>40</v>
      </c>
      <c r="H19" t="s">
        <v>41</v>
      </c>
      <c r="I19">
        <v>2005</v>
      </c>
      <c r="J19" t="s">
        <v>47</v>
      </c>
      <c r="L19" s="6">
        <v>0</v>
      </c>
      <c r="M19" s="6">
        <v>14.800632084987067</v>
      </c>
      <c r="N19" s="52">
        <v>4.5870892324240868</v>
      </c>
      <c r="O19" s="6">
        <v>0.8831789472176963</v>
      </c>
      <c r="P19" s="6">
        <v>0</v>
      </c>
      <c r="Q19" s="6">
        <v>0</v>
      </c>
      <c r="R19" s="6">
        <v>0</v>
      </c>
      <c r="S19" s="6">
        <v>9.842328918287329</v>
      </c>
      <c r="T19" s="6">
        <v>72.382004438548279</v>
      </c>
      <c r="U19" s="6">
        <v>1.4394638787425129</v>
      </c>
      <c r="V19" s="6">
        <v>0</v>
      </c>
      <c r="W19" s="6">
        <v>6.9529850488308895</v>
      </c>
      <c r="X19" s="57">
        <v>0</v>
      </c>
      <c r="Y19" s="6">
        <v>238.35575720062224</v>
      </c>
      <c r="Z19" s="6">
        <v>0.21723041441646687</v>
      </c>
      <c r="AA19" s="6">
        <v>0</v>
      </c>
      <c r="AB19" s="6">
        <v>5.239984625018149</v>
      </c>
      <c r="AC19" s="6">
        <v>0</v>
      </c>
      <c r="AD19" s="6">
        <v>0</v>
      </c>
      <c r="AE19" s="6">
        <v>3.1492649808079971</v>
      </c>
      <c r="AF19" s="6">
        <v>1.6270660098606533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1.5947528550535097</v>
      </c>
      <c r="AM19" s="6">
        <v>0</v>
      </c>
      <c r="AN19" s="6">
        <v>1.815766164838567</v>
      </c>
      <c r="AO19" s="6">
        <v>9.8478790830838769E-2</v>
      </c>
      <c r="AP19" s="6">
        <v>0.85279282692021596</v>
      </c>
      <c r="AQ19" s="6">
        <v>0</v>
      </c>
      <c r="AR19" s="6">
        <v>4.8568285335089296</v>
      </c>
      <c r="AS19" s="6">
        <v>3.600783082005115E-4</v>
      </c>
      <c r="AT19" s="6">
        <v>1.845100633394031</v>
      </c>
      <c r="AU19" s="6">
        <v>3.0246297206634032</v>
      </c>
      <c r="AV19" s="6"/>
      <c r="AW19" s="6"/>
      <c r="AY19" s="6"/>
    </row>
    <row r="20" spans="1:60">
      <c r="A20" t="s">
        <v>135</v>
      </c>
      <c r="B20" t="s">
        <v>139</v>
      </c>
      <c r="C20" t="s">
        <v>107</v>
      </c>
      <c r="E20" t="s">
        <v>42</v>
      </c>
      <c r="G20" t="s">
        <v>40</v>
      </c>
      <c r="H20" t="s">
        <v>41</v>
      </c>
      <c r="I20">
        <v>2010</v>
      </c>
      <c r="J20" t="s">
        <v>47</v>
      </c>
      <c r="L20" s="6">
        <v>0</v>
      </c>
      <c r="M20" s="6">
        <v>14.800632084987067</v>
      </c>
      <c r="N20" s="52">
        <v>4.5870892324240868</v>
      </c>
      <c r="O20" s="6">
        <v>0.8831789472176963</v>
      </c>
      <c r="P20" s="6">
        <v>0</v>
      </c>
      <c r="Q20" s="6">
        <v>0</v>
      </c>
      <c r="R20" s="6">
        <v>0</v>
      </c>
      <c r="S20" s="6">
        <v>9.842328918287329</v>
      </c>
      <c r="T20" s="6">
        <v>72.382004438548279</v>
      </c>
      <c r="U20" s="6">
        <v>1.4394638787425129</v>
      </c>
      <c r="V20" s="6">
        <v>0</v>
      </c>
      <c r="W20" s="6">
        <v>6.9529850488308895</v>
      </c>
      <c r="X20" s="57">
        <v>0</v>
      </c>
      <c r="Y20" s="6">
        <v>238.35575720062224</v>
      </c>
      <c r="Z20" s="6">
        <v>0.21723041441646687</v>
      </c>
      <c r="AA20" s="6">
        <v>0</v>
      </c>
      <c r="AB20" s="6">
        <v>5.239984625018149</v>
      </c>
      <c r="AC20" s="6">
        <v>0</v>
      </c>
      <c r="AD20" s="6">
        <v>0</v>
      </c>
      <c r="AE20" s="6">
        <v>3.1492649808079971</v>
      </c>
      <c r="AF20" s="6">
        <v>1.6270660098606533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1.5947528550535097</v>
      </c>
      <c r="AM20" s="6">
        <v>0</v>
      </c>
      <c r="AN20" s="6">
        <v>1.815766164838567</v>
      </c>
      <c r="AO20" s="6">
        <v>9.8478790830838769E-2</v>
      </c>
      <c r="AP20" s="6">
        <v>0.85279282692021596</v>
      </c>
      <c r="AQ20" s="6">
        <v>0</v>
      </c>
      <c r="AR20" s="6">
        <v>4.8568285335089296</v>
      </c>
      <c r="AS20" s="6">
        <v>3.600783082005115E-4</v>
      </c>
      <c r="AT20" s="6">
        <v>1.845100633394031</v>
      </c>
      <c r="AU20" s="6">
        <v>3.0246297206634032</v>
      </c>
      <c r="AV20" s="6"/>
      <c r="AW20" s="6">
        <f>BD20</f>
        <v>370.5410656626176</v>
      </c>
      <c r="AX20" s="6">
        <f>SUM(M20:O20,R20:AC20,AE20:AH20,AK20:AL20,AN20:AP20,AR20:AU20)</f>
        <v>373.56569538328102</v>
      </c>
      <c r="BD20" s="6">
        <f>AX20-AU20</f>
        <v>370.5410656626176</v>
      </c>
    </row>
    <row r="21" spans="1:60">
      <c r="A21" t="s">
        <v>135</v>
      </c>
      <c r="B21" t="s">
        <v>139</v>
      </c>
      <c r="C21" t="str">
        <f>C20</f>
        <v>Biodiesel_oil_crops</v>
      </c>
      <c r="E21" t="s">
        <v>42</v>
      </c>
      <c r="G21" t="s">
        <v>40</v>
      </c>
      <c r="H21" t="s">
        <v>41</v>
      </c>
      <c r="I21">
        <v>2020</v>
      </c>
      <c r="J21" t="s">
        <v>47</v>
      </c>
      <c r="L21" s="6">
        <v>0</v>
      </c>
      <c r="M21" s="6">
        <v>14.567521532274274</v>
      </c>
      <c r="N21" s="52">
        <v>17.36917363811672</v>
      </c>
      <c r="O21" s="6">
        <v>14.329187614252268</v>
      </c>
      <c r="P21" s="6">
        <v>0</v>
      </c>
      <c r="Q21" s="6">
        <v>0</v>
      </c>
      <c r="R21" s="6">
        <v>0</v>
      </c>
      <c r="S21" s="6">
        <v>15.282572172397241</v>
      </c>
      <c r="T21" s="6">
        <v>48.939887571067857</v>
      </c>
      <c r="U21" s="6">
        <v>0.67147150156021984</v>
      </c>
      <c r="V21" s="6">
        <v>0</v>
      </c>
      <c r="W21" s="6">
        <v>115.3685793854612</v>
      </c>
      <c r="X21" s="57">
        <v>0</v>
      </c>
      <c r="Y21" s="6">
        <v>260.32804685755656</v>
      </c>
      <c r="Z21" s="6">
        <v>15.302884209995149</v>
      </c>
      <c r="AA21" s="6">
        <v>0</v>
      </c>
      <c r="AB21" s="6">
        <v>11.74511495247177</v>
      </c>
      <c r="AC21" s="6">
        <v>0</v>
      </c>
      <c r="AD21" s="6">
        <v>0</v>
      </c>
      <c r="AE21" s="6">
        <v>47.510161281917618</v>
      </c>
      <c r="AF21" s="6">
        <v>24.295866760260513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14.18866976451668</v>
      </c>
      <c r="AM21" s="6">
        <v>0</v>
      </c>
      <c r="AN21" s="6">
        <v>29.007484262275614</v>
      </c>
      <c r="AO21" s="6">
        <v>1.265239418854172</v>
      </c>
      <c r="AP21" s="6">
        <v>14.891136528904299</v>
      </c>
      <c r="AQ21" s="6">
        <v>0</v>
      </c>
      <c r="AR21" s="6">
        <v>4.5473747137070069</v>
      </c>
      <c r="AS21" s="6">
        <v>0</v>
      </c>
      <c r="AT21" s="6">
        <v>2.65773134596418</v>
      </c>
      <c r="AU21" s="6">
        <v>18.16654429965606</v>
      </c>
      <c r="AV21" s="6"/>
      <c r="AW21" s="6">
        <f>BE21</f>
        <v>652.26810351155336</v>
      </c>
      <c r="AY21" s="6">
        <f>SUM(M21:O21,R21:AC21,AE21:AH21,AK21:AL21,AN21:AP21,AR21:AU21)</f>
        <v>670.4346478112094</v>
      </c>
      <c r="BE21" s="6">
        <f>AY21-AU21</f>
        <v>652.26810351155336</v>
      </c>
    </row>
    <row r="22" spans="1:60">
      <c r="A22" t="s">
        <v>135</v>
      </c>
      <c r="B22" t="s">
        <v>139</v>
      </c>
      <c r="C22" t="str">
        <f t="shared" ref="C22:C24" si="2">C21</f>
        <v>Biodiesel_oil_crops</v>
      </c>
      <c r="E22" t="s">
        <v>42</v>
      </c>
      <c r="G22" t="s">
        <v>40</v>
      </c>
      <c r="H22" t="s">
        <v>41</v>
      </c>
      <c r="I22">
        <v>2030</v>
      </c>
      <c r="J22" t="s">
        <v>47</v>
      </c>
      <c r="L22" s="6">
        <v>0</v>
      </c>
      <c r="M22" s="6">
        <v>16.839362871068552</v>
      </c>
      <c r="N22" s="52">
        <v>30.820799132111134</v>
      </c>
      <c r="O22" s="6">
        <v>7.4500091866200897</v>
      </c>
      <c r="P22" s="6">
        <v>0</v>
      </c>
      <c r="Q22" s="6">
        <v>0</v>
      </c>
      <c r="R22" s="6">
        <v>0</v>
      </c>
      <c r="S22" s="6">
        <v>25.883881812558215</v>
      </c>
      <c r="T22" s="6">
        <v>45.765400444768964</v>
      </c>
      <c r="U22" s="6">
        <v>1.3470716291842988</v>
      </c>
      <c r="V22" s="6">
        <v>0</v>
      </c>
      <c r="W22" s="6">
        <v>143.33376906779648</v>
      </c>
      <c r="X22" s="57">
        <v>0</v>
      </c>
      <c r="Y22" s="6">
        <v>278.30584949663876</v>
      </c>
      <c r="Z22" s="6">
        <v>17.292575002027228</v>
      </c>
      <c r="AA22" s="6">
        <v>0</v>
      </c>
      <c r="AB22" s="6">
        <v>18.133751139205657</v>
      </c>
      <c r="AC22" s="6">
        <v>0</v>
      </c>
      <c r="AD22" s="6">
        <v>0</v>
      </c>
      <c r="AE22" s="6">
        <v>117.02229914100803</v>
      </c>
      <c r="AF22" s="6">
        <v>33.857988085848191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21.058710283587619</v>
      </c>
      <c r="AM22" s="6">
        <v>0</v>
      </c>
      <c r="AN22" s="6">
        <v>48.192338073250333</v>
      </c>
      <c r="AO22" s="6">
        <v>0.79492886339462643</v>
      </c>
      <c r="AP22" s="6">
        <v>7.0778428570212624</v>
      </c>
      <c r="AQ22" s="6">
        <v>0</v>
      </c>
      <c r="AR22" s="6">
        <v>5.100918975969905</v>
      </c>
      <c r="AS22" s="6">
        <v>0</v>
      </c>
      <c r="AT22" s="6">
        <v>4.9650260191988815</v>
      </c>
      <c r="AU22" s="6">
        <v>126.16931880941168</v>
      </c>
      <c r="AV22" s="6"/>
      <c r="AW22" s="6">
        <f>BF22</f>
        <v>823.24252208125802</v>
      </c>
      <c r="AZ22" s="6">
        <f>SUM(M22:O22,R22:AC22,AE22:AH22,AK22:AL22,AN22:AP22,AR22:AU22)</f>
        <v>949.41184089066974</v>
      </c>
      <c r="BF22" s="6">
        <f>AZ22-AU22</f>
        <v>823.24252208125802</v>
      </c>
    </row>
    <row r="23" spans="1:60">
      <c r="A23" t="s">
        <v>135</v>
      </c>
      <c r="B23" t="s">
        <v>139</v>
      </c>
      <c r="C23" t="str">
        <f t="shared" si="2"/>
        <v>Biodiesel_oil_crops</v>
      </c>
      <c r="E23" t="s">
        <v>42</v>
      </c>
      <c r="G23" t="s">
        <v>40</v>
      </c>
      <c r="H23" t="s">
        <v>41</v>
      </c>
      <c r="I23">
        <v>2040</v>
      </c>
      <c r="J23" t="s">
        <v>47</v>
      </c>
      <c r="L23" s="6">
        <v>0</v>
      </c>
      <c r="M23" s="6">
        <v>16.359300700188911</v>
      </c>
      <c r="N23" s="52">
        <v>33.647112604780531</v>
      </c>
      <c r="O23" s="6">
        <v>14.386051281410822</v>
      </c>
      <c r="P23" s="6">
        <v>0</v>
      </c>
      <c r="Q23" s="6">
        <v>0</v>
      </c>
      <c r="R23" s="6">
        <v>0</v>
      </c>
      <c r="S23" s="6">
        <v>30.238557427320718</v>
      </c>
      <c r="T23" s="6">
        <v>44.590686463655651</v>
      </c>
      <c r="U23" s="6">
        <v>2.103594770982987</v>
      </c>
      <c r="V23" s="6">
        <v>0</v>
      </c>
      <c r="W23" s="6">
        <v>158.77471547540998</v>
      </c>
      <c r="X23" s="57">
        <v>0</v>
      </c>
      <c r="Y23" s="6">
        <v>257.75992885029046</v>
      </c>
      <c r="Z23" s="6">
        <v>21.299416597006964</v>
      </c>
      <c r="AA23" s="6">
        <v>0</v>
      </c>
      <c r="AB23" s="6">
        <v>20.865500424696396</v>
      </c>
      <c r="AC23" s="6">
        <v>0</v>
      </c>
      <c r="AD23" s="6">
        <v>0</v>
      </c>
      <c r="AE23" s="6">
        <v>124.14553537132386</v>
      </c>
      <c r="AF23" s="6">
        <v>37.812739681708194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17.641427672315661</v>
      </c>
      <c r="AM23" s="6">
        <v>0</v>
      </c>
      <c r="AN23" s="6">
        <v>89.718982536400176</v>
      </c>
      <c r="AO23" s="6">
        <v>0.81034904499436233</v>
      </c>
      <c r="AP23" s="6">
        <v>16.908654906630233</v>
      </c>
      <c r="AQ23" s="6">
        <v>0</v>
      </c>
      <c r="AR23" s="6">
        <v>5.2708450095858828</v>
      </c>
      <c r="AS23" s="6">
        <v>7.6734917257570955E-19</v>
      </c>
      <c r="AT23" s="6">
        <v>6.6748247709239026</v>
      </c>
      <c r="AU23" s="6">
        <v>96.761883173129391</v>
      </c>
      <c r="AV23" s="6"/>
      <c r="AW23" s="6">
        <f>BG23</f>
        <v>899.00822358962557</v>
      </c>
      <c r="AZ23" s="6"/>
      <c r="BA23" s="6">
        <f>SUM(M23:O23,R23:AC23,AE23:AH23,AK23:AL23,AN23:AP23,AR23:AU23)</f>
        <v>995.77010676275495</v>
      </c>
      <c r="BG23" s="6">
        <f>BA23-AU23</f>
        <v>899.00822358962557</v>
      </c>
    </row>
    <row r="24" spans="1:60">
      <c r="A24" t="s">
        <v>135</v>
      </c>
      <c r="B24" t="s">
        <v>139</v>
      </c>
      <c r="C24" t="str">
        <f t="shared" si="2"/>
        <v>Biodiesel_oil_crops</v>
      </c>
      <c r="E24" t="s">
        <v>42</v>
      </c>
      <c r="G24" t="s">
        <v>40</v>
      </c>
      <c r="H24" t="s">
        <v>41</v>
      </c>
      <c r="I24">
        <v>2050</v>
      </c>
      <c r="J24" t="s">
        <v>47</v>
      </c>
      <c r="L24" s="6">
        <v>0</v>
      </c>
      <c r="M24" s="6">
        <v>15.913268961824624</v>
      </c>
      <c r="N24" s="52">
        <v>36.400841195090337</v>
      </c>
      <c r="O24" s="6">
        <v>17.070373540769396</v>
      </c>
      <c r="P24" s="6">
        <v>0</v>
      </c>
      <c r="Q24" s="6">
        <v>0</v>
      </c>
      <c r="R24" s="6">
        <v>0</v>
      </c>
      <c r="S24" s="6">
        <v>34.696633398390063</v>
      </c>
      <c r="T24" s="6">
        <v>43.513847023492417</v>
      </c>
      <c r="U24" s="6">
        <v>2.6991449516613688</v>
      </c>
      <c r="V24" s="6">
        <v>0</v>
      </c>
      <c r="W24" s="6">
        <v>172.62005311561185</v>
      </c>
      <c r="X24" s="57">
        <v>0</v>
      </c>
      <c r="Y24" s="6">
        <v>239.58660141402365</v>
      </c>
      <c r="Z24" s="6">
        <v>25.07876469773727</v>
      </c>
      <c r="AA24" s="6">
        <v>0</v>
      </c>
      <c r="AB24" s="6">
        <v>24.165148060448821</v>
      </c>
      <c r="AC24" s="6">
        <v>0</v>
      </c>
      <c r="AD24" s="6">
        <v>0</v>
      </c>
      <c r="AE24" s="6">
        <v>132.85097248025011</v>
      </c>
      <c r="AF24" s="6">
        <v>41.634753313809249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14.361126785834015</v>
      </c>
      <c r="AM24" s="6">
        <v>0</v>
      </c>
      <c r="AN24" s="6">
        <v>133.23321237154838</v>
      </c>
      <c r="AO24" s="6">
        <v>0.84273485125258096</v>
      </c>
      <c r="AP24" s="6">
        <v>16.481313649848197</v>
      </c>
      <c r="AQ24" s="6">
        <v>0</v>
      </c>
      <c r="AR24" s="6">
        <v>5.4375972186382366</v>
      </c>
      <c r="AS24" s="6">
        <v>0</v>
      </c>
      <c r="AT24" s="6">
        <v>8.8652760016630214</v>
      </c>
      <c r="AU24" s="6">
        <v>67.979602559701917</v>
      </c>
      <c r="AV24" s="6"/>
      <c r="AW24" s="6">
        <f>BH24</f>
        <v>965.45166303189342</v>
      </c>
      <c r="AZ24" s="6"/>
      <c r="BA24" s="6"/>
      <c r="BB24" s="6">
        <f>SUM(M24:O24,R24:AC24,AE24:AH24,AK24:AL24,AN24:AP24,AR24:AU24)</f>
        <v>1033.4312655915953</v>
      </c>
      <c r="BH24" s="6">
        <f>BB24-AU24</f>
        <v>965.45166303189342</v>
      </c>
    </row>
    <row r="25" spans="1:60">
      <c r="A25" t="s">
        <v>135</v>
      </c>
      <c r="B25" t="s">
        <v>139</v>
      </c>
      <c r="C25" t="s">
        <v>108</v>
      </c>
      <c r="F25" t="s">
        <v>105</v>
      </c>
      <c r="H25" s="36" t="s">
        <v>45</v>
      </c>
      <c r="I25" s="36">
        <v>2005</v>
      </c>
      <c r="J25" s="36" t="s">
        <v>47</v>
      </c>
      <c r="K25" s="36"/>
      <c r="L25" s="37">
        <v>0</v>
      </c>
      <c r="M25" s="37">
        <v>20.462753558783213</v>
      </c>
      <c r="N25" s="92">
        <v>20.553174190219472</v>
      </c>
      <c r="O25" s="37">
        <v>15.845067834063615</v>
      </c>
      <c r="P25" s="37">
        <v>0</v>
      </c>
      <c r="Q25" s="37">
        <v>0</v>
      </c>
      <c r="R25" s="37">
        <v>0</v>
      </c>
      <c r="S25" s="37">
        <v>18.769236654285013</v>
      </c>
      <c r="T25" s="37">
        <v>20.459094318337069</v>
      </c>
      <c r="U25" s="37">
        <v>21.034384971038044</v>
      </c>
      <c r="V25" s="37">
        <v>0</v>
      </c>
      <c r="W25" s="37">
        <v>20.859637220170161</v>
      </c>
      <c r="X25" s="37">
        <v>0</v>
      </c>
      <c r="Y25" s="37">
        <v>20.516978765414319</v>
      </c>
      <c r="Z25" s="37">
        <v>20.551231072584006</v>
      </c>
      <c r="AA25" s="37">
        <v>0</v>
      </c>
      <c r="AB25" s="37">
        <v>19.859443641289019</v>
      </c>
      <c r="AC25" s="37">
        <v>0</v>
      </c>
      <c r="AD25" s="37">
        <v>0</v>
      </c>
      <c r="AE25" s="37">
        <v>19.849471278336466</v>
      </c>
      <c r="AF25" s="37">
        <v>18.63234495721327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20.612187471734433</v>
      </c>
      <c r="AM25" s="37">
        <v>0</v>
      </c>
      <c r="AN25" s="37">
        <v>18.703483670047422</v>
      </c>
      <c r="AO25" s="37">
        <v>20.647690196287176</v>
      </c>
      <c r="AP25" s="37">
        <v>17.980433020003112</v>
      </c>
      <c r="AQ25" s="37">
        <v>0</v>
      </c>
      <c r="AR25" s="37">
        <v>20.745510414801604</v>
      </c>
      <c r="AS25" s="37">
        <v>19.102448169829501</v>
      </c>
      <c r="AT25" s="37">
        <v>18.942189407710174</v>
      </c>
      <c r="AU25" s="37">
        <v>20.644080204642254</v>
      </c>
      <c r="AV25" s="6"/>
      <c r="AW25" s="6"/>
      <c r="AY25" s="6"/>
      <c r="AZ25" s="6"/>
      <c r="BA25" s="6"/>
      <c r="BB25" s="6"/>
    </row>
    <row r="26" spans="1:60">
      <c r="A26" t="s">
        <v>135</v>
      </c>
      <c r="B26" t="s">
        <v>139</v>
      </c>
      <c r="C26" t="s">
        <v>108</v>
      </c>
      <c r="F26" t="s">
        <v>105</v>
      </c>
      <c r="H26" t="s">
        <v>45</v>
      </c>
      <c r="I26">
        <v>2010</v>
      </c>
      <c r="J26" t="s">
        <v>47</v>
      </c>
      <c r="L26" s="6">
        <v>0</v>
      </c>
      <c r="M26" s="6">
        <v>20.462753558783213</v>
      </c>
      <c r="N26" s="52">
        <v>20.553174190219472</v>
      </c>
      <c r="O26" s="6">
        <v>15.845067834063615</v>
      </c>
      <c r="P26" s="6">
        <v>0</v>
      </c>
      <c r="Q26" s="6">
        <v>0</v>
      </c>
      <c r="R26" s="6">
        <v>0</v>
      </c>
      <c r="S26" s="6">
        <v>18.769236654285013</v>
      </c>
      <c r="T26" s="6">
        <v>20.459094318337069</v>
      </c>
      <c r="U26" s="6">
        <v>21.034384971038044</v>
      </c>
      <c r="V26" s="6">
        <v>0</v>
      </c>
      <c r="W26" s="6">
        <v>20.859637220170161</v>
      </c>
      <c r="X26" s="6">
        <v>0</v>
      </c>
      <c r="Y26" s="6">
        <v>20.516978765414319</v>
      </c>
      <c r="Z26" s="6">
        <v>20.551231072584006</v>
      </c>
      <c r="AA26" s="6">
        <v>0</v>
      </c>
      <c r="AB26" s="6">
        <v>19.859443641289019</v>
      </c>
      <c r="AC26" s="6">
        <v>0</v>
      </c>
      <c r="AD26" s="6">
        <v>0</v>
      </c>
      <c r="AE26" s="6">
        <v>19.849471278336466</v>
      </c>
      <c r="AF26" s="6">
        <v>18.63234495721327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20.612187471734433</v>
      </c>
      <c r="AM26" s="6">
        <v>0</v>
      </c>
      <c r="AN26" s="6">
        <v>18.703483670047422</v>
      </c>
      <c r="AO26" s="6">
        <v>20.647690196287176</v>
      </c>
      <c r="AP26" s="6">
        <v>17.980433020003112</v>
      </c>
      <c r="AQ26" s="6">
        <v>0</v>
      </c>
      <c r="AR26" s="6">
        <v>20.745510414801604</v>
      </c>
      <c r="AS26" s="6">
        <v>19.102448169829501</v>
      </c>
      <c r="AT26" s="6">
        <v>18.942189407710174</v>
      </c>
      <c r="AU26" s="6">
        <v>20.644080204642254</v>
      </c>
      <c r="AV26" s="6"/>
      <c r="AW26" s="6"/>
      <c r="AY26" s="6"/>
      <c r="AZ26" s="6"/>
      <c r="BA26" s="6"/>
      <c r="BB26" s="6"/>
    </row>
    <row r="27" spans="1:60">
      <c r="A27" t="s">
        <v>135</v>
      </c>
      <c r="B27" t="s">
        <v>139</v>
      </c>
      <c r="C27" t="s">
        <v>108</v>
      </c>
      <c r="F27" t="s">
        <v>105</v>
      </c>
      <c r="H27" t="s">
        <v>45</v>
      </c>
      <c r="I27">
        <v>2020</v>
      </c>
      <c r="J27" t="s">
        <v>47</v>
      </c>
      <c r="L27" s="6">
        <v>0</v>
      </c>
      <c r="M27" s="6">
        <v>23.384451406787765</v>
      </c>
      <c r="N27" s="52">
        <v>23.495837992582526</v>
      </c>
      <c r="O27" s="6">
        <v>13.77483441601216</v>
      </c>
      <c r="P27" s="6">
        <v>0</v>
      </c>
      <c r="Q27" s="6">
        <v>0</v>
      </c>
      <c r="R27" s="6">
        <v>0</v>
      </c>
      <c r="S27" s="6">
        <v>21.723244555076594</v>
      </c>
      <c r="T27" s="6">
        <v>23.401758120700144</v>
      </c>
      <c r="U27" s="6">
        <v>23.977048773401094</v>
      </c>
      <c r="V27" s="6">
        <v>0</v>
      </c>
      <c r="W27" s="6">
        <v>23.277908629403179</v>
      </c>
      <c r="X27" s="6">
        <v>0</v>
      </c>
      <c r="Y27" s="6">
        <v>23.309001291698213</v>
      </c>
      <c r="Z27" s="6">
        <v>23.173512174596887</v>
      </c>
      <c r="AA27" s="6">
        <v>0</v>
      </c>
      <c r="AB27" s="6">
        <v>22.286490280352382</v>
      </c>
      <c r="AC27" s="6">
        <v>0</v>
      </c>
      <c r="AD27" s="6">
        <v>0</v>
      </c>
      <c r="AE27" s="6">
        <v>23.459173383920316</v>
      </c>
      <c r="AF27" s="6">
        <v>21.62769941478577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23.551277093781589</v>
      </c>
      <c r="AM27" s="6">
        <v>0</v>
      </c>
      <c r="AN27" s="6">
        <v>21.684458101643145</v>
      </c>
      <c r="AO27" s="6">
        <v>23.628331827147793</v>
      </c>
      <c r="AP27" s="6">
        <v>13.555535272344098</v>
      </c>
      <c r="AQ27" s="6">
        <v>0</v>
      </c>
      <c r="AR27" s="6">
        <v>23.688174217164654</v>
      </c>
      <c r="AS27" s="6">
        <v>0</v>
      </c>
      <c r="AT27" s="6">
        <v>22.024119545951962</v>
      </c>
      <c r="AU27" s="6">
        <v>23.586744007005326</v>
      </c>
      <c r="AV27" s="6"/>
      <c r="AW27" s="6"/>
      <c r="AY27" s="6"/>
      <c r="AZ27" s="6"/>
      <c r="BA27" s="6"/>
      <c r="BB27" s="6"/>
    </row>
    <row r="28" spans="1:60">
      <c r="A28" t="s">
        <v>135</v>
      </c>
      <c r="B28" t="s">
        <v>139</v>
      </c>
      <c r="C28" t="s">
        <v>108</v>
      </c>
      <c r="F28" t="s">
        <v>105</v>
      </c>
      <c r="H28" t="s">
        <v>45</v>
      </c>
      <c r="I28">
        <v>2030</v>
      </c>
      <c r="J28" t="s">
        <v>47</v>
      </c>
      <c r="L28" s="6">
        <v>0</v>
      </c>
      <c r="M28" s="6">
        <v>33.524576433761354</v>
      </c>
      <c r="N28" s="52">
        <v>33.711144115031509</v>
      </c>
      <c r="O28" s="6">
        <v>26.150041089753319</v>
      </c>
      <c r="P28" s="6">
        <v>0</v>
      </c>
      <c r="Q28" s="6">
        <v>0</v>
      </c>
      <c r="R28" s="6">
        <v>0</v>
      </c>
      <c r="S28" s="6">
        <v>31.354824651368091</v>
      </c>
      <c r="T28" s="6">
        <v>33.617064243149109</v>
      </c>
      <c r="U28" s="6">
        <v>34.192354895850073</v>
      </c>
      <c r="V28" s="6">
        <v>0</v>
      </c>
      <c r="W28" s="6">
        <v>33.537939194295511</v>
      </c>
      <c r="X28" s="6">
        <v>0</v>
      </c>
      <c r="Y28" s="6">
        <v>33.554016226671152</v>
      </c>
      <c r="Z28" s="6">
        <v>33.352127370388594</v>
      </c>
      <c r="AA28" s="6">
        <v>0</v>
      </c>
      <c r="AB28" s="6">
        <v>31.531774069100301</v>
      </c>
      <c r="AC28" s="6">
        <v>0</v>
      </c>
      <c r="AD28" s="6">
        <v>0</v>
      </c>
      <c r="AE28" s="6">
        <v>33.618586266300547</v>
      </c>
      <c r="AF28" s="6">
        <v>31.313934645720259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33.769050640616534</v>
      </c>
      <c r="AM28" s="6">
        <v>0</v>
      </c>
      <c r="AN28" s="6">
        <v>31.36193578307256</v>
      </c>
      <c r="AO28" s="6">
        <v>33.81525689651825</v>
      </c>
      <c r="AP28" s="6">
        <v>27.385492224161887</v>
      </c>
      <c r="AQ28" s="6">
        <v>0</v>
      </c>
      <c r="AR28" s="6">
        <v>33.90348033961363</v>
      </c>
      <c r="AS28" s="6">
        <v>0</v>
      </c>
      <c r="AT28" s="6">
        <v>31.318176077907992</v>
      </c>
      <c r="AU28" s="6">
        <v>33.802050129454294</v>
      </c>
      <c r="AV28" s="6"/>
      <c r="AW28" s="6"/>
      <c r="AY28" s="6"/>
      <c r="AZ28" s="6"/>
      <c r="BA28" s="6"/>
      <c r="BB28" s="6"/>
    </row>
    <row r="29" spans="1:60">
      <c r="A29" t="s">
        <v>135</v>
      </c>
      <c r="B29" t="s">
        <v>139</v>
      </c>
      <c r="C29" t="s">
        <v>108</v>
      </c>
      <c r="F29" t="s">
        <v>105</v>
      </c>
      <c r="H29" t="s">
        <v>45</v>
      </c>
      <c r="I29">
        <v>2040</v>
      </c>
      <c r="J29" t="s">
        <v>47</v>
      </c>
      <c r="L29" s="6">
        <v>0</v>
      </c>
      <c r="M29" s="6">
        <v>33.590663278293626</v>
      </c>
      <c r="N29" s="52">
        <v>33.668456145106695</v>
      </c>
      <c r="O29" s="6">
        <v>26.314095376710583</v>
      </c>
      <c r="P29" s="6">
        <v>0</v>
      </c>
      <c r="Q29" s="6">
        <v>0</v>
      </c>
      <c r="R29" s="6">
        <v>0</v>
      </c>
      <c r="S29" s="6">
        <v>31.086182487410476</v>
      </c>
      <c r="T29" s="6">
        <v>33.574376273224296</v>
      </c>
      <c r="U29" s="6">
        <v>34.14966692592526</v>
      </c>
      <c r="V29" s="6">
        <v>0</v>
      </c>
      <c r="W29" s="6">
        <v>33.48913658679232</v>
      </c>
      <c r="X29" s="6">
        <v>0</v>
      </c>
      <c r="Y29" s="6">
        <v>33.61118659857312</v>
      </c>
      <c r="Z29" s="6">
        <v>33.197065612452924</v>
      </c>
      <c r="AA29" s="6">
        <v>0</v>
      </c>
      <c r="AB29" s="6">
        <v>31.500817572783564</v>
      </c>
      <c r="AC29" s="6">
        <v>0</v>
      </c>
      <c r="AD29" s="6">
        <v>0</v>
      </c>
      <c r="AE29" s="6">
        <v>33.644078670195981</v>
      </c>
      <c r="AF29" s="6">
        <v>30.970521648942597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33.725319510260604</v>
      </c>
      <c r="AM29" s="6">
        <v>0</v>
      </c>
      <c r="AN29" s="6">
        <v>31.02430384406783</v>
      </c>
      <c r="AO29" s="6">
        <v>33.768751373498503</v>
      </c>
      <c r="AP29" s="6">
        <v>27.466196235661311</v>
      </c>
      <c r="AQ29" s="6">
        <v>0</v>
      </c>
      <c r="AR29" s="6">
        <v>33.860792369688824</v>
      </c>
      <c r="AS29" s="6">
        <v>29.801631843298885</v>
      </c>
      <c r="AT29" s="6">
        <v>31.103926887351307</v>
      </c>
      <c r="AU29" s="6">
        <v>33.759362159529474</v>
      </c>
      <c r="AV29" s="6"/>
      <c r="AW29" s="6"/>
      <c r="AY29" s="6"/>
      <c r="AZ29" s="6"/>
      <c r="BA29" s="6"/>
      <c r="BB29" s="6"/>
    </row>
    <row r="30" spans="1:60">
      <c r="A30" t="s">
        <v>135</v>
      </c>
      <c r="B30" t="s">
        <v>139</v>
      </c>
      <c r="C30" t="s">
        <v>108</v>
      </c>
      <c r="F30" t="s">
        <v>105</v>
      </c>
      <c r="H30" t="s">
        <v>45</v>
      </c>
      <c r="I30">
        <v>2050</v>
      </c>
      <c r="J30" t="s">
        <v>47</v>
      </c>
      <c r="L30" s="6">
        <v>0</v>
      </c>
      <c r="M30" s="6">
        <v>33.607335782181558</v>
      </c>
      <c r="N30" s="52">
        <v>33.625768175181882</v>
      </c>
      <c r="O30" s="6">
        <v>26.144815564279398</v>
      </c>
      <c r="P30" s="6">
        <v>0</v>
      </c>
      <c r="Q30" s="6">
        <v>0</v>
      </c>
      <c r="R30" s="6">
        <v>0</v>
      </c>
      <c r="S30" s="6">
        <v>30.763825916437046</v>
      </c>
      <c r="T30" s="6">
        <v>33.531688303299468</v>
      </c>
      <c r="U30" s="6">
        <v>34.106978956000454</v>
      </c>
      <c r="V30" s="6">
        <v>0</v>
      </c>
      <c r="W30" s="6">
        <v>33.43968257780022</v>
      </c>
      <c r="X30" s="6">
        <v>0</v>
      </c>
      <c r="Y30" s="6">
        <v>33.604162465476684</v>
      </c>
      <c r="Z30" s="6">
        <v>33.177167386099718</v>
      </c>
      <c r="AA30" s="6">
        <v>0</v>
      </c>
      <c r="AB30" s="6">
        <v>31.292520323112591</v>
      </c>
      <c r="AC30" s="6">
        <v>0</v>
      </c>
      <c r="AD30" s="6">
        <v>0</v>
      </c>
      <c r="AE30" s="6">
        <v>33.638349410261135</v>
      </c>
      <c r="AF30" s="6">
        <v>30.627108652164942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33.680600375637347</v>
      </c>
      <c r="AM30" s="6">
        <v>0</v>
      </c>
      <c r="AN30" s="6">
        <v>30.681057955767649</v>
      </c>
      <c r="AO30" s="6">
        <v>33.583198829833194</v>
      </c>
      <c r="AP30" s="6">
        <v>27.928763321482087</v>
      </c>
      <c r="AQ30" s="6">
        <v>0</v>
      </c>
      <c r="AR30" s="6">
        <v>33.818104399764017</v>
      </c>
      <c r="AS30" s="6">
        <v>0</v>
      </c>
      <c r="AT30" s="6">
        <v>30.754556164747278</v>
      </c>
      <c r="AU30" s="6">
        <v>33.716674189604653</v>
      </c>
      <c r="AV30" s="6"/>
      <c r="AW30" s="6"/>
      <c r="AY30" s="6"/>
    </row>
    <row r="31" spans="1:60">
      <c r="E31" t="s">
        <v>46</v>
      </c>
    </row>
    <row r="32" spans="1:60">
      <c r="A32" t="s">
        <v>135</v>
      </c>
      <c r="B32" t="s">
        <v>139</v>
      </c>
      <c r="C32" t="s">
        <v>54</v>
      </c>
      <c r="E32" t="s">
        <v>42</v>
      </c>
      <c r="G32" t="s">
        <v>40</v>
      </c>
      <c r="H32" t="s">
        <v>41</v>
      </c>
      <c r="I32">
        <v>2005</v>
      </c>
      <c r="J32" t="s">
        <v>48</v>
      </c>
      <c r="L32" s="6">
        <v>0</v>
      </c>
      <c r="M32" s="6">
        <v>3.3394367412154486</v>
      </c>
      <c r="N32" s="52">
        <v>4.8592859753590885</v>
      </c>
      <c r="O32" s="6">
        <v>2.9695706520229157</v>
      </c>
      <c r="P32" s="6">
        <v>0</v>
      </c>
      <c r="Q32" s="6">
        <v>0</v>
      </c>
      <c r="R32" s="6">
        <v>0</v>
      </c>
      <c r="S32" s="6">
        <v>3.7135344065224256</v>
      </c>
      <c r="T32" s="6">
        <v>12.469522915636034</v>
      </c>
      <c r="U32" s="6">
        <v>0.44349020267619632</v>
      </c>
      <c r="V32" s="6">
        <v>1.0223422008552478E-2</v>
      </c>
      <c r="W32" s="6">
        <v>13.440987289165255</v>
      </c>
      <c r="X32" s="57">
        <v>0</v>
      </c>
      <c r="Y32" s="6">
        <v>34.164009216694005</v>
      </c>
      <c r="Z32" s="6">
        <v>9.0321378822514724</v>
      </c>
      <c r="AA32" s="6">
        <v>30.150918793453421</v>
      </c>
      <c r="AB32" s="6">
        <v>9.9642599169925816</v>
      </c>
      <c r="AC32" s="6">
        <v>4.6531844293736059E-2</v>
      </c>
      <c r="AD32" s="6">
        <v>0</v>
      </c>
      <c r="AE32" s="6">
        <v>4.4976957175784129</v>
      </c>
      <c r="AF32" s="6">
        <v>1.4906609424875858</v>
      </c>
      <c r="AG32" s="6">
        <v>0.41430963394092846</v>
      </c>
      <c r="AH32" s="6">
        <v>0.82834959704083222</v>
      </c>
      <c r="AI32" s="6">
        <v>0</v>
      </c>
      <c r="AJ32" s="6">
        <v>0</v>
      </c>
      <c r="AK32" s="6">
        <v>0</v>
      </c>
      <c r="AL32" s="6">
        <v>0.58981918002424849</v>
      </c>
      <c r="AM32" s="6">
        <v>0</v>
      </c>
      <c r="AN32" s="6">
        <v>7.8814979048346085</v>
      </c>
      <c r="AO32" s="6">
        <v>0</v>
      </c>
      <c r="AP32" s="6">
        <v>3.4996210999902102</v>
      </c>
      <c r="AQ32" s="6">
        <v>0</v>
      </c>
      <c r="AR32" s="6">
        <v>8.7534768226428454</v>
      </c>
      <c r="AS32" s="6">
        <v>0</v>
      </c>
      <c r="AT32" s="6">
        <v>5.8044894435369487</v>
      </c>
      <c r="AU32" s="6">
        <v>13.937596118883679</v>
      </c>
      <c r="AV32" s="6"/>
      <c r="AW32" s="6"/>
      <c r="AY32" s="6"/>
    </row>
    <row r="33" spans="1:60">
      <c r="A33" t="s">
        <v>135</v>
      </c>
      <c r="B33" t="s">
        <v>139</v>
      </c>
      <c r="C33" t="s">
        <v>54</v>
      </c>
      <c r="E33" t="s">
        <v>42</v>
      </c>
      <c r="G33" t="s">
        <v>40</v>
      </c>
      <c r="H33" t="s">
        <v>41</v>
      </c>
      <c r="I33">
        <v>2010</v>
      </c>
      <c r="J33" t="s">
        <v>48</v>
      </c>
      <c r="L33" s="6">
        <v>0</v>
      </c>
      <c r="M33" s="6">
        <v>3.3394367412154486</v>
      </c>
      <c r="N33" s="52">
        <v>4.8592859753590885</v>
      </c>
      <c r="O33" s="6">
        <v>2.9695706520229157</v>
      </c>
      <c r="P33" s="6">
        <v>0</v>
      </c>
      <c r="Q33" s="6">
        <v>0</v>
      </c>
      <c r="R33" s="6">
        <v>0</v>
      </c>
      <c r="S33" s="6">
        <v>3.7135344065224256</v>
      </c>
      <c r="T33" s="6">
        <v>12.469522915636034</v>
      </c>
      <c r="U33" s="6">
        <v>0.44349020267619632</v>
      </c>
      <c r="V33" s="6">
        <v>1.0223422008552478E-2</v>
      </c>
      <c r="W33" s="6">
        <v>13.440987289165255</v>
      </c>
      <c r="X33" s="57">
        <v>0</v>
      </c>
      <c r="Y33" s="6">
        <v>34.164009216694005</v>
      </c>
      <c r="Z33" s="6">
        <v>9.0321378822514724</v>
      </c>
      <c r="AA33" s="6">
        <v>30.150918793453421</v>
      </c>
      <c r="AB33" s="6">
        <v>9.9642599169925816</v>
      </c>
      <c r="AC33" s="6">
        <v>4.6531844293736059E-2</v>
      </c>
      <c r="AD33" s="6">
        <v>0</v>
      </c>
      <c r="AE33" s="6">
        <v>4.4976957175784129</v>
      </c>
      <c r="AF33" s="6">
        <v>1.4906609424875858</v>
      </c>
      <c r="AG33" s="6">
        <v>0.41430963394092846</v>
      </c>
      <c r="AH33" s="6">
        <v>0.82834959704083222</v>
      </c>
      <c r="AI33" s="6">
        <v>0</v>
      </c>
      <c r="AJ33" s="6">
        <v>0</v>
      </c>
      <c r="AK33" s="6">
        <v>0</v>
      </c>
      <c r="AL33" s="6">
        <v>0.58981918002424849</v>
      </c>
      <c r="AM33" s="6">
        <v>0</v>
      </c>
      <c r="AN33" s="6">
        <v>7.8814979048346085</v>
      </c>
      <c r="AO33" s="6">
        <v>0</v>
      </c>
      <c r="AP33" s="6">
        <v>3.4996210999902102</v>
      </c>
      <c r="AQ33" s="6">
        <v>0</v>
      </c>
      <c r="AR33" s="6">
        <v>8.7534768226428454</v>
      </c>
      <c r="AS33" s="6">
        <v>0</v>
      </c>
      <c r="AT33" s="6">
        <v>5.8044894435369487</v>
      </c>
      <c r="AU33" s="6">
        <v>13.937596118883679</v>
      </c>
      <c r="AV33" s="6"/>
      <c r="AW33" s="6">
        <f>BD33</f>
        <v>158.36382960036775</v>
      </c>
      <c r="AX33" s="6">
        <f>SUM(M33:O33,R33:AC33,AE33:AH33,AK33:AL33,AN33:AP33,AR33:AU33)</f>
        <v>172.30142571925143</v>
      </c>
      <c r="BD33" s="6">
        <f>AX33-AU33</f>
        <v>158.36382960036775</v>
      </c>
    </row>
    <row r="34" spans="1:60">
      <c r="A34" t="s">
        <v>135</v>
      </c>
      <c r="B34" t="s">
        <v>139</v>
      </c>
      <c r="C34" t="s">
        <v>54</v>
      </c>
      <c r="E34" t="s">
        <v>42</v>
      </c>
      <c r="G34" t="s">
        <v>40</v>
      </c>
      <c r="H34" t="s">
        <v>41</v>
      </c>
      <c r="I34">
        <v>2020</v>
      </c>
      <c r="J34" t="s">
        <v>48</v>
      </c>
      <c r="L34" s="6">
        <v>0</v>
      </c>
      <c r="M34" s="6">
        <v>1.0696175420269549</v>
      </c>
      <c r="N34" s="52">
        <v>4.7354622024777067</v>
      </c>
      <c r="O34" s="6">
        <v>8.5624635682716654</v>
      </c>
      <c r="P34" s="6">
        <v>0</v>
      </c>
      <c r="Q34" s="6">
        <v>0</v>
      </c>
      <c r="R34" s="6">
        <v>0</v>
      </c>
      <c r="S34" s="6">
        <v>3.3145743382411634</v>
      </c>
      <c r="T34" s="6">
        <v>2.5178926968183069</v>
      </c>
      <c r="U34" s="6">
        <v>1.6082219311720878</v>
      </c>
      <c r="V34" s="6">
        <v>0.35890929166447583</v>
      </c>
      <c r="W34" s="6">
        <v>25.86549868104812</v>
      </c>
      <c r="X34" s="57">
        <v>0</v>
      </c>
      <c r="Y34" s="6">
        <v>27.062315059819099</v>
      </c>
      <c r="Z34" s="6">
        <v>5.7418704088198877</v>
      </c>
      <c r="AA34" s="6">
        <v>26.515818533982966</v>
      </c>
      <c r="AB34" s="6">
        <v>15.100428339637268</v>
      </c>
      <c r="AC34" s="6">
        <v>0.23210082028744394</v>
      </c>
      <c r="AD34" s="6">
        <v>0</v>
      </c>
      <c r="AE34" s="6">
        <v>19.511393883597485</v>
      </c>
      <c r="AF34" s="6">
        <v>2.356466353819453</v>
      </c>
      <c r="AG34" s="6">
        <v>0.35088535323377879</v>
      </c>
      <c r="AH34" s="6">
        <v>0.74437049154663093</v>
      </c>
      <c r="AI34" s="6">
        <v>0</v>
      </c>
      <c r="AJ34" s="6">
        <v>0</v>
      </c>
      <c r="AK34" s="6">
        <v>0</v>
      </c>
      <c r="AL34" s="6">
        <v>0.69023279712303753</v>
      </c>
      <c r="AM34" s="6">
        <v>0</v>
      </c>
      <c r="AN34" s="6">
        <v>11.164788570732044</v>
      </c>
      <c r="AO34" s="6">
        <v>0.16371980205267317</v>
      </c>
      <c r="AP34" s="6">
        <v>17.805634646432335</v>
      </c>
      <c r="AQ34" s="6">
        <v>0</v>
      </c>
      <c r="AR34" s="6">
        <v>0.82380616087094261</v>
      </c>
      <c r="AS34" s="6">
        <v>4.4361191467919177E-2</v>
      </c>
      <c r="AT34" s="6">
        <v>3.4395420860209747</v>
      </c>
      <c r="AU34" s="6">
        <v>18.084441237828557</v>
      </c>
      <c r="AV34" s="6"/>
      <c r="AW34" s="6">
        <f>BE34</f>
        <v>179.78037475116435</v>
      </c>
      <c r="AY34" s="6">
        <f>SUM(M34:O34,R34:AC34,AE34:AH34,AK34:AL34,AN34:AP34,AR34:AU34)</f>
        <v>197.86481598899292</v>
      </c>
      <c r="BE34" s="6">
        <f>AY34-AU34</f>
        <v>179.78037475116435</v>
      </c>
    </row>
    <row r="35" spans="1:60">
      <c r="A35" t="s">
        <v>135</v>
      </c>
      <c r="B35" t="s">
        <v>139</v>
      </c>
      <c r="C35" t="s">
        <v>54</v>
      </c>
      <c r="E35" t="s">
        <v>42</v>
      </c>
      <c r="G35" t="s">
        <v>40</v>
      </c>
      <c r="H35" t="s">
        <v>41</v>
      </c>
      <c r="I35">
        <v>2030</v>
      </c>
      <c r="J35" t="s">
        <v>48</v>
      </c>
      <c r="L35" s="6">
        <v>0</v>
      </c>
      <c r="M35" s="6">
        <v>1.7958195517345277</v>
      </c>
      <c r="N35" s="52">
        <v>5.0049586173951521</v>
      </c>
      <c r="O35" s="6">
        <v>10.798220249358442</v>
      </c>
      <c r="P35" s="6">
        <v>0</v>
      </c>
      <c r="Q35" s="6">
        <v>0</v>
      </c>
      <c r="R35" s="6">
        <v>0</v>
      </c>
      <c r="S35" s="6">
        <v>6.439965639752959</v>
      </c>
      <c r="T35" s="6">
        <v>3.687837664093192</v>
      </c>
      <c r="U35" s="6">
        <v>2.1193233469780126</v>
      </c>
      <c r="V35" s="6">
        <v>4.5203506134576159</v>
      </c>
      <c r="W35" s="6">
        <v>30.55300114517761</v>
      </c>
      <c r="X35" s="57">
        <v>0</v>
      </c>
      <c r="Y35" s="6">
        <v>37.249134331161969</v>
      </c>
      <c r="Z35" s="6">
        <v>8.837409055991797</v>
      </c>
      <c r="AA35" s="6">
        <v>40.340453521845127</v>
      </c>
      <c r="AB35" s="6">
        <v>21.760031268445776</v>
      </c>
      <c r="AC35" s="6">
        <v>0.25780213814432018</v>
      </c>
      <c r="AD35" s="6">
        <v>0</v>
      </c>
      <c r="AE35" s="6">
        <v>18.480186455676389</v>
      </c>
      <c r="AF35" s="6">
        <v>7.1200226390546204</v>
      </c>
      <c r="AG35" s="6">
        <v>0.35942216661624771</v>
      </c>
      <c r="AH35" s="6">
        <v>3.2025328295096918</v>
      </c>
      <c r="AI35" s="6">
        <v>0</v>
      </c>
      <c r="AJ35" s="6">
        <v>0</v>
      </c>
      <c r="AK35" s="6">
        <v>0</v>
      </c>
      <c r="AL35" s="6">
        <v>0.79204453016331422</v>
      </c>
      <c r="AM35" s="6">
        <v>0</v>
      </c>
      <c r="AN35" s="6">
        <v>15.828578060352072</v>
      </c>
      <c r="AO35" s="6">
        <v>0.14198229262440518</v>
      </c>
      <c r="AP35" s="6">
        <v>24.161946247894324</v>
      </c>
      <c r="AQ35" s="6">
        <v>0</v>
      </c>
      <c r="AR35" s="6">
        <v>0.6375375446967213</v>
      </c>
      <c r="AS35" s="6">
        <v>0.19166908465504856</v>
      </c>
      <c r="AT35" s="6">
        <v>5.190869642446815</v>
      </c>
      <c r="AU35" s="6">
        <v>37.680508387994408</v>
      </c>
      <c r="AV35" s="6"/>
      <c r="AW35" s="6">
        <f>BF35</f>
        <v>249.47109863722608</v>
      </c>
      <c r="AZ35" s="6">
        <f>SUM(M35:O35,R35:AC35,AE35:AH35,AK35:AL35,AN35:AP35,AR35:AU35)</f>
        <v>287.15160702522047</v>
      </c>
      <c r="BF35" s="6">
        <f>AZ35-AU35</f>
        <v>249.47109863722608</v>
      </c>
    </row>
    <row r="36" spans="1:60">
      <c r="A36" t="s">
        <v>135</v>
      </c>
      <c r="B36" t="s">
        <v>139</v>
      </c>
      <c r="C36" t="s">
        <v>54</v>
      </c>
      <c r="E36" t="s">
        <v>42</v>
      </c>
      <c r="G36" t="s">
        <v>40</v>
      </c>
      <c r="H36" t="s">
        <v>41</v>
      </c>
      <c r="I36">
        <v>2040</v>
      </c>
      <c r="J36" t="s">
        <v>48</v>
      </c>
      <c r="L36" s="6">
        <v>0</v>
      </c>
      <c r="M36" s="6">
        <v>1.8287084401535585</v>
      </c>
      <c r="N36" s="52">
        <v>5.2943371006429754</v>
      </c>
      <c r="O36" s="6">
        <v>10.230876998598751</v>
      </c>
      <c r="P36" s="6">
        <v>0</v>
      </c>
      <c r="Q36" s="6">
        <v>0</v>
      </c>
      <c r="R36" s="6">
        <v>0</v>
      </c>
      <c r="S36" s="6">
        <v>4.6856335979120125</v>
      </c>
      <c r="T36" s="6">
        <v>5.8547717842287668</v>
      </c>
      <c r="U36" s="6">
        <v>1.898198663988822</v>
      </c>
      <c r="V36" s="6">
        <v>9.4740258660899315</v>
      </c>
      <c r="W36" s="6">
        <v>32.474303553753884</v>
      </c>
      <c r="X36" s="57">
        <v>0</v>
      </c>
      <c r="Y36" s="6">
        <v>32.2106670831188</v>
      </c>
      <c r="Z36" s="6">
        <v>8.081337682504941</v>
      </c>
      <c r="AA36" s="6">
        <v>40.950979213322675</v>
      </c>
      <c r="AB36" s="6">
        <v>22.397417892814865</v>
      </c>
      <c r="AC36" s="6">
        <v>0.23871890991136513</v>
      </c>
      <c r="AD36" s="6">
        <v>0</v>
      </c>
      <c r="AE36" s="6">
        <v>16.999325387085118</v>
      </c>
      <c r="AF36" s="6">
        <v>9.802473189572078</v>
      </c>
      <c r="AG36" s="6">
        <v>0.39421719322729493</v>
      </c>
      <c r="AH36" s="6">
        <v>5.448264569194281</v>
      </c>
      <c r="AI36" s="6">
        <v>0</v>
      </c>
      <c r="AJ36" s="6">
        <v>0</v>
      </c>
      <c r="AK36" s="6">
        <v>0</v>
      </c>
      <c r="AL36" s="6">
        <v>0.8852445003587186</v>
      </c>
      <c r="AM36" s="6">
        <v>0</v>
      </c>
      <c r="AN36" s="6">
        <v>17.488204126545167</v>
      </c>
      <c r="AO36" s="6">
        <v>0.10610032783066416</v>
      </c>
      <c r="AP36" s="6">
        <v>25.953488702573601</v>
      </c>
      <c r="AQ36" s="6">
        <v>0</v>
      </c>
      <c r="AR36" s="6">
        <v>0.51361389522834022</v>
      </c>
      <c r="AS36" s="6">
        <v>0.16800614928409727</v>
      </c>
      <c r="AT36" s="6">
        <v>4.0333148831151782</v>
      </c>
      <c r="AU36" s="6">
        <v>29.942134168673469</v>
      </c>
      <c r="AV36" s="6"/>
      <c r="AW36" s="6">
        <f>BG36</f>
        <v>257.41222971105589</v>
      </c>
      <c r="AZ36" s="6"/>
      <c r="BA36" s="6">
        <f>SUM(M36:O36,R36:AC36,AE36:AH36,AK36:AL36,AN36:AP36,AR36:AU36)</f>
        <v>287.35436387972936</v>
      </c>
      <c r="BG36" s="6">
        <f>BA36-AU36</f>
        <v>257.41222971105589</v>
      </c>
    </row>
    <row r="37" spans="1:60">
      <c r="A37" t="s">
        <v>135</v>
      </c>
      <c r="B37" t="s">
        <v>139</v>
      </c>
      <c r="C37" t="s">
        <v>54</v>
      </c>
      <c r="E37" t="s">
        <v>42</v>
      </c>
      <c r="G37" t="s">
        <v>40</v>
      </c>
      <c r="H37" s="5" t="s">
        <v>41</v>
      </c>
      <c r="I37" s="5">
        <v>2050</v>
      </c>
      <c r="J37" s="5" t="s">
        <v>48</v>
      </c>
      <c r="K37" s="5"/>
      <c r="L37" s="7">
        <v>0</v>
      </c>
      <c r="M37" s="7">
        <v>1.9571041005403769</v>
      </c>
      <c r="N37" s="53">
        <v>5.5985521582078928</v>
      </c>
      <c r="O37" s="7">
        <v>9.6993416397160885</v>
      </c>
      <c r="P37" s="7">
        <v>0</v>
      </c>
      <c r="Q37" s="7">
        <v>0</v>
      </c>
      <c r="R37" s="7">
        <v>0</v>
      </c>
      <c r="S37" s="7">
        <v>2.9690615720985987</v>
      </c>
      <c r="T37" s="7">
        <v>8.2977941012185816</v>
      </c>
      <c r="U37" s="7">
        <v>1.7216737626101404</v>
      </c>
      <c r="V37" s="7">
        <v>14.119215732030634</v>
      </c>
      <c r="W37" s="7">
        <v>33.190015938286535</v>
      </c>
      <c r="X37" s="58">
        <v>0</v>
      </c>
      <c r="Y37" s="7">
        <v>26.605220475857291</v>
      </c>
      <c r="Z37" s="7">
        <v>6.9083159304586212</v>
      </c>
      <c r="AA37" s="7">
        <v>41.295443630594214</v>
      </c>
      <c r="AB37" s="7">
        <v>22.352912414574689</v>
      </c>
      <c r="AC37" s="7">
        <v>0.21710643830275647</v>
      </c>
      <c r="AD37" s="7">
        <v>0</v>
      </c>
      <c r="AE37" s="7">
        <v>16.232566847312739</v>
      </c>
      <c r="AF37" s="7">
        <v>12.421389649892848</v>
      </c>
      <c r="AG37" s="7">
        <v>0.43051833895699565</v>
      </c>
      <c r="AH37" s="7">
        <v>7.6800157807252072</v>
      </c>
      <c r="AI37" s="7">
        <v>0</v>
      </c>
      <c r="AJ37" s="7">
        <v>0</v>
      </c>
      <c r="AK37" s="7">
        <v>0</v>
      </c>
      <c r="AL37" s="7">
        <v>0.99264739850363881</v>
      </c>
      <c r="AM37" s="7">
        <v>0</v>
      </c>
      <c r="AN37" s="7">
        <v>18.466305750567642</v>
      </c>
      <c r="AO37" s="7">
        <v>6.4116941707738989E-2</v>
      </c>
      <c r="AP37" s="7">
        <v>26.671719989152038</v>
      </c>
      <c r="AQ37" s="7">
        <v>0</v>
      </c>
      <c r="AR37" s="7">
        <v>0.45682486425188829</v>
      </c>
      <c r="AS37" s="7">
        <v>0.13858066268160676</v>
      </c>
      <c r="AT37" s="7">
        <v>2.7043099445398924</v>
      </c>
      <c r="AU37" s="7">
        <v>22.261168788487694</v>
      </c>
      <c r="AV37" s="6"/>
      <c r="AW37" s="6">
        <f>BH37</f>
        <v>261.19075406278864</v>
      </c>
      <c r="AZ37" s="6"/>
      <c r="BA37" s="6"/>
      <c r="BB37" s="6">
        <f>SUM(M37:O37,R37:AC37,AE37:AH37,AK37:AL37,AN37:AP37,AR37:AU37)</f>
        <v>283.45192285127632</v>
      </c>
      <c r="BH37" s="6">
        <f>BB37-AU37</f>
        <v>261.19075406278864</v>
      </c>
    </row>
    <row r="38" spans="1:60">
      <c r="A38" t="s">
        <v>135</v>
      </c>
      <c r="B38" t="s">
        <v>139</v>
      </c>
      <c r="C38" t="s">
        <v>54</v>
      </c>
      <c r="F38" t="s">
        <v>105</v>
      </c>
      <c r="H38" t="s">
        <v>45</v>
      </c>
      <c r="I38">
        <v>2005</v>
      </c>
      <c r="J38" t="s">
        <v>48</v>
      </c>
      <c r="L38" s="6">
        <v>15.678711084742195</v>
      </c>
      <c r="M38" s="6">
        <v>12.504854631527223</v>
      </c>
      <c r="N38" s="52">
        <v>12.146387591143542</v>
      </c>
      <c r="O38" s="6">
        <v>11.431297005142612</v>
      </c>
      <c r="P38" s="6">
        <v>15.442557852547214</v>
      </c>
      <c r="Q38" s="6"/>
      <c r="R38" s="6">
        <v>33.613647513439822</v>
      </c>
      <c r="S38" s="6">
        <v>11.281820279460439</v>
      </c>
      <c r="T38" s="6">
        <v>13.568641424721324</v>
      </c>
      <c r="U38" s="6">
        <v>13.304464260613118</v>
      </c>
      <c r="V38" s="6">
        <v>11.645169816927478</v>
      </c>
      <c r="W38" s="6">
        <v>14.162825463030124</v>
      </c>
      <c r="X38" s="6">
        <v>12.533128721906653</v>
      </c>
      <c r="Y38" s="6">
        <v>13.47618937875845</v>
      </c>
      <c r="Z38" s="6">
        <v>19.353079705594293</v>
      </c>
      <c r="AA38" s="6">
        <v>13.32185044503681</v>
      </c>
      <c r="AB38" s="6">
        <v>11.720201011699798</v>
      </c>
      <c r="AC38" s="6">
        <v>10.964759235371609</v>
      </c>
      <c r="AD38" s="6"/>
      <c r="AE38" s="6">
        <v>17.21983701180006</v>
      </c>
      <c r="AF38" s="6">
        <v>10.493758047080741</v>
      </c>
      <c r="AG38" s="6">
        <v>12.146387591143542</v>
      </c>
      <c r="AH38" s="6">
        <v>11.052242784632407</v>
      </c>
      <c r="AI38" s="6"/>
      <c r="AJ38" s="6">
        <v>14.748120303713868</v>
      </c>
      <c r="AK38" s="6">
        <v>16.80173586308258</v>
      </c>
      <c r="AL38" s="6">
        <v>12.909545570489604</v>
      </c>
      <c r="AM38" s="6">
        <v>22.266461567332239</v>
      </c>
      <c r="AN38" s="6">
        <v>10.80696641682702</v>
      </c>
      <c r="AO38" s="6">
        <v>14.49182719903612</v>
      </c>
      <c r="AP38" s="6">
        <v>16.912350534495992</v>
      </c>
      <c r="AQ38" s="6">
        <v>14.155103779508719</v>
      </c>
      <c r="AR38" s="6">
        <v>13.28199310440638</v>
      </c>
      <c r="AS38" s="6">
        <v>13.258653976865816</v>
      </c>
      <c r="AT38" s="6">
        <v>11.266041007020887</v>
      </c>
      <c r="AU38" s="6">
        <v>13.357131246203926</v>
      </c>
      <c r="AV38" s="6"/>
      <c r="AW38" s="6"/>
      <c r="AY38" s="6"/>
      <c r="AZ38" s="6"/>
      <c r="BA38" s="6"/>
      <c r="BB38" s="6"/>
    </row>
    <row r="39" spans="1:60">
      <c r="A39" t="s">
        <v>135</v>
      </c>
      <c r="B39" t="s">
        <v>139</v>
      </c>
      <c r="C39" t="s">
        <v>54</v>
      </c>
      <c r="F39" t="s">
        <v>105</v>
      </c>
      <c r="H39" t="s">
        <v>45</v>
      </c>
      <c r="I39">
        <v>2010</v>
      </c>
      <c r="J39" t="s">
        <v>48</v>
      </c>
      <c r="L39" s="6">
        <v>15.678711084742195</v>
      </c>
      <c r="M39" s="6">
        <v>12.504854631527223</v>
      </c>
      <c r="N39" s="52">
        <v>12.146387591143542</v>
      </c>
      <c r="O39" s="6">
        <v>11.431297005142612</v>
      </c>
      <c r="P39" s="6">
        <v>15.442557852547214</v>
      </c>
      <c r="Q39" s="6"/>
      <c r="R39" s="6">
        <v>33.613647513439822</v>
      </c>
      <c r="S39" s="6">
        <v>11.281820279460439</v>
      </c>
      <c r="T39" s="6">
        <v>13.568641424721324</v>
      </c>
      <c r="U39" s="6">
        <v>13.304464260613118</v>
      </c>
      <c r="V39" s="6">
        <v>11.645169816927478</v>
      </c>
      <c r="W39" s="6">
        <v>14.162825463030124</v>
      </c>
      <c r="X39" s="6">
        <v>12.533128721906653</v>
      </c>
      <c r="Y39" s="6">
        <v>13.47618937875845</v>
      </c>
      <c r="Z39" s="6">
        <v>19.353079705594293</v>
      </c>
      <c r="AA39" s="6">
        <v>13.32185044503681</v>
      </c>
      <c r="AB39" s="6">
        <v>11.720201011699798</v>
      </c>
      <c r="AC39" s="6">
        <v>10.964759235371609</v>
      </c>
      <c r="AD39" s="6"/>
      <c r="AE39" s="6">
        <v>17.21983701180006</v>
      </c>
      <c r="AF39" s="6">
        <v>10.493758047080741</v>
      </c>
      <c r="AG39" s="13">
        <v>12.146387591143542</v>
      </c>
      <c r="AH39" s="6">
        <v>11.052242784632407</v>
      </c>
      <c r="AI39" s="6"/>
      <c r="AJ39" s="6">
        <v>14.748120303713868</v>
      </c>
      <c r="AK39" s="6">
        <v>16.80173586308258</v>
      </c>
      <c r="AL39" s="6">
        <v>12.909545570489604</v>
      </c>
      <c r="AM39" s="6">
        <v>22.266461567332239</v>
      </c>
      <c r="AN39" s="6">
        <v>10.80696641682702</v>
      </c>
      <c r="AO39" s="6">
        <v>14.49182719903612</v>
      </c>
      <c r="AP39" s="6">
        <v>16.912350534495992</v>
      </c>
      <c r="AQ39" s="6">
        <v>14.155103779508719</v>
      </c>
      <c r="AR39" s="6">
        <v>13.28199310440638</v>
      </c>
      <c r="AS39" s="6">
        <v>13.258653976865816</v>
      </c>
      <c r="AT39" s="6">
        <v>11.266041007020887</v>
      </c>
      <c r="AU39" s="6">
        <v>13.357131246203926</v>
      </c>
      <c r="AV39" s="6"/>
      <c r="AW39" s="6"/>
      <c r="AY39" s="6"/>
      <c r="AZ39" s="6"/>
      <c r="BA39" s="6"/>
      <c r="BB39" s="6"/>
    </row>
    <row r="40" spans="1:60">
      <c r="A40" t="s">
        <v>135</v>
      </c>
      <c r="B40" t="s">
        <v>139</v>
      </c>
      <c r="C40" t="s">
        <v>54</v>
      </c>
      <c r="F40" t="s">
        <v>105</v>
      </c>
      <c r="H40" t="s">
        <v>45</v>
      </c>
      <c r="I40">
        <v>2020</v>
      </c>
      <c r="J40" t="s">
        <v>48</v>
      </c>
      <c r="L40" s="6">
        <v>15.161186278663141</v>
      </c>
      <c r="M40" s="6">
        <v>13.56073687643816</v>
      </c>
      <c r="N40" s="52">
        <v>12.804879004556177</v>
      </c>
      <c r="O40" s="6">
        <v>12.628009387834634</v>
      </c>
      <c r="P40" s="6">
        <v>14.934985758203711</v>
      </c>
      <c r="Q40" s="6"/>
      <c r="R40" s="6">
        <v>41.548327218531604</v>
      </c>
      <c r="S40" s="6">
        <v>12.553541671476077</v>
      </c>
      <c r="T40" s="6">
        <v>14.844192873083035</v>
      </c>
      <c r="U40" s="6">
        <v>14.699490213753133</v>
      </c>
      <c r="V40" s="6">
        <v>12.051497005633555</v>
      </c>
      <c r="W40" s="6">
        <v>15.320955410262263</v>
      </c>
      <c r="X40" s="6">
        <v>13.689422225042748</v>
      </c>
      <c r="Y40" s="6">
        <v>14.743839422076375</v>
      </c>
      <c r="Z40" s="6">
        <v>20.038380076343842</v>
      </c>
      <c r="AA40" s="6">
        <v>14.662880157132316</v>
      </c>
      <c r="AB40" s="6">
        <v>12.846581143189786</v>
      </c>
      <c r="AC40" s="6">
        <v>12.287634269792317</v>
      </c>
      <c r="AD40" s="6"/>
      <c r="AE40" s="6">
        <v>18.271550394617755</v>
      </c>
      <c r="AF40" s="6">
        <v>11.833139819054507</v>
      </c>
      <c r="AG40" s="13">
        <v>12.804879004556177</v>
      </c>
      <c r="AH40" s="6">
        <v>12.31165212549964</v>
      </c>
      <c r="AI40" s="6"/>
      <c r="AJ40" s="6">
        <v>14.176839088579914</v>
      </c>
      <c r="AK40" s="6">
        <v>15.773568992995967</v>
      </c>
      <c r="AL40" s="6">
        <v>14.080741356740122</v>
      </c>
      <c r="AM40" s="6">
        <v>21.178182043872628</v>
      </c>
      <c r="AN40" s="6">
        <v>11.938580291846977</v>
      </c>
      <c r="AO40" s="6">
        <v>15.051480355497393</v>
      </c>
      <c r="AP40" s="6">
        <v>18.193502758552636</v>
      </c>
      <c r="AQ40" s="6">
        <v>13.641247954277647</v>
      </c>
      <c r="AR40" s="6">
        <v>13.977327507237643</v>
      </c>
      <c r="AS40" s="6">
        <v>12.013896766289843</v>
      </c>
      <c r="AT40" s="6">
        <v>12.476418442528637</v>
      </c>
      <c r="AU40" s="6">
        <v>14.798379443647773</v>
      </c>
      <c r="AV40" s="6"/>
      <c r="AW40" s="6"/>
      <c r="AY40" s="6"/>
      <c r="AZ40" s="6"/>
      <c r="BA40" s="6"/>
      <c r="BB40" s="6"/>
    </row>
    <row r="41" spans="1:60">
      <c r="A41" t="s">
        <v>135</v>
      </c>
      <c r="B41" t="s">
        <v>139</v>
      </c>
      <c r="C41" t="s">
        <v>54</v>
      </c>
      <c r="F41" t="s">
        <v>105</v>
      </c>
      <c r="H41" t="s">
        <v>45</v>
      </c>
      <c r="I41">
        <v>2030</v>
      </c>
      <c r="J41" t="s">
        <v>48</v>
      </c>
      <c r="L41" s="6">
        <v>16.897685844627421</v>
      </c>
      <c r="M41" s="6">
        <v>18.316323098679501</v>
      </c>
      <c r="N41" s="52">
        <v>17.550508186216504</v>
      </c>
      <c r="O41" s="6">
        <v>17.272364145695981</v>
      </c>
      <c r="P41" s="6">
        <v>16.638090056142314</v>
      </c>
      <c r="Q41" s="6"/>
      <c r="R41" s="6">
        <v>65.237098629295062</v>
      </c>
      <c r="S41" s="6">
        <v>16.923709258743273</v>
      </c>
      <c r="T41" s="6">
        <v>19.667552828111141</v>
      </c>
      <c r="U41" s="6">
        <v>19.930218132397872</v>
      </c>
      <c r="V41" s="6">
        <v>16.312233987037338</v>
      </c>
      <c r="W41" s="6">
        <v>21.297161205554023</v>
      </c>
      <c r="X41" s="6">
        <v>18.360748030312493</v>
      </c>
      <c r="Y41" s="6">
        <v>20.169026549071869</v>
      </c>
      <c r="Z41" s="6">
        <v>28.817440044066554</v>
      </c>
      <c r="AA41" s="6">
        <v>13.373514778569964</v>
      </c>
      <c r="AB41" s="6">
        <v>17.442310905755583</v>
      </c>
      <c r="AC41" s="6">
        <v>16.703974404605173</v>
      </c>
      <c r="AD41" s="6"/>
      <c r="AE41" s="6">
        <v>25.174999776736435</v>
      </c>
      <c r="AF41" s="6">
        <v>16.18447774489707</v>
      </c>
      <c r="AG41" s="13">
        <v>17.550508186216504</v>
      </c>
      <c r="AH41" s="6">
        <v>16.826892547834493</v>
      </c>
      <c r="AI41" s="6"/>
      <c r="AJ41" s="6">
        <v>16.126871286894808</v>
      </c>
      <c r="AK41" s="6">
        <v>21.473176602580079</v>
      </c>
      <c r="AL41" s="6">
        <v>18.867916835302875</v>
      </c>
      <c r="AM41" s="6">
        <v>22.671699779870075</v>
      </c>
      <c r="AN41" s="6">
        <v>16.168020385403622</v>
      </c>
      <c r="AO41" s="6">
        <v>20.629202037525488</v>
      </c>
      <c r="AP41" s="6">
        <v>25.605734795866063</v>
      </c>
      <c r="AQ41" s="6">
        <v>14.616678643121695</v>
      </c>
      <c r="AR41" s="6">
        <v>18.389000997673772</v>
      </c>
      <c r="AS41" s="6">
        <v>16.002543303941628</v>
      </c>
      <c r="AT41" s="6">
        <v>16.886650216819536</v>
      </c>
      <c r="AU41" s="6">
        <v>20.294269855309544</v>
      </c>
      <c r="AV41" s="6"/>
      <c r="AW41" s="6"/>
      <c r="AY41" s="6"/>
      <c r="AZ41" s="6"/>
      <c r="BA41" s="6"/>
      <c r="BB41" s="6"/>
    </row>
    <row r="42" spans="1:60">
      <c r="A42" t="s">
        <v>135</v>
      </c>
      <c r="B42" t="s">
        <v>139</v>
      </c>
      <c r="C42" t="s">
        <v>54</v>
      </c>
      <c r="F42" t="s">
        <v>105</v>
      </c>
      <c r="H42" t="s">
        <v>45</v>
      </c>
      <c r="I42">
        <v>2040</v>
      </c>
      <c r="J42" t="s">
        <v>48</v>
      </c>
      <c r="L42" s="6">
        <v>19.916062325556531</v>
      </c>
      <c r="M42" s="6">
        <v>18.681666117814736</v>
      </c>
      <c r="N42" s="52">
        <v>17.964256540071766</v>
      </c>
      <c r="O42" s="6">
        <v>17.600602319211053</v>
      </c>
      <c r="P42" s="6">
        <v>19.598419018051704</v>
      </c>
      <c r="Q42" s="6"/>
      <c r="R42" s="6">
        <v>68.550911833399056</v>
      </c>
      <c r="S42" s="6">
        <v>17.252649783400781</v>
      </c>
      <c r="T42" s="6">
        <v>19.73648414053017</v>
      </c>
      <c r="U42" s="6">
        <v>20.386148656218243</v>
      </c>
      <c r="V42" s="6">
        <v>16.600028823501642</v>
      </c>
      <c r="W42" s="6">
        <v>22.104933499989642</v>
      </c>
      <c r="X42" s="6">
        <v>18.787291958071147</v>
      </c>
      <c r="Y42" s="6">
        <v>20.482301314818876</v>
      </c>
      <c r="Z42" s="6">
        <v>29.832963197579929</v>
      </c>
      <c r="AA42" s="6">
        <v>13.686655571013748</v>
      </c>
      <c r="AB42" s="6">
        <v>17.871698864558805</v>
      </c>
      <c r="AC42" s="6">
        <v>17.338437100265384</v>
      </c>
      <c r="AD42" s="6"/>
      <c r="AE42" s="6">
        <v>26.275921544944559</v>
      </c>
      <c r="AF42" s="6">
        <v>16.405236850079749</v>
      </c>
      <c r="AG42" s="13">
        <v>17.964256540071766</v>
      </c>
      <c r="AH42" s="6">
        <v>17.005709059064916</v>
      </c>
      <c r="AI42" s="6"/>
      <c r="AJ42" s="6">
        <v>18.961336059062639</v>
      </c>
      <c r="AK42" s="6">
        <v>21.628063427866945</v>
      </c>
      <c r="AL42" s="6">
        <v>19.109504036524427</v>
      </c>
      <c r="AM42" s="6">
        <v>25.847231791750424</v>
      </c>
      <c r="AN42" s="6">
        <v>16.231051634983981</v>
      </c>
      <c r="AO42" s="6">
        <v>21.282839775021536</v>
      </c>
      <c r="AP42" s="6">
        <v>26.394820813505461</v>
      </c>
      <c r="AQ42" s="6">
        <v>17.125005212662892</v>
      </c>
      <c r="AR42" s="6">
        <v>19.034650852983045</v>
      </c>
      <c r="AS42" s="6">
        <v>16.423213139361188</v>
      </c>
      <c r="AT42" s="6">
        <v>17.196926007453008</v>
      </c>
      <c r="AU42" s="6">
        <v>20.803207022275821</v>
      </c>
      <c r="AV42" s="6"/>
      <c r="AW42" s="6"/>
      <c r="AY42" s="6"/>
      <c r="AZ42" s="6"/>
      <c r="BA42" s="6"/>
      <c r="BB42" s="6"/>
    </row>
    <row r="43" spans="1:60">
      <c r="A43" t="s">
        <v>135</v>
      </c>
      <c r="B43" t="s">
        <v>139</v>
      </c>
      <c r="C43" t="s">
        <v>54</v>
      </c>
      <c r="F43" t="s">
        <v>105</v>
      </c>
      <c r="H43" t="s">
        <v>45</v>
      </c>
      <c r="I43">
        <v>2050</v>
      </c>
      <c r="J43" t="s">
        <v>48</v>
      </c>
      <c r="L43" s="6">
        <v>22.934438806485641</v>
      </c>
      <c r="M43" s="6">
        <v>18.996743914268613</v>
      </c>
      <c r="N43" s="52">
        <v>18.375806304242154</v>
      </c>
      <c r="O43" s="6">
        <v>17.91277814890676</v>
      </c>
      <c r="P43" s="6">
        <v>22.558747979961101</v>
      </c>
      <c r="Q43" s="6"/>
      <c r="R43" s="6">
        <v>71.864725037503064</v>
      </c>
      <c r="S43" s="6">
        <v>17.58412382953793</v>
      </c>
      <c r="T43" s="6">
        <v>19.926372910983439</v>
      </c>
      <c r="U43" s="6">
        <v>20.910054269981394</v>
      </c>
      <c r="V43" s="6">
        <v>16.86466871069959</v>
      </c>
      <c r="W43" s="6">
        <v>22.813226491311397</v>
      </c>
      <c r="X43" s="6">
        <v>19.187513737219543</v>
      </c>
      <c r="Y43" s="6">
        <v>20.807165432735321</v>
      </c>
      <c r="Z43" s="6">
        <v>31.005623059349233</v>
      </c>
      <c r="AA43" s="6">
        <v>13.999443093983151</v>
      </c>
      <c r="AB43" s="6">
        <v>18.300398595496752</v>
      </c>
      <c r="AC43" s="6">
        <v>17.99017557530194</v>
      </c>
      <c r="AD43" s="6"/>
      <c r="AE43" s="6">
        <v>27.57650023231739</v>
      </c>
      <c r="AF43" s="6">
        <v>16.657964014759052</v>
      </c>
      <c r="AG43" s="13">
        <v>18.375806304242154</v>
      </c>
      <c r="AH43" s="6">
        <v>17.160313543636544</v>
      </c>
      <c r="AI43" s="6"/>
      <c r="AJ43" s="6">
        <v>21.795800831230469</v>
      </c>
      <c r="AK43" s="6">
        <v>21.782950253153814</v>
      </c>
      <c r="AL43" s="6">
        <v>19.388689127168814</v>
      </c>
      <c r="AM43" s="6">
        <v>29.022763803630763</v>
      </c>
      <c r="AN43" s="6">
        <v>16.273095698541475</v>
      </c>
      <c r="AO43" s="6">
        <v>21.943734127253663</v>
      </c>
      <c r="AP43" s="6">
        <v>27.141874233242369</v>
      </c>
      <c r="AQ43" s="6">
        <v>19.633331782204092</v>
      </c>
      <c r="AR43" s="6">
        <v>19.67158663175994</v>
      </c>
      <c r="AS43" s="6">
        <v>16.854752728896347</v>
      </c>
      <c r="AT43" s="6">
        <v>17.502106568509326</v>
      </c>
      <c r="AU43" s="6">
        <v>21.312520759284176</v>
      </c>
      <c r="AV43" s="6"/>
      <c r="AW43" s="6"/>
      <c r="AY43" s="6"/>
      <c r="AZ43" s="6"/>
      <c r="BA43" s="6"/>
      <c r="BB43" s="6"/>
    </row>
    <row r="44" spans="1:60">
      <c r="E44" t="s">
        <v>46</v>
      </c>
      <c r="AY44" s="6"/>
    </row>
    <row r="45" spans="1:60">
      <c r="A45" t="s">
        <v>135</v>
      </c>
      <c r="B45" t="s">
        <v>139</v>
      </c>
      <c r="C45" t="s">
        <v>55</v>
      </c>
      <c r="E45" t="s">
        <v>42</v>
      </c>
      <c r="G45" t="s">
        <v>40</v>
      </c>
      <c r="H45" t="s">
        <v>41</v>
      </c>
      <c r="I45">
        <v>2005</v>
      </c>
      <c r="J45" t="s">
        <v>76</v>
      </c>
      <c r="L45" s="14">
        <v>0</v>
      </c>
      <c r="M45" s="14">
        <v>0</v>
      </c>
      <c r="N45" s="93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89">
        <v>0</v>
      </c>
      <c r="V45" s="14">
        <v>0</v>
      </c>
      <c r="W45" s="14">
        <v>0</v>
      </c>
      <c r="X45" s="60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/>
      <c r="AW45" s="14"/>
      <c r="AY45" s="6"/>
    </row>
    <row r="46" spans="1:60">
      <c r="A46" t="s">
        <v>135</v>
      </c>
      <c r="B46" t="s">
        <v>139</v>
      </c>
      <c r="C46" t="s">
        <v>55</v>
      </c>
      <c r="E46" t="s">
        <v>42</v>
      </c>
      <c r="G46" t="s">
        <v>40</v>
      </c>
      <c r="H46" t="s">
        <v>41</v>
      </c>
      <c r="I46">
        <v>2010</v>
      </c>
      <c r="J46" t="s">
        <v>76</v>
      </c>
      <c r="L46" s="14">
        <v>0</v>
      </c>
      <c r="M46" s="14">
        <v>0</v>
      </c>
      <c r="N46" s="93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89">
        <v>0</v>
      </c>
      <c r="V46" s="14">
        <v>0</v>
      </c>
      <c r="W46" s="14">
        <v>0</v>
      </c>
      <c r="X46" s="60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/>
      <c r="AW46" s="6">
        <f>BD46</f>
        <v>0</v>
      </c>
      <c r="AX46" s="6">
        <f>SUM(M46:O46,R46:AC46,AE46:AH46,AK46:AL46,AN46:AP46,AR46:AU46)</f>
        <v>0</v>
      </c>
      <c r="BD46" s="6">
        <f>AX46-AU46</f>
        <v>0</v>
      </c>
    </row>
    <row r="47" spans="1:60">
      <c r="A47" t="s">
        <v>135</v>
      </c>
      <c r="B47" t="s">
        <v>139</v>
      </c>
      <c r="C47" t="s">
        <v>55</v>
      </c>
      <c r="E47" t="s">
        <v>42</v>
      </c>
      <c r="G47" t="s">
        <v>40</v>
      </c>
      <c r="H47" t="s">
        <v>41</v>
      </c>
      <c r="I47">
        <v>2020</v>
      </c>
      <c r="J47" t="s">
        <v>76</v>
      </c>
      <c r="L47" s="6">
        <v>24.711762125793769</v>
      </c>
      <c r="M47" s="6">
        <v>14.476748475025754</v>
      </c>
      <c r="N47" s="52">
        <v>14.199595042034218</v>
      </c>
      <c r="O47" s="6">
        <v>51.508136609661491</v>
      </c>
      <c r="P47" s="6">
        <v>60.649739596988333</v>
      </c>
      <c r="Q47" s="6">
        <v>0</v>
      </c>
      <c r="R47" s="6">
        <v>0.61503302314585917</v>
      </c>
      <c r="S47" s="6">
        <v>22.484460691991909</v>
      </c>
      <c r="T47" s="6">
        <v>80.431647264503866</v>
      </c>
      <c r="U47">
        <v>7.5136672005557134E-3</v>
      </c>
      <c r="V47" s="6">
        <v>5.7565405183451084</v>
      </c>
      <c r="W47" s="6">
        <v>208.90391101895094</v>
      </c>
      <c r="X47" s="57">
        <v>0</v>
      </c>
      <c r="Y47" s="6">
        <v>167.32393331306463</v>
      </c>
      <c r="Z47" s="6">
        <v>16.268289605475871</v>
      </c>
      <c r="AA47" s="6">
        <v>0</v>
      </c>
      <c r="AB47" s="6">
        <v>87.300634798632714</v>
      </c>
      <c r="AC47" s="6">
        <v>12.309501359681583</v>
      </c>
      <c r="AD47" s="6">
        <v>0</v>
      </c>
      <c r="AE47" s="6">
        <v>157.22885734243488</v>
      </c>
      <c r="AF47" s="6">
        <v>29.48564081856388</v>
      </c>
      <c r="AG47" s="6">
        <v>0</v>
      </c>
      <c r="AH47" s="6">
        <v>5.8035991412187915</v>
      </c>
      <c r="AI47" s="6">
        <v>2.2984647632901938</v>
      </c>
      <c r="AJ47" s="6">
        <v>14.921656140690381</v>
      </c>
      <c r="AK47" s="6">
        <v>0</v>
      </c>
      <c r="AL47" s="6">
        <v>11.722527839804137</v>
      </c>
      <c r="AM47" s="6">
        <v>3.8390528620409343</v>
      </c>
      <c r="AN47" s="6">
        <v>154.15116398057904</v>
      </c>
      <c r="AO47" s="6">
        <v>17.905140690119261</v>
      </c>
      <c r="AP47" s="6">
        <v>267.01515269130289</v>
      </c>
      <c r="AQ47" s="6">
        <v>34.676134944689011</v>
      </c>
      <c r="AR47" s="6">
        <v>10.390519619347678</v>
      </c>
      <c r="AS47" s="6">
        <v>0.99744325080589724</v>
      </c>
      <c r="AT47" s="6">
        <v>10.792369606155788</v>
      </c>
      <c r="AU47" s="6">
        <v>28.044398213387709</v>
      </c>
      <c r="AV47" s="6"/>
      <c r="AW47" s="6">
        <f>BE47</f>
        <v>1347.0783603680463</v>
      </c>
      <c r="AY47" s="6">
        <f>SUM(M47:O47,R47:AC47,AE47:AH47,AK47:AL47,AN47:AP47,AR47:AU47)</f>
        <v>1375.122758581434</v>
      </c>
      <c r="BE47" s="6">
        <f>AY47-AU47</f>
        <v>1347.0783603680463</v>
      </c>
    </row>
    <row r="48" spans="1:60">
      <c r="A48" t="s">
        <v>135</v>
      </c>
      <c r="B48" t="s">
        <v>139</v>
      </c>
      <c r="C48" t="s">
        <v>55</v>
      </c>
      <c r="E48" t="s">
        <v>42</v>
      </c>
      <c r="G48" t="s">
        <v>40</v>
      </c>
      <c r="H48" t="s">
        <v>41</v>
      </c>
      <c r="I48">
        <v>2030</v>
      </c>
      <c r="J48" t="s">
        <v>76</v>
      </c>
      <c r="L48" s="6">
        <v>25.896293931612988</v>
      </c>
      <c r="M48" s="6">
        <v>15.167176294931545</v>
      </c>
      <c r="N48" s="52">
        <v>20.666816525140455</v>
      </c>
      <c r="O48" s="6">
        <v>46.828131567786912</v>
      </c>
      <c r="P48" s="6">
        <v>62.614201695353081</v>
      </c>
      <c r="Q48" s="6">
        <v>0</v>
      </c>
      <c r="R48" s="6">
        <v>0.66687082016484966</v>
      </c>
      <c r="S48" s="6">
        <v>25.48112048673346</v>
      </c>
      <c r="T48" s="6">
        <v>148.15010860884021</v>
      </c>
      <c r="U48">
        <v>2.9745645349806542E-3</v>
      </c>
      <c r="V48" s="6">
        <v>5.6104747092503082</v>
      </c>
      <c r="W48" s="6">
        <v>240.58515597587245</v>
      </c>
      <c r="X48" s="57">
        <v>0</v>
      </c>
      <c r="Y48" s="6">
        <v>240.41090231688895</v>
      </c>
      <c r="Z48" s="6">
        <v>13.596604953731259</v>
      </c>
      <c r="AA48" s="6">
        <v>0</v>
      </c>
      <c r="AB48" s="6">
        <v>89.876774823218341</v>
      </c>
      <c r="AC48" s="6">
        <v>11.442190606639524</v>
      </c>
      <c r="AD48" s="6">
        <v>0</v>
      </c>
      <c r="AE48" s="6">
        <v>145.34051835577753</v>
      </c>
      <c r="AF48" s="6">
        <v>33.414216488177239</v>
      </c>
      <c r="AG48" s="6">
        <v>0</v>
      </c>
      <c r="AH48" s="6">
        <v>7.4864124439355049</v>
      </c>
      <c r="AI48" s="6">
        <v>2.3529767333033496</v>
      </c>
      <c r="AJ48" s="6">
        <v>15.605471941933331</v>
      </c>
      <c r="AK48" s="6">
        <v>0</v>
      </c>
      <c r="AL48" s="6">
        <v>21.924658032144333</v>
      </c>
      <c r="AM48" s="6">
        <v>4.0060885561046602</v>
      </c>
      <c r="AN48" s="6">
        <v>189.92325446035656</v>
      </c>
      <c r="AO48" s="6">
        <v>19.481081063994303</v>
      </c>
      <c r="AP48" s="6">
        <v>279.13964950413066</v>
      </c>
      <c r="AQ48" s="6">
        <v>34.842041548903339</v>
      </c>
      <c r="AR48" s="6">
        <v>12.657705458199151</v>
      </c>
      <c r="AS48" s="6">
        <v>2.6963618446594597</v>
      </c>
      <c r="AT48" s="6">
        <v>13.174227018796298</v>
      </c>
      <c r="AU48" s="6">
        <v>36.027302261572721</v>
      </c>
      <c r="AV48" s="6"/>
      <c r="AW48" s="6">
        <f>BF48</f>
        <v>1583.7233869239039</v>
      </c>
      <c r="AZ48" s="6">
        <f>SUM(M48:O48,R48:AC48,AE48:AH48,AK48:AL48,AN48:AP48,AR48:AU48)</f>
        <v>1619.7506891854766</v>
      </c>
      <c r="BF48" s="6">
        <f>AZ48-AU48</f>
        <v>1583.7233869239039</v>
      </c>
    </row>
    <row r="49" spans="1:60">
      <c r="A49" t="s">
        <v>135</v>
      </c>
      <c r="B49" t="s">
        <v>139</v>
      </c>
      <c r="C49" t="s">
        <v>55</v>
      </c>
      <c r="E49" t="s">
        <v>42</v>
      </c>
      <c r="G49" t="s">
        <v>40</v>
      </c>
      <c r="H49" t="s">
        <v>41</v>
      </c>
      <c r="I49">
        <v>2040</v>
      </c>
      <c r="J49" t="s">
        <v>76</v>
      </c>
      <c r="L49" s="6">
        <v>27.251041881923111</v>
      </c>
      <c r="M49" s="6">
        <v>12.899406295703443</v>
      </c>
      <c r="N49" s="52">
        <v>12.258031895730472</v>
      </c>
      <c r="O49" s="6">
        <v>47.549176066054358</v>
      </c>
      <c r="P49" s="6">
        <v>63.194590918354123</v>
      </c>
      <c r="Q49" s="6">
        <v>0</v>
      </c>
      <c r="R49" s="6">
        <v>0.62582975824528653</v>
      </c>
      <c r="S49" s="6">
        <v>26.81658574188657</v>
      </c>
      <c r="T49" s="6">
        <v>153.18749357628997</v>
      </c>
      <c r="U49">
        <v>1.5548860069217053E-3</v>
      </c>
      <c r="V49" s="6">
        <v>3.8578689396237373</v>
      </c>
      <c r="W49" s="6">
        <v>253.72901639971815</v>
      </c>
      <c r="X49" s="57">
        <v>0</v>
      </c>
      <c r="Y49" s="6">
        <v>233.97701830680609</v>
      </c>
      <c r="Z49" s="6">
        <v>14.37380693858675</v>
      </c>
      <c r="AA49" s="6">
        <v>0</v>
      </c>
      <c r="AB49" s="6">
        <v>93.21818259112338</v>
      </c>
      <c r="AC49" s="6">
        <v>8.2624570365032479</v>
      </c>
      <c r="AD49" s="6">
        <v>0</v>
      </c>
      <c r="AE49" s="6">
        <v>134.87256138179234</v>
      </c>
      <c r="AF49" s="6">
        <v>23.624923887027794</v>
      </c>
      <c r="AG49" s="6">
        <v>0</v>
      </c>
      <c r="AH49" s="6">
        <v>4.9326842437286373</v>
      </c>
      <c r="AI49" s="6">
        <v>2.4285852269935413</v>
      </c>
      <c r="AJ49" s="6">
        <v>16.756281933477212</v>
      </c>
      <c r="AK49" s="6">
        <v>0</v>
      </c>
      <c r="AL49" s="6">
        <v>19.635153150159589</v>
      </c>
      <c r="AM49" s="6">
        <v>4.1393513574294678</v>
      </c>
      <c r="AN49" s="6">
        <v>185.20069652394514</v>
      </c>
      <c r="AO49" s="6">
        <v>19.333367769835966</v>
      </c>
      <c r="AP49" s="6">
        <v>260.75284211338862</v>
      </c>
      <c r="AQ49" s="6">
        <v>32.670944864317235</v>
      </c>
      <c r="AR49" s="6">
        <v>11.622727799793498</v>
      </c>
      <c r="AS49" s="6">
        <v>2.3076082468322854</v>
      </c>
      <c r="AT49" s="6">
        <v>8.2604520092497893</v>
      </c>
      <c r="AU49" s="6">
        <v>32.068332327702493</v>
      </c>
      <c r="AV49" s="6"/>
      <c r="AW49" s="6">
        <f>BG49</f>
        <v>1531.2994455580322</v>
      </c>
      <c r="AZ49" s="6"/>
      <c r="BA49" s="6">
        <f>SUM(M49:O49,R49:AC49,AE49:AH49,AK49:AL49,AN49:AP49,AR49:AU49)</f>
        <v>1563.3677778857348</v>
      </c>
      <c r="BG49" s="6">
        <f>BA49-AU49</f>
        <v>1531.2994455580322</v>
      </c>
    </row>
    <row r="50" spans="1:60">
      <c r="A50" t="s">
        <v>135</v>
      </c>
      <c r="B50" t="s">
        <v>139</v>
      </c>
      <c r="C50" t="s">
        <v>55</v>
      </c>
      <c r="E50" t="s">
        <v>42</v>
      </c>
      <c r="G50" t="s">
        <v>40</v>
      </c>
      <c r="H50" s="5" t="s">
        <v>41</v>
      </c>
      <c r="I50" s="5">
        <v>2050</v>
      </c>
      <c r="J50" s="5" t="s">
        <v>76</v>
      </c>
      <c r="K50" s="5"/>
      <c r="L50" s="7">
        <v>28.622659969558541</v>
      </c>
      <c r="M50" s="7">
        <v>10.374489591819417</v>
      </c>
      <c r="N50" s="53">
        <v>3.0363615810550351</v>
      </c>
      <c r="O50" s="7">
        <v>52.125334172992652</v>
      </c>
      <c r="P50" s="7">
        <v>63.580179614060789</v>
      </c>
      <c r="Q50" s="7">
        <v>0</v>
      </c>
      <c r="R50" s="7">
        <v>0.57858405528858825</v>
      </c>
      <c r="S50" s="7">
        <v>28.167462519279354</v>
      </c>
      <c r="T50" s="7">
        <v>158.07733846735647</v>
      </c>
      <c r="U50" s="5">
        <v>0</v>
      </c>
      <c r="V50" s="7">
        <v>1.9306868789258831</v>
      </c>
      <c r="W50" s="7">
        <v>267.50197748729903</v>
      </c>
      <c r="X50" s="58">
        <v>0</v>
      </c>
      <c r="Y50" s="7">
        <v>226.03342540131325</v>
      </c>
      <c r="Z50" s="7">
        <v>15.164850183177784</v>
      </c>
      <c r="AA50" s="7">
        <v>0</v>
      </c>
      <c r="AB50" s="7">
        <v>96.494903386975821</v>
      </c>
      <c r="AC50" s="7">
        <v>4.7609988452221614</v>
      </c>
      <c r="AD50" s="7">
        <v>0</v>
      </c>
      <c r="AE50" s="7">
        <v>122.91987882763539</v>
      </c>
      <c r="AF50" s="7">
        <v>12.852316449066233</v>
      </c>
      <c r="AG50" s="7">
        <v>0</v>
      </c>
      <c r="AH50" s="7">
        <v>2.1273021587451448</v>
      </c>
      <c r="AI50" s="7">
        <v>2.5014680690152771</v>
      </c>
      <c r="AJ50" s="7">
        <v>17.945480651788024</v>
      </c>
      <c r="AK50" s="7">
        <v>0</v>
      </c>
      <c r="AL50" s="7">
        <v>17.059902159732928</v>
      </c>
      <c r="AM50" s="7">
        <v>4.3165918895153208</v>
      </c>
      <c r="AN50" s="7">
        <v>179.31679657543336</v>
      </c>
      <c r="AO50" s="7">
        <v>19.095809520991946</v>
      </c>
      <c r="AP50" s="7">
        <v>239.6638631333168</v>
      </c>
      <c r="AQ50" s="7">
        <v>30.173341584435498</v>
      </c>
      <c r="AR50" s="7">
        <v>10.447721627778659</v>
      </c>
      <c r="AS50" s="7">
        <v>1.874392431626229</v>
      </c>
      <c r="AT50" s="7">
        <v>2.8673201727118989</v>
      </c>
      <c r="AU50" s="7">
        <v>27.622703734517174</v>
      </c>
      <c r="AV50" s="6"/>
      <c r="AW50" s="6">
        <f>BH50</f>
        <v>1472.4717156277441</v>
      </c>
      <c r="AZ50" s="6"/>
      <c r="BA50" s="6"/>
      <c r="BB50" s="6">
        <f>SUM(M50:O50,R50:AC50,AE50:AH50,AK50:AL50,AN50:AP50,AR50:AU50)</f>
        <v>1500.0944193622613</v>
      </c>
      <c r="BH50" s="6">
        <f>BB50-AU50</f>
        <v>1472.4717156277441</v>
      </c>
    </row>
    <row r="51" spans="1:60">
      <c r="A51" t="s">
        <v>135</v>
      </c>
      <c r="B51" t="s">
        <v>139</v>
      </c>
      <c r="C51" t="s">
        <v>55</v>
      </c>
      <c r="F51" t="s">
        <v>105</v>
      </c>
      <c r="H51" t="s">
        <v>45</v>
      </c>
      <c r="I51">
        <v>2010</v>
      </c>
      <c r="J51" t="s">
        <v>76</v>
      </c>
      <c r="L51" s="6">
        <v>3.0421130203489799</v>
      </c>
      <c r="M51" s="6">
        <v>4.8609490842130647</v>
      </c>
      <c r="N51" s="52">
        <v>5.6647622412934453</v>
      </c>
      <c r="O51" s="6">
        <v>2.9393384906844053</v>
      </c>
      <c r="P51" s="6">
        <v>3.5803335733679527</v>
      </c>
      <c r="Q51" s="6">
        <v>0</v>
      </c>
      <c r="R51" s="6">
        <v>5.5103616165420313</v>
      </c>
      <c r="S51" s="6">
        <v>3.1969607065536616</v>
      </c>
      <c r="T51" s="6">
        <v>5.9699045378662294</v>
      </c>
      <c r="U51" s="6">
        <v>9.7380292253558327</v>
      </c>
      <c r="V51" s="6">
        <v>2.9785766370494953</v>
      </c>
      <c r="W51" s="6">
        <v>7.3520383485205718</v>
      </c>
      <c r="X51" s="6">
        <v>5.3692204861266983</v>
      </c>
      <c r="Y51" s="6">
        <v>5.6422821178562463</v>
      </c>
      <c r="Z51" s="6">
        <v>7.4360101978336726</v>
      </c>
      <c r="AA51" s="6">
        <v>0</v>
      </c>
      <c r="AB51" s="6">
        <v>2.9351843019199624</v>
      </c>
      <c r="AC51" s="6">
        <v>4.9286228756440122</v>
      </c>
      <c r="AD51" s="6">
        <v>0</v>
      </c>
      <c r="AE51" s="6">
        <v>7.4555700881958282</v>
      </c>
      <c r="AF51" s="6">
        <v>2.3773811031826559</v>
      </c>
      <c r="AG51" s="6">
        <v>7.0933704970401932</v>
      </c>
      <c r="AH51" s="6">
        <v>2.5131877457373912</v>
      </c>
      <c r="AI51" s="6">
        <v>3.5803335733679527</v>
      </c>
      <c r="AJ51" s="6">
        <v>3.5803335733679527</v>
      </c>
      <c r="AK51" s="6">
        <v>0</v>
      </c>
      <c r="AL51" s="6">
        <v>8.4304415733171094</v>
      </c>
      <c r="AM51" s="6">
        <v>6</v>
      </c>
      <c r="AN51" s="6">
        <v>4.1563416472950685</v>
      </c>
      <c r="AO51" s="6">
        <v>4.5926348075789738</v>
      </c>
      <c r="AP51" s="6">
        <v>2.6171499012603796</v>
      </c>
      <c r="AQ51" s="6">
        <v>3.5805779833192952</v>
      </c>
      <c r="AR51" s="6">
        <v>7.9921600745329844</v>
      </c>
      <c r="AS51" s="6">
        <v>3.5122985514951282</v>
      </c>
      <c r="AT51" s="6">
        <v>3.046397390079906</v>
      </c>
      <c r="AU51" s="6">
        <v>7.3998768797562526</v>
      </c>
      <c r="AV51" s="6"/>
      <c r="AW51" s="6"/>
      <c r="AY51" s="6"/>
      <c r="AZ51" s="6"/>
      <c r="BA51" s="6"/>
      <c r="BB51" s="6"/>
    </row>
    <row r="52" spans="1:60">
      <c r="A52" t="s">
        <v>135</v>
      </c>
      <c r="B52" t="s">
        <v>139</v>
      </c>
      <c r="C52" t="s">
        <v>55</v>
      </c>
      <c r="F52" t="s">
        <v>105</v>
      </c>
      <c r="H52" t="s">
        <v>45</v>
      </c>
      <c r="I52">
        <v>2020</v>
      </c>
      <c r="J52" t="s">
        <v>76</v>
      </c>
      <c r="L52" s="6">
        <v>3.0421130203489799</v>
      </c>
      <c r="M52" s="6">
        <v>4.8609490842130647</v>
      </c>
      <c r="N52" s="52">
        <v>5.6647622412934453</v>
      </c>
      <c r="O52" s="6">
        <v>2.9393384906844053</v>
      </c>
      <c r="P52" s="6">
        <v>3.5803335733679527</v>
      </c>
      <c r="Q52" s="6"/>
      <c r="R52" s="6">
        <v>5.5103616165420313</v>
      </c>
      <c r="S52" s="6">
        <v>3.1969607065536616</v>
      </c>
      <c r="T52" s="6">
        <v>5.9699045378662294</v>
      </c>
      <c r="U52" s="6">
        <v>9.7380292253558327</v>
      </c>
      <c r="V52" s="6">
        <v>2.9785766370494953</v>
      </c>
      <c r="W52" s="6">
        <v>7.3520383485205718</v>
      </c>
      <c r="X52" s="6">
        <v>5.3692204861266983</v>
      </c>
      <c r="Y52" s="6">
        <v>5.6422821178562463</v>
      </c>
      <c r="Z52" s="6">
        <v>7.4360101978336726</v>
      </c>
      <c r="AA52" s="6">
        <v>0</v>
      </c>
      <c r="AB52" s="6">
        <v>2.9351843019199624</v>
      </c>
      <c r="AC52" s="6">
        <v>4.9286228756440122</v>
      </c>
      <c r="AD52" s="6"/>
      <c r="AE52" s="6">
        <v>7.4555700881958282</v>
      </c>
      <c r="AF52" s="6">
        <v>2.3773811031826559</v>
      </c>
      <c r="AG52" s="6">
        <v>7.0933704970401932</v>
      </c>
      <c r="AH52" s="6">
        <v>2.5131877457373912</v>
      </c>
      <c r="AI52" s="6">
        <v>3.5803335733679527</v>
      </c>
      <c r="AJ52" s="6">
        <v>3.5803335733679527</v>
      </c>
      <c r="AK52" s="6">
        <v>0</v>
      </c>
      <c r="AL52" s="6">
        <v>8.4304415733171094</v>
      </c>
      <c r="AM52" s="6">
        <v>6</v>
      </c>
      <c r="AN52" s="6">
        <v>4.1563416472950685</v>
      </c>
      <c r="AO52" s="6">
        <v>4.5926348075789738</v>
      </c>
      <c r="AP52" s="6">
        <v>2.6171499012603796</v>
      </c>
      <c r="AQ52" s="6">
        <v>3.5805779833192952</v>
      </c>
      <c r="AR52" s="6">
        <v>7.9921600745329844</v>
      </c>
      <c r="AS52" s="6">
        <v>3.5122985514951282</v>
      </c>
      <c r="AT52" s="6">
        <v>3.046397390079906</v>
      </c>
      <c r="AU52" s="6">
        <v>7.3998768797562526</v>
      </c>
      <c r="AV52" s="6"/>
      <c r="AW52" s="6"/>
      <c r="AY52" s="6"/>
      <c r="AZ52" s="6"/>
      <c r="BA52" s="6"/>
      <c r="BB52" s="6"/>
    </row>
    <row r="53" spans="1:60">
      <c r="A53" t="s">
        <v>135</v>
      </c>
      <c r="B53" t="s">
        <v>139</v>
      </c>
      <c r="C53" t="s">
        <v>55</v>
      </c>
      <c r="F53" t="s">
        <v>105</v>
      </c>
      <c r="H53" t="s">
        <v>45</v>
      </c>
      <c r="I53">
        <v>2030</v>
      </c>
      <c r="J53" t="s">
        <v>76</v>
      </c>
      <c r="L53" s="6">
        <v>2.828220821671513</v>
      </c>
      <c r="M53" s="6">
        <v>4.6498671105684135</v>
      </c>
      <c r="N53" s="52">
        <v>5.0455631255100197</v>
      </c>
      <c r="O53" s="6">
        <v>3.0424490347720541</v>
      </c>
      <c r="P53" s="6">
        <v>2.8282208216715135</v>
      </c>
      <c r="Q53" s="6"/>
      <c r="R53" s="6">
        <v>5.2081196833335088</v>
      </c>
      <c r="S53" s="6">
        <v>2.9131686490636444</v>
      </c>
      <c r="T53" s="6">
        <v>5.3681284804480676</v>
      </c>
      <c r="U53" s="6">
        <v>10.033954364426076</v>
      </c>
      <c r="V53" s="6">
        <v>2.9803603266139649</v>
      </c>
      <c r="W53" s="6">
        <v>6.7308551692339895</v>
      </c>
      <c r="X53" s="6">
        <v>4.9508486260310898</v>
      </c>
      <c r="Y53" s="6">
        <v>4.9931850077963773</v>
      </c>
      <c r="Z53" s="6">
        <v>8.1500740968500409</v>
      </c>
      <c r="AA53" s="6">
        <v>3.5710352591767838</v>
      </c>
      <c r="AB53" s="6">
        <v>2.8384206966995218</v>
      </c>
      <c r="AC53" s="6">
        <v>4.9756486374676774</v>
      </c>
      <c r="AD53" s="6"/>
      <c r="AE53" s="6">
        <v>7.4583099243507709</v>
      </c>
      <c r="AF53" s="6">
        <v>2.1419180094268069</v>
      </c>
      <c r="AG53" s="6">
        <v>6.9206350568576962</v>
      </c>
      <c r="AH53" s="6">
        <v>2.1295170511469155</v>
      </c>
      <c r="AI53" s="6">
        <v>3.3750643012216308</v>
      </c>
      <c r="AJ53" s="6">
        <v>3.3750643012216308</v>
      </c>
      <c r="AK53" s="6">
        <v>0</v>
      </c>
      <c r="AL53" s="6">
        <v>7.6870581740106783</v>
      </c>
      <c r="AM53" s="6">
        <v>6.8894208795101068</v>
      </c>
      <c r="AN53" s="6">
        <v>3.7405980973348769</v>
      </c>
      <c r="AO53" s="6">
        <v>4.3123203748505361</v>
      </c>
      <c r="AP53" s="6">
        <v>2.5057889365003843</v>
      </c>
      <c r="AQ53" s="6">
        <v>2.8282208216715139</v>
      </c>
      <c r="AR53" s="6">
        <v>7.4005877351813432</v>
      </c>
      <c r="AS53" s="6">
        <v>3.0632174811156978</v>
      </c>
      <c r="AT53" s="6">
        <v>2.6566274500021132</v>
      </c>
      <c r="AU53" s="6">
        <v>6.685104016753094</v>
      </c>
      <c r="AV53" s="6"/>
      <c r="AW53" s="6"/>
      <c r="AY53" s="6"/>
      <c r="AZ53" s="6"/>
      <c r="BA53" s="6"/>
      <c r="BB53" s="6"/>
    </row>
    <row r="54" spans="1:60">
      <c r="A54" t="s">
        <v>135</v>
      </c>
      <c r="B54" t="s">
        <v>139</v>
      </c>
      <c r="C54" t="s">
        <v>55</v>
      </c>
      <c r="F54" t="s">
        <v>105</v>
      </c>
      <c r="H54" t="s">
        <v>45</v>
      </c>
      <c r="I54">
        <v>2040</v>
      </c>
      <c r="J54" t="s">
        <v>76</v>
      </c>
      <c r="L54" s="6">
        <v>3.2617525172516197</v>
      </c>
      <c r="M54" s="6">
        <v>4.9112344878467358</v>
      </c>
      <c r="N54" s="52">
        <v>5.7049722224635255</v>
      </c>
      <c r="O54" s="6">
        <v>2.9786437911175208</v>
      </c>
      <c r="P54" s="6">
        <v>3.2617525172516197</v>
      </c>
      <c r="Q54" s="6"/>
      <c r="R54" s="6">
        <v>5.2243273131081853</v>
      </c>
      <c r="S54" s="6">
        <v>2.8742533876245333</v>
      </c>
      <c r="T54" s="6">
        <v>5.2305327620882638</v>
      </c>
      <c r="U54" s="6">
        <v>9.7651024304281329</v>
      </c>
      <c r="V54" s="6">
        <v>3.2624923571004061</v>
      </c>
      <c r="W54" s="6">
        <v>6.604443715019146</v>
      </c>
      <c r="X54" s="6">
        <v>4.7296338899028791</v>
      </c>
      <c r="Y54" s="6">
        <v>4.8654655443027632</v>
      </c>
      <c r="Z54" s="6">
        <v>7.9658939596721972</v>
      </c>
      <c r="AA54" s="6">
        <v>4.0110899175013515</v>
      </c>
      <c r="AB54" s="6">
        <v>2.7644907860766672</v>
      </c>
      <c r="AC54" s="6">
        <v>5.167714213792383</v>
      </c>
      <c r="AD54" s="6"/>
      <c r="AE54" s="6">
        <v>7.4619482912068449</v>
      </c>
      <c r="AF54" s="6">
        <v>2.6542011098139229</v>
      </c>
      <c r="AG54" s="6">
        <v>6.7691298457991174</v>
      </c>
      <c r="AH54" s="6">
        <v>2.7047178287636786</v>
      </c>
      <c r="AI54" s="6">
        <v>3.8172189233328844</v>
      </c>
      <c r="AJ54" s="6">
        <v>3.8172189233328853</v>
      </c>
      <c r="AK54" s="6">
        <v>0</v>
      </c>
      <c r="AL54" s="6">
        <v>7.4549710650816676</v>
      </c>
      <c r="AM54" s="6">
        <v>7.3275907592416489</v>
      </c>
      <c r="AN54" s="6">
        <v>3.6826255101366629</v>
      </c>
      <c r="AO54" s="6">
        <v>4.2793997105238111</v>
      </c>
      <c r="AP54" s="6">
        <v>2.5783211410602536</v>
      </c>
      <c r="AQ54" s="6">
        <v>3.2617525172516197</v>
      </c>
      <c r="AR54" s="6">
        <v>7.2946930366496217</v>
      </c>
      <c r="AS54" s="6">
        <v>3.0142875099035988</v>
      </c>
      <c r="AT54" s="6">
        <v>3.2399671325462309</v>
      </c>
      <c r="AU54" s="6">
        <v>6.6126225606968294</v>
      </c>
      <c r="AV54" s="6"/>
      <c r="AW54" s="6"/>
      <c r="AY54" s="6"/>
      <c r="AZ54" s="6"/>
      <c r="BA54" s="6"/>
      <c r="BB54" s="6"/>
    </row>
    <row r="55" spans="1:60">
      <c r="A55" t="s">
        <v>135</v>
      </c>
      <c r="B55" t="s">
        <v>139</v>
      </c>
      <c r="C55" t="s">
        <v>55</v>
      </c>
      <c r="F55" t="s">
        <v>105</v>
      </c>
      <c r="H55" t="s">
        <v>45</v>
      </c>
      <c r="I55">
        <v>2050</v>
      </c>
      <c r="J55" t="s">
        <v>76</v>
      </c>
      <c r="L55" s="6">
        <v>3.3583445554085989</v>
      </c>
      <c r="M55" s="6">
        <v>5.0480631368737576</v>
      </c>
      <c r="N55" s="52">
        <v>5.7306627305349789</v>
      </c>
      <c r="O55" s="6">
        <v>2.8154784625477731</v>
      </c>
      <c r="P55" s="6">
        <v>3.9224338880210081</v>
      </c>
      <c r="Q55" s="6"/>
      <c r="R55" s="6">
        <v>5.2710050120853706</v>
      </c>
      <c r="S55" s="6">
        <v>2.8708608855412772</v>
      </c>
      <c r="T55" s="6">
        <v>5.1044761875109455</v>
      </c>
      <c r="U55" s="6">
        <v>0</v>
      </c>
      <c r="V55" s="6">
        <v>3.2630199915689313</v>
      </c>
      <c r="W55" s="6">
        <v>6.5324149142639278</v>
      </c>
      <c r="X55" s="6">
        <v>4.6417188450755242</v>
      </c>
      <c r="Y55" s="6">
        <v>4.752318838665043</v>
      </c>
      <c r="Z55" s="6">
        <v>7.8250505969835258</v>
      </c>
      <c r="AA55" s="6">
        <v>4.1142049184027911</v>
      </c>
      <c r="AB55" s="6">
        <v>2.7577701646097212</v>
      </c>
      <c r="AC55" s="6">
        <v>5.0784871227585757</v>
      </c>
      <c r="AD55" s="6"/>
      <c r="AE55" s="6">
        <v>7.3858571477042352</v>
      </c>
      <c r="AF55" s="6">
        <v>2.6698513028845197</v>
      </c>
      <c r="AG55" s="6">
        <v>6.6284650602132684</v>
      </c>
      <c r="AH55" s="6">
        <v>3.0957435523053451</v>
      </c>
      <c r="AI55" s="6">
        <v>3.9224338880210086</v>
      </c>
      <c r="AJ55" s="6">
        <v>3.9224338880210086</v>
      </c>
      <c r="AK55" s="6">
        <v>0</v>
      </c>
      <c r="AL55" s="6">
        <v>7.2434478856557192</v>
      </c>
      <c r="AM55" s="6">
        <v>7.4288209815500608</v>
      </c>
      <c r="AN55" s="6">
        <v>3.6593412266100973</v>
      </c>
      <c r="AO55" s="6">
        <v>4.3373090337856182</v>
      </c>
      <c r="AP55" s="6">
        <v>2.6372951847513657</v>
      </c>
      <c r="AQ55" s="6">
        <v>3.9177071705679909</v>
      </c>
      <c r="AR55" s="6">
        <v>7.2860751798100321</v>
      </c>
      <c r="AS55" s="6">
        <v>2.9705860063583183</v>
      </c>
      <c r="AT55" s="6">
        <v>3.478904856310792</v>
      </c>
      <c r="AU55" s="6">
        <v>6.7863625908016481</v>
      </c>
      <c r="AV55" s="6"/>
      <c r="AW55" s="6"/>
      <c r="AY55" s="6"/>
      <c r="AZ55" s="6"/>
      <c r="BA55" s="6"/>
      <c r="BB55" s="6"/>
    </row>
    <row r="56" spans="1:60">
      <c r="E56" t="s">
        <v>46</v>
      </c>
      <c r="L56" s="6"/>
      <c r="M56" s="6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Y56" s="6"/>
    </row>
    <row r="57" spans="1:60">
      <c r="A57" t="s">
        <v>135</v>
      </c>
      <c r="B57" t="s">
        <v>139</v>
      </c>
      <c r="C57" t="s">
        <v>95</v>
      </c>
      <c r="E57" t="s">
        <v>42</v>
      </c>
      <c r="G57" t="s">
        <v>40</v>
      </c>
      <c r="H57" t="s">
        <v>41</v>
      </c>
      <c r="I57">
        <v>2005</v>
      </c>
      <c r="J57" t="s">
        <v>49</v>
      </c>
      <c r="L57" s="14">
        <v>0</v>
      </c>
      <c r="M57" s="14">
        <v>0</v>
      </c>
      <c r="N57" s="93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48">
        <v>0</v>
      </c>
      <c r="V57" s="14">
        <v>0</v>
      </c>
      <c r="W57" s="14">
        <v>0</v>
      </c>
      <c r="X57" s="60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/>
      <c r="AW57" s="14"/>
    </row>
    <row r="58" spans="1:60">
      <c r="A58" t="s">
        <v>135</v>
      </c>
      <c r="B58" t="s">
        <v>139</v>
      </c>
      <c r="C58" t="s">
        <v>95</v>
      </c>
      <c r="E58" t="s">
        <v>42</v>
      </c>
      <c r="G58" t="s">
        <v>40</v>
      </c>
      <c r="H58" t="s">
        <v>41</v>
      </c>
      <c r="I58">
        <v>2010</v>
      </c>
      <c r="J58" t="s">
        <v>49</v>
      </c>
      <c r="L58" s="14">
        <v>0</v>
      </c>
      <c r="M58" s="14">
        <v>0</v>
      </c>
      <c r="N58" s="93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48">
        <v>0</v>
      </c>
      <c r="V58" s="14">
        <v>0</v>
      </c>
      <c r="W58" s="14">
        <v>0</v>
      </c>
      <c r="X58" s="60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/>
      <c r="AW58" s="6">
        <f>BD58</f>
        <v>0</v>
      </c>
      <c r="AX58" s="6">
        <f>SUM(M58:O58,R58:AC58,AE58:AH58,AK58:AL58,AN58:AP58,AR58:AU58)</f>
        <v>0</v>
      </c>
      <c r="BD58" s="6">
        <f>AX58-AU58</f>
        <v>0</v>
      </c>
    </row>
    <row r="59" spans="1:60">
      <c r="A59" t="s">
        <v>135</v>
      </c>
      <c r="B59" t="s">
        <v>139</v>
      </c>
      <c r="C59" t="s">
        <v>95</v>
      </c>
      <c r="E59" t="s">
        <v>42</v>
      </c>
      <c r="G59" t="s">
        <v>40</v>
      </c>
      <c r="H59" t="s">
        <v>41</v>
      </c>
      <c r="I59">
        <v>2020</v>
      </c>
      <c r="J59" t="s">
        <v>49</v>
      </c>
      <c r="L59" s="6">
        <v>0</v>
      </c>
      <c r="M59" s="6">
        <v>2.3344901928447741</v>
      </c>
      <c r="N59" s="52">
        <v>3.6504994777442237</v>
      </c>
      <c r="O59" s="6">
        <v>6.7114300525785477</v>
      </c>
      <c r="P59" s="6">
        <v>0</v>
      </c>
      <c r="Q59" s="6">
        <v>0</v>
      </c>
      <c r="R59" s="6">
        <v>0</v>
      </c>
      <c r="S59" s="6">
        <v>4.0446388593672671</v>
      </c>
      <c r="T59" s="6">
        <v>10.179435271763801</v>
      </c>
      <c r="U59" s="49">
        <v>5.1375258027302603E-3</v>
      </c>
      <c r="V59" s="6">
        <v>2.9851018861947587</v>
      </c>
      <c r="W59" s="6">
        <v>0</v>
      </c>
      <c r="X59" s="57">
        <v>3.5</v>
      </c>
      <c r="Y59" s="6">
        <v>25.508660498007291</v>
      </c>
      <c r="Z59" s="6">
        <v>0</v>
      </c>
      <c r="AA59" s="6">
        <v>0</v>
      </c>
      <c r="AB59" s="6">
        <v>15.375130278969715</v>
      </c>
      <c r="AC59" s="6">
        <v>6.5821375793890926</v>
      </c>
      <c r="AD59" s="6">
        <v>0</v>
      </c>
      <c r="AE59" s="6">
        <v>0</v>
      </c>
      <c r="AF59" s="6">
        <v>15.474333448402575</v>
      </c>
      <c r="AG59" s="6">
        <v>0</v>
      </c>
      <c r="AH59" s="6">
        <v>3.0246228581427497</v>
      </c>
      <c r="AI59" s="6">
        <v>0</v>
      </c>
      <c r="AJ59" s="6">
        <v>0</v>
      </c>
      <c r="AK59" s="6">
        <v>0</v>
      </c>
      <c r="AL59" s="6">
        <v>1.2612964320388904</v>
      </c>
      <c r="AM59" s="6">
        <v>3.5910159831246222</v>
      </c>
      <c r="AN59" s="6">
        <v>67.233611434054964</v>
      </c>
      <c r="AO59" s="6">
        <v>0</v>
      </c>
      <c r="AP59" s="6">
        <v>62.119331713564662</v>
      </c>
      <c r="AQ59" s="6">
        <v>0</v>
      </c>
      <c r="AR59" s="6">
        <v>3.955527888148004</v>
      </c>
      <c r="AS59" s="6">
        <v>0</v>
      </c>
      <c r="AT59" s="6">
        <v>2.2785509775196324</v>
      </c>
      <c r="AU59" s="6">
        <v>27.599106643701809</v>
      </c>
      <c r="AV59" s="6"/>
      <c r="AW59" s="6">
        <f>BE59</f>
        <v>236.22393637453365</v>
      </c>
      <c r="AY59" s="6">
        <f>SUM(M59:O59,R59:AC59,AE59:AH59,AK59:AL59,AN59:AP59,AR59:AU59)</f>
        <v>263.82304301823547</v>
      </c>
      <c r="BE59" s="6">
        <f>AY59-AU59</f>
        <v>236.22393637453365</v>
      </c>
    </row>
    <row r="60" spans="1:60">
      <c r="A60" t="s">
        <v>135</v>
      </c>
      <c r="B60" t="s">
        <v>139</v>
      </c>
      <c r="C60" t="s">
        <v>95</v>
      </c>
      <c r="E60" t="s">
        <v>42</v>
      </c>
      <c r="G60" t="s">
        <v>40</v>
      </c>
      <c r="H60" t="s">
        <v>41</v>
      </c>
      <c r="I60">
        <v>2030</v>
      </c>
      <c r="J60" t="s">
        <v>49</v>
      </c>
      <c r="L60" s="6">
        <v>0</v>
      </c>
      <c r="M60" s="6">
        <v>2.4823388533461692</v>
      </c>
      <c r="N60" s="52">
        <v>5.1781704069834396</v>
      </c>
      <c r="O60" s="6">
        <v>4.7974347916085494</v>
      </c>
      <c r="P60" s="6">
        <v>0</v>
      </c>
      <c r="Q60" s="6">
        <v>0</v>
      </c>
      <c r="R60" s="6">
        <v>0</v>
      </c>
      <c r="S60" s="6">
        <v>5.0677321042590613</v>
      </c>
      <c r="T60" s="6">
        <v>18.772825255217054</v>
      </c>
      <c r="U60" s="49">
        <v>2.0338806128143653E-3</v>
      </c>
      <c r="V60" s="6">
        <v>2.9084025576457191</v>
      </c>
      <c r="W60" s="6">
        <v>0</v>
      </c>
      <c r="X60" s="57">
        <v>4.2</v>
      </c>
      <c r="Y60" s="6">
        <v>33.521978928128306</v>
      </c>
      <c r="Z60" s="6">
        <v>0</v>
      </c>
      <c r="AA60" s="6">
        <v>0</v>
      </c>
      <c r="AB60" s="6">
        <v>16.951720664724316</v>
      </c>
      <c r="AC60" s="6">
        <v>6.1214156089375313</v>
      </c>
      <c r="AD60" s="6">
        <v>0</v>
      </c>
      <c r="AE60" s="6">
        <v>0</v>
      </c>
      <c r="AF60" s="6">
        <v>17.150214857955167</v>
      </c>
      <c r="AG60" s="6">
        <v>0</v>
      </c>
      <c r="AH60" s="6">
        <v>3.6780392111450455</v>
      </c>
      <c r="AI60" s="6">
        <v>0</v>
      </c>
      <c r="AJ60" s="6">
        <v>0</v>
      </c>
      <c r="AK60" s="6">
        <v>0</v>
      </c>
      <c r="AL60" s="6">
        <v>2.3046520651348068</v>
      </c>
      <c r="AM60" s="6">
        <v>3.7472596892392267</v>
      </c>
      <c r="AN60" s="6">
        <v>81.005223592302883</v>
      </c>
      <c r="AO60" s="6">
        <v>0</v>
      </c>
      <c r="AP60" s="6">
        <v>66.461037631827637</v>
      </c>
      <c r="AQ60" s="6">
        <v>0</v>
      </c>
      <c r="AR60" s="6">
        <v>4.7493767215035723</v>
      </c>
      <c r="AS60" s="6">
        <v>0</v>
      </c>
      <c r="AT60" s="6">
        <v>2.5851786008342401</v>
      </c>
      <c r="AU60" s="6">
        <v>35.909256598780807</v>
      </c>
      <c r="AV60" s="6"/>
      <c r="AW60" s="6">
        <f>BF60</f>
        <v>277.9377757321663</v>
      </c>
      <c r="AZ60" s="6">
        <f>SUM(M60:O60,R60:AC60,AE60:AH60,AK60:AL60,AN60:AP60,AR60:AU60)</f>
        <v>313.84703233094712</v>
      </c>
      <c r="BF60" s="6">
        <f>AZ60-AU60</f>
        <v>277.9377757321663</v>
      </c>
    </row>
    <row r="61" spans="1:60">
      <c r="A61" t="s">
        <v>135</v>
      </c>
      <c r="B61" t="s">
        <v>139</v>
      </c>
      <c r="C61" t="s">
        <v>95</v>
      </c>
      <c r="E61" t="s">
        <v>42</v>
      </c>
      <c r="G61" t="s">
        <v>40</v>
      </c>
      <c r="H61" t="s">
        <v>41</v>
      </c>
      <c r="I61">
        <v>2040</v>
      </c>
      <c r="J61" t="s">
        <v>49</v>
      </c>
      <c r="L61" s="6">
        <v>0</v>
      </c>
      <c r="M61" s="6">
        <v>2.1378735745392539</v>
      </c>
      <c r="N61" s="52">
        <v>3.0659982671726667</v>
      </c>
      <c r="O61" s="6">
        <v>5.6262278460182653</v>
      </c>
      <c r="P61" s="6">
        <v>0</v>
      </c>
      <c r="Q61" s="6">
        <v>0</v>
      </c>
      <c r="R61" s="6">
        <v>0</v>
      </c>
      <c r="S61" s="6">
        <v>7.6053545145984671</v>
      </c>
      <c r="T61" s="6">
        <v>19.487457845340817</v>
      </c>
      <c r="U61" s="49">
        <v>1.0631648657893273E-3</v>
      </c>
      <c r="V61" s="6">
        <v>2.0883547490513688</v>
      </c>
      <c r="W61" s="6">
        <v>0</v>
      </c>
      <c r="X61" s="57">
        <v>6</v>
      </c>
      <c r="Y61" s="6">
        <v>31.859964760535576</v>
      </c>
      <c r="Z61" s="6">
        <v>0</v>
      </c>
      <c r="AA61" s="6">
        <v>0</v>
      </c>
      <c r="AB61" s="6">
        <v>18.270018241526905</v>
      </c>
      <c r="AC61" s="6">
        <v>4.4256119886979821</v>
      </c>
      <c r="AD61" s="6">
        <v>0</v>
      </c>
      <c r="AE61" s="6">
        <v>0</v>
      </c>
      <c r="AF61" s="6">
        <v>12.615481475361236</v>
      </c>
      <c r="AG61" s="6">
        <v>0</v>
      </c>
      <c r="AH61" s="6">
        <v>2.7330399706694344</v>
      </c>
      <c r="AI61" s="6">
        <v>0</v>
      </c>
      <c r="AJ61" s="6">
        <v>0</v>
      </c>
      <c r="AK61" s="6">
        <v>0</v>
      </c>
      <c r="AL61" s="6">
        <v>2.061529199077583</v>
      </c>
      <c r="AM61" s="6">
        <v>3.8719125311537135</v>
      </c>
      <c r="AN61" s="6">
        <v>79.059960400301719</v>
      </c>
      <c r="AO61" s="6">
        <v>0</v>
      </c>
      <c r="AP61" s="6">
        <v>63.869805384776981</v>
      </c>
      <c r="AQ61" s="6">
        <v>0</v>
      </c>
      <c r="AR61" s="6">
        <v>4.3896397471189994</v>
      </c>
      <c r="AS61" s="6">
        <v>0</v>
      </c>
      <c r="AT61" s="6">
        <v>2.0060812851367125</v>
      </c>
      <c r="AU61" s="6">
        <v>32.079736022502075</v>
      </c>
      <c r="AV61" s="6"/>
      <c r="AW61" s="6">
        <f>BG61</f>
        <v>267.30346241478975</v>
      </c>
      <c r="AZ61" s="6"/>
      <c r="BA61" s="6">
        <f>SUM(M61:O61,R61:AC61,AE61:AH61,AK61:AL61,AN61:AP61,AR61:AU61)</f>
        <v>299.38319843729181</v>
      </c>
      <c r="BG61" s="6">
        <f>BA61-AU61</f>
        <v>267.30346241478975</v>
      </c>
    </row>
    <row r="62" spans="1:60">
      <c r="A62" t="s">
        <v>135</v>
      </c>
      <c r="B62" t="s">
        <v>139</v>
      </c>
      <c r="C62" t="s">
        <v>95</v>
      </c>
      <c r="E62" t="s">
        <v>42</v>
      </c>
      <c r="G62" t="s">
        <v>40</v>
      </c>
      <c r="H62" s="5" t="s">
        <v>41</v>
      </c>
      <c r="I62" s="5">
        <v>2050</v>
      </c>
      <c r="J62" s="5" t="s">
        <v>49</v>
      </c>
      <c r="K62" s="5"/>
      <c r="L62" s="7">
        <v>0</v>
      </c>
      <c r="M62" s="7">
        <v>1.7536431772062582</v>
      </c>
      <c r="N62" s="53">
        <v>0.74969190806220853</v>
      </c>
      <c r="O62" s="7">
        <v>6.5081276688287923</v>
      </c>
      <c r="P62" s="7">
        <v>0</v>
      </c>
      <c r="Q62" s="7">
        <v>0</v>
      </c>
      <c r="R62" s="7">
        <v>0</v>
      </c>
      <c r="S62" s="7">
        <v>10.343609181551345</v>
      </c>
      <c r="T62" s="7">
        <v>20.19003150948636</v>
      </c>
      <c r="U62" s="50">
        <v>0</v>
      </c>
      <c r="V62" s="7">
        <v>1.1855027730786751</v>
      </c>
      <c r="W62" s="7">
        <v>0</v>
      </c>
      <c r="X62" s="58">
        <v>7.4</v>
      </c>
      <c r="Y62" s="7">
        <v>29.920929681420446</v>
      </c>
      <c r="Z62" s="7">
        <v>0</v>
      </c>
      <c r="AA62" s="7">
        <v>0</v>
      </c>
      <c r="AB62" s="7">
        <v>19.635947541748198</v>
      </c>
      <c r="AC62" s="7">
        <v>2.5581518654773765</v>
      </c>
      <c r="AD62" s="7">
        <v>0</v>
      </c>
      <c r="AE62" s="7">
        <v>0</v>
      </c>
      <c r="AF62" s="7">
        <v>7.618636040296864</v>
      </c>
      <c r="AG62" s="7">
        <v>0</v>
      </c>
      <c r="AH62" s="7">
        <v>1.6913291788040672</v>
      </c>
      <c r="AI62" s="7">
        <v>0</v>
      </c>
      <c r="AJ62" s="7">
        <v>0</v>
      </c>
      <c r="AK62" s="7">
        <v>0</v>
      </c>
      <c r="AL62" s="7">
        <v>1.788155917532638</v>
      </c>
      <c r="AM62" s="7">
        <v>4.0377017522063889</v>
      </c>
      <c r="AN62" s="7">
        <v>76.625365137880351</v>
      </c>
      <c r="AO62" s="7">
        <v>0</v>
      </c>
      <c r="AP62" s="7">
        <v>60.790556746157399</v>
      </c>
      <c r="AQ62" s="7">
        <v>0</v>
      </c>
      <c r="AR62" s="7">
        <v>3.979849056695044</v>
      </c>
      <c r="AS62" s="7">
        <v>0</v>
      </c>
      <c r="AT62" s="7">
        <v>1.3664095838811616</v>
      </c>
      <c r="AU62" s="7">
        <v>27.77527983643316</v>
      </c>
      <c r="AV62" s="6"/>
      <c r="AW62" s="6">
        <f>BH62</f>
        <v>254.10593696810716</v>
      </c>
      <c r="AZ62" s="6"/>
      <c r="BA62" s="6"/>
      <c r="BB62" s="6">
        <f>SUM(M62:O62,R62:AC62,AE62:AH62,AK62:AL62,AN62:AP62,AR62:AU62)</f>
        <v>281.88121680454032</v>
      </c>
      <c r="BH62" s="6">
        <f>BB62-AU62</f>
        <v>254.10593696810716</v>
      </c>
    </row>
    <row r="63" spans="1:60">
      <c r="A63" t="s">
        <v>135</v>
      </c>
      <c r="B63" t="s">
        <v>139</v>
      </c>
      <c r="C63" t="s">
        <v>95</v>
      </c>
      <c r="F63" t="s">
        <v>105</v>
      </c>
      <c r="H63" t="s">
        <v>45</v>
      </c>
      <c r="I63">
        <v>2005</v>
      </c>
      <c r="J63" t="s">
        <v>49</v>
      </c>
      <c r="L63" s="6">
        <v>6.912306827095354</v>
      </c>
      <c r="M63" s="6">
        <v>9.7576928017184965</v>
      </c>
      <c r="N63" s="52">
        <v>9.7499269048710033</v>
      </c>
      <c r="O63" s="6">
        <v>7.6086883869706003</v>
      </c>
      <c r="P63" s="6">
        <v>7.4112730685322461</v>
      </c>
      <c r="Q63" s="6">
        <v>11.103336344128369</v>
      </c>
      <c r="R63" s="6">
        <v>0</v>
      </c>
      <c r="S63" s="6">
        <v>7.62487832895963</v>
      </c>
      <c r="T63" s="6">
        <v>11.802830154932328</v>
      </c>
      <c r="U63" s="6">
        <v>17.819199589568392</v>
      </c>
      <c r="V63" s="6">
        <v>7.8885431875159577</v>
      </c>
      <c r="W63" s="6">
        <v>0</v>
      </c>
      <c r="X63" s="6">
        <v>13.483013979369167</v>
      </c>
      <c r="Y63" s="6">
        <v>10.561002428001631</v>
      </c>
      <c r="Z63" s="6">
        <v>0</v>
      </c>
      <c r="AA63" s="6">
        <v>0</v>
      </c>
      <c r="AB63" s="6">
        <v>7.513179423358272</v>
      </c>
      <c r="AC63" s="6">
        <v>9.9307697078986799</v>
      </c>
      <c r="AD63" s="6">
        <v>0</v>
      </c>
      <c r="AE63" s="6">
        <v>0</v>
      </c>
      <c r="AF63" s="6">
        <v>6.9169100876930267</v>
      </c>
      <c r="AG63" s="6">
        <v>10.926785728192844</v>
      </c>
      <c r="AH63" s="6">
        <v>7.1025369123224724</v>
      </c>
      <c r="AI63" s="6">
        <v>7.4112730685322461</v>
      </c>
      <c r="AJ63" s="6">
        <v>7.4112730685322461</v>
      </c>
      <c r="AK63" s="6">
        <v>0</v>
      </c>
      <c r="AL63" s="6">
        <v>15.099704924324879</v>
      </c>
      <c r="AM63" s="6">
        <v>0</v>
      </c>
      <c r="AN63" s="6">
        <v>8.9250544691469802</v>
      </c>
      <c r="AO63" s="6">
        <v>9.3722726197944493</v>
      </c>
      <c r="AP63" s="6">
        <v>6.824712886195627</v>
      </c>
      <c r="AQ63" s="6">
        <v>7.4105851537698966</v>
      </c>
      <c r="AR63" s="6">
        <v>14.031054061471906</v>
      </c>
      <c r="AS63" s="6">
        <v>0</v>
      </c>
      <c r="AT63" s="6">
        <v>7.1245961763032088</v>
      </c>
      <c r="AU63" s="6">
        <v>10.393549407418153</v>
      </c>
      <c r="AV63" s="6"/>
      <c r="AW63" s="6"/>
      <c r="AZ63" s="6"/>
      <c r="BA63" s="6"/>
      <c r="BB63" s="6"/>
    </row>
    <row r="64" spans="1:60">
      <c r="A64" t="s">
        <v>135</v>
      </c>
      <c r="B64" t="s">
        <v>139</v>
      </c>
      <c r="C64" t="s">
        <v>95</v>
      </c>
      <c r="F64" t="s">
        <v>105</v>
      </c>
      <c r="H64" t="s">
        <v>45</v>
      </c>
      <c r="I64">
        <v>2020</v>
      </c>
      <c r="J64" t="s">
        <v>49</v>
      </c>
      <c r="L64" s="6">
        <v>6.912306827095354</v>
      </c>
      <c r="M64" s="6">
        <v>9.7576928017184965</v>
      </c>
      <c r="N64" s="52">
        <v>9.7499269048710033</v>
      </c>
      <c r="O64" s="6">
        <v>7.6086883869706003</v>
      </c>
      <c r="P64" s="6">
        <v>7.4112730685322461</v>
      </c>
      <c r="Q64" s="6">
        <v>11.103336344128369</v>
      </c>
      <c r="R64" s="6">
        <v>0</v>
      </c>
      <c r="S64" s="6">
        <v>7.62487832895963</v>
      </c>
      <c r="T64" s="6">
        <v>11.802830154932328</v>
      </c>
      <c r="U64" s="6">
        <v>17.819199589568392</v>
      </c>
      <c r="V64" s="6">
        <v>7.8885431875159577</v>
      </c>
      <c r="W64" s="6">
        <v>0</v>
      </c>
      <c r="X64" s="6">
        <v>13.483013979369167</v>
      </c>
      <c r="Y64" s="6">
        <v>10.561002428001631</v>
      </c>
      <c r="Z64" s="6">
        <v>0</v>
      </c>
      <c r="AA64" s="6">
        <v>0</v>
      </c>
      <c r="AB64" s="6">
        <v>7.513179423358272</v>
      </c>
      <c r="AC64" s="6">
        <v>9.9307697078986799</v>
      </c>
      <c r="AD64" s="6">
        <v>0</v>
      </c>
      <c r="AE64" s="6">
        <v>0</v>
      </c>
      <c r="AF64" s="6">
        <v>6.9169100876930267</v>
      </c>
      <c r="AG64" s="6">
        <v>10.926785728192844</v>
      </c>
      <c r="AH64" s="6">
        <v>7.1025369123224724</v>
      </c>
      <c r="AI64" s="6">
        <v>7.4112730685322461</v>
      </c>
      <c r="AJ64" s="6">
        <v>7.4112730685322461</v>
      </c>
      <c r="AK64" s="6">
        <v>0</v>
      </c>
      <c r="AL64" s="6">
        <v>15.099704924324879</v>
      </c>
      <c r="AM64" s="6">
        <v>0</v>
      </c>
      <c r="AN64" s="6">
        <v>8.9250544691469802</v>
      </c>
      <c r="AO64" s="6">
        <v>9.3722726197944493</v>
      </c>
      <c r="AP64" s="6">
        <v>6.824712886195627</v>
      </c>
      <c r="AQ64" s="6">
        <v>7.4105851537698966</v>
      </c>
      <c r="AR64" s="6">
        <v>14.031054061471906</v>
      </c>
      <c r="AS64" s="6">
        <v>0</v>
      </c>
      <c r="AT64" s="6">
        <v>7.1245961763032088</v>
      </c>
      <c r="AU64" s="6">
        <v>10.393549407418153</v>
      </c>
      <c r="AV64" s="6"/>
      <c r="AW64" s="6"/>
      <c r="AX64" s="40"/>
    </row>
    <row r="65" spans="1:60">
      <c r="A65" t="s">
        <v>135</v>
      </c>
      <c r="B65" t="s">
        <v>139</v>
      </c>
      <c r="C65" t="s">
        <v>95</v>
      </c>
      <c r="F65" t="s">
        <v>105</v>
      </c>
      <c r="H65" t="s">
        <v>45</v>
      </c>
      <c r="I65">
        <v>2030</v>
      </c>
      <c r="J65" t="s">
        <v>49</v>
      </c>
      <c r="L65" s="6">
        <v>6.4385073811207327</v>
      </c>
      <c r="M65" s="6">
        <v>9.3148852661315953</v>
      </c>
      <c r="N65" s="52">
        <v>8.3349275992435068</v>
      </c>
      <c r="O65" s="6">
        <v>8.13318330088482</v>
      </c>
      <c r="P65" s="6">
        <v>6.4385073811207327</v>
      </c>
      <c r="Q65" s="6">
        <v>8.9109787191956151</v>
      </c>
      <c r="R65" s="6">
        <v>0</v>
      </c>
      <c r="S65" s="6">
        <v>6.7395160965684227</v>
      </c>
      <c r="T65" s="6">
        <v>10.339291985234764</v>
      </c>
      <c r="U65" s="6">
        <v>18.757171389932761</v>
      </c>
      <c r="V65" s="6">
        <v>7.9656812562562349</v>
      </c>
      <c r="W65" s="6">
        <v>0</v>
      </c>
      <c r="X65" s="6">
        <v>12.386997257405211</v>
      </c>
      <c r="Y65" s="6">
        <v>9.1160740795650561</v>
      </c>
      <c r="Z65" s="6">
        <v>0</v>
      </c>
      <c r="AA65" s="6">
        <v>7.6896037083973443</v>
      </c>
      <c r="AB65" s="6">
        <v>7.1857882013541587</v>
      </c>
      <c r="AC65" s="6">
        <v>10.224660956669162</v>
      </c>
      <c r="AD65" s="6">
        <v>0</v>
      </c>
      <c r="AE65" s="6">
        <v>0</v>
      </c>
      <c r="AF65" s="6">
        <v>6.1772507174737319</v>
      </c>
      <c r="AG65" s="6">
        <v>10.760904218449451</v>
      </c>
      <c r="AH65" s="6">
        <v>5.9080948005994518</v>
      </c>
      <c r="AI65" s="6">
        <v>6.9474404561531538</v>
      </c>
      <c r="AJ65" s="6">
        <v>6.9474404561531538</v>
      </c>
      <c r="AK65" s="6">
        <v>0</v>
      </c>
      <c r="AL65" s="6">
        <v>13.479091453784926</v>
      </c>
      <c r="AM65" s="6">
        <v>11.546414327697367</v>
      </c>
      <c r="AN65" s="6">
        <v>7.7732803318807182</v>
      </c>
      <c r="AO65" s="6">
        <v>0</v>
      </c>
      <c r="AP65" s="6">
        <v>6.4748217148135758</v>
      </c>
      <c r="AQ65" s="6">
        <v>6.4385073811207327</v>
      </c>
      <c r="AR65" s="6">
        <v>12.955991968329457</v>
      </c>
      <c r="AS65" s="6">
        <v>0</v>
      </c>
      <c r="AT65" s="6">
        <v>5.9949224431686847</v>
      </c>
      <c r="AU65" s="6">
        <v>8.9276896402839601</v>
      </c>
      <c r="AV65" s="6"/>
      <c r="AW65" s="6"/>
      <c r="AX65" s="40"/>
      <c r="AY65" s="6"/>
      <c r="AZ65" s="6"/>
      <c r="BA65" s="6"/>
      <c r="BB65" s="6"/>
    </row>
    <row r="66" spans="1:60">
      <c r="A66" t="s">
        <v>135</v>
      </c>
      <c r="B66" t="s">
        <v>139</v>
      </c>
      <c r="C66" t="s">
        <v>95</v>
      </c>
      <c r="F66" t="s">
        <v>105</v>
      </c>
      <c r="H66" t="s">
        <v>45</v>
      </c>
      <c r="I66">
        <v>2040</v>
      </c>
      <c r="J66" t="s">
        <v>49</v>
      </c>
      <c r="L66" s="6">
        <v>7.5891187433844198</v>
      </c>
      <c r="M66" s="6">
        <v>10.201619923109414</v>
      </c>
      <c r="N66" s="52">
        <v>10.384059401670049</v>
      </c>
      <c r="O66" s="6">
        <v>7.8921502649268067</v>
      </c>
      <c r="P66" s="6">
        <v>7.5891187433844198</v>
      </c>
      <c r="Q66" s="6">
        <v>9.9281440457163992</v>
      </c>
      <c r="R66" s="6">
        <v>0</v>
      </c>
      <c r="S66" s="6">
        <v>6.4984538042015485</v>
      </c>
      <c r="T66" s="6">
        <v>10.136957512496837</v>
      </c>
      <c r="U66" s="6">
        <v>18.343656092382705</v>
      </c>
      <c r="V66" s="6">
        <v>8.9188238325815625</v>
      </c>
      <c r="W66" s="6">
        <v>0</v>
      </c>
      <c r="X66" s="6">
        <v>11.937257511273996</v>
      </c>
      <c r="Y66" s="6">
        <v>8.9607010487056584</v>
      </c>
      <c r="Z66" s="6">
        <v>0</v>
      </c>
      <c r="AA66" s="6">
        <v>8.8590201082403315</v>
      </c>
      <c r="AB66" s="6">
        <v>6.9701960664502369</v>
      </c>
      <c r="AC66" s="6">
        <v>10.902394822482847</v>
      </c>
      <c r="AD66" s="6">
        <v>0</v>
      </c>
      <c r="AE66" s="6">
        <v>0</v>
      </c>
      <c r="AF66" s="6">
        <v>7.9219591909410241</v>
      </c>
      <c r="AG66" s="6">
        <v>10.621539372259939</v>
      </c>
      <c r="AH66" s="6">
        <v>7.798698791073825</v>
      </c>
      <c r="AI66" s="6">
        <v>8.1080186520123689</v>
      </c>
      <c r="AJ66" s="6">
        <v>8.1080186520123689</v>
      </c>
      <c r="AK66" s="6">
        <v>0</v>
      </c>
      <c r="AL66" s="6">
        <v>13.158727386638828</v>
      </c>
      <c r="AM66" s="6">
        <v>12.719648115727438</v>
      </c>
      <c r="AN66" s="6">
        <v>7.7923926028796684</v>
      </c>
      <c r="AO66" s="6">
        <v>0</v>
      </c>
      <c r="AP66" s="6">
        <v>6.7399092591470549</v>
      </c>
      <c r="AQ66" s="6">
        <v>7.5891187433844198</v>
      </c>
      <c r="AR66" s="6">
        <v>13.04230883009561</v>
      </c>
      <c r="AS66" s="6">
        <v>0</v>
      </c>
      <c r="AT66" s="6">
        <v>7.677468878156942</v>
      </c>
      <c r="AU66" s="6">
        <v>9.064352361342312</v>
      </c>
      <c r="AV66" s="6"/>
      <c r="AW66" s="6"/>
      <c r="AY66" s="6"/>
      <c r="AZ66" s="6"/>
      <c r="BA66" s="6"/>
      <c r="BB66" s="6"/>
    </row>
    <row r="67" spans="1:60">
      <c r="A67" t="s">
        <v>135</v>
      </c>
      <c r="B67" t="s">
        <v>139</v>
      </c>
      <c r="C67" t="s">
        <v>95</v>
      </c>
      <c r="F67" t="s">
        <v>105</v>
      </c>
      <c r="H67" t="s">
        <v>45</v>
      </c>
      <c r="I67">
        <v>2050</v>
      </c>
      <c r="J67" t="s">
        <v>49</v>
      </c>
      <c r="L67" s="6">
        <v>7.8165953409711788</v>
      </c>
      <c r="M67" s="6">
        <v>10.678457062155218</v>
      </c>
      <c r="N67" s="52">
        <v>10.590759884399393</v>
      </c>
      <c r="O67" s="6">
        <v>7.5246052418426252</v>
      </c>
      <c r="P67" s="6">
        <v>8.3454620831946595</v>
      </c>
      <c r="Q67" s="6">
        <v>10.03235507958618</v>
      </c>
      <c r="R67" s="6">
        <v>0</v>
      </c>
      <c r="S67" s="6">
        <v>6.3856847387594708</v>
      </c>
      <c r="T67" s="6">
        <v>9.9515699307768042</v>
      </c>
      <c r="U67" s="6">
        <v>0</v>
      </c>
      <c r="V67" s="6">
        <v>8.9305406715675719</v>
      </c>
      <c r="W67" s="6">
        <v>0</v>
      </c>
      <c r="X67" s="6">
        <v>11.778089401653293</v>
      </c>
      <c r="Y67" s="6">
        <v>8.8321011731405488</v>
      </c>
      <c r="Z67" s="6">
        <v>0</v>
      </c>
      <c r="AA67" s="6">
        <v>9.1053017434063914</v>
      </c>
      <c r="AB67" s="6">
        <v>6.9538999283115777</v>
      </c>
      <c r="AC67" s="6">
        <v>10.787808030123522</v>
      </c>
      <c r="AD67" s="6">
        <v>0</v>
      </c>
      <c r="AE67" s="6">
        <v>0</v>
      </c>
      <c r="AF67" s="6">
        <v>7.9702637644569565</v>
      </c>
      <c r="AG67" s="6">
        <v>10.488479616821065</v>
      </c>
      <c r="AH67" s="6">
        <v>8.6205357831547946</v>
      </c>
      <c r="AI67" s="6">
        <v>8.3454620831946595</v>
      </c>
      <c r="AJ67" s="6">
        <v>8.3454620831946595</v>
      </c>
      <c r="AK67" s="6">
        <v>0</v>
      </c>
      <c r="AL67" s="6">
        <v>12.870685589066161</v>
      </c>
      <c r="AM67" s="6">
        <v>12.969747139080583</v>
      </c>
      <c r="AN67" s="6">
        <v>7.9101391396849721</v>
      </c>
      <c r="AO67" s="6">
        <v>0</v>
      </c>
      <c r="AP67" s="6">
        <v>6.9618456747409621</v>
      </c>
      <c r="AQ67" s="6">
        <v>8.3260548575428022</v>
      </c>
      <c r="AR67" s="6">
        <v>13.205062021753143</v>
      </c>
      <c r="AS67" s="6">
        <v>0</v>
      </c>
      <c r="AT67" s="6">
        <v>8.1311063633613418</v>
      </c>
      <c r="AU67" s="6">
        <v>9.8996366012277619</v>
      </c>
      <c r="AV67" s="6"/>
      <c r="AW67" s="6"/>
      <c r="AY67" s="6"/>
      <c r="AZ67" s="6"/>
      <c r="BA67" s="6"/>
      <c r="BB67" s="6"/>
    </row>
    <row r="68" spans="1:60">
      <c r="E68" t="s">
        <v>46</v>
      </c>
      <c r="L68" s="6"/>
      <c r="M68" s="6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Y68" s="6"/>
      <c r="AZ68" s="6"/>
      <c r="BA68" s="6"/>
      <c r="BB68" s="6"/>
    </row>
    <row r="69" spans="1:60">
      <c r="A69" t="s">
        <v>135</v>
      </c>
      <c r="B69" t="s">
        <v>139</v>
      </c>
      <c r="C69" t="s">
        <v>96</v>
      </c>
      <c r="E69" t="s">
        <v>42</v>
      </c>
      <c r="G69" t="s">
        <v>40</v>
      </c>
      <c r="H69" t="s">
        <v>41</v>
      </c>
      <c r="I69">
        <v>2005</v>
      </c>
      <c r="J69" t="s">
        <v>50</v>
      </c>
      <c r="L69" s="14">
        <v>0</v>
      </c>
      <c r="M69" s="14">
        <v>0</v>
      </c>
      <c r="N69" s="93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60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/>
      <c r="AW69" s="14"/>
      <c r="AY69" s="6"/>
    </row>
    <row r="70" spans="1:60">
      <c r="A70" t="s">
        <v>135</v>
      </c>
      <c r="B70" t="s">
        <v>139</v>
      </c>
      <c r="C70" t="s">
        <v>96</v>
      </c>
      <c r="E70" t="s">
        <v>42</v>
      </c>
      <c r="G70" t="s">
        <v>40</v>
      </c>
      <c r="H70" t="s">
        <v>41</v>
      </c>
      <c r="I70">
        <v>2010</v>
      </c>
      <c r="J70" t="s">
        <v>50</v>
      </c>
      <c r="L70" s="14">
        <v>0</v>
      </c>
      <c r="M70" s="14">
        <v>0</v>
      </c>
      <c r="N70" s="93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60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/>
      <c r="AW70" s="6">
        <f>BD70</f>
        <v>0</v>
      </c>
      <c r="AX70" s="6">
        <f>SUM(M70:O70,R70:AC70,AE70:AH70,AK70:AL70,AN70:AP70,AR70:AU70)</f>
        <v>0</v>
      </c>
      <c r="BD70" s="6">
        <f>AX70-AU70</f>
        <v>0</v>
      </c>
    </row>
    <row r="71" spans="1:60">
      <c r="A71" t="s">
        <v>135</v>
      </c>
      <c r="B71" t="s">
        <v>139</v>
      </c>
      <c r="C71" t="s">
        <v>96</v>
      </c>
      <c r="E71" t="s">
        <v>42</v>
      </c>
      <c r="G71" t="s">
        <v>40</v>
      </c>
      <c r="H71" t="s">
        <v>41</v>
      </c>
      <c r="I71">
        <v>2020</v>
      </c>
      <c r="J71" t="s">
        <v>50</v>
      </c>
      <c r="L71" s="6">
        <v>5.3754834434076306</v>
      </c>
      <c r="M71" s="6">
        <v>0</v>
      </c>
      <c r="N71" s="52">
        <v>0</v>
      </c>
      <c r="O71" s="6">
        <v>0</v>
      </c>
      <c r="P71" s="6">
        <v>13.192975449949744</v>
      </c>
      <c r="Q71" s="6">
        <v>0</v>
      </c>
      <c r="R71" s="6">
        <v>0.26601390908679773</v>
      </c>
      <c r="S71" s="6">
        <v>0</v>
      </c>
      <c r="T71" s="6">
        <v>0</v>
      </c>
      <c r="U71" s="6">
        <v>0</v>
      </c>
      <c r="V71" s="6">
        <v>0</v>
      </c>
      <c r="W71" s="6">
        <v>40.506851512503268</v>
      </c>
      <c r="X71" s="57">
        <v>0</v>
      </c>
      <c r="Y71" s="6">
        <v>2.7068860807999715</v>
      </c>
      <c r="Z71" s="6">
        <v>3.2365045150899698</v>
      </c>
      <c r="AA71" s="6">
        <v>0</v>
      </c>
      <c r="AB71" s="6">
        <v>0</v>
      </c>
      <c r="AC71" s="6">
        <v>0</v>
      </c>
      <c r="AD71" s="6">
        <v>0</v>
      </c>
      <c r="AE71" s="6">
        <v>11.693737280325916</v>
      </c>
      <c r="AF71" s="6">
        <v>0</v>
      </c>
      <c r="AG71" s="6">
        <v>0</v>
      </c>
      <c r="AH71" s="6">
        <v>0</v>
      </c>
      <c r="AI71" s="6">
        <v>0.49997888525423856</v>
      </c>
      <c r="AJ71" s="6">
        <v>3.245867903882897</v>
      </c>
      <c r="AK71" s="6">
        <v>0</v>
      </c>
      <c r="AL71" s="6">
        <v>0</v>
      </c>
      <c r="AM71" s="6">
        <v>0</v>
      </c>
      <c r="AN71" s="6">
        <v>0</v>
      </c>
      <c r="AO71" s="6">
        <v>2.9274980379918447</v>
      </c>
      <c r="AP71" s="6">
        <v>0</v>
      </c>
      <c r="AQ71" s="6">
        <v>7.5430067806448342</v>
      </c>
      <c r="AR71" s="6">
        <v>0</v>
      </c>
      <c r="AS71" s="6">
        <v>6.2153325495806051E-2</v>
      </c>
      <c r="AT71" s="6">
        <v>0</v>
      </c>
      <c r="AU71" s="6">
        <v>0</v>
      </c>
      <c r="AV71" s="6"/>
      <c r="AW71" s="6">
        <f>BE71</f>
        <v>61.399644661293564</v>
      </c>
      <c r="AY71" s="6">
        <f>SUM(M71:O71,R71:AC71,AE71:AH71,AK71:AL71,AN71:AP71,AR71:AU71)</f>
        <v>61.399644661293564</v>
      </c>
      <c r="BE71" s="6">
        <f>AY71-AU71</f>
        <v>61.399644661293564</v>
      </c>
    </row>
    <row r="72" spans="1:60">
      <c r="A72" t="s">
        <v>135</v>
      </c>
      <c r="B72" t="s">
        <v>139</v>
      </c>
      <c r="C72" t="s">
        <v>96</v>
      </c>
      <c r="E72" t="s">
        <v>42</v>
      </c>
      <c r="G72" t="s">
        <v>40</v>
      </c>
      <c r="H72" t="s">
        <v>41</v>
      </c>
      <c r="I72">
        <v>2030</v>
      </c>
      <c r="J72" t="s">
        <v>50</v>
      </c>
      <c r="L72" s="6">
        <v>5.6331514752524647</v>
      </c>
      <c r="M72" s="6">
        <v>0</v>
      </c>
      <c r="N72" s="52">
        <v>0</v>
      </c>
      <c r="O72" s="6">
        <v>0</v>
      </c>
      <c r="P72" s="6">
        <v>13.620299629876971</v>
      </c>
      <c r="Q72" s="6">
        <v>0</v>
      </c>
      <c r="R72" s="6">
        <v>0.28843477838083453</v>
      </c>
      <c r="S72" s="6">
        <v>0</v>
      </c>
      <c r="T72" s="6">
        <v>0</v>
      </c>
      <c r="U72" s="6">
        <v>0</v>
      </c>
      <c r="V72" s="6">
        <v>0</v>
      </c>
      <c r="W72" s="6">
        <v>44.915056075074489</v>
      </c>
      <c r="X72" s="57">
        <v>0</v>
      </c>
      <c r="Y72" s="6">
        <v>3.10796216859897</v>
      </c>
      <c r="Z72" s="6">
        <v>3.6874292270150786</v>
      </c>
      <c r="AA72" s="6">
        <v>0</v>
      </c>
      <c r="AB72" s="6">
        <v>0</v>
      </c>
      <c r="AC72" s="6">
        <v>0</v>
      </c>
      <c r="AD72" s="6">
        <v>0</v>
      </c>
      <c r="AE72" s="6">
        <v>11.132322548074573</v>
      </c>
      <c r="AF72" s="6">
        <v>0</v>
      </c>
      <c r="AG72" s="6">
        <v>0</v>
      </c>
      <c r="AH72" s="6">
        <v>0</v>
      </c>
      <c r="AI72" s="6">
        <v>0.51183672812200365</v>
      </c>
      <c r="AJ72" s="6">
        <v>3.3946165240424127</v>
      </c>
      <c r="AK72" s="6">
        <v>0</v>
      </c>
      <c r="AL72" s="6">
        <v>0</v>
      </c>
      <c r="AM72" s="6">
        <v>0</v>
      </c>
      <c r="AN72" s="6">
        <v>0</v>
      </c>
      <c r="AO72" s="6">
        <v>2.6070542347620203</v>
      </c>
      <c r="AP72" s="6">
        <v>0</v>
      </c>
      <c r="AQ72" s="6">
        <v>7.5790960000038714</v>
      </c>
      <c r="AR72" s="6">
        <v>0</v>
      </c>
      <c r="AS72" s="6">
        <v>0.15673132195217976</v>
      </c>
      <c r="AT72" s="6">
        <v>0</v>
      </c>
      <c r="AU72" s="6">
        <v>0</v>
      </c>
      <c r="AV72" s="6"/>
      <c r="AW72" s="6">
        <f>BF72</f>
        <v>65.894990353858148</v>
      </c>
      <c r="AZ72" s="6">
        <f>SUM(M72:O72,R72:AC72,AE72:AH72,AK72:AL72,AN72:AP72,AR72:AU72)</f>
        <v>65.894990353858148</v>
      </c>
      <c r="BF72" s="6">
        <f>AZ72-AU72</f>
        <v>65.894990353858148</v>
      </c>
    </row>
    <row r="73" spans="1:60">
      <c r="A73" t="s">
        <v>135</v>
      </c>
      <c r="B73" t="s">
        <v>139</v>
      </c>
      <c r="C73" t="s">
        <v>96</v>
      </c>
      <c r="E73" t="s">
        <v>42</v>
      </c>
      <c r="G73" t="s">
        <v>40</v>
      </c>
      <c r="H73" t="s">
        <v>41</v>
      </c>
      <c r="I73">
        <v>2040</v>
      </c>
      <c r="J73" t="s">
        <v>50</v>
      </c>
      <c r="L73" s="6">
        <v>5.9278461692128444</v>
      </c>
      <c r="M73" s="6">
        <v>0</v>
      </c>
      <c r="N73" s="52">
        <v>0</v>
      </c>
      <c r="O73" s="6">
        <v>0</v>
      </c>
      <c r="P73" s="6">
        <v>13.746550143421604</v>
      </c>
      <c r="Q73" s="6">
        <v>0</v>
      </c>
      <c r="R73" s="6">
        <v>0.2706837098960011</v>
      </c>
      <c r="S73" s="6">
        <v>0</v>
      </c>
      <c r="T73" s="6">
        <v>0</v>
      </c>
      <c r="U73" s="6">
        <v>0</v>
      </c>
      <c r="V73" s="6">
        <v>0</v>
      </c>
      <c r="W73" s="6">
        <v>49.49124714263916</v>
      </c>
      <c r="X73" s="57">
        <v>0</v>
      </c>
      <c r="Y73" s="6">
        <v>3.1324593700257646</v>
      </c>
      <c r="Z73" s="6">
        <v>4.0412118061912565</v>
      </c>
      <c r="AA73" s="6">
        <v>0</v>
      </c>
      <c r="AB73" s="6">
        <v>0</v>
      </c>
      <c r="AC73" s="6">
        <v>0</v>
      </c>
      <c r="AD73" s="6">
        <v>0</v>
      </c>
      <c r="AE73" s="6">
        <v>10.992619144544038</v>
      </c>
      <c r="AF73" s="6">
        <v>0</v>
      </c>
      <c r="AG73" s="6">
        <v>0</v>
      </c>
      <c r="AH73" s="6">
        <v>0</v>
      </c>
      <c r="AI73" s="6">
        <v>0.52828364129410743</v>
      </c>
      <c r="AJ73" s="6">
        <v>3.6449491399263767</v>
      </c>
      <c r="AK73" s="6">
        <v>0</v>
      </c>
      <c r="AL73" s="6">
        <v>0</v>
      </c>
      <c r="AM73" s="6">
        <v>0</v>
      </c>
      <c r="AN73" s="6">
        <v>0</v>
      </c>
      <c r="AO73" s="6">
        <v>3.706528005509766</v>
      </c>
      <c r="AP73" s="6">
        <v>0</v>
      </c>
      <c r="AQ73" s="6">
        <v>7.1068231518508007</v>
      </c>
      <c r="AR73" s="6">
        <v>0</v>
      </c>
      <c r="AS73" s="6">
        <v>0.13622919910901093</v>
      </c>
      <c r="AT73" s="6">
        <v>0</v>
      </c>
      <c r="AU73" s="6">
        <v>0</v>
      </c>
      <c r="AV73" s="6"/>
      <c r="AW73" s="6">
        <f>BG73</f>
        <v>71.770978377915</v>
      </c>
      <c r="AZ73" s="6"/>
      <c r="BA73" s="6">
        <f>SUM(M73:O73,R73:AC73,AE73:AH73,AK73:AL73,AN73:AP73,AR73:AU73)</f>
        <v>71.770978377915</v>
      </c>
      <c r="BG73" s="6">
        <f>BA73-AU73</f>
        <v>71.770978377915</v>
      </c>
    </row>
    <row r="74" spans="1:60">
      <c r="A74" t="s">
        <v>135</v>
      </c>
      <c r="B74" t="s">
        <v>139</v>
      </c>
      <c r="C74" t="s">
        <v>96</v>
      </c>
      <c r="E74" t="s">
        <v>42</v>
      </c>
      <c r="G74" t="s">
        <v>40</v>
      </c>
      <c r="H74" s="5" t="s">
        <v>41</v>
      </c>
      <c r="I74" s="5">
        <v>2050</v>
      </c>
      <c r="J74" s="5" t="s">
        <v>50</v>
      </c>
      <c r="K74" s="5"/>
      <c r="L74" s="7">
        <v>6.2262105789716609</v>
      </c>
      <c r="M74" s="7">
        <v>0</v>
      </c>
      <c r="N74" s="53">
        <v>0</v>
      </c>
      <c r="O74" s="7">
        <v>0</v>
      </c>
      <c r="P74" s="7">
        <v>13.830426219890182</v>
      </c>
      <c r="Q74" s="7">
        <v>0</v>
      </c>
      <c r="R74" s="7">
        <v>0.25024901182600112</v>
      </c>
      <c r="S74" s="7">
        <v>0</v>
      </c>
      <c r="T74" s="7">
        <v>0</v>
      </c>
      <c r="U74" s="7">
        <v>0</v>
      </c>
      <c r="V74" s="7">
        <v>0</v>
      </c>
      <c r="W74" s="7">
        <v>54.287838002343584</v>
      </c>
      <c r="X74" s="58">
        <v>0</v>
      </c>
      <c r="Y74" s="7">
        <v>3.1468023274319687</v>
      </c>
      <c r="Z74" s="7">
        <v>4.4111832688253845</v>
      </c>
      <c r="AA74" s="7">
        <v>0</v>
      </c>
      <c r="AB74" s="7">
        <v>0</v>
      </c>
      <c r="AC74" s="7">
        <v>0</v>
      </c>
      <c r="AD74" s="7">
        <v>0</v>
      </c>
      <c r="AE74" s="7">
        <v>10.796766344073793</v>
      </c>
      <c r="AF74" s="7">
        <v>0</v>
      </c>
      <c r="AG74" s="7">
        <v>0</v>
      </c>
      <c r="AH74" s="7">
        <v>0</v>
      </c>
      <c r="AI74" s="7">
        <v>0.5441376507573743</v>
      </c>
      <c r="AJ74" s="7">
        <v>3.9036323527486991</v>
      </c>
      <c r="AK74" s="7">
        <v>0</v>
      </c>
      <c r="AL74" s="7">
        <v>0</v>
      </c>
      <c r="AM74" s="7">
        <v>0</v>
      </c>
      <c r="AN74" s="7">
        <v>0</v>
      </c>
      <c r="AO74" s="7">
        <v>4.8913036289124063</v>
      </c>
      <c r="AP74" s="7">
        <v>0</v>
      </c>
      <c r="AQ74" s="7">
        <v>6.5635261983247242</v>
      </c>
      <c r="AR74" s="7">
        <v>0</v>
      </c>
      <c r="AS74" s="7">
        <v>0.11332479158401654</v>
      </c>
      <c r="AT74" s="7">
        <v>0</v>
      </c>
      <c r="AU74" s="7">
        <v>0</v>
      </c>
      <c r="AV74" s="6"/>
      <c r="AW74" s="6">
        <f>BH74</f>
        <v>77.897467374997163</v>
      </c>
      <c r="AZ74" s="6"/>
      <c r="BA74" s="6"/>
      <c r="BB74" s="6">
        <f>SUM(M74:O74,R74:AC74,AE74:AH74,AK74:AL74,AN74:AP74,AR74:AU74)</f>
        <v>77.897467374997163</v>
      </c>
      <c r="BH74" s="6">
        <f>BB74-AU74</f>
        <v>77.897467374997163</v>
      </c>
    </row>
    <row r="75" spans="1:60">
      <c r="A75" t="s">
        <v>135</v>
      </c>
      <c r="B75" t="s">
        <v>139</v>
      </c>
      <c r="C75" t="s">
        <v>96</v>
      </c>
      <c r="F75" t="s">
        <v>105</v>
      </c>
      <c r="H75" t="s">
        <v>45</v>
      </c>
      <c r="I75">
        <v>2005</v>
      </c>
      <c r="J75" t="s">
        <v>50</v>
      </c>
      <c r="L75" s="6">
        <v>7.9149018955560813</v>
      </c>
      <c r="M75" s="6">
        <v>0</v>
      </c>
      <c r="N75" s="52">
        <v>0</v>
      </c>
      <c r="O75" s="6">
        <v>0</v>
      </c>
      <c r="P75" s="6">
        <v>9.0822648493001239</v>
      </c>
      <c r="Q75" s="6">
        <v>0</v>
      </c>
      <c r="R75" s="6">
        <v>13.012708473757229</v>
      </c>
      <c r="S75" s="6">
        <v>0</v>
      </c>
      <c r="T75" s="6">
        <v>0</v>
      </c>
      <c r="U75" s="6">
        <v>0</v>
      </c>
      <c r="V75" s="6">
        <v>0</v>
      </c>
      <c r="W75" s="6">
        <v>16.746124735854536</v>
      </c>
      <c r="X75" s="6">
        <v>0</v>
      </c>
      <c r="Y75" s="6">
        <v>13.1570829814923</v>
      </c>
      <c r="Z75" s="6">
        <v>16.91394575250078</v>
      </c>
      <c r="AA75" s="6">
        <v>0</v>
      </c>
      <c r="AB75" s="6">
        <v>0</v>
      </c>
      <c r="AC75" s="6">
        <v>0</v>
      </c>
      <c r="AD75" s="6">
        <v>0</v>
      </c>
      <c r="AE75" s="6">
        <v>18.258214710920093</v>
      </c>
      <c r="AF75" s="6">
        <v>0</v>
      </c>
      <c r="AG75" s="6">
        <v>0</v>
      </c>
      <c r="AH75" s="6">
        <v>0</v>
      </c>
      <c r="AI75" s="6">
        <v>9.0822648493001239</v>
      </c>
      <c r="AJ75" s="6">
        <v>9.0822648493001239</v>
      </c>
      <c r="AK75" s="6">
        <v>0</v>
      </c>
      <c r="AL75" s="6">
        <v>0</v>
      </c>
      <c r="AM75" s="6">
        <v>0</v>
      </c>
      <c r="AN75" s="6">
        <v>0</v>
      </c>
      <c r="AO75" s="6">
        <v>11.437740259813033</v>
      </c>
      <c r="AP75" s="6">
        <v>0</v>
      </c>
      <c r="AQ75" s="6">
        <v>9.0815769345377753</v>
      </c>
      <c r="AR75" s="6">
        <v>0</v>
      </c>
      <c r="AS75" s="6">
        <v>10.22939364325501</v>
      </c>
      <c r="AT75" s="6">
        <v>0</v>
      </c>
      <c r="AU75" s="6">
        <v>0</v>
      </c>
      <c r="AV75" s="6"/>
      <c r="AW75" s="6"/>
      <c r="AY75" s="6"/>
      <c r="AZ75" s="6"/>
      <c r="BA75" s="6"/>
      <c r="BB75" s="6"/>
    </row>
    <row r="76" spans="1:60">
      <c r="A76" t="s">
        <v>135</v>
      </c>
      <c r="B76" t="s">
        <v>139</v>
      </c>
      <c r="C76" t="s">
        <v>96</v>
      </c>
      <c r="F76" t="s">
        <v>105</v>
      </c>
      <c r="H76" t="s">
        <v>45</v>
      </c>
      <c r="I76">
        <v>2020</v>
      </c>
      <c r="J76" t="s">
        <v>50</v>
      </c>
      <c r="L76" s="6">
        <v>7.9149018955560813</v>
      </c>
      <c r="M76" s="6">
        <v>0</v>
      </c>
      <c r="N76" s="52">
        <v>0</v>
      </c>
      <c r="O76" s="6">
        <v>0</v>
      </c>
      <c r="P76" s="6">
        <v>9.0822648493001239</v>
      </c>
      <c r="Q76" s="6">
        <v>0</v>
      </c>
      <c r="R76" s="6">
        <v>13.012708473757229</v>
      </c>
      <c r="S76" s="6">
        <v>0</v>
      </c>
      <c r="T76" s="6">
        <v>0</v>
      </c>
      <c r="U76" s="6">
        <v>0</v>
      </c>
      <c r="V76" s="6">
        <v>0</v>
      </c>
      <c r="W76" s="6">
        <v>16.746124735854536</v>
      </c>
      <c r="X76" s="6">
        <v>0</v>
      </c>
      <c r="Y76" s="6">
        <v>13.1570829814923</v>
      </c>
      <c r="Z76" s="6">
        <v>16.91394575250078</v>
      </c>
      <c r="AA76" s="6">
        <v>0</v>
      </c>
      <c r="AB76" s="6">
        <v>0</v>
      </c>
      <c r="AC76" s="6">
        <v>0</v>
      </c>
      <c r="AD76" s="6">
        <v>0</v>
      </c>
      <c r="AE76" s="6">
        <v>18.258214710920093</v>
      </c>
      <c r="AF76" s="6">
        <v>0</v>
      </c>
      <c r="AG76" s="6">
        <v>0</v>
      </c>
      <c r="AH76" s="6">
        <v>0</v>
      </c>
      <c r="AI76" s="6">
        <v>9.0822648493001239</v>
      </c>
      <c r="AJ76" s="6">
        <v>9.0822648493001239</v>
      </c>
      <c r="AK76" s="6">
        <v>0</v>
      </c>
      <c r="AL76" s="6">
        <v>0</v>
      </c>
      <c r="AM76" s="6">
        <v>0</v>
      </c>
      <c r="AN76" s="6">
        <v>0</v>
      </c>
      <c r="AO76" s="6">
        <v>11.437740259813033</v>
      </c>
      <c r="AP76" s="6">
        <v>0</v>
      </c>
      <c r="AQ76" s="6">
        <v>9.0815769345377753</v>
      </c>
      <c r="AR76" s="6">
        <v>0</v>
      </c>
      <c r="AS76" s="6">
        <v>10.22939364325501</v>
      </c>
      <c r="AT76" s="6">
        <v>0</v>
      </c>
      <c r="AU76" s="6">
        <v>0</v>
      </c>
      <c r="AV76" s="6"/>
      <c r="AW76" s="6"/>
      <c r="AY76" s="6"/>
      <c r="AZ76" s="6"/>
      <c r="BA76" s="6"/>
      <c r="BB76" s="6"/>
    </row>
    <row r="77" spans="1:60">
      <c r="A77" t="s">
        <v>135</v>
      </c>
      <c r="B77" t="s">
        <v>139</v>
      </c>
      <c r="C77" t="s">
        <v>96</v>
      </c>
      <c r="F77" t="s">
        <v>105</v>
      </c>
      <c r="H77" t="s">
        <v>45</v>
      </c>
      <c r="I77">
        <v>2030</v>
      </c>
      <c r="J77" t="s">
        <v>50</v>
      </c>
      <c r="L77" s="6">
        <v>7.46112925176004</v>
      </c>
      <c r="M77" s="6">
        <v>0</v>
      </c>
      <c r="N77" s="52">
        <v>0</v>
      </c>
      <c r="O77" s="6">
        <v>0</v>
      </c>
      <c r="P77" s="6">
        <v>7.46112925176004</v>
      </c>
      <c r="Q77" s="6">
        <v>0</v>
      </c>
      <c r="R77" s="6">
        <v>12.25983621519199</v>
      </c>
      <c r="S77" s="6">
        <v>0</v>
      </c>
      <c r="T77" s="6">
        <v>0</v>
      </c>
      <c r="U77" s="6">
        <v>0</v>
      </c>
      <c r="V77" s="6">
        <v>0</v>
      </c>
      <c r="W77" s="6">
        <v>15.299167807695538</v>
      </c>
      <c r="X77" s="6">
        <v>0</v>
      </c>
      <c r="Y77" s="6">
        <v>11.48120458076386</v>
      </c>
      <c r="Z77" s="6">
        <v>16.50563346116023</v>
      </c>
      <c r="AA77" s="6">
        <v>8.0085993490448963</v>
      </c>
      <c r="AB77" s="6">
        <v>0</v>
      </c>
      <c r="AC77" s="6">
        <v>0</v>
      </c>
      <c r="AD77" s="6">
        <v>0</v>
      </c>
      <c r="AE77" s="6">
        <v>18.237241180594133</v>
      </c>
      <c r="AF77" s="6">
        <v>0</v>
      </c>
      <c r="AG77" s="6">
        <v>0</v>
      </c>
      <c r="AH77" s="6">
        <v>0</v>
      </c>
      <c r="AI77" s="6">
        <v>8.651810240551999</v>
      </c>
      <c r="AJ77" s="6">
        <v>8.651810240551999</v>
      </c>
      <c r="AK77" s="6">
        <v>0</v>
      </c>
      <c r="AL77" s="6">
        <v>0</v>
      </c>
      <c r="AM77" s="6">
        <v>0</v>
      </c>
      <c r="AN77" s="6">
        <v>0</v>
      </c>
      <c r="AO77" s="6">
        <v>10.946496256738062</v>
      </c>
      <c r="AP77" s="6">
        <v>0</v>
      </c>
      <c r="AQ77" s="6">
        <v>7.46112925176004</v>
      </c>
      <c r="AR77" s="6">
        <v>0</v>
      </c>
      <c r="AS77" s="6">
        <v>8.9167478550195955</v>
      </c>
      <c r="AT77" s="6">
        <v>0</v>
      </c>
      <c r="AU77" s="6">
        <v>0</v>
      </c>
      <c r="AV77" s="6"/>
      <c r="AW77" s="6"/>
      <c r="AY77" s="6"/>
    </row>
    <row r="78" spans="1:60">
      <c r="A78" t="s">
        <v>135</v>
      </c>
      <c r="B78" t="s">
        <v>139</v>
      </c>
      <c r="C78" t="s">
        <v>96</v>
      </c>
      <c r="F78" t="s">
        <v>105</v>
      </c>
      <c r="H78" t="s">
        <v>45</v>
      </c>
      <c r="I78">
        <v>2040</v>
      </c>
      <c r="J78" t="s">
        <v>50</v>
      </c>
      <c r="L78" s="6">
        <v>8.6317674162023064</v>
      </c>
      <c r="M78" s="6">
        <v>0</v>
      </c>
      <c r="N78" s="52">
        <v>0</v>
      </c>
      <c r="O78" s="6">
        <v>0</v>
      </c>
      <c r="P78" s="6">
        <v>8.6317674162023064</v>
      </c>
      <c r="Q78" s="6">
        <v>0</v>
      </c>
      <c r="R78" s="6">
        <v>12.428040731174901</v>
      </c>
      <c r="S78" s="6">
        <v>0</v>
      </c>
      <c r="T78" s="6">
        <v>0</v>
      </c>
      <c r="U78" s="6">
        <v>0</v>
      </c>
      <c r="V78" s="6">
        <v>0</v>
      </c>
      <c r="W78" s="6">
        <v>14.991299451734369</v>
      </c>
      <c r="X78" s="6">
        <v>0</v>
      </c>
      <c r="Y78" s="6">
        <v>11.291707776746767</v>
      </c>
      <c r="Z78" s="6">
        <v>15.956897601375012</v>
      </c>
      <c r="AA78" s="6">
        <v>9.1833609022332876</v>
      </c>
      <c r="AB78" s="6">
        <v>0</v>
      </c>
      <c r="AC78" s="6">
        <v>0</v>
      </c>
      <c r="AD78" s="6">
        <v>0</v>
      </c>
      <c r="AE78" s="6">
        <v>18.079944864270594</v>
      </c>
      <c r="AF78" s="6">
        <v>0</v>
      </c>
      <c r="AG78" s="6">
        <v>0</v>
      </c>
      <c r="AH78" s="6">
        <v>0</v>
      </c>
      <c r="AI78" s="6">
        <v>9.8457664400421834</v>
      </c>
      <c r="AJ78" s="6">
        <v>9.8457664400421834</v>
      </c>
      <c r="AK78" s="6">
        <v>0</v>
      </c>
      <c r="AL78" s="6">
        <v>0</v>
      </c>
      <c r="AM78" s="6">
        <v>0</v>
      </c>
      <c r="AN78" s="6">
        <v>0</v>
      </c>
      <c r="AO78" s="6">
        <v>10.386699834060389</v>
      </c>
      <c r="AP78" s="6">
        <v>0</v>
      </c>
      <c r="AQ78" s="6">
        <v>8.6317674162023064</v>
      </c>
      <c r="AR78" s="6">
        <v>0</v>
      </c>
      <c r="AS78" s="6">
        <v>8.7824618110437562</v>
      </c>
      <c r="AT78" s="6">
        <v>0</v>
      </c>
      <c r="AU78" s="6">
        <v>0</v>
      </c>
      <c r="AV78" s="6"/>
      <c r="AW78" s="6"/>
    </row>
    <row r="79" spans="1:60">
      <c r="A79" t="s">
        <v>135</v>
      </c>
      <c r="B79" t="s">
        <v>139</v>
      </c>
      <c r="C79" t="s">
        <v>96</v>
      </c>
      <c r="F79" t="s">
        <v>105</v>
      </c>
      <c r="H79" t="s">
        <v>45</v>
      </c>
      <c r="I79">
        <v>2050</v>
      </c>
      <c r="J79" t="s">
        <v>50</v>
      </c>
      <c r="L79" s="6">
        <v>8.8792708159676472</v>
      </c>
      <c r="M79" s="6">
        <v>0</v>
      </c>
      <c r="N79" s="52">
        <v>0</v>
      </c>
      <c r="O79" s="6">
        <v>0</v>
      </c>
      <c r="P79" s="6">
        <v>10.116587874855437</v>
      </c>
      <c r="Q79" s="6">
        <v>0</v>
      </c>
      <c r="R79" s="6">
        <v>12.675414773048802</v>
      </c>
      <c r="S79" s="6">
        <v>0</v>
      </c>
      <c r="T79" s="6">
        <v>0</v>
      </c>
      <c r="U79" s="6">
        <v>0</v>
      </c>
      <c r="V79" s="6">
        <v>0</v>
      </c>
      <c r="W79" s="6">
        <v>14.779530930973372</v>
      </c>
      <c r="X79" s="6">
        <v>0</v>
      </c>
      <c r="Y79" s="6">
        <v>11.122623555418762</v>
      </c>
      <c r="Z79" s="6">
        <v>15.536934119464057</v>
      </c>
      <c r="AA79" s="6">
        <v>9.4349876907447534</v>
      </c>
      <c r="AB79" s="6">
        <v>0</v>
      </c>
      <c r="AC79" s="6">
        <v>0</v>
      </c>
      <c r="AD79" s="6">
        <v>0</v>
      </c>
      <c r="AE79" s="6">
        <v>17.695672990466775</v>
      </c>
      <c r="AF79" s="6">
        <v>0</v>
      </c>
      <c r="AG79" s="6">
        <v>0</v>
      </c>
      <c r="AH79" s="6">
        <v>8.9356878640750317</v>
      </c>
      <c r="AI79" s="6">
        <v>10.116587874855437</v>
      </c>
      <c r="AJ79" s="6">
        <v>10.116587874855437</v>
      </c>
      <c r="AK79" s="6">
        <v>0</v>
      </c>
      <c r="AL79" s="6">
        <v>0</v>
      </c>
      <c r="AM79" s="6">
        <v>0</v>
      </c>
      <c r="AN79" s="6">
        <v>0</v>
      </c>
      <c r="AO79" s="6">
        <v>10.220744127426729</v>
      </c>
      <c r="AP79" s="6">
        <v>0</v>
      </c>
      <c r="AQ79" s="6">
        <v>10.097180649203581</v>
      </c>
      <c r="AR79" s="6">
        <v>0</v>
      </c>
      <c r="AS79" s="6">
        <v>8.6593462725950658</v>
      </c>
      <c r="AT79" s="6">
        <v>0</v>
      </c>
      <c r="AU79" s="6">
        <v>0</v>
      </c>
      <c r="AV79" s="6"/>
      <c r="AW79" s="6"/>
    </row>
    <row r="80" spans="1:60">
      <c r="E80" t="s">
        <v>46</v>
      </c>
    </row>
    <row r="81" spans="1:60">
      <c r="A81" t="s">
        <v>138</v>
      </c>
      <c r="B81" t="s">
        <v>140</v>
      </c>
      <c r="C81" t="s">
        <v>117</v>
      </c>
      <c r="E81" t="s">
        <v>42</v>
      </c>
      <c r="G81" t="s">
        <v>40</v>
      </c>
      <c r="H81" t="s">
        <v>41</v>
      </c>
      <c r="I81">
        <v>2005</v>
      </c>
      <c r="J81" t="s">
        <v>53</v>
      </c>
      <c r="L81" s="6">
        <v>1.811120960599125</v>
      </c>
      <c r="M81" s="6">
        <v>4.7410587559724338</v>
      </c>
      <c r="N81" s="52">
        <v>38.783815830261567</v>
      </c>
      <c r="O81" s="6">
        <v>6.6545178901731683</v>
      </c>
      <c r="P81" s="6">
        <v>1.6140905284960574</v>
      </c>
      <c r="Q81" s="41">
        <v>4.4775205313785333</v>
      </c>
      <c r="R81" s="6">
        <v>3.940475013651104</v>
      </c>
      <c r="S81" s="6">
        <v>56.250129595085752</v>
      </c>
      <c r="T81" s="6">
        <v>103.9668708899014</v>
      </c>
      <c r="U81" s="6">
        <v>43.655092675074414</v>
      </c>
      <c r="V81" s="6">
        <v>8.9301983502646411</v>
      </c>
      <c r="W81" s="6">
        <v>89.558098226637298</v>
      </c>
      <c r="X81" s="57">
        <v>0.9</v>
      </c>
      <c r="Y81" s="6">
        <v>259.81735666638275</v>
      </c>
      <c r="Z81" s="6">
        <v>7.0574856808669875</v>
      </c>
      <c r="AA81" s="6">
        <v>3.2519335716657265</v>
      </c>
      <c r="AB81" s="6">
        <v>72.16192256805256</v>
      </c>
      <c r="AC81" s="6">
        <v>18.077271420782274</v>
      </c>
      <c r="AD81" s="6">
        <v>0</v>
      </c>
      <c r="AE81" s="6">
        <v>118.2398446235004</v>
      </c>
      <c r="AF81" s="6">
        <v>10.943544126816452</v>
      </c>
      <c r="AG81" s="6">
        <v>1.5219224525225949</v>
      </c>
      <c r="AH81" s="6">
        <v>7.3039899847457397</v>
      </c>
      <c r="AI81" s="6">
        <v>0.24923990453185182</v>
      </c>
      <c r="AJ81" s="6">
        <v>0.78644194996021377</v>
      </c>
      <c r="AK81" s="6">
        <v>7.3039899847457397</v>
      </c>
      <c r="AL81" s="6">
        <v>49.264473085666609</v>
      </c>
      <c r="AM81" s="41">
        <v>5.9239423025760765</v>
      </c>
      <c r="AN81" s="6">
        <v>66.249669096102309</v>
      </c>
      <c r="AO81" s="6">
        <v>21.712043752380172</v>
      </c>
      <c r="AP81" s="6">
        <v>21.917103317150413</v>
      </c>
      <c r="AQ81" s="6">
        <v>10.456540444338358</v>
      </c>
      <c r="AR81" s="6">
        <v>17.602548615887358</v>
      </c>
      <c r="AS81" s="6">
        <v>1.5467677422777864</v>
      </c>
      <c r="AT81" s="6">
        <v>16.473736369504316</v>
      </c>
      <c r="AU81" s="6">
        <v>159.99713884530243</v>
      </c>
      <c r="AV81" s="6"/>
      <c r="AW81" s="6"/>
      <c r="AY81" s="6"/>
    </row>
    <row r="82" spans="1:60">
      <c r="A82" t="s">
        <v>138</v>
      </c>
      <c r="B82" t="s">
        <v>140</v>
      </c>
      <c r="C82" t="s">
        <v>117</v>
      </c>
      <c r="E82" t="s">
        <v>42</v>
      </c>
      <c r="G82" t="s">
        <v>40</v>
      </c>
      <c r="H82" t="s">
        <v>41</v>
      </c>
      <c r="I82">
        <v>2010</v>
      </c>
      <c r="J82" t="s">
        <v>53</v>
      </c>
      <c r="L82" s="6">
        <v>1.811120960599125</v>
      </c>
      <c r="M82" s="6">
        <v>4.7410587559724338</v>
      </c>
      <c r="N82" s="52">
        <v>38.783815830261567</v>
      </c>
      <c r="O82" s="6">
        <v>6.6545178901731683</v>
      </c>
      <c r="P82" s="6">
        <v>1.6140905284960574</v>
      </c>
      <c r="Q82" s="41">
        <v>4.4775205313785333</v>
      </c>
      <c r="R82" s="6">
        <v>3.940475013651104</v>
      </c>
      <c r="S82" s="6">
        <v>56.250129595085752</v>
      </c>
      <c r="T82" s="6">
        <v>103.9668708899014</v>
      </c>
      <c r="U82" s="6">
        <v>43.655092675074414</v>
      </c>
      <c r="V82" s="6">
        <v>8.9301983502646411</v>
      </c>
      <c r="W82" s="6">
        <v>89.558098226637298</v>
      </c>
      <c r="X82" s="57">
        <v>0.9</v>
      </c>
      <c r="Y82" s="6">
        <v>259.81735666638275</v>
      </c>
      <c r="Z82" s="6">
        <v>7.0574856808669875</v>
      </c>
      <c r="AA82" s="6">
        <v>3.2519335716657265</v>
      </c>
      <c r="AB82" s="6">
        <v>72.16192256805256</v>
      </c>
      <c r="AC82" s="6">
        <v>18.077271420782274</v>
      </c>
      <c r="AD82" s="6">
        <v>0</v>
      </c>
      <c r="AE82" s="6">
        <v>118.2398446235004</v>
      </c>
      <c r="AF82" s="6">
        <v>10.943544126816452</v>
      </c>
      <c r="AG82" s="6">
        <v>1.5219224525225949</v>
      </c>
      <c r="AH82" s="6">
        <v>7.3039899847457397</v>
      </c>
      <c r="AI82" s="6">
        <v>0.24923990453185182</v>
      </c>
      <c r="AJ82" s="6">
        <v>0.78644194996021377</v>
      </c>
      <c r="AK82" s="6">
        <v>7.3039899847457397</v>
      </c>
      <c r="AL82" s="6">
        <v>49.264473085666609</v>
      </c>
      <c r="AM82" s="41">
        <v>5.9239423025760765</v>
      </c>
      <c r="AN82" s="6">
        <v>66.249669096102309</v>
      </c>
      <c r="AO82" s="6">
        <v>21.712043752380172</v>
      </c>
      <c r="AP82" s="6">
        <v>21.917103317150413</v>
      </c>
      <c r="AQ82" s="6">
        <v>10.456540444338358</v>
      </c>
      <c r="AR82" s="6">
        <v>17.602548615887358</v>
      </c>
      <c r="AS82" s="6">
        <v>1.5467677422777864</v>
      </c>
      <c r="AT82" s="6">
        <v>16.473736369504316</v>
      </c>
      <c r="AU82" s="6">
        <v>159.99713884530243</v>
      </c>
      <c r="AV82" s="6"/>
      <c r="AW82" s="6">
        <f>BD82</f>
        <v>1057.8258602860719</v>
      </c>
      <c r="AX82" s="6">
        <f>SUM(M82:O82,R82:AC82,AE82:AH82,AK82:AL82,AN82:AP82,AR82:AU82)</f>
        <v>1217.8229991313744</v>
      </c>
      <c r="BD82" s="6">
        <f>AX82-AU82</f>
        <v>1057.8258602860719</v>
      </c>
    </row>
    <row r="83" spans="1:60">
      <c r="A83" t="s">
        <v>138</v>
      </c>
      <c r="B83" t="s">
        <v>140</v>
      </c>
      <c r="C83" t="s">
        <v>117</v>
      </c>
      <c r="E83" t="s">
        <v>42</v>
      </c>
      <c r="G83" t="s">
        <v>40</v>
      </c>
      <c r="H83" t="s">
        <v>41</v>
      </c>
      <c r="I83">
        <v>2020</v>
      </c>
      <c r="J83" t="s">
        <v>53</v>
      </c>
      <c r="L83" s="6">
        <v>1.811120960599125</v>
      </c>
      <c r="M83" s="6">
        <v>4.7367235244476751</v>
      </c>
      <c r="N83" s="52">
        <v>38.514311829063338</v>
      </c>
      <c r="O83" s="6">
        <v>5.5243008646130018</v>
      </c>
      <c r="P83" s="6">
        <v>1.6140905284960574</v>
      </c>
      <c r="Q83" s="41">
        <v>4.3005835380778752</v>
      </c>
      <c r="R83" s="6">
        <v>4.0338295081986457</v>
      </c>
      <c r="S83" s="6">
        <v>49.284196480212387</v>
      </c>
      <c r="T83" s="6">
        <v>102.37584090704729</v>
      </c>
      <c r="U83" s="6">
        <v>43.287338471938568</v>
      </c>
      <c r="V83" s="6">
        <v>8.0637935659238114</v>
      </c>
      <c r="W83" s="6">
        <v>99.773713107477079</v>
      </c>
      <c r="X83" s="57">
        <v>0.9</v>
      </c>
      <c r="Y83" s="6">
        <v>258.69155174880882</v>
      </c>
      <c r="Z83" s="6">
        <v>6.9688807792956418</v>
      </c>
      <c r="AA83" s="6">
        <v>3.2519335716657265</v>
      </c>
      <c r="AB83" s="6">
        <v>62.595227557190348</v>
      </c>
      <c r="AC83" s="6">
        <v>18.208976282607427</v>
      </c>
      <c r="AD83" s="6">
        <v>0</v>
      </c>
      <c r="AE83" s="6">
        <v>120.01805146106759</v>
      </c>
      <c r="AF83" s="6">
        <v>12.675790407001214</v>
      </c>
      <c r="AG83" s="6">
        <v>1.5219224525225949</v>
      </c>
      <c r="AH83" s="6">
        <v>7.3974312721353712</v>
      </c>
      <c r="AI83" s="6">
        <v>0.24923990453185182</v>
      </c>
      <c r="AJ83" s="6">
        <v>0.78644194996021377</v>
      </c>
      <c r="AK83" s="6">
        <v>0.40701635923284629</v>
      </c>
      <c r="AL83" s="6">
        <v>48.736480210166022</v>
      </c>
      <c r="AM83" s="41">
        <v>5.0970237705900603</v>
      </c>
      <c r="AN83" s="6">
        <v>70.260774996632719</v>
      </c>
      <c r="AO83" s="6">
        <v>21.599858520481639</v>
      </c>
      <c r="AP83" s="6">
        <v>22.785920601466582</v>
      </c>
      <c r="AQ83" s="6">
        <v>10.456540444338358</v>
      </c>
      <c r="AR83" s="6">
        <v>17.190221989658408</v>
      </c>
      <c r="AS83" s="6">
        <v>1.5272373551072829</v>
      </c>
      <c r="AT83" s="6">
        <v>13.629927180195603</v>
      </c>
      <c r="AU83" s="6">
        <v>157.13273518110947</v>
      </c>
      <c r="AV83" s="6"/>
      <c r="AW83" s="6">
        <f>BE83</f>
        <v>1043.9612510041577</v>
      </c>
      <c r="AY83" s="6">
        <f>SUM(M83:O83,R83:AC83,AE83:AH83,AK83:AL83,AN83:AP83,AR83:AU83)</f>
        <v>1201.0939861852671</v>
      </c>
      <c r="BE83" s="6">
        <f>AY83-AU83</f>
        <v>1043.9612510041577</v>
      </c>
    </row>
    <row r="84" spans="1:60">
      <c r="A84" t="s">
        <v>138</v>
      </c>
      <c r="B84" t="s">
        <v>140</v>
      </c>
      <c r="C84" t="s">
        <v>117</v>
      </c>
      <c r="E84" t="s">
        <v>42</v>
      </c>
      <c r="G84" t="s">
        <v>40</v>
      </c>
      <c r="H84" t="s">
        <v>41</v>
      </c>
      <c r="I84">
        <v>2030</v>
      </c>
      <c r="J84" t="s">
        <v>53</v>
      </c>
      <c r="L84" s="6">
        <v>1.811120960599125</v>
      </c>
      <c r="M84" s="6">
        <v>4.7361846913041852</v>
      </c>
      <c r="N84" s="52">
        <v>38.565788305368358</v>
      </c>
      <c r="O84" s="6">
        <v>5.9662888954998001</v>
      </c>
      <c r="P84" s="6">
        <v>1.6140905284960574</v>
      </c>
      <c r="Q84" s="41">
        <v>4.1602523912352369</v>
      </c>
      <c r="R84" s="6">
        <v>4.1469401683100608</v>
      </c>
      <c r="S84" s="6">
        <v>45.101369262944104</v>
      </c>
      <c r="T84" s="6">
        <v>103.19564218432708</v>
      </c>
      <c r="U84" s="6">
        <v>43.606722236929002</v>
      </c>
      <c r="V84" s="6">
        <v>8.1705573906070388</v>
      </c>
      <c r="W84" s="6">
        <v>102.6218227420716</v>
      </c>
      <c r="X84" s="57">
        <v>2.1</v>
      </c>
      <c r="Y84" s="6">
        <v>258.6134680052179</v>
      </c>
      <c r="Z84" s="6">
        <v>7.060476211744894</v>
      </c>
      <c r="AA84" s="6">
        <v>3.2519335716657265</v>
      </c>
      <c r="AB84" s="6">
        <v>61.510783296783622</v>
      </c>
      <c r="AC84" s="6">
        <v>18.358376965225421</v>
      </c>
      <c r="AD84" s="6">
        <v>0</v>
      </c>
      <c r="AE84" s="6">
        <v>119.05227249082191</v>
      </c>
      <c r="AF84" s="6">
        <v>14.289556529296636</v>
      </c>
      <c r="AG84" s="6">
        <v>1.5219224525225949</v>
      </c>
      <c r="AH84" s="6">
        <v>7.9394661867386933</v>
      </c>
      <c r="AI84" s="6">
        <v>0.24923990453185182</v>
      </c>
      <c r="AJ84" s="6">
        <v>0.78644194996021377</v>
      </c>
      <c r="AK84" s="6">
        <v>0.40701635923284629</v>
      </c>
      <c r="AL84" s="6">
        <v>48.871883777532616</v>
      </c>
      <c r="AM84" s="41">
        <v>4.7372232442009876</v>
      </c>
      <c r="AN84" s="6">
        <v>77.975310131843003</v>
      </c>
      <c r="AO84" s="6">
        <v>22.14252299216238</v>
      </c>
      <c r="AP84" s="6">
        <v>23.645664130091117</v>
      </c>
      <c r="AQ84" s="6">
        <v>10.456540444338358</v>
      </c>
      <c r="AR84" s="6">
        <v>16.958564848687761</v>
      </c>
      <c r="AS84" s="6">
        <v>1.5385491752050446</v>
      </c>
      <c r="AT84" s="6">
        <v>13.396298015323975</v>
      </c>
      <c r="AU84" s="6">
        <v>158.7923544252985</v>
      </c>
      <c r="AV84" s="6"/>
      <c r="AW84" s="6">
        <f>BF84</f>
        <v>1054.7453810174575</v>
      </c>
      <c r="AZ84" s="6">
        <f>SUM(M84:O84,R84:AC84,AE84:AH84,AK84:AL84,AN84:AP84,AR84:AU84)</f>
        <v>1213.537735442756</v>
      </c>
      <c r="BF84" s="6">
        <f>AZ84-AU84</f>
        <v>1054.7453810174575</v>
      </c>
    </row>
    <row r="85" spans="1:60">
      <c r="A85" t="s">
        <v>138</v>
      </c>
      <c r="B85" t="s">
        <v>140</v>
      </c>
      <c r="C85" t="s">
        <v>117</v>
      </c>
      <c r="E85" t="s">
        <v>42</v>
      </c>
      <c r="G85" t="s">
        <v>40</v>
      </c>
      <c r="H85" t="s">
        <v>41</v>
      </c>
      <c r="I85">
        <v>2040</v>
      </c>
      <c r="J85" t="s">
        <v>53</v>
      </c>
      <c r="L85" s="6">
        <v>1.811120960599125</v>
      </c>
      <c r="M85" s="6">
        <v>4.7475444975171772</v>
      </c>
      <c r="N85" s="52">
        <v>38.61999978824872</v>
      </c>
      <c r="O85" s="6">
        <v>5.8179771849445538</v>
      </c>
      <c r="P85" s="6">
        <v>1.6140905284960574</v>
      </c>
      <c r="Q85" s="41">
        <v>4.3091896811260684</v>
      </c>
      <c r="R85" s="6">
        <v>4.3063616739829964</v>
      </c>
      <c r="S85" s="6">
        <v>43.625092186061423</v>
      </c>
      <c r="T85" s="6">
        <v>104.40631132746634</v>
      </c>
      <c r="U85" s="6">
        <v>43.441794858067723</v>
      </c>
      <c r="V85" s="6">
        <v>8.2466529854267829</v>
      </c>
      <c r="W85" s="6">
        <v>106.1511025007872</v>
      </c>
      <c r="X85" s="57">
        <v>5.4</v>
      </c>
      <c r="Y85" s="6">
        <v>258.50614752134157</v>
      </c>
      <c r="Z85" s="6">
        <v>7.3577730430230437</v>
      </c>
      <c r="AA85" s="6">
        <v>3.2519335716657265</v>
      </c>
      <c r="AB85" s="6">
        <v>62.5909385026008</v>
      </c>
      <c r="AC85" s="6">
        <v>18.354574492556999</v>
      </c>
      <c r="AD85" s="6">
        <v>0</v>
      </c>
      <c r="AE85" s="6">
        <v>117.31775459668712</v>
      </c>
      <c r="AF85" s="6">
        <v>15.590066440092961</v>
      </c>
      <c r="AG85" s="6">
        <v>1.5219224525225949</v>
      </c>
      <c r="AH85" s="6">
        <v>8.2078870358569489</v>
      </c>
      <c r="AI85" s="6">
        <v>0.24923990453185182</v>
      </c>
      <c r="AJ85" s="6">
        <v>0.78644194996021377</v>
      </c>
      <c r="AK85" s="6">
        <v>0.40701635923284629</v>
      </c>
      <c r="AL85" s="6">
        <v>48.846860829674696</v>
      </c>
      <c r="AM85" s="41">
        <v>4.8120323942997461</v>
      </c>
      <c r="AN85" s="6">
        <v>86.16990571467592</v>
      </c>
      <c r="AO85" s="6">
        <v>22.872104267830313</v>
      </c>
      <c r="AP85" s="6">
        <v>22.381531298427412</v>
      </c>
      <c r="AQ85" s="6">
        <v>10.456540444338358</v>
      </c>
      <c r="AR85" s="6">
        <v>17.239408512238889</v>
      </c>
      <c r="AS85" s="6">
        <v>1.5127045948994993</v>
      </c>
      <c r="AT85" s="6">
        <v>12.900656667343759</v>
      </c>
      <c r="AU85" s="6">
        <v>160.30126009521976</v>
      </c>
      <c r="AV85" s="6"/>
      <c r="AW85" s="6">
        <f>BG85</f>
        <v>1069.7920229031743</v>
      </c>
      <c r="AZ85" s="6"/>
      <c r="BA85" s="6">
        <f>SUM(M85:O85,R85:AC85,AE85:AH85,AK85:AL85,AN85:AP85,AR85:AU85)</f>
        <v>1230.093282998394</v>
      </c>
      <c r="BG85" s="6">
        <f>BA85-AU85</f>
        <v>1069.7920229031743</v>
      </c>
    </row>
    <row r="86" spans="1:60">
      <c r="A86" t="s">
        <v>138</v>
      </c>
      <c r="B86" t="s">
        <v>140</v>
      </c>
      <c r="C86" t="s">
        <v>117</v>
      </c>
      <c r="E86" t="s">
        <v>42</v>
      </c>
      <c r="G86" t="s">
        <v>40</v>
      </c>
      <c r="H86" s="5" t="s">
        <v>41</v>
      </c>
      <c r="I86" s="5">
        <v>2050</v>
      </c>
      <c r="J86" s="5" t="s">
        <v>53</v>
      </c>
      <c r="K86" s="5"/>
      <c r="L86" s="7">
        <v>1.811120960599125</v>
      </c>
      <c r="M86" s="7">
        <v>4.7589043037301701</v>
      </c>
      <c r="N86" s="53">
        <v>38.674211271129082</v>
      </c>
      <c r="O86" s="7">
        <v>5.6696654743893085</v>
      </c>
      <c r="P86" s="7">
        <v>1.6140905284960574</v>
      </c>
      <c r="Q86" s="42">
        <v>4.4581269710169007</v>
      </c>
      <c r="R86" s="7">
        <v>4.4657831796559329</v>
      </c>
      <c r="S86" s="7">
        <v>42.148815109178742</v>
      </c>
      <c r="T86" s="7">
        <v>105.61698047060558</v>
      </c>
      <c r="U86" s="7">
        <v>43.276867479206445</v>
      </c>
      <c r="V86" s="7">
        <v>8.3227485802465271</v>
      </c>
      <c r="W86" s="7">
        <v>109.68038225950278</v>
      </c>
      <c r="X86" s="58">
        <v>6.5</v>
      </c>
      <c r="Y86" s="7">
        <v>258.39882703746514</v>
      </c>
      <c r="Z86" s="7">
        <v>7.6550698743011925</v>
      </c>
      <c r="AA86" s="7">
        <v>3.2519335716657265</v>
      </c>
      <c r="AB86" s="7">
        <v>63.671093708417999</v>
      </c>
      <c r="AC86" s="7">
        <v>18.350772019888574</v>
      </c>
      <c r="AD86" s="7">
        <v>0</v>
      </c>
      <c r="AE86" s="7">
        <v>115.5832367025523</v>
      </c>
      <c r="AF86" s="7">
        <v>16.890576350889283</v>
      </c>
      <c r="AG86" s="7">
        <v>1.5219224525225949</v>
      </c>
      <c r="AH86" s="7">
        <v>8.4763078849752045</v>
      </c>
      <c r="AI86" s="7">
        <v>0.24923990453185182</v>
      </c>
      <c r="AJ86" s="7">
        <v>0.78644194996021377</v>
      </c>
      <c r="AK86" s="7">
        <v>0.40701635923284629</v>
      </c>
      <c r="AL86" s="7">
        <v>48.821837881816776</v>
      </c>
      <c r="AM86" s="42">
        <v>4.9005629166544837</v>
      </c>
      <c r="AN86" s="7">
        <v>94.364501297508866</v>
      </c>
      <c r="AO86" s="7">
        <v>23.601685543498249</v>
      </c>
      <c r="AP86" s="7">
        <v>21.11739846676371</v>
      </c>
      <c r="AQ86" s="7">
        <v>10.456540444338358</v>
      </c>
      <c r="AR86" s="7">
        <v>17.520252175790016</v>
      </c>
      <c r="AS86" s="7">
        <v>1.4868600145939546</v>
      </c>
      <c r="AT86" s="7">
        <v>12.405015319363546</v>
      </c>
      <c r="AU86" s="7">
        <v>161.81016576514105</v>
      </c>
      <c r="AV86" s="6"/>
      <c r="AW86" s="6">
        <f>BH86</f>
        <v>1082.6386647888908</v>
      </c>
      <c r="AZ86" s="6"/>
      <c r="BA86" s="6"/>
      <c r="BB86" s="6">
        <f>SUM(M86:O86,R86:AC86,AE86:AH86,AK86:AL86,AN86:AP86,AR86:AU86)</f>
        <v>1244.4488305540317</v>
      </c>
      <c r="BH86" s="6">
        <f>BB86-AU86</f>
        <v>1082.6386647888908</v>
      </c>
    </row>
    <row r="87" spans="1:60">
      <c r="A87" t="s">
        <v>138</v>
      </c>
      <c r="B87" t="s">
        <v>140</v>
      </c>
      <c r="C87" t="s">
        <v>117</v>
      </c>
      <c r="F87" t="s">
        <v>105</v>
      </c>
      <c r="H87" t="s">
        <v>45</v>
      </c>
      <c r="I87">
        <v>2005</v>
      </c>
      <c r="J87" t="s">
        <v>53</v>
      </c>
      <c r="L87" s="6">
        <v>3.8799748647008969</v>
      </c>
      <c r="M87" s="6">
        <v>6.0805788535832166</v>
      </c>
      <c r="N87" s="52">
        <v>6.1771321429928676</v>
      </c>
      <c r="O87" s="6">
        <v>3.4026473080721957</v>
      </c>
      <c r="P87" s="6">
        <v>3.9434188883503829</v>
      </c>
      <c r="Q87" s="6">
        <v>6.0805788535832166</v>
      </c>
      <c r="R87" s="6">
        <v>4.2513435632173477</v>
      </c>
      <c r="S87" s="6">
        <v>3.7313001701868229</v>
      </c>
      <c r="T87" s="6">
        <v>5.8884459493416657</v>
      </c>
      <c r="U87" s="6">
        <v>6.9958093430515529</v>
      </c>
      <c r="V87" s="6">
        <v>3.7685307731339597</v>
      </c>
      <c r="W87" s="6">
        <v>4.5576852663586465</v>
      </c>
      <c r="X87" s="6">
        <v>6.1770044739691139</v>
      </c>
      <c r="Y87" s="6">
        <v>6.3011424781430421</v>
      </c>
      <c r="Z87" s="6">
        <v>4.2724389804084453</v>
      </c>
      <c r="AA87" s="6">
        <v>3.9682157342097413</v>
      </c>
      <c r="AB87" s="6">
        <v>3.5608086624156048</v>
      </c>
      <c r="AC87" s="6">
        <v>5.9817027788297663</v>
      </c>
      <c r="AD87" s="6">
        <v>6.5133351451588695</v>
      </c>
      <c r="AE87" s="6">
        <v>4.9931228690598122</v>
      </c>
      <c r="AF87" s="6">
        <v>3.5813063590542651</v>
      </c>
      <c r="AG87" s="6">
        <v>6.0319113581884967</v>
      </c>
      <c r="AH87" s="6">
        <v>3.5579344212160482</v>
      </c>
      <c r="AI87" s="6">
        <v>3.8823944017846621</v>
      </c>
      <c r="AJ87" s="6">
        <v>3.800074825100495</v>
      </c>
      <c r="AK87" s="6">
        <v>3.4529255260637912</v>
      </c>
      <c r="AL87" s="6">
        <v>6.1281818232395278</v>
      </c>
      <c r="AM87" s="6">
        <v>6.5133351451588695</v>
      </c>
      <c r="AN87" s="6">
        <v>3.5967000297339338</v>
      </c>
      <c r="AO87" s="6">
        <v>3.9016881283826734</v>
      </c>
      <c r="AP87" s="6">
        <v>3.4882101388150355</v>
      </c>
      <c r="AQ87" s="6">
        <v>4.3280779352030692</v>
      </c>
      <c r="AR87" s="6">
        <v>6.5133351451588695</v>
      </c>
      <c r="AS87" s="6">
        <v>4.1742409929725026</v>
      </c>
      <c r="AT87" s="6">
        <v>3.8299482119893344</v>
      </c>
      <c r="AU87" s="6">
        <v>6.4487502871554998</v>
      </c>
      <c r="AV87" s="6"/>
      <c r="AW87" s="6"/>
    </row>
    <row r="88" spans="1:60">
      <c r="A88" t="s">
        <v>138</v>
      </c>
      <c r="B88" t="s">
        <v>140</v>
      </c>
      <c r="C88" t="s">
        <v>117</v>
      </c>
      <c r="F88" t="s">
        <v>105</v>
      </c>
      <c r="H88" t="s">
        <v>45</v>
      </c>
      <c r="I88">
        <v>2010</v>
      </c>
      <c r="J88" t="s">
        <v>53</v>
      </c>
      <c r="L88" s="6">
        <v>3.8799748647008969</v>
      </c>
      <c r="M88" s="6">
        <v>6.0805788535832166</v>
      </c>
      <c r="N88" s="52">
        <v>6.1771321429928676</v>
      </c>
      <c r="O88" s="6">
        <v>3.4026473080721957</v>
      </c>
      <c r="P88" s="6">
        <v>3.9434188883503829</v>
      </c>
      <c r="Q88" s="6">
        <v>6.0805788535832166</v>
      </c>
      <c r="R88" s="6">
        <v>4.2513435632173477</v>
      </c>
      <c r="S88" s="6">
        <v>3.7313001701868229</v>
      </c>
      <c r="T88" s="6">
        <v>5.8884459493416657</v>
      </c>
      <c r="U88" s="6">
        <v>6.9958093430515529</v>
      </c>
      <c r="V88" s="6">
        <v>3.7685307731339597</v>
      </c>
      <c r="W88" s="6">
        <v>4.5576852663586465</v>
      </c>
      <c r="X88" s="6">
        <v>6.1770044739691139</v>
      </c>
      <c r="Y88" s="6">
        <v>6.3011424781430421</v>
      </c>
      <c r="Z88" s="6">
        <v>4.2724389804084453</v>
      </c>
      <c r="AA88" s="6">
        <v>3.9682157342097413</v>
      </c>
      <c r="AB88" s="6">
        <v>3.5608086624156048</v>
      </c>
      <c r="AC88" s="6">
        <v>5.9817027788297663</v>
      </c>
      <c r="AD88" s="6">
        <v>6.5133351451588695</v>
      </c>
      <c r="AE88" s="6">
        <v>4.9931228690598122</v>
      </c>
      <c r="AF88" s="6">
        <v>3.5813063590542651</v>
      </c>
      <c r="AG88" s="6">
        <v>6.0319113581884967</v>
      </c>
      <c r="AH88" s="6">
        <v>3.5579344212160482</v>
      </c>
      <c r="AI88" s="6">
        <v>3.8823944017846621</v>
      </c>
      <c r="AJ88" s="6">
        <v>3.800074825100495</v>
      </c>
      <c r="AK88" s="6">
        <v>3.4529255260637912</v>
      </c>
      <c r="AL88" s="6">
        <v>6.1281818232395278</v>
      </c>
      <c r="AM88" s="6">
        <v>6.5133351451588695</v>
      </c>
      <c r="AN88" s="6">
        <v>3.5967000297339338</v>
      </c>
      <c r="AO88" s="6">
        <v>3.9016881283826734</v>
      </c>
      <c r="AP88" s="6">
        <v>3.4882101388150355</v>
      </c>
      <c r="AQ88" s="6">
        <v>4.3280779352030692</v>
      </c>
      <c r="AR88" s="6">
        <v>6.5133351451588695</v>
      </c>
      <c r="AS88" s="6">
        <v>4.1742409929725026</v>
      </c>
      <c r="AT88" s="6">
        <v>3.8299482119893344</v>
      </c>
      <c r="AU88" s="6">
        <v>6.4487502871554998</v>
      </c>
      <c r="AV88" s="6"/>
      <c r="AW88" s="6"/>
    </row>
    <row r="89" spans="1:60">
      <c r="A89" t="s">
        <v>138</v>
      </c>
      <c r="B89" t="s">
        <v>140</v>
      </c>
      <c r="C89" t="s">
        <v>117</v>
      </c>
      <c r="F89" t="s">
        <v>105</v>
      </c>
      <c r="H89" t="s">
        <v>45</v>
      </c>
      <c r="I89">
        <v>2020</v>
      </c>
      <c r="J89" t="s">
        <v>53</v>
      </c>
      <c r="L89" s="6">
        <v>3.8799748647008969</v>
      </c>
      <c r="M89" s="6">
        <v>6.0811134407789007</v>
      </c>
      <c r="N89" s="52">
        <v>6.1798010081917987</v>
      </c>
      <c r="O89" s="6">
        <v>3.3836989522212964</v>
      </c>
      <c r="P89" s="6">
        <v>3.9434188883503829</v>
      </c>
      <c r="Q89" s="6">
        <v>6.0811134407789007</v>
      </c>
      <c r="R89" s="6">
        <v>4.2529293904044918</v>
      </c>
      <c r="S89" s="6">
        <v>3.7401908422989218</v>
      </c>
      <c r="T89" s="6">
        <v>5.888932988298774</v>
      </c>
      <c r="U89" s="6">
        <v>6.9996032124856118</v>
      </c>
      <c r="V89" s="6">
        <v>3.7792858979054138</v>
      </c>
      <c r="W89" s="6">
        <v>4.5553473312709398</v>
      </c>
      <c r="X89" s="6">
        <v>6.1761994850778166</v>
      </c>
      <c r="Y89" s="6">
        <v>6.2996937041103536</v>
      </c>
      <c r="Z89" s="6">
        <v>4.2552554227837076</v>
      </c>
      <c r="AA89" s="6">
        <v>3.9682157342097413</v>
      </c>
      <c r="AB89" s="6">
        <v>3.5549704710615551</v>
      </c>
      <c r="AC89" s="6">
        <v>5.9825197179114458</v>
      </c>
      <c r="AD89" s="6">
        <v>6.5190613233241992</v>
      </c>
      <c r="AE89" s="6">
        <v>4.9991254250678718</v>
      </c>
      <c r="AF89" s="6">
        <v>3.5871742450751904</v>
      </c>
      <c r="AG89" s="6">
        <v>6.0319113581884967</v>
      </c>
      <c r="AH89" s="6">
        <v>3.5603880643761903</v>
      </c>
      <c r="AI89" s="6">
        <v>3.8823944017846621</v>
      </c>
      <c r="AJ89" s="6">
        <v>3.800074825100495</v>
      </c>
      <c r="AK89" s="6">
        <v>3.4239943424971075</v>
      </c>
      <c r="AL89" s="6">
        <v>6.1316986667250291</v>
      </c>
      <c r="AM89" s="6">
        <v>6.5190613233241992</v>
      </c>
      <c r="AN89" s="6">
        <v>3.589049426020682</v>
      </c>
      <c r="AO89" s="6">
        <v>3.9018400160169859</v>
      </c>
      <c r="AP89" s="6">
        <v>3.4921664194335662</v>
      </c>
      <c r="AQ89" s="6">
        <v>4.3280779352030692</v>
      </c>
      <c r="AR89" s="6">
        <v>6.5190613233241992</v>
      </c>
      <c r="AS89" s="6">
        <v>4.16640432005675</v>
      </c>
      <c r="AT89" s="6">
        <v>3.8032607971777495</v>
      </c>
      <c r="AU89" s="6">
        <v>6.4488991499642152</v>
      </c>
      <c r="AV89" s="6"/>
      <c r="AW89" s="6"/>
    </row>
    <row r="90" spans="1:60">
      <c r="A90" t="s">
        <v>138</v>
      </c>
      <c r="B90" t="s">
        <v>140</v>
      </c>
      <c r="C90" t="s">
        <v>117</v>
      </c>
      <c r="F90" t="s">
        <v>105</v>
      </c>
      <c r="H90" t="s">
        <v>45</v>
      </c>
      <c r="I90">
        <v>2030</v>
      </c>
      <c r="J90" t="s">
        <v>53</v>
      </c>
      <c r="L90" s="6">
        <v>3.8799748647008969</v>
      </c>
      <c r="M90" s="6">
        <v>6.0814906508981172</v>
      </c>
      <c r="N90" s="52">
        <v>6.1939203630470132</v>
      </c>
      <c r="O90" s="6">
        <v>3.5418490033962717</v>
      </c>
      <c r="P90" s="6">
        <v>3.9434188883503829</v>
      </c>
      <c r="Q90" s="6">
        <v>6.0814906508981172</v>
      </c>
      <c r="R90" s="6">
        <v>4.3130014293274037</v>
      </c>
      <c r="S90" s="6">
        <v>3.5592017358158934</v>
      </c>
      <c r="T90" s="6">
        <v>5.9287208672892167</v>
      </c>
      <c r="U90" s="6">
        <v>7.02575600382937</v>
      </c>
      <c r="V90" s="6">
        <v>3.8020711151123976</v>
      </c>
      <c r="W90" s="6">
        <v>4.6267806803155782</v>
      </c>
      <c r="X90" s="6">
        <v>6.1643278133929247</v>
      </c>
      <c r="Y90" s="6">
        <v>6.2947846012064188</v>
      </c>
      <c r="Z90" s="6">
        <v>4.2896681684451199</v>
      </c>
      <c r="AA90" s="6">
        <v>3.9682157342097413</v>
      </c>
      <c r="AB90" s="6">
        <v>3.5203298751739638</v>
      </c>
      <c r="AC90" s="6">
        <v>6.0018691394198731</v>
      </c>
      <c r="AD90" s="6">
        <v>6.5073765670784622</v>
      </c>
      <c r="AE90" s="6">
        <v>4.9752024606874317</v>
      </c>
      <c r="AF90" s="6">
        <v>3.8220892337844359</v>
      </c>
      <c r="AG90" s="6">
        <v>6.0319113581884967</v>
      </c>
      <c r="AH90" s="6">
        <v>3.7164495282304344</v>
      </c>
      <c r="AI90" s="6">
        <v>3.8823944017846621</v>
      </c>
      <c r="AJ90" s="6">
        <v>3.800074825100495</v>
      </c>
      <c r="AK90" s="6">
        <v>3.4239943424971075</v>
      </c>
      <c r="AL90" s="6">
        <v>6.1727177372339304</v>
      </c>
      <c r="AM90" s="6">
        <v>6.5073765670784622</v>
      </c>
      <c r="AN90" s="6">
        <v>3.833297258232383</v>
      </c>
      <c r="AO90" s="6">
        <v>3.9566420292984326</v>
      </c>
      <c r="AP90" s="6">
        <v>3.5683307727418025</v>
      </c>
      <c r="AQ90" s="6">
        <v>4.3280779352030692</v>
      </c>
      <c r="AR90" s="6">
        <v>6.5073765670784622</v>
      </c>
      <c r="AS90" s="6">
        <v>4.1721618354324184</v>
      </c>
      <c r="AT90" s="6">
        <v>3.7606501009484465</v>
      </c>
      <c r="AU90" s="6">
        <v>6.4915604482099969</v>
      </c>
      <c r="AV90" s="6"/>
      <c r="AW90" s="6"/>
    </row>
    <row r="91" spans="1:60">
      <c r="A91" t="s">
        <v>138</v>
      </c>
      <c r="B91" t="s">
        <v>140</v>
      </c>
      <c r="C91" t="s">
        <v>117</v>
      </c>
      <c r="F91" t="s">
        <v>105</v>
      </c>
      <c r="H91" t="s">
        <v>45</v>
      </c>
      <c r="I91">
        <v>2040</v>
      </c>
      <c r="J91" t="s">
        <v>53</v>
      </c>
      <c r="L91" s="6">
        <v>3.8799748647008969</v>
      </c>
      <c r="M91" s="6">
        <v>6.0884989606762439</v>
      </c>
      <c r="N91" s="52">
        <v>6.2033377404134828</v>
      </c>
      <c r="O91" s="6">
        <v>3.4873476227915359</v>
      </c>
      <c r="P91" s="6">
        <v>3.9434188883503829</v>
      </c>
      <c r="Q91" s="6">
        <v>6.0884989606762439</v>
      </c>
      <c r="R91" s="6">
        <v>4.4006931475455193</v>
      </c>
      <c r="S91" s="6">
        <v>3.4934558249707024</v>
      </c>
      <c r="T91" s="6">
        <v>5.9817255999880645</v>
      </c>
      <c r="U91" s="6">
        <v>7.0107172694426794</v>
      </c>
      <c r="V91" s="6">
        <v>3.8196006699113347</v>
      </c>
      <c r="W91" s="6">
        <v>4.6565419244636912</v>
      </c>
      <c r="X91" s="6">
        <v>6.2948180797947328</v>
      </c>
      <c r="Y91" s="6">
        <v>6.2916784983848935</v>
      </c>
      <c r="Z91" s="6">
        <v>4.4117744414067825</v>
      </c>
      <c r="AA91" s="6">
        <v>3.9682157342097413</v>
      </c>
      <c r="AB91" s="6">
        <v>3.5592562248172959</v>
      </c>
      <c r="AC91" s="6">
        <v>6.0067638231047926</v>
      </c>
      <c r="AD91" s="6">
        <v>6.5387017397051217</v>
      </c>
      <c r="AE91" s="6">
        <v>4.916852898880089</v>
      </c>
      <c r="AF91" s="6">
        <v>3.9492603753873263</v>
      </c>
      <c r="AG91" s="6">
        <v>6.0319113581884967</v>
      </c>
      <c r="AH91" s="6">
        <v>3.7961370693444993</v>
      </c>
      <c r="AI91" s="6">
        <v>3.8823944017846621</v>
      </c>
      <c r="AJ91" s="6">
        <v>3.800074825100495</v>
      </c>
      <c r="AK91" s="6">
        <v>3.4239943424971075</v>
      </c>
      <c r="AL91" s="6">
        <v>6.2048378210434487</v>
      </c>
      <c r="AM91" s="6">
        <v>6.5387017397051217</v>
      </c>
      <c r="AN91" s="6">
        <v>3.8733456207655301</v>
      </c>
      <c r="AO91" s="6">
        <v>4.0310891166670073</v>
      </c>
      <c r="AP91" s="6">
        <v>2.9480403534453874</v>
      </c>
      <c r="AQ91" s="6">
        <v>4.3280779352030692</v>
      </c>
      <c r="AR91" s="6">
        <v>6.5387017397051217</v>
      </c>
      <c r="AS91" s="6">
        <v>4.1405113140597507</v>
      </c>
      <c r="AT91" s="6">
        <v>3.6856555087554486</v>
      </c>
      <c r="AU91" s="6">
        <v>6.5532212336673883</v>
      </c>
      <c r="AV91" s="6"/>
      <c r="AW91" s="6"/>
      <c r="AY91" s="6"/>
    </row>
    <row r="92" spans="1:60">
      <c r="A92" t="s">
        <v>138</v>
      </c>
      <c r="B92" t="s">
        <v>140</v>
      </c>
      <c r="C92" t="s">
        <v>117</v>
      </c>
      <c r="F92" t="s">
        <v>105</v>
      </c>
      <c r="H92" t="s">
        <v>45</v>
      </c>
      <c r="I92">
        <v>2050</v>
      </c>
      <c r="J92" t="s">
        <v>53</v>
      </c>
      <c r="L92" s="6">
        <v>3.8799748647008969</v>
      </c>
      <c r="M92" s="6">
        <v>6.0955372063237725</v>
      </c>
      <c r="N92" s="52">
        <v>6.2128583657694367</v>
      </c>
      <c r="O92" s="6">
        <v>3.4343053809981896</v>
      </c>
      <c r="P92" s="6">
        <v>3.9434188883503829</v>
      </c>
      <c r="Q92" s="6">
        <v>6.0955372063237725</v>
      </c>
      <c r="R92" s="6">
        <v>4.4876052360271963</v>
      </c>
      <c r="S92" s="6">
        <v>3.6545962618716645</v>
      </c>
      <c r="T92" s="6">
        <v>6.0263468589248674</v>
      </c>
      <c r="U92" s="6">
        <v>6.9957253207200907</v>
      </c>
      <c r="V92" s="6">
        <v>3.8370035222378096</v>
      </c>
      <c r="W92" s="6">
        <v>4.6791562309782426</v>
      </c>
      <c r="X92" s="6">
        <v>6.4345283465494694</v>
      </c>
      <c r="Y92" s="6">
        <v>6.2888829977645759</v>
      </c>
      <c r="Z92" s="6">
        <v>4.5166377649859539</v>
      </c>
      <c r="AA92" s="6">
        <v>3.9682157342097413</v>
      </c>
      <c r="AB92" s="6">
        <v>3.6003152113511216</v>
      </c>
      <c r="AC92" s="6">
        <v>6.0117445039124284</v>
      </c>
      <c r="AD92" s="6">
        <v>6.572571644785083</v>
      </c>
      <c r="AE92" s="6">
        <v>4.8729640238756318</v>
      </c>
      <c r="AF92" s="6">
        <v>3.9446586408812871</v>
      </c>
      <c r="AG92" s="6">
        <v>6.0319113581884967</v>
      </c>
      <c r="AH92" s="6">
        <v>3.8762632183181851</v>
      </c>
      <c r="AI92" s="6">
        <v>3.8823944017846621</v>
      </c>
      <c r="AJ92" s="6">
        <v>3.800074825100495</v>
      </c>
      <c r="AK92" s="6">
        <v>3.4239943424971075</v>
      </c>
      <c r="AL92" s="6">
        <v>6.2207946856162089</v>
      </c>
      <c r="AM92" s="6">
        <v>6.572571644785083</v>
      </c>
      <c r="AN92" s="6">
        <v>3.8814246876036647</v>
      </c>
      <c r="AO92" s="6">
        <v>4.0935264478143409</v>
      </c>
      <c r="AP92" s="6">
        <v>2.8666251222316825</v>
      </c>
      <c r="AQ92" s="6">
        <v>4.3280779352030692</v>
      </c>
      <c r="AR92" s="6">
        <v>6.572571644785083</v>
      </c>
      <c r="AS92" s="6">
        <v>4.1086978271694594</v>
      </c>
      <c r="AT92" s="6">
        <v>3.6155517638840751</v>
      </c>
      <c r="AU92" s="6">
        <v>6.5773136967282477</v>
      </c>
      <c r="AV92" s="6"/>
      <c r="AW92" s="6"/>
    </row>
    <row r="93" spans="1:60">
      <c r="E93" t="s">
        <v>46</v>
      </c>
    </row>
    <row r="94" spans="1:60">
      <c r="A94" t="s">
        <v>138</v>
      </c>
      <c r="B94" t="s">
        <v>141</v>
      </c>
      <c r="C94" t="s">
        <v>56</v>
      </c>
      <c r="E94" t="s">
        <v>42</v>
      </c>
      <c r="G94" t="s">
        <v>40</v>
      </c>
      <c r="H94" t="s">
        <v>41</v>
      </c>
      <c r="I94">
        <v>2005</v>
      </c>
      <c r="J94" t="s">
        <v>57</v>
      </c>
      <c r="L94" s="10">
        <v>1.1925515823203809</v>
      </c>
      <c r="M94" s="10">
        <v>21.842206499485151</v>
      </c>
      <c r="N94" s="51">
        <v>7.3584884997227222</v>
      </c>
      <c r="O94" s="10">
        <v>27.292196580685811</v>
      </c>
      <c r="P94" s="10">
        <v>2.3030580379548704</v>
      </c>
      <c r="Q94" s="10">
        <v>4.4137200141332453</v>
      </c>
      <c r="R94" s="10">
        <v>0.29145516164410301</v>
      </c>
      <c r="S94" s="10">
        <v>36.763474462459719</v>
      </c>
      <c r="T94" s="10">
        <v>202.26683742209121</v>
      </c>
      <c r="U94" s="10">
        <v>29.037391660934173</v>
      </c>
      <c r="V94" s="10">
        <v>3.3979434747043471</v>
      </c>
      <c r="W94" s="10">
        <v>79.609176587432927</v>
      </c>
      <c r="X94" s="55">
        <v>14.5</v>
      </c>
      <c r="Y94" s="10">
        <v>211.78668882920024</v>
      </c>
      <c r="Z94" s="10">
        <v>14.023650064272198</v>
      </c>
      <c r="AA94" s="10">
        <v>9.8780267216928124</v>
      </c>
      <c r="AB94" s="10">
        <v>48.242339985030576</v>
      </c>
      <c r="AC94" s="10">
        <v>0.24211709519764227</v>
      </c>
      <c r="AD94" s="10">
        <v>0</v>
      </c>
      <c r="AE94" s="10">
        <v>61.673813098158334</v>
      </c>
      <c r="AF94" s="10">
        <v>14.773808020891783</v>
      </c>
      <c r="AG94" s="10">
        <v>0.3728407819459077</v>
      </c>
      <c r="AH94" s="10">
        <v>6.985258873816198</v>
      </c>
      <c r="AI94" s="10">
        <v>8.2496338818426218E-2</v>
      </c>
      <c r="AJ94" s="10">
        <v>1.4983805155853804</v>
      </c>
      <c r="AK94" s="10">
        <v>6.8864715951724103</v>
      </c>
      <c r="AL94" s="10">
        <v>5.7287598929844128</v>
      </c>
      <c r="AM94" s="10">
        <v>5.9239423025760765</v>
      </c>
      <c r="AN94" s="10">
        <v>103.20006410404739</v>
      </c>
      <c r="AO94" s="10">
        <v>5.837455278035903</v>
      </c>
      <c r="AP94" s="10">
        <v>57.010872291735097</v>
      </c>
      <c r="AQ94" s="10">
        <v>19.873055410837697</v>
      </c>
      <c r="AR94" s="10">
        <v>20.078427147911459</v>
      </c>
      <c r="AS94" s="10">
        <v>0.79721359561956562</v>
      </c>
      <c r="AT94" s="10">
        <v>13.357184390360672</v>
      </c>
      <c r="AU94" s="10">
        <v>71.334409631407198</v>
      </c>
      <c r="AV94" s="10"/>
      <c r="AW94" s="10"/>
      <c r="AY94" s="6"/>
    </row>
    <row r="95" spans="1:60">
      <c r="A95" t="s">
        <v>138</v>
      </c>
      <c r="B95" t="s">
        <v>141</v>
      </c>
      <c r="C95" t="s">
        <v>56</v>
      </c>
      <c r="E95" t="s">
        <v>42</v>
      </c>
      <c r="G95" t="s">
        <v>40</v>
      </c>
      <c r="H95" t="s">
        <v>41</v>
      </c>
      <c r="I95">
        <v>2010</v>
      </c>
      <c r="J95" t="s">
        <v>57</v>
      </c>
      <c r="L95" s="10">
        <v>1.1925515823203809</v>
      </c>
      <c r="M95" s="10">
        <v>21.842206499485151</v>
      </c>
      <c r="N95" s="51">
        <v>7.3584884997227222</v>
      </c>
      <c r="O95" s="10">
        <v>27.292196580685811</v>
      </c>
      <c r="P95" s="10">
        <v>2.3030580379548704</v>
      </c>
      <c r="Q95" s="43">
        <v>4.4137200141332453</v>
      </c>
      <c r="R95" s="10">
        <v>0.29145516164410301</v>
      </c>
      <c r="S95" s="10">
        <v>36.763474462459719</v>
      </c>
      <c r="T95" s="10">
        <v>202.26683742209121</v>
      </c>
      <c r="U95" s="10">
        <v>29.037391660934173</v>
      </c>
      <c r="V95" s="10">
        <v>3.3979434747043471</v>
      </c>
      <c r="W95" s="10">
        <v>79.609176587432927</v>
      </c>
      <c r="X95" s="55">
        <v>14.5</v>
      </c>
      <c r="Y95" s="10">
        <v>211.78668882920024</v>
      </c>
      <c r="Z95" s="10">
        <v>14.023650064272198</v>
      </c>
      <c r="AA95" s="10">
        <v>9.8780267216928124</v>
      </c>
      <c r="AB95" s="10">
        <v>48.242339985030576</v>
      </c>
      <c r="AC95" s="10">
        <v>0.24211709519764227</v>
      </c>
      <c r="AD95" s="43">
        <v>0</v>
      </c>
      <c r="AE95" s="10">
        <v>61.673813098158334</v>
      </c>
      <c r="AF95" s="10">
        <v>14.773808020891783</v>
      </c>
      <c r="AG95" s="10">
        <v>0.3728407819459077</v>
      </c>
      <c r="AH95" s="10">
        <v>6.985258873816198</v>
      </c>
      <c r="AI95" s="10">
        <v>8.2496338818426218E-2</v>
      </c>
      <c r="AJ95" s="10">
        <v>1.4983805155853804</v>
      </c>
      <c r="AK95" s="10">
        <v>6.8864715951724103</v>
      </c>
      <c r="AL95" s="10">
        <v>5.7287598929844128</v>
      </c>
      <c r="AM95" s="43">
        <v>5.9239423025760765</v>
      </c>
      <c r="AN95" s="10">
        <v>103.20006410404739</v>
      </c>
      <c r="AO95" s="10">
        <v>5.837455278035903</v>
      </c>
      <c r="AP95" s="10">
        <v>57.010872291735097</v>
      </c>
      <c r="AQ95" s="10">
        <v>19.873055410837697</v>
      </c>
      <c r="AR95" s="10">
        <v>20.078427147911459</v>
      </c>
      <c r="AS95" s="10">
        <v>0.79721359561956562</v>
      </c>
      <c r="AT95" s="10">
        <v>13.357184390360672</v>
      </c>
      <c r="AU95" s="10">
        <v>71.334409631407198</v>
      </c>
      <c r="AV95" s="10"/>
      <c r="AW95" s="6">
        <f>BD95</f>
        <v>1003.2341621152327</v>
      </c>
      <c r="AX95" s="6">
        <f>SUM(M95:O95,R95:AC95,AE95:AH95,AK95:AL95,AN95:AP95,AR95:AU95)</f>
        <v>1074.5685717466399</v>
      </c>
      <c r="BD95" s="6">
        <f>AX95-AU95</f>
        <v>1003.2341621152327</v>
      </c>
    </row>
    <row r="96" spans="1:60">
      <c r="A96" t="s">
        <v>138</v>
      </c>
      <c r="B96" t="s">
        <v>141</v>
      </c>
      <c r="C96" t="s">
        <v>56</v>
      </c>
      <c r="E96" t="s">
        <v>42</v>
      </c>
      <c r="G96" t="s">
        <v>40</v>
      </c>
      <c r="H96" t="s">
        <v>41</v>
      </c>
      <c r="I96">
        <v>2020</v>
      </c>
      <c r="J96" t="s">
        <v>57</v>
      </c>
      <c r="L96" s="6">
        <v>1.3969915910433135</v>
      </c>
      <c r="M96" s="6">
        <v>21.382958245638143</v>
      </c>
      <c r="N96" s="52">
        <v>6.9043912418575397</v>
      </c>
      <c r="O96" s="6">
        <v>31.185227059918116</v>
      </c>
      <c r="P96" s="6">
        <v>2.7594911941692093</v>
      </c>
      <c r="Q96" s="41">
        <v>3.8017740306993604</v>
      </c>
      <c r="R96" s="6">
        <v>0.3995619747139787</v>
      </c>
      <c r="S96" s="6">
        <v>37.494252264289969</v>
      </c>
      <c r="T96" s="6">
        <v>212.81222762624691</v>
      </c>
      <c r="U96" s="6">
        <v>27.199973667288049</v>
      </c>
      <c r="V96" s="6">
        <v>3.5939478038589279</v>
      </c>
      <c r="W96" s="6">
        <v>91.252173300412679</v>
      </c>
      <c r="X96" s="57">
        <v>17</v>
      </c>
      <c r="Y96" s="6">
        <v>225.17032098217962</v>
      </c>
      <c r="Z96" s="6">
        <v>18.953503224481686</v>
      </c>
      <c r="AA96" s="6">
        <v>9.6737682778682323</v>
      </c>
      <c r="AB96" s="6">
        <v>50.07320107534504</v>
      </c>
      <c r="AC96" s="6">
        <v>0.35320024008712148</v>
      </c>
      <c r="AD96" s="41">
        <v>0</v>
      </c>
      <c r="AE96" s="6">
        <v>64.331788135435033</v>
      </c>
      <c r="AF96" s="6">
        <v>14.300399299907479</v>
      </c>
      <c r="AG96" s="6">
        <v>0.31976613765372747</v>
      </c>
      <c r="AH96" s="6">
        <v>8.3748945699004036</v>
      </c>
      <c r="AI96" s="6">
        <v>0.12978770873978049</v>
      </c>
      <c r="AJ96" s="6">
        <v>1.4390825659866513</v>
      </c>
      <c r="AK96" s="6">
        <v>1.0677523711737143E-2</v>
      </c>
      <c r="AL96" s="6">
        <v>5.3094213820901537</v>
      </c>
      <c r="AM96" s="41">
        <v>5.0970237705900603</v>
      </c>
      <c r="AN96" s="6">
        <v>102.69758722520552</v>
      </c>
      <c r="AO96" s="6">
        <v>7.1572682775567333</v>
      </c>
      <c r="AP96" s="6">
        <v>54.587606069948535</v>
      </c>
      <c r="AQ96" s="6">
        <v>22.093578511289312</v>
      </c>
      <c r="AR96" s="6">
        <v>17.391275000904638</v>
      </c>
      <c r="AS96" s="6">
        <v>0.95625262255551269</v>
      </c>
      <c r="AT96" s="6">
        <v>14.660987670976107</v>
      </c>
      <c r="AU96" s="6">
        <v>64.125585284769826</v>
      </c>
      <c r="AV96" s="6"/>
      <c r="AW96" s="6">
        <f>BE96</f>
        <v>1043.5466309000312</v>
      </c>
      <c r="AY96" s="6">
        <f>SUM(M96:O96,R96:AC96,AE96:AH96,AK96:AL96,AN96:AP96,AR96:AU96)</f>
        <v>1107.6722161848011</v>
      </c>
      <c r="BE96" s="6">
        <f>AY96-AU96</f>
        <v>1043.5466309000312</v>
      </c>
    </row>
    <row r="97" spans="1:60">
      <c r="A97" t="s">
        <v>138</v>
      </c>
      <c r="B97" t="s">
        <v>141</v>
      </c>
      <c r="C97" t="s">
        <v>56</v>
      </c>
      <c r="E97" t="s">
        <v>42</v>
      </c>
      <c r="G97" t="s">
        <v>40</v>
      </c>
      <c r="H97" t="s">
        <v>41</v>
      </c>
      <c r="I97">
        <v>2030</v>
      </c>
      <c r="J97" t="s">
        <v>57</v>
      </c>
      <c r="L97" s="6">
        <v>1.517660259813649</v>
      </c>
      <c r="M97" s="6">
        <v>22.179122853532292</v>
      </c>
      <c r="N97" s="52">
        <v>6.8539527589448497</v>
      </c>
      <c r="O97" s="6">
        <v>30.071241397533701</v>
      </c>
      <c r="P97" s="6">
        <v>2.7698171592746772</v>
      </c>
      <c r="Q97" s="41">
        <v>3.5660898575930298</v>
      </c>
      <c r="R97" s="6">
        <v>0.42488685656829295</v>
      </c>
      <c r="S97" s="6">
        <v>37.570565207177715</v>
      </c>
      <c r="T97" s="6">
        <v>206.44692720071197</v>
      </c>
      <c r="U97" s="6">
        <v>25.865711354141254</v>
      </c>
      <c r="V97" s="6">
        <v>4.5045045950558373</v>
      </c>
      <c r="W97" s="6">
        <v>93.005311565266197</v>
      </c>
      <c r="X97" s="57">
        <v>17.899999999999999</v>
      </c>
      <c r="Y97" s="6">
        <v>215.66115469121027</v>
      </c>
      <c r="Z97" s="6">
        <v>20.46848724974339</v>
      </c>
      <c r="AA97" s="6">
        <v>8.9855645076086983</v>
      </c>
      <c r="AB97" s="6">
        <v>47.804116631141049</v>
      </c>
      <c r="AC97" s="6">
        <v>0.31145446785010256</v>
      </c>
      <c r="AD97" s="41">
        <v>0</v>
      </c>
      <c r="AE97" s="6">
        <v>63.283221397180164</v>
      </c>
      <c r="AF97" s="6">
        <v>13.50660687038792</v>
      </c>
      <c r="AG97" s="6">
        <v>0.33888858280464085</v>
      </c>
      <c r="AH97" s="6">
        <v>7.9472166565368374</v>
      </c>
      <c r="AI97" s="6">
        <v>0.13182530704452253</v>
      </c>
      <c r="AJ97" s="6">
        <v>1.4941274535410551</v>
      </c>
      <c r="AK97" s="6">
        <v>1.0934459311801648E-2</v>
      </c>
      <c r="AL97" s="6">
        <v>5.2781434737151258</v>
      </c>
      <c r="AM97" s="41">
        <v>4.7372232442009876</v>
      </c>
      <c r="AN97" s="6">
        <v>88.482169940403452</v>
      </c>
      <c r="AO97" s="6">
        <v>8.2391296257899835</v>
      </c>
      <c r="AP97" s="6">
        <v>57.43163083639039</v>
      </c>
      <c r="AQ97" s="6">
        <v>23.425092646329979</v>
      </c>
      <c r="AR97" s="6">
        <v>16.379706460866672</v>
      </c>
      <c r="AS97" s="6">
        <v>0.86894867048460478</v>
      </c>
      <c r="AT97" s="6">
        <v>13.601466230524832</v>
      </c>
      <c r="AU97" s="6">
        <v>69.486622197546126</v>
      </c>
      <c r="AV97" s="6"/>
      <c r="AW97" s="6">
        <f>BF97</f>
        <v>1013.4210645408817</v>
      </c>
      <c r="AZ97" s="6">
        <f>SUM(M97:O97,R97:AC97,AE97:AH97,AK97:AL97,AN97:AP97,AR97:AU97)</f>
        <v>1082.9076867384279</v>
      </c>
      <c r="BF97" s="6">
        <f>AZ97-AU97</f>
        <v>1013.4210645408817</v>
      </c>
    </row>
    <row r="98" spans="1:60">
      <c r="A98" t="s">
        <v>138</v>
      </c>
      <c r="B98" t="s">
        <v>141</v>
      </c>
      <c r="C98" t="s">
        <v>56</v>
      </c>
      <c r="E98" t="s">
        <v>42</v>
      </c>
      <c r="G98" t="s">
        <v>40</v>
      </c>
      <c r="H98" t="s">
        <v>41</v>
      </c>
      <c r="I98">
        <v>2040</v>
      </c>
      <c r="J98" t="s">
        <v>57</v>
      </c>
      <c r="L98" s="6">
        <v>1.598184246490755</v>
      </c>
      <c r="M98" s="6">
        <v>22.755979770796625</v>
      </c>
      <c r="N98" s="52">
        <v>7.0033616911938426</v>
      </c>
      <c r="O98" s="6">
        <v>27.822212557358711</v>
      </c>
      <c r="P98" s="6">
        <v>2.9256805505224168</v>
      </c>
      <c r="Q98" s="41">
        <v>3.6597564015003536</v>
      </c>
      <c r="R98" s="6">
        <v>0.43121175305771786</v>
      </c>
      <c r="S98" s="6">
        <v>36.561605639260961</v>
      </c>
      <c r="T98" s="6">
        <v>201.4601739767121</v>
      </c>
      <c r="U98" s="6">
        <v>23.920727097537032</v>
      </c>
      <c r="V98" s="6">
        <v>5.3121583625116253</v>
      </c>
      <c r="W98" s="6">
        <v>91.128223210108146</v>
      </c>
      <c r="X98" s="57">
        <v>17.899999999999999</v>
      </c>
      <c r="Y98" s="6">
        <v>203.15916960505899</v>
      </c>
      <c r="Z98" s="6">
        <v>20.580121980593059</v>
      </c>
      <c r="AA98" s="6">
        <v>7.9793797392438641</v>
      </c>
      <c r="AB98" s="6">
        <v>47.249384246178856</v>
      </c>
      <c r="AC98" s="6">
        <v>0.24773613386937307</v>
      </c>
      <c r="AD98" s="41">
        <v>0</v>
      </c>
      <c r="AE98" s="6">
        <v>62.087031465289471</v>
      </c>
      <c r="AF98" s="6">
        <v>15.638038478467239</v>
      </c>
      <c r="AG98" s="6">
        <v>0.37751550668346984</v>
      </c>
      <c r="AH98" s="6">
        <v>7.4184191946300446</v>
      </c>
      <c r="AI98" s="6">
        <v>0.14032084786677712</v>
      </c>
      <c r="AJ98" s="6">
        <v>1.6018538529268278</v>
      </c>
      <c r="AK98" s="6">
        <v>1.1278253023352405E-2</v>
      </c>
      <c r="AL98" s="6">
        <v>5.721505867891473</v>
      </c>
      <c r="AM98" s="41">
        <v>4.8120323942997461</v>
      </c>
      <c r="AN98" s="6">
        <v>79.819399254496176</v>
      </c>
      <c r="AO98" s="6">
        <v>7.8771087079546653</v>
      </c>
      <c r="AP98" s="6">
        <v>59.64677440954955</v>
      </c>
      <c r="AQ98" s="6">
        <v>27.730291168406492</v>
      </c>
      <c r="AR98" s="6">
        <v>16.7269355750106</v>
      </c>
      <c r="AS98" s="6">
        <v>0.88144208337727659</v>
      </c>
      <c r="AT98" s="6">
        <v>13.220357722260861</v>
      </c>
      <c r="AU98" s="6">
        <v>67.1743997750131</v>
      </c>
      <c r="AV98" s="6"/>
      <c r="AW98" s="6">
        <f>BG98</f>
        <v>982.93725228211486</v>
      </c>
      <c r="AZ98" s="6"/>
      <c r="BA98" s="6">
        <f>SUM(M98:O98,R98:AC98,AE98:AH98,AK98:AL98,AN98:AP98,AR98:AU98)</f>
        <v>1050.1116520571279</v>
      </c>
      <c r="BG98" s="6">
        <f>BA98-AU98</f>
        <v>982.93725228211486</v>
      </c>
    </row>
    <row r="99" spans="1:60">
      <c r="A99" t="s">
        <v>138</v>
      </c>
      <c r="B99" t="s">
        <v>141</v>
      </c>
      <c r="C99" t="s">
        <v>56</v>
      </c>
      <c r="E99" t="s">
        <v>42</v>
      </c>
      <c r="G99" t="s">
        <v>40</v>
      </c>
      <c r="H99" s="5" t="s">
        <v>41</v>
      </c>
      <c r="I99" s="5">
        <v>2050</v>
      </c>
      <c r="J99" s="5" t="s">
        <v>57</v>
      </c>
      <c r="K99" s="5"/>
      <c r="L99" s="7">
        <v>1.6787082331678609</v>
      </c>
      <c r="M99" s="7">
        <v>23.321222311295799</v>
      </c>
      <c r="N99" s="53">
        <v>7.1486906838156408</v>
      </c>
      <c r="O99" s="7">
        <v>25.572781627724531</v>
      </c>
      <c r="P99" s="7">
        <v>3.0815439417701564</v>
      </c>
      <c r="Q99" s="42">
        <v>3.7633136890504013</v>
      </c>
      <c r="R99" s="7">
        <v>0.43768205116719638</v>
      </c>
      <c r="S99" s="7">
        <v>35.538561656023674</v>
      </c>
      <c r="T99" s="7">
        <v>195.06365893727514</v>
      </c>
      <c r="U99" s="7">
        <v>22.004955204877554</v>
      </c>
      <c r="V99" s="7">
        <v>6.126381514372075</v>
      </c>
      <c r="W99" s="7">
        <v>89.433212866560808</v>
      </c>
      <c r="X99" s="58">
        <v>17.899999999999999</v>
      </c>
      <c r="Y99" s="7">
        <v>190.79430381257583</v>
      </c>
      <c r="Z99" s="7">
        <v>20.842951329346228</v>
      </c>
      <c r="AA99" s="7">
        <v>7.5014614448496477</v>
      </c>
      <c r="AB99" s="7">
        <v>46.694636565718184</v>
      </c>
      <c r="AC99" s="7">
        <v>0.18421413924166646</v>
      </c>
      <c r="AD99" s="42">
        <v>0</v>
      </c>
      <c r="AE99" s="7">
        <v>60.814020497351251</v>
      </c>
      <c r="AF99" s="7">
        <v>17.769269467189648</v>
      </c>
      <c r="AG99" s="7">
        <v>0.41205230553906125</v>
      </c>
      <c r="AH99" s="7">
        <v>6.8878316915734663</v>
      </c>
      <c r="AI99" s="7">
        <v>0.1488163886890318</v>
      </c>
      <c r="AJ99" s="7">
        <v>1.7095802523126011</v>
      </c>
      <c r="AK99" s="7">
        <v>1.162204673490317E-2</v>
      </c>
      <c r="AL99" s="7">
        <v>6.1621324390553438</v>
      </c>
      <c r="AM99" s="42">
        <v>4.9005629166544837</v>
      </c>
      <c r="AN99" s="7">
        <v>71.319810333193871</v>
      </c>
      <c r="AO99" s="7">
        <v>7.4880508461132447</v>
      </c>
      <c r="AP99" s="7">
        <v>61.827086700861834</v>
      </c>
      <c r="AQ99" s="7">
        <v>32.035489690483011</v>
      </c>
      <c r="AR99" s="7">
        <v>17.116946842453824</v>
      </c>
      <c r="AS99" s="7">
        <v>0.89383205764101992</v>
      </c>
      <c r="AT99" s="7">
        <v>12.838329458707843</v>
      </c>
      <c r="AU99" s="7">
        <v>64.683531339437934</v>
      </c>
      <c r="AV99" s="6"/>
      <c r="AW99" s="6">
        <f>BH99</f>
        <v>952.10569883125913</v>
      </c>
      <c r="AZ99" s="6"/>
      <c r="BA99" s="6"/>
      <c r="BB99" s="6">
        <f>SUM(M99:O99,R99:AC99,AE99:AH99,AK99:AL99,AN99:AP99,AR99:AU99)</f>
        <v>1016.789230170697</v>
      </c>
      <c r="BH99" s="6">
        <f>BB99-AU99</f>
        <v>952.10569883125913</v>
      </c>
    </row>
    <row r="100" spans="1:60">
      <c r="A100" t="s">
        <v>138</v>
      </c>
      <c r="B100" t="s">
        <v>141</v>
      </c>
      <c r="C100" t="s">
        <v>56</v>
      </c>
      <c r="F100" t="s">
        <v>105</v>
      </c>
      <c r="H100" t="s">
        <v>45</v>
      </c>
      <c r="I100">
        <v>2005</v>
      </c>
      <c r="J100" t="s">
        <v>57</v>
      </c>
      <c r="L100" s="6">
        <v>2.6202709288365633</v>
      </c>
      <c r="M100" s="6">
        <v>7.5441090694895934</v>
      </c>
      <c r="N100" s="52">
        <v>4.6597193188901169</v>
      </c>
      <c r="O100" s="6">
        <v>3.0424348209236651</v>
      </c>
      <c r="P100" s="6">
        <v>2.9474278814162043</v>
      </c>
      <c r="Q100" s="6">
        <v>7.5441090694895934</v>
      </c>
      <c r="R100" s="6">
        <v>4.0711789520424873</v>
      </c>
      <c r="S100" s="6">
        <v>4.8518539276639654</v>
      </c>
      <c r="T100" s="6">
        <v>4.6637277357956899</v>
      </c>
      <c r="U100" s="6">
        <v>5.3819743902980708</v>
      </c>
      <c r="V100" s="6">
        <v>3.092032971495406</v>
      </c>
      <c r="W100" s="6">
        <v>3.7972787028351238</v>
      </c>
      <c r="X100" s="6">
        <v>5.399178637511123</v>
      </c>
      <c r="Y100" s="6">
        <v>2.9951844833335768</v>
      </c>
      <c r="Z100" s="6">
        <v>4.783402528992144</v>
      </c>
      <c r="AA100" s="6">
        <v>3.0712494226672566</v>
      </c>
      <c r="AB100" s="6">
        <v>3.799079717558834</v>
      </c>
      <c r="AC100" s="6">
        <v>2.1313703049384181</v>
      </c>
      <c r="AD100" s="6">
        <v>2.9286474973375931</v>
      </c>
      <c r="AE100" s="6">
        <v>3.8168857125822773</v>
      </c>
      <c r="AF100" s="6">
        <v>3.1629962938824825</v>
      </c>
      <c r="AG100" s="6">
        <v>5.4509516352730838</v>
      </c>
      <c r="AH100" s="6">
        <v>3.1800474462984871</v>
      </c>
      <c r="AI100" s="6">
        <v>3.6401943562911727</v>
      </c>
      <c r="AJ100" s="6">
        <v>3.2432785665078701</v>
      </c>
      <c r="AK100" s="6">
        <v>2.2788133539341651</v>
      </c>
      <c r="AL100" s="6">
        <v>4.4352368148908035</v>
      </c>
      <c r="AM100" s="6">
        <v>5.102114907063231</v>
      </c>
      <c r="AN100" s="6">
        <v>3.120380071867956</v>
      </c>
      <c r="AO100" s="6">
        <v>3.5567744431569044</v>
      </c>
      <c r="AP100" s="6">
        <v>3.0843403308716359</v>
      </c>
      <c r="AQ100" s="6">
        <v>3.5955448560777441</v>
      </c>
      <c r="AR100" s="6">
        <v>5.102114907063231</v>
      </c>
      <c r="AS100" s="6">
        <v>3.1184478023192024</v>
      </c>
      <c r="AT100" s="6">
        <v>5.181694432392618</v>
      </c>
      <c r="AU100" s="6">
        <v>5.3858829014970881</v>
      </c>
      <c r="AV100" s="6"/>
      <c r="AW100" s="6"/>
      <c r="AY100" s="6"/>
      <c r="AZ100" s="6"/>
      <c r="BA100" s="6"/>
      <c r="BB100" s="6"/>
    </row>
    <row r="101" spans="1:60">
      <c r="A101" t="s">
        <v>138</v>
      </c>
      <c r="B101" t="s">
        <v>141</v>
      </c>
      <c r="C101" t="s">
        <v>56</v>
      </c>
      <c r="F101" t="s">
        <v>105</v>
      </c>
      <c r="H101" t="s">
        <v>45</v>
      </c>
      <c r="I101">
        <v>2010</v>
      </c>
      <c r="J101" t="s">
        <v>57</v>
      </c>
      <c r="L101" s="6">
        <v>2.6202709288365633</v>
      </c>
      <c r="M101" s="6">
        <v>7.5441090694895934</v>
      </c>
      <c r="N101" s="52">
        <v>4.6597193188901169</v>
      </c>
      <c r="O101" s="6">
        <v>3.0424348209236651</v>
      </c>
      <c r="P101" s="6">
        <v>2.9474278814162043</v>
      </c>
      <c r="Q101" s="6">
        <v>7.5441090694895934</v>
      </c>
      <c r="R101" s="6">
        <v>4.0711789520424873</v>
      </c>
      <c r="S101" s="6">
        <v>4.8518539276639654</v>
      </c>
      <c r="T101" s="6">
        <v>4.6637277357956899</v>
      </c>
      <c r="U101" s="6">
        <v>5.3819743902980708</v>
      </c>
      <c r="V101" s="6">
        <v>3.092032971495406</v>
      </c>
      <c r="W101" s="6">
        <v>3.7972787028351238</v>
      </c>
      <c r="X101" s="6">
        <v>5.399178637511123</v>
      </c>
      <c r="Y101" s="6">
        <v>2.9951844833335768</v>
      </c>
      <c r="Z101" s="6">
        <v>4.783402528992144</v>
      </c>
      <c r="AA101" s="6">
        <v>3.0712494226672566</v>
      </c>
      <c r="AB101" s="6">
        <v>3.799079717558834</v>
      </c>
      <c r="AC101" s="6">
        <v>2.1313703049384181</v>
      </c>
      <c r="AD101" s="6">
        <v>2.9286474973375931</v>
      </c>
      <c r="AE101" s="6">
        <v>3.8168857125822773</v>
      </c>
      <c r="AF101" s="6">
        <v>3.1629962938824825</v>
      </c>
      <c r="AG101" s="6">
        <v>5.4509516352730838</v>
      </c>
      <c r="AH101" s="6">
        <v>3.1800474462984871</v>
      </c>
      <c r="AI101" s="6">
        <v>3.6401943562911727</v>
      </c>
      <c r="AJ101" s="6">
        <v>3.2432785665078701</v>
      </c>
      <c r="AK101" s="6">
        <v>2.2788133539341651</v>
      </c>
      <c r="AL101" s="6">
        <v>4.4352368148908035</v>
      </c>
      <c r="AM101" s="6">
        <v>5.102114907063231</v>
      </c>
      <c r="AN101" s="6">
        <v>3.120380071867956</v>
      </c>
      <c r="AO101" s="6">
        <v>3.5567744431569044</v>
      </c>
      <c r="AP101" s="6">
        <v>3.0843403308716359</v>
      </c>
      <c r="AQ101" s="6">
        <v>3.5955448560777441</v>
      </c>
      <c r="AR101" s="6">
        <v>5.102114907063231</v>
      </c>
      <c r="AS101" s="6">
        <v>3.1184478023192024</v>
      </c>
      <c r="AT101" s="6">
        <v>5.181694432392618</v>
      </c>
      <c r="AU101" s="6">
        <v>5.3858829014970881</v>
      </c>
      <c r="AV101" s="6"/>
      <c r="AW101" s="6"/>
      <c r="AY101" s="6"/>
      <c r="AZ101" s="6"/>
      <c r="BA101" s="6"/>
      <c r="BB101" s="6"/>
    </row>
    <row r="102" spans="1:60">
      <c r="A102" t="s">
        <v>138</v>
      </c>
      <c r="B102" t="s">
        <v>141</v>
      </c>
      <c r="C102" t="s">
        <v>56</v>
      </c>
      <c r="F102" t="s">
        <v>105</v>
      </c>
      <c r="H102" t="s">
        <v>45</v>
      </c>
      <c r="I102">
        <v>2020</v>
      </c>
      <c r="J102" t="s">
        <v>57</v>
      </c>
      <c r="L102" s="6">
        <v>3.4004230479892383</v>
      </c>
      <c r="M102" s="6">
        <v>6.84728583006022</v>
      </c>
      <c r="N102" s="52">
        <v>4.2549108032971921</v>
      </c>
      <c r="O102" s="6">
        <v>2.8673272577424038</v>
      </c>
      <c r="P102" s="6">
        <v>3.3979173601175501</v>
      </c>
      <c r="Q102" s="6">
        <v>6.84728583006022</v>
      </c>
      <c r="R102" s="6">
        <v>4.6051294460027439</v>
      </c>
      <c r="S102" s="6">
        <v>4.4957520207154307</v>
      </c>
      <c r="T102" s="6">
        <v>4.4461706125275109</v>
      </c>
      <c r="U102" s="6">
        <v>4.8951189491539919</v>
      </c>
      <c r="V102" s="6">
        <v>2.8578845773798776</v>
      </c>
      <c r="W102" s="6">
        <v>4.0972790486407735</v>
      </c>
      <c r="X102" s="6">
        <v>4.9755387191816682</v>
      </c>
      <c r="Y102" s="6">
        <v>2.8421122403593486</v>
      </c>
      <c r="Z102" s="6">
        <v>5.0378807201199045</v>
      </c>
      <c r="AA102" s="6">
        <v>3.1473766086800121</v>
      </c>
      <c r="AB102" s="6">
        <v>3.6481128383764974</v>
      </c>
      <c r="AC102" s="6">
        <v>2.0835530591564764</v>
      </c>
      <c r="AD102" s="6">
        <v>2.9286474973375931</v>
      </c>
      <c r="AE102" s="6">
        <v>4.1056537180764918</v>
      </c>
      <c r="AF102" s="6">
        <v>2.8667404889918293</v>
      </c>
      <c r="AG102" s="6">
        <v>4.6920113228363078</v>
      </c>
      <c r="AH102" s="6">
        <v>2.9043776436326914</v>
      </c>
      <c r="AI102" s="6">
        <v>4.0409034838981466</v>
      </c>
      <c r="AJ102" s="6">
        <v>3.4732026811272716</v>
      </c>
      <c r="AK102" s="6">
        <v>4.1202483200051097</v>
      </c>
      <c r="AL102" s="6">
        <v>4.0032934632604951</v>
      </c>
      <c r="AM102" s="6">
        <v>4.6579223990387071</v>
      </c>
      <c r="AN102" s="6">
        <v>2.9151881207560768</v>
      </c>
      <c r="AO102" s="6">
        <v>3.7430812175427026</v>
      </c>
      <c r="AP102" s="6">
        <v>2.9841238933141381</v>
      </c>
      <c r="AQ102" s="6">
        <v>3.763143420613849</v>
      </c>
      <c r="AR102" s="6">
        <v>4.6579223990387071</v>
      </c>
      <c r="AS102" s="6">
        <v>3.4783747505093481</v>
      </c>
      <c r="AT102" s="6">
        <v>4.8517735986294994</v>
      </c>
      <c r="AU102" s="6">
        <v>4.8455687136308567</v>
      </c>
      <c r="AV102" s="6"/>
      <c r="AW102" s="6"/>
      <c r="AY102" s="6"/>
      <c r="AZ102" s="6"/>
      <c r="BA102" s="6"/>
      <c r="BB102" s="6"/>
    </row>
    <row r="103" spans="1:60">
      <c r="A103" t="s">
        <v>138</v>
      </c>
      <c r="B103" t="s">
        <v>141</v>
      </c>
      <c r="C103" t="s">
        <v>56</v>
      </c>
      <c r="F103" t="s">
        <v>105</v>
      </c>
      <c r="H103" t="s">
        <v>45</v>
      </c>
      <c r="I103">
        <v>2030</v>
      </c>
      <c r="J103" t="s">
        <v>57</v>
      </c>
      <c r="L103" s="6">
        <v>3.4102325645761162</v>
      </c>
      <c r="M103" s="6">
        <v>6.1063553513331437</v>
      </c>
      <c r="N103" s="52">
        <v>3.933497225991085</v>
      </c>
      <c r="O103" s="6">
        <v>2.5572290006778089</v>
      </c>
      <c r="P103" s="6">
        <v>3.2916707140577444</v>
      </c>
      <c r="Q103" s="6">
        <v>6.1063553513331437</v>
      </c>
      <c r="R103" s="6">
        <v>4.2082522191150433</v>
      </c>
      <c r="S103" s="6">
        <v>3.9976067247005607</v>
      </c>
      <c r="T103" s="6">
        <v>4.1958618908292129</v>
      </c>
      <c r="U103" s="6">
        <v>4.3898058724316913</v>
      </c>
      <c r="V103" s="6">
        <v>2.6259295666652074</v>
      </c>
      <c r="W103" s="6">
        <v>3.7111627967417893</v>
      </c>
      <c r="X103" s="6">
        <v>4.403495497657909</v>
      </c>
      <c r="Y103" s="6">
        <v>2.5782212706285108</v>
      </c>
      <c r="Z103" s="6">
        <v>4.493242016133256</v>
      </c>
      <c r="AA103" s="6">
        <v>2.9381131873467115</v>
      </c>
      <c r="AB103" s="6">
        <v>3.2796184549828125</v>
      </c>
      <c r="AC103" s="6">
        <v>2.1298045736472231</v>
      </c>
      <c r="AD103" s="6">
        <v>2.9286474973375931</v>
      </c>
      <c r="AE103" s="6">
        <v>3.7799939187836875</v>
      </c>
      <c r="AF103" s="6">
        <v>2.5592310649248056</v>
      </c>
      <c r="AG103" s="6">
        <v>5.3040310858332003</v>
      </c>
      <c r="AH103" s="6">
        <v>2.605538445038774</v>
      </c>
      <c r="AI103" s="6">
        <v>4.1686162117989767</v>
      </c>
      <c r="AJ103" s="6">
        <v>3.2841950175519514</v>
      </c>
      <c r="AK103" s="6">
        <v>3.6702984081552188</v>
      </c>
      <c r="AL103" s="6">
        <v>3.6992159287297821</v>
      </c>
      <c r="AM103" s="6">
        <v>4.1456816815752262</v>
      </c>
      <c r="AN103" s="6">
        <v>2.6147063735018867</v>
      </c>
      <c r="AO103" s="6">
        <v>3.3270472212510867</v>
      </c>
      <c r="AP103" s="6">
        <v>2.7078993615740976</v>
      </c>
      <c r="AQ103" s="6">
        <v>3.4978220063396681</v>
      </c>
      <c r="AR103" s="6">
        <v>4.1456816815752262</v>
      </c>
      <c r="AS103" s="6">
        <v>3.451289080307093</v>
      </c>
      <c r="AT103" s="6">
        <v>4.3344033376635274</v>
      </c>
      <c r="AU103" s="6">
        <v>4.2557966956308295</v>
      </c>
      <c r="AV103" s="6"/>
      <c r="AW103" s="6"/>
      <c r="AY103" s="6"/>
      <c r="AZ103" s="6"/>
      <c r="BA103" s="6"/>
      <c r="BB103" s="6"/>
    </row>
    <row r="104" spans="1:60">
      <c r="A104" t="s">
        <v>138</v>
      </c>
      <c r="B104" t="s">
        <v>141</v>
      </c>
      <c r="C104" t="s">
        <v>56</v>
      </c>
      <c r="F104" t="s">
        <v>105</v>
      </c>
      <c r="H104" t="s">
        <v>45</v>
      </c>
      <c r="I104">
        <v>2040</v>
      </c>
      <c r="J104" t="s">
        <v>57</v>
      </c>
      <c r="L104" s="6">
        <v>3.4665927424467911</v>
      </c>
      <c r="M104" s="6">
        <v>5.5739124569173093</v>
      </c>
      <c r="N104" s="52">
        <v>3.7007446663608299</v>
      </c>
      <c r="O104" s="6">
        <v>2.3162579190527239</v>
      </c>
      <c r="P104" s="6">
        <v>3.1819768172313405</v>
      </c>
      <c r="Q104" s="6">
        <v>5.5739124569173093</v>
      </c>
      <c r="R104" s="6">
        <v>3.996799493306511</v>
      </c>
      <c r="S104" s="6">
        <v>3.6314145591169713</v>
      </c>
      <c r="T104" s="6">
        <v>4.1131396952807977</v>
      </c>
      <c r="U104" s="6">
        <v>4.099928565525242</v>
      </c>
      <c r="V104" s="6">
        <v>2.5083568366540003</v>
      </c>
      <c r="W104" s="6">
        <v>3.4815510369049822</v>
      </c>
      <c r="X104" s="6">
        <v>4.0041644467217976</v>
      </c>
      <c r="Y104" s="6">
        <v>2.4117573726363433</v>
      </c>
      <c r="Z104" s="6">
        <v>4.2126892645723242</v>
      </c>
      <c r="AA104" s="6">
        <v>2.7987735923782111</v>
      </c>
      <c r="AB104" s="6">
        <v>2.9880661883015378</v>
      </c>
      <c r="AC104" s="6">
        <v>2.3718236435769486</v>
      </c>
      <c r="AD104" s="6">
        <v>2.9286474973375931</v>
      </c>
      <c r="AE104" s="6">
        <v>3.5481076732646262</v>
      </c>
      <c r="AF104" s="6">
        <v>2.3269158030086952</v>
      </c>
      <c r="AG104" s="6">
        <v>5.2533025689599393</v>
      </c>
      <c r="AH104" s="6">
        <v>2.4043560714109105</v>
      </c>
      <c r="AI104" s="6">
        <v>4.0550041874440677</v>
      </c>
      <c r="AJ104" s="6">
        <v>3.168176725276072</v>
      </c>
      <c r="AK104" s="6">
        <v>3.319853646159741</v>
      </c>
      <c r="AL104" s="6">
        <v>3.6121611510055884</v>
      </c>
      <c r="AM104" s="6">
        <v>3.7833415239853192</v>
      </c>
      <c r="AN104" s="6">
        <v>2.4126568037615757</v>
      </c>
      <c r="AO104" s="6">
        <v>3.2982559875791524</v>
      </c>
      <c r="AP104" s="6">
        <v>2.5142920424939983</v>
      </c>
      <c r="AQ104" s="6">
        <v>3.2572882010372868</v>
      </c>
      <c r="AR104" s="6">
        <v>3.7833415239853192</v>
      </c>
      <c r="AS104" s="6">
        <v>3.3457956501357375</v>
      </c>
      <c r="AT104" s="6">
        <v>3.9378926857191572</v>
      </c>
      <c r="AU104" s="6">
        <v>3.8813253284046478</v>
      </c>
      <c r="AV104" s="6"/>
      <c r="AW104" s="6"/>
      <c r="AY104" s="6"/>
      <c r="AZ104" s="6"/>
      <c r="BA104" s="6"/>
      <c r="BB104" s="6"/>
    </row>
    <row r="105" spans="1:60">
      <c r="A105" t="s">
        <v>138</v>
      </c>
      <c r="B105" t="s">
        <v>141</v>
      </c>
      <c r="C105" t="s">
        <v>56</v>
      </c>
      <c r="F105" t="s">
        <v>105</v>
      </c>
      <c r="H105" t="s">
        <v>45</v>
      </c>
      <c r="I105">
        <v>2050</v>
      </c>
      <c r="J105" t="s">
        <v>57</v>
      </c>
      <c r="L105" s="6">
        <v>3.5266340501719968</v>
      </c>
      <c r="M105" s="6">
        <v>5.1275994882507261</v>
      </c>
      <c r="N105" s="52">
        <v>3.5107465532699607</v>
      </c>
      <c r="O105" s="6">
        <v>2.1053020181080817</v>
      </c>
      <c r="P105" s="6">
        <v>3.0913840023938182</v>
      </c>
      <c r="Q105" s="6">
        <v>5.1275994882507261</v>
      </c>
      <c r="R105" s="6">
        <v>4.0119860475136466</v>
      </c>
      <c r="S105" s="6">
        <v>3.2982653716145554</v>
      </c>
      <c r="T105" s="6">
        <v>4.1034199655870287</v>
      </c>
      <c r="U105" s="6">
        <v>3.8803935367564271</v>
      </c>
      <c r="V105" s="6">
        <v>2.4074501082105155</v>
      </c>
      <c r="W105" s="6">
        <v>3.3275894603819345</v>
      </c>
      <c r="X105" s="6">
        <v>3.648581573445481</v>
      </c>
      <c r="Y105" s="6">
        <v>2.2671089974252761</v>
      </c>
      <c r="Z105" s="6">
        <v>3.9758205586794619</v>
      </c>
      <c r="AA105" s="6">
        <v>2.7294871680709356</v>
      </c>
      <c r="AB105" s="6">
        <v>2.7306856335962006</v>
      </c>
      <c r="AC105" s="6">
        <v>2.5921625195107567</v>
      </c>
      <c r="AD105" s="6">
        <v>2.9286474973375931</v>
      </c>
      <c r="AE105" s="6">
        <v>3.3490615809699458</v>
      </c>
      <c r="AF105" s="6">
        <v>2.1289897431545164</v>
      </c>
      <c r="AG105" s="6">
        <v>4.9264336408169251</v>
      </c>
      <c r="AH105" s="6">
        <v>2.2212393175221394</v>
      </c>
      <c r="AI105" s="6">
        <v>3.9491325305511946</v>
      </c>
      <c r="AJ105" s="6">
        <v>3.0685896197079661</v>
      </c>
      <c r="AK105" s="6">
        <v>3.2394888454316413</v>
      </c>
      <c r="AL105" s="6">
        <v>3.5267287245971755</v>
      </c>
      <c r="AM105" s="6">
        <v>3.4546383868107062</v>
      </c>
      <c r="AN105" s="6">
        <v>2.2382740404263406</v>
      </c>
      <c r="AO105" s="6">
        <v>3.3247943815970555</v>
      </c>
      <c r="AP105" s="6">
        <v>2.3476746560826967</v>
      </c>
      <c r="AQ105" s="6">
        <v>3.0188953517639932</v>
      </c>
      <c r="AR105" s="6">
        <v>3.4546383868107062</v>
      </c>
      <c r="AS105" s="6">
        <v>3.2546901989762751</v>
      </c>
      <c r="AT105" s="6">
        <v>3.5759816224988725</v>
      </c>
      <c r="AU105" s="6">
        <v>3.5484559697920557</v>
      </c>
      <c r="AV105" s="6"/>
      <c r="AW105" s="6"/>
      <c r="AY105" s="6"/>
      <c r="AZ105" s="6"/>
      <c r="BA105" s="6"/>
      <c r="BB105" s="6"/>
    </row>
    <row r="106" spans="1:60">
      <c r="E106" t="s">
        <v>46</v>
      </c>
      <c r="AY106" s="6"/>
    </row>
    <row r="107" spans="1:60">
      <c r="A107" t="s">
        <v>136</v>
      </c>
      <c r="B107" t="s">
        <v>142</v>
      </c>
      <c r="C107" t="s">
        <v>58</v>
      </c>
      <c r="E107" t="s">
        <v>42</v>
      </c>
      <c r="G107" t="s">
        <v>40</v>
      </c>
      <c r="H107" t="s">
        <v>41</v>
      </c>
      <c r="I107">
        <v>2005</v>
      </c>
      <c r="J107" t="s">
        <v>59</v>
      </c>
      <c r="L107" s="51">
        <v>6.6</v>
      </c>
      <c r="M107" s="51">
        <v>33.1</v>
      </c>
      <c r="N107" s="51">
        <v>5.5</v>
      </c>
      <c r="O107" s="51">
        <v>13.2</v>
      </c>
      <c r="P107" s="51">
        <v>25.8</v>
      </c>
      <c r="Q107" s="51">
        <v>14.3</v>
      </c>
      <c r="R107" s="51">
        <v>0</v>
      </c>
      <c r="S107" s="51">
        <v>11.2</v>
      </c>
      <c r="T107" s="51">
        <v>89.5</v>
      </c>
      <c r="U107" s="51">
        <v>6.4</v>
      </c>
      <c r="V107" s="51">
        <v>12.3</v>
      </c>
      <c r="W107" s="51">
        <v>28.2</v>
      </c>
      <c r="X107" s="55">
        <v>56</v>
      </c>
      <c r="Y107" s="51">
        <v>197.6</v>
      </c>
      <c r="Z107" s="51">
        <v>5.7</v>
      </c>
      <c r="AA107" s="51">
        <v>11</v>
      </c>
      <c r="AB107" s="51">
        <v>20.9</v>
      </c>
      <c r="AC107" s="51">
        <v>1.9</v>
      </c>
      <c r="AD107" s="51">
        <v>0</v>
      </c>
      <c r="AE107" s="51">
        <v>61.1</v>
      </c>
      <c r="AF107" s="51">
        <v>14.7</v>
      </c>
      <c r="AG107" s="51">
        <v>0.2</v>
      </c>
      <c r="AH107" s="51">
        <v>20.100000000000001</v>
      </c>
      <c r="AI107" s="51">
        <v>4.0999999999999996</v>
      </c>
      <c r="AJ107" s="51">
        <v>20.399999999999999</v>
      </c>
      <c r="AK107" s="51">
        <v>0</v>
      </c>
      <c r="AL107" s="51">
        <v>2.4</v>
      </c>
      <c r="AM107" s="51">
        <v>26.9</v>
      </c>
      <c r="AN107" s="51">
        <v>24</v>
      </c>
      <c r="AO107" s="51">
        <v>16</v>
      </c>
      <c r="AP107" s="51">
        <v>32.5</v>
      </c>
      <c r="AQ107" s="51">
        <v>140.5</v>
      </c>
      <c r="AR107" s="51">
        <v>72.2</v>
      </c>
      <c r="AS107" s="51">
        <v>13.4</v>
      </c>
      <c r="AT107" s="51">
        <v>3.7</v>
      </c>
      <c r="AU107" s="51">
        <v>8.8000000000000007</v>
      </c>
      <c r="AV107" s="10"/>
      <c r="AW107" s="10"/>
      <c r="AY107" s="6"/>
    </row>
    <row r="108" spans="1:60">
      <c r="A108" t="s">
        <v>136</v>
      </c>
      <c r="B108" t="s">
        <v>142</v>
      </c>
      <c r="C108" t="s">
        <v>58</v>
      </c>
      <c r="E108" t="s">
        <v>42</v>
      </c>
      <c r="G108" t="s">
        <v>40</v>
      </c>
      <c r="H108" t="s">
        <v>41</v>
      </c>
      <c r="I108">
        <v>2010</v>
      </c>
      <c r="J108" t="s">
        <v>59</v>
      </c>
      <c r="L108" s="51">
        <v>6.7</v>
      </c>
      <c r="M108" s="51">
        <v>33.200000000000003</v>
      </c>
      <c r="N108" s="51">
        <v>5.6</v>
      </c>
      <c r="O108" s="51">
        <v>12.9</v>
      </c>
      <c r="P108" s="51">
        <v>25.9</v>
      </c>
      <c r="Q108" s="51">
        <v>14.4</v>
      </c>
      <c r="R108" s="51">
        <v>0</v>
      </c>
      <c r="S108" s="51">
        <v>11.1</v>
      </c>
      <c r="T108" s="51">
        <v>89.9</v>
      </c>
      <c r="U108" s="51">
        <v>6.4</v>
      </c>
      <c r="V108" s="51">
        <v>12.2</v>
      </c>
      <c r="W108" s="51">
        <v>27.6</v>
      </c>
      <c r="X108" s="55">
        <v>55.7</v>
      </c>
      <c r="Y108" s="51">
        <v>195.2</v>
      </c>
      <c r="Z108" s="51">
        <v>5.6</v>
      </c>
      <c r="AA108" s="51">
        <v>10.8</v>
      </c>
      <c r="AB108" s="51">
        <v>20.7</v>
      </c>
      <c r="AC108" s="51">
        <v>1.8</v>
      </c>
      <c r="AD108" s="51">
        <v>0</v>
      </c>
      <c r="AE108" s="51">
        <v>60.8</v>
      </c>
      <c r="AF108" s="51">
        <v>14.6</v>
      </c>
      <c r="AG108" s="51">
        <v>0.2</v>
      </c>
      <c r="AH108" s="51">
        <v>20.100000000000001</v>
      </c>
      <c r="AI108" s="51">
        <v>4.0999999999999996</v>
      </c>
      <c r="AJ108" s="51">
        <v>20.5</v>
      </c>
      <c r="AK108" s="51">
        <v>0</v>
      </c>
      <c r="AL108" s="51">
        <v>2.2999999999999998</v>
      </c>
      <c r="AM108" s="51">
        <v>27</v>
      </c>
      <c r="AN108" s="51">
        <v>23.9</v>
      </c>
      <c r="AO108" s="51">
        <v>15.8</v>
      </c>
      <c r="AP108" s="51">
        <v>32.200000000000003</v>
      </c>
      <c r="AQ108" s="51">
        <v>141.1</v>
      </c>
      <c r="AR108" s="51">
        <v>72.5</v>
      </c>
      <c r="AS108" s="51">
        <v>13.4</v>
      </c>
      <c r="AT108" s="51">
        <v>3.6</v>
      </c>
      <c r="AU108" s="51">
        <v>8.6999999999999993</v>
      </c>
      <c r="AV108" s="10"/>
      <c r="AW108" s="6">
        <f>BD108</f>
        <v>748.1</v>
      </c>
      <c r="AX108" s="6">
        <f>SUM(M108:O108,R108:AC108,AE108:AH108,AK108:AL108,AN108:AP108,AR108:AU108)</f>
        <v>756.80000000000007</v>
      </c>
      <c r="BD108" s="6">
        <f>AX108-AU108</f>
        <v>748.1</v>
      </c>
    </row>
    <row r="109" spans="1:60">
      <c r="A109" t="s">
        <v>136</v>
      </c>
      <c r="B109" t="s">
        <v>142</v>
      </c>
      <c r="C109" t="s">
        <v>58</v>
      </c>
      <c r="E109" t="s">
        <v>42</v>
      </c>
      <c r="G109" t="s">
        <v>40</v>
      </c>
      <c r="H109" t="s">
        <v>41</v>
      </c>
      <c r="I109">
        <v>2020</v>
      </c>
      <c r="J109" t="s">
        <v>59</v>
      </c>
      <c r="L109" s="52">
        <v>6.3</v>
      </c>
      <c r="M109" s="52">
        <v>33</v>
      </c>
      <c r="N109" s="52">
        <v>6</v>
      </c>
      <c r="O109" s="52">
        <v>12.2</v>
      </c>
      <c r="P109" s="52">
        <v>26.2</v>
      </c>
      <c r="Q109" s="52">
        <v>13.1</v>
      </c>
      <c r="R109" s="52">
        <v>0</v>
      </c>
      <c r="S109" s="52">
        <v>10.8</v>
      </c>
      <c r="T109" s="52">
        <v>91.5</v>
      </c>
      <c r="U109" s="52">
        <v>6.3</v>
      </c>
      <c r="V109" s="52">
        <v>11.8</v>
      </c>
      <c r="W109" s="52">
        <v>25.2</v>
      </c>
      <c r="X109" s="57">
        <v>74.2</v>
      </c>
      <c r="Y109" s="52">
        <v>186.7</v>
      </c>
      <c r="Z109" s="52">
        <v>5.4</v>
      </c>
      <c r="AA109" s="52">
        <v>10.199999999999999</v>
      </c>
      <c r="AB109" s="52">
        <v>19.899999999999999</v>
      </c>
      <c r="AC109" s="52">
        <v>1.5</v>
      </c>
      <c r="AD109" s="51">
        <v>0</v>
      </c>
      <c r="AE109" s="52">
        <v>59.8</v>
      </c>
      <c r="AF109" s="52">
        <v>14.1</v>
      </c>
      <c r="AG109" s="52">
        <v>0.2</v>
      </c>
      <c r="AH109" s="52">
        <v>19.899999999999999</v>
      </c>
      <c r="AI109" s="52">
        <v>4.0999999999999996</v>
      </c>
      <c r="AJ109" s="52">
        <v>20.7</v>
      </c>
      <c r="AK109" s="52">
        <v>0</v>
      </c>
      <c r="AL109" s="52">
        <v>2.1</v>
      </c>
      <c r="AM109" s="52">
        <v>26.7</v>
      </c>
      <c r="AN109" s="52">
        <v>23.5</v>
      </c>
      <c r="AO109" s="52">
        <v>15</v>
      </c>
      <c r="AP109" s="52">
        <v>31.2</v>
      </c>
      <c r="AQ109" s="52">
        <v>116.1</v>
      </c>
      <c r="AR109" s="52">
        <v>72.2</v>
      </c>
      <c r="AS109" s="52">
        <v>13.3</v>
      </c>
      <c r="AT109" s="52">
        <v>3.5</v>
      </c>
      <c r="AU109" s="52">
        <v>8.5</v>
      </c>
      <c r="AV109" s="6"/>
      <c r="AW109" s="6">
        <f>BE109</f>
        <v>749.5</v>
      </c>
      <c r="AY109" s="6">
        <f>SUM(M109:O109,R109:AC109,AE109:AH109,AK109:AL109,AN109:AP109,AR109:AU109)</f>
        <v>758</v>
      </c>
      <c r="BE109" s="6">
        <f>AY109-AU109</f>
        <v>749.5</v>
      </c>
    </row>
    <row r="110" spans="1:60">
      <c r="A110" t="s">
        <v>136</v>
      </c>
      <c r="B110" t="s">
        <v>142</v>
      </c>
      <c r="C110" t="s">
        <v>58</v>
      </c>
      <c r="E110" t="s">
        <v>42</v>
      </c>
      <c r="G110" t="s">
        <v>40</v>
      </c>
      <c r="H110" t="s">
        <v>41</v>
      </c>
      <c r="I110">
        <v>2030</v>
      </c>
      <c r="J110" t="s">
        <v>59</v>
      </c>
      <c r="L110" s="52">
        <v>5.8</v>
      </c>
      <c r="M110" s="52">
        <v>33.700000000000003</v>
      </c>
      <c r="N110" s="52">
        <v>6</v>
      </c>
      <c r="O110" s="52">
        <v>12</v>
      </c>
      <c r="P110" s="52">
        <v>27</v>
      </c>
      <c r="Q110" s="52">
        <v>13.4</v>
      </c>
      <c r="R110" s="52">
        <v>0</v>
      </c>
      <c r="S110" s="52">
        <v>11</v>
      </c>
      <c r="T110" s="52">
        <v>91.2</v>
      </c>
      <c r="U110" s="52">
        <v>6.4</v>
      </c>
      <c r="V110" s="52">
        <v>11.8</v>
      </c>
      <c r="W110" s="52">
        <v>25.3</v>
      </c>
      <c r="X110" s="57">
        <v>82.8</v>
      </c>
      <c r="Y110" s="52">
        <v>187.2</v>
      </c>
      <c r="Z110" s="52">
        <v>5.4</v>
      </c>
      <c r="AA110" s="52">
        <v>10.199999999999999</v>
      </c>
      <c r="AB110" s="52">
        <v>19.899999999999999</v>
      </c>
      <c r="AC110" s="52">
        <v>1.3</v>
      </c>
      <c r="AD110" s="51">
        <v>0</v>
      </c>
      <c r="AE110" s="52">
        <v>59.6</v>
      </c>
      <c r="AF110" s="52">
        <v>14.3</v>
      </c>
      <c r="AG110" s="52">
        <v>0.2</v>
      </c>
      <c r="AH110" s="52">
        <v>20.100000000000001</v>
      </c>
      <c r="AI110" s="52">
        <v>12.5</v>
      </c>
      <c r="AJ110" s="52">
        <v>21.3</v>
      </c>
      <c r="AK110" s="52">
        <v>0</v>
      </c>
      <c r="AL110" s="52">
        <v>2</v>
      </c>
      <c r="AM110" s="52">
        <v>27.6</v>
      </c>
      <c r="AN110" s="52">
        <v>23.5</v>
      </c>
      <c r="AO110" s="52">
        <v>15.3</v>
      </c>
      <c r="AP110" s="52">
        <v>31.1</v>
      </c>
      <c r="AQ110" s="52">
        <v>111.8</v>
      </c>
      <c r="AR110" s="52">
        <v>73.099999999999994</v>
      </c>
      <c r="AS110" s="52">
        <v>13.3</v>
      </c>
      <c r="AT110" s="52">
        <v>3.6</v>
      </c>
      <c r="AU110" s="52">
        <v>8.4</v>
      </c>
      <c r="AV110" s="6"/>
      <c r="AW110" s="6">
        <f>BF110</f>
        <v>760.3</v>
      </c>
      <c r="AZ110" s="6">
        <f>SUM(M110:O110,R110:AC110,AE110:AH110,AK110:AL110,AN110:AP110,AR110:AU110)</f>
        <v>768.69999999999993</v>
      </c>
      <c r="BF110" s="6">
        <f>AZ110-AU110</f>
        <v>760.3</v>
      </c>
    </row>
    <row r="111" spans="1:60">
      <c r="A111" t="s">
        <v>136</v>
      </c>
      <c r="B111" t="s">
        <v>142</v>
      </c>
      <c r="C111" t="s">
        <v>58</v>
      </c>
      <c r="E111" t="s">
        <v>42</v>
      </c>
      <c r="G111" t="s">
        <v>40</v>
      </c>
      <c r="H111" t="s">
        <v>41</v>
      </c>
      <c r="I111">
        <v>2040</v>
      </c>
      <c r="J111" t="s">
        <v>59</v>
      </c>
      <c r="L111" s="52">
        <v>5.9</v>
      </c>
      <c r="M111" s="52">
        <v>33.799999999999997</v>
      </c>
      <c r="N111" s="52">
        <v>6.2</v>
      </c>
      <c r="O111" s="52">
        <v>11.4</v>
      </c>
      <c r="P111" s="52">
        <v>27.8</v>
      </c>
      <c r="Q111" s="52">
        <v>14.3</v>
      </c>
      <c r="R111" s="52">
        <v>0</v>
      </c>
      <c r="S111" s="52">
        <v>10.8</v>
      </c>
      <c r="T111" s="52">
        <v>92.3</v>
      </c>
      <c r="U111" s="52">
        <v>6.4</v>
      </c>
      <c r="V111" s="52">
        <v>11.4</v>
      </c>
      <c r="W111" s="52">
        <v>23.6</v>
      </c>
      <c r="X111" s="57">
        <v>82.1</v>
      </c>
      <c r="Y111" s="52">
        <v>181.2</v>
      </c>
      <c r="Z111" s="52">
        <v>5.3</v>
      </c>
      <c r="AA111" s="52">
        <v>9.8000000000000007</v>
      </c>
      <c r="AB111" s="52">
        <v>19.399999999999999</v>
      </c>
      <c r="AC111" s="52">
        <v>1.1000000000000001</v>
      </c>
      <c r="AD111" s="51">
        <v>0</v>
      </c>
      <c r="AE111" s="52">
        <v>58.9</v>
      </c>
      <c r="AF111" s="52">
        <v>14</v>
      </c>
      <c r="AG111" s="52">
        <v>0.2</v>
      </c>
      <c r="AH111" s="52">
        <v>20.100000000000001</v>
      </c>
      <c r="AI111" s="52">
        <v>13.2</v>
      </c>
      <c r="AJ111" s="52">
        <v>21.9</v>
      </c>
      <c r="AK111" s="52">
        <v>0</v>
      </c>
      <c r="AL111" s="52">
        <v>1.9</v>
      </c>
      <c r="AM111" s="52">
        <v>28</v>
      </c>
      <c r="AN111" s="52">
        <v>23.3</v>
      </c>
      <c r="AO111" s="52">
        <v>14.8</v>
      </c>
      <c r="AP111" s="52">
        <v>30.4</v>
      </c>
      <c r="AQ111" s="52">
        <v>111.3</v>
      </c>
      <c r="AR111" s="52">
        <v>74.900000000000006</v>
      </c>
      <c r="AS111" s="52">
        <v>12.9</v>
      </c>
      <c r="AT111" s="52">
        <v>3.5</v>
      </c>
      <c r="AU111" s="52">
        <v>8.1999999999999993</v>
      </c>
      <c r="AV111" s="6"/>
      <c r="AW111" s="6">
        <f>BG111</f>
        <v>749.69999999999993</v>
      </c>
      <c r="AZ111" s="6"/>
      <c r="BA111" s="6">
        <f>SUM(M111:O111,R111:AC111,AE111:AH111,AK111:AL111,AN111:AP111,AR111:AU111)</f>
        <v>757.9</v>
      </c>
      <c r="BG111" s="6">
        <f>BA111-AU111</f>
        <v>749.69999999999993</v>
      </c>
    </row>
    <row r="112" spans="1:60">
      <c r="A112" t="s">
        <v>136</v>
      </c>
      <c r="B112" t="s">
        <v>142</v>
      </c>
      <c r="C112" t="s">
        <v>58</v>
      </c>
      <c r="E112" t="s">
        <v>42</v>
      </c>
      <c r="G112" t="s">
        <v>40</v>
      </c>
      <c r="H112" s="5" t="s">
        <v>41</v>
      </c>
      <c r="I112" s="5">
        <v>2050</v>
      </c>
      <c r="J112" s="5" t="s">
        <v>59</v>
      </c>
      <c r="K112" s="5"/>
      <c r="L112" s="53">
        <v>5.4</v>
      </c>
      <c r="M112" s="53">
        <v>33.9</v>
      </c>
      <c r="N112" s="53">
        <v>6.4</v>
      </c>
      <c r="O112" s="53">
        <v>10.9</v>
      </c>
      <c r="P112" s="53">
        <v>25.3</v>
      </c>
      <c r="Q112" s="53">
        <v>14.1</v>
      </c>
      <c r="R112" s="53">
        <v>0</v>
      </c>
      <c r="S112" s="53">
        <v>10.7</v>
      </c>
      <c r="T112" s="53">
        <v>93.1</v>
      </c>
      <c r="U112" s="53">
        <v>6.4</v>
      </c>
      <c r="V112" s="53">
        <v>11.2</v>
      </c>
      <c r="W112" s="53">
        <v>22.3</v>
      </c>
      <c r="X112" s="58">
        <v>80.599999999999994</v>
      </c>
      <c r="Y112" s="53">
        <v>176.5</v>
      </c>
      <c r="Z112" s="53">
        <v>5.2</v>
      </c>
      <c r="AA112" s="53">
        <v>9.4</v>
      </c>
      <c r="AB112" s="53">
        <v>18.899999999999999</v>
      </c>
      <c r="AC112" s="53">
        <v>0.8</v>
      </c>
      <c r="AD112" s="51">
        <v>0</v>
      </c>
      <c r="AE112" s="53">
        <v>58.2</v>
      </c>
      <c r="AF112" s="53">
        <v>13.8</v>
      </c>
      <c r="AG112" s="53">
        <v>0.2</v>
      </c>
      <c r="AH112" s="53">
        <v>20.100000000000001</v>
      </c>
      <c r="AI112" s="53">
        <v>11.7</v>
      </c>
      <c r="AJ112" s="53">
        <v>19.899999999999999</v>
      </c>
      <c r="AK112" s="53">
        <v>0</v>
      </c>
      <c r="AL112" s="53">
        <v>1.7</v>
      </c>
      <c r="AM112" s="53">
        <v>25.1</v>
      </c>
      <c r="AN112" s="53">
        <v>23</v>
      </c>
      <c r="AO112" s="53">
        <v>14.5</v>
      </c>
      <c r="AP112" s="53">
        <v>29.8</v>
      </c>
      <c r="AQ112" s="53">
        <v>98.6</v>
      </c>
      <c r="AR112" s="53">
        <v>75.099999999999994</v>
      </c>
      <c r="AS112" s="53">
        <v>11.8</v>
      </c>
      <c r="AT112" s="53">
        <v>3.5</v>
      </c>
      <c r="AU112" s="53">
        <v>8.1</v>
      </c>
      <c r="AV112" s="6"/>
      <c r="AW112" s="6">
        <f>BH112</f>
        <v>738</v>
      </c>
      <c r="AZ112" s="6"/>
      <c r="BA112" s="6"/>
      <c r="BB112" s="6">
        <f>SUM(M112:O112,R112:AC112,AE112:AH112,AK112:AL112,AN112:AP112,AR112:AU112)</f>
        <v>746.1</v>
      </c>
      <c r="BH112" s="6">
        <f>BB112-AU112</f>
        <v>738</v>
      </c>
    </row>
    <row r="113" spans="1:60">
      <c r="A113" t="s">
        <v>136</v>
      </c>
      <c r="B113" t="s">
        <v>142</v>
      </c>
      <c r="C113" t="s">
        <v>58</v>
      </c>
      <c r="F113" t="s">
        <v>105</v>
      </c>
      <c r="H113" t="s">
        <v>45</v>
      </c>
      <c r="I113">
        <v>2005</v>
      </c>
      <c r="J113" t="s">
        <v>59</v>
      </c>
      <c r="L113" s="18">
        <v>1.878322019713595</v>
      </c>
      <c r="M113" s="18">
        <v>4.9578779983789287</v>
      </c>
      <c r="N113" s="94">
        <v>5.0594733289895206</v>
      </c>
      <c r="O113" s="18">
        <v>4.1863895281218175</v>
      </c>
      <c r="P113" s="18">
        <v>1.878322019713595</v>
      </c>
      <c r="Q113" s="18">
        <v>4.9578779983789287</v>
      </c>
      <c r="R113" s="18">
        <v>0</v>
      </c>
      <c r="S113" s="18">
        <v>4.747487666603762</v>
      </c>
      <c r="T113" s="18">
        <v>5.0326371633100129</v>
      </c>
      <c r="U113" s="18">
        <v>4.2968702163043764</v>
      </c>
      <c r="V113" s="18">
        <v>4.3198341983712814</v>
      </c>
      <c r="W113" s="18">
        <v>5.2831474115133634</v>
      </c>
      <c r="X113" s="61">
        <v>5.7</v>
      </c>
      <c r="Y113" s="18">
        <v>4.7299783841223864</v>
      </c>
      <c r="Z113" s="18">
        <v>4.6023678746944636</v>
      </c>
      <c r="AA113" s="18">
        <v>2.1594406219527871</v>
      </c>
      <c r="AB113" s="18">
        <v>3.599355393789577</v>
      </c>
      <c r="AC113" s="18">
        <v>4.5880793222254601</v>
      </c>
      <c r="AD113" s="18">
        <v>0</v>
      </c>
      <c r="AE113" s="18">
        <v>4.726728259603826</v>
      </c>
      <c r="AF113" s="18">
        <v>4.5964418923481301</v>
      </c>
      <c r="AG113" s="18">
        <v>5.047264709698208</v>
      </c>
      <c r="AH113" s="18">
        <v>4.3178974374899104</v>
      </c>
      <c r="AI113" s="18">
        <v>1.878322019713595</v>
      </c>
      <c r="AJ113" s="18">
        <v>1.878322019713595</v>
      </c>
      <c r="AK113" s="18">
        <v>4.2770017680778523</v>
      </c>
      <c r="AL113" s="18">
        <v>5.7364418899450103</v>
      </c>
      <c r="AM113" s="18">
        <v>4.6159834817425516</v>
      </c>
      <c r="AN113" s="18">
        <v>4.7472060313136035</v>
      </c>
      <c r="AO113" s="18">
        <v>5.2696993168737478</v>
      </c>
      <c r="AP113" s="18">
        <v>3.7903594395339875</v>
      </c>
      <c r="AQ113" s="18">
        <v>1.878322019713595</v>
      </c>
      <c r="AR113" s="18">
        <v>5.9644417346981182</v>
      </c>
      <c r="AS113" s="18">
        <v>4.2005374268811932</v>
      </c>
      <c r="AT113" s="18">
        <v>4.0038930843298539</v>
      </c>
      <c r="AU113" s="18">
        <v>6.4270822677411603</v>
      </c>
      <c r="AV113" s="18"/>
      <c r="AW113" s="18"/>
      <c r="AY113" s="6"/>
      <c r="AZ113" s="6"/>
      <c r="BA113" s="6"/>
      <c r="BB113" s="6"/>
    </row>
    <row r="114" spans="1:60">
      <c r="A114" t="s">
        <v>136</v>
      </c>
      <c r="B114" t="s">
        <v>142</v>
      </c>
      <c r="C114" t="s">
        <v>58</v>
      </c>
      <c r="F114" t="s">
        <v>105</v>
      </c>
      <c r="H114" t="s">
        <v>45</v>
      </c>
      <c r="I114">
        <v>2010</v>
      </c>
      <c r="J114" t="s">
        <v>59</v>
      </c>
      <c r="L114" s="18">
        <v>1.878322019713595</v>
      </c>
      <c r="M114" s="6">
        <v>4.9578779983789287</v>
      </c>
      <c r="N114" s="52">
        <v>5.0594733289895206</v>
      </c>
      <c r="O114" s="6">
        <v>4.1863895281218175</v>
      </c>
      <c r="P114" s="18">
        <v>1.878322019713595</v>
      </c>
      <c r="Q114" s="18">
        <v>4.9578779983789287</v>
      </c>
      <c r="R114" s="6">
        <v>0</v>
      </c>
      <c r="S114" s="6">
        <v>4.747487666603762</v>
      </c>
      <c r="T114" s="6">
        <v>5.0326371633100129</v>
      </c>
      <c r="U114" s="6">
        <v>4.2968702163043764</v>
      </c>
      <c r="V114" s="6">
        <v>4.3198341983712814</v>
      </c>
      <c r="W114" s="6">
        <v>5.2831474115133634</v>
      </c>
      <c r="X114" s="57">
        <v>7.6</v>
      </c>
      <c r="Y114" s="6">
        <v>4.7299783841223864</v>
      </c>
      <c r="Z114" s="6">
        <v>4.6023678746944636</v>
      </c>
      <c r="AA114" s="6">
        <v>2.1594406219527871</v>
      </c>
      <c r="AB114" s="6">
        <v>3.599355393789577</v>
      </c>
      <c r="AC114" s="6">
        <v>4.5880793222254601</v>
      </c>
      <c r="AD114" s="6">
        <v>0</v>
      </c>
      <c r="AE114" s="6">
        <v>4.726728259603826</v>
      </c>
      <c r="AF114" s="6">
        <v>4.5964418923481301</v>
      </c>
      <c r="AG114" s="6">
        <v>5.047264709698208</v>
      </c>
      <c r="AH114" s="6">
        <v>4.3178974374899104</v>
      </c>
      <c r="AI114" s="6">
        <v>1.878322019713595</v>
      </c>
      <c r="AJ114" s="18">
        <v>1.878322019713595</v>
      </c>
      <c r="AK114" s="6">
        <v>4.2770017680778523</v>
      </c>
      <c r="AL114" s="6">
        <v>5.7364418899450103</v>
      </c>
      <c r="AM114" s="6">
        <v>4.6159834817425516</v>
      </c>
      <c r="AN114" s="6">
        <v>4.7472060313136035</v>
      </c>
      <c r="AO114" s="6">
        <v>5.2696993168737478</v>
      </c>
      <c r="AP114" s="6">
        <v>3.7903594395339875</v>
      </c>
      <c r="AQ114" s="18">
        <v>1.878322019713595</v>
      </c>
      <c r="AR114" s="6">
        <v>5.9644417346981182</v>
      </c>
      <c r="AS114" s="6">
        <v>4.2005374268811932</v>
      </c>
      <c r="AT114" s="6">
        <v>4.0038930843298539</v>
      </c>
      <c r="AU114" s="6">
        <v>6.4270822677411603</v>
      </c>
      <c r="AV114" s="6"/>
      <c r="AW114" s="6"/>
      <c r="AY114" s="6"/>
      <c r="AZ114" s="6"/>
      <c r="BA114" s="6"/>
      <c r="BB114" s="6"/>
    </row>
    <row r="115" spans="1:60">
      <c r="A115" t="s">
        <v>136</v>
      </c>
      <c r="B115" t="s">
        <v>142</v>
      </c>
      <c r="C115" t="s">
        <v>58</v>
      </c>
      <c r="F115" t="s">
        <v>105</v>
      </c>
      <c r="H115" t="s">
        <v>45</v>
      </c>
      <c r="I115">
        <v>2020</v>
      </c>
      <c r="J115" t="s">
        <v>59</v>
      </c>
      <c r="L115" s="18">
        <v>1.7302864050585829</v>
      </c>
      <c r="M115" s="6">
        <v>4.5981701110673319</v>
      </c>
      <c r="N115" s="52">
        <v>4.6931222591514201</v>
      </c>
      <c r="O115" s="6">
        <v>3.8782243095738731</v>
      </c>
      <c r="P115" s="18">
        <v>1.7302864050585829</v>
      </c>
      <c r="Q115" s="18">
        <v>4.5981701110673319</v>
      </c>
      <c r="R115" s="6">
        <v>0</v>
      </c>
      <c r="S115" s="6">
        <v>4.3968019895691626</v>
      </c>
      <c r="T115" s="6">
        <v>4.666786413866185</v>
      </c>
      <c r="U115" s="6">
        <v>4.0008870013177988</v>
      </c>
      <c r="V115" s="6">
        <v>4.0027775095418887</v>
      </c>
      <c r="W115" s="6">
        <v>4.8961286528765884</v>
      </c>
      <c r="X115" s="57">
        <v>7</v>
      </c>
      <c r="Y115" s="6">
        <v>4.3885394760814558</v>
      </c>
      <c r="Z115" s="6">
        <v>4.2675177241174671</v>
      </c>
      <c r="AA115" s="6">
        <v>2.0114045217173762</v>
      </c>
      <c r="AB115" s="6">
        <v>3.3386419356264683</v>
      </c>
      <c r="AC115" s="6">
        <v>4.2576129473669031</v>
      </c>
      <c r="AD115" s="6">
        <v>0</v>
      </c>
      <c r="AE115" s="6">
        <v>4.3891602492662898</v>
      </c>
      <c r="AF115" s="6">
        <v>4.2554276310548387</v>
      </c>
      <c r="AG115" s="6">
        <v>4.68118210250383</v>
      </c>
      <c r="AH115" s="6">
        <v>3.9997996126679194</v>
      </c>
      <c r="AI115" s="6">
        <v>1.7302864050585829</v>
      </c>
      <c r="AJ115" s="18">
        <v>1.7302864050585829</v>
      </c>
      <c r="AK115" s="6">
        <v>3.9399197454146027</v>
      </c>
      <c r="AL115" s="6">
        <v>5.3184929906402019</v>
      </c>
      <c r="AM115" s="6">
        <v>4.2882831607553085</v>
      </c>
      <c r="AN115" s="6">
        <v>4.3958487734922098</v>
      </c>
      <c r="AO115" s="6">
        <v>4.8788551907772444</v>
      </c>
      <c r="AP115" s="6">
        <v>3.5120244244084309</v>
      </c>
      <c r="AQ115" s="18">
        <v>1.7302864050585829</v>
      </c>
      <c r="AR115" s="6">
        <v>5.5296691941816434</v>
      </c>
      <c r="AS115" s="6">
        <v>3.8951943892016812</v>
      </c>
      <c r="AT115" s="6">
        <v>3.7119967077228755</v>
      </c>
      <c r="AU115" s="6">
        <v>4.0816479448502427</v>
      </c>
      <c r="AV115" s="6"/>
      <c r="AW115" s="6"/>
      <c r="AY115" s="6"/>
      <c r="AZ115" s="6"/>
      <c r="BA115" s="6"/>
      <c r="BB115" s="6"/>
    </row>
    <row r="116" spans="1:60">
      <c r="A116" t="s">
        <v>136</v>
      </c>
      <c r="B116" t="s">
        <v>142</v>
      </c>
      <c r="C116" t="s">
        <v>58</v>
      </c>
      <c r="F116" t="s">
        <v>105</v>
      </c>
      <c r="H116" t="s">
        <v>45</v>
      </c>
      <c r="I116">
        <v>2030</v>
      </c>
      <c r="J116" t="s">
        <v>59</v>
      </c>
      <c r="L116" s="18">
        <v>1.5572577645527246</v>
      </c>
      <c r="M116" s="6">
        <v>4.1780522244173275</v>
      </c>
      <c r="N116" s="52">
        <v>4.2651692190603256</v>
      </c>
      <c r="O116" s="6">
        <v>3.518031058594731</v>
      </c>
      <c r="P116" s="18">
        <v>1.5572577645527246</v>
      </c>
      <c r="Q116" s="18">
        <v>4.1780522244173275</v>
      </c>
      <c r="R116" s="6">
        <v>0</v>
      </c>
      <c r="S116" s="6">
        <v>3.9869063554250603</v>
      </c>
      <c r="T116" s="6">
        <v>4.2391890401394345</v>
      </c>
      <c r="U116" s="6">
        <v>3.6547254017007491</v>
      </c>
      <c r="V116" s="6">
        <v>3.6321917693516892</v>
      </c>
      <c r="W116" s="6">
        <v>4.4438194162500366</v>
      </c>
      <c r="X116" s="57">
        <v>7.7</v>
      </c>
      <c r="Y116" s="6">
        <v>3.9896831483430351</v>
      </c>
      <c r="Z116" s="6">
        <v>3.8761302995495046</v>
      </c>
      <c r="AA116" s="6">
        <v>1.8383758803609287</v>
      </c>
      <c r="AB116" s="6">
        <v>3.0338971724225994</v>
      </c>
      <c r="AC116" s="6">
        <v>3.8713478305319233</v>
      </c>
      <c r="AD116" s="6">
        <v>0</v>
      </c>
      <c r="AE116" s="6">
        <v>3.9951162843005905</v>
      </c>
      <c r="AF116" s="6">
        <v>3.8568395334393042</v>
      </c>
      <c r="AG116" s="6">
        <v>4.253293340848062</v>
      </c>
      <c r="AH116" s="6">
        <v>3.6279969602785784</v>
      </c>
      <c r="AI116" s="6">
        <v>1.5572577645527246</v>
      </c>
      <c r="AJ116" s="18">
        <v>1.5572577645527246</v>
      </c>
      <c r="AK116" s="6">
        <v>3.545927770873142</v>
      </c>
      <c r="AL116" s="6">
        <v>4.8298309527674661</v>
      </c>
      <c r="AM116" s="6">
        <v>3.9053934691975365</v>
      </c>
      <c r="AN116" s="6">
        <v>3.9851763429214078</v>
      </c>
      <c r="AO116" s="6">
        <v>4.4220206339059951</v>
      </c>
      <c r="AP116" s="6">
        <v>3.1867029981209662</v>
      </c>
      <c r="AQ116" s="18">
        <v>1.5572577645527246</v>
      </c>
      <c r="AR116" s="6">
        <v>5.0214990710630412</v>
      </c>
      <c r="AS116" s="6">
        <v>3.538307699804184</v>
      </c>
      <c r="AT116" s="6">
        <v>3.3708272766249667</v>
      </c>
      <c r="AU116" s="6">
        <v>3.717148357240379</v>
      </c>
      <c r="AV116" s="6"/>
      <c r="AW116" s="6"/>
      <c r="AY116" s="6"/>
      <c r="AZ116" s="6"/>
      <c r="BA116" s="6"/>
      <c r="BB116" s="6"/>
    </row>
    <row r="117" spans="1:60">
      <c r="A117" t="s">
        <v>136</v>
      </c>
      <c r="B117" t="s">
        <v>142</v>
      </c>
      <c r="C117" t="s">
        <v>58</v>
      </c>
      <c r="F117" t="s">
        <v>105</v>
      </c>
      <c r="H117" t="s">
        <v>45</v>
      </c>
      <c r="I117">
        <v>2040</v>
      </c>
      <c r="J117" t="s">
        <v>59</v>
      </c>
      <c r="L117" s="18">
        <v>1.4015319880974522</v>
      </c>
      <c r="M117" s="6">
        <v>3.8001828905530051</v>
      </c>
      <c r="N117" s="52">
        <v>3.8800307931616529</v>
      </c>
      <c r="O117" s="6">
        <v>3.1938780789566725</v>
      </c>
      <c r="P117" s="18">
        <v>1.4015319880974522</v>
      </c>
      <c r="Q117" s="18">
        <v>3.8001828905530051</v>
      </c>
      <c r="R117" s="6">
        <v>0</v>
      </c>
      <c r="S117" s="6">
        <v>3.6180311409738639</v>
      </c>
      <c r="T117" s="6">
        <v>3.8543762435828262</v>
      </c>
      <c r="U117" s="6">
        <v>3.34326898156842</v>
      </c>
      <c r="V117" s="6">
        <v>3.29866460318051</v>
      </c>
      <c r="W117" s="6">
        <v>4.0367048290626037</v>
      </c>
      <c r="X117" s="57">
        <v>7.7</v>
      </c>
      <c r="Y117" s="6">
        <v>3.6313526715042719</v>
      </c>
      <c r="Z117" s="6">
        <v>3.5238830353752166</v>
      </c>
      <c r="AA117" s="6">
        <v>1.6826500962567494</v>
      </c>
      <c r="AB117" s="6">
        <v>2.7595854887117524</v>
      </c>
      <c r="AC117" s="6">
        <v>3.5237102418197521</v>
      </c>
      <c r="AD117" s="6">
        <v>0</v>
      </c>
      <c r="AE117" s="6">
        <v>3.6410758651747601</v>
      </c>
      <c r="AF117" s="6">
        <v>3.4981102455853228</v>
      </c>
      <c r="AG117" s="6">
        <v>3.8681934553578712</v>
      </c>
      <c r="AH117" s="6">
        <v>3.2933745731281721</v>
      </c>
      <c r="AI117" s="6">
        <v>1.4015319880974522</v>
      </c>
      <c r="AJ117" s="18">
        <v>1.4015319880974522</v>
      </c>
      <c r="AK117" s="6">
        <v>3.1913349937858277</v>
      </c>
      <c r="AL117" s="6">
        <v>4.3898751617359837</v>
      </c>
      <c r="AM117" s="6">
        <v>3.5608543307899971</v>
      </c>
      <c r="AN117" s="6">
        <v>3.6155678878791142</v>
      </c>
      <c r="AO117" s="6">
        <v>4.0108798672885388</v>
      </c>
      <c r="AP117" s="6">
        <v>2.8939127949826737</v>
      </c>
      <c r="AQ117" s="18">
        <v>1.4015319880974522</v>
      </c>
      <c r="AR117" s="6">
        <v>4.5640518313612493</v>
      </c>
      <c r="AS117" s="6">
        <v>3.2171061170775337</v>
      </c>
      <c r="AT117" s="6">
        <v>3.0637749421467908</v>
      </c>
      <c r="AU117" s="6">
        <v>3.3890715930013791</v>
      </c>
      <c r="AV117" s="6"/>
      <c r="AW117" s="6"/>
      <c r="AY117" s="6"/>
    </row>
    <row r="118" spans="1:60">
      <c r="A118" t="s">
        <v>136</v>
      </c>
      <c r="B118" t="s">
        <v>142</v>
      </c>
      <c r="C118" t="s">
        <v>58</v>
      </c>
      <c r="F118" t="s">
        <v>105</v>
      </c>
      <c r="H118" t="s">
        <v>45</v>
      </c>
      <c r="I118">
        <v>2050</v>
      </c>
      <c r="J118" t="s">
        <v>59</v>
      </c>
      <c r="L118" s="18">
        <v>1.2613787892877071</v>
      </c>
      <c r="M118" s="6">
        <v>3.460930855513916</v>
      </c>
      <c r="N118" s="52">
        <v>3.5334790755524885</v>
      </c>
      <c r="O118" s="6">
        <v>2.9021168216777156</v>
      </c>
      <c r="P118" s="18">
        <v>1.2613787892877071</v>
      </c>
      <c r="Q118" s="18">
        <v>3.460930855513916</v>
      </c>
      <c r="R118" s="6">
        <v>0</v>
      </c>
      <c r="S118" s="6">
        <v>3.286056297516657</v>
      </c>
      <c r="T118" s="6">
        <v>3.5080404188856891</v>
      </c>
      <c r="U118" s="6">
        <v>3.0629922150657558</v>
      </c>
      <c r="V118" s="6">
        <v>2.9984901536264488</v>
      </c>
      <c r="W118" s="6">
        <v>3.6702963556702812</v>
      </c>
      <c r="X118" s="57">
        <v>7.7</v>
      </c>
      <c r="Y118" s="6">
        <v>3.3087994132260925</v>
      </c>
      <c r="Z118" s="6">
        <v>3.2068622885115072</v>
      </c>
      <c r="AA118" s="6">
        <v>1.5424968448492966</v>
      </c>
      <c r="AB118" s="6">
        <v>2.5127235480363996</v>
      </c>
      <c r="AC118" s="6">
        <v>3.2108345904839299</v>
      </c>
      <c r="AD118" s="6">
        <v>0</v>
      </c>
      <c r="AE118" s="6">
        <v>3.3212497268492545</v>
      </c>
      <c r="AF118" s="6">
        <v>3.1752538865167397</v>
      </c>
      <c r="AG118" s="6">
        <v>3.5216035584166998</v>
      </c>
      <c r="AH118" s="6">
        <v>2.9922144246928055</v>
      </c>
      <c r="AI118" s="6">
        <v>1.2613787892877071</v>
      </c>
      <c r="AJ118" s="18">
        <v>1.2613787892877071</v>
      </c>
      <c r="AK118" s="6">
        <v>2.8722014944072449</v>
      </c>
      <c r="AL118" s="6">
        <v>3.9940011377388172</v>
      </c>
      <c r="AM118" s="6">
        <v>3.2508218445363495</v>
      </c>
      <c r="AN118" s="6">
        <v>3.2829166214165877</v>
      </c>
      <c r="AO118" s="6">
        <v>3.6408488283997897</v>
      </c>
      <c r="AP118" s="6">
        <v>2.6304002339837247</v>
      </c>
      <c r="AQ118" s="18">
        <v>1.2613787892877071</v>
      </c>
      <c r="AR118" s="6">
        <v>4.1525172640796884</v>
      </c>
      <c r="AS118" s="6">
        <v>2.9280381114894283</v>
      </c>
      <c r="AT118" s="6">
        <v>2.7874272470392674</v>
      </c>
      <c r="AU118" s="6">
        <v>3.0938225437148907</v>
      </c>
      <c r="AV118" s="6"/>
      <c r="AW118" s="6"/>
    </row>
    <row r="119" spans="1:60">
      <c r="E119" t="s">
        <v>46</v>
      </c>
    </row>
    <row r="120" spans="1:60">
      <c r="A120" t="s">
        <v>136</v>
      </c>
      <c r="B120" t="s">
        <v>142</v>
      </c>
      <c r="C120" s="17" t="s">
        <v>73</v>
      </c>
      <c r="D120" s="17"/>
      <c r="E120" t="s">
        <v>42</v>
      </c>
      <c r="G120" t="s">
        <v>40</v>
      </c>
      <c r="H120" t="s">
        <v>41</v>
      </c>
      <c r="I120">
        <v>2005</v>
      </c>
      <c r="J120" t="s">
        <v>71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5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5">
        <v>0</v>
      </c>
      <c r="AN120" s="55">
        <v>0</v>
      </c>
      <c r="AO120" s="55">
        <v>0</v>
      </c>
      <c r="AP120" s="55">
        <v>0</v>
      </c>
      <c r="AQ120" s="55">
        <v>0</v>
      </c>
      <c r="AR120" s="55">
        <v>0</v>
      </c>
      <c r="AS120" s="51">
        <v>0</v>
      </c>
      <c r="AT120" s="51">
        <v>0</v>
      </c>
      <c r="AU120" s="51">
        <v>0</v>
      </c>
      <c r="AV120" s="10"/>
      <c r="AW120" s="10"/>
      <c r="AY120" s="6"/>
    </row>
    <row r="121" spans="1:60">
      <c r="A121" t="s">
        <v>136</v>
      </c>
      <c r="B121" t="s">
        <v>142</v>
      </c>
      <c r="C121" s="17" t="s">
        <v>73</v>
      </c>
      <c r="D121" s="17"/>
      <c r="E121" t="s">
        <v>42</v>
      </c>
      <c r="G121" t="s">
        <v>40</v>
      </c>
      <c r="H121" t="s">
        <v>41</v>
      </c>
      <c r="I121">
        <v>2010</v>
      </c>
      <c r="J121" t="s">
        <v>71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5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5">
        <v>0</v>
      </c>
      <c r="AN121" s="55">
        <v>0</v>
      </c>
      <c r="AO121" s="55">
        <v>0</v>
      </c>
      <c r="AP121" s="55">
        <v>0</v>
      </c>
      <c r="AQ121" s="55">
        <v>0</v>
      </c>
      <c r="AR121" s="55">
        <v>0</v>
      </c>
      <c r="AS121" s="51">
        <v>0</v>
      </c>
      <c r="AT121" s="51">
        <v>0</v>
      </c>
      <c r="AU121" s="51">
        <v>0</v>
      </c>
      <c r="AV121" s="10"/>
      <c r="AW121" s="6">
        <f>BD121</f>
        <v>0</v>
      </c>
      <c r="AX121" s="6">
        <f>SUM(M121:O121,R121:AC121,AE121:AH121,AK121:AL121,AN121:AP121,AR121:AU121)</f>
        <v>0</v>
      </c>
      <c r="BD121" s="6">
        <f>AX121-AU121</f>
        <v>0</v>
      </c>
    </row>
    <row r="122" spans="1:60">
      <c r="A122" t="s">
        <v>136</v>
      </c>
      <c r="B122" t="s">
        <v>142</v>
      </c>
      <c r="C122" s="17" t="s">
        <v>73</v>
      </c>
      <c r="D122" s="15"/>
      <c r="E122" t="s">
        <v>42</v>
      </c>
      <c r="G122" t="s">
        <v>40</v>
      </c>
      <c r="H122" t="s">
        <v>41</v>
      </c>
      <c r="I122">
        <v>2020</v>
      </c>
      <c r="J122" t="s">
        <v>71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5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5">
        <v>0</v>
      </c>
      <c r="AN122" s="55">
        <v>0</v>
      </c>
      <c r="AO122" s="55">
        <v>0</v>
      </c>
      <c r="AP122" s="55">
        <v>0</v>
      </c>
      <c r="AQ122" s="55">
        <v>0</v>
      </c>
      <c r="AR122" s="55">
        <v>0</v>
      </c>
      <c r="AS122" s="51">
        <v>0</v>
      </c>
      <c r="AT122" s="51">
        <v>0</v>
      </c>
      <c r="AU122" s="51">
        <v>0</v>
      </c>
      <c r="AV122" s="10"/>
      <c r="AW122" s="6">
        <f>BE122</f>
        <v>0</v>
      </c>
      <c r="AY122" s="6">
        <f>SUM(M122:O122,R122:AC122,AE122:AH122,AK122:AL122,AN122:AP122,AR122:AU122)</f>
        <v>0</v>
      </c>
      <c r="BE122" s="6">
        <f>AY122-AU122</f>
        <v>0</v>
      </c>
    </row>
    <row r="123" spans="1:60">
      <c r="A123" t="s">
        <v>136</v>
      </c>
      <c r="B123" t="s">
        <v>142</v>
      </c>
      <c r="C123" s="17" t="s">
        <v>73</v>
      </c>
      <c r="D123" s="15"/>
      <c r="E123" t="s">
        <v>42</v>
      </c>
      <c r="G123" t="s">
        <v>40</v>
      </c>
      <c r="H123" t="s">
        <v>41</v>
      </c>
      <c r="I123">
        <v>2030</v>
      </c>
      <c r="J123" t="s">
        <v>71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5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5">
        <v>0</v>
      </c>
      <c r="AN123" s="55">
        <v>0</v>
      </c>
      <c r="AO123" s="55">
        <v>0</v>
      </c>
      <c r="AP123" s="55">
        <v>0</v>
      </c>
      <c r="AQ123" s="55">
        <v>0</v>
      </c>
      <c r="AR123" s="55">
        <v>0</v>
      </c>
      <c r="AS123" s="51">
        <v>0</v>
      </c>
      <c r="AT123" s="51">
        <v>0</v>
      </c>
      <c r="AU123" s="51">
        <v>0</v>
      </c>
      <c r="AV123" s="10"/>
      <c r="AW123" s="6">
        <f>BF123</f>
        <v>0</v>
      </c>
      <c r="AZ123" s="6">
        <f>SUM(M123:O123,R123:AC123,AE123:AH123,AK123:AL123,AN123:AP123,AR123:AU123)</f>
        <v>0</v>
      </c>
      <c r="BF123" s="6">
        <f>AZ123-AU123</f>
        <v>0</v>
      </c>
    </row>
    <row r="124" spans="1:60">
      <c r="A124" t="s">
        <v>136</v>
      </c>
      <c r="B124" t="s">
        <v>142</v>
      </c>
      <c r="C124" s="17" t="s">
        <v>73</v>
      </c>
      <c r="D124" s="15"/>
      <c r="E124" t="s">
        <v>42</v>
      </c>
      <c r="G124" t="s">
        <v>40</v>
      </c>
      <c r="H124" t="s">
        <v>41</v>
      </c>
      <c r="I124">
        <v>2040</v>
      </c>
      <c r="J124" t="s">
        <v>71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5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5">
        <v>0</v>
      </c>
      <c r="AN124" s="55">
        <v>0</v>
      </c>
      <c r="AO124" s="55">
        <v>0</v>
      </c>
      <c r="AP124" s="55">
        <v>0</v>
      </c>
      <c r="AQ124" s="55">
        <v>0</v>
      </c>
      <c r="AR124" s="55">
        <v>0</v>
      </c>
      <c r="AS124" s="51">
        <v>0</v>
      </c>
      <c r="AT124" s="51">
        <v>0</v>
      </c>
      <c r="AU124" s="51">
        <v>0</v>
      </c>
      <c r="AV124" s="10"/>
      <c r="AW124" s="6">
        <f>BG124</f>
        <v>0</v>
      </c>
      <c r="AZ124" s="6"/>
      <c r="BA124" s="6">
        <f>SUM(M124:O124,R124:AC124,AE124:AH124,AK124:AL124,AN124:AP124,AR124:AU124)</f>
        <v>0</v>
      </c>
      <c r="BG124" s="6">
        <f>BA124-AU124</f>
        <v>0</v>
      </c>
    </row>
    <row r="125" spans="1:60">
      <c r="A125" t="s">
        <v>136</v>
      </c>
      <c r="B125" t="s">
        <v>142</v>
      </c>
      <c r="C125" s="17" t="s">
        <v>73</v>
      </c>
      <c r="D125" s="15"/>
      <c r="E125" t="s">
        <v>42</v>
      </c>
      <c r="G125" t="s">
        <v>40</v>
      </c>
      <c r="H125" s="5" t="s">
        <v>41</v>
      </c>
      <c r="I125" s="5">
        <v>2050</v>
      </c>
      <c r="J125" s="5" t="s">
        <v>71</v>
      </c>
      <c r="K125" s="5"/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  <c r="R125" s="54">
        <v>0</v>
      </c>
      <c r="S125" s="54">
        <v>0</v>
      </c>
      <c r="T125" s="54">
        <v>0</v>
      </c>
      <c r="U125" s="54">
        <v>0</v>
      </c>
      <c r="V125" s="54">
        <v>0</v>
      </c>
      <c r="W125" s="54">
        <v>0</v>
      </c>
      <c r="X125" s="56">
        <v>0</v>
      </c>
      <c r="Y125" s="54">
        <v>0</v>
      </c>
      <c r="Z125" s="54">
        <v>0</v>
      </c>
      <c r="AA125" s="54">
        <v>0</v>
      </c>
      <c r="AB125" s="54">
        <v>0</v>
      </c>
      <c r="AC125" s="54">
        <v>0</v>
      </c>
      <c r="AD125" s="51">
        <v>0</v>
      </c>
      <c r="AE125" s="54">
        <v>0</v>
      </c>
      <c r="AF125" s="54">
        <v>0</v>
      </c>
      <c r="AG125" s="54">
        <v>0</v>
      </c>
      <c r="AH125" s="54">
        <v>0</v>
      </c>
      <c r="AI125" s="54">
        <v>0</v>
      </c>
      <c r="AJ125" s="54">
        <v>0</v>
      </c>
      <c r="AK125" s="54">
        <v>0</v>
      </c>
      <c r="AL125" s="54">
        <v>0</v>
      </c>
      <c r="AM125" s="56">
        <v>0</v>
      </c>
      <c r="AN125" s="56">
        <v>0</v>
      </c>
      <c r="AO125" s="56">
        <v>0</v>
      </c>
      <c r="AP125" s="56">
        <v>0</v>
      </c>
      <c r="AQ125" s="56">
        <v>0</v>
      </c>
      <c r="AR125" s="56">
        <v>0</v>
      </c>
      <c r="AS125" s="54">
        <v>0</v>
      </c>
      <c r="AT125" s="54">
        <v>0</v>
      </c>
      <c r="AU125" s="54">
        <v>0</v>
      </c>
      <c r="AV125" s="10"/>
      <c r="AW125" s="6">
        <f>BH125</f>
        <v>0</v>
      </c>
      <c r="AZ125" s="6"/>
      <c r="BA125" s="6"/>
      <c r="BB125" s="6">
        <f>SUM(M125:O125,R125:AC125,AE125:AH125,AK125:AL125,AN125:AP125,AR125:AU125)</f>
        <v>0</v>
      </c>
      <c r="BH125" s="6">
        <f>BB125-AU125</f>
        <v>0</v>
      </c>
    </row>
    <row r="126" spans="1:60">
      <c r="A126" t="s">
        <v>136</v>
      </c>
      <c r="B126" t="s">
        <v>142</v>
      </c>
      <c r="C126" s="17" t="s">
        <v>73</v>
      </c>
      <c r="D126" s="15"/>
      <c r="F126" t="s">
        <v>105</v>
      </c>
      <c r="H126" t="s">
        <v>45</v>
      </c>
      <c r="I126">
        <v>2005</v>
      </c>
      <c r="J126" t="s">
        <v>71</v>
      </c>
      <c r="L126" s="18">
        <v>3.6249116607773848</v>
      </c>
      <c r="M126" s="18">
        <v>10.385697296161824</v>
      </c>
      <c r="N126" s="94">
        <v>10.59594284471396</v>
      </c>
      <c r="O126" s="18">
        <v>4.1072774250386086</v>
      </c>
      <c r="P126" s="18">
        <v>3.6249116607773848</v>
      </c>
      <c r="Q126" s="18">
        <v>10.385697296161824</v>
      </c>
      <c r="R126" s="18">
        <v>0</v>
      </c>
      <c r="S126" s="18">
        <v>10.019825139763794</v>
      </c>
      <c r="T126" s="18">
        <v>9.9396048859080413</v>
      </c>
      <c r="U126" s="18">
        <v>8.3096663523610719</v>
      </c>
      <c r="V126" s="18">
        <v>4.2620537075602485</v>
      </c>
      <c r="W126" s="18">
        <v>11.111373568556937</v>
      </c>
      <c r="X126" s="18">
        <v>12.093587635025496</v>
      </c>
      <c r="Y126" s="18">
        <v>9.8944287307585803</v>
      </c>
      <c r="Z126" s="18">
        <v>9.6577889024300401</v>
      </c>
      <c r="AA126" s="18">
        <v>3.9644927649719612</v>
      </c>
      <c r="AB126" s="18">
        <v>3.5504826944998276</v>
      </c>
      <c r="AC126" s="18">
        <v>9.8809618528610272</v>
      </c>
      <c r="AD126" s="18">
        <v>0</v>
      </c>
      <c r="AE126" s="18">
        <v>9.8256497668132976</v>
      </c>
      <c r="AF126" s="18">
        <v>4.519717925564481</v>
      </c>
      <c r="AG126" s="18">
        <v>10.572445591284835</v>
      </c>
      <c r="AH126" s="18">
        <v>4.2557248455007715</v>
      </c>
      <c r="AI126" s="18">
        <v>3.6249116607773848</v>
      </c>
      <c r="AJ126" s="18">
        <v>3.6249116607773848</v>
      </c>
      <c r="AK126" s="18">
        <v>9.2853821689481872</v>
      </c>
      <c r="AL126" s="18">
        <v>12.047638050406231</v>
      </c>
      <c r="AM126" s="18">
        <v>9.6044631887219918</v>
      </c>
      <c r="AN126" s="18">
        <v>4.6623787995582964</v>
      </c>
      <c r="AO126" s="18">
        <v>11.150145262718389</v>
      </c>
      <c r="AP126" s="18">
        <v>3.7265714500540668</v>
      </c>
      <c r="AQ126" s="18">
        <v>3.6249116607773848</v>
      </c>
      <c r="AR126" s="18">
        <v>12.540856360003271</v>
      </c>
      <c r="AS126" s="18">
        <v>4.1566034160185534</v>
      </c>
      <c r="AT126" s="18">
        <v>3.9525371566267613</v>
      </c>
      <c r="AU126" s="18">
        <v>13.42053618606043</v>
      </c>
      <c r="AV126" s="18"/>
      <c r="AW126" s="18"/>
      <c r="AY126" s="6"/>
      <c r="AZ126" s="6"/>
      <c r="BA126" s="6"/>
      <c r="BB126" s="6"/>
    </row>
    <row r="127" spans="1:60">
      <c r="A127" t="s">
        <v>136</v>
      </c>
      <c r="B127" t="s">
        <v>142</v>
      </c>
      <c r="C127" s="17" t="s">
        <v>73</v>
      </c>
      <c r="D127" s="15"/>
      <c r="F127" t="s">
        <v>105</v>
      </c>
      <c r="H127" t="s">
        <v>45</v>
      </c>
      <c r="I127">
        <v>2010</v>
      </c>
      <c r="J127" t="s">
        <v>71</v>
      </c>
      <c r="L127" s="18">
        <v>3.6249116607773848</v>
      </c>
      <c r="M127" s="6">
        <v>10.385697296161824</v>
      </c>
      <c r="N127" s="52">
        <v>10.59594284471396</v>
      </c>
      <c r="O127" s="6">
        <v>4.1072774250386086</v>
      </c>
      <c r="P127" s="18">
        <v>3.6249116607773848</v>
      </c>
      <c r="Q127" s="18">
        <v>10.385697296161824</v>
      </c>
      <c r="R127" s="6">
        <v>0</v>
      </c>
      <c r="S127" s="6">
        <v>10.019825139763794</v>
      </c>
      <c r="T127" s="6">
        <v>9.9396048859080413</v>
      </c>
      <c r="U127" s="6">
        <v>8.3096663523610719</v>
      </c>
      <c r="V127" s="6">
        <v>4.2620537075602485</v>
      </c>
      <c r="W127" s="6">
        <v>11.111373568556937</v>
      </c>
      <c r="X127" s="6">
        <v>12.093587635025496</v>
      </c>
      <c r="Y127" s="6">
        <v>9.8944287307585803</v>
      </c>
      <c r="Z127" s="6">
        <v>9.6577889024300401</v>
      </c>
      <c r="AA127" s="6">
        <v>3.9644927649719612</v>
      </c>
      <c r="AB127" s="6">
        <v>3.5504826944998276</v>
      </c>
      <c r="AC127" s="6">
        <v>9.8809618528610272</v>
      </c>
      <c r="AD127" s="6">
        <v>0</v>
      </c>
      <c r="AE127" s="6">
        <v>9.8256497668132976</v>
      </c>
      <c r="AF127" s="6">
        <v>4.519717925564481</v>
      </c>
      <c r="AG127" s="6">
        <v>10.572445591284835</v>
      </c>
      <c r="AH127" s="6">
        <v>4.2557248455007715</v>
      </c>
      <c r="AI127" s="6">
        <v>3.6249116607773848</v>
      </c>
      <c r="AJ127" s="18">
        <v>3.6249116607773848</v>
      </c>
      <c r="AK127" s="6">
        <v>9.2853821689481872</v>
      </c>
      <c r="AL127" s="6">
        <v>12.047638050406231</v>
      </c>
      <c r="AM127" s="6">
        <v>9.6044631887219918</v>
      </c>
      <c r="AN127" s="6">
        <v>4.6623787995582964</v>
      </c>
      <c r="AO127" s="6">
        <v>11.150145262718389</v>
      </c>
      <c r="AP127" s="6">
        <v>3.7265714500540668</v>
      </c>
      <c r="AQ127" s="18">
        <v>3.6249116607773848</v>
      </c>
      <c r="AR127" s="6">
        <v>12.540856360003271</v>
      </c>
      <c r="AS127" s="6">
        <v>4.1566034160185534</v>
      </c>
      <c r="AT127" s="6">
        <v>3.9525371566267613</v>
      </c>
      <c r="AU127" s="6">
        <v>13.42053618606043</v>
      </c>
      <c r="AV127" s="6"/>
      <c r="AW127" s="6"/>
      <c r="AY127" s="6"/>
    </row>
    <row r="128" spans="1:60">
      <c r="A128" t="s">
        <v>136</v>
      </c>
      <c r="B128" t="s">
        <v>142</v>
      </c>
      <c r="C128" s="17" t="s">
        <v>73</v>
      </c>
      <c r="F128" t="s">
        <v>105</v>
      </c>
      <c r="H128" t="s">
        <v>45</v>
      </c>
      <c r="I128">
        <v>2020</v>
      </c>
      <c r="J128" t="s">
        <v>71</v>
      </c>
      <c r="L128" s="18">
        <v>3.3392226148409891</v>
      </c>
      <c r="M128" s="6">
        <v>9.6059209518477537</v>
      </c>
      <c r="N128" s="52">
        <v>9.800837996724546</v>
      </c>
      <c r="O128" s="6">
        <v>3.8084389687676836</v>
      </c>
      <c r="P128" s="18">
        <v>3.3392226148409891</v>
      </c>
      <c r="Q128" s="18">
        <v>9.6059209518477537</v>
      </c>
      <c r="R128" s="6">
        <v>0</v>
      </c>
      <c r="S128" s="6">
        <v>9.2585107656056156</v>
      </c>
      <c r="T128" s="6">
        <v>9.1940487259502568</v>
      </c>
      <c r="U128" s="6">
        <v>7.7063302611387439</v>
      </c>
      <c r="V128" s="6">
        <v>3.9545925024377451</v>
      </c>
      <c r="W128" s="6">
        <v>10.271223405632353</v>
      </c>
      <c r="X128" s="6">
        <v>11.182087224223983</v>
      </c>
      <c r="Y128" s="6">
        <v>9.1535858190554631</v>
      </c>
      <c r="Z128" s="6">
        <v>8.9308283384566032</v>
      </c>
      <c r="AA128" s="6">
        <v>3.6788031973875253</v>
      </c>
      <c r="AB128" s="6">
        <v>3.2976675411292451</v>
      </c>
      <c r="AC128" s="6">
        <v>9.1408947630548045</v>
      </c>
      <c r="AD128" s="6">
        <v>0</v>
      </c>
      <c r="AE128" s="6">
        <v>9.0932591947063202</v>
      </c>
      <c r="AF128" s="6">
        <v>4.1890242060018767</v>
      </c>
      <c r="AG128" s="6">
        <v>9.7776792812553683</v>
      </c>
      <c r="AH128" s="6">
        <v>3.9472540135883007</v>
      </c>
      <c r="AI128" s="6">
        <v>3.3392226148409891</v>
      </c>
      <c r="AJ128" s="18">
        <v>3.3392226148409891</v>
      </c>
      <c r="AK128" s="6">
        <v>8.5535762047629138</v>
      </c>
      <c r="AL128" s="6">
        <v>11.140242806349939</v>
      </c>
      <c r="AM128" s="6">
        <v>8.8930181120896439</v>
      </c>
      <c r="AN128" s="6">
        <v>4.3216560789642804</v>
      </c>
      <c r="AO128" s="6">
        <v>10.301618213965961</v>
      </c>
      <c r="AP128" s="6">
        <v>3.45665953281474</v>
      </c>
      <c r="AQ128" s="18">
        <v>3.3392226148409891</v>
      </c>
      <c r="AR128" s="6">
        <v>11.596986197497653</v>
      </c>
      <c r="AS128" s="6">
        <v>3.8604987419727697</v>
      </c>
      <c r="AT128" s="6">
        <v>3.6694744635846019</v>
      </c>
      <c r="AU128" s="6">
        <v>8.4489052686395762</v>
      </c>
      <c r="AV128" s="6"/>
      <c r="AW128" s="6"/>
    </row>
    <row r="129" spans="1:60">
      <c r="A129" t="s">
        <v>136</v>
      </c>
      <c r="B129" t="s">
        <v>142</v>
      </c>
      <c r="C129" s="17" t="s">
        <v>73</v>
      </c>
      <c r="D129" s="16"/>
      <c r="F129" t="s">
        <v>105</v>
      </c>
      <c r="H129" t="s">
        <v>45</v>
      </c>
      <c r="I129">
        <v>2030</v>
      </c>
      <c r="J129" t="s">
        <v>71</v>
      </c>
      <c r="L129" s="18">
        <v>3.0053003533568905</v>
      </c>
      <c r="M129" s="6">
        <v>8.6948960963550874</v>
      </c>
      <c r="N129" s="52">
        <v>8.8717926935657427</v>
      </c>
      <c r="O129" s="6">
        <v>3.4591456195318884</v>
      </c>
      <c r="P129" s="18">
        <v>3.0053003533568905</v>
      </c>
      <c r="Q129" s="18">
        <v>8.6948960963550874</v>
      </c>
      <c r="R129" s="6">
        <v>0</v>
      </c>
      <c r="S129" s="6">
        <v>8.3686591374504555</v>
      </c>
      <c r="T129" s="6">
        <v>8.322642631584408</v>
      </c>
      <c r="U129" s="6">
        <v>7.0008801371294744</v>
      </c>
      <c r="V129" s="6">
        <v>3.5952222626841719</v>
      </c>
      <c r="W129" s="6">
        <v>9.2892925092768674</v>
      </c>
      <c r="X129" s="6">
        <v>10.116689183375204</v>
      </c>
      <c r="Y129" s="6">
        <v>8.2879490416261259</v>
      </c>
      <c r="Z129" s="6">
        <v>8.0811290977635153</v>
      </c>
      <c r="AA129" s="6">
        <v>3.3448809349896576</v>
      </c>
      <c r="AB129" s="6">
        <v>3.0021512357238325</v>
      </c>
      <c r="AC129" s="6">
        <v>8.2758770078501236</v>
      </c>
      <c r="AD129" s="6">
        <v>0</v>
      </c>
      <c r="AE129" s="6">
        <v>8.2378389774537233</v>
      </c>
      <c r="AF129" s="6">
        <v>3.8024990792403908</v>
      </c>
      <c r="AG129" s="6">
        <v>8.8487316461559899</v>
      </c>
      <c r="AH129" s="6">
        <v>3.586703690573724</v>
      </c>
      <c r="AI129" s="6">
        <v>3.0053003533568905</v>
      </c>
      <c r="AJ129" s="18">
        <v>3.0053003533568905</v>
      </c>
      <c r="AK129" s="6">
        <v>7.6982185842866224</v>
      </c>
      <c r="AL129" s="6">
        <v>10.079465631701622</v>
      </c>
      <c r="AM129" s="6">
        <v>8.0616292956320716</v>
      </c>
      <c r="AN129" s="6">
        <v>3.9234133529695527</v>
      </c>
      <c r="AO129" s="6">
        <v>9.3098305655412616</v>
      </c>
      <c r="AP129" s="6">
        <v>3.1411839036618403</v>
      </c>
      <c r="AQ129" s="18">
        <v>3.0053003533568905</v>
      </c>
      <c r="AR129" s="6">
        <v>10.493768532845511</v>
      </c>
      <c r="AS129" s="6">
        <v>3.5144118846385477</v>
      </c>
      <c r="AT129" s="6">
        <v>3.338630509086546</v>
      </c>
      <c r="AU129" s="6">
        <v>7.6575677787158742</v>
      </c>
      <c r="AV129" s="6"/>
      <c r="AW129" s="6"/>
    </row>
    <row r="130" spans="1:60">
      <c r="A130" t="s">
        <v>136</v>
      </c>
      <c r="B130" t="s">
        <v>142</v>
      </c>
      <c r="C130" s="17" t="s">
        <v>73</v>
      </c>
      <c r="D130" s="16"/>
      <c r="F130" t="s">
        <v>105</v>
      </c>
      <c r="H130" t="s">
        <v>45</v>
      </c>
      <c r="I130">
        <v>2040</v>
      </c>
      <c r="J130" t="s">
        <v>71</v>
      </c>
      <c r="L130" s="18">
        <v>2.7047703180212013</v>
      </c>
      <c r="M130" s="6">
        <v>7.8752643469407619</v>
      </c>
      <c r="N130" s="52">
        <v>8.0356489735250349</v>
      </c>
      <c r="O130" s="6">
        <v>3.1448058350441981</v>
      </c>
      <c r="P130" s="18">
        <v>2.7047703180212013</v>
      </c>
      <c r="Q130" s="18">
        <v>7.8752643469407619</v>
      </c>
      <c r="R130" s="6">
        <v>0</v>
      </c>
      <c r="S130" s="6">
        <v>7.5678301542539463</v>
      </c>
      <c r="T130" s="6">
        <v>7.5384070920573532</v>
      </c>
      <c r="U130" s="6">
        <v>6.3660846654923171</v>
      </c>
      <c r="V130" s="6">
        <v>3.2717890469059547</v>
      </c>
      <c r="W130" s="6">
        <v>8.4055092640020881</v>
      </c>
      <c r="X130" s="6">
        <v>9.1577541750798819</v>
      </c>
      <c r="Y130" s="6">
        <v>7.5096715995231733</v>
      </c>
      <c r="Z130" s="6">
        <v>7.3164014979765009</v>
      </c>
      <c r="AA130" s="6">
        <v>3.0443508914369208</v>
      </c>
      <c r="AB130" s="6">
        <v>2.7361379737872844</v>
      </c>
      <c r="AC130" s="6">
        <v>7.497361787895608</v>
      </c>
      <c r="AD130" s="6">
        <v>0</v>
      </c>
      <c r="AE130" s="6">
        <v>7.4686818590346578</v>
      </c>
      <c r="AF130" s="6">
        <v>3.4546264651550538</v>
      </c>
      <c r="AG130" s="6">
        <v>8.0126787745665489</v>
      </c>
      <c r="AH130" s="6">
        <v>3.2622083998606057</v>
      </c>
      <c r="AI130" s="6">
        <v>2.7047703180212013</v>
      </c>
      <c r="AJ130" s="18">
        <v>2.7047703180212013</v>
      </c>
      <c r="AK130" s="6">
        <v>6.9283967258579606</v>
      </c>
      <c r="AL130" s="6">
        <v>9.1242971341180947</v>
      </c>
      <c r="AM130" s="6">
        <v>7.3134606018896591</v>
      </c>
      <c r="AN130" s="6">
        <v>3.5649913974900396</v>
      </c>
      <c r="AO130" s="6">
        <v>8.4172277798430066</v>
      </c>
      <c r="AP130" s="6">
        <v>2.8572548426286803</v>
      </c>
      <c r="AQ130" s="18">
        <v>2.7047703180212013</v>
      </c>
      <c r="AR130" s="6">
        <v>9.5007549413742822</v>
      </c>
      <c r="AS130" s="6">
        <v>3.2029293509097276</v>
      </c>
      <c r="AT130" s="6">
        <v>3.0408689803480655</v>
      </c>
      <c r="AU130" s="6">
        <v>6.9453291481892636</v>
      </c>
      <c r="AV130" s="6"/>
      <c r="AW130" s="6"/>
    </row>
    <row r="131" spans="1:60">
      <c r="A131" t="s">
        <v>136</v>
      </c>
      <c r="B131" t="s">
        <v>142</v>
      </c>
      <c r="C131" s="17" t="s">
        <v>73</v>
      </c>
      <c r="F131" t="s">
        <v>105</v>
      </c>
      <c r="H131" t="s">
        <v>45</v>
      </c>
      <c r="I131">
        <v>2050</v>
      </c>
      <c r="J131" t="s">
        <v>71</v>
      </c>
      <c r="L131" s="18">
        <v>2.4342932862190811</v>
      </c>
      <c r="M131" s="6">
        <v>7.1386447850935069</v>
      </c>
      <c r="N131" s="52">
        <v>7.2832218670306688</v>
      </c>
      <c r="O131" s="6">
        <v>2.8618726288314011</v>
      </c>
      <c r="P131" s="18">
        <v>2.4342932862190811</v>
      </c>
      <c r="Q131" s="18">
        <v>7.1386447850935069</v>
      </c>
      <c r="R131" s="6">
        <v>0</v>
      </c>
      <c r="S131" s="6">
        <v>6.8470997689931092</v>
      </c>
      <c r="T131" s="6">
        <v>6.832590964274738</v>
      </c>
      <c r="U131" s="6">
        <v>5.7948096419303017</v>
      </c>
      <c r="V131" s="6">
        <v>2.9806991527055597</v>
      </c>
      <c r="W131" s="6">
        <v>7.610097235294714</v>
      </c>
      <c r="X131" s="6">
        <v>8.2947345277568925</v>
      </c>
      <c r="Y131" s="6">
        <v>6.8091524595275672</v>
      </c>
      <c r="Z131" s="6">
        <v>6.6281488820723977</v>
      </c>
      <c r="AA131" s="6">
        <v>2.773873803130273</v>
      </c>
      <c r="AB131" s="6">
        <v>2.4967481957006465</v>
      </c>
      <c r="AC131" s="6">
        <v>6.7966967284743003</v>
      </c>
      <c r="AD131" s="6">
        <v>0</v>
      </c>
      <c r="AE131" s="6">
        <v>6.7750109401088396</v>
      </c>
      <c r="AF131" s="6">
        <v>3.1415411124782504</v>
      </c>
      <c r="AG131" s="6">
        <v>7.2602311901360519</v>
      </c>
      <c r="AH131" s="6">
        <v>2.9701626382187989</v>
      </c>
      <c r="AI131" s="6">
        <v>2.4342932862190811</v>
      </c>
      <c r="AJ131" s="18">
        <v>2.4342932862190811</v>
      </c>
      <c r="AK131" s="6">
        <v>6.2355570532721645</v>
      </c>
      <c r="AL131" s="6">
        <v>8.2647577683216014</v>
      </c>
      <c r="AM131" s="6">
        <v>6.6401724801579318</v>
      </c>
      <c r="AN131" s="6">
        <v>3.242407019393736</v>
      </c>
      <c r="AO131" s="6">
        <v>7.6138824291738612</v>
      </c>
      <c r="AP131" s="6">
        <v>2.6017171142568514</v>
      </c>
      <c r="AQ131" s="18">
        <v>2.4342932862190811</v>
      </c>
      <c r="AR131" s="6">
        <v>8.6072530239428264</v>
      </c>
      <c r="AS131" s="6">
        <v>2.9226115024438091</v>
      </c>
      <c r="AT131" s="6">
        <v>2.7728801823188021</v>
      </c>
      <c r="AU131" s="6">
        <v>6.3043393159811627</v>
      </c>
      <c r="AV131" s="6"/>
      <c r="AW131" s="6"/>
    </row>
    <row r="132" spans="1:60">
      <c r="E132" t="s">
        <v>46</v>
      </c>
    </row>
    <row r="133" spans="1:60">
      <c r="A133" t="s">
        <v>136</v>
      </c>
      <c r="B133" t="s">
        <v>143</v>
      </c>
      <c r="C133" t="s">
        <v>72</v>
      </c>
      <c r="E133" t="s">
        <v>42</v>
      </c>
      <c r="G133" t="s">
        <v>40</v>
      </c>
      <c r="H133" t="s">
        <v>41</v>
      </c>
      <c r="I133">
        <v>2005</v>
      </c>
      <c r="J133" t="s">
        <v>60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5">
        <v>19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5">
        <v>0</v>
      </c>
      <c r="AN133" s="55">
        <v>0</v>
      </c>
      <c r="AO133" s="55">
        <v>0</v>
      </c>
      <c r="AP133" s="55">
        <v>0</v>
      </c>
      <c r="AQ133" s="55">
        <v>0</v>
      </c>
      <c r="AR133" s="55">
        <v>0</v>
      </c>
      <c r="AS133" s="51">
        <v>0</v>
      </c>
      <c r="AT133" s="51">
        <v>0</v>
      </c>
      <c r="AU133" s="51">
        <v>0</v>
      </c>
      <c r="AV133" s="10"/>
      <c r="AW133" s="10"/>
      <c r="AY133" s="6"/>
    </row>
    <row r="134" spans="1:60">
      <c r="A134" t="s">
        <v>136</v>
      </c>
      <c r="B134" t="s">
        <v>143</v>
      </c>
      <c r="C134" t="s">
        <v>72</v>
      </c>
      <c r="E134" t="s">
        <v>42</v>
      </c>
      <c r="G134" t="s">
        <v>40</v>
      </c>
      <c r="H134" t="s">
        <v>41</v>
      </c>
      <c r="I134">
        <v>2010</v>
      </c>
      <c r="J134" t="s">
        <v>60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5">
        <v>18.7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5">
        <v>0</v>
      </c>
      <c r="AN134" s="55">
        <v>0</v>
      </c>
      <c r="AO134" s="55">
        <v>0</v>
      </c>
      <c r="AP134" s="55">
        <v>0</v>
      </c>
      <c r="AQ134" s="55">
        <v>0</v>
      </c>
      <c r="AR134" s="55">
        <v>45</v>
      </c>
      <c r="AS134" s="51">
        <v>0</v>
      </c>
      <c r="AT134" s="51">
        <v>0</v>
      </c>
      <c r="AU134" s="51">
        <v>0</v>
      </c>
      <c r="AV134" s="10"/>
      <c r="AW134" s="6">
        <f>BD134</f>
        <v>63.7</v>
      </c>
      <c r="AX134" s="6">
        <f>SUM(M134:O134,R134:AC134,AE134:AH134,AK134:AL134,AN134:AP134,AR134:AU134)</f>
        <v>63.7</v>
      </c>
      <c r="BD134" s="6">
        <f>AX134-AU134</f>
        <v>63.7</v>
      </c>
    </row>
    <row r="135" spans="1:60">
      <c r="A135" t="s">
        <v>136</v>
      </c>
      <c r="B135" t="s">
        <v>143</v>
      </c>
      <c r="C135" t="s">
        <v>72</v>
      </c>
      <c r="E135" t="s">
        <v>42</v>
      </c>
      <c r="G135" t="s">
        <v>40</v>
      </c>
      <c r="H135" t="s">
        <v>41</v>
      </c>
      <c r="I135">
        <v>2020</v>
      </c>
      <c r="J135" t="s">
        <v>60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5">
        <v>18.7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5">
        <v>0</v>
      </c>
      <c r="AN135" s="55">
        <v>0</v>
      </c>
      <c r="AO135" s="55">
        <v>0</v>
      </c>
      <c r="AP135" s="55">
        <v>0</v>
      </c>
      <c r="AQ135" s="55">
        <v>0</v>
      </c>
      <c r="AR135" s="55">
        <v>65</v>
      </c>
      <c r="AS135" s="51">
        <v>0</v>
      </c>
      <c r="AT135" s="51">
        <v>0</v>
      </c>
      <c r="AU135" s="51">
        <v>0</v>
      </c>
      <c r="AV135" s="10"/>
      <c r="AW135" s="6">
        <f>BE135</f>
        <v>83.7</v>
      </c>
      <c r="AY135" s="6">
        <f>SUM(M135:O135,R135:AC135,AE135:AH135,AK135:AL135,AN135:AP135,AR135:AU135)</f>
        <v>83.7</v>
      </c>
      <c r="BE135" s="6">
        <f>AY135-AU135</f>
        <v>83.7</v>
      </c>
    </row>
    <row r="136" spans="1:60">
      <c r="A136" t="s">
        <v>136</v>
      </c>
      <c r="B136" t="s">
        <v>143</v>
      </c>
      <c r="C136" t="s">
        <v>72</v>
      </c>
      <c r="E136" t="s">
        <v>42</v>
      </c>
      <c r="G136" t="s">
        <v>40</v>
      </c>
      <c r="H136" t="s">
        <v>41</v>
      </c>
      <c r="I136">
        <v>2030</v>
      </c>
      <c r="J136" t="s">
        <v>60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5">
        <v>40.299999999999997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5">
        <v>0</v>
      </c>
      <c r="AN136" s="55">
        <v>0</v>
      </c>
      <c r="AO136" s="55">
        <v>0</v>
      </c>
      <c r="AP136" s="55">
        <v>0</v>
      </c>
      <c r="AQ136" s="55">
        <v>0</v>
      </c>
      <c r="AR136" s="55">
        <v>70</v>
      </c>
      <c r="AS136" s="51">
        <v>0</v>
      </c>
      <c r="AT136" s="51">
        <v>0</v>
      </c>
      <c r="AU136" s="51">
        <v>0</v>
      </c>
      <c r="AV136" s="10"/>
      <c r="AW136" s="6">
        <f>BF136</f>
        <v>110.3</v>
      </c>
      <c r="AZ136" s="6">
        <f>SUM(M136:O136,R136:AC136,AE136:AH136,AK136:AL136,AN136:AP136,AR136:AU136)</f>
        <v>110.3</v>
      </c>
      <c r="BF136" s="6">
        <f>AZ136-AU136</f>
        <v>110.3</v>
      </c>
    </row>
    <row r="137" spans="1:60">
      <c r="A137" t="s">
        <v>136</v>
      </c>
      <c r="B137" t="s">
        <v>143</v>
      </c>
      <c r="C137" t="s">
        <v>72</v>
      </c>
      <c r="E137" t="s">
        <v>42</v>
      </c>
      <c r="G137" t="s">
        <v>40</v>
      </c>
      <c r="H137" t="s">
        <v>41</v>
      </c>
      <c r="I137">
        <v>2040</v>
      </c>
      <c r="J137" t="s">
        <v>60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5">
        <v>42.5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5">
        <v>0</v>
      </c>
      <c r="AN137" s="55">
        <v>0</v>
      </c>
      <c r="AO137" s="55">
        <v>0</v>
      </c>
      <c r="AP137" s="55">
        <v>0</v>
      </c>
      <c r="AQ137" s="55">
        <v>0</v>
      </c>
      <c r="AR137" s="55">
        <v>75</v>
      </c>
      <c r="AS137" s="51">
        <v>0</v>
      </c>
      <c r="AT137" s="51">
        <v>0</v>
      </c>
      <c r="AU137" s="51">
        <v>0</v>
      </c>
      <c r="AV137" s="10"/>
      <c r="AW137" s="6">
        <f>BG137</f>
        <v>117.5</v>
      </c>
      <c r="AZ137" s="6"/>
      <c r="BA137" s="6">
        <f>SUM(M137:O137,R137:AC137,AE137:AH137,AK137:AL137,AN137:AP137,AR137:AU137)</f>
        <v>117.5</v>
      </c>
      <c r="BG137" s="6">
        <f>BA137-AU137</f>
        <v>117.5</v>
      </c>
    </row>
    <row r="138" spans="1:60">
      <c r="A138" t="s">
        <v>136</v>
      </c>
      <c r="B138" t="s">
        <v>143</v>
      </c>
      <c r="C138" t="s">
        <v>72</v>
      </c>
      <c r="E138" t="s">
        <v>42</v>
      </c>
      <c r="G138" t="s">
        <v>40</v>
      </c>
      <c r="H138" s="5" t="s">
        <v>41</v>
      </c>
      <c r="I138" s="5">
        <v>2050</v>
      </c>
      <c r="J138" s="5" t="s">
        <v>60</v>
      </c>
      <c r="K138" s="5"/>
      <c r="L138" s="54">
        <v>0</v>
      </c>
      <c r="M138" s="54">
        <v>0</v>
      </c>
      <c r="N138" s="54">
        <v>0</v>
      </c>
      <c r="O138" s="54">
        <v>0</v>
      </c>
      <c r="P138" s="54">
        <v>0</v>
      </c>
      <c r="Q138" s="54">
        <v>0</v>
      </c>
      <c r="R138" s="54">
        <v>0</v>
      </c>
      <c r="S138" s="54">
        <v>0</v>
      </c>
      <c r="T138" s="54">
        <v>0</v>
      </c>
      <c r="U138" s="54">
        <v>0</v>
      </c>
      <c r="V138" s="54">
        <v>0</v>
      </c>
      <c r="W138" s="54">
        <v>0</v>
      </c>
      <c r="X138" s="56">
        <v>43.9</v>
      </c>
      <c r="Y138" s="54">
        <v>0</v>
      </c>
      <c r="Z138" s="54">
        <v>0</v>
      </c>
      <c r="AA138" s="54">
        <v>0</v>
      </c>
      <c r="AB138" s="54">
        <v>0</v>
      </c>
      <c r="AC138" s="54">
        <v>0</v>
      </c>
      <c r="AD138" s="54">
        <v>0</v>
      </c>
      <c r="AE138" s="54">
        <v>0</v>
      </c>
      <c r="AF138" s="54">
        <v>0</v>
      </c>
      <c r="AG138" s="54">
        <v>0</v>
      </c>
      <c r="AH138" s="54">
        <v>0</v>
      </c>
      <c r="AI138" s="54">
        <v>0</v>
      </c>
      <c r="AJ138" s="54">
        <v>0</v>
      </c>
      <c r="AK138" s="54">
        <v>0</v>
      </c>
      <c r="AL138" s="54">
        <v>0</v>
      </c>
      <c r="AM138" s="56">
        <v>0</v>
      </c>
      <c r="AN138" s="56">
        <v>0</v>
      </c>
      <c r="AO138" s="56">
        <v>0</v>
      </c>
      <c r="AP138" s="56">
        <v>0</v>
      </c>
      <c r="AQ138" s="56">
        <v>0</v>
      </c>
      <c r="AR138" s="56">
        <v>75</v>
      </c>
      <c r="AS138" s="54">
        <v>0</v>
      </c>
      <c r="AT138" s="54">
        <v>0</v>
      </c>
      <c r="AU138" s="54">
        <v>0</v>
      </c>
      <c r="AV138" s="10"/>
      <c r="AW138" s="6">
        <f>BH138</f>
        <v>118.9</v>
      </c>
      <c r="AZ138" s="6"/>
      <c r="BA138" s="6"/>
      <c r="BB138" s="6">
        <f>SUM(M138:O138,R138:AC138,AE138:AH138,AK138:AL138,AN138:AP138,AR138:AU138)</f>
        <v>118.9</v>
      </c>
      <c r="BH138" s="6">
        <f>BB138-AU138</f>
        <v>118.9</v>
      </c>
    </row>
    <row r="139" spans="1:60">
      <c r="A139" t="s">
        <v>136</v>
      </c>
      <c r="B139" t="s">
        <v>143</v>
      </c>
      <c r="C139" t="s">
        <v>72</v>
      </c>
      <c r="F139" t="s">
        <v>105</v>
      </c>
      <c r="H139" t="s">
        <v>45</v>
      </c>
      <c r="I139">
        <v>2005</v>
      </c>
      <c r="J139" t="s">
        <v>60</v>
      </c>
      <c r="L139" s="6">
        <v>2.6253618057136916</v>
      </c>
      <c r="M139" s="6">
        <v>6.064973235147038</v>
      </c>
      <c r="N139" s="52">
        <v>6.1963849207333643</v>
      </c>
      <c r="O139" s="6">
        <v>3.1898679591101784</v>
      </c>
      <c r="P139" s="6">
        <v>2.5541853792980103</v>
      </c>
      <c r="Q139" s="6">
        <v>6.1034894528193293</v>
      </c>
      <c r="R139" s="6">
        <v>0</v>
      </c>
      <c r="S139" s="6">
        <v>5.8447939700419029</v>
      </c>
      <c r="T139" s="6">
        <v>6.2054552488793568</v>
      </c>
      <c r="U139" s="6">
        <v>5.1322243080485945</v>
      </c>
      <c r="V139" s="6">
        <v>3.2970322482627457</v>
      </c>
      <c r="W139" s="6">
        <v>6.4475759620193394</v>
      </c>
      <c r="X139" s="6">
        <v>7.0947394813588431</v>
      </c>
      <c r="Y139" s="6">
        <v>5.5912227198155096</v>
      </c>
      <c r="Z139" s="6">
        <v>5.5255809409253205</v>
      </c>
      <c r="AA139" s="6">
        <v>3.0155704829427696</v>
      </c>
      <c r="AB139" s="6">
        <v>2.8374112994532705</v>
      </c>
      <c r="AC139" s="6">
        <v>5.6860047618722067</v>
      </c>
      <c r="AD139" s="6">
        <v>0</v>
      </c>
      <c r="AE139" s="6">
        <v>5.7159345331220415</v>
      </c>
      <c r="AF139" s="6">
        <v>3.515363376778768</v>
      </c>
      <c r="AG139" s="6">
        <v>6.2757855301621088</v>
      </c>
      <c r="AH139" s="6">
        <v>3.2789775822110299</v>
      </c>
      <c r="AI139" s="6">
        <v>1.878322019713595</v>
      </c>
      <c r="AJ139" s="6">
        <v>2.2508825446420162</v>
      </c>
      <c r="AK139" s="6">
        <v>5.3441554770318032</v>
      </c>
      <c r="AL139" s="6">
        <v>4.2356597030748144</v>
      </c>
      <c r="AM139" s="6">
        <v>5.680289175224428</v>
      </c>
      <c r="AN139" s="6">
        <v>3.5173549288866823</v>
      </c>
      <c r="AO139" s="6">
        <v>6.5468992639100945</v>
      </c>
      <c r="AP139" s="6">
        <v>2.83090476377886</v>
      </c>
      <c r="AQ139" s="6">
        <v>1.878322019713595</v>
      </c>
      <c r="AR139" s="6">
        <v>7.3846869000241719</v>
      </c>
      <c r="AS139" s="6">
        <v>3.1938584830820371</v>
      </c>
      <c r="AT139" s="6">
        <v>2.9812823824011812</v>
      </c>
      <c r="AU139" s="6">
        <v>7.4316933323671677</v>
      </c>
      <c r="AV139" s="6"/>
      <c r="AW139" s="6"/>
    </row>
    <row r="140" spans="1:60">
      <c r="A140" t="s">
        <v>136</v>
      </c>
      <c r="B140" t="s">
        <v>143</v>
      </c>
      <c r="C140" t="s">
        <v>72</v>
      </c>
      <c r="F140" t="s">
        <v>105</v>
      </c>
      <c r="H140" t="s">
        <v>45</v>
      </c>
      <c r="I140">
        <v>2010</v>
      </c>
      <c r="J140" t="s">
        <v>60</v>
      </c>
      <c r="L140" s="6">
        <v>2.6253618057136916</v>
      </c>
      <c r="M140" s="6">
        <v>6.064973235147038</v>
      </c>
      <c r="N140" s="52">
        <v>6.1963849207333643</v>
      </c>
      <c r="O140" s="6">
        <v>3.1898679591101784</v>
      </c>
      <c r="P140" s="6">
        <v>2.5541853792980103</v>
      </c>
      <c r="Q140" s="6">
        <v>6.1034894528193293</v>
      </c>
      <c r="R140" s="6">
        <v>0</v>
      </c>
      <c r="S140" s="6">
        <v>5.8447939700419029</v>
      </c>
      <c r="T140" s="6">
        <v>6.2054552488793568</v>
      </c>
      <c r="U140" s="6">
        <v>5.1322243080485945</v>
      </c>
      <c r="V140" s="6">
        <v>3.2970322482627457</v>
      </c>
      <c r="W140" s="6">
        <v>6.4475759620193394</v>
      </c>
      <c r="X140" s="6">
        <v>7.0947394813588431</v>
      </c>
      <c r="Y140" s="6">
        <v>5.5912227198155096</v>
      </c>
      <c r="Z140" s="6">
        <v>5.5255809409253205</v>
      </c>
      <c r="AA140" s="6">
        <v>3.0155704829427696</v>
      </c>
      <c r="AB140" s="6">
        <v>2.8374112994532705</v>
      </c>
      <c r="AC140" s="6">
        <v>5.6860047618722067</v>
      </c>
      <c r="AD140" s="6">
        <v>0</v>
      </c>
      <c r="AE140" s="6">
        <v>5.7159345331220415</v>
      </c>
      <c r="AF140" s="6">
        <v>3.515363376778768</v>
      </c>
      <c r="AG140" s="6">
        <v>6.2757855301621088</v>
      </c>
      <c r="AH140" s="6">
        <v>3.2789775822110299</v>
      </c>
      <c r="AI140" s="35">
        <v>1.878322019713595</v>
      </c>
      <c r="AJ140" s="6">
        <v>2.2508825446420162</v>
      </c>
      <c r="AK140" s="6">
        <v>5.3441554770318032</v>
      </c>
      <c r="AL140" s="6">
        <v>4.2356597030748144</v>
      </c>
      <c r="AM140" s="6">
        <v>5.680289175224428</v>
      </c>
      <c r="AN140" s="6">
        <v>3.5173549288866823</v>
      </c>
      <c r="AO140" s="6">
        <v>6.5468992639100945</v>
      </c>
      <c r="AP140" s="6">
        <v>2.83090476377886</v>
      </c>
      <c r="AQ140" s="35">
        <v>1.878322019713595</v>
      </c>
      <c r="AR140" s="6">
        <v>7.3846869000241719</v>
      </c>
      <c r="AS140" s="6">
        <v>3.1938584830820371</v>
      </c>
      <c r="AT140" s="6">
        <v>2.9812823824011812</v>
      </c>
      <c r="AU140" s="6">
        <v>7.4316933323671677</v>
      </c>
      <c r="AV140" s="6"/>
      <c r="AW140" s="6"/>
    </row>
    <row r="141" spans="1:60">
      <c r="A141" t="s">
        <v>136</v>
      </c>
      <c r="B141" t="s">
        <v>143</v>
      </c>
      <c r="C141" t="s">
        <v>72</v>
      </c>
      <c r="F141" t="s">
        <v>105</v>
      </c>
      <c r="H141" t="s">
        <v>45</v>
      </c>
      <c r="I141">
        <v>2020</v>
      </c>
      <c r="J141" t="s">
        <v>60</v>
      </c>
      <c r="L141" s="6">
        <v>2.4184499745571362</v>
      </c>
      <c r="M141" s="6">
        <v>5.6246778687038841</v>
      </c>
      <c r="N141" s="52">
        <v>5.7473094257309132</v>
      </c>
      <c r="O141" s="6">
        <v>2.9629588385138788</v>
      </c>
      <c r="P141" s="6">
        <v>2.3528831539080954</v>
      </c>
      <c r="Q141" s="6">
        <v>5.6603969985195546</v>
      </c>
      <c r="R141" s="6">
        <v>0</v>
      </c>
      <c r="S141" s="6">
        <v>5.4122842266200681</v>
      </c>
      <c r="T141" s="6">
        <v>5.7537438922281776</v>
      </c>
      <c r="U141" s="6">
        <v>4.7774370004583666</v>
      </c>
      <c r="V141" s="6">
        <v>3.0650878352323323</v>
      </c>
      <c r="W141" s="6">
        <v>5.9743595048504137</v>
      </c>
      <c r="X141" s="6">
        <v>6.576652346168661</v>
      </c>
      <c r="Y141" s="6">
        <v>5.1874754414968196</v>
      </c>
      <c r="Z141" s="6">
        <v>5.123052704856442</v>
      </c>
      <c r="AA141" s="6">
        <v>2.8039625917205258</v>
      </c>
      <c r="AB141" s="6">
        <v>2.6399399478145864</v>
      </c>
      <c r="AC141" s="6">
        <v>5.2762620608512938</v>
      </c>
      <c r="AD141" s="6">
        <v>0</v>
      </c>
      <c r="AE141" s="6">
        <v>5.3060612933137827</v>
      </c>
      <c r="AF141" s="6">
        <v>3.2632592588044784</v>
      </c>
      <c r="AG141" s="6">
        <v>5.8196353776983116</v>
      </c>
      <c r="AH141" s="6">
        <v>3.0470194461804017</v>
      </c>
      <c r="AI141" s="35">
        <v>1.7302864050585829</v>
      </c>
      <c r="AJ141" s="6">
        <v>2.0734844321164929</v>
      </c>
      <c r="AK141" s="6">
        <v>4.9229681978798592</v>
      </c>
      <c r="AL141" s="6">
        <v>3.9428063838457521</v>
      </c>
      <c r="AM141" s="6">
        <v>5.2774276328910297</v>
      </c>
      <c r="AN141" s="6">
        <v>3.2666912115652638</v>
      </c>
      <c r="AO141" s="6">
        <v>6.0610128511997248</v>
      </c>
      <c r="AP141" s="6">
        <v>2.6313865969810966</v>
      </c>
      <c r="AQ141" s="35">
        <v>1.7302864050585829</v>
      </c>
      <c r="AR141" s="6">
        <v>6.8467766722358929</v>
      </c>
      <c r="AS141" s="6">
        <v>2.9732268404131741</v>
      </c>
      <c r="AT141" s="6">
        <v>2.7746250423783181</v>
      </c>
      <c r="AU141" s="6">
        <v>7.5705540231324537</v>
      </c>
      <c r="AV141" s="6"/>
      <c r="AW141" s="6"/>
    </row>
    <row r="142" spans="1:60">
      <c r="A142" t="s">
        <v>136</v>
      </c>
      <c r="B142" t="s">
        <v>143</v>
      </c>
      <c r="C142" t="s">
        <v>72</v>
      </c>
      <c r="F142" t="s">
        <v>105</v>
      </c>
      <c r="H142" t="s">
        <v>45</v>
      </c>
      <c r="I142">
        <v>2030</v>
      </c>
      <c r="J142" t="s">
        <v>60</v>
      </c>
      <c r="L142" s="6">
        <v>2.1766049771014226</v>
      </c>
      <c r="M142" s="6">
        <v>5.1105954975055274</v>
      </c>
      <c r="N142" s="52">
        <v>5.2226630869737356</v>
      </c>
      <c r="O142" s="6">
        <v>2.6977591706446731</v>
      </c>
      <c r="P142" s="6">
        <v>2.1175948385172862</v>
      </c>
      <c r="Q142" s="6">
        <v>5.1430486073877431</v>
      </c>
      <c r="R142" s="6">
        <v>0</v>
      </c>
      <c r="S142" s="6">
        <v>4.9066569023352677</v>
      </c>
      <c r="T142" s="6">
        <v>5.2258106304423277</v>
      </c>
      <c r="U142" s="6">
        <v>4.3625434822061031</v>
      </c>
      <c r="V142" s="6">
        <v>2.7939839758461353</v>
      </c>
      <c r="W142" s="6">
        <v>5.4212574322397398</v>
      </c>
      <c r="X142" s="6">
        <v>5.9711442193720119</v>
      </c>
      <c r="Y142" s="6">
        <v>4.7158202825198448</v>
      </c>
      <c r="Z142" s="6">
        <v>4.6525834121757734</v>
      </c>
      <c r="AA142" s="6">
        <v>2.5566288482182817</v>
      </c>
      <c r="AB142" s="6">
        <v>2.4092200030093927</v>
      </c>
      <c r="AC142" s="6">
        <v>4.7973390018729329</v>
      </c>
      <c r="AD142" s="6">
        <v>0</v>
      </c>
      <c r="AE142" s="6">
        <v>4.8280850012917433</v>
      </c>
      <c r="AF142" s="6">
        <v>2.9685921079254389</v>
      </c>
      <c r="AG142" s="6">
        <v>5.2864728618315366</v>
      </c>
      <c r="AH142" s="6">
        <v>2.7758995469238248</v>
      </c>
      <c r="AI142" s="35">
        <v>1.5572577645527246</v>
      </c>
      <c r="AJ142" s="6">
        <v>1.8661359889048439</v>
      </c>
      <c r="AK142" s="6">
        <v>4.4306713780918736</v>
      </c>
      <c r="AL142" s="6">
        <v>3.6010034479245192</v>
      </c>
      <c r="AM142" s="6">
        <v>4.8065954113527471</v>
      </c>
      <c r="AN142" s="6">
        <v>2.9737106889554203</v>
      </c>
      <c r="AO142" s="6">
        <v>5.4930907554596775</v>
      </c>
      <c r="AP142" s="6">
        <v>2.3981889031824006</v>
      </c>
      <c r="AQ142" s="35">
        <v>1.5572577645527248</v>
      </c>
      <c r="AR142" s="6">
        <v>6.2179682835046961</v>
      </c>
      <c r="AS142" s="6">
        <v>2.7153262571993766</v>
      </c>
      <c r="AT142" s="6">
        <v>2.5330899409022791</v>
      </c>
      <c r="AU142" s="6">
        <v>7.4321459833755297</v>
      </c>
      <c r="AV142" s="6"/>
      <c r="AW142" s="6"/>
      <c r="AY142" s="6"/>
      <c r="AZ142" s="6"/>
      <c r="BA142" s="6"/>
      <c r="BB142" s="6"/>
    </row>
    <row r="143" spans="1:60">
      <c r="A143" t="s">
        <v>136</v>
      </c>
      <c r="B143" t="s">
        <v>143</v>
      </c>
      <c r="C143" t="s">
        <v>72</v>
      </c>
      <c r="F143" t="s">
        <v>105</v>
      </c>
      <c r="H143" t="s">
        <v>45</v>
      </c>
      <c r="I143">
        <v>2040</v>
      </c>
      <c r="J143" t="s">
        <v>60</v>
      </c>
      <c r="L143" s="35">
        <v>1.9589444793912802</v>
      </c>
      <c r="M143" s="6">
        <v>4.6481322627037533</v>
      </c>
      <c r="N143" s="52">
        <v>4.7504525147740893</v>
      </c>
      <c r="O143" s="6">
        <v>2.4590771747636877</v>
      </c>
      <c r="P143" s="6">
        <v>1.9058353546655569</v>
      </c>
      <c r="Q143" s="6">
        <v>4.6776469021198803</v>
      </c>
      <c r="R143" s="6">
        <v>0</v>
      </c>
      <c r="S143" s="6">
        <v>4.4516170731136349</v>
      </c>
      <c r="T143" s="6">
        <v>4.7507073264584649</v>
      </c>
      <c r="U143" s="6">
        <v>3.98924771870159</v>
      </c>
      <c r="V143" s="6">
        <v>2.5499905023985572</v>
      </c>
      <c r="W143" s="6">
        <v>4.9234153171520623</v>
      </c>
      <c r="X143" s="6">
        <v>5.4261198071151444</v>
      </c>
      <c r="Y143" s="6">
        <v>4.2922919609212711</v>
      </c>
      <c r="Z143" s="6">
        <v>4.2291467222754191</v>
      </c>
      <c r="AA143" s="6">
        <v>2.3340284261304149</v>
      </c>
      <c r="AB143" s="6">
        <v>2.2015246808939839</v>
      </c>
      <c r="AC143" s="6">
        <v>4.3663090192304592</v>
      </c>
      <c r="AD143" s="6">
        <v>0</v>
      </c>
      <c r="AE143" s="6">
        <v>4.3981945477238673</v>
      </c>
      <c r="AF143" s="6">
        <v>2.7033916721343028</v>
      </c>
      <c r="AG143" s="6">
        <v>4.8066265975514391</v>
      </c>
      <c r="AH143" s="6">
        <v>2.5318916375929041</v>
      </c>
      <c r="AI143" s="35">
        <v>1.4015319880974522</v>
      </c>
      <c r="AJ143" s="6">
        <v>1.6795223900143592</v>
      </c>
      <c r="AK143" s="6">
        <v>3.9876042402826863</v>
      </c>
      <c r="AL143" s="6">
        <v>3.2926377794324959</v>
      </c>
      <c r="AM143" s="6">
        <v>4.3828916333797565</v>
      </c>
      <c r="AN143" s="6">
        <v>2.710025923826171</v>
      </c>
      <c r="AO143" s="6">
        <v>4.9819713560881098</v>
      </c>
      <c r="AP143" s="6">
        <v>2.1883113899498898</v>
      </c>
      <c r="AQ143" s="35">
        <v>1.4015319880974522</v>
      </c>
      <c r="AR143" s="6">
        <v>5.6519288833589032</v>
      </c>
      <c r="AS143" s="6">
        <v>2.4832120860358047</v>
      </c>
      <c r="AT143" s="6">
        <v>2.3157041906760933</v>
      </c>
      <c r="AU143" s="6">
        <v>6.9070301841537614</v>
      </c>
      <c r="AV143" s="6"/>
      <c r="AW143" s="6"/>
      <c r="AY143" s="6"/>
      <c r="AZ143" s="6"/>
      <c r="BA143" s="6"/>
      <c r="BB143" s="6"/>
    </row>
    <row r="144" spans="1:60">
      <c r="A144" t="s">
        <v>136</v>
      </c>
      <c r="B144" t="s">
        <v>143</v>
      </c>
      <c r="C144" t="s">
        <v>72</v>
      </c>
      <c r="F144" t="s">
        <v>105</v>
      </c>
      <c r="H144" t="s">
        <v>45</v>
      </c>
      <c r="I144">
        <v>2050</v>
      </c>
      <c r="J144" t="s">
        <v>60</v>
      </c>
      <c r="L144" s="6">
        <v>1.7630500314521524</v>
      </c>
      <c r="M144" s="6">
        <v>4.2330346915421586</v>
      </c>
      <c r="N144" s="52">
        <v>4.3254778722783298</v>
      </c>
      <c r="O144" s="6">
        <v>2.2442229588876321</v>
      </c>
      <c r="P144" s="6">
        <v>1.7152518191990014</v>
      </c>
      <c r="Q144" s="6">
        <v>4.2599122553228916</v>
      </c>
      <c r="R144" s="6">
        <v>0</v>
      </c>
      <c r="S144" s="6">
        <v>4.0421009529945362</v>
      </c>
      <c r="T144" s="6">
        <v>4.3231124999512094</v>
      </c>
      <c r="U144" s="6">
        <v>3.653346472587903</v>
      </c>
      <c r="V144" s="6">
        <v>2.330396376295738</v>
      </c>
      <c r="W144" s="6">
        <v>4.4753463133065132</v>
      </c>
      <c r="X144" s="6">
        <v>4.935598693513839</v>
      </c>
      <c r="Y144" s="6">
        <v>3.9109580219343738</v>
      </c>
      <c r="Z144" s="6">
        <v>3.8480537953064053</v>
      </c>
      <c r="AA144" s="6">
        <v>2.1336881526109557</v>
      </c>
      <c r="AB144" s="6">
        <v>2.0146030501835619</v>
      </c>
      <c r="AC144" s="6">
        <v>3.9783805742858873</v>
      </c>
      <c r="AD144" s="6">
        <v>0</v>
      </c>
      <c r="AE144" s="6">
        <v>4.0095384326766483</v>
      </c>
      <c r="AF144" s="6">
        <v>2.4647112799222817</v>
      </c>
      <c r="AG144" s="6">
        <v>4.374764959699351</v>
      </c>
      <c r="AH144" s="6">
        <v>2.3122845191950772</v>
      </c>
      <c r="AI144" s="35">
        <v>1.2613787892877071</v>
      </c>
      <c r="AJ144" s="6">
        <v>1.5115701510129236</v>
      </c>
      <c r="AK144" s="6">
        <v>3.5888438162544176</v>
      </c>
      <c r="AL144" s="6">
        <v>3.0151815932156945</v>
      </c>
      <c r="AM144" s="6">
        <v>4.0015990781036894</v>
      </c>
      <c r="AN144" s="6">
        <v>2.4727039252864942</v>
      </c>
      <c r="AO144" s="6">
        <v>4.5219599575165166</v>
      </c>
      <c r="AP144" s="6">
        <v>1.9994192246892426</v>
      </c>
      <c r="AQ144" s="35">
        <v>1.2613787892877071</v>
      </c>
      <c r="AR144" s="6">
        <v>5.1426614581553896</v>
      </c>
      <c r="AS144" s="6">
        <v>2.2743073926012976</v>
      </c>
      <c r="AT144" s="6">
        <v>2.1200529709031137</v>
      </c>
      <c r="AU144" s="6">
        <v>5.9774531193753822</v>
      </c>
      <c r="AV144" s="6"/>
      <c r="AW144" s="6"/>
      <c r="AY144" s="6"/>
      <c r="AZ144" s="6"/>
      <c r="BA144" s="6"/>
      <c r="BB144" s="6"/>
    </row>
    <row r="145" spans="1:60">
      <c r="E145" t="s">
        <v>46</v>
      </c>
      <c r="AY145" s="6"/>
      <c r="AZ145" s="6"/>
      <c r="BA145" s="6"/>
      <c r="BB145" s="6"/>
    </row>
    <row r="146" spans="1:60">
      <c r="A146" t="s">
        <v>136</v>
      </c>
      <c r="B146" t="s">
        <v>143</v>
      </c>
      <c r="C146" t="s">
        <v>61</v>
      </c>
      <c r="E146" t="s">
        <v>42</v>
      </c>
      <c r="G146" t="s">
        <v>40</v>
      </c>
      <c r="H146" t="s">
        <v>41</v>
      </c>
      <c r="I146">
        <v>2005</v>
      </c>
      <c r="J146" t="s">
        <v>62</v>
      </c>
      <c r="L146" s="51">
        <v>0.67</v>
      </c>
      <c r="M146" s="51">
        <v>5.91</v>
      </c>
      <c r="N146" s="51">
        <v>5.94</v>
      </c>
      <c r="O146" s="51">
        <v>0.53</v>
      </c>
      <c r="P146" s="51">
        <v>1.79</v>
      </c>
      <c r="Q146" s="51">
        <v>5.36</v>
      </c>
      <c r="R146" s="51">
        <v>0</v>
      </c>
      <c r="S146" s="51">
        <v>0.41</v>
      </c>
      <c r="T146" s="51">
        <v>16.23</v>
      </c>
      <c r="U146" s="51">
        <v>0.56999999999999995</v>
      </c>
      <c r="V146" s="51">
        <v>2.02</v>
      </c>
      <c r="W146" s="51">
        <v>1.73</v>
      </c>
      <c r="X146" s="55">
        <v>0</v>
      </c>
      <c r="Y146" s="51">
        <v>5.92</v>
      </c>
      <c r="Z146" s="51">
        <v>0.19</v>
      </c>
      <c r="AA146" s="51">
        <v>1.03</v>
      </c>
      <c r="AB146" s="51">
        <v>0.01</v>
      </c>
      <c r="AC146" s="51">
        <v>0.45</v>
      </c>
      <c r="AD146" s="51">
        <v>0</v>
      </c>
      <c r="AE146" s="51">
        <v>4.7699999999999996</v>
      </c>
      <c r="AF146" s="51">
        <v>0.57999999999999996</v>
      </c>
      <c r="AG146" s="51">
        <v>0.39</v>
      </c>
      <c r="AH146" s="51">
        <v>3.43</v>
      </c>
      <c r="AI146" s="51">
        <v>4.46</v>
      </c>
      <c r="AJ146" s="51">
        <v>0.78</v>
      </c>
      <c r="AK146" s="51">
        <v>0</v>
      </c>
      <c r="AL146" s="51">
        <v>4.34</v>
      </c>
      <c r="AM146" s="55">
        <v>10.08</v>
      </c>
      <c r="AN146" s="55">
        <v>1.7</v>
      </c>
      <c r="AO146" s="55">
        <v>10.96</v>
      </c>
      <c r="AP146" s="55">
        <v>8.56</v>
      </c>
      <c r="AQ146" s="55">
        <v>4.24</v>
      </c>
      <c r="AR146" s="55">
        <v>3.1</v>
      </c>
      <c r="AS146" s="51">
        <v>0.85</v>
      </c>
      <c r="AT146" s="51">
        <v>0.15</v>
      </c>
      <c r="AU146" s="51">
        <v>0.61</v>
      </c>
      <c r="AV146" s="10"/>
      <c r="AW146" s="10"/>
      <c r="AY146" s="6"/>
    </row>
    <row r="147" spans="1:60">
      <c r="A147" t="s">
        <v>136</v>
      </c>
      <c r="B147" t="s">
        <v>143</v>
      </c>
      <c r="C147" t="s">
        <v>61</v>
      </c>
      <c r="E147" t="s">
        <v>42</v>
      </c>
      <c r="G147" t="s">
        <v>40</v>
      </c>
      <c r="H147" t="s">
        <v>41</v>
      </c>
      <c r="I147">
        <v>2010</v>
      </c>
      <c r="J147" t="s">
        <v>62</v>
      </c>
      <c r="L147" s="51">
        <v>0.71</v>
      </c>
      <c r="M147" s="51">
        <v>6.5</v>
      </c>
      <c r="N147" s="51">
        <v>5.85</v>
      </c>
      <c r="O147" s="51">
        <v>0.51</v>
      </c>
      <c r="P147" s="51">
        <v>1.9</v>
      </c>
      <c r="Q147" s="52">
        <v>5.69</v>
      </c>
      <c r="R147" s="51">
        <v>0</v>
      </c>
      <c r="S147" s="51">
        <v>0.38</v>
      </c>
      <c r="T147" s="51">
        <v>17.239999999999998</v>
      </c>
      <c r="U147" s="51">
        <v>0.51</v>
      </c>
      <c r="V147" s="51">
        <v>1.92</v>
      </c>
      <c r="W147" s="51">
        <v>1.78</v>
      </c>
      <c r="X147" s="55">
        <v>0</v>
      </c>
      <c r="Y147" s="51">
        <v>6.26</v>
      </c>
      <c r="Z147" s="51">
        <v>0.17</v>
      </c>
      <c r="AA147" s="51">
        <v>0.95</v>
      </c>
      <c r="AB147" s="51">
        <v>0.01</v>
      </c>
      <c r="AC147" s="51">
        <v>0.43</v>
      </c>
      <c r="AD147" s="51">
        <v>0</v>
      </c>
      <c r="AE147" s="51">
        <v>4.62</v>
      </c>
      <c r="AF147" s="51">
        <v>0.52</v>
      </c>
      <c r="AG147" s="51">
        <v>0.41</v>
      </c>
      <c r="AH147" s="51">
        <v>3.23</v>
      </c>
      <c r="AI147" s="51">
        <v>4.74</v>
      </c>
      <c r="AJ147" s="51">
        <v>0.83</v>
      </c>
      <c r="AK147" s="51">
        <v>0</v>
      </c>
      <c r="AL147" s="51">
        <v>3.92</v>
      </c>
      <c r="AM147" s="57">
        <v>10.7</v>
      </c>
      <c r="AN147" s="55">
        <v>1.92</v>
      </c>
      <c r="AO147" s="55">
        <v>10.38</v>
      </c>
      <c r="AP147" s="55">
        <v>8.5399999999999991</v>
      </c>
      <c r="AQ147" s="55">
        <v>4.51</v>
      </c>
      <c r="AR147" s="55">
        <v>3.8</v>
      </c>
      <c r="AS147" s="51">
        <v>0.75</v>
      </c>
      <c r="AT147" s="51">
        <v>0.14000000000000001</v>
      </c>
      <c r="AU147" s="51">
        <v>0.59</v>
      </c>
      <c r="AV147" s="10"/>
      <c r="AW147" s="6">
        <f>BD147</f>
        <v>80.739999999999981</v>
      </c>
      <c r="AX147" s="6">
        <f>SUM(M147:O147,R147:AC147,AE147:AH147,AK147:AL147,AN147:AP147,AR147:AU147)</f>
        <v>81.329999999999984</v>
      </c>
      <c r="BD147" s="6">
        <f>AX147-AU147</f>
        <v>80.739999999999981</v>
      </c>
    </row>
    <row r="148" spans="1:60">
      <c r="A148" t="s">
        <v>136</v>
      </c>
      <c r="B148" t="s">
        <v>143</v>
      </c>
      <c r="C148" t="s">
        <v>61</v>
      </c>
      <c r="E148" t="s">
        <v>42</v>
      </c>
      <c r="G148" t="s">
        <v>40</v>
      </c>
      <c r="H148" t="s">
        <v>41</v>
      </c>
      <c r="I148">
        <v>2020</v>
      </c>
      <c r="J148" t="s">
        <v>62</v>
      </c>
      <c r="L148" s="51">
        <v>0.86</v>
      </c>
      <c r="M148" s="52">
        <v>7.61</v>
      </c>
      <c r="N148" s="52">
        <v>5.65</v>
      </c>
      <c r="O148" s="52">
        <v>0.46</v>
      </c>
      <c r="P148" s="51">
        <v>2.31</v>
      </c>
      <c r="Q148" s="52">
        <v>5.32</v>
      </c>
      <c r="R148" s="52">
        <v>0</v>
      </c>
      <c r="S148" s="52">
        <v>0.3</v>
      </c>
      <c r="T148" s="52">
        <v>19.29</v>
      </c>
      <c r="U148" s="52">
        <v>0.38</v>
      </c>
      <c r="V148" s="52">
        <v>1.63</v>
      </c>
      <c r="W148" s="52">
        <v>1.88</v>
      </c>
      <c r="X148" s="57">
        <v>0</v>
      </c>
      <c r="Y148" s="52">
        <v>7.02</v>
      </c>
      <c r="Z148" s="52">
        <v>0.15</v>
      </c>
      <c r="AA148" s="52">
        <v>0.8</v>
      </c>
      <c r="AB148" s="52">
        <v>0.01</v>
      </c>
      <c r="AC148" s="52">
        <v>0.35</v>
      </c>
      <c r="AD148" s="51">
        <v>0</v>
      </c>
      <c r="AE148" s="52">
        <v>4.2699999999999996</v>
      </c>
      <c r="AF148" s="52">
        <v>0.41</v>
      </c>
      <c r="AG148" s="52">
        <v>0.43</v>
      </c>
      <c r="AH148" s="52">
        <v>2.73</v>
      </c>
      <c r="AI148" s="51">
        <v>5.76</v>
      </c>
      <c r="AJ148" s="51">
        <v>1.01</v>
      </c>
      <c r="AK148" s="52">
        <v>0</v>
      </c>
      <c r="AL148" s="52">
        <v>3.04</v>
      </c>
      <c r="AM148" s="57">
        <v>10.8</v>
      </c>
      <c r="AN148" s="57">
        <v>2.33</v>
      </c>
      <c r="AO148" s="57">
        <v>8.83</v>
      </c>
      <c r="AP148" s="57">
        <v>8.43</v>
      </c>
      <c r="AQ148" s="55">
        <v>5.47</v>
      </c>
      <c r="AR148" s="57">
        <v>4.9000000000000004</v>
      </c>
      <c r="AS148" s="52">
        <v>0.55000000000000004</v>
      </c>
      <c r="AT148" s="52">
        <v>0.14000000000000001</v>
      </c>
      <c r="AU148" s="52">
        <v>0.55000000000000004</v>
      </c>
      <c r="AV148" s="6"/>
      <c r="AW148" s="6">
        <f>BE148</f>
        <v>81.59</v>
      </c>
      <c r="AY148" s="6">
        <f>SUM(M148:O148,R148:AC148,AE148:AH148,AK148:AL148,AN148:AP148,AR148:AU148)</f>
        <v>82.14</v>
      </c>
      <c r="BE148" s="6">
        <f>AY148-AU148</f>
        <v>81.59</v>
      </c>
    </row>
    <row r="149" spans="1:60">
      <c r="A149" t="s">
        <v>136</v>
      </c>
      <c r="B149" t="s">
        <v>143</v>
      </c>
      <c r="C149" t="s">
        <v>61</v>
      </c>
      <c r="E149" t="s">
        <v>42</v>
      </c>
      <c r="G149" t="s">
        <v>40</v>
      </c>
      <c r="H149" t="s">
        <v>41</v>
      </c>
      <c r="I149">
        <v>2030</v>
      </c>
      <c r="J149" t="s">
        <v>62</v>
      </c>
      <c r="L149" s="51">
        <v>1.02</v>
      </c>
      <c r="M149" s="52">
        <v>8.9</v>
      </c>
      <c r="N149" s="52">
        <v>5.54</v>
      </c>
      <c r="O149" s="52">
        <v>0.43</v>
      </c>
      <c r="P149" s="51">
        <v>2.71</v>
      </c>
      <c r="Q149" s="52">
        <v>4.99</v>
      </c>
      <c r="R149" s="52">
        <v>0</v>
      </c>
      <c r="S149" s="52">
        <v>0.27</v>
      </c>
      <c r="T149" s="52">
        <v>21.16</v>
      </c>
      <c r="U149" s="52">
        <v>0.28999999999999998</v>
      </c>
      <c r="V149" s="52">
        <v>1.54</v>
      </c>
      <c r="W149" s="52">
        <v>1.98</v>
      </c>
      <c r="X149" s="57">
        <v>0</v>
      </c>
      <c r="Y149" s="52">
        <v>7.59</v>
      </c>
      <c r="Z149" s="52">
        <v>0.13</v>
      </c>
      <c r="AA149" s="52">
        <v>0.65</v>
      </c>
      <c r="AB149" s="52">
        <v>0.01</v>
      </c>
      <c r="AC149" s="52">
        <v>0.35</v>
      </c>
      <c r="AD149" s="51">
        <v>0</v>
      </c>
      <c r="AE149" s="52">
        <v>4.05</v>
      </c>
      <c r="AF149" s="52">
        <v>0.32</v>
      </c>
      <c r="AG149" s="52">
        <v>0.47</v>
      </c>
      <c r="AH149" s="52">
        <v>2.4700000000000002</v>
      </c>
      <c r="AI149" s="51">
        <v>6.79</v>
      </c>
      <c r="AJ149" s="51">
        <v>1.19</v>
      </c>
      <c r="AK149" s="52">
        <v>0</v>
      </c>
      <c r="AL149" s="52">
        <v>2.2400000000000002</v>
      </c>
      <c r="AM149" s="57">
        <v>10.3</v>
      </c>
      <c r="AN149" s="57">
        <v>2.79</v>
      </c>
      <c r="AO149" s="57">
        <v>8.31</v>
      </c>
      <c r="AP149" s="57">
        <v>8.5299999999999994</v>
      </c>
      <c r="AQ149" s="55">
        <v>6.45</v>
      </c>
      <c r="AR149" s="57">
        <v>6.7</v>
      </c>
      <c r="AS149" s="52">
        <v>0.34</v>
      </c>
      <c r="AT149" s="52">
        <v>0.12</v>
      </c>
      <c r="AU149" s="52">
        <v>0.55000000000000004</v>
      </c>
      <c r="AV149" s="6"/>
      <c r="AW149" s="6">
        <f>BF149</f>
        <v>85.179999999999993</v>
      </c>
      <c r="AZ149" s="6">
        <f>SUM(M149:O149,R149:AC149,AE149:AH149,AK149:AL149,AN149:AP149,AR149:AU149)</f>
        <v>85.72999999999999</v>
      </c>
      <c r="BF149" s="6">
        <f>AZ149-AU149</f>
        <v>85.179999999999993</v>
      </c>
    </row>
    <row r="150" spans="1:60">
      <c r="A150" t="s">
        <v>136</v>
      </c>
      <c r="B150" t="s">
        <v>143</v>
      </c>
      <c r="C150" t="s">
        <v>61</v>
      </c>
      <c r="E150" t="s">
        <v>42</v>
      </c>
      <c r="G150" t="s">
        <v>40</v>
      </c>
      <c r="H150" t="s">
        <v>41</v>
      </c>
      <c r="I150">
        <v>2040</v>
      </c>
      <c r="J150" t="s">
        <v>62</v>
      </c>
      <c r="L150" s="51">
        <v>1.51</v>
      </c>
      <c r="M150" s="52">
        <v>10.06</v>
      </c>
      <c r="N150" s="52">
        <v>5.35</v>
      </c>
      <c r="O150" s="52">
        <v>0.39</v>
      </c>
      <c r="P150" s="51">
        <v>4.0199999999999996</v>
      </c>
      <c r="Q150" s="52">
        <v>7.35</v>
      </c>
      <c r="R150" s="52">
        <v>0</v>
      </c>
      <c r="S150" s="52">
        <v>0.2</v>
      </c>
      <c r="T150" s="52">
        <v>23.31</v>
      </c>
      <c r="U150" s="52">
        <v>0.16</v>
      </c>
      <c r="V150" s="52">
        <v>1.28</v>
      </c>
      <c r="W150" s="52">
        <v>2.08</v>
      </c>
      <c r="X150" s="57">
        <v>0</v>
      </c>
      <c r="Y150" s="52">
        <v>8.33</v>
      </c>
      <c r="Z150" s="52">
        <v>0.1</v>
      </c>
      <c r="AA150" s="52">
        <v>0.49</v>
      </c>
      <c r="AB150" s="52">
        <v>0.01</v>
      </c>
      <c r="AC150" s="52">
        <v>0.3</v>
      </c>
      <c r="AD150" s="51">
        <v>0</v>
      </c>
      <c r="AE150" s="52">
        <v>3.73</v>
      </c>
      <c r="AF150" s="52">
        <v>0.2</v>
      </c>
      <c r="AG150" s="52">
        <v>0.5</v>
      </c>
      <c r="AH150" s="52">
        <v>2</v>
      </c>
      <c r="AI150" s="51">
        <v>10.06</v>
      </c>
      <c r="AJ150" s="51">
        <v>1.76</v>
      </c>
      <c r="AK150" s="52">
        <v>0</v>
      </c>
      <c r="AL150" s="52">
        <v>1.36</v>
      </c>
      <c r="AM150" s="57">
        <v>14.4</v>
      </c>
      <c r="AN150" s="57">
        <v>3.2</v>
      </c>
      <c r="AO150" s="57">
        <v>6.91</v>
      </c>
      <c r="AP150" s="57">
        <v>8.44</v>
      </c>
      <c r="AQ150" s="55">
        <v>9.5500000000000007</v>
      </c>
      <c r="AR150" s="57">
        <v>8</v>
      </c>
      <c r="AS150" s="52">
        <v>0.14000000000000001</v>
      </c>
      <c r="AT150" s="52">
        <v>0.11</v>
      </c>
      <c r="AU150" s="52">
        <v>0.52</v>
      </c>
      <c r="AV150" s="6"/>
      <c r="AW150" s="6">
        <f>BG150</f>
        <v>86.649999999999991</v>
      </c>
      <c r="AZ150" s="6"/>
      <c r="BA150" s="6">
        <f>SUM(M150:O150,R150:AC150,AE150:AH150,AK150:AL150,AN150:AP150,AR150:AU150)</f>
        <v>87.169999999999987</v>
      </c>
      <c r="BG150" s="6">
        <f>BA150-AU150</f>
        <v>86.649999999999991</v>
      </c>
    </row>
    <row r="151" spans="1:60">
      <c r="A151" t="s">
        <v>136</v>
      </c>
      <c r="B151" t="s">
        <v>143</v>
      </c>
      <c r="C151" t="s">
        <v>61</v>
      </c>
      <c r="E151" t="s">
        <v>42</v>
      </c>
      <c r="G151" t="s">
        <v>40</v>
      </c>
      <c r="H151" s="5" t="s">
        <v>41</v>
      </c>
      <c r="I151" s="5">
        <v>2050</v>
      </c>
      <c r="J151" s="5" t="s">
        <v>62</v>
      </c>
      <c r="K151" s="5"/>
      <c r="L151" s="51">
        <v>1.64</v>
      </c>
      <c r="M151" s="53">
        <v>11.24</v>
      </c>
      <c r="N151" s="53">
        <v>5.19</v>
      </c>
      <c r="O151" s="53">
        <v>0.35</v>
      </c>
      <c r="P151" s="51">
        <v>4.37</v>
      </c>
      <c r="Q151" s="52">
        <v>8.84</v>
      </c>
      <c r="R151" s="53">
        <v>0</v>
      </c>
      <c r="S151" s="53">
        <v>0.13</v>
      </c>
      <c r="T151" s="53">
        <v>25.33</v>
      </c>
      <c r="U151" s="53">
        <v>0.05</v>
      </c>
      <c r="V151" s="53">
        <v>1.06</v>
      </c>
      <c r="W151" s="53">
        <v>2.1800000000000002</v>
      </c>
      <c r="X151" s="58">
        <v>0</v>
      </c>
      <c r="Y151" s="53">
        <v>9.02</v>
      </c>
      <c r="Z151" s="53">
        <v>0.08</v>
      </c>
      <c r="AA151" s="53">
        <v>0.34</v>
      </c>
      <c r="AB151" s="53">
        <v>0.01</v>
      </c>
      <c r="AC151" s="53">
        <v>0.25</v>
      </c>
      <c r="AD151" s="51">
        <v>0</v>
      </c>
      <c r="AE151" s="53">
        <v>3.43</v>
      </c>
      <c r="AF151" s="53">
        <v>0.1</v>
      </c>
      <c r="AG151" s="53">
        <v>0.53</v>
      </c>
      <c r="AH151" s="53">
        <v>1.59</v>
      </c>
      <c r="AI151" s="51">
        <v>10.93</v>
      </c>
      <c r="AJ151" s="51">
        <v>1.91</v>
      </c>
      <c r="AK151" s="53">
        <v>0</v>
      </c>
      <c r="AL151" s="53">
        <v>0.5</v>
      </c>
      <c r="AM151" s="57">
        <v>15.7</v>
      </c>
      <c r="AN151" s="58">
        <v>3.63</v>
      </c>
      <c r="AO151" s="58">
        <v>5.75</v>
      </c>
      <c r="AP151" s="58">
        <v>8.41</v>
      </c>
      <c r="AQ151" s="55">
        <v>10.39</v>
      </c>
      <c r="AR151" s="58">
        <v>9.4</v>
      </c>
      <c r="AS151" s="53">
        <v>0</v>
      </c>
      <c r="AT151" s="53">
        <v>0.1</v>
      </c>
      <c r="AU151" s="53">
        <v>0.49</v>
      </c>
      <c r="AV151" s="6"/>
      <c r="AW151" s="6">
        <f>BH151</f>
        <v>88.67</v>
      </c>
      <c r="AZ151" s="6"/>
      <c r="BA151" s="6"/>
      <c r="BB151" s="6">
        <f>SUM(M151:O151,R151:AC151,AE151:AH151,AK151:AL151,AN151:AP151,AR151:AU151)</f>
        <v>89.16</v>
      </c>
      <c r="BH151" s="6">
        <f>BB151-AU151</f>
        <v>88.67</v>
      </c>
    </row>
    <row r="152" spans="1:60">
      <c r="A152" t="s">
        <v>136</v>
      </c>
      <c r="B152" t="s">
        <v>143</v>
      </c>
      <c r="C152" t="s">
        <v>61</v>
      </c>
      <c r="F152" t="s">
        <v>105</v>
      </c>
      <c r="H152" t="s">
        <v>45</v>
      </c>
      <c r="I152">
        <v>2005</v>
      </c>
      <c r="J152" t="s">
        <v>62</v>
      </c>
      <c r="L152" s="6">
        <v>1.9463607719129685</v>
      </c>
      <c r="M152" s="6">
        <v>2.8214183464343474</v>
      </c>
      <c r="N152" s="52">
        <v>2.276818161325612</v>
      </c>
      <c r="O152" s="6">
        <v>2.7062903459492413</v>
      </c>
      <c r="P152" s="6">
        <v>1.9463607719129685</v>
      </c>
      <c r="Q152" s="6">
        <v>2.8214183464343474</v>
      </c>
      <c r="R152" s="6">
        <v>2.7816238287557935</v>
      </c>
      <c r="S152" s="6">
        <v>3.0093899780443483</v>
      </c>
      <c r="T152" s="6">
        <v>3.4906586236515906</v>
      </c>
      <c r="U152" s="6">
        <v>3.0029067011031878</v>
      </c>
      <c r="V152" s="6">
        <v>2.1147980477924158</v>
      </c>
      <c r="W152" s="6">
        <v>3.0302685694822413</v>
      </c>
      <c r="X152" s="6">
        <v>2.5812043442644308</v>
      </c>
      <c r="Y152" s="6">
        <v>3.1317038432821001</v>
      </c>
      <c r="Z152" s="6">
        <v>2.7816238287557935</v>
      </c>
      <c r="AA152" s="6">
        <v>1.9984924975121034</v>
      </c>
      <c r="AB152" s="6">
        <v>3.0566119163467698</v>
      </c>
      <c r="AC152" s="6">
        <v>4.1709585782895822</v>
      </c>
      <c r="AD152" s="6">
        <v>0</v>
      </c>
      <c r="AE152" s="6">
        <v>3.2820001715452638</v>
      </c>
      <c r="AF152" s="6">
        <v>2.0239815864000219</v>
      </c>
      <c r="AG152" s="6">
        <v>2.8589633191402815</v>
      </c>
      <c r="AH152" s="6">
        <v>1.8075019407970463</v>
      </c>
      <c r="AI152" s="6">
        <v>1.9463607719129685</v>
      </c>
      <c r="AJ152" s="6">
        <v>1.9463607719129685</v>
      </c>
      <c r="AK152" s="6">
        <v>0</v>
      </c>
      <c r="AL152" s="6">
        <v>2.9839592815966705</v>
      </c>
      <c r="AM152" s="6">
        <v>2.8898552802351656</v>
      </c>
      <c r="AN152" s="6">
        <v>3.0031622662300994</v>
      </c>
      <c r="AO152" s="6">
        <v>2.8535445048662407</v>
      </c>
      <c r="AP152" s="6">
        <v>1.9463607719129685</v>
      </c>
      <c r="AQ152" s="6">
        <v>1.9463607719129685</v>
      </c>
      <c r="AR152" s="6">
        <v>2.8458065359927405</v>
      </c>
      <c r="AS152" s="6">
        <v>2.489119308602918</v>
      </c>
      <c r="AT152" s="6">
        <v>2.455043714993236</v>
      </c>
      <c r="AU152" s="6">
        <v>2.2670373991448289</v>
      </c>
      <c r="AV152" s="6"/>
      <c r="AW152" s="6"/>
    </row>
    <row r="153" spans="1:60">
      <c r="A153" t="s">
        <v>136</v>
      </c>
      <c r="B153" t="s">
        <v>143</v>
      </c>
      <c r="C153" t="s">
        <v>61</v>
      </c>
      <c r="F153" t="s">
        <v>105</v>
      </c>
      <c r="H153" t="s">
        <v>45</v>
      </c>
      <c r="I153">
        <v>2010</v>
      </c>
      <c r="J153" t="s">
        <v>62</v>
      </c>
      <c r="L153" s="41">
        <v>1.9463607719129685</v>
      </c>
      <c r="M153" s="6">
        <v>2.8214183464343474</v>
      </c>
      <c r="N153" s="52">
        <v>2.276818161325612</v>
      </c>
      <c r="O153" s="6">
        <v>2.7062903459492413</v>
      </c>
      <c r="P153" s="41">
        <v>1.9463607719129685</v>
      </c>
      <c r="Q153" s="6">
        <v>2.8214183464343474</v>
      </c>
      <c r="R153" s="6">
        <v>2.7816238287557935</v>
      </c>
      <c r="S153" s="6">
        <v>3.0093899780443483</v>
      </c>
      <c r="T153" s="6">
        <v>3.4906586236515906</v>
      </c>
      <c r="U153" s="6">
        <v>3.0029067011031878</v>
      </c>
      <c r="V153" s="6">
        <v>2.1147980477924158</v>
      </c>
      <c r="W153" s="6">
        <v>3.0302685694822413</v>
      </c>
      <c r="X153" s="6">
        <v>2.5812043442644308</v>
      </c>
      <c r="Y153" s="6">
        <v>3.1317038432821001</v>
      </c>
      <c r="Z153" s="6">
        <v>2.7816238287557935</v>
      </c>
      <c r="AA153" s="6">
        <v>1.9984924975121034</v>
      </c>
      <c r="AB153" s="6">
        <v>3.0566119163467698</v>
      </c>
      <c r="AC153" s="6">
        <v>4.1709585782895822</v>
      </c>
      <c r="AD153" s="6">
        <v>0</v>
      </c>
      <c r="AE153" s="6">
        <v>3.2820001715452638</v>
      </c>
      <c r="AF153" s="6">
        <v>2.0239815864000219</v>
      </c>
      <c r="AG153" s="6">
        <v>2.8589633191402815</v>
      </c>
      <c r="AH153" s="6">
        <v>1.8075019407970463</v>
      </c>
      <c r="AI153" s="41">
        <v>1.9463607719129685</v>
      </c>
      <c r="AJ153" s="41">
        <v>1.9463607719129685</v>
      </c>
      <c r="AK153" s="6">
        <v>0</v>
      </c>
      <c r="AL153" s="6">
        <v>2.9839592815966705</v>
      </c>
      <c r="AM153" s="6">
        <v>2.8898552802351656</v>
      </c>
      <c r="AN153" s="6">
        <v>3.0031622662300994</v>
      </c>
      <c r="AO153" s="6">
        <v>2.8535445048662407</v>
      </c>
      <c r="AP153" s="6">
        <v>1.9463607719129685</v>
      </c>
      <c r="AQ153" s="41">
        <v>1.9463607719129685</v>
      </c>
      <c r="AR153" s="6">
        <v>2.8458065359927405</v>
      </c>
      <c r="AS153" s="6">
        <v>2.489119308602918</v>
      </c>
      <c r="AT153" s="6">
        <v>2.455043714993236</v>
      </c>
      <c r="AU153" s="6">
        <v>2.2670373991448289</v>
      </c>
      <c r="AV153" s="6"/>
      <c r="AW153" s="6"/>
      <c r="AY153" s="6"/>
      <c r="AZ153" s="6"/>
      <c r="BA153" s="6"/>
      <c r="BB153" s="6"/>
    </row>
    <row r="154" spans="1:60">
      <c r="A154" t="s">
        <v>136</v>
      </c>
      <c r="B154" t="s">
        <v>143</v>
      </c>
      <c r="C154" t="s">
        <v>61</v>
      </c>
      <c r="F154" t="s">
        <v>105</v>
      </c>
      <c r="H154" t="s">
        <v>45</v>
      </c>
      <c r="I154">
        <v>2020</v>
      </c>
      <c r="J154" t="s">
        <v>62</v>
      </c>
      <c r="L154" s="41">
        <v>1.81392980052436</v>
      </c>
      <c r="M154" s="6">
        <v>2.6332505586303441</v>
      </c>
      <c r="N154" s="52">
        <v>2.1329049398352842</v>
      </c>
      <c r="O154" s="6">
        <v>2.5149367723061911</v>
      </c>
      <c r="P154" s="41">
        <v>1.81392980052436</v>
      </c>
      <c r="Q154" s="6">
        <v>2.6332505586303441</v>
      </c>
      <c r="R154" s="6">
        <v>0</v>
      </c>
      <c r="S154" s="6">
        <v>2.7968241692448879</v>
      </c>
      <c r="T154" s="6">
        <v>3.2487622797597164</v>
      </c>
      <c r="U154" s="6">
        <v>2.811734338689722</v>
      </c>
      <c r="V154" s="6">
        <v>1.9732163005049816</v>
      </c>
      <c r="W154" s="6">
        <v>2.8228208271336808</v>
      </c>
      <c r="X154" s="6">
        <v>2.4144956773917445</v>
      </c>
      <c r="Y154" s="6">
        <v>2.919257806817984</v>
      </c>
      <c r="Z154" s="6">
        <v>2.592564621272694</v>
      </c>
      <c r="AA154" s="6">
        <v>1.8409859240131965</v>
      </c>
      <c r="AB154" s="6">
        <v>2.8395397009014145</v>
      </c>
      <c r="AC154" s="6">
        <v>3.8763539723277032</v>
      </c>
      <c r="AD154" s="6">
        <v>0</v>
      </c>
      <c r="AE154" s="6">
        <v>3.0603825043648905</v>
      </c>
      <c r="AF154" s="6">
        <v>1.8869774584722425</v>
      </c>
      <c r="AG154" s="6">
        <v>2.6676153019773552</v>
      </c>
      <c r="AH154" s="6">
        <v>1.6888082903078843</v>
      </c>
      <c r="AI154" s="41">
        <v>1.81392980052436</v>
      </c>
      <c r="AJ154" s="41">
        <v>1.81392980052436</v>
      </c>
      <c r="AK154" s="6">
        <v>0</v>
      </c>
      <c r="AL154" s="6">
        <v>2.7867295753265893</v>
      </c>
      <c r="AM154" s="6">
        <v>2.9211007179709316</v>
      </c>
      <c r="AN154" s="6">
        <v>2.7900565716966788</v>
      </c>
      <c r="AO154" s="6">
        <v>2.6553310795271869</v>
      </c>
      <c r="AP154" s="6">
        <v>1.81392980052436</v>
      </c>
      <c r="AQ154" s="41">
        <v>1.81392980052436</v>
      </c>
      <c r="AR154" s="6">
        <v>2.6607631022366882</v>
      </c>
      <c r="AS154" s="6">
        <v>2.3207233129233833</v>
      </c>
      <c r="AT154" s="6">
        <v>2.2866520932974987</v>
      </c>
      <c r="AU154" s="6">
        <v>2.0392767205662903</v>
      </c>
      <c r="AV154" s="6"/>
      <c r="AW154" s="6"/>
      <c r="AY154" s="6"/>
      <c r="AZ154" s="6"/>
      <c r="BA154" s="6"/>
      <c r="BB154" s="6"/>
    </row>
    <row r="155" spans="1:60">
      <c r="A155" t="s">
        <v>136</v>
      </c>
      <c r="B155" t="s">
        <v>143</v>
      </c>
      <c r="C155" t="s">
        <v>61</v>
      </c>
      <c r="F155" t="s">
        <v>105</v>
      </c>
      <c r="H155" t="s">
        <v>45</v>
      </c>
      <c r="I155">
        <v>2030</v>
      </c>
      <c r="J155" t="s">
        <v>62</v>
      </c>
      <c r="L155" s="41">
        <v>1.6591455388232039</v>
      </c>
      <c r="M155" s="6">
        <v>2.413630179287515</v>
      </c>
      <c r="N155" s="52">
        <v>1.964734936497823</v>
      </c>
      <c r="O155" s="6">
        <v>2.2912752037224577</v>
      </c>
      <c r="P155" s="41">
        <v>1.6591455388232039</v>
      </c>
      <c r="Q155" s="6">
        <v>2.413630179287515</v>
      </c>
      <c r="R155" s="6">
        <v>0</v>
      </c>
      <c r="S155" s="6">
        <v>2.5483625386976492</v>
      </c>
      <c r="T155" s="6">
        <v>2.966228877656643</v>
      </c>
      <c r="U155" s="6">
        <v>2.5880637834508673</v>
      </c>
      <c r="V155" s="6">
        <v>1.8077311413378507</v>
      </c>
      <c r="W155" s="6">
        <v>2.5804047952165745</v>
      </c>
      <c r="X155" s="6">
        <v>2.2196343764919666</v>
      </c>
      <c r="Y155" s="6">
        <v>2.6711945787143834</v>
      </c>
      <c r="Z155" s="6">
        <v>2.3715818641704578</v>
      </c>
      <c r="AA155" s="6">
        <v>1.6568873316118771</v>
      </c>
      <c r="AB155" s="6">
        <v>2.585801751184591</v>
      </c>
      <c r="AC155" s="6">
        <v>3.5320074218885846</v>
      </c>
      <c r="AD155" s="6">
        <v>0</v>
      </c>
      <c r="AE155" s="6">
        <v>2.8018955583892966</v>
      </c>
      <c r="AF155" s="6">
        <v>1.7268427634917209</v>
      </c>
      <c r="AG155" s="6">
        <v>2.4439617754232854</v>
      </c>
      <c r="AH155" s="6">
        <v>1.5500754520737996</v>
      </c>
      <c r="AI155" s="41">
        <v>1.6591455388232039</v>
      </c>
      <c r="AJ155" s="41">
        <v>1.6591455388232039</v>
      </c>
      <c r="AK155" s="6">
        <v>0</v>
      </c>
      <c r="AL155" s="6">
        <v>2.5558461805321016</v>
      </c>
      <c r="AM155" s="6">
        <v>2.6831546921370211</v>
      </c>
      <c r="AN155" s="6">
        <v>2.5409761932167338</v>
      </c>
      <c r="AO155" s="6">
        <v>2.4236506365830888</v>
      </c>
      <c r="AP155" s="6">
        <v>1.6591455388232039</v>
      </c>
      <c r="AQ155" s="41">
        <v>1.6591455388232039</v>
      </c>
      <c r="AR155" s="6">
        <v>2.4444446681863532</v>
      </c>
      <c r="AS155" s="6">
        <v>2.1239052145709887</v>
      </c>
      <c r="AT155" s="6">
        <v>2.0898384422843499</v>
      </c>
      <c r="AU155" s="6">
        <v>1.829071759683043</v>
      </c>
      <c r="AV155" s="6"/>
      <c r="AW155" s="6"/>
      <c r="AY155" s="6"/>
      <c r="AZ155" s="6"/>
      <c r="BA155" s="6"/>
      <c r="BB155" s="6"/>
    </row>
    <row r="156" spans="1:60">
      <c r="A156" t="s">
        <v>136</v>
      </c>
      <c r="B156" t="s">
        <v>143</v>
      </c>
      <c r="C156" t="s">
        <v>61</v>
      </c>
      <c r="F156" t="s">
        <v>105</v>
      </c>
      <c r="H156" t="s">
        <v>45</v>
      </c>
      <c r="I156">
        <v>2040</v>
      </c>
      <c r="J156" t="s">
        <v>62</v>
      </c>
      <c r="L156" s="41">
        <v>1.5198378805329151</v>
      </c>
      <c r="M156" s="6">
        <v>2.2162218475370894</v>
      </c>
      <c r="N156" s="52">
        <v>1.8133836722718772</v>
      </c>
      <c r="O156" s="6">
        <v>2.0900012167132522</v>
      </c>
      <c r="P156" s="41">
        <v>1.5198378805329151</v>
      </c>
      <c r="Q156" s="6">
        <v>2.2162218475370894</v>
      </c>
      <c r="R156" s="6">
        <v>0</v>
      </c>
      <c r="S156" s="6">
        <v>2.3248542807027945</v>
      </c>
      <c r="T156" s="6">
        <v>2.71197517105192</v>
      </c>
      <c r="U156" s="6">
        <v>2.3868570777110527</v>
      </c>
      <c r="V156" s="6">
        <v>1.658794498087433</v>
      </c>
      <c r="W156" s="6">
        <v>2.3621904091153807</v>
      </c>
      <c r="X156" s="6">
        <v>2.0441916829466424</v>
      </c>
      <c r="Y156" s="6">
        <v>2.448640159286839</v>
      </c>
      <c r="Z156" s="6">
        <v>2.1726988836876013</v>
      </c>
      <c r="AA156" s="6">
        <v>1.4911985984506892</v>
      </c>
      <c r="AB156" s="6">
        <v>2.3573938877315697</v>
      </c>
      <c r="AC156" s="6">
        <v>3.2220961494978608</v>
      </c>
      <c r="AD156" s="6">
        <v>0</v>
      </c>
      <c r="AE156" s="6">
        <v>2.5698911289338402</v>
      </c>
      <c r="AF156" s="6">
        <v>1.5827215380092512</v>
      </c>
      <c r="AG156" s="6">
        <v>2.2426736015246229</v>
      </c>
      <c r="AH156" s="6">
        <v>1.4252158976631228</v>
      </c>
      <c r="AI156" s="41">
        <v>1.5198378805329151</v>
      </c>
      <c r="AJ156" s="41">
        <v>1.5198378805329151</v>
      </c>
      <c r="AK156" s="6">
        <v>0</v>
      </c>
      <c r="AL156" s="6">
        <v>2.3472959470528956</v>
      </c>
      <c r="AM156" s="6">
        <v>2.4690032688865022</v>
      </c>
      <c r="AN156" s="6">
        <v>2.3168007203663437</v>
      </c>
      <c r="AO156" s="6">
        <v>2.215143441104241</v>
      </c>
      <c r="AP156" s="6">
        <v>1.5198378805329151</v>
      </c>
      <c r="AQ156" s="41">
        <v>1.5198378805329151</v>
      </c>
      <c r="AR156" s="6">
        <v>2.2496269261992712</v>
      </c>
      <c r="AS156" s="6">
        <v>1.9467650796020104</v>
      </c>
      <c r="AT156" s="6">
        <v>1.9127046583120031</v>
      </c>
      <c r="AU156" s="6">
        <v>1.6717773019837545</v>
      </c>
      <c r="AV156" s="6"/>
      <c r="AW156" s="6"/>
      <c r="AY156" s="6"/>
      <c r="AZ156" s="6"/>
      <c r="BA156" s="6"/>
      <c r="BB156" s="6"/>
    </row>
    <row r="157" spans="1:60">
      <c r="A157" t="s">
        <v>136</v>
      </c>
      <c r="B157" t="s">
        <v>143</v>
      </c>
      <c r="C157" t="s">
        <v>61</v>
      </c>
      <c r="F157" t="s">
        <v>105</v>
      </c>
      <c r="H157" t="s">
        <v>45</v>
      </c>
      <c r="I157">
        <v>2050</v>
      </c>
      <c r="J157" t="s">
        <v>62</v>
      </c>
      <c r="L157" s="41">
        <v>1.3944614561766711</v>
      </c>
      <c r="M157" s="6">
        <v>2.0394839778452387</v>
      </c>
      <c r="N157" s="52">
        <v>1.6771708503713079</v>
      </c>
      <c r="O157" s="6">
        <v>1.9088303361801016</v>
      </c>
      <c r="P157" s="41">
        <v>1.3944614561766711</v>
      </c>
      <c r="Q157" s="6">
        <v>2.0394839778452387</v>
      </c>
      <c r="R157" s="6">
        <v>0</v>
      </c>
      <c r="S157" s="6">
        <v>2.1236962970511453</v>
      </c>
      <c r="T157" s="6">
        <v>2.4831432860769262</v>
      </c>
      <c r="U157" s="6">
        <v>2.2058063733988567</v>
      </c>
      <c r="V157" s="6">
        <v>1.5247515191620569</v>
      </c>
      <c r="W157" s="6">
        <v>2.1657912199651346</v>
      </c>
      <c r="X157" s="6">
        <v>1.886312293366349</v>
      </c>
      <c r="Y157" s="6">
        <v>2.2482801602028526</v>
      </c>
      <c r="Z157" s="6">
        <v>1.993706163708008</v>
      </c>
      <c r="AA157" s="6">
        <v>1.3420787386056203</v>
      </c>
      <c r="AB157" s="6">
        <v>2.1518462087668513</v>
      </c>
      <c r="AC157" s="6">
        <v>2.9431748879003408</v>
      </c>
      <c r="AD157" s="6">
        <v>0</v>
      </c>
      <c r="AE157" s="6">
        <v>2.3598262835251504</v>
      </c>
      <c r="AF157" s="6">
        <v>1.4530124350750286</v>
      </c>
      <c r="AG157" s="6">
        <v>2.0615142450158266</v>
      </c>
      <c r="AH157" s="6">
        <v>1.3128422986935138</v>
      </c>
      <c r="AI157" s="41">
        <v>1.3944614561766711</v>
      </c>
      <c r="AJ157" s="41">
        <v>1.3944614561766711</v>
      </c>
      <c r="AK157" s="6">
        <v>0</v>
      </c>
      <c r="AL157" s="6">
        <v>2.1597282906461031</v>
      </c>
      <c r="AM157" s="6">
        <v>2.2762669879610358</v>
      </c>
      <c r="AN157" s="6">
        <v>2.11503871404854</v>
      </c>
      <c r="AO157" s="6">
        <v>2.0274845214489217</v>
      </c>
      <c r="AP157" s="6">
        <v>1.3944614561766711</v>
      </c>
      <c r="AQ157" s="41">
        <v>1.3944614561766711</v>
      </c>
      <c r="AR157" s="6">
        <v>2.0743066900199896</v>
      </c>
      <c r="AS157" s="6">
        <v>1.787353447496828</v>
      </c>
      <c r="AT157" s="6">
        <v>1.7532815234061441</v>
      </c>
      <c r="AU157" s="6">
        <v>1.5820604962714846</v>
      </c>
      <c r="AV157" s="6"/>
      <c r="AW157" s="6"/>
      <c r="AY157" s="6"/>
      <c r="AZ157" s="6"/>
      <c r="BA157" s="6"/>
      <c r="BB157" s="6"/>
    </row>
    <row r="158" spans="1:60">
      <c r="E158" t="s">
        <v>46</v>
      </c>
      <c r="AY158" s="6"/>
      <c r="AZ158" s="6"/>
      <c r="BA158" s="6"/>
      <c r="BB158" s="6"/>
    </row>
    <row r="159" spans="1:60">
      <c r="A159" t="s">
        <v>136</v>
      </c>
      <c r="B159" t="s">
        <v>143</v>
      </c>
      <c r="C159" t="s">
        <v>64</v>
      </c>
      <c r="E159" t="s">
        <v>42</v>
      </c>
      <c r="G159" t="s">
        <v>40</v>
      </c>
      <c r="H159" t="s">
        <v>41</v>
      </c>
      <c r="I159">
        <v>2005</v>
      </c>
      <c r="J159" t="s">
        <v>63</v>
      </c>
      <c r="L159" s="51">
        <v>0.79</v>
      </c>
      <c r="M159" s="51">
        <v>7.78</v>
      </c>
      <c r="N159" s="51">
        <v>0.38</v>
      </c>
      <c r="O159" s="51">
        <v>1.24</v>
      </c>
      <c r="P159" s="51">
        <v>2.12</v>
      </c>
      <c r="Q159" s="51">
        <v>8.6199999999999992</v>
      </c>
      <c r="R159" s="51">
        <v>0</v>
      </c>
      <c r="S159" s="51">
        <v>1.96</v>
      </c>
      <c r="T159" s="51">
        <v>15.22</v>
      </c>
      <c r="U159" s="51">
        <v>0.78</v>
      </c>
      <c r="V159" s="51">
        <v>7.97</v>
      </c>
      <c r="W159" s="51">
        <v>3.2</v>
      </c>
      <c r="X159" s="55">
        <v>55</v>
      </c>
      <c r="Y159" s="51">
        <v>11.48</v>
      </c>
      <c r="Z159" s="51">
        <v>0.35</v>
      </c>
      <c r="AA159" s="51">
        <v>2.0299999999999998</v>
      </c>
      <c r="AB159" s="51">
        <v>0.1</v>
      </c>
      <c r="AC159" s="51">
        <v>0</v>
      </c>
      <c r="AD159" s="51">
        <v>0</v>
      </c>
      <c r="AE159" s="51">
        <v>3.06</v>
      </c>
      <c r="AF159" s="51">
        <v>3.03</v>
      </c>
      <c r="AG159" s="51">
        <v>0.25</v>
      </c>
      <c r="AH159" s="51">
        <v>15.53</v>
      </c>
      <c r="AI159" s="51">
        <v>5.3</v>
      </c>
      <c r="AJ159" s="51">
        <v>0.93</v>
      </c>
      <c r="AK159" s="51">
        <v>0</v>
      </c>
      <c r="AL159" s="51">
        <v>0.44</v>
      </c>
      <c r="AM159" s="55">
        <v>16.21</v>
      </c>
      <c r="AN159" s="55">
        <v>7.15</v>
      </c>
      <c r="AO159" s="55">
        <v>0.8</v>
      </c>
      <c r="AP159" s="55">
        <v>3.52</v>
      </c>
      <c r="AQ159" s="55">
        <v>5.03</v>
      </c>
      <c r="AR159" s="55">
        <v>18.48</v>
      </c>
      <c r="AS159" s="51">
        <v>0.84</v>
      </c>
      <c r="AT159" s="51">
        <v>1.34</v>
      </c>
      <c r="AU159" s="51">
        <v>4.57</v>
      </c>
      <c r="AV159" s="10"/>
      <c r="AW159" s="10"/>
      <c r="AY159" s="6"/>
    </row>
    <row r="160" spans="1:60">
      <c r="A160" t="s">
        <v>136</v>
      </c>
      <c r="B160" t="s">
        <v>143</v>
      </c>
      <c r="C160" t="s">
        <v>64</v>
      </c>
      <c r="E160" t="s">
        <v>42</v>
      </c>
      <c r="G160" t="s">
        <v>40</v>
      </c>
      <c r="H160" t="s">
        <v>41</v>
      </c>
      <c r="I160">
        <v>2010</v>
      </c>
      <c r="J160" t="s">
        <v>63</v>
      </c>
      <c r="L160" s="51">
        <v>0.8</v>
      </c>
      <c r="M160" s="51">
        <v>7.91</v>
      </c>
      <c r="N160" s="51">
        <v>0.4</v>
      </c>
      <c r="O160" s="51">
        <v>1.21</v>
      </c>
      <c r="P160" s="51">
        <v>2.14</v>
      </c>
      <c r="Q160" s="52">
        <v>8.7100000000000009</v>
      </c>
      <c r="R160" s="51">
        <v>0</v>
      </c>
      <c r="S160" s="51">
        <v>1.9</v>
      </c>
      <c r="T160" s="51">
        <v>15.38</v>
      </c>
      <c r="U160" s="51">
        <v>0.74</v>
      </c>
      <c r="V160" s="51">
        <v>7.73</v>
      </c>
      <c r="W160" s="51">
        <v>3.39</v>
      </c>
      <c r="X160" s="55">
        <v>55.1</v>
      </c>
      <c r="Y160" s="51">
        <v>11.91</v>
      </c>
      <c r="Z160" s="51">
        <v>0.34</v>
      </c>
      <c r="AA160" s="51">
        <v>1.88</v>
      </c>
      <c r="AB160" s="51">
        <v>0.1</v>
      </c>
      <c r="AC160" s="51">
        <v>0</v>
      </c>
      <c r="AD160" s="51">
        <v>0</v>
      </c>
      <c r="AE160" s="51">
        <v>2.98</v>
      </c>
      <c r="AF160" s="51">
        <v>2.85</v>
      </c>
      <c r="AG160" s="51">
        <v>0.27</v>
      </c>
      <c r="AH160" s="51">
        <v>15.14</v>
      </c>
      <c r="AI160" s="51">
        <v>5.35</v>
      </c>
      <c r="AJ160" s="51">
        <v>0.94</v>
      </c>
      <c r="AK160" s="51">
        <v>0</v>
      </c>
      <c r="AL160" s="51">
        <v>0.43</v>
      </c>
      <c r="AM160" s="57">
        <v>16.399999999999999</v>
      </c>
      <c r="AN160" s="55">
        <v>7.39</v>
      </c>
      <c r="AO160" s="55">
        <v>0.78</v>
      </c>
      <c r="AP160" s="55">
        <v>3.6</v>
      </c>
      <c r="AQ160" s="55">
        <v>5.09</v>
      </c>
      <c r="AR160" s="55">
        <v>19.399999999999999</v>
      </c>
      <c r="AS160" s="51">
        <v>0.78</v>
      </c>
      <c r="AT160" s="51">
        <v>1.32</v>
      </c>
      <c r="AU160" s="51">
        <v>4.4800000000000004</v>
      </c>
      <c r="AV160" s="10"/>
      <c r="AW160" s="6">
        <f>BD160</f>
        <v>162.92999999999995</v>
      </c>
      <c r="AX160" s="6">
        <f>SUM(M160:O160,R160:AC160,AE160:AH160,AK160:AL160,AN160:AP160,AR160:AU160)</f>
        <v>167.40999999999994</v>
      </c>
      <c r="BD160" s="6">
        <f>AX160-AU160</f>
        <v>162.92999999999995</v>
      </c>
    </row>
    <row r="161" spans="1:60">
      <c r="A161" t="s">
        <v>136</v>
      </c>
      <c r="B161" t="s">
        <v>143</v>
      </c>
      <c r="C161" t="s">
        <v>64</v>
      </c>
      <c r="E161" t="s">
        <v>42</v>
      </c>
      <c r="G161" t="s">
        <v>40</v>
      </c>
      <c r="H161" t="s">
        <v>41</v>
      </c>
      <c r="I161">
        <v>2020</v>
      </c>
      <c r="J161" t="s">
        <v>63</v>
      </c>
      <c r="L161" s="51">
        <v>0.86</v>
      </c>
      <c r="M161" s="52">
        <v>8.25</v>
      </c>
      <c r="N161" s="52">
        <v>0.43</v>
      </c>
      <c r="O161" s="52">
        <v>1.1499999999999999</v>
      </c>
      <c r="P161" s="51">
        <v>2.29</v>
      </c>
      <c r="Q161" s="52">
        <v>7.28</v>
      </c>
      <c r="R161" s="52">
        <v>0</v>
      </c>
      <c r="S161" s="52">
        <v>1.73</v>
      </c>
      <c r="T161" s="52">
        <v>15.93</v>
      </c>
      <c r="U161" s="52">
        <v>0.64</v>
      </c>
      <c r="V161" s="52">
        <v>7.11</v>
      </c>
      <c r="W161" s="52">
        <v>3.73</v>
      </c>
      <c r="X161" s="57">
        <v>63</v>
      </c>
      <c r="Y161" s="52">
        <v>12.98</v>
      </c>
      <c r="Z161" s="52">
        <v>0.31</v>
      </c>
      <c r="AA161" s="52">
        <v>1.53</v>
      </c>
      <c r="AB161" s="52">
        <v>0.09</v>
      </c>
      <c r="AC161" s="52">
        <v>0</v>
      </c>
      <c r="AD161" s="51">
        <v>0</v>
      </c>
      <c r="AE161" s="52">
        <v>2.68</v>
      </c>
      <c r="AF161" s="52">
        <v>2.36</v>
      </c>
      <c r="AG161" s="52">
        <v>0.3</v>
      </c>
      <c r="AH161" s="52">
        <v>14.15</v>
      </c>
      <c r="AI161" s="51">
        <v>5.73</v>
      </c>
      <c r="AJ161" s="51">
        <v>1</v>
      </c>
      <c r="AK161" s="52">
        <v>0</v>
      </c>
      <c r="AL161" s="52">
        <v>0.38</v>
      </c>
      <c r="AM161" s="57">
        <v>14.8</v>
      </c>
      <c r="AN161" s="57">
        <v>7.85</v>
      </c>
      <c r="AO161" s="57">
        <v>0.7</v>
      </c>
      <c r="AP161" s="57">
        <v>3.72</v>
      </c>
      <c r="AQ161" s="55">
        <v>5.45</v>
      </c>
      <c r="AR161" s="57">
        <v>21.2</v>
      </c>
      <c r="AS161" s="52">
        <v>0.64</v>
      </c>
      <c r="AT161" s="52">
        <v>1.27</v>
      </c>
      <c r="AU161" s="52">
        <v>4.2699999999999996</v>
      </c>
      <c r="AV161" s="6"/>
      <c r="AW161" s="6">
        <f>BE161</f>
        <v>172.12999999999997</v>
      </c>
      <c r="AY161" s="6">
        <f>SUM(M161:O161,R161:AC161,AE161:AH161,AK161:AL161,AN161:AP161,AR161:AU161)</f>
        <v>176.39999999999998</v>
      </c>
      <c r="BE161" s="6">
        <f>AY161-AU161</f>
        <v>172.12999999999997</v>
      </c>
    </row>
    <row r="162" spans="1:60">
      <c r="A162" t="s">
        <v>136</v>
      </c>
      <c r="B162" t="s">
        <v>143</v>
      </c>
      <c r="C162" t="s">
        <v>64</v>
      </c>
      <c r="E162" t="s">
        <v>42</v>
      </c>
      <c r="G162" t="s">
        <v>40</v>
      </c>
      <c r="H162" t="s">
        <v>41</v>
      </c>
      <c r="I162">
        <v>2030</v>
      </c>
      <c r="J162" t="s">
        <v>63</v>
      </c>
      <c r="L162" s="51">
        <v>0.89</v>
      </c>
      <c r="M162" s="52">
        <v>8.43</v>
      </c>
      <c r="N162" s="52">
        <v>0.47</v>
      </c>
      <c r="O162" s="52">
        <v>1.1299999999999999</v>
      </c>
      <c r="P162" s="51">
        <v>2.36</v>
      </c>
      <c r="Q162" s="52">
        <v>6.11</v>
      </c>
      <c r="R162" s="52">
        <v>0</v>
      </c>
      <c r="S162" s="52">
        <v>1.71</v>
      </c>
      <c r="T162" s="52">
        <v>15.96</v>
      </c>
      <c r="U162" s="52">
        <v>0.6</v>
      </c>
      <c r="V162" s="52">
        <v>6.86</v>
      </c>
      <c r="W162" s="52">
        <v>4.1500000000000004</v>
      </c>
      <c r="X162" s="57">
        <v>84.3</v>
      </c>
      <c r="Y162" s="52">
        <v>13.49</v>
      </c>
      <c r="Z162" s="52">
        <v>0.3</v>
      </c>
      <c r="AA162" s="52">
        <v>1.3</v>
      </c>
      <c r="AB162" s="52">
        <v>0.09</v>
      </c>
      <c r="AC162" s="52">
        <v>0</v>
      </c>
      <c r="AD162" s="51">
        <v>0</v>
      </c>
      <c r="AE162" s="52">
        <v>2.69</v>
      </c>
      <c r="AF162" s="52">
        <v>2.17</v>
      </c>
      <c r="AG162" s="52">
        <v>0.34</v>
      </c>
      <c r="AH162" s="52">
        <v>13.67</v>
      </c>
      <c r="AI162" s="51">
        <v>5.9</v>
      </c>
      <c r="AJ162" s="51">
        <v>1.03</v>
      </c>
      <c r="AK162" s="52">
        <v>0</v>
      </c>
      <c r="AL162" s="52">
        <v>0.37</v>
      </c>
      <c r="AM162" s="57">
        <v>12.6</v>
      </c>
      <c r="AN162" s="57">
        <v>8.34</v>
      </c>
      <c r="AO162" s="57">
        <v>0.74</v>
      </c>
      <c r="AP162" s="57">
        <v>3.94</v>
      </c>
      <c r="AQ162" s="55">
        <v>5.61</v>
      </c>
      <c r="AR162" s="57">
        <v>23.2</v>
      </c>
      <c r="AS162" s="52">
        <v>0.52</v>
      </c>
      <c r="AT162" s="52">
        <v>1.24</v>
      </c>
      <c r="AU162" s="52">
        <v>4.1500000000000004</v>
      </c>
      <c r="AV162" s="6"/>
      <c r="AW162" s="6">
        <f>BF162</f>
        <v>196.01000000000002</v>
      </c>
      <c r="AZ162" s="6">
        <f>SUM(M162:O162,R162:AC162,AE162:AH162,AK162:AL162,AN162:AP162,AR162:AU162)</f>
        <v>200.16000000000003</v>
      </c>
      <c r="BF162" s="6">
        <f>AZ162-AU162</f>
        <v>196.01000000000002</v>
      </c>
    </row>
    <row r="163" spans="1:60">
      <c r="A163" t="s">
        <v>136</v>
      </c>
      <c r="B163" t="s">
        <v>143</v>
      </c>
      <c r="C163" t="s">
        <v>64</v>
      </c>
      <c r="E163" t="s">
        <v>42</v>
      </c>
      <c r="G163" t="s">
        <v>40</v>
      </c>
      <c r="H163" t="s">
        <v>41</v>
      </c>
      <c r="I163">
        <v>2040</v>
      </c>
      <c r="J163" t="s">
        <v>63</v>
      </c>
      <c r="L163" s="51">
        <v>1.28</v>
      </c>
      <c r="M163" s="52">
        <v>8.73</v>
      </c>
      <c r="N163" s="52">
        <v>0.5</v>
      </c>
      <c r="O163" s="52">
        <v>1.06</v>
      </c>
      <c r="P163" s="51">
        <v>3.41</v>
      </c>
      <c r="Q163" s="52">
        <v>8.77</v>
      </c>
      <c r="R163" s="52">
        <v>0</v>
      </c>
      <c r="S163" s="52">
        <v>1.56</v>
      </c>
      <c r="T163" s="52">
        <v>16.38</v>
      </c>
      <c r="U163" s="52">
        <v>0.5</v>
      </c>
      <c r="V163" s="52">
        <v>6.29</v>
      </c>
      <c r="W163" s="52">
        <v>4.51</v>
      </c>
      <c r="X163" s="57">
        <v>84.3</v>
      </c>
      <c r="Y163" s="52">
        <v>14.49</v>
      </c>
      <c r="Z163" s="52">
        <v>0.27</v>
      </c>
      <c r="AA163" s="52">
        <v>0.97</v>
      </c>
      <c r="AB163" s="52">
        <v>0.08</v>
      </c>
      <c r="AC163" s="52">
        <v>0</v>
      </c>
      <c r="AD163" s="51">
        <v>0</v>
      </c>
      <c r="AE163" s="52">
        <v>2.4500000000000002</v>
      </c>
      <c r="AF163" s="52">
        <v>1.73</v>
      </c>
      <c r="AG163" s="52">
        <v>0.38</v>
      </c>
      <c r="AH163" s="52">
        <v>12.76</v>
      </c>
      <c r="AI163" s="51">
        <v>8.52</v>
      </c>
      <c r="AJ163" s="51">
        <v>1.49</v>
      </c>
      <c r="AK163" s="52">
        <v>0</v>
      </c>
      <c r="AL163" s="52">
        <v>0.33</v>
      </c>
      <c r="AM163" s="57">
        <v>17.2</v>
      </c>
      <c r="AN163" s="57">
        <v>8.81</v>
      </c>
      <c r="AO163" s="57">
        <v>0.68</v>
      </c>
      <c r="AP163" s="57">
        <v>4.08</v>
      </c>
      <c r="AQ163" s="55">
        <v>8.09</v>
      </c>
      <c r="AR163" s="57">
        <v>25.1</v>
      </c>
      <c r="AS163" s="52">
        <v>0.39</v>
      </c>
      <c r="AT163" s="52">
        <v>1.19</v>
      </c>
      <c r="AU163" s="52">
        <v>3.96</v>
      </c>
      <c r="AV163" s="6"/>
      <c r="AW163" s="6">
        <f>BG163</f>
        <v>197.54</v>
      </c>
      <c r="AZ163" s="6"/>
      <c r="BA163" s="6">
        <f>SUM(M163:O163,R163:AC163,AE163:AH163,AK163:AL163,AN163:AP163,AR163:AU163)</f>
        <v>201.5</v>
      </c>
      <c r="BG163" s="6">
        <f>BA163-AU163</f>
        <v>197.54</v>
      </c>
    </row>
    <row r="164" spans="1:60">
      <c r="A164" t="s">
        <v>136</v>
      </c>
      <c r="B164" t="s">
        <v>143</v>
      </c>
      <c r="C164" t="s">
        <v>64</v>
      </c>
      <c r="E164" t="s">
        <v>42</v>
      </c>
      <c r="G164" t="s">
        <v>40</v>
      </c>
      <c r="H164" s="5" t="s">
        <v>41</v>
      </c>
      <c r="I164" s="5">
        <v>2050</v>
      </c>
      <c r="J164" s="5" t="s">
        <v>63</v>
      </c>
      <c r="K164" s="5"/>
      <c r="L164" s="51">
        <v>1.3</v>
      </c>
      <c r="M164" s="53">
        <v>9.01</v>
      </c>
      <c r="N164" s="53">
        <v>0.54</v>
      </c>
      <c r="O164" s="53">
        <v>1.01</v>
      </c>
      <c r="P164" s="51">
        <v>3.48</v>
      </c>
      <c r="Q164" s="52">
        <v>9.9</v>
      </c>
      <c r="R164" s="53">
        <v>0</v>
      </c>
      <c r="S164" s="53">
        <v>1.45</v>
      </c>
      <c r="T164" s="53">
        <v>16.72</v>
      </c>
      <c r="U164" s="53">
        <v>0.42</v>
      </c>
      <c r="V164" s="53">
        <v>5.81</v>
      </c>
      <c r="W164" s="53">
        <v>4.88</v>
      </c>
      <c r="X164" s="58">
        <v>84.3</v>
      </c>
      <c r="Y164" s="53">
        <v>15.35</v>
      </c>
      <c r="Z164" s="53">
        <v>0.25</v>
      </c>
      <c r="AA164" s="53">
        <v>0.66</v>
      </c>
      <c r="AB164" s="53">
        <v>0.08</v>
      </c>
      <c r="AC164" s="53">
        <v>0</v>
      </c>
      <c r="AD164" s="51">
        <v>0</v>
      </c>
      <c r="AE164" s="53">
        <v>2.27</v>
      </c>
      <c r="AF164" s="53">
        <v>1.36</v>
      </c>
      <c r="AG164" s="53">
        <v>0.42</v>
      </c>
      <c r="AH164" s="53">
        <v>11.97</v>
      </c>
      <c r="AI164" s="51">
        <v>8.6999999999999993</v>
      </c>
      <c r="AJ164" s="51">
        <v>1.52</v>
      </c>
      <c r="AK164" s="53">
        <v>0</v>
      </c>
      <c r="AL164" s="53">
        <v>0.3</v>
      </c>
      <c r="AM164" s="57">
        <v>17.600000000000001</v>
      </c>
      <c r="AN164" s="58">
        <v>9.2799999999999994</v>
      </c>
      <c r="AO164" s="58">
        <v>0.65</v>
      </c>
      <c r="AP164" s="58">
        <v>4.24</v>
      </c>
      <c r="AQ164" s="55">
        <v>8.26</v>
      </c>
      <c r="AR164" s="58">
        <v>26.9</v>
      </c>
      <c r="AS164" s="53">
        <v>0.26</v>
      </c>
      <c r="AT164" s="53">
        <v>1.1499999999999999</v>
      </c>
      <c r="AU164" s="53">
        <v>3.79</v>
      </c>
      <c r="AV164" s="6"/>
      <c r="AW164" s="6">
        <f>BH164</f>
        <v>199.28000000000006</v>
      </c>
      <c r="AZ164" s="6"/>
      <c r="BA164" s="6"/>
      <c r="BB164" s="6">
        <f>SUM(M164:O164,R164:AC164,AE164:AH164,AK164:AL164,AN164:AP164,AR164:AU164)</f>
        <v>203.07000000000005</v>
      </c>
      <c r="BH164" s="6">
        <f>BB164-AU164</f>
        <v>199.28000000000006</v>
      </c>
    </row>
    <row r="165" spans="1:60">
      <c r="A165" t="s">
        <v>136</v>
      </c>
      <c r="B165" t="s">
        <v>143</v>
      </c>
      <c r="C165" t="s">
        <v>64</v>
      </c>
      <c r="F165" t="s">
        <v>105</v>
      </c>
      <c r="H165" t="s">
        <v>45</v>
      </c>
      <c r="I165">
        <v>2005</v>
      </c>
      <c r="J165" t="s">
        <v>63</v>
      </c>
      <c r="L165" s="6">
        <v>1.745198610319965</v>
      </c>
      <c r="M165" s="6">
        <v>2.5036329794538057</v>
      </c>
      <c r="N165" s="52">
        <v>2.5276286497930411</v>
      </c>
      <c r="O165" s="6">
        <v>1.8234161386097858</v>
      </c>
      <c r="P165" s="6">
        <v>1.745198610319965</v>
      </c>
      <c r="Q165" s="6">
        <v>2.5036329794538057</v>
      </c>
      <c r="R165" s="6">
        <v>2.1586131065612331</v>
      </c>
      <c r="S165" s="6">
        <v>1.9768743219769012</v>
      </c>
      <c r="T165" s="6">
        <v>2.5138573535222597</v>
      </c>
      <c r="U165" s="6">
        <v>2.4924776775422242</v>
      </c>
      <c r="V165" s="6">
        <v>1.9371844437867993</v>
      </c>
      <c r="W165" s="6">
        <v>2.6811883856766459</v>
      </c>
      <c r="X165" s="6">
        <v>2.0030023430573891</v>
      </c>
      <c r="Y165" s="6">
        <v>2.3559669905816074</v>
      </c>
      <c r="Z165" s="6">
        <v>2.1586131065612331</v>
      </c>
      <c r="AA165" s="6">
        <v>2.1783750424064405</v>
      </c>
      <c r="AB165" s="6">
        <v>2.4509109488679783</v>
      </c>
      <c r="AC165" s="6">
        <v>2.6559597602209113</v>
      </c>
      <c r="AD165" s="6">
        <v>0</v>
      </c>
      <c r="AE165" s="6">
        <v>2.835890784813238</v>
      </c>
      <c r="AF165" s="6">
        <v>1.8933804061369015</v>
      </c>
      <c r="AG165" s="6">
        <v>2.505525349467296</v>
      </c>
      <c r="AH165" s="6">
        <v>1.8485836618557212</v>
      </c>
      <c r="AI165" s="6">
        <v>1.745198610319965</v>
      </c>
      <c r="AJ165" s="6">
        <v>1.745198610319965</v>
      </c>
      <c r="AK165" s="6">
        <v>2.3160418666477396</v>
      </c>
      <c r="AL165" s="6">
        <v>2.4928492084438947</v>
      </c>
      <c r="AM165" s="6">
        <v>2.0673577046667977</v>
      </c>
      <c r="AN165" s="6">
        <v>1.7030242623878256</v>
      </c>
      <c r="AO165" s="6">
        <v>2.4207777547641607</v>
      </c>
      <c r="AP165" s="6">
        <v>1.745198610319965</v>
      </c>
      <c r="AQ165" s="6">
        <v>1.745198610319965</v>
      </c>
      <c r="AR165" s="6">
        <v>2.0193099754829484</v>
      </c>
      <c r="AS165" s="6">
        <v>1.9097423719855142</v>
      </c>
      <c r="AT165" s="6">
        <v>2.3989463618847156</v>
      </c>
      <c r="AU165" s="6">
        <v>2.1696920922262062</v>
      </c>
      <c r="AV165" s="6"/>
      <c r="AW165" s="6"/>
      <c r="AY165" s="6"/>
      <c r="AZ165" s="6"/>
      <c r="BA165" s="6"/>
      <c r="BB165" s="6"/>
    </row>
    <row r="166" spans="1:60">
      <c r="A166" t="s">
        <v>136</v>
      </c>
      <c r="B166" t="s">
        <v>143</v>
      </c>
      <c r="C166" t="s">
        <v>64</v>
      </c>
      <c r="F166" t="s">
        <v>105</v>
      </c>
      <c r="H166" t="s">
        <v>45</v>
      </c>
      <c r="I166">
        <v>2010</v>
      </c>
      <c r="J166" t="s">
        <v>63</v>
      </c>
      <c r="L166" s="41">
        <v>1.745198610319965</v>
      </c>
      <c r="M166" s="6">
        <v>2.5036329794538057</v>
      </c>
      <c r="N166" s="52">
        <v>2.5276286497930411</v>
      </c>
      <c r="O166" s="6">
        <v>1.8234161386097858</v>
      </c>
      <c r="P166" s="41">
        <v>1.745198610319965</v>
      </c>
      <c r="Q166" s="6">
        <v>2.5036329794538057</v>
      </c>
      <c r="R166" s="6">
        <v>2.1586131065612331</v>
      </c>
      <c r="S166" s="6">
        <v>1.9768743219769012</v>
      </c>
      <c r="T166" s="6">
        <v>2.5138573535222597</v>
      </c>
      <c r="U166" s="6">
        <v>2.4924776775422242</v>
      </c>
      <c r="V166" s="6">
        <v>1.9371844437867993</v>
      </c>
      <c r="W166" s="6">
        <v>2.6811883856766459</v>
      </c>
      <c r="X166" s="6">
        <v>2.0030023430573891</v>
      </c>
      <c r="Y166" s="6">
        <v>2.3559669905816074</v>
      </c>
      <c r="Z166" s="6">
        <v>2.1586131065612331</v>
      </c>
      <c r="AA166" s="6">
        <v>2.1783750424064405</v>
      </c>
      <c r="AB166" s="6">
        <v>2.4509109488679783</v>
      </c>
      <c r="AC166" s="6">
        <v>2.6559597602209113</v>
      </c>
      <c r="AD166" s="6">
        <v>0</v>
      </c>
      <c r="AE166" s="6">
        <v>2.835890784813238</v>
      </c>
      <c r="AF166" s="6">
        <v>1.8933804061369015</v>
      </c>
      <c r="AG166" s="6">
        <v>2.505525349467296</v>
      </c>
      <c r="AH166" s="6">
        <v>1.8485836618557212</v>
      </c>
      <c r="AI166" s="41">
        <v>1.745198610319965</v>
      </c>
      <c r="AJ166" s="41">
        <v>1.745198610319965</v>
      </c>
      <c r="AK166" s="6">
        <v>2.3160418666477396</v>
      </c>
      <c r="AL166" s="6">
        <v>2.4928492084438947</v>
      </c>
      <c r="AM166" s="6">
        <v>2.0673577046667977</v>
      </c>
      <c r="AN166" s="6">
        <v>1.7030242623878256</v>
      </c>
      <c r="AO166" s="6">
        <v>2.4207777547641607</v>
      </c>
      <c r="AP166" s="6">
        <v>1.745198610319965</v>
      </c>
      <c r="AQ166" s="41">
        <v>1.745198610319965</v>
      </c>
      <c r="AR166" s="6">
        <v>2.0193099754829484</v>
      </c>
      <c r="AS166" s="6">
        <v>1.9097423719855142</v>
      </c>
      <c r="AT166" s="6">
        <v>2.3989463618847156</v>
      </c>
      <c r="AU166" s="6">
        <v>2.1696920922262062</v>
      </c>
      <c r="AV166" s="6"/>
      <c r="AW166" s="6"/>
      <c r="AY166" s="6"/>
    </row>
    <row r="167" spans="1:60">
      <c r="A167" t="s">
        <v>136</v>
      </c>
      <c r="B167" t="s">
        <v>143</v>
      </c>
      <c r="C167" t="s">
        <v>64</v>
      </c>
      <c r="F167" t="s">
        <v>105</v>
      </c>
      <c r="H167" t="s">
        <v>45</v>
      </c>
      <c r="I167">
        <v>2020</v>
      </c>
      <c r="J167" t="s">
        <v>63</v>
      </c>
      <c r="L167" s="41">
        <v>1.6305252652799664</v>
      </c>
      <c r="M167" s="6">
        <v>2.3436151916936163</v>
      </c>
      <c r="N167" s="52">
        <v>2.3672017052277474</v>
      </c>
      <c r="O167" s="6">
        <v>1.7036357686190793</v>
      </c>
      <c r="P167" s="41">
        <v>1.6305252652799664</v>
      </c>
      <c r="Q167" s="6">
        <v>2.3436151916936163</v>
      </c>
      <c r="R167" s="6">
        <v>0</v>
      </c>
      <c r="S167" s="6">
        <v>1.8479182916237185</v>
      </c>
      <c r="T167" s="6">
        <v>2.3519605006445672</v>
      </c>
      <c r="U167" s="6">
        <v>2.3456638661092706</v>
      </c>
      <c r="V167" s="6">
        <v>1.8118788167208382</v>
      </c>
      <c r="W167" s="6">
        <v>2.5041010656782294</v>
      </c>
      <c r="X167" s="6">
        <v>1.8851972459706123</v>
      </c>
      <c r="Y167" s="6">
        <v>2.2077793386969362</v>
      </c>
      <c r="Z167" s="6">
        <v>2.0213938714890007</v>
      </c>
      <c r="AA167" s="6">
        <v>2.0066914413160659</v>
      </c>
      <c r="AB167" s="6">
        <v>2.2837388562864578</v>
      </c>
      <c r="AC167" s="6">
        <v>2.4838538767803984</v>
      </c>
      <c r="AD167" s="6">
        <v>0</v>
      </c>
      <c r="AE167" s="6">
        <v>2.6527954007584804</v>
      </c>
      <c r="AF167" s="6">
        <v>1.7687130080712758</v>
      </c>
      <c r="AG167" s="6">
        <v>2.3451171273828573</v>
      </c>
      <c r="AH167" s="6">
        <v>1.728809352792672</v>
      </c>
      <c r="AI167" s="41">
        <v>1.6305252652799664</v>
      </c>
      <c r="AJ167" s="41">
        <v>1.6305252652799664</v>
      </c>
      <c r="AK167" s="6">
        <v>2.1335083725516535</v>
      </c>
      <c r="AL167" s="6">
        <v>2.3377699863490822</v>
      </c>
      <c r="AM167" s="6">
        <v>1.9509872836055402</v>
      </c>
      <c r="AN167" s="6">
        <v>1.594526810616179</v>
      </c>
      <c r="AO167" s="6">
        <v>2.2590941882219409</v>
      </c>
      <c r="AP167" s="6">
        <v>1.6305252652799664</v>
      </c>
      <c r="AQ167" s="41">
        <v>1.6305252652799664</v>
      </c>
      <c r="AR167" s="6">
        <v>1.9029675848241063</v>
      </c>
      <c r="AS167" s="6">
        <v>1.7895304883965302</v>
      </c>
      <c r="AT167" s="6">
        <v>2.2372543643517657</v>
      </c>
      <c r="AU167" s="6">
        <v>1.9553949047067614</v>
      </c>
      <c r="AV167" s="6"/>
      <c r="AW167" s="6"/>
    </row>
    <row r="168" spans="1:60">
      <c r="A168" t="s">
        <v>136</v>
      </c>
      <c r="B168" t="s">
        <v>143</v>
      </c>
      <c r="C168" t="s">
        <v>64</v>
      </c>
      <c r="F168" t="s">
        <v>105</v>
      </c>
      <c r="H168" t="s">
        <v>45</v>
      </c>
      <c r="I168">
        <v>2030</v>
      </c>
      <c r="J168" t="s">
        <v>63</v>
      </c>
      <c r="L168" s="41">
        <v>1.4964971414962425</v>
      </c>
      <c r="M168" s="6">
        <v>2.1569260976438804</v>
      </c>
      <c r="N168" s="52">
        <v>2.1797062687055027</v>
      </c>
      <c r="O168" s="6">
        <v>1.5636310508320475</v>
      </c>
      <c r="P168" s="41">
        <v>1.4964971414962425</v>
      </c>
      <c r="Q168" s="6">
        <v>2.1569260976438804</v>
      </c>
      <c r="R168" s="6">
        <v>0</v>
      </c>
      <c r="S168" s="6">
        <v>1.6971816418895058</v>
      </c>
      <c r="T168" s="6">
        <v>2.1629513888324934</v>
      </c>
      <c r="U168" s="6">
        <v>2.1738207826759761</v>
      </c>
      <c r="V168" s="6">
        <v>1.6654176941762084</v>
      </c>
      <c r="W168" s="6">
        <v>2.2971762671533882</v>
      </c>
      <c r="X168" s="6">
        <v>1.7474953248488265</v>
      </c>
      <c r="Y168" s="6">
        <v>2.0348460388533773</v>
      </c>
      <c r="Z168" s="6">
        <v>1.8610028847890316</v>
      </c>
      <c r="AA168" s="6">
        <v>1.8060222971844595</v>
      </c>
      <c r="AB168" s="6">
        <v>2.0883241659511147</v>
      </c>
      <c r="AC168" s="6">
        <v>2.2826873332077762</v>
      </c>
      <c r="AD168" s="6">
        <v>0</v>
      </c>
      <c r="AE168" s="6">
        <v>2.4393841315804745</v>
      </c>
      <c r="AF168" s="6">
        <v>1.6229978674750909</v>
      </c>
      <c r="AG168" s="6">
        <v>2.157626997673773</v>
      </c>
      <c r="AH168" s="6">
        <v>1.5888134071345621</v>
      </c>
      <c r="AI168" s="41">
        <v>1.4964971414962425</v>
      </c>
      <c r="AJ168" s="41">
        <v>1.4964971414962425</v>
      </c>
      <c r="AK168" s="6">
        <v>1.9201575352964884</v>
      </c>
      <c r="AL168" s="6">
        <v>2.1561211472735264</v>
      </c>
      <c r="AM168" s="6">
        <v>1.8149699083391355</v>
      </c>
      <c r="AN168" s="6">
        <v>1.4677161880505254</v>
      </c>
      <c r="AO168" s="6">
        <v>2.0701107637376088</v>
      </c>
      <c r="AP168" s="6">
        <v>1.4964971414962425</v>
      </c>
      <c r="AQ168" s="41">
        <v>1.4964971414962425</v>
      </c>
      <c r="AR168" s="6">
        <v>1.7669459935515079</v>
      </c>
      <c r="AS168" s="6">
        <v>1.6490322437973872</v>
      </c>
      <c r="AT168" s="6">
        <v>2.0482721441966487</v>
      </c>
      <c r="AU168" s="6">
        <v>1.7583416577814561</v>
      </c>
      <c r="AV168" s="6"/>
      <c r="AW168" s="6"/>
    </row>
    <row r="169" spans="1:60">
      <c r="A169" t="s">
        <v>136</v>
      </c>
      <c r="B169" t="s">
        <v>143</v>
      </c>
      <c r="C169" t="s">
        <v>64</v>
      </c>
      <c r="F169" t="s">
        <v>105</v>
      </c>
      <c r="H169" t="s">
        <v>45</v>
      </c>
      <c r="I169">
        <v>2040</v>
      </c>
      <c r="J169" t="s">
        <v>63</v>
      </c>
      <c r="L169" s="41">
        <v>1.3758698418516293</v>
      </c>
      <c r="M169" s="6">
        <v>1.9891786198958361</v>
      </c>
      <c r="N169" s="52">
        <v>2.010961973177197</v>
      </c>
      <c r="O169" s="6">
        <v>1.4376501745923087</v>
      </c>
      <c r="P169" s="41">
        <v>1.3758698418516293</v>
      </c>
      <c r="Q169" s="6">
        <v>1.9891786198958361</v>
      </c>
      <c r="R169" s="6">
        <v>0</v>
      </c>
      <c r="S169" s="6">
        <v>1.5616355996885567</v>
      </c>
      <c r="T169" s="6">
        <v>1.9928719361662799</v>
      </c>
      <c r="U169" s="6">
        <v>2.0192675890454801</v>
      </c>
      <c r="V169" s="6">
        <v>1.5336026838860415</v>
      </c>
      <c r="W169" s="6">
        <v>2.1109003635570067</v>
      </c>
      <c r="X169" s="6">
        <v>1.6234899430219591</v>
      </c>
      <c r="Y169" s="6">
        <v>1.8799723303532858</v>
      </c>
      <c r="Z169" s="6">
        <v>1.7166526339289248</v>
      </c>
      <c r="AA169" s="6">
        <v>1.6254200674660135</v>
      </c>
      <c r="AB169" s="6">
        <v>1.9124032678268381</v>
      </c>
      <c r="AC169" s="6">
        <v>2.1016381235566408</v>
      </c>
      <c r="AD169" s="6">
        <v>0</v>
      </c>
      <c r="AE169" s="6">
        <v>2.2480053530494866</v>
      </c>
      <c r="AF169" s="6">
        <v>1.491854240938524</v>
      </c>
      <c r="AG169" s="6">
        <v>1.9888858809355965</v>
      </c>
      <c r="AH169" s="6">
        <v>1.4628170560422633</v>
      </c>
      <c r="AI169" s="41">
        <v>1.3758698418516293</v>
      </c>
      <c r="AJ169" s="41">
        <v>1.3758698418516293</v>
      </c>
      <c r="AK169" s="6">
        <v>1.7281417817668394</v>
      </c>
      <c r="AL169" s="6">
        <v>1.9918134547540629</v>
      </c>
      <c r="AM169" s="6">
        <v>1.692554270599371</v>
      </c>
      <c r="AN169" s="6">
        <v>1.3535832111631463</v>
      </c>
      <c r="AO169" s="6">
        <v>1.9000313572447429</v>
      </c>
      <c r="AP169" s="6">
        <v>1.3758698418516293</v>
      </c>
      <c r="AQ169" s="41">
        <v>1.3758698418516293</v>
      </c>
      <c r="AR169" s="6">
        <v>1.6443835034311824</v>
      </c>
      <c r="AS169" s="6">
        <v>1.5225796280044863</v>
      </c>
      <c r="AT169" s="6">
        <v>1.8781865119944379</v>
      </c>
      <c r="AU169" s="6">
        <v>1.6115241640944815</v>
      </c>
      <c r="AV169" s="6"/>
      <c r="AW169" s="6"/>
    </row>
    <row r="170" spans="1:60">
      <c r="A170" t="s">
        <v>136</v>
      </c>
      <c r="B170" t="s">
        <v>143</v>
      </c>
      <c r="C170" t="s">
        <v>64</v>
      </c>
      <c r="F170" t="s">
        <v>105</v>
      </c>
      <c r="H170" t="s">
        <v>45</v>
      </c>
      <c r="I170">
        <v>2050</v>
      </c>
      <c r="J170" t="s">
        <v>63</v>
      </c>
      <c r="L170" s="41">
        <v>1.2673057827736165</v>
      </c>
      <c r="M170" s="6">
        <v>1.8392199155799842</v>
      </c>
      <c r="N170" s="52">
        <v>1.8590936320350475</v>
      </c>
      <c r="O170" s="6">
        <v>1.3242408883711816</v>
      </c>
      <c r="P170" s="41">
        <v>1.2673057827736165</v>
      </c>
      <c r="Q170" s="6">
        <v>1.8392199155799842</v>
      </c>
      <c r="R170" s="6">
        <v>0</v>
      </c>
      <c r="S170" s="6">
        <v>1.4396435601872171</v>
      </c>
      <c r="T170" s="6">
        <v>1.8397965575356001</v>
      </c>
      <c r="U170" s="6">
        <v>1.8802082531590139</v>
      </c>
      <c r="V170" s="6">
        <v>1.4149691746248914</v>
      </c>
      <c r="W170" s="6">
        <v>1.943245242009269</v>
      </c>
      <c r="X170" s="6">
        <v>1.5119058620539019</v>
      </c>
      <c r="Y170" s="6">
        <v>1.7405194312308403</v>
      </c>
      <c r="Z170" s="6">
        <v>1.5867395487721581</v>
      </c>
      <c r="AA170" s="6">
        <v>1.4628780607194121</v>
      </c>
      <c r="AB170" s="6">
        <v>1.7540956187270755</v>
      </c>
      <c r="AC170" s="6">
        <v>1.9386926170677117</v>
      </c>
      <c r="AD170" s="6">
        <v>0</v>
      </c>
      <c r="AE170" s="6">
        <v>2.0743891258339282</v>
      </c>
      <c r="AF170" s="6">
        <v>1.3738249770556143</v>
      </c>
      <c r="AG170" s="6">
        <v>1.837018875871238</v>
      </c>
      <c r="AH170" s="6">
        <v>1.3494203400591944</v>
      </c>
      <c r="AI170" s="41">
        <v>1.2673057827736165</v>
      </c>
      <c r="AJ170" s="41">
        <v>1.2673057827736165</v>
      </c>
      <c r="AK170" s="6">
        <v>1.5553276035901553</v>
      </c>
      <c r="AL170" s="6">
        <v>1.8440756652329524</v>
      </c>
      <c r="AM170" s="6">
        <v>1.5823801966335824</v>
      </c>
      <c r="AN170" s="6">
        <v>1.2508590807391164</v>
      </c>
      <c r="AO170" s="6">
        <v>1.7469572258221984</v>
      </c>
      <c r="AP170" s="6">
        <v>1.2673057827736165</v>
      </c>
      <c r="AQ170" s="41">
        <v>1.2673057827736165</v>
      </c>
      <c r="AR170" s="6">
        <v>1.5340944221331472</v>
      </c>
      <c r="AS170" s="6">
        <v>1.4087880785814262</v>
      </c>
      <c r="AT170" s="6">
        <v>1.7251064658981883</v>
      </c>
      <c r="AU170" s="6">
        <v>1.5294604122223385</v>
      </c>
      <c r="AV170" s="6"/>
      <c r="AW170" s="6"/>
    </row>
    <row r="171" spans="1:60">
      <c r="E171" t="s">
        <v>46</v>
      </c>
      <c r="AY171" s="6"/>
      <c r="AZ171" s="6"/>
      <c r="BA171" s="6"/>
      <c r="BB171" s="6"/>
    </row>
    <row r="172" spans="1:60">
      <c r="A172" t="s">
        <v>136</v>
      </c>
      <c r="B172" t="s">
        <v>143</v>
      </c>
      <c r="C172" t="s">
        <v>68</v>
      </c>
      <c r="E172" t="s">
        <v>42</v>
      </c>
      <c r="G172" t="s">
        <v>40</v>
      </c>
      <c r="H172" t="s">
        <v>41</v>
      </c>
      <c r="I172">
        <v>2005</v>
      </c>
      <c r="J172" t="s">
        <v>67</v>
      </c>
      <c r="L172" s="10">
        <v>4.2289563978556703</v>
      </c>
      <c r="M172" s="10">
        <v>7.515970000000002</v>
      </c>
      <c r="N172" s="51">
        <v>4.0996199999999998</v>
      </c>
      <c r="O172" s="10">
        <v>8.8825099999999999</v>
      </c>
      <c r="P172" s="10">
        <v>7.7530867294020629</v>
      </c>
      <c r="Q172" s="10">
        <v>3.6828253000000011</v>
      </c>
      <c r="R172" s="10">
        <v>0</v>
      </c>
      <c r="S172" s="10">
        <v>17.743775532258137</v>
      </c>
      <c r="T172" s="10">
        <v>33.480230000000006</v>
      </c>
      <c r="U172" s="10">
        <v>4.7828899999999992</v>
      </c>
      <c r="V172" s="10">
        <v>2.7330799999999997</v>
      </c>
      <c r="W172" s="10">
        <v>43.04601000000001</v>
      </c>
      <c r="X172" s="55">
        <v>0</v>
      </c>
      <c r="Y172" s="10">
        <v>86.092020000000005</v>
      </c>
      <c r="Z172" s="10">
        <v>10.249049999999999</v>
      </c>
      <c r="AA172" s="10">
        <v>3.1748471660307724</v>
      </c>
      <c r="AB172" s="10">
        <v>9.5657800000000019</v>
      </c>
      <c r="AC172" s="10">
        <v>7.5159700000000011</v>
      </c>
      <c r="AD172" s="10">
        <v>0</v>
      </c>
      <c r="AE172" s="10">
        <v>22.547909999999991</v>
      </c>
      <c r="AF172" s="10">
        <v>6.1494300000000006</v>
      </c>
      <c r="AG172" s="10">
        <v>0</v>
      </c>
      <c r="AH172" s="10">
        <v>5.4661599999999995</v>
      </c>
      <c r="AI172" s="10">
        <v>2.1144781989278352</v>
      </c>
      <c r="AJ172" s="10">
        <v>9.5151518951752596</v>
      </c>
      <c r="AK172" s="10">
        <v>0</v>
      </c>
      <c r="AL172" s="10">
        <v>4.7828899999999992</v>
      </c>
      <c r="AM172" s="10">
        <v>43.046970747601918</v>
      </c>
      <c r="AN172" s="10">
        <v>33.480229999999999</v>
      </c>
      <c r="AO172" s="10">
        <v>9.5657799999999984</v>
      </c>
      <c r="AP172" s="10">
        <v>35.241303315463924</v>
      </c>
      <c r="AQ172" s="10">
        <v>13.391695259876292</v>
      </c>
      <c r="AR172" s="10">
        <v>48.367382862474066</v>
      </c>
      <c r="AS172" s="10">
        <v>1.3665400000000001</v>
      </c>
      <c r="AT172" s="10">
        <v>4.7828900000000001</v>
      </c>
      <c r="AU172" s="10">
        <v>24.597720000000006</v>
      </c>
      <c r="AV172" s="10"/>
      <c r="AW172" s="10"/>
      <c r="AY172" s="6"/>
    </row>
    <row r="173" spans="1:60">
      <c r="A173" t="s">
        <v>136</v>
      </c>
      <c r="B173" t="s">
        <v>143</v>
      </c>
      <c r="C173" t="s">
        <v>68</v>
      </c>
      <c r="E173" t="s">
        <v>42</v>
      </c>
      <c r="G173" t="s">
        <v>40</v>
      </c>
      <c r="H173" t="s">
        <v>41</v>
      </c>
      <c r="I173">
        <v>2010</v>
      </c>
      <c r="J173" t="s">
        <v>67</v>
      </c>
      <c r="L173" s="43">
        <v>4.2289563978556703</v>
      </c>
      <c r="M173" s="10">
        <v>7.515970000000002</v>
      </c>
      <c r="N173" s="51">
        <v>4.0996199999999998</v>
      </c>
      <c r="O173" s="10">
        <v>8.8825099999999999</v>
      </c>
      <c r="P173" s="43">
        <v>7.7530867294020629</v>
      </c>
      <c r="Q173" s="43">
        <v>3.6828253000000011</v>
      </c>
      <c r="R173" s="10">
        <v>0</v>
      </c>
      <c r="S173" s="10">
        <v>17.743775532258137</v>
      </c>
      <c r="T173" s="10">
        <v>33.480230000000006</v>
      </c>
      <c r="U173" s="10">
        <v>4.7828899999999992</v>
      </c>
      <c r="V173" s="10">
        <v>2.7330799999999997</v>
      </c>
      <c r="W173" s="10">
        <v>43.04601000000001</v>
      </c>
      <c r="X173" s="55">
        <v>0</v>
      </c>
      <c r="Y173" s="10">
        <v>86.092020000000005</v>
      </c>
      <c r="Z173" s="10">
        <v>10.249049999999999</v>
      </c>
      <c r="AA173" s="10">
        <v>3.1748471660307724</v>
      </c>
      <c r="AB173" s="10">
        <v>9.5657800000000019</v>
      </c>
      <c r="AC173" s="10">
        <v>7.5159700000000011</v>
      </c>
      <c r="AD173" s="43">
        <v>0</v>
      </c>
      <c r="AE173" s="10">
        <v>22.547909999999991</v>
      </c>
      <c r="AF173" s="10">
        <v>6.1494300000000006</v>
      </c>
      <c r="AG173" s="10">
        <v>0</v>
      </c>
      <c r="AH173" s="10">
        <v>5.4661599999999995</v>
      </c>
      <c r="AI173" s="43">
        <v>2.1144781989278352</v>
      </c>
      <c r="AJ173" s="43">
        <v>9.5151518951752596</v>
      </c>
      <c r="AK173" s="10">
        <v>0</v>
      </c>
      <c r="AL173" s="10">
        <v>4.7828899999999992</v>
      </c>
      <c r="AM173" s="41">
        <v>43.046970747601918</v>
      </c>
      <c r="AN173" s="10">
        <v>33.480229999999999</v>
      </c>
      <c r="AO173" s="10">
        <v>9.5657799999999984</v>
      </c>
      <c r="AP173" s="10">
        <v>35.241303315463924</v>
      </c>
      <c r="AQ173" s="43">
        <v>13.391695259876292</v>
      </c>
      <c r="AR173" s="10">
        <v>48.367382862474066</v>
      </c>
      <c r="AS173" s="10">
        <v>1.3665400000000001</v>
      </c>
      <c r="AT173" s="10">
        <v>4.7828900000000001</v>
      </c>
      <c r="AU173" s="10">
        <v>24.597720000000006</v>
      </c>
      <c r="AV173" s="10"/>
      <c r="AW173" s="6">
        <f>BD173</f>
        <v>410.63226887622693</v>
      </c>
      <c r="AX173" s="6">
        <f>SUM(M173:O173,R173:AC173,AE173:AH173,AK173:AL173,AN173:AP173,AR173:AU173)</f>
        <v>435.22998887622691</v>
      </c>
      <c r="BD173" s="6">
        <f>AX173-AU173</f>
        <v>410.63226887622693</v>
      </c>
    </row>
    <row r="174" spans="1:60">
      <c r="A174" t="s">
        <v>136</v>
      </c>
      <c r="B174" t="s">
        <v>143</v>
      </c>
      <c r="C174" t="s">
        <v>68</v>
      </c>
      <c r="E174" t="s">
        <v>42</v>
      </c>
      <c r="G174" t="s">
        <v>40</v>
      </c>
      <c r="H174" t="s">
        <v>41</v>
      </c>
      <c r="I174">
        <v>2020</v>
      </c>
      <c r="J174" t="s">
        <v>67</v>
      </c>
      <c r="L174" s="43">
        <v>2.4170081877426215</v>
      </c>
      <c r="M174" s="6">
        <v>4.441255</v>
      </c>
      <c r="N174" s="52">
        <v>7.1680849429178197</v>
      </c>
      <c r="O174" s="6">
        <v>4.782890000000001</v>
      </c>
      <c r="P174" s="43">
        <v>4.4311816775281399</v>
      </c>
      <c r="Q174" s="43">
        <v>2.1762149499999999</v>
      </c>
      <c r="R174" s="6">
        <v>0</v>
      </c>
      <c r="S174" s="6">
        <v>10.236266202713443</v>
      </c>
      <c r="T174" s="6">
        <v>18.789924999999997</v>
      </c>
      <c r="U174" s="6">
        <v>2.7330800000000002</v>
      </c>
      <c r="V174" s="6">
        <v>4.869938598000001</v>
      </c>
      <c r="W174" s="6">
        <v>24.256084999999999</v>
      </c>
      <c r="X174" s="57">
        <v>0</v>
      </c>
      <c r="Y174" s="6">
        <v>48.512169999999998</v>
      </c>
      <c r="Z174" s="6">
        <v>5.8077949999999996</v>
      </c>
      <c r="AA174" s="6">
        <v>1.8063024277927302</v>
      </c>
      <c r="AB174" s="6">
        <v>5.4661600000000004</v>
      </c>
      <c r="AC174" s="6">
        <v>4.0996199999999998</v>
      </c>
      <c r="AD174" s="43">
        <v>0</v>
      </c>
      <c r="AE174" s="6">
        <v>12.640494999999998</v>
      </c>
      <c r="AF174" s="6">
        <v>3.41635</v>
      </c>
      <c r="AG174" s="6">
        <v>0</v>
      </c>
      <c r="AH174" s="6">
        <v>3.0747150000000003</v>
      </c>
      <c r="AI174" s="43">
        <v>1.2085040938713107</v>
      </c>
      <c r="AJ174" s="43">
        <v>5.438268422420899</v>
      </c>
      <c r="AK174" s="6">
        <v>0</v>
      </c>
      <c r="AL174" s="6">
        <v>2.391445</v>
      </c>
      <c r="AM174" s="41">
        <v>24.509503880857793</v>
      </c>
      <c r="AN174" s="6">
        <v>19.13156</v>
      </c>
      <c r="AO174" s="6">
        <v>5.4661600000000004</v>
      </c>
      <c r="AP174" s="6">
        <v>20.14173489785518</v>
      </c>
      <c r="AQ174" s="43">
        <v>7.6538592611849685</v>
      </c>
      <c r="AR174" s="6">
        <v>27.538768405458192</v>
      </c>
      <c r="AS174" s="6">
        <v>0.68327000000000004</v>
      </c>
      <c r="AT174" s="6">
        <v>2.7330800000000002</v>
      </c>
      <c r="AU174" s="6">
        <v>14.007034999999998</v>
      </c>
      <c r="AV174" s="6"/>
      <c r="AW174" s="6">
        <f>BE174</f>
        <v>240.18715047473734</v>
      </c>
      <c r="AY174" s="6">
        <f>SUM(M174:O174,R174:AC174,AE174:AH174,AK174:AL174,AN174:AP174,AR174:AU174)</f>
        <v>254.19418547473734</v>
      </c>
      <c r="BE174" s="6">
        <f>AY174-AU174</f>
        <v>240.18715047473734</v>
      </c>
    </row>
    <row r="175" spans="1:60">
      <c r="A175" t="s">
        <v>136</v>
      </c>
      <c r="B175" t="s">
        <v>143</v>
      </c>
      <c r="C175" t="s">
        <v>68</v>
      </c>
      <c r="E175" t="s">
        <v>42</v>
      </c>
      <c r="G175" t="s">
        <v>40</v>
      </c>
      <c r="H175" t="s">
        <v>41</v>
      </c>
      <c r="I175">
        <v>2030</v>
      </c>
      <c r="J175" t="s">
        <v>67</v>
      </c>
      <c r="L175" s="43">
        <v>2.5082044992685568</v>
      </c>
      <c r="M175" s="6">
        <v>4.6325706000000011</v>
      </c>
      <c r="N175" s="52">
        <v>5.7356359696745516</v>
      </c>
      <c r="O175" s="6">
        <v>5.0643972400000008</v>
      </c>
      <c r="P175" s="43">
        <v>4.598374915325687</v>
      </c>
      <c r="Q175" s="43">
        <v>2.2699595940000004</v>
      </c>
      <c r="R175" s="6">
        <v>0</v>
      </c>
      <c r="S175" s="6">
        <v>10.530467664515406</v>
      </c>
      <c r="T175" s="6">
        <v>19.861292359999997</v>
      </c>
      <c r="U175" s="6">
        <v>2.9653918000000004</v>
      </c>
      <c r="V175" s="6">
        <v>2.1946632399999997</v>
      </c>
      <c r="W175" s="6">
        <v>25.398512440000005</v>
      </c>
      <c r="X175" s="57">
        <v>0</v>
      </c>
      <c r="Y175" s="6">
        <v>51.021137440000018</v>
      </c>
      <c r="Z175" s="6">
        <v>6.2450878000000012</v>
      </c>
      <c r="AA175" s="6">
        <v>1.9742733906342482</v>
      </c>
      <c r="AB175" s="6">
        <v>5.7558664799999999</v>
      </c>
      <c r="AC175" s="6">
        <v>4.3838603200000001</v>
      </c>
      <c r="AD175" s="43">
        <v>0</v>
      </c>
      <c r="AE175" s="6">
        <v>13.651734600000001</v>
      </c>
      <c r="AF175" s="6">
        <v>3.6431956400000001</v>
      </c>
      <c r="AG175" s="6">
        <v>0.11752244000000001</v>
      </c>
      <c r="AH175" s="6">
        <v>3.3152260400000007</v>
      </c>
      <c r="AI175" s="43">
        <v>1.2541022496342784</v>
      </c>
      <c r="AJ175" s="43">
        <v>5.6434601233542532</v>
      </c>
      <c r="AK175" s="6">
        <v>2.7330799999999999E-2</v>
      </c>
      <c r="AL175" s="6">
        <v>2.6319560400000004</v>
      </c>
      <c r="AM175" s="41">
        <v>25.445025048783005</v>
      </c>
      <c r="AN175" s="6">
        <v>19.913220879999997</v>
      </c>
      <c r="AO175" s="6">
        <v>5.572750120000002</v>
      </c>
      <c r="AP175" s="6">
        <v>20.901704160571306</v>
      </c>
      <c r="AQ175" s="43">
        <v>7.9426475810170967</v>
      </c>
      <c r="AR175" s="6">
        <v>28.589915785149444</v>
      </c>
      <c r="AS175" s="6">
        <v>0.69693540000000009</v>
      </c>
      <c r="AT175" s="6">
        <v>2.9872564399999999</v>
      </c>
      <c r="AU175" s="6">
        <v>14.515387879999997</v>
      </c>
      <c r="AV175" s="6"/>
      <c r="AW175" s="6">
        <f>BF175</f>
        <v>247.811905090545</v>
      </c>
      <c r="AZ175" s="6">
        <f>SUM(M175:O175,R175:AC175,AE175:AH175,AK175:AL175,AN175:AP175,AR175:AU175)</f>
        <v>262.32729297054499</v>
      </c>
      <c r="BF175" s="6">
        <f>AZ175-AU175</f>
        <v>247.811905090545</v>
      </c>
    </row>
    <row r="176" spans="1:60">
      <c r="A176" t="s">
        <v>136</v>
      </c>
      <c r="B176" t="s">
        <v>143</v>
      </c>
      <c r="C176" t="s">
        <v>68</v>
      </c>
      <c r="E176" t="s">
        <v>42</v>
      </c>
      <c r="G176" t="s">
        <v>40</v>
      </c>
      <c r="H176" t="s">
        <v>41</v>
      </c>
      <c r="I176">
        <v>2040</v>
      </c>
      <c r="J176" t="s">
        <v>67</v>
      </c>
      <c r="L176" s="43">
        <v>2.5085300465838865</v>
      </c>
      <c r="M176" s="6">
        <v>3.0063880000000007</v>
      </c>
      <c r="N176" s="52">
        <v>5.7362075851334486</v>
      </c>
      <c r="O176" s="6">
        <v>3.5530040000000005</v>
      </c>
      <c r="P176" s="43">
        <v>4.5989717520704589</v>
      </c>
      <c r="Q176" s="43">
        <v>1.4731301200000004</v>
      </c>
      <c r="R176" s="6">
        <v>0</v>
      </c>
      <c r="S176" s="6">
        <v>7.0967693837206678</v>
      </c>
      <c r="T176" s="6">
        <v>13.392092000000002</v>
      </c>
      <c r="U176" s="6">
        <v>2.9653917999999999</v>
      </c>
      <c r="V176" s="6">
        <v>0</v>
      </c>
      <c r="W176" s="6">
        <v>25.398512440000001</v>
      </c>
      <c r="X176" s="57">
        <v>0</v>
      </c>
      <c r="Y176" s="6">
        <v>51.021137440000011</v>
      </c>
      <c r="Z176" s="6">
        <v>6.245087800000003</v>
      </c>
      <c r="AA176" s="6">
        <v>1.9741370309883903</v>
      </c>
      <c r="AB176" s="6">
        <v>5.7558664799999999</v>
      </c>
      <c r="AC176" s="6">
        <v>4.3838603200000001</v>
      </c>
      <c r="AD176" s="43">
        <v>0</v>
      </c>
      <c r="AE176" s="6">
        <v>13.651734600000001</v>
      </c>
      <c r="AF176" s="6">
        <v>3.6697515304487274</v>
      </c>
      <c r="AG176" s="6">
        <v>0.10957859673974697</v>
      </c>
      <c r="AH176" s="6">
        <v>3.5266930789370128</v>
      </c>
      <c r="AI176" s="43">
        <v>1.2542650232919432</v>
      </c>
      <c r="AJ176" s="43">
        <v>5.6441926048137452</v>
      </c>
      <c r="AK176" s="6">
        <v>2.7330799999999999E-2</v>
      </c>
      <c r="AL176" s="6">
        <v>2.6319560399999999</v>
      </c>
      <c r="AM176" s="41">
        <v>25.41962120352056</v>
      </c>
      <c r="AN176" s="6">
        <v>19.913220880000004</v>
      </c>
      <c r="AO176" s="6">
        <v>5.5727501200000003</v>
      </c>
      <c r="AP176" s="6">
        <v>20.904417054865721</v>
      </c>
      <c r="AQ176" s="43">
        <v>7.9436784808489742</v>
      </c>
      <c r="AR176" s="6">
        <v>28.561372138787146</v>
      </c>
      <c r="AS176" s="6">
        <v>0.69693540000000009</v>
      </c>
      <c r="AT176" s="6">
        <v>2.9872564400000003</v>
      </c>
      <c r="AU176" s="6">
        <v>14.515387879999999</v>
      </c>
      <c r="AV176" s="6"/>
      <c r="AW176" s="6">
        <f>BG176</f>
        <v>232.78145095962086</v>
      </c>
      <c r="AZ176" s="6"/>
      <c r="BA176" s="6">
        <f>SUM(M176:O176,R176:AC176,AE176:AH176,AK176:AL176,AN176:AP176,AR176:AU176)</f>
        <v>247.29683883962085</v>
      </c>
      <c r="BG176" s="6">
        <f>BA176-AU176</f>
        <v>232.78145095962086</v>
      </c>
    </row>
    <row r="177" spans="1:60">
      <c r="A177" t="s">
        <v>136</v>
      </c>
      <c r="B177" t="s">
        <v>143</v>
      </c>
      <c r="C177" t="s">
        <v>68</v>
      </c>
      <c r="E177" t="s">
        <v>42</v>
      </c>
      <c r="G177" t="s">
        <v>40</v>
      </c>
      <c r="H177" s="5" t="s">
        <v>41</v>
      </c>
      <c r="I177" s="5">
        <v>2050</v>
      </c>
      <c r="J177" s="5" t="s">
        <v>67</v>
      </c>
      <c r="K177" s="5"/>
      <c r="L177" s="43">
        <v>2.5091033208238454</v>
      </c>
      <c r="M177" s="7">
        <v>3.0063880000000012</v>
      </c>
      <c r="N177" s="53">
        <v>5.7364478555387217</v>
      </c>
      <c r="O177" s="7">
        <v>3.5530040000000001</v>
      </c>
      <c r="P177" s="43">
        <v>4.6000227548437165</v>
      </c>
      <c r="Q177" s="43">
        <v>1.4731301200000007</v>
      </c>
      <c r="R177" s="7">
        <v>0</v>
      </c>
      <c r="S177" s="7">
        <v>7.0968438522741391</v>
      </c>
      <c r="T177" s="7">
        <v>13.392092000000005</v>
      </c>
      <c r="U177" s="7">
        <v>2.9653918000000008</v>
      </c>
      <c r="V177" s="7">
        <v>0</v>
      </c>
      <c r="W177" s="7">
        <v>25.398512440000001</v>
      </c>
      <c r="X177" s="58">
        <v>0</v>
      </c>
      <c r="Y177" s="7">
        <v>51.02113743999999</v>
      </c>
      <c r="Z177" s="7">
        <v>6.2450878000000012</v>
      </c>
      <c r="AA177" s="7">
        <v>1.9731990067723921</v>
      </c>
      <c r="AB177" s="7">
        <v>5.7558664799999999</v>
      </c>
      <c r="AC177" s="7">
        <v>4.3838603200000001</v>
      </c>
      <c r="AD177" s="43">
        <v>0</v>
      </c>
      <c r="AE177" s="7">
        <v>13.651734600000005</v>
      </c>
      <c r="AF177" s="7">
        <v>3.8886236476138483</v>
      </c>
      <c r="AG177" s="7">
        <v>0.10683636672588405</v>
      </c>
      <c r="AH177" s="7">
        <v>3.5757084834812365</v>
      </c>
      <c r="AI177" s="43">
        <v>1.2545516604119227</v>
      </c>
      <c r="AJ177" s="43">
        <v>5.6454824718536525</v>
      </c>
      <c r="AK177" s="7">
        <v>2.7330799999999999E-2</v>
      </c>
      <c r="AL177" s="7">
        <v>2.6319560399999999</v>
      </c>
      <c r="AM177" s="41">
        <v>25.435197892568372</v>
      </c>
      <c r="AN177" s="7">
        <v>19.913220879999994</v>
      </c>
      <c r="AO177" s="7">
        <v>5.5727501200000003</v>
      </c>
      <c r="AP177" s="7">
        <v>20.909194340198713</v>
      </c>
      <c r="AQ177" s="43">
        <v>7.9454938492755112</v>
      </c>
      <c r="AR177" s="7">
        <v>28.578874036593675</v>
      </c>
      <c r="AS177" s="7">
        <v>0.69693540000000009</v>
      </c>
      <c r="AT177" s="7">
        <v>2.9872564399999999</v>
      </c>
      <c r="AU177" s="7">
        <v>14.515387880000002</v>
      </c>
      <c r="AV177" s="6"/>
      <c r="AW177" s="6">
        <f>BH177</f>
        <v>233.0682521491986</v>
      </c>
      <c r="AZ177" s="6"/>
      <c r="BA177" s="6"/>
      <c r="BB177" s="6">
        <f>SUM(M177:O177,R177:AC177,AE177:AH177,AK177:AL177,AN177:AP177,AR177:AU177)</f>
        <v>247.58364002919859</v>
      </c>
      <c r="BH177" s="6">
        <f>BB177-AU177</f>
        <v>233.0682521491986</v>
      </c>
    </row>
    <row r="178" spans="1:60">
      <c r="A178" t="s">
        <v>136</v>
      </c>
      <c r="B178" t="s">
        <v>143</v>
      </c>
      <c r="C178" t="s">
        <v>68</v>
      </c>
      <c r="F178" t="s">
        <v>105</v>
      </c>
      <c r="H178" t="s">
        <v>45</v>
      </c>
      <c r="I178">
        <v>2005</v>
      </c>
      <c r="J178" t="s">
        <v>67</v>
      </c>
      <c r="L178" s="6">
        <v>2.7545950986829451</v>
      </c>
      <c r="M178" s="6">
        <v>3.4616844075918221</v>
      </c>
      <c r="N178" s="52">
        <v>3.5422656361288762</v>
      </c>
      <c r="O178" s="6">
        <v>2.9901457219952157</v>
      </c>
      <c r="P178" s="6">
        <v>2.891493768524378</v>
      </c>
      <c r="Q178" s="6">
        <v>3.4616844075918221</v>
      </c>
      <c r="R178" s="6">
        <v>3.2525393678686876</v>
      </c>
      <c r="S178" s="6">
        <v>3.3268932915496556</v>
      </c>
      <c r="T178" s="6">
        <v>3.5211407669047454</v>
      </c>
      <c r="U178" s="6">
        <v>3.138804833002526</v>
      </c>
      <c r="V178" s="6">
        <v>3.0761432878007455</v>
      </c>
      <c r="W178" s="6">
        <v>3.6591690243085599</v>
      </c>
      <c r="X178" s="6">
        <v>3.9491676983336443</v>
      </c>
      <c r="Y178" s="6">
        <v>3.3444197304384153</v>
      </c>
      <c r="Z178" s="6">
        <v>3.2525393678686876</v>
      </c>
      <c r="AA178" s="6">
        <v>3.0767095507426561</v>
      </c>
      <c r="AB178" s="6">
        <v>2.6542307524860642</v>
      </c>
      <c r="AC178" s="6">
        <v>3.2629049201080864</v>
      </c>
      <c r="AD178" s="6">
        <v>0</v>
      </c>
      <c r="AE178" s="6">
        <v>3.3432029883512473</v>
      </c>
      <c r="AF178" s="6">
        <v>3.2293785939332795</v>
      </c>
      <c r="AG178" s="6">
        <v>3.5161635593439717</v>
      </c>
      <c r="AH178" s="6">
        <v>3.0706780807204814</v>
      </c>
      <c r="AI178" s="6">
        <v>2.7545950986829451</v>
      </c>
      <c r="AJ178" s="6">
        <v>2.7545950986829451</v>
      </c>
      <c r="AK178" s="6">
        <v>3.2400506055580367</v>
      </c>
      <c r="AL178" s="6">
        <v>3.9454976157432444</v>
      </c>
      <c r="AM178" s="6">
        <v>4.0841601008857245</v>
      </c>
      <c r="AN178" s="6">
        <v>3.3234956340093724</v>
      </c>
      <c r="AO178" s="6">
        <v>3.6352310601484352</v>
      </c>
      <c r="AP178" s="6">
        <v>2.7545950986829451</v>
      </c>
      <c r="AQ178" s="6">
        <v>2.7545950986829451</v>
      </c>
      <c r="AR178" s="6">
        <v>4.0841601008857245</v>
      </c>
      <c r="AS178" s="6">
        <v>3.0094792317951709</v>
      </c>
      <c r="AT178" s="6">
        <v>2.891493768524378</v>
      </c>
      <c r="AU178" s="6">
        <v>3.1624884501783752</v>
      </c>
      <c r="AV178" s="6"/>
      <c r="AW178" s="6"/>
    </row>
    <row r="179" spans="1:60">
      <c r="A179" t="s">
        <v>136</v>
      </c>
      <c r="B179" t="s">
        <v>143</v>
      </c>
      <c r="C179" t="s">
        <v>68</v>
      </c>
      <c r="F179" t="s">
        <v>105</v>
      </c>
      <c r="H179" t="s">
        <v>45</v>
      </c>
      <c r="I179">
        <v>2010</v>
      </c>
      <c r="J179" t="s">
        <v>67</v>
      </c>
      <c r="L179" s="41">
        <v>2.7545950986829451</v>
      </c>
      <c r="M179" s="6">
        <v>3.4616844075918221</v>
      </c>
      <c r="N179" s="52">
        <v>3.5422656361288762</v>
      </c>
      <c r="O179" s="6">
        <v>2.9901457219952157</v>
      </c>
      <c r="P179" s="41">
        <v>2.891493768524378</v>
      </c>
      <c r="Q179" s="6">
        <v>3.4616844075918221</v>
      </c>
      <c r="R179" s="6">
        <v>3.2525393678686876</v>
      </c>
      <c r="S179" s="6">
        <v>3.3268932915496556</v>
      </c>
      <c r="T179" s="6">
        <v>3.5211407669047454</v>
      </c>
      <c r="U179" s="6">
        <v>3.138804833002526</v>
      </c>
      <c r="V179" s="6">
        <v>3.0761432878007455</v>
      </c>
      <c r="W179" s="6">
        <v>3.6591690243085599</v>
      </c>
      <c r="X179" s="6">
        <v>3.9491676983336443</v>
      </c>
      <c r="Y179" s="6">
        <v>3.3444197304384153</v>
      </c>
      <c r="Z179" s="6">
        <v>3.2525393678686876</v>
      </c>
      <c r="AA179" s="6">
        <v>3.0767095507426561</v>
      </c>
      <c r="AB179" s="6">
        <v>2.6542307524860642</v>
      </c>
      <c r="AC179" s="6">
        <v>3.2629049201080864</v>
      </c>
      <c r="AD179" s="6">
        <v>0</v>
      </c>
      <c r="AE179" s="6">
        <v>3.3432029883512473</v>
      </c>
      <c r="AF179" s="6">
        <v>3.2293785939332795</v>
      </c>
      <c r="AG179" s="6">
        <v>3.5161635593439717</v>
      </c>
      <c r="AH179" s="6">
        <v>3.0706780807204814</v>
      </c>
      <c r="AI179" s="41">
        <v>2.7545950986829451</v>
      </c>
      <c r="AJ179" s="41">
        <v>2.7545950986829451</v>
      </c>
      <c r="AK179" s="6">
        <v>3.2400506055580367</v>
      </c>
      <c r="AL179" s="6">
        <v>3.9454976157432444</v>
      </c>
      <c r="AM179" s="41">
        <v>4.0841601008857245</v>
      </c>
      <c r="AN179" s="6">
        <v>3.3234956340093724</v>
      </c>
      <c r="AO179" s="6">
        <v>3.6352310601484352</v>
      </c>
      <c r="AP179" s="6">
        <v>2.7545950986829451</v>
      </c>
      <c r="AQ179" s="41">
        <v>2.7545950986829451</v>
      </c>
      <c r="AR179" s="6">
        <v>4.0841601008857245</v>
      </c>
      <c r="AS179" s="6">
        <v>3.0094792317951709</v>
      </c>
      <c r="AT179" s="6">
        <v>2.891493768524378</v>
      </c>
      <c r="AU179" s="6">
        <v>3.1624884501783752</v>
      </c>
      <c r="AV179" s="6"/>
      <c r="AW179" s="6"/>
    </row>
    <row r="180" spans="1:60">
      <c r="A180" t="s">
        <v>136</v>
      </c>
      <c r="B180" t="s">
        <v>143</v>
      </c>
      <c r="C180" t="s">
        <v>68</v>
      </c>
      <c r="F180" t="s">
        <v>105</v>
      </c>
      <c r="H180" t="s">
        <v>45</v>
      </c>
      <c r="I180">
        <v>2020</v>
      </c>
      <c r="J180" t="s">
        <v>67</v>
      </c>
      <c r="L180" s="41">
        <v>2.5920570130934588</v>
      </c>
      <c r="M180" s="6">
        <v>3.2523683467207669</v>
      </c>
      <c r="N180" s="52">
        <v>3.3284833684332313</v>
      </c>
      <c r="O180" s="6">
        <v>2.8101897447587567</v>
      </c>
      <c r="P180" s="41">
        <v>2.7210384813411208</v>
      </c>
      <c r="Q180" s="6">
        <v>3.2523683467207669</v>
      </c>
      <c r="R180" s="14">
        <v>3.0569960038252564</v>
      </c>
      <c r="S180" s="6">
        <v>3.12211783074385</v>
      </c>
      <c r="T180" s="6">
        <v>3.3075150794003498</v>
      </c>
      <c r="U180" s="6">
        <v>2.9658626767857639</v>
      </c>
      <c r="V180" s="6">
        <v>2.8909908205871635</v>
      </c>
      <c r="W180" s="6">
        <v>3.4332029046416865</v>
      </c>
      <c r="X180" s="6">
        <v>3.7039701637854732</v>
      </c>
      <c r="Y180" s="6">
        <v>3.1452940942316991</v>
      </c>
      <c r="Z180" s="6">
        <v>3.0569960038252564</v>
      </c>
      <c r="AA180" s="6">
        <v>2.8904408627435934</v>
      </c>
      <c r="AB180" s="6">
        <v>2.5019598158653138</v>
      </c>
      <c r="AC180" s="6">
        <v>3.0699187633729825</v>
      </c>
      <c r="AD180" s="6">
        <v>0</v>
      </c>
      <c r="AE180" s="6">
        <v>3.1463562718228055</v>
      </c>
      <c r="AF180" s="6">
        <v>3.0302355571893194</v>
      </c>
      <c r="AG180" s="6">
        <v>3.3023812916483268</v>
      </c>
      <c r="AH180" s="6">
        <v>2.8849176184557734</v>
      </c>
      <c r="AI180" s="41">
        <v>2.5920570130934588</v>
      </c>
      <c r="AJ180" s="41">
        <v>2.5920570130934588</v>
      </c>
      <c r="AK180" s="6">
        <v>3.0432038890295963</v>
      </c>
      <c r="AL180" s="6">
        <v>3.7012685408533761</v>
      </c>
      <c r="AM180" s="41">
        <v>3.8302785114583662</v>
      </c>
      <c r="AN180" s="6">
        <v>3.1183121412376469</v>
      </c>
      <c r="AO180" s="6">
        <v>3.4069874983768571</v>
      </c>
      <c r="AP180" s="6">
        <v>2.5920570130934588</v>
      </c>
      <c r="AQ180" s="41">
        <v>2.5920570130934588</v>
      </c>
      <c r="AR180" s="6">
        <v>3.8302785114583662</v>
      </c>
      <c r="AS180" s="6">
        <v>2.8311732113554005</v>
      </c>
      <c r="AT180" s="6">
        <v>2.7210384813411208</v>
      </c>
      <c r="AU180" s="6">
        <v>2.9803719349271875</v>
      </c>
      <c r="AV180" s="6"/>
      <c r="AW180" s="6"/>
    </row>
    <row r="181" spans="1:60">
      <c r="A181" t="s">
        <v>136</v>
      </c>
      <c r="B181" t="s">
        <v>143</v>
      </c>
      <c r="C181" t="s">
        <v>68</v>
      </c>
      <c r="F181" t="s">
        <v>105</v>
      </c>
      <c r="H181" t="s">
        <v>45</v>
      </c>
      <c r="I181">
        <v>2030</v>
      </c>
      <c r="J181" t="s">
        <v>67</v>
      </c>
      <c r="L181" s="41">
        <v>2.4020774325343197</v>
      </c>
      <c r="M181" s="6">
        <v>3.0077132106377151</v>
      </c>
      <c r="N181" s="52">
        <v>3.0786079906071522</v>
      </c>
      <c r="O181" s="6">
        <v>2.599851589547312</v>
      </c>
      <c r="P181" s="41">
        <v>2.5218050287892622</v>
      </c>
      <c r="Q181" s="6">
        <v>3.0077132106377151</v>
      </c>
      <c r="R181" s="14">
        <v>2.8284388250731949</v>
      </c>
      <c r="S181" s="6">
        <v>2.8827698895422591</v>
      </c>
      <c r="T181" s="6">
        <v>3.0578227173822246</v>
      </c>
      <c r="U181" s="6">
        <v>2.7637224941947438</v>
      </c>
      <c r="V181" s="6">
        <v>2.6745788459219368</v>
      </c>
      <c r="W181" s="6">
        <v>3.1690866608752124</v>
      </c>
      <c r="X181" s="6">
        <v>3.4173756428850131</v>
      </c>
      <c r="Y181" s="6">
        <v>2.9125498441199515</v>
      </c>
      <c r="Z181" s="6">
        <v>2.8284388250731949</v>
      </c>
      <c r="AA181" s="6">
        <v>2.6727242144330017</v>
      </c>
      <c r="AB181" s="6">
        <v>2.3239807990358652</v>
      </c>
      <c r="AC181" s="6">
        <v>2.8443505282280555</v>
      </c>
      <c r="AD181" s="6">
        <v>0</v>
      </c>
      <c r="AE181" s="6">
        <v>2.9162756940622909</v>
      </c>
      <c r="AF181" s="6">
        <v>2.7974709687872874</v>
      </c>
      <c r="AG181" s="6">
        <v>3.0525059138222481</v>
      </c>
      <c r="AH181" s="6">
        <v>2.6677950002242956</v>
      </c>
      <c r="AI181" s="41">
        <v>2.4020774325343197</v>
      </c>
      <c r="AJ181" s="41">
        <v>2.4020774325343197</v>
      </c>
      <c r="AK181" s="6">
        <v>2.8131233112690817</v>
      </c>
      <c r="AL181" s="6">
        <v>3.4158059857872964</v>
      </c>
      <c r="AM181" s="41">
        <v>3.5335337965432712</v>
      </c>
      <c r="AN181" s="6">
        <v>2.8784872795564098</v>
      </c>
      <c r="AO181" s="6">
        <v>3.140209309293196</v>
      </c>
      <c r="AP181" s="6">
        <v>2.4020774325343197</v>
      </c>
      <c r="AQ181" s="41">
        <v>2.4020774325343197</v>
      </c>
      <c r="AR181" s="6">
        <v>3.5335337965432712</v>
      </c>
      <c r="AS181" s="6">
        <v>2.6227635770751494</v>
      </c>
      <c r="AT181" s="6">
        <v>2.5218050287892622</v>
      </c>
      <c r="AU181" s="6">
        <v>2.7675084755426811</v>
      </c>
      <c r="AV181" s="6"/>
      <c r="AW181" s="6"/>
    </row>
    <row r="182" spans="1:60">
      <c r="A182" t="s">
        <v>136</v>
      </c>
      <c r="B182" t="s">
        <v>143</v>
      </c>
      <c r="C182" t="s">
        <v>68</v>
      </c>
      <c r="F182" t="s">
        <v>105</v>
      </c>
      <c r="H182" t="s">
        <v>45</v>
      </c>
      <c r="I182">
        <v>2040</v>
      </c>
      <c r="J182" t="s">
        <v>67</v>
      </c>
      <c r="L182" s="41">
        <v>2.2310958100310945</v>
      </c>
      <c r="M182" s="6">
        <v>2.7875235881629679</v>
      </c>
      <c r="N182" s="52">
        <v>2.8537201505636816</v>
      </c>
      <c r="O182" s="6">
        <v>2.4105472498570126</v>
      </c>
      <c r="P182" s="41">
        <v>2.3424949214925888</v>
      </c>
      <c r="Q182" s="6">
        <v>2.7875235881629679</v>
      </c>
      <c r="R182" s="14">
        <v>2.6227373641963392</v>
      </c>
      <c r="S182" s="6">
        <v>2.6673567424608278</v>
      </c>
      <c r="T182" s="6">
        <v>2.8330995915659112</v>
      </c>
      <c r="U182" s="6">
        <v>2.5817963298628266</v>
      </c>
      <c r="V182" s="6">
        <v>2.4798080687232327</v>
      </c>
      <c r="W182" s="6">
        <v>2.9313820414853859</v>
      </c>
      <c r="X182" s="6">
        <v>3.1594405740746003</v>
      </c>
      <c r="Y182" s="6">
        <v>2.7030800190193807</v>
      </c>
      <c r="Z182" s="6">
        <v>2.6227373641963392</v>
      </c>
      <c r="AA182" s="6">
        <v>2.4767792309534684</v>
      </c>
      <c r="AB182" s="6">
        <v>2.1637996838893612</v>
      </c>
      <c r="AC182" s="6">
        <v>2.6413391165976208</v>
      </c>
      <c r="AD182" s="6">
        <v>0</v>
      </c>
      <c r="AE182" s="6">
        <v>2.7092031740778268</v>
      </c>
      <c r="AF182" s="6">
        <v>2.5879828392254591</v>
      </c>
      <c r="AG182" s="6">
        <v>2.8276180737787771</v>
      </c>
      <c r="AH182" s="6">
        <v>2.4723846438159658</v>
      </c>
      <c r="AI182" s="41">
        <v>2.2310958100310945</v>
      </c>
      <c r="AJ182" s="41">
        <v>2.2310958100310945</v>
      </c>
      <c r="AK182" s="6">
        <v>2.606050791284618</v>
      </c>
      <c r="AL182" s="6">
        <v>3.1588896862278264</v>
      </c>
      <c r="AM182" s="41">
        <v>3.2664635531196859</v>
      </c>
      <c r="AN182" s="6">
        <v>2.662644904043296</v>
      </c>
      <c r="AO182" s="6">
        <v>2.9001089391179011</v>
      </c>
      <c r="AP182" s="6">
        <v>2.2310958100310945</v>
      </c>
      <c r="AQ182" s="41">
        <v>2.2310958100310945</v>
      </c>
      <c r="AR182" s="6">
        <v>3.2664635531196859</v>
      </c>
      <c r="AS182" s="6">
        <v>2.4351949062229239</v>
      </c>
      <c r="AT182" s="6">
        <v>2.3424949214925888</v>
      </c>
      <c r="AU182" s="6">
        <v>2.5759313620966262</v>
      </c>
      <c r="AV182" s="6"/>
      <c r="AW182" s="6"/>
    </row>
    <row r="183" spans="1:60">
      <c r="A183" t="s">
        <v>136</v>
      </c>
      <c r="B183" t="s">
        <v>143</v>
      </c>
      <c r="C183" t="s">
        <v>68</v>
      </c>
      <c r="F183" t="s">
        <v>105</v>
      </c>
      <c r="H183" t="s">
        <v>45</v>
      </c>
      <c r="I183">
        <v>2050</v>
      </c>
      <c r="J183" t="s">
        <v>67</v>
      </c>
      <c r="L183" s="41">
        <v>2.077212349778192</v>
      </c>
      <c r="M183" s="6">
        <v>2.5893529279356962</v>
      </c>
      <c r="N183" s="52">
        <v>2.6513210945245573</v>
      </c>
      <c r="O183" s="6">
        <v>2.2401733441357425</v>
      </c>
      <c r="P183" s="41">
        <v>2.1811158249255831</v>
      </c>
      <c r="Q183" s="6">
        <v>2.5893529279356962</v>
      </c>
      <c r="R183" s="14">
        <v>2.4376060494071692</v>
      </c>
      <c r="S183" s="6">
        <v>2.4734849100875396</v>
      </c>
      <c r="T183" s="6">
        <v>2.6308487783312287</v>
      </c>
      <c r="U183" s="6">
        <v>2.4180627819641005</v>
      </c>
      <c r="V183" s="6">
        <v>2.3045143692443992</v>
      </c>
      <c r="W183" s="6">
        <v>2.7174478840345402</v>
      </c>
      <c r="X183" s="6">
        <v>2.9272990121452285</v>
      </c>
      <c r="Y183" s="6">
        <v>2.5145571764288674</v>
      </c>
      <c r="Z183" s="6">
        <v>2.4376060494071692</v>
      </c>
      <c r="AA183" s="6">
        <v>2.3004287458218888</v>
      </c>
      <c r="AB183" s="6">
        <v>2.0196366802575079</v>
      </c>
      <c r="AC183" s="6">
        <v>2.4586288461302299</v>
      </c>
      <c r="AD183" s="6">
        <v>0</v>
      </c>
      <c r="AE183" s="6">
        <v>2.5228379060918091</v>
      </c>
      <c r="AF183" s="6">
        <v>2.3994435226198134</v>
      </c>
      <c r="AG183" s="6">
        <v>2.6252190177396533</v>
      </c>
      <c r="AH183" s="6">
        <v>2.2965153230484696</v>
      </c>
      <c r="AI183" s="41">
        <v>2.077212349778192</v>
      </c>
      <c r="AJ183" s="41">
        <v>2.077212349778192</v>
      </c>
      <c r="AK183" s="6">
        <v>2.4196855232986008</v>
      </c>
      <c r="AL183" s="6">
        <v>2.9276650166243017</v>
      </c>
      <c r="AM183" s="41">
        <v>3.0261003340384587</v>
      </c>
      <c r="AN183" s="6">
        <v>2.4683867660814944</v>
      </c>
      <c r="AO183" s="6">
        <v>2.6840186059601363</v>
      </c>
      <c r="AP183" s="6">
        <v>2.077212349778192</v>
      </c>
      <c r="AQ183" s="41">
        <v>2.077212349778192</v>
      </c>
      <c r="AR183" s="6">
        <v>3.0261003340384587</v>
      </c>
      <c r="AS183" s="6">
        <v>2.2663831024559213</v>
      </c>
      <c r="AT183" s="6">
        <v>2.1811158249255831</v>
      </c>
      <c r="AU183" s="6">
        <v>2.4035119599951753</v>
      </c>
      <c r="AV183" s="6"/>
      <c r="AW183" s="6"/>
    </row>
    <row r="184" spans="1:60">
      <c r="E184" t="s">
        <v>46</v>
      </c>
    </row>
    <row r="185" spans="1:60">
      <c r="A185" t="s">
        <v>138</v>
      </c>
      <c r="B185" t="s">
        <v>140</v>
      </c>
      <c r="C185" t="s">
        <v>69</v>
      </c>
      <c r="E185" t="s">
        <v>42</v>
      </c>
      <c r="G185" t="s">
        <v>40</v>
      </c>
      <c r="H185" t="s">
        <v>41</v>
      </c>
      <c r="I185">
        <v>2005</v>
      </c>
      <c r="J185" t="s">
        <v>65</v>
      </c>
      <c r="L185" s="10">
        <v>1.0676175761770226</v>
      </c>
      <c r="M185" s="10">
        <v>5.4988337568411589</v>
      </c>
      <c r="N185" s="51">
        <v>23.619935380395987</v>
      </c>
      <c r="O185" s="10">
        <v>2.007698990242011</v>
      </c>
      <c r="P185" s="10">
        <v>0</v>
      </c>
      <c r="Q185" s="10">
        <v>17.192049611731573</v>
      </c>
      <c r="R185" s="10">
        <v>1.3003117882544271</v>
      </c>
      <c r="S185" s="10">
        <v>2.1137111878526587</v>
      </c>
      <c r="T185" s="10">
        <v>101.85823490123235</v>
      </c>
      <c r="U185" s="10">
        <v>17.557713263440885</v>
      </c>
      <c r="V185" s="10">
        <v>1.6095691507553205</v>
      </c>
      <c r="W185" s="10">
        <v>20.840058519830624</v>
      </c>
      <c r="X185" s="55">
        <v>8</v>
      </c>
      <c r="Y185" s="10">
        <v>61.784283169882897</v>
      </c>
      <c r="Z185" s="10">
        <v>2.3129899657419872</v>
      </c>
      <c r="AA185" s="10">
        <v>4.9693178336440852E-2</v>
      </c>
      <c r="AB185" s="10">
        <v>6.7166982290260826</v>
      </c>
      <c r="AC185" s="10">
        <v>0.97808997919301888</v>
      </c>
      <c r="AD185" s="10">
        <v>0.69813201079436082</v>
      </c>
      <c r="AE185" s="10">
        <v>24.136792996189399</v>
      </c>
      <c r="AF185" s="10">
        <v>0.80577691382063077</v>
      </c>
      <c r="AG185" s="10">
        <v>0.80577691382063077</v>
      </c>
      <c r="AH185" s="10">
        <v>0.42097714171576311</v>
      </c>
      <c r="AI185" s="10">
        <v>0</v>
      </c>
      <c r="AJ185" s="10">
        <v>0.38672771513595705</v>
      </c>
      <c r="AK185" s="10">
        <v>2.8923872195971971</v>
      </c>
      <c r="AL185" s="10">
        <v>38.151723181739776</v>
      </c>
      <c r="AM185" s="10">
        <v>12.034530524934503</v>
      </c>
      <c r="AN185" s="10">
        <v>14.413986265500034</v>
      </c>
      <c r="AO185" s="10">
        <v>9.4168699594577809</v>
      </c>
      <c r="AP185" s="10">
        <v>5.8482977083323551</v>
      </c>
      <c r="AQ185" s="10">
        <v>4.6666565703766798</v>
      </c>
      <c r="AR185" s="10">
        <v>20.59708970211539</v>
      </c>
      <c r="AS185" s="10">
        <v>0.71687904544281977</v>
      </c>
      <c r="AT185" s="10">
        <v>2.2683585033701386</v>
      </c>
      <c r="AU185" s="10">
        <v>11.495331339050392</v>
      </c>
      <c r="AV185" s="10"/>
      <c r="AW185" s="10"/>
      <c r="AY185" s="6"/>
    </row>
    <row r="186" spans="1:60">
      <c r="A186" t="s">
        <v>138</v>
      </c>
      <c r="B186" t="s">
        <v>140</v>
      </c>
      <c r="C186" t="s">
        <v>69</v>
      </c>
      <c r="E186" t="s">
        <v>42</v>
      </c>
      <c r="G186" t="s">
        <v>40</v>
      </c>
      <c r="H186" t="s">
        <v>41</v>
      </c>
      <c r="I186">
        <v>2010</v>
      </c>
      <c r="J186" t="s">
        <v>65</v>
      </c>
      <c r="L186" s="43">
        <v>1.0676175761770226</v>
      </c>
      <c r="M186" s="10">
        <v>5.4988337568411589</v>
      </c>
      <c r="N186" s="51">
        <v>23.619935380395987</v>
      </c>
      <c r="O186" s="10">
        <v>2.007698990242011</v>
      </c>
      <c r="P186" s="10">
        <v>0</v>
      </c>
      <c r="Q186" s="43">
        <v>17.192049611731573</v>
      </c>
      <c r="R186" s="10">
        <v>1.3003117882544271</v>
      </c>
      <c r="S186" s="10">
        <v>2.1137111878526587</v>
      </c>
      <c r="T186" s="10">
        <v>101.85823490123235</v>
      </c>
      <c r="U186" s="10">
        <v>17.557713263440885</v>
      </c>
      <c r="V186" s="10">
        <v>1.6095691507553205</v>
      </c>
      <c r="W186" s="10">
        <v>20.840058519830624</v>
      </c>
      <c r="X186" s="55">
        <v>8.1</v>
      </c>
      <c r="Y186" s="10">
        <v>61.784283169882897</v>
      </c>
      <c r="Z186" s="10">
        <v>2.3129899657419872</v>
      </c>
      <c r="AA186" s="10">
        <v>4.9693178336440852E-2</v>
      </c>
      <c r="AB186" s="10">
        <v>6.7166982290260826</v>
      </c>
      <c r="AC186" s="10">
        <v>0.97808997919301888</v>
      </c>
      <c r="AD186" s="41">
        <v>0.69813201079436082</v>
      </c>
      <c r="AE186" s="10">
        <v>24.136792996189399</v>
      </c>
      <c r="AF186" s="10">
        <v>0.80577691382063077</v>
      </c>
      <c r="AG186" s="10">
        <v>0.80577691382063077</v>
      </c>
      <c r="AH186" s="10">
        <v>0.42097714171576311</v>
      </c>
      <c r="AI186" s="43">
        <v>0</v>
      </c>
      <c r="AJ186" s="10">
        <v>0.38672771513595705</v>
      </c>
      <c r="AK186" s="10">
        <v>2.8923872195971971</v>
      </c>
      <c r="AL186" s="10">
        <v>38.151723181739776</v>
      </c>
      <c r="AM186" s="10">
        <v>12.034530524934503</v>
      </c>
      <c r="AN186" s="10">
        <v>14.413986265500034</v>
      </c>
      <c r="AO186" s="10">
        <v>9.4168699594577809</v>
      </c>
      <c r="AP186" s="10">
        <v>5.8482977083323551</v>
      </c>
      <c r="AQ186" s="10">
        <v>4.6666565703766798</v>
      </c>
      <c r="AR186" s="10">
        <v>20.59708970211539</v>
      </c>
      <c r="AS186" s="10">
        <v>0.71687904544281977</v>
      </c>
      <c r="AT186" s="10">
        <v>2.2683585033701386</v>
      </c>
      <c r="AU186" s="10">
        <v>11.495331339050392</v>
      </c>
      <c r="AV186" s="10"/>
      <c r="AW186" s="6">
        <f>BD186</f>
        <v>376.82273701212785</v>
      </c>
      <c r="AX186" s="6">
        <f>SUM(M186:O186,R186:AC186,AE186:AH186,AK186:AL186,AN186:AP186,AR186:AU186)</f>
        <v>388.31806835117823</v>
      </c>
      <c r="BD186" s="6">
        <f>AX186-AU186</f>
        <v>376.82273701212785</v>
      </c>
    </row>
    <row r="187" spans="1:60">
      <c r="A187" t="s">
        <v>138</v>
      </c>
      <c r="B187" t="s">
        <v>140</v>
      </c>
      <c r="C187" t="s">
        <v>69</v>
      </c>
      <c r="E187" t="s">
        <v>42</v>
      </c>
      <c r="G187" t="s">
        <v>40</v>
      </c>
      <c r="H187" t="s">
        <v>41</v>
      </c>
      <c r="I187">
        <v>2020</v>
      </c>
      <c r="J187" t="s">
        <v>65</v>
      </c>
      <c r="L187" s="43">
        <v>1.2341764372994906</v>
      </c>
      <c r="M187" s="10">
        <v>6.1632521118282115</v>
      </c>
      <c r="N187" s="51">
        <v>26.714979786041113</v>
      </c>
      <c r="O187" s="10">
        <v>2.520258264678664</v>
      </c>
      <c r="P187" s="10">
        <v>0</v>
      </c>
      <c r="Q187" s="43">
        <v>20.189188491188869</v>
      </c>
      <c r="R187" s="10">
        <v>1.4792932016674678</v>
      </c>
      <c r="S187" s="10">
        <v>2.5947373126610036</v>
      </c>
      <c r="T187" s="10">
        <v>104.94221199395649</v>
      </c>
      <c r="U187" s="10">
        <v>19.401317340579688</v>
      </c>
      <c r="V187" s="10">
        <v>2.1574294299746954</v>
      </c>
      <c r="W187" s="10">
        <v>22.87959863497732</v>
      </c>
      <c r="X187" s="55">
        <v>9.4</v>
      </c>
      <c r="Y187" s="10">
        <v>68.264254881138427</v>
      </c>
      <c r="Z187" s="10">
        <v>2.3129924336468206</v>
      </c>
      <c r="AA187" s="10">
        <v>6.0519171708905847E-2</v>
      </c>
      <c r="AB187" s="10">
        <v>7.1558706583863785</v>
      </c>
      <c r="AC187" s="10">
        <v>1.1959879134172442</v>
      </c>
      <c r="AD187" s="41">
        <v>0.8264307037327544</v>
      </c>
      <c r="AE187" s="10">
        <v>25.987402475652896</v>
      </c>
      <c r="AF187" s="10">
        <v>1.0044814084867839</v>
      </c>
      <c r="AG187" s="10">
        <v>9.9359553782335297E-2</v>
      </c>
      <c r="AH187" s="10">
        <v>0.55470692360523244</v>
      </c>
      <c r="AI187" s="43">
        <v>0</v>
      </c>
      <c r="AJ187" s="10">
        <v>0.49327701756984255</v>
      </c>
      <c r="AK187" s="10">
        <v>3.3567032876485561</v>
      </c>
      <c r="AL187" s="10">
        <v>42.138055164537022</v>
      </c>
      <c r="AM187" s="10">
        <v>14.87699769103156</v>
      </c>
      <c r="AN187" s="10">
        <v>19.280847974722683</v>
      </c>
      <c r="AO187" s="10">
        <v>9.7587367018261055</v>
      </c>
      <c r="AP187" s="10">
        <v>7.1174505078468178</v>
      </c>
      <c r="AQ187" s="10">
        <v>6.2010696974462833</v>
      </c>
      <c r="AR187" s="10">
        <v>23.42254025579301</v>
      </c>
      <c r="AS187" s="10">
        <v>0.81434979923912731</v>
      </c>
      <c r="AT187" s="10">
        <v>2.8510668082318422</v>
      </c>
      <c r="AU187" s="10">
        <v>13.529486056074751</v>
      </c>
      <c r="AV187" s="10"/>
      <c r="AW187" s="6">
        <f>BE187</f>
        <v>413.62840399603488</v>
      </c>
      <c r="AY187" s="6">
        <f>SUM(M187:O187,R187:AC187,AE187:AH187,AK187:AL187,AN187:AP187,AR187:AU187)</f>
        <v>427.15789005210962</v>
      </c>
      <c r="BE187" s="6">
        <f>AY187-AU187</f>
        <v>413.62840399603488</v>
      </c>
    </row>
    <row r="188" spans="1:60">
      <c r="A188" t="s">
        <v>138</v>
      </c>
      <c r="B188" t="s">
        <v>140</v>
      </c>
      <c r="C188" t="s">
        <v>69</v>
      </c>
      <c r="E188" t="s">
        <v>42</v>
      </c>
      <c r="G188" t="s">
        <v>40</v>
      </c>
      <c r="H188" t="s">
        <v>41</v>
      </c>
      <c r="I188">
        <v>2030</v>
      </c>
      <c r="J188" t="s">
        <v>65</v>
      </c>
      <c r="L188" s="43">
        <v>1.3713892616817243</v>
      </c>
      <c r="M188" s="10">
        <v>7.7228358230307084</v>
      </c>
      <c r="N188" s="51">
        <v>34.66136770660404</v>
      </c>
      <c r="O188" s="10">
        <v>2.9117713218221075</v>
      </c>
      <c r="P188" s="10">
        <v>0</v>
      </c>
      <c r="Q188" s="43">
        <v>24.021978506208168</v>
      </c>
      <c r="R188" s="10">
        <v>1.8044639970979923</v>
      </c>
      <c r="S188" s="10">
        <v>3.0669665892910936</v>
      </c>
      <c r="T188" s="10">
        <v>114.65156274519306</v>
      </c>
      <c r="U188" s="10">
        <v>22.339732425347684</v>
      </c>
      <c r="V188" s="10">
        <v>2.6648126319474237</v>
      </c>
      <c r="W188" s="10">
        <v>29.551598363343409</v>
      </c>
      <c r="X188" s="55">
        <v>11.8</v>
      </c>
      <c r="Y188" s="10">
        <v>82.562996558894028</v>
      </c>
      <c r="Z188" s="10">
        <v>2.6821206068675272</v>
      </c>
      <c r="AA188" s="10">
        <v>8.5957997512907849E-2</v>
      </c>
      <c r="AB188" s="10">
        <v>9.026603753735813</v>
      </c>
      <c r="AC188" s="10">
        <v>1.7095334521610226</v>
      </c>
      <c r="AD188" s="41">
        <v>0.97335018955196129</v>
      </c>
      <c r="AE188" s="10">
        <v>32.301764897078776</v>
      </c>
      <c r="AF188" s="10">
        <v>1.2374169069453478</v>
      </c>
      <c r="AG188" s="10">
        <v>0.11910011644497076</v>
      </c>
      <c r="AH188" s="10">
        <v>0.69670826794617513</v>
      </c>
      <c r="AI188" s="43">
        <v>0</v>
      </c>
      <c r="AJ188" s="10">
        <v>0.69362656486270458</v>
      </c>
      <c r="AK188" s="10">
        <v>4.0519010589144164</v>
      </c>
      <c r="AL188" s="10">
        <v>50.261446685902527</v>
      </c>
      <c r="AM188" s="10">
        <v>19.04540205490915</v>
      </c>
      <c r="AN188" s="10">
        <v>24.249746322088441</v>
      </c>
      <c r="AO188" s="10">
        <v>12.821767470362547</v>
      </c>
      <c r="AP188" s="10">
        <v>8.2278429153299371</v>
      </c>
      <c r="AQ188" s="10">
        <v>9.2710223824063771</v>
      </c>
      <c r="AR188" s="10">
        <v>27.099184574218796</v>
      </c>
      <c r="AS188" s="10">
        <v>0.95205740696599439</v>
      </c>
      <c r="AT188" s="10">
        <v>3.9111449851651634</v>
      </c>
      <c r="AU188" s="10">
        <v>16.419298629995527</v>
      </c>
      <c r="AV188" s="10"/>
      <c r="AW188" s="6">
        <f>BF188</f>
        <v>493.17240558021183</v>
      </c>
      <c r="AZ188" s="6">
        <f>SUM(M188:O188,R188:AC188,AE188:AH188,AK188:AL188,AN188:AP188,AR188:AU188)</f>
        <v>509.59170421020735</v>
      </c>
      <c r="BF188" s="6">
        <f>AZ188-AU188</f>
        <v>493.17240558021183</v>
      </c>
    </row>
    <row r="189" spans="1:60">
      <c r="A189" t="s">
        <v>138</v>
      </c>
      <c r="B189" t="s">
        <v>140</v>
      </c>
      <c r="C189" t="s">
        <v>69</v>
      </c>
      <c r="E189" t="s">
        <v>42</v>
      </c>
      <c r="G189" t="s">
        <v>40</v>
      </c>
      <c r="H189" t="s">
        <v>41</v>
      </c>
      <c r="I189">
        <v>2040</v>
      </c>
      <c r="J189" t="s">
        <v>65</v>
      </c>
      <c r="L189" s="43">
        <v>1.5228385527620245</v>
      </c>
      <c r="M189" s="10">
        <v>8.9933262703775263</v>
      </c>
      <c r="N189" s="51">
        <v>43.268809613257616</v>
      </c>
      <c r="O189" s="10">
        <v>3.3054609971275704</v>
      </c>
      <c r="P189" s="10">
        <v>0</v>
      </c>
      <c r="Q189" s="43">
        <v>28.088811964169011</v>
      </c>
      <c r="R189" s="10">
        <v>2.1988375754641778</v>
      </c>
      <c r="S189" s="10">
        <v>3.5197783751269998</v>
      </c>
      <c r="T189" s="10">
        <v>123.0907674588412</v>
      </c>
      <c r="U189" s="10">
        <v>25.205637280637301</v>
      </c>
      <c r="V189" s="10">
        <v>3.0801775163190968</v>
      </c>
      <c r="W189" s="10">
        <v>33.58738733523063</v>
      </c>
      <c r="X189" s="55">
        <v>14.5</v>
      </c>
      <c r="Y189" s="10">
        <v>96.868951271765596</v>
      </c>
      <c r="Z189" s="10">
        <v>3.0346104907931832</v>
      </c>
      <c r="AA189" s="10">
        <v>0.10423406272243836</v>
      </c>
      <c r="AB189" s="10">
        <v>10.465009265806016</v>
      </c>
      <c r="AC189" s="10">
        <v>2.1255729667655219</v>
      </c>
      <c r="AD189" s="41">
        <v>1.1087327829530318</v>
      </c>
      <c r="AE189" s="10">
        <v>37.1885824008912</v>
      </c>
      <c r="AF189" s="10">
        <v>1.437985489041983</v>
      </c>
      <c r="AG189" s="10">
        <v>0.14098161738836074</v>
      </c>
      <c r="AH189" s="10">
        <v>0.77744798058304321</v>
      </c>
      <c r="AI189" s="43">
        <v>0</v>
      </c>
      <c r="AJ189" s="10">
        <v>0.95601179204910702</v>
      </c>
      <c r="AK189" s="10">
        <v>4.6562751707578443</v>
      </c>
      <c r="AL189" s="10">
        <v>58.496904583740708</v>
      </c>
      <c r="AM189" s="10">
        <v>24.877811059296892</v>
      </c>
      <c r="AN189" s="10">
        <v>28.309402831999414</v>
      </c>
      <c r="AO189" s="10">
        <v>15.03237847966157</v>
      </c>
      <c r="AP189" s="10">
        <v>9.1425950778781626</v>
      </c>
      <c r="AQ189" s="10">
        <v>13.978351803677086</v>
      </c>
      <c r="AR189" s="10">
        <v>30.921020459237152</v>
      </c>
      <c r="AS189" s="10">
        <v>1.067130366843656</v>
      </c>
      <c r="AT189" s="10">
        <v>4.4603952852820754</v>
      </c>
      <c r="AU189" s="10">
        <v>19.768663818736822</v>
      </c>
      <c r="AV189" s="10"/>
      <c r="AW189" s="6">
        <f>BG189</f>
        <v>564.97966022354001</v>
      </c>
      <c r="AZ189" s="6"/>
      <c r="BA189" s="6">
        <f>SUM(M189:O189,R189:AC189,AE189:AH189,AK189:AL189,AN189:AP189,AR189:AU189)</f>
        <v>584.74832404227686</v>
      </c>
      <c r="BG189" s="6">
        <f>BA189-AU189</f>
        <v>564.97966022354001</v>
      </c>
    </row>
    <row r="190" spans="1:60">
      <c r="A190" t="s">
        <v>138</v>
      </c>
      <c r="B190" t="s">
        <v>140</v>
      </c>
      <c r="C190" t="s">
        <v>69</v>
      </c>
      <c r="E190" t="s">
        <v>42</v>
      </c>
      <c r="G190" t="s">
        <v>40</v>
      </c>
      <c r="H190" s="5" t="s">
        <v>41</v>
      </c>
      <c r="I190" s="5">
        <v>2050</v>
      </c>
      <c r="J190" s="5" t="s">
        <v>65</v>
      </c>
      <c r="K190" s="5"/>
      <c r="L190" s="43">
        <v>2.4213387802364515E-2</v>
      </c>
      <c r="M190" s="11">
        <v>10.459342048447004</v>
      </c>
      <c r="N190" s="54">
        <v>53.829668110286306</v>
      </c>
      <c r="O190" s="11">
        <v>3.7521715839902083</v>
      </c>
      <c r="P190" s="11">
        <v>0</v>
      </c>
      <c r="Q190" s="43">
        <v>31.904273049174364</v>
      </c>
      <c r="R190" s="11">
        <v>2.6793641045480525</v>
      </c>
      <c r="S190" s="11">
        <v>4.040235165260369</v>
      </c>
      <c r="T190" s="11">
        <v>131.71125349591546</v>
      </c>
      <c r="U190" s="11">
        <v>28.569909546235863</v>
      </c>
      <c r="V190" s="11">
        <v>3.5624390275339519</v>
      </c>
      <c r="W190" s="11">
        <v>38.068685129039629</v>
      </c>
      <c r="X190" s="56">
        <v>17</v>
      </c>
      <c r="Y190" s="11">
        <v>113.45526041642012</v>
      </c>
      <c r="Z190" s="11">
        <v>3.4327590945367921</v>
      </c>
      <c r="AA190" s="11">
        <v>0.12574336008785258</v>
      </c>
      <c r="AB190" s="11">
        <v>12.121128934585668</v>
      </c>
      <c r="AC190" s="11">
        <v>2.6413916624022415</v>
      </c>
      <c r="AD190" s="41">
        <v>1.2061832299724298</v>
      </c>
      <c r="AE190" s="11">
        <v>42.757186179054742</v>
      </c>
      <c r="AF190" s="11">
        <v>1.6711717591842643</v>
      </c>
      <c r="AG190" s="11">
        <v>0.16686887635840605</v>
      </c>
      <c r="AH190" s="11">
        <v>0.86754647676460916</v>
      </c>
      <c r="AI190" s="43">
        <v>0</v>
      </c>
      <c r="AJ190" s="11">
        <v>1.3458019429760857</v>
      </c>
      <c r="AK190" s="11">
        <v>5.350796831218589</v>
      </c>
      <c r="AL190" s="11">
        <v>67.939488765760302</v>
      </c>
      <c r="AM190" s="11">
        <v>33.372717149559357</v>
      </c>
      <c r="AN190" s="11">
        <v>32.982733479969347</v>
      </c>
      <c r="AO190" s="11">
        <v>17.613305895527173</v>
      </c>
      <c r="AP190" s="11">
        <v>10.152257018413497</v>
      </c>
      <c r="AQ190" s="11">
        <v>21.347726447056953</v>
      </c>
      <c r="AR190" s="11">
        <v>34.685760642146931</v>
      </c>
      <c r="AS190" s="11">
        <v>1.1940290430653244</v>
      </c>
      <c r="AT190" s="11">
        <v>5.0767681885470957</v>
      </c>
      <c r="AU190" s="11">
        <v>23.800118281718667</v>
      </c>
      <c r="AV190" s="10"/>
      <c r="AW190" s="6">
        <f>BH190</f>
        <v>645.90726483529988</v>
      </c>
      <c r="AZ190" s="6"/>
      <c r="BA190" s="6"/>
      <c r="BB190" s="6">
        <f>SUM(M190:O190,R190:AC190,AE190:AH190,AK190:AL190,AN190:AP190,AR190:AU190)</f>
        <v>669.70738311701859</v>
      </c>
      <c r="BH190" s="6">
        <f>BB190-AU190</f>
        <v>645.90726483529988</v>
      </c>
    </row>
    <row r="191" spans="1:60">
      <c r="A191" t="s">
        <v>138</v>
      </c>
      <c r="B191" t="s">
        <v>140</v>
      </c>
      <c r="C191" t="s">
        <v>69</v>
      </c>
      <c r="F191" t="s">
        <v>105</v>
      </c>
      <c r="H191" t="s">
        <v>45</v>
      </c>
      <c r="I191">
        <v>2005</v>
      </c>
      <c r="J191" t="s">
        <v>65</v>
      </c>
      <c r="L191" s="6">
        <v>0.16142258534909676</v>
      </c>
      <c r="M191" s="6">
        <v>0.17302990651542829</v>
      </c>
      <c r="N191" s="52">
        <v>5.7042603902758407E-2</v>
      </c>
      <c r="O191" s="6">
        <v>4.87952325618651E-5</v>
      </c>
      <c r="P191" s="6">
        <v>0</v>
      </c>
      <c r="Q191" s="6">
        <v>0.17302990651542829</v>
      </c>
      <c r="R191" s="6">
        <v>5.5171223739208589E-3</v>
      </c>
      <c r="S191" s="6">
        <v>3.1909147589562073E-4</v>
      </c>
      <c r="T191" s="6">
        <v>6.8025638383179099E-2</v>
      </c>
      <c r="U191" s="6">
        <v>3.6862849772614022E-3</v>
      </c>
      <c r="V191" s="6">
        <v>6.554975200385638E-3</v>
      </c>
      <c r="W191" s="6">
        <v>2.1402512011669335E-4</v>
      </c>
      <c r="X191" s="6">
        <v>5.3136090377664189E-2</v>
      </c>
      <c r="Y191" s="6">
        <v>7.7198386244814371E-2</v>
      </c>
      <c r="Z191" s="6">
        <v>8.4449005908455166E-2</v>
      </c>
      <c r="AA191" s="6">
        <v>3.1978843061925555E-2</v>
      </c>
      <c r="AB191" s="6">
        <v>3.7666761465468225E-3</v>
      </c>
      <c r="AC191" s="6">
        <v>4.2891361411746827E-2</v>
      </c>
      <c r="AD191" s="6">
        <v>2.7553688301156284E-3</v>
      </c>
      <c r="AE191" s="6">
        <v>8.4449005908455166E-2</v>
      </c>
      <c r="AF191" s="6">
        <v>6.0102126315386237E-2</v>
      </c>
      <c r="AG191" s="6">
        <v>2.4606065944219745E-4</v>
      </c>
      <c r="AH191" s="6">
        <v>2.4606065944219745E-4</v>
      </c>
      <c r="AI191" s="6">
        <v>0.16142258534909676</v>
      </c>
      <c r="AJ191" s="6">
        <v>9.8139652437200339E-2</v>
      </c>
      <c r="AK191" s="6">
        <v>3.0539455440695438E-5</v>
      </c>
      <c r="AL191" s="6">
        <v>5.8722163297585908E-2</v>
      </c>
      <c r="AM191" s="6">
        <v>4.1061513889641341E-3</v>
      </c>
      <c r="AN191" s="6">
        <v>2.5317600945144875E-3</v>
      </c>
      <c r="AO191" s="6">
        <v>4.4840134529699552E-3</v>
      </c>
      <c r="AP191" s="6">
        <v>0.16142258534909676</v>
      </c>
      <c r="AQ191" s="6">
        <v>0.16142258534909676</v>
      </c>
      <c r="AR191" s="6">
        <v>2.7553688301156284E-3</v>
      </c>
      <c r="AS191" s="6">
        <v>0.14794629516342342</v>
      </c>
      <c r="AT191" s="6">
        <v>1.980037202347926E-2</v>
      </c>
      <c r="AU191" s="6">
        <v>4.0295009653540131E-2</v>
      </c>
      <c r="AV191" s="6"/>
      <c r="AW191" s="6"/>
      <c r="AY191" s="6"/>
      <c r="AZ191" s="6"/>
      <c r="BA191" s="6"/>
      <c r="BB191" s="6"/>
    </row>
    <row r="192" spans="1:60">
      <c r="A192" t="s">
        <v>138</v>
      </c>
      <c r="B192" t="s">
        <v>140</v>
      </c>
      <c r="C192" t="s">
        <v>69</v>
      </c>
      <c r="F192" t="s">
        <v>105</v>
      </c>
      <c r="H192" t="s">
        <v>45</v>
      </c>
      <c r="I192">
        <v>2010</v>
      </c>
      <c r="J192" t="s">
        <v>65</v>
      </c>
      <c r="L192" s="41">
        <v>0.16142258534909676</v>
      </c>
      <c r="M192" s="6">
        <v>0.17302990651542829</v>
      </c>
      <c r="N192" s="52">
        <v>5.7042603902758407E-2</v>
      </c>
      <c r="O192" s="6">
        <v>4.87952325618651E-5</v>
      </c>
      <c r="P192" s="6">
        <v>0</v>
      </c>
      <c r="Q192" s="6">
        <v>0.17302990651542829</v>
      </c>
      <c r="R192" s="6">
        <v>5.5171223739208589E-3</v>
      </c>
      <c r="S192" s="6">
        <v>3.1909147589562073E-4</v>
      </c>
      <c r="T192" s="6">
        <v>6.8025638383179099E-2</v>
      </c>
      <c r="U192" s="6">
        <v>3.6862849772614022E-3</v>
      </c>
      <c r="V192" s="6">
        <v>6.554975200385638E-3</v>
      </c>
      <c r="W192" s="6">
        <v>2.1402512011669335E-4</v>
      </c>
      <c r="X192" s="6">
        <v>5.3136090377664189E-2</v>
      </c>
      <c r="Y192" s="6">
        <v>7.7198386244814371E-2</v>
      </c>
      <c r="Z192" s="14">
        <v>8.4449005908455166E-2</v>
      </c>
      <c r="AA192" s="6">
        <v>3.1978843061925555E-2</v>
      </c>
      <c r="AB192" s="6">
        <v>3.7666761465468225E-3</v>
      </c>
      <c r="AC192" s="6">
        <v>4.2891361411746827E-2</v>
      </c>
      <c r="AD192" s="6">
        <v>2.7553688301156284E-3</v>
      </c>
      <c r="AE192" s="6">
        <v>8.4449005908455166E-2</v>
      </c>
      <c r="AF192" s="6">
        <v>6.0102126315386237E-2</v>
      </c>
      <c r="AG192" s="6">
        <v>2.4606065944219745E-4</v>
      </c>
      <c r="AH192" s="6">
        <v>2.4606065944219745E-4</v>
      </c>
      <c r="AI192" s="41">
        <v>0.16142258534909676</v>
      </c>
      <c r="AJ192" s="6">
        <v>9.8139652437200339E-2</v>
      </c>
      <c r="AK192" s="6">
        <v>3.0539455440695438E-5</v>
      </c>
      <c r="AL192" s="6">
        <v>5.8722163297585908E-2</v>
      </c>
      <c r="AM192" s="44">
        <v>4.1061513889641341E-3</v>
      </c>
      <c r="AN192" s="6">
        <v>2.5317600945144875E-3</v>
      </c>
      <c r="AO192" s="6">
        <v>4.4840134529699552E-3</v>
      </c>
      <c r="AP192" s="6">
        <v>0.16142258534909676</v>
      </c>
      <c r="AQ192" s="41">
        <v>0.16142258534909676</v>
      </c>
      <c r="AR192" s="6">
        <v>2.7553688301156284E-3</v>
      </c>
      <c r="AS192" s="6">
        <v>0.14794629516342342</v>
      </c>
      <c r="AT192" s="6">
        <v>1.980037202347926E-2</v>
      </c>
      <c r="AU192" s="6">
        <v>4.0295009653540131E-2</v>
      </c>
      <c r="AV192" s="6"/>
      <c r="AW192" s="6"/>
      <c r="AY192" s="6"/>
      <c r="AZ192" s="6"/>
      <c r="BA192" s="6"/>
      <c r="BB192" s="6"/>
    </row>
    <row r="193" spans="1:60">
      <c r="A193" t="s">
        <v>138</v>
      </c>
      <c r="B193" t="s">
        <v>140</v>
      </c>
      <c r="C193" t="s">
        <v>69</v>
      </c>
      <c r="F193" t="s">
        <v>105</v>
      </c>
      <c r="H193" t="s">
        <v>45</v>
      </c>
      <c r="I193">
        <v>2020</v>
      </c>
      <c r="J193" t="s">
        <v>65</v>
      </c>
      <c r="L193" s="41">
        <v>0.15123849241543222</v>
      </c>
      <c r="M193" s="6">
        <v>0.18374550615216259</v>
      </c>
      <c r="N193" s="52">
        <v>6.230422370677622E-2</v>
      </c>
      <c r="O193" s="6">
        <v>5.6115795343913647E-5</v>
      </c>
      <c r="P193" s="6">
        <v>0</v>
      </c>
      <c r="Q193" s="6">
        <v>0.18374550615216259</v>
      </c>
      <c r="R193" s="6">
        <v>6.1605493783340277E-3</v>
      </c>
      <c r="S193" s="6">
        <v>3.1034481417860821E-4</v>
      </c>
      <c r="T193" s="6">
        <v>7.4649804875309561E-2</v>
      </c>
      <c r="U193" s="6">
        <v>4.0416918831478717E-3</v>
      </c>
      <c r="V193" s="6">
        <v>5.606294220395807E-3</v>
      </c>
      <c r="W193" s="6">
        <v>2.3357936992982043E-4</v>
      </c>
      <c r="X193" s="6">
        <v>5.700965096480215E-2</v>
      </c>
      <c r="Y193" s="6">
        <v>8.6239052614247622E-2</v>
      </c>
      <c r="Z193" s="14">
        <v>9.3881235149403927E-2</v>
      </c>
      <c r="AA193" s="6">
        <v>3.5791574813733171E-2</v>
      </c>
      <c r="AB193" s="6">
        <v>4.1933314191247798E-3</v>
      </c>
      <c r="AC193" s="6">
        <v>4.394464865651207E-2</v>
      </c>
      <c r="AD193" s="6">
        <v>3.261897888845398E-3</v>
      </c>
      <c r="AE193" s="6">
        <v>9.3881235149403927E-2</v>
      </c>
      <c r="AF193" s="6">
        <v>5.2822189012022402E-2</v>
      </c>
      <c r="AG193" s="6">
        <v>7.217478308597392E-4</v>
      </c>
      <c r="AH193" s="6">
        <v>2.1329226464972544E-4</v>
      </c>
      <c r="AI193" s="41">
        <v>0.15123849241543222</v>
      </c>
      <c r="AJ193" s="6">
        <v>8.8771773931224554E-2</v>
      </c>
      <c r="AK193" s="6">
        <v>3.0278018319097548E-5</v>
      </c>
      <c r="AL193" s="6">
        <v>6.3853548620482148E-2</v>
      </c>
      <c r="AM193" s="44">
        <v>4.4741913074484805E-3</v>
      </c>
      <c r="AN193" s="6">
        <v>2.856916174289213E-3</v>
      </c>
      <c r="AO193" s="6">
        <v>5.1580642379240038E-3</v>
      </c>
      <c r="AP193" s="6">
        <v>0.15123849241543222</v>
      </c>
      <c r="AQ193" s="41">
        <v>0.15123849241543222</v>
      </c>
      <c r="AR193" s="6">
        <v>3.261897888845398E-3</v>
      </c>
      <c r="AS193" s="6">
        <v>0.15744025814900903</v>
      </c>
      <c r="AT193" s="6">
        <v>2.1460689046761468E-2</v>
      </c>
      <c r="AU193" s="6">
        <v>4.2217435610363944E-2</v>
      </c>
      <c r="AV193" s="6"/>
      <c r="AW193" s="6"/>
      <c r="AY193" s="6"/>
      <c r="AZ193" s="6"/>
      <c r="BA193" s="6"/>
      <c r="BB193" s="6"/>
    </row>
    <row r="194" spans="1:60">
      <c r="A194" t="s">
        <v>138</v>
      </c>
      <c r="B194" t="s">
        <v>140</v>
      </c>
      <c r="C194" t="s">
        <v>69</v>
      </c>
      <c r="F194" t="s">
        <v>105</v>
      </c>
      <c r="H194" t="s">
        <v>45</v>
      </c>
      <c r="I194">
        <v>2030</v>
      </c>
      <c r="J194" t="s">
        <v>65</v>
      </c>
      <c r="L194" s="41">
        <v>0.12558711526467292</v>
      </c>
      <c r="M194" s="6">
        <v>0.16376836557707553</v>
      </c>
      <c r="N194" s="52">
        <v>5.0275469494819723E-2</v>
      </c>
      <c r="O194" s="6">
        <v>5.9688561849527632E-5</v>
      </c>
      <c r="P194" s="6">
        <v>0</v>
      </c>
      <c r="Q194" s="6">
        <v>0.16376836557707553</v>
      </c>
      <c r="R194" s="6">
        <v>6.0251809624299818E-3</v>
      </c>
      <c r="S194" s="6">
        <v>2.8596169273144051E-4</v>
      </c>
      <c r="T194" s="6">
        <v>6.6234408786015511E-2</v>
      </c>
      <c r="U194" s="6">
        <v>4.0108511858108322E-3</v>
      </c>
      <c r="V194" s="6">
        <v>4.7906610598101801E-3</v>
      </c>
      <c r="W194" s="6">
        <v>2.0375448492831129E-4</v>
      </c>
      <c r="X194" s="6">
        <v>4.5578586186607817E-2</v>
      </c>
      <c r="Y194" s="6">
        <v>7.5034931031522173E-2</v>
      </c>
      <c r="Z194" s="14">
        <v>8.4068523594919717E-2</v>
      </c>
      <c r="AA194" s="6">
        <v>3.1393510603549828E-2</v>
      </c>
      <c r="AB194" s="6">
        <v>3.8453999905045068E-3</v>
      </c>
      <c r="AC194" s="6">
        <v>3.6767682579991634E-2</v>
      </c>
      <c r="AD194" s="6">
        <v>3.4952228536367456E-3</v>
      </c>
      <c r="AE194" s="6">
        <v>8.4068523594919717E-2</v>
      </c>
      <c r="AF194" s="6">
        <v>4.4562257208019478E-2</v>
      </c>
      <c r="AG194" s="6">
        <v>7.1235460013579263E-4</v>
      </c>
      <c r="AH194" s="6">
        <v>1.8145368973107216E-4</v>
      </c>
      <c r="AI194" s="41">
        <v>0.12558711526467292</v>
      </c>
      <c r="AJ194" s="6">
        <v>6.677065812163166E-2</v>
      </c>
      <c r="AK194" s="6">
        <v>2.7110761085826987E-5</v>
      </c>
      <c r="AL194" s="6">
        <v>5.4224104010323647E-2</v>
      </c>
      <c r="AM194" s="44">
        <v>4.1268642852371005E-3</v>
      </c>
      <c r="AN194" s="6">
        <v>2.8676175655647685E-3</v>
      </c>
      <c r="AO194" s="6">
        <v>4.7101575914880404E-3</v>
      </c>
      <c r="AP194" s="6">
        <v>0.12558711526467292</v>
      </c>
      <c r="AQ194" s="41">
        <v>0.12558711526467292</v>
      </c>
      <c r="AR194" s="6">
        <v>3.4952228536367456E-3</v>
      </c>
      <c r="AS194" s="6">
        <v>0.13467551233530775</v>
      </c>
      <c r="AT194" s="6">
        <v>1.834163058370724E-2</v>
      </c>
      <c r="AU194" s="6">
        <v>3.9887198378705996E-2</v>
      </c>
      <c r="AV194" s="6"/>
      <c r="AW194" s="6"/>
      <c r="AY194" s="6"/>
      <c r="AZ194" s="6"/>
      <c r="BA194" s="6"/>
      <c r="BB194" s="6"/>
    </row>
    <row r="195" spans="1:60">
      <c r="A195" t="s">
        <v>138</v>
      </c>
      <c r="B195" t="s">
        <v>140</v>
      </c>
      <c r="C195" t="s">
        <v>69</v>
      </c>
      <c r="F195" t="s">
        <v>105</v>
      </c>
      <c r="H195" t="s">
        <v>45</v>
      </c>
      <c r="I195">
        <v>2040</v>
      </c>
      <c r="J195" t="s">
        <v>65</v>
      </c>
      <c r="L195" s="41">
        <v>0.10654854875281253</v>
      </c>
      <c r="M195" s="6">
        <v>0.1392124632215648</v>
      </c>
      <c r="N195" s="52">
        <v>4.1326538609389285E-2</v>
      </c>
      <c r="O195" s="6">
        <v>5.7759853499872503E-5</v>
      </c>
      <c r="P195" s="6">
        <v>0</v>
      </c>
      <c r="Q195" s="6">
        <v>0.1392124632215648</v>
      </c>
      <c r="R195" s="6">
        <v>5.118242218965249E-3</v>
      </c>
      <c r="S195" s="6">
        <v>2.4261393372075173E-4</v>
      </c>
      <c r="T195" s="6">
        <v>5.7780057469918343E-2</v>
      </c>
      <c r="U195" s="6">
        <v>3.6314514423470001E-3</v>
      </c>
      <c r="V195" s="6">
        <v>3.9461188777166669E-3</v>
      </c>
      <c r="W195" s="6">
        <v>1.8033656397591861E-4</v>
      </c>
      <c r="X195" s="6">
        <v>3.685836502690959E-2</v>
      </c>
      <c r="Y195" s="6">
        <v>6.4574091543109585E-2</v>
      </c>
      <c r="Z195" s="14">
        <v>7.1926887031967493E-2</v>
      </c>
      <c r="AA195" s="6">
        <v>2.7758770115660931E-2</v>
      </c>
      <c r="AB195" s="6">
        <v>3.3765460465254027E-3</v>
      </c>
      <c r="AC195" s="6">
        <v>3.1462354524700829E-2</v>
      </c>
      <c r="AD195" s="6">
        <v>3.4216372678802674E-3</v>
      </c>
      <c r="AE195" s="6">
        <v>7.1926887031967493E-2</v>
      </c>
      <c r="AF195" s="6">
        <v>3.5977664683271487E-2</v>
      </c>
      <c r="AG195" s="6">
        <v>6.2423077320596305E-4</v>
      </c>
      <c r="AH195" s="6">
        <v>1.5461378885557174E-4</v>
      </c>
      <c r="AI195" s="41">
        <v>0.10654854875281253</v>
      </c>
      <c r="AJ195" s="6">
        <v>4.6281482208659436E-2</v>
      </c>
      <c r="AK195" s="6">
        <v>2.2563667048674696E-5</v>
      </c>
      <c r="AL195" s="6">
        <v>4.5515915242046005E-2</v>
      </c>
      <c r="AM195" s="44">
        <v>3.4878529936976381E-3</v>
      </c>
      <c r="AN195" s="6">
        <v>2.6493791959126723E-3</v>
      </c>
      <c r="AO195" s="6">
        <v>4.3283737383058895E-3</v>
      </c>
      <c r="AP195" s="6">
        <v>0.10654854875281253</v>
      </c>
      <c r="AQ195" s="41">
        <v>0.10654854875281253</v>
      </c>
      <c r="AR195" s="6">
        <v>3.4216372678802674E-3</v>
      </c>
      <c r="AS195" s="6">
        <v>0.11680044181086222</v>
      </c>
      <c r="AT195" s="6">
        <v>1.6730839773446284E-2</v>
      </c>
      <c r="AU195" s="6">
        <v>3.3617678305501157E-2</v>
      </c>
      <c r="AV195" s="6"/>
      <c r="AW195" s="6"/>
      <c r="AY195" s="6"/>
    </row>
    <row r="196" spans="1:60">
      <c r="A196" t="s">
        <v>138</v>
      </c>
      <c r="B196" t="s">
        <v>140</v>
      </c>
      <c r="C196" t="s">
        <v>69</v>
      </c>
      <c r="F196" t="s">
        <v>105</v>
      </c>
      <c r="H196" t="s">
        <v>45</v>
      </c>
      <c r="I196">
        <v>2050</v>
      </c>
      <c r="J196" t="s">
        <v>65</v>
      </c>
      <c r="L196" s="41">
        <v>8.9872161086532676E-2</v>
      </c>
      <c r="M196" s="6">
        <v>0.1178701007190245</v>
      </c>
      <c r="N196" s="52">
        <v>3.3869537825268886E-2</v>
      </c>
      <c r="O196" s="6">
        <v>5.5565822569739367E-5</v>
      </c>
      <c r="P196" s="6">
        <v>0</v>
      </c>
      <c r="Q196" s="6">
        <v>0.1178701007190245</v>
      </c>
      <c r="R196" s="6">
        <v>4.3221731549732342E-3</v>
      </c>
      <c r="S196" s="6">
        <v>2.0484447085495161E-4</v>
      </c>
      <c r="T196" s="6">
        <v>5.0245743560679311E-2</v>
      </c>
      <c r="U196" s="6">
        <v>3.2674197939299744E-3</v>
      </c>
      <c r="V196" s="6">
        <v>3.2330836283730275E-3</v>
      </c>
      <c r="W196" s="6">
        <v>1.5912702026195036E-4</v>
      </c>
      <c r="X196" s="6">
        <v>3.1137670875011573E-2</v>
      </c>
      <c r="Y196" s="6">
        <v>5.5433655427400468E-2</v>
      </c>
      <c r="Z196" s="14">
        <v>6.1258684567996796E-2</v>
      </c>
      <c r="AA196" s="6">
        <v>2.4586252410931795E-2</v>
      </c>
      <c r="AB196" s="6">
        <v>2.9665819599817358E-3</v>
      </c>
      <c r="AC196" s="6">
        <v>2.6801967037624316E-2</v>
      </c>
      <c r="AD196" s="6">
        <v>3.4017708500826563E-3</v>
      </c>
      <c r="AE196" s="6">
        <v>6.1258684567996796E-2</v>
      </c>
      <c r="AF196" s="6">
        <v>2.8882197594382469E-2</v>
      </c>
      <c r="AG196" s="6">
        <v>5.4394748678799221E-4</v>
      </c>
      <c r="AH196" s="6">
        <v>1.3161399407409714E-4</v>
      </c>
      <c r="AI196" s="41">
        <v>8.9872161086532676E-2</v>
      </c>
      <c r="AJ196" s="6">
        <v>3.1549936199090363E-2</v>
      </c>
      <c r="AK196" s="6">
        <v>1.8670592803009167E-5</v>
      </c>
      <c r="AL196" s="6">
        <v>3.8047724682732223E-2</v>
      </c>
      <c r="AM196" s="44">
        <v>2.9414693426878975E-3</v>
      </c>
      <c r="AN196" s="6">
        <v>2.4408531059586366E-3</v>
      </c>
      <c r="AO196" s="6">
        <v>3.9712214076557993E-3</v>
      </c>
      <c r="AP196" s="6">
        <v>8.9872161086532676E-2</v>
      </c>
      <c r="AQ196" s="41">
        <v>8.9872161086532676E-2</v>
      </c>
      <c r="AR196" s="6">
        <v>3.4017708500826563E-3</v>
      </c>
      <c r="AS196" s="6">
        <v>0.1007706559957261</v>
      </c>
      <c r="AT196" s="6">
        <v>1.5225544497392694E-2</v>
      </c>
      <c r="AU196" s="6">
        <v>2.8167468324634033E-2</v>
      </c>
      <c r="AV196" s="6"/>
      <c r="AW196" s="6"/>
    </row>
    <row r="197" spans="1:60">
      <c r="E197" t="s">
        <v>46</v>
      </c>
    </row>
    <row r="198" spans="1:60">
      <c r="A198" t="s">
        <v>138</v>
      </c>
      <c r="B198" t="s">
        <v>140</v>
      </c>
      <c r="C198" t="s">
        <v>70</v>
      </c>
      <c r="E198" t="s">
        <v>42</v>
      </c>
      <c r="G198" t="s">
        <v>40</v>
      </c>
      <c r="H198" t="s">
        <v>41</v>
      </c>
      <c r="I198">
        <v>2005</v>
      </c>
      <c r="J198" t="s">
        <v>66</v>
      </c>
      <c r="L198" s="6">
        <v>2.4151940872375109E-3</v>
      </c>
      <c r="M198" s="10">
        <v>2.3833071181456287</v>
      </c>
      <c r="N198" s="51">
        <v>8.0163482763077258</v>
      </c>
      <c r="O198" s="10">
        <v>9.4130088266627333E-5</v>
      </c>
      <c r="P198" s="10">
        <v>0</v>
      </c>
      <c r="Q198" s="10">
        <v>0.8065798297109954</v>
      </c>
      <c r="R198" s="10">
        <v>1.0453268800284256E-3</v>
      </c>
      <c r="S198" s="10">
        <v>0.25135839126538928</v>
      </c>
      <c r="T198" s="10">
        <v>6.2214561900672933</v>
      </c>
      <c r="U198" s="10">
        <v>0.15658669291982957</v>
      </c>
      <c r="V198" s="10">
        <v>9.2627041907510319E-5</v>
      </c>
      <c r="W198" s="10">
        <v>0.75074564903225804</v>
      </c>
      <c r="X198" s="55">
        <v>2</v>
      </c>
      <c r="Y198" s="10">
        <v>4.2157872894889384E-3</v>
      </c>
      <c r="Z198" s="10">
        <v>0.3930090413584536</v>
      </c>
      <c r="AA198" s="10">
        <v>2.0188137887994447E-2</v>
      </c>
      <c r="AB198" s="10">
        <v>0.1759360535452619</v>
      </c>
      <c r="AC198" s="10">
        <v>9.0347566398336953E-4</v>
      </c>
      <c r="AD198" s="10">
        <v>3.2753465183003004E-2</v>
      </c>
      <c r="AE198" s="10">
        <v>0.1613443492163199</v>
      </c>
      <c r="AF198" s="10">
        <v>1.7824276351555585E-4</v>
      </c>
      <c r="AG198" s="10">
        <v>1.7824276351555585E-4</v>
      </c>
      <c r="AH198" s="10">
        <v>4.3530007829627307E-4</v>
      </c>
      <c r="AI198" s="10">
        <v>0</v>
      </c>
      <c r="AJ198" s="10">
        <v>1.9013263614549398E-3</v>
      </c>
      <c r="AK198" s="10">
        <v>4.538099508162478E-6</v>
      </c>
      <c r="AL198" s="10">
        <v>0.22990405367793984</v>
      </c>
      <c r="AM198" s="10">
        <v>0.26298194695455018</v>
      </c>
      <c r="AN198" s="10">
        <v>0.62741804581347849</v>
      </c>
      <c r="AO198" s="10">
        <v>0.36886962401323836</v>
      </c>
      <c r="AP198" s="10">
        <v>1.2701681292950788E-2</v>
      </c>
      <c r="AQ198" s="10">
        <v>1.4791638527873721E-3</v>
      </c>
      <c r="AR198" s="10">
        <v>0.96633022121677414</v>
      </c>
      <c r="AS198" s="10">
        <v>4.0540438106302333E-2</v>
      </c>
      <c r="AT198" s="10">
        <v>8.3458459116896673E-4</v>
      </c>
      <c r="AU198" s="10">
        <v>7.5608776981771597E-2</v>
      </c>
      <c r="AV198" s="10"/>
      <c r="AW198" s="10"/>
      <c r="AY198" s="6"/>
    </row>
    <row r="199" spans="1:60">
      <c r="A199" t="s">
        <v>138</v>
      </c>
      <c r="B199" t="s">
        <v>140</v>
      </c>
      <c r="C199" t="s">
        <v>70</v>
      </c>
      <c r="E199" t="s">
        <v>42</v>
      </c>
      <c r="G199" t="s">
        <v>40</v>
      </c>
      <c r="H199" t="s">
        <v>41</v>
      </c>
      <c r="I199">
        <v>2010</v>
      </c>
      <c r="J199" t="s">
        <v>66</v>
      </c>
      <c r="L199" s="41">
        <v>2.4151940872375109E-3</v>
      </c>
      <c r="M199" s="10">
        <v>2.3833071181456287</v>
      </c>
      <c r="N199" s="51">
        <v>8.0163482763077258</v>
      </c>
      <c r="O199" s="10">
        <v>9.4130088266627333E-5</v>
      </c>
      <c r="P199" s="45"/>
      <c r="Q199" s="43">
        <v>0.8065798297109954</v>
      </c>
      <c r="R199" s="10">
        <v>1.0453268800284256E-3</v>
      </c>
      <c r="S199" s="10">
        <v>0.25135839126538928</v>
      </c>
      <c r="T199" s="10">
        <v>6.2214561900672933</v>
      </c>
      <c r="U199" s="10">
        <v>0.15658669291982957</v>
      </c>
      <c r="V199" s="10">
        <v>9.2627041907510319E-5</v>
      </c>
      <c r="W199" s="10">
        <v>0.75074564903225804</v>
      </c>
      <c r="X199" s="55">
        <v>2.2000000000000002</v>
      </c>
      <c r="Y199" s="10">
        <v>4.2157872894889384E-3</v>
      </c>
      <c r="Z199" s="10">
        <v>0.3930090413584536</v>
      </c>
      <c r="AA199" s="10">
        <v>2.0188137887994447E-2</v>
      </c>
      <c r="AB199" s="10">
        <v>0.1759360535452619</v>
      </c>
      <c r="AC199" s="10">
        <v>9.0347566398336953E-4</v>
      </c>
      <c r="AD199" s="46">
        <v>3.2753465183003004E-2</v>
      </c>
      <c r="AE199" s="10">
        <v>0.1613443492163199</v>
      </c>
      <c r="AF199" s="10">
        <v>1.7824276351555585E-4</v>
      </c>
      <c r="AG199" s="10">
        <v>1.7824276351555585E-4</v>
      </c>
      <c r="AH199" s="10">
        <v>4.3530007829627307E-4</v>
      </c>
      <c r="AI199" s="43">
        <v>0</v>
      </c>
      <c r="AJ199" s="10">
        <v>1.9013263614549398E-3</v>
      </c>
      <c r="AK199" s="10">
        <v>4.538099508162478E-6</v>
      </c>
      <c r="AL199" s="10">
        <v>0.22990405367793984</v>
      </c>
      <c r="AM199" s="10">
        <v>0.26298194695455018</v>
      </c>
      <c r="AN199" s="10">
        <v>0.62741804581347849</v>
      </c>
      <c r="AO199" s="10">
        <v>0.36886962401323836</v>
      </c>
      <c r="AP199" s="10">
        <v>1.2701681292950788E-2</v>
      </c>
      <c r="AQ199" s="10">
        <v>1.4791638527873721E-3</v>
      </c>
      <c r="AR199" s="10">
        <v>0.96633022121677414</v>
      </c>
      <c r="AS199" s="10">
        <v>4.0540438106302333E-2</v>
      </c>
      <c r="AT199" s="10">
        <v>8.3458459116896673E-4</v>
      </c>
      <c r="AU199" s="10">
        <v>7.5608776981771597E-2</v>
      </c>
      <c r="AV199" s="10"/>
      <c r="AW199" s="6">
        <f>BD199</f>
        <v>22.984026219126516</v>
      </c>
      <c r="AX199" s="6">
        <f>SUM(M199:O199,R199:AC199,AE199:AH199,AK199:AL199,AN199:AP199,AR199:AU199)</f>
        <v>23.059634996108286</v>
      </c>
      <c r="BD199" s="6">
        <f>AX199-AU199</f>
        <v>22.984026219126516</v>
      </c>
    </row>
    <row r="200" spans="1:60">
      <c r="A200" t="s">
        <v>138</v>
      </c>
      <c r="B200" t="s">
        <v>140</v>
      </c>
      <c r="C200" t="s">
        <v>70</v>
      </c>
      <c r="E200" t="s">
        <v>42</v>
      </c>
      <c r="G200" t="s">
        <v>40</v>
      </c>
      <c r="H200" t="s">
        <v>41</v>
      </c>
      <c r="I200">
        <v>2020</v>
      </c>
      <c r="J200" t="s">
        <v>66</v>
      </c>
      <c r="L200" s="41">
        <v>3.2978259908427324E-3</v>
      </c>
      <c r="M200" s="10">
        <v>2.8205457009190744</v>
      </c>
      <c r="N200" s="51">
        <v>9.2120466199620026</v>
      </c>
      <c r="O200" s="10">
        <v>1.1816389635955409E-4</v>
      </c>
      <c r="P200" s="10">
        <v>0</v>
      </c>
      <c r="Q200" s="43">
        <v>0.99540857429154839</v>
      </c>
      <c r="R200" s="10">
        <v>1.1894510438797692E-3</v>
      </c>
      <c r="S200" s="10">
        <v>0.30934154981435824</v>
      </c>
      <c r="T200" s="10">
        <v>7.009663535895462</v>
      </c>
      <c r="U200" s="10">
        <v>0.17937589638596749</v>
      </c>
      <c r="V200" s="10">
        <v>1.2488171364724728E-4</v>
      </c>
      <c r="W200" s="10">
        <v>0.87989308248498577</v>
      </c>
      <c r="X200" s="55">
        <v>2.5</v>
      </c>
      <c r="Y200" s="10">
        <v>4.941010418150365E-3</v>
      </c>
      <c r="Z200" s="10">
        <v>0.3930090413584536</v>
      </c>
      <c r="AA200" s="10">
        <v>2.4851561571702898E-2</v>
      </c>
      <c r="AB200" s="10">
        <v>0.19242722120965181</v>
      </c>
      <c r="AC200" s="10">
        <v>1.1121769237255989E-3</v>
      </c>
      <c r="AD200" s="46">
        <v>4.0746373184459776E-2</v>
      </c>
      <c r="AE200" s="10">
        <v>0.1764677799231687</v>
      </c>
      <c r="AF200" s="10">
        <v>2.2594954615683265E-4</v>
      </c>
      <c r="AG200" s="10">
        <v>3.9366109834991324E-5</v>
      </c>
      <c r="AH200" s="10">
        <v>5.6156192534217943E-4</v>
      </c>
      <c r="AI200" s="43">
        <v>0</v>
      </c>
      <c r="AJ200" s="10">
        <v>2.8134444179177989E-3</v>
      </c>
      <c r="AK200" s="10">
        <v>5.2666497472491021E-6</v>
      </c>
      <c r="AL200" s="10">
        <v>0.26945342504114067</v>
      </c>
      <c r="AM200" s="10">
        <v>0.34749789933651615</v>
      </c>
      <c r="AN200" s="10">
        <v>0.75980613719072565</v>
      </c>
      <c r="AO200" s="10">
        <v>0.38773366529111158</v>
      </c>
      <c r="AP200" s="10">
        <v>1.6101293914916739E-2</v>
      </c>
      <c r="AQ200" s="10">
        <v>2.1887590521944399E-3</v>
      </c>
      <c r="AR200" s="10">
        <v>1.1548258818070196</v>
      </c>
      <c r="AS200" s="10">
        <v>4.7623556215252362E-2</v>
      </c>
      <c r="AT200" s="10">
        <v>1.0656533418035904E-3</v>
      </c>
      <c r="AU200" s="10">
        <v>8.9491490697336598E-2</v>
      </c>
      <c r="AV200" s="10"/>
      <c r="AW200" s="6">
        <f>BE200</f>
        <v>26.342549430553646</v>
      </c>
      <c r="AY200" s="6">
        <f>SUM(M200:O200,R200:AC200,AE200:AH200,AK200:AL200,AN200:AP200,AR200:AU200)</f>
        <v>26.432040921250984</v>
      </c>
      <c r="BE200" s="6">
        <f>AY200-AU200</f>
        <v>26.342549430553646</v>
      </c>
    </row>
    <row r="201" spans="1:60">
      <c r="A201" t="s">
        <v>138</v>
      </c>
      <c r="B201" t="s">
        <v>140</v>
      </c>
      <c r="C201" t="s">
        <v>70</v>
      </c>
      <c r="E201" t="s">
        <v>42</v>
      </c>
      <c r="G201" t="s">
        <v>40</v>
      </c>
      <c r="H201" t="s">
        <v>41</v>
      </c>
      <c r="I201">
        <v>2030</v>
      </c>
      <c r="J201" t="s">
        <v>66</v>
      </c>
      <c r="L201" s="41">
        <v>3.9464225181777626E-3</v>
      </c>
      <c r="M201" s="10">
        <v>3.2091629228582681</v>
      </c>
      <c r="N201" s="51">
        <v>11.760051802950917</v>
      </c>
      <c r="O201" s="10">
        <v>1.6134685433894191E-4</v>
      </c>
      <c r="P201" s="10">
        <v>0</v>
      </c>
      <c r="Q201" s="43">
        <v>1.320107657703069</v>
      </c>
      <c r="R201" s="10">
        <v>1.7399210224156537E-3</v>
      </c>
      <c r="S201" s="10">
        <v>0.4392778661082688</v>
      </c>
      <c r="T201" s="10">
        <v>8.2676972108068014</v>
      </c>
      <c r="U201" s="10">
        <v>0.22828624089877361</v>
      </c>
      <c r="V201" s="10">
        <v>1.8557012251480557E-4</v>
      </c>
      <c r="W201" s="10">
        <v>1.3648494755205145</v>
      </c>
      <c r="X201" s="55">
        <v>3</v>
      </c>
      <c r="Y201" s="10">
        <v>7.0872017458147576E-3</v>
      </c>
      <c r="Z201" s="10">
        <v>0.48708006109154411</v>
      </c>
      <c r="AA201" s="10">
        <v>3.5646156484553229E-2</v>
      </c>
      <c r="AB201" s="10">
        <v>0.2760104558957488</v>
      </c>
      <c r="AC201" s="10">
        <v>1.8287405660113501E-3</v>
      </c>
      <c r="AD201" s="46">
        <v>5.3489642350741641E-2</v>
      </c>
      <c r="AE201" s="10">
        <v>0.24575767548286861</v>
      </c>
      <c r="AF201" s="10">
        <v>3.2409363317801129E-4</v>
      </c>
      <c r="AG201" s="10">
        <v>5.6170881178255965E-5</v>
      </c>
      <c r="AH201" s="10">
        <v>8.3404161983628722E-4</v>
      </c>
      <c r="AI201" s="43">
        <v>0</v>
      </c>
      <c r="AJ201" s="10">
        <v>5.0079310638936822E-3</v>
      </c>
      <c r="AK201" s="10">
        <v>7.6288227262523957E-6</v>
      </c>
      <c r="AL201" s="10">
        <v>0.36072522275623442</v>
      </c>
      <c r="AM201" s="10">
        <v>0.50297656525069978</v>
      </c>
      <c r="AN201" s="10">
        <v>1.0175926799605588</v>
      </c>
      <c r="AO201" s="10">
        <v>0.56163814558790071</v>
      </c>
      <c r="AP201" s="10">
        <v>2.1985506605618217E-2</v>
      </c>
      <c r="AQ201" s="10">
        <v>3.895991112906103E-3</v>
      </c>
      <c r="AR201" s="10">
        <v>1.4892129332598407</v>
      </c>
      <c r="AS201" s="10">
        <v>6.6423045128013766E-2</v>
      </c>
      <c r="AT201" s="10">
        <v>1.6018944078863356E-3</v>
      </c>
      <c r="AU201" s="10">
        <v>0.12962979328455332</v>
      </c>
      <c r="AV201" s="10"/>
      <c r="AW201" s="6">
        <f>BF201</f>
        <v>32.845224011072311</v>
      </c>
      <c r="AZ201" s="6">
        <f>SUM(M201:O201,R201:AC201,AE201:AH201,AK201:AL201,AN201:AP201,AR201:AU201)</f>
        <v>32.974853804356862</v>
      </c>
      <c r="BF201" s="6">
        <f>AZ201-AU201</f>
        <v>32.845224011072311</v>
      </c>
    </row>
    <row r="202" spans="1:60">
      <c r="A202" t="s">
        <v>138</v>
      </c>
      <c r="B202" t="s">
        <v>140</v>
      </c>
      <c r="C202" t="s">
        <v>70</v>
      </c>
      <c r="E202" t="s">
        <v>42</v>
      </c>
      <c r="G202" t="s">
        <v>40</v>
      </c>
      <c r="H202" t="s">
        <v>41</v>
      </c>
      <c r="I202">
        <v>2040</v>
      </c>
      <c r="J202" t="s">
        <v>66</v>
      </c>
      <c r="L202" s="41">
        <v>4.6946368320924785E-3</v>
      </c>
      <c r="M202" s="10">
        <v>3.6874804432384694</v>
      </c>
      <c r="N202" s="51">
        <v>15.184738769069904</v>
      </c>
      <c r="O202" s="10">
        <v>1.9693718868767361E-4</v>
      </c>
      <c r="P202" s="10">
        <v>0</v>
      </c>
      <c r="Q202" s="43">
        <v>1.7292380033816794</v>
      </c>
      <c r="R202" s="10">
        <v>2.2977001856859425E-3</v>
      </c>
      <c r="S202" s="10">
        <v>0.54678087375665851</v>
      </c>
      <c r="T202" s="10">
        <v>9.6709208620447562</v>
      </c>
      <c r="U202" s="10">
        <v>0.29089551318551982</v>
      </c>
      <c r="V202" s="10">
        <v>2.3278101282624405E-4</v>
      </c>
      <c r="W202" s="10">
        <v>1.6824467093634796</v>
      </c>
      <c r="X202" s="55">
        <v>3.6</v>
      </c>
      <c r="Y202" s="10">
        <v>8.9985799871803648E-3</v>
      </c>
      <c r="Z202" s="10">
        <v>0.59278945385810666</v>
      </c>
      <c r="AA202" s="10">
        <v>4.3509084043508818E-2</v>
      </c>
      <c r="AB202" s="10">
        <v>0.33689360387729983</v>
      </c>
      <c r="AC202" s="10">
        <v>2.4149932577180468E-3</v>
      </c>
      <c r="AD202" s="46">
        <v>6.8257171799335478E-2</v>
      </c>
      <c r="AE202" s="10">
        <v>0.30294490332663476</v>
      </c>
      <c r="AF202" s="10">
        <v>4.0347084292735103E-4</v>
      </c>
      <c r="AG202" s="10">
        <v>7.16060462967837E-5</v>
      </c>
      <c r="AH202" s="10">
        <v>1.0012748222030972E-3</v>
      </c>
      <c r="AI202" s="43">
        <v>0</v>
      </c>
      <c r="AJ202" s="10">
        <v>8.0474670012847093E-3</v>
      </c>
      <c r="AK202" s="10">
        <v>9.4972786281604125E-6</v>
      </c>
      <c r="AL202" s="10">
        <v>0.44466512600532754</v>
      </c>
      <c r="AM202" s="10">
        <v>0.73122133481003726</v>
      </c>
      <c r="AN202" s="10">
        <v>1.1800440709598543</v>
      </c>
      <c r="AO202" s="10">
        <v>0.69919490178950849</v>
      </c>
      <c r="AP202" s="10">
        <v>2.6309483454518421E-2</v>
      </c>
      <c r="AQ202" s="10">
        <v>6.2606412744893904E-3</v>
      </c>
      <c r="AR202" s="10">
        <v>1.9035979075819622</v>
      </c>
      <c r="AS202" s="10">
        <v>7.9805482484427134E-2</v>
      </c>
      <c r="AT202" s="10">
        <v>1.8964139399003403E-3</v>
      </c>
      <c r="AU202" s="10">
        <v>0.16951525012845114</v>
      </c>
      <c r="AV202" s="10"/>
      <c r="AW202" s="6">
        <f>BG202</f>
        <v>40.29054044260198</v>
      </c>
      <c r="AZ202" s="6"/>
      <c r="BA202" s="6">
        <f>SUM(M202:O202,R202:AC202,AE202:AH202,AK202:AL202,AN202:AP202,AR202:AU202)</f>
        <v>40.460055692730428</v>
      </c>
      <c r="BG202" s="6">
        <f>BA202-AU202</f>
        <v>40.29054044260198</v>
      </c>
    </row>
    <row r="203" spans="1:60">
      <c r="A203" t="s">
        <v>138</v>
      </c>
      <c r="B203" t="s">
        <v>140</v>
      </c>
      <c r="C203" t="s">
        <v>70</v>
      </c>
      <c r="E203" t="s">
        <v>42</v>
      </c>
      <c r="G203" t="s">
        <v>40</v>
      </c>
      <c r="H203" s="5" t="s">
        <v>41</v>
      </c>
      <c r="I203" s="5">
        <v>2050</v>
      </c>
      <c r="J203" s="5" t="s">
        <v>66</v>
      </c>
      <c r="K203" s="5"/>
      <c r="L203" s="43">
        <v>0.97875000000000001</v>
      </c>
      <c r="M203" s="11">
        <v>4.2371390543248424</v>
      </c>
      <c r="N203" s="54">
        <v>19.470583214694315</v>
      </c>
      <c r="O203" s="11">
        <v>2.3895578135321819E-4</v>
      </c>
      <c r="P203" s="11">
        <v>0</v>
      </c>
      <c r="Q203" s="43">
        <v>2.2280095836096314</v>
      </c>
      <c r="R203" s="11">
        <v>3.0163362978776254E-3</v>
      </c>
      <c r="S203" s="11">
        <v>0.67658013994079635</v>
      </c>
      <c r="T203" s="11">
        <v>11.233747064979983</v>
      </c>
      <c r="U203" s="11">
        <v>0.36827038314185201</v>
      </c>
      <c r="V203" s="11">
        <v>2.90381519999542E-4</v>
      </c>
      <c r="W203" s="11">
        <v>2.061676183742255</v>
      </c>
      <c r="X203" s="56">
        <v>4.0999999999999996</v>
      </c>
      <c r="Y203" s="11">
        <v>1.1357839943589479E-2</v>
      </c>
      <c r="Z203" s="11">
        <v>0.71643060619748222</v>
      </c>
      <c r="AA203" s="11">
        <v>5.2792198583010576E-2</v>
      </c>
      <c r="AB203" s="11">
        <v>0.40877334993886028</v>
      </c>
      <c r="AC203" s="11">
        <v>3.1703143289819719E-3</v>
      </c>
      <c r="AD203" s="46">
        <v>8.4232848428349924E-2</v>
      </c>
      <c r="AE203" s="11">
        <v>0.37122976240413452</v>
      </c>
      <c r="AF203" s="11">
        <v>4.9931704191564054E-4</v>
      </c>
      <c r="AG203" s="11">
        <v>9.0794412842918202E-5</v>
      </c>
      <c r="AH203" s="11">
        <v>1.1961339204817924E-3</v>
      </c>
      <c r="AI203" s="43">
        <v>0</v>
      </c>
      <c r="AJ203" s="11">
        <v>1.2855312671283009E-2</v>
      </c>
      <c r="AK203" s="11">
        <v>1.1753397188395005E-5</v>
      </c>
      <c r="AL203" s="11">
        <v>0.54489422751034333</v>
      </c>
      <c r="AM203" s="11">
        <v>1.064809316984239</v>
      </c>
      <c r="AN203" s="11">
        <v>1.3662163919429888</v>
      </c>
      <c r="AO203" s="11">
        <v>0.86529159715983928</v>
      </c>
      <c r="AP203" s="11">
        <v>3.1297578880616524E-2</v>
      </c>
      <c r="AQ203" s="11">
        <v>1.0000973112838181E-2</v>
      </c>
      <c r="AR203" s="11">
        <v>2.4222525617925976</v>
      </c>
      <c r="AS203" s="11">
        <v>9.5377216753777513E-2</v>
      </c>
      <c r="AT203" s="11">
        <v>2.2319968559616063E-3</v>
      </c>
      <c r="AU203" s="11">
        <v>0.22036128602200566</v>
      </c>
      <c r="AV203" s="10"/>
      <c r="AW203" s="6">
        <f>BH203</f>
        <v>49.044655355487897</v>
      </c>
      <c r="AZ203" s="6"/>
      <c r="BA203" s="6"/>
      <c r="BB203" s="6">
        <f>SUM(M203:O203,R203:AC203,AE203:AH203,AK203:AL203,AN203:AP203,AR203:AU203)</f>
        <v>49.265016641509902</v>
      </c>
      <c r="BH203" s="6">
        <f>BB203-AU203</f>
        <v>49.044655355487897</v>
      </c>
    </row>
    <row r="204" spans="1:60">
      <c r="A204" t="s">
        <v>138</v>
      </c>
      <c r="B204" t="s">
        <v>140</v>
      </c>
      <c r="C204" t="s">
        <v>70</v>
      </c>
      <c r="F204" t="s">
        <v>105</v>
      </c>
      <c r="H204" t="s">
        <v>45</v>
      </c>
      <c r="I204">
        <v>2005</v>
      </c>
      <c r="J204" t="s">
        <v>66</v>
      </c>
      <c r="L204" s="6">
        <v>6.5250000000000004</v>
      </c>
      <c r="M204" s="6">
        <v>6.5249999999999995</v>
      </c>
      <c r="N204" s="52">
        <v>6.5250000000000004</v>
      </c>
      <c r="O204" s="6">
        <v>6.5250000000000004</v>
      </c>
      <c r="P204" s="6">
        <v>0</v>
      </c>
      <c r="Q204" s="6">
        <v>6.5249999999999995</v>
      </c>
      <c r="R204" s="6">
        <v>6.5250000000000004</v>
      </c>
      <c r="S204" s="6">
        <v>6.5249999999999995</v>
      </c>
      <c r="T204" s="6">
        <v>6.5250000000000004</v>
      </c>
      <c r="U204" s="6">
        <v>6.5249999999999995</v>
      </c>
      <c r="V204" s="6">
        <v>6.5250000000000012</v>
      </c>
      <c r="W204" s="6">
        <v>6.5250000000000004</v>
      </c>
      <c r="X204" s="6">
        <v>6.5250000000000012</v>
      </c>
      <c r="Y204" s="6">
        <v>6.5250000000000004</v>
      </c>
      <c r="Z204" s="6">
        <v>0</v>
      </c>
      <c r="AA204" s="6">
        <v>6.5250000000000004</v>
      </c>
      <c r="AB204" s="6">
        <v>6.5250000000000004</v>
      </c>
      <c r="AC204" s="6">
        <v>6.5250000000000004</v>
      </c>
      <c r="AD204" s="6">
        <v>6.5250000000000004</v>
      </c>
      <c r="AE204" s="6">
        <v>6.5250000000000004</v>
      </c>
      <c r="AF204" s="6">
        <v>6.5250000000000004</v>
      </c>
      <c r="AG204" s="6">
        <v>6.5250000000000004</v>
      </c>
      <c r="AH204" s="6">
        <v>6.5250000000000004</v>
      </c>
      <c r="AI204" s="6">
        <v>6.5250000000000004</v>
      </c>
      <c r="AJ204" s="6">
        <v>6.5250000000000004</v>
      </c>
      <c r="AK204" s="6">
        <v>6.5250000000000004</v>
      </c>
      <c r="AL204" s="6">
        <v>6.5250000000000004</v>
      </c>
      <c r="AM204" s="6">
        <v>6.5250000000000004</v>
      </c>
      <c r="AN204" s="6">
        <v>6.5249999999999986</v>
      </c>
      <c r="AO204" s="6">
        <v>6.5250000000000004</v>
      </c>
      <c r="AP204" s="6">
        <v>6.5250000000000004</v>
      </c>
      <c r="AQ204" s="6">
        <v>6.5250000000000004</v>
      </c>
      <c r="AR204" s="6">
        <v>6.5250000000000004</v>
      </c>
      <c r="AS204" s="6">
        <v>6.5250000000000012</v>
      </c>
      <c r="AT204" s="6">
        <v>6.5250000000000004</v>
      </c>
      <c r="AU204" s="6">
        <v>6.5250000000000004</v>
      </c>
      <c r="AV204" s="6"/>
      <c r="AW204" s="6"/>
      <c r="AY204" s="6"/>
      <c r="AZ204" s="6"/>
      <c r="BA204" s="6"/>
      <c r="BB204" s="6"/>
    </row>
    <row r="205" spans="1:60">
      <c r="A205" t="s">
        <v>138</v>
      </c>
      <c r="B205" t="s">
        <v>140</v>
      </c>
      <c r="C205" t="s">
        <v>70</v>
      </c>
      <c r="F205" t="s">
        <v>105</v>
      </c>
      <c r="H205" t="s">
        <v>45</v>
      </c>
      <c r="I205">
        <v>2010</v>
      </c>
      <c r="J205" t="s">
        <v>66</v>
      </c>
      <c r="L205" s="41">
        <v>6.5250000000000004</v>
      </c>
      <c r="M205" s="6">
        <v>6.5249999999999995</v>
      </c>
      <c r="N205" s="52">
        <v>6.5250000000000004</v>
      </c>
      <c r="O205" s="6">
        <v>6.5250000000000004</v>
      </c>
      <c r="P205" s="6">
        <v>0</v>
      </c>
      <c r="Q205" s="6">
        <v>6.5249999999999995</v>
      </c>
      <c r="R205" s="6">
        <v>6.5250000000000004</v>
      </c>
      <c r="S205" s="6">
        <v>6.5249999999999995</v>
      </c>
      <c r="T205" s="6">
        <v>6.5250000000000004</v>
      </c>
      <c r="U205" s="6">
        <v>6.5249999999999995</v>
      </c>
      <c r="V205" s="6">
        <v>6.5250000000000012</v>
      </c>
      <c r="W205" s="6">
        <v>6.5250000000000004</v>
      </c>
      <c r="X205" s="6">
        <v>6.5250000000000012</v>
      </c>
      <c r="Y205" s="6">
        <v>6.5250000000000004</v>
      </c>
      <c r="Z205" s="6">
        <v>0</v>
      </c>
      <c r="AA205" s="6">
        <v>6.5250000000000004</v>
      </c>
      <c r="AB205" s="6">
        <v>6.5250000000000004</v>
      </c>
      <c r="AC205" s="6">
        <v>6.5250000000000004</v>
      </c>
      <c r="AD205" s="6">
        <v>6.5250000000000004</v>
      </c>
      <c r="AE205" s="6">
        <v>6.5250000000000004</v>
      </c>
      <c r="AF205" s="6">
        <v>6.5250000000000004</v>
      </c>
      <c r="AG205" s="6">
        <v>6.5250000000000004</v>
      </c>
      <c r="AH205" s="6">
        <v>6.5250000000000004</v>
      </c>
      <c r="AI205" s="41">
        <v>6.5250000000000004</v>
      </c>
      <c r="AJ205" s="6">
        <v>6.5250000000000004</v>
      </c>
      <c r="AK205" s="6">
        <v>6.5250000000000004</v>
      </c>
      <c r="AL205" s="6">
        <v>6.5250000000000004</v>
      </c>
      <c r="AM205" s="6">
        <v>6.5250000000000004</v>
      </c>
      <c r="AN205" s="6">
        <v>6.5249999999999986</v>
      </c>
      <c r="AO205" s="6">
        <v>6.5250000000000004</v>
      </c>
      <c r="AP205" s="6">
        <v>6.5250000000000004</v>
      </c>
      <c r="AQ205" s="41">
        <v>6.5250000000000004</v>
      </c>
      <c r="AR205" s="6">
        <v>6.5250000000000004</v>
      </c>
      <c r="AS205" s="6">
        <v>6.5250000000000012</v>
      </c>
      <c r="AT205" s="6">
        <v>6.5250000000000004</v>
      </c>
      <c r="AU205" s="6">
        <v>6.5250000000000004</v>
      </c>
      <c r="AV205" s="6"/>
      <c r="AW205" s="6"/>
      <c r="AY205" s="6"/>
      <c r="AZ205" s="6"/>
      <c r="BA205" s="6"/>
      <c r="BB205" s="6"/>
    </row>
    <row r="206" spans="1:60">
      <c r="A206" t="s">
        <v>138</v>
      </c>
      <c r="B206" t="s">
        <v>140</v>
      </c>
      <c r="C206" t="s">
        <v>70</v>
      </c>
      <c r="F206" t="s">
        <v>105</v>
      </c>
      <c r="H206" t="s">
        <v>45</v>
      </c>
      <c r="I206">
        <v>2020</v>
      </c>
      <c r="J206" t="s">
        <v>66</v>
      </c>
      <c r="L206" s="41">
        <v>7.5037500000000001</v>
      </c>
      <c r="M206" s="6">
        <v>7.5037500000000001</v>
      </c>
      <c r="N206" s="52">
        <v>7.5037500000000001</v>
      </c>
      <c r="O206" s="6">
        <v>7.5037500000000001</v>
      </c>
      <c r="P206" s="6">
        <v>0</v>
      </c>
      <c r="Q206" s="6">
        <v>7.5037500000000001</v>
      </c>
      <c r="R206" s="6">
        <v>7.5037500000000001</v>
      </c>
      <c r="S206" s="6">
        <v>7.5037499999999984</v>
      </c>
      <c r="T206" s="6">
        <v>7.5037500000000001</v>
      </c>
      <c r="U206" s="6">
        <v>7.5037499999999993</v>
      </c>
      <c r="V206" s="6">
        <v>7.503750000000001</v>
      </c>
      <c r="W206" s="6">
        <v>7.5037500000000001</v>
      </c>
      <c r="X206" s="6">
        <v>7.5037499999999993</v>
      </c>
      <c r="Y206" s="6">
        <v>7.5037500000000001</v>
      </c>
      <c r="Z206" s="6">
        <v>0</v>
      </c>
      <c r="AA206" s="6">
        <v>7.5037500000000001</v>
      </c>
      <c r="AB206" s="6">
        <v>7.5037500000000001</v>
      </c>
      <c r="AC206" s="6">
        <v>7.5037500000000001</v>
      </c>
      <c r="AD206" s="6">
        <v>7.503750000000001</v>
      </c>
      <c r="AE206" s="6">
        <v>7.5037500000000001</v>
      </c>
      <c r="AF206" s="6">
        <v>7.5037500000000001</v>
      </c>
      <c r="AG206" s="6">
        <v>7.5037500000000001</v>
      </c>
      <c r="AH206" s="6">
        <v>7.5037500000000001</v>
      </c>
      <c r="AI206" s="41">
        <v>7.5037500000000001</v>
      </c>
      <c r="AJ206" s="6">
        <v>7.5037500000000001</v>
      </c>
      <c r="AK206" s="6">
        <v>7.5037500000000001</v>
      </c>
      <c r="AL206" s="6">
        <v>7.5037500000000001</v>
      </c>
      <c r="AM206" s="6">
        <v>7.5037500000000001</v>
      </c>
      <c r="AN206" s="6">
        <v>7.503750000000001</v>
      </c>
      <c r="AO206" s="6">
        <v>7.5037500000000001</v>
      </c>
      <c r="AP206" s="6">
        <v>7.5037500000000001</v>
      </c>
      <c r="AQ206" s="41">
        <v>7.5037500000000001</v>
      </c>
      <c r="AR206" s="6">
        <v>7.503750000000001</v>
      </c>
      <c r="AS206" s="6">
        <v>7.503750000000001</v>
      </c>
      <c r="AT206" s="6">
        <v>7.5037500000000019</v>
      </c>
      <c r="AU206" s="6">
        <v>7.5037500000000001</v>
      </c>
      <c r="AV206" s="6"/>
      <c r="AW206" s="6"/>
      <c r="AY206" s="6"/>
    </row>
    <row r="207" spans="1:60">
      <c r="A207" t="s">
        <v>138</v>
      </c>
      <c r="B207" t="s">
        <v>140</v>
      </c>
      <c r="C207" t="s">
        <v>70</v>
      </c>
      <c r="F207" t="s">
        <v>105</v>
      </c>
      <c r="H207" t="s">
        <v>45</v>
      </c>
      <c r="I207">
        <v>2030</v>
      </c>
      <c r="J207" t="s">
        <v>66</v>
      </c>
      <c r="L207" s="41">
        <v>6.7533750000000001</v>
      </c>
      <c r="M207" s="6">
        <v>6.753375000000001</v>
      </c>
      <c r="N207" s="52">
        <v>6.7533750000000001</v>
      </c>
      <c r="O207" s="6">
        <v>6.7533750000000001</v>
      </c>
      <c r="P207" s="6">
        <v>0</v>
      </c>
      <c r="Q207" s="6">
        <v>6.753375000000001</v>
      </c>
      <c r="R207" s="6">
        <v>6.7533750000000001</v>
      </c>
      <c r="S207" s="6">
        <v>6.753375000000001</v>
      </c>
      <c r="T207" s="6">
        <v>6.7533750000000001</v>
      </c>
      <c r="U207" s="6">
        <v>6.7533750000000001</v>
      </c>
      <c r="V207" s="6">
        <v>6.7533750000000001</v>
      </c>
      <c r="W207" s="6">
        <v>6.7533750000000001</v>
      </c>
      <c r="X207" s="6">
        <v>6.7533750000000001</v>
      </c>
      <c r="Y207" s="6">
        <v>6.7533750000000001</v>
      </c>
      <c r="Z207" s="6">
        <v>0</v>
      </c>
      <c r="AA207" s="6">
        <v>6.7533750000000001</v>
      </c>
      <c r="AB207" s="6">
        <v>6.7533750000000001</v>
      </c>
      <c r="AC207" s="6">
        <v>6.7533750000000001</v>
      </c>
      <c r="AD207" s="6">
        <v>6.753375000000001</v>
      </c>
      <c r="AE207" s="6">
        <v>6.7533750000000001</v>
      </c>
      <c r="AF207" s="6">
        <v>6.7533750000000001</v>
      </c>
      <c r="AG207" s="6">
        <v>6.7533750000000001</v>
      </c>
      <c r="AH207" s="6">
        <v>6.7533749999999992</v>
      </c>
      <c r="AI207" s="41">
        <v>6.7533750000000001</v>
      </c>
      <c r="AJ207" s="6">
        <v>6.7533750000000001</v>
      </c>
      <c r="AK207" s="6">
        <v>6.7533750000000001</v>
      </c>
      <c r="AL207" s="6">
        <v>6.7533750000000001</v>
      </c>
      <c r="AM207" s="6">
        <v>6.7533750000000001</v>
      </c>
      <c r="AN207" s="6">
        <v>6.7533749999999992</v>
      </c>
      <c r="AO207" s="6">
        <v>6.7533750000000001</v>
      </c>
      <c r="AP207" s="6">
        <v>6.7533750000000001</v>
      </c>
      <c r="AQ207" s="41">
        <v>6.7533750000000001</v>
      </c>
      <c r="AR207" s="6">
        <v>6.753375000000001</v>
      </c>
      <c r="AS207" s="6">
        <v>6.7533749999999992</v>
      </c>
      <c r="AT207" s="6">
        <v>6.7533750000000001</v>
      </c>
      <c r="AU207" s="6">
        <v>6.7533750000000001</v>
      </c>
      <c r="AV207" s="6"/>
      <c r="AW207" s="6"/>
      <c r="AY207" s="6"/>
    </row>
    <row r="208" spans="1:60">
      <c r="A208" t="s">
        <v>138</v>
      </c>
      <c r="B208" t="s">
        <v>140</v>
      </c>
      <c r="C208" t="s">
        <v>70</v>
      </c>
      <c r="F208" t="s">
        <v>105</v>
      </c>
      <c r="H208" t="s">
        <v>45</v>
      </c>
      <c r="I208">
        <v>2040</v>
      </c>
      <c r="J208" t="s">
        <v>66</v>
      </c>
      <c r="L208" s="41">
        <v>6.0780374999999998</v>
      </c>
      <c r="M208" s="6">
        <v>6.078037499999998</v>
      </c>
      <c r="N208" s="52">
        <v>6.0780374999999998</v>
      </c>
      <c r="O208" s="6">
        <v>6.0780374999999998</v>
      </c>
      <c r="P208" s="6">
        <v>0</v>
      </c>
      <c r="Q208" s="6">
        <v>6.078037499999998</v>
      </c>
      <c r="R208" s="6">
        <v>6.0780374999999998</v>
      </c>
      <c r="S208" s="6">
        <v>6.0780375000000015</v>
      </c>
      <c r="T208" s="6">
        <v>6.0780374999999998</v>
      </c>
      <c r="U208" s="6">
        <v>6.0780374999999989</v>
      </c>
      <c r="V208" s="6">
        <v>6.0780374999999998</v>
      </c>
      <c r="W208" s="6">
        <v>6.0780374999999998</v>
      </c>
      <c r="X208" s="6">
        <v>6.0780374999999998</v>
      </c>
      <c r="Y208" s="6">
        <v>6.0780374999999998</v>
      </c>
      <c r="Z208" s="6">
        <v>0</v>
      </c>
      <c r="AA208" s="6">
        <v>6.0780374999999998</v>
      </c>
      <c r="AB208" s="6">
        <v>6.0780374999999998</v>
      </c>
      <c r="AC208" s="6">
        <v>6.0780374999999998</v>
      </c>
      <c r="AD208" s="6">
        <v>6.0780375000000006</v>
      </c>
      <c r="AE208" s="6">
        <v>6.0780374999999998</v>
      </c>
      <c r="AF208" s="6">
        <v>6.0780374999999998</v>
      </c>
      <c r="AG208" s="6">
        <v>6.0780375000000006</v>
      </c>
      <c r="AH208" s="6">
        <v>6.0780374999999989</v>
      </c>
      <c r="AI208" s="41">
        <v>6.0780374999999998</v>
      </c>
      <c r="AJ208" s="6">
        <v>6.0780374999999998</v>
      </c>
      <c r="AK208" s="6">
        <v>6.0780374999999998</v>
      </c>
      <c r="AL208" s="6">
        <v>6.0780374999999998</v>
      </c>
      <c r="AM208" s="6">
        <v>6.0780374999999998</v>
      </c>
      <c r="AN208" s="6">
        <v>6.0780375000000006</v>
      </c>
      <c r="AO208" s="6">
        <v>6.0780374999999998</v>
      </c>
      <c r="AP208" s="6">
        <v>6.0780374999999998</v>
      </c>
      <c r="AQ208" s="41">
        <v>6.0780374999999998</v>
      </c>
      <c r="AR208" s="6">
        <v>6.0780375000000006</v>
      </c>
      <c r="AS208" s="6">
        <v>6.0780375000000006</v>
      </c>
      <c r="AT208" s="6">
        <v>6.0780374999999998</v>
      </c>
      <c r="AU208" s="6">
        <v>6.0780374999999998</v>
      </c>
      <c r="AV208" s="6"/>
      <c r="AW208" s="6"/>
      <c r="AY208" s="6"/>
    </row>
    <row r="209" spans="1:52">
      <c r="A209" t="s">
        <v>138</v>
      </c>
      <c r="B209" t="s">
        <v>140</v>
      </c>
      <c r="C209" t="s">
        <v>70</v>
      </c>
      <c r="F209" t="s">
        <v>105</v>
      </c>
      <c r="H209" t="s">
        <v>45</v>
      </c>
      <c r="I209">
        <v>2050</v>
      </c>
      <c r="J209" t="s">
        <v>66</v>
      </c>
      <c r="L209" s="41">
        <v>5.4702337500000002</v>
      </c>
      <c r="M209" s="6">
        <v>5.4702337500000002</v>
      </c>
      <c r="N209" s="52">
        <v>5.4702337500000002</v>
      </c>
      <c r="O209" s="6">
        <v>5.4702337500000002</v>
      </c>
      <c r="P209" s="6">
        <v>0</v>
      </c>
      <c r="Q209" s="6">
        <v>5.4702337500000002</v>
      </c>
      <c r="R209" s="6">
        <v>5.4702337500000002</v>
      </c>
      <c r="S209" s="6">
        <v>5.4702337499999985</v>
      </c>
      <c r="T209" s="6">
        <v>5.4702337500000002</v>
      </c>
      <c r="U209" s="6">
        <v>5.4702337500000011</v>
      </c>
      <c r="V209" s="6">
        <v>5.4702337500000011</v>
      </c>
      <c r="W209" s="6">
        <v>5.4702337500000002</v>
      </c>
      <c r="X209" s="6">
        <v>5.4702337500000002</v>
      </c>
      <c r="Y209" s="6">
        <v>5.4702337500000002</v>
      </c>
      <c r="Z209" s="6">
        <v>0</v>
      </c>
      <c r="AA209" s="6">
        <v>5.4702337500000002</v>
      </c>
      <c r="AB209" s="6">
        <v>5.4702337500000002</v>
      </c>
      <c r="AC209" s="6">
        <v>5.4702337500000002</v>
      </c>
      <c r="AD209" s="6">
        <v>5.4702337500000002</v>
      </c>
      <c r="AE209" s="6">
        <v>5.4702337500000002</v>
      </c>
      <c r="AF209" s="6">
        <v>5.4702337500000002</v>
      </c>
      <c r="AG209" s="6">
        <v>5.4702337499999993</v>
      </c>
      <c r="AH209" s="6">
        <v>5.4702337500000011</v>
      </c>
      <c r="AI209" s="41">
        <v>5.4702337500000002</v>
      </c>
      <c r="AJ209" s="6">
        <v>5.4702337500000002</v>
      </c>
      <c r="AK209" s="6">
        <v>5.4702337500000002</v>
      </c>
      <c r="AL209" s="6">
        <v>5.4702337500000002</v>
      </c>
      <c r="AM209" s="6">
        <v>5.4702337500000002</v>
      </c>
      <c r="AN209" s="6">
        <v>5.4702337499999993</v>
      </c>
      <c r="AO209" s="6">
        <v>5.4702337500000002</v>
      </c>
      <c r="AP209" s="6">
        <v>5.4702337500000002</v>
      </c>
      <c r="AQ209" s="41">
        <v>5.4702337500000002</v>
      </c>
      <c r="AR209" s="6">
        <v>5.4702337500000002</v>
      </c>
      <c r="AS209" s="6">
        <v>5.4702337500000002</v>
      </c>
      <c r="AT209" s="6">
        <v>5.4702337500000002</v>
      </c>
      <c r="AU209" s="6">
        <v>5.4702337500000002</v>
      </c>
      <c r="AV209" s="6"/>
      <c r="AW209" s="6"/>
      <c r="AZ209" s="6"/>
    </row>
    <row r="210" spans="1:52">
      <c r="C210" s="62" t="s">
        <v>115</v>
      </c>
      <c r="D210" s="63"/>
      <c r="E210" s="63" t="s">
        <v>42</v>
      </c>
      <c r="F210" s="63"/>
      <c r="G210" s="63" t="s">
        <v>40</v>
      </c>
      <c r="H210" s="63" t="s">
        <v>41</v>
      </c>
      <c r="I210" s="63">
        <v>2005</v>
      </c>
      <c r="J210" s="63" t="s">
        <v>116</v>
      </c>
      <c r="L210" s="41"/>
      <c r="M210" s="6"/>
      <c r="N210" s="52"/>
      <c r="O210" s="6"/>
      <c r="P210" s="6"/>
      <c r="Q210" s="6"/>
      <c r="R210" s="6"/>
      <c r="S210" s="6"/>
      <c r="T210" s="6"/>
      <c r="U210" s="6"/>
      <c r="V210" s="6"/>
      <c r="W210" s="6"/>
      <c r="X210" s="57">
        <v>60.2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41"/>
      <c r="AJ210" s="6"/>
      <c r="AK210" s="6"/>
      <c r="AL210" s="6"/>
      <c r="AM210" s="6"/>
      <c r="AN210" s="6"/>
      <c r="AO210" s="6"/>
      <c r="AP210" s="6"/>
      <c r="AQ210" s="41"/>
      <c r="AR210" s="6"/>
      <c r="AS210" s="6"/>
      <c r="AT210" s="6"/>
      <c r="AU210" s="6"/>
      <c r="AV210" s="6"/>
      <c r="AW210" s="6"/>
      <c r="AZ210" s="6"/>
    </row>
    <row r="211" spans="1:52">
      <c r="C211" s="63" t="s">
        <v>115</v>
      </c>
      <c r="D211" s="63"/>
      <c r="E211" s="63" t="s">
        <v>42</v>
      </c>
      <c r="F211" s="63"/>
      <c r="G211" s="63" t="s">
        <v>40</v>
      </c>
      <c r="H211" s="63" t="s">
        <v>41</v>
      </c>
      <c r="I211" s="63">
        <v>2010</v>
      </c>
      <c r="J211" s="63" t="s">
        <v>116</v>
      </c>
      <c r="L211" s="41"/>
      <c r="M211" s="6"/>
      <c r="N211" s="52"/>
      <c r="O211" s="6"/>
      <c r="P211" s="6"/>
      <c r="Q211" s="6"/>
      <c r="R211" s="6"/>
      <c r="S211" s="6"/>
      <c r="T211" s="6"/>
      <c r="U211" s="6"/>
      <c r="V211" s="6"/>
      <c r="W211" s="6"/>
      <c r="X211" s="57">
        <v>60.2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41"/>
      <c r="AJ211" s="6"/>
      <c r="AK211" s="6"/>
      <c r="AL211" s="6"/>
      <c r="AM211" s="6"/>
      <c r="AN211" s="6"/>
      <c r="AO211" s="6"/>
      <c r="AP211" s="6"/>
      <c r="AQ211" s="41"/>
      <c r="AR211" s="6"/>
      <c r="AS211" s="6"/>
      <c r="AT211" s="6"/>
      <c r="AU211" s="6"/>
      <c r="AV211" s="6"/>
      <c r="AW211" s="6"/>
      <c r="AZ211" s="6"/>
    </row>
    <row r="212" spans="1:52">
      <c r="C212" s="63" t="s">
        <v>115</v>
      </c>
      <c r="D212" s="63"/>
      <c r="E212" s="63" t="s">
        <v>42</v>
      </c>
      <c r="F212" s="63"/>
      <c r="G212" s="63" t="s">
        <v>40</v>
      </c>
      <c r="H212" s="63" t="s">
        <v>41</v>
      </c>
      <c r="I212" s="63">
        <v>2020</v>
      </c>
      <c r="J212" s="63" t="s">
        <v>116</v>
      </c>
      <c r="L212" s="41"/>
      <c r="M212" s="6"/>
      <c r="N212" s="52"/>
      <c r="O212" s="6"/>
      <c r="P212" s="6"/>
      <c r="Q212" s="6"/>
      <c r="R212" s="6"/>
      <c r="S212" s="6"/>
      <c r="T212" s="6"/>
      <c r="U212" s="6"/>
      <c r="V212" s="6"/>
      <c r="W212" s="6"/>
      <c r="X212" s="57">
        <v>67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41"/>
      <c r="AJ212" s="6"/>
      <c r="AK212" s="6"/>
      <c r="AL212" s="6"/>
      <c r="AM212" s="6"/>
      <c r="AN212" s="6"/>
      <c r="AO212" s="6"/>
      <c r="AP212" s="6"/>
      <c r="AQ212" s="41"/>
      <c r="AR212" s="6"/>
      <c r="AS212" s="6"/>
      <c r="AT212" s="6"/>
      <c r="AU212" s="6"/>
      <c r="AV212" s="6"/>
      <c r="AW212" s="6"/>
      <c r="AZ212" s="6"/>
    </row>
    <row r="213" spans="1:52">
      <c r="C213" s="63" t="s">
        <v>115</v>
      </c>
      <c r="D213" s="63"/>
      <c r="E213" s="63" t="s">
        <v>42</v>
      </c>
      <c r="F213" s="63"/>
      <c r="G213" s="63" t="s">
        <v>40</v>
      </c>
      <c r="H213" s="63" t="s">
        <v>41</v>
      </c>
      <c r="I213" s="63">
        <v>2030</v>
      </c>
      <c r="J213" s="63" t="s">
        <v>116</v>
      </c>
      <c r="L213" s="41"/>
      <c r="M213" s="6"/>
      <c r="N213" s="52"/>
      <c r="O213" s="6"/>
      <c r="P213" s="6"/>
      <c r="Q213" s="6"/>
      <c r="R213" s="6"/>
      <c r="S213" s="6"/>
      <c r="T213" s="6"/>
      <c r="U213" s="6"/>
      <c r="V213" s="6"/>
      <c r="W213" s="6"/>
      <c r="X213" s="57">
        <v>73.8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41"/>
      <c r="AJ213" s="6"/>
      <c r="AK213" s="6"/>
      <c r="AL213" s="6"/>
      <c r="AM213" s="6"/>
      <c r="AN213" s="6"/>
      <c r="AO213" s="6"/>
      <c r="AP213" s="6"/>
      <c r="AQ213" s="41"/>
      <c r="AR213" s="6"/>
      <c r="AS213" s="6"/>
      <c r="AT213" s="6"/>
      <c r="AU213" s="6"/>
      <c r="AV213" s="6"/>
      <c r="AW213" s="6"/>
      <c r="AZ213" s="6"/>
    </row>
    <row r="214" spans="1:52">
      <c r="C214" s="63" t="s">
        <v>115</v>
      </c>
      <c r="D214" s="63"/>
      <c r="E214" s="63" t="s">
        <v>42</v>
      </c>
      <c r="F214" s="63"/>
      <c r="G214" s="63" t="s">
        <v>40</v>
      </c>
      <c r="H214" s="63" t="s">
        <v>41</v>
      </c>
      <c r="I214" s="63">
        <v>2040</v>
      </c>
      <c r="J214" s="63" t="s">
        <v>116</v>
      </c>
      <c r="L214" s="41"/>
      <c r="M214" s="6"/>
      <c r="N214" s="52"/>
      <c r="O214" s="6"/>
      <c r="P214" s="6"/>
      <c r="Q214" s="6"/>
      <c r="R214" s="6"/>
      <c r="S214" s="6"/>
      <c r="T214" s="6"/>
      <c r="U214" s="6"/>
      <c r="V214" s="6"/>
      <c r="W214" s="6"/>
      <c r="X214" s="57">
        <v>73.2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41"/>
      <c r="AJ214" s="6"/>
      <c r="AK214" s="6"/>
      <c r="AL214" s="6"/>
      <c r="AM214" s="6"/>
      <c r="AN214" s="6"/>
      <c r="AO214" s="6"/>
      <c r="AP214" s="6"/>
      <c r="AQ214" s="41"/>
      <c r="AR214" s="6"/>
      <c r="AS214" s="6"/>
      <c r="AT214" s="6"/>
      <c r="AU214" s="6"/>
      <c r="AV214" s="6"/>
      <c r="AW214" s="6"/>
      <c r="AZ214" s="6"/>
    </row>
    <row r="215" spans="1:52">
      <c r="C215" s="63" t="s">
        <v>115</v>
      </c>
      <c r="D215" s="63"/>
      <c r="E215" s="63" t="s">
        <v>42</v>
      </c>
      <c r="F215" s="63"/>
      <c r="G215" s="63" t="s">
        <v>40</v>
      </c>
      <c r="H215" s="59" t="s">
        <v>41</v>
      </c>
      <c r="I215" s="59">
        <v>2050</v>
      </c>
      <c r="J215" s="59" t="s">
        <v>116</v>
      </c>
      <c r="L215" s="41"/>
      <c r="M215" s="6"/>
      <c r="N215" s="52"/>
      <c r="O215" s="6"/>
      <c r="P215" s="6"/>
      <c r="Q215" s="6"/>
      <c r="R215" s="6"/>
      <c r="S215" s="6"/>
      <c r="T215" s="6"/>
      <c r="U215" s="6"/>
      <c r="V215" s="6"/>
      <c r="W215" s="6"/>
      <c r="X215" s="57">
        <v>73.2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41"/>
      <c r="AJ215" s="6"/>
      <c r="AK215" s="6"/>
      <c r="AL215" s="6"/>
      <c r="AM215" s="6"/>
      <c r="AN215" s="6"/>
      <c r="AO215" s="6"/>
      <c r="AP215" s="6"/>
      <c r="AQ215" s="41"/>
      <c r="AR215" s="6"/>
      <c r="AS215" s="6"/>
      <c r="AT215" s="6"/>
      <c r="AU215" s="6"/>
      <c r="AV215" s="6"/>
      <c r="AW215" s="6"/>
      <c r="AZ215" s="6"/>
    </row>
    <row r="216" spans="1:52">
      <c r="C216" s="63" t="s">
        <v>115</v>
      </c>
      <c r="D216" s="63"/>
      <c r="E216" s="63"/>
      <c r="F216" s="63" t="s">
        <v>105</v>
      </c>
      <c r="G216" s="63"/>
      <c r="H216" s="63" t="s">
        <v>45</v>
      </c>
      <c r="I216" s="63">
        <v>2005</v>
      </c>
      <c r="J216" s="63" t="s">
        <v>116</v>
      </c>
      <c r="L216" s="41"/>
      <c r="M216" s="6"/>
      <c r="N216" s="52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41"/>
      <c r="AJ216" s="6"/>
      <c r="AK216" s="6"/>
      <c r="AL216" s="6"/>
      <c r="AM216" s="6"/>
      <c r="AN216" s="6"/>
      <c r="AO216" s="6"/>
      <c r="AP216" s="6"/>
      <c r="AQ216" s="41"/>
      <c r="AR216" s="6"/>
      <c r="AS216" s="6"/>
      <c r="AT216" s="6"/>
      <c r="AU216" s="6"/>
      <c r="AV216" s="6"/>
      <c r="AW216" s="6"/>
      <c r="AZ216" s="6"/>
    </row>
    <row r="217" spans="1:52">
      <c r="C217" s="63" t="s">
        <v>115</v>
      </c>
      <c r="D217" s="63"/>
      <c r="E217" s="63"/>
      <c r="F217" s="63" t="s">
        <v>105</v>
      </c>
      <c r="G217" s="63"/>
      <c r="H217" s="63" t="s">
        <v>45</v>
      </c>
      <c r="I217" s="63">
        <v>2010</v>
      </c>
      <c r="J217" s="63" t="s">
        <v>116</v>
      </c>
      <c r="L217" s="41"/>
      <c r="M217" s="6"/>
      <c r="N217" s="52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41"/>
      <c r="AJ217" s="6"/>
      <c r="AK217" s="6"/>
      <c r="AL217" s="6"/>
      <c r="AM217" s="6"/>
      <c r="AN217" s="6"/>
      <c r="AO217" s="6"/>
      <c r="AP217" s="6"/>
      <c r="AQ217" s="41"/>
      <c r="AR217" s="6"/>
      <c r="AS217" s="6"/>
      <c r="AT217" s="6"/>
      <c r="AU217" s="6"/>
      <c r="AV217" s="6"/>
      <c r="AW217" s="6"/>
      <c r="AZ217" s="6"/>
    </row>
    <row r="218" spans="1:52">
      <c r="C218" s="63" t="s">
        <v>115</v>
      </c>
      <c r="D218" s="63"/>
      <c r="E218" s="63"/>
      <c r="F218" s="63" t="s">
        <v>105</v>
      </c>
      <c r="G218" s="63"/>
      <c r="H218" s="63" t="s">
        <v>45</v>
      </c>
      <c r="I218" s="63">
        <v>2020</v>
      </c>
      <c r="J218" s="63" t="s">
        <v>116</v>
      </c>
      <c r="L218" s="41"/>
      <c r="M218" s="6"/>
      <c r="N218" s="52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41"/>
      <c r="AJ218" s="6"/>
      <c r="AK218" s="6"/>
      <c r="AL218" s="6"/>
      <c r="AM218" s="6"/>
      <c r="AN218" s="6"/>
      <c r="AO218" s="6"/>
      <c r="AP218" s="6"/>
      <c r="AQ218" s="41"/>
      <c r="AR218" s="6"/>
      <c r="AS218" s="6"/>
      <c r="AT218" s="6"/>
      <c r="AU218" s="6"/>
      <c r="AV218" s="6"/>
      <c r="AW218" s="6"/>
      <c r="AZ218" s="6"/>
    </row>
    <row r="219" spans="1:52">
      <c r="C219" s="63" t="s">
        <v>115</v>
      </c>
      <c r="D219" s="63"/>
      <c r="E219" s="63"/>
      <c r="F219" s="63" t="s">
        <v>105</v>
      </c>
      <c r="G219" s="63"/>
      <c r="H219" s="63" t="s">
        <v>45</v>
      </c>
      <c r="I219" s="63">
        <v>2030</v>
      </c>
      <c r="J219" s="63" t="s">
        <v>116</v>
      </c>
      <c r="L219" s="41"/>
      <c r="M219" s="6"/>
      <c r="N219" s="52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41"/>
      <c r="AJ219" s="6"/>
      <c r="AK219" s="6"/>
      <c r="AL219" s="6"/>
      <c r="AM219" s="6"/>
      <c r="AN219" s="6"/>
      <c r="AO219" s="6"/>
      <c r="AP219" s="6"/>
      <c r="AQ219" s="41"/>
      <c r="AR219" s="6"/>
      <c r="AS219" s="6"/>
      <c r="AT219" s="6"/>
      <c r="AU219" s="6"/>
      <c r="AV219" s="6"/>
      <c r="AW219" s="6"/>
      <c r="AZ219" s="6"/>
    </row>
    <row r="220" spans="1:52">
      <c r="C220" s="63" t="s">
        <v>115</v>
      </c>
      <c r="D220" s="63"/>
      <c r="E220" s="63"/>
      <c r="F220" s="63" t="s">
        <v>105</v>
      </c>
      <c r="G220" s="63"/>
      <c r="H220" s="63" t="s">
        <v>45</v>
      </c>
      <c r="I220" s="63">
        <v>2040</v>
      </c>
      <c r="J220" s="63" t="s">
        <v>116</v>
      </c>
      <c r="L220" s="41"/>
      <c r="M220" s="6"/>
      <c r="N220" s="52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41"/>
      <c r="AJ220" s="6"/>
      <c r="AK220" s="6"/>
      <c r="AL220" s="6"/>
      <c r="AM220" s="6"/>
      <c r="AN220" s="6"/>
      <c r="AO220" s="6"/>
      <c r="AP220" s="6"/>
      <c r="AQ220" s="41"/>
      <c r="AR220" s="6"/>
      <c r="AS220" s="6"/>
      <c r="AT220" s="6"/>
      <c r="AU220" s="6"/>
      <c r="AV220" s="6"/>
      <c r="AW220" s="6"/>
      <c r="AZ220" s="6"/>
    </row>
    <row r="221" spans="1:52" s="5" customFormat="1">
      <c r="C221" s="59" t="s">
        <v>115</v>
      </c>
      <c r="D221" s="59"/>
      <c r="E221" s="59"/>
      <c r="F221" s="59" t="s">
        <v>105</v>
      </c>
      <c r="G221" s="59"/>
      <c r="H221" s="59" t="s">
        <v>45</v>
      </c>
      <c r="I221" s="59">
        <v>2050</v>
      </c>
      <c r="J221" s="59" t="s">
        <v>116</v>
      </c>
      <c r="L221" s="42"/>
      <c r="M221" s="7"/>
      <c r="N221" s="53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42"/>
      <c r="AJ221" s="7"/>
      <c r="AK221" s="7"/>
      <c r="AL221" s="7"/>
      <c r="AM221" s="7"/>
      <c r="AN221" s="7"/>
      <c r="AO221" s="7"/>
      <c r="AP221" s="7"/>
      <c r="AQ221" s="42"/>
      <c r="AR221" s="7"/>
      <c r="AS221" s="7"/>
      <c r="AT221" s="7"/>
      <c r="AU221" s="7"/>
      <c r="AV221" s="7"/>
      <c r="AW221" s="7"/>
      <c r="AZ221" s="7"/>
    </row>
    <row r="222" spans="1:52">
      <c r="C222" s="63" t="s">
        <v>118</v>
      </c>
      <c r="D222" s="63"/>
      <c r="E222" s="63" t="s">
        <v>42</v>
      </c>
      <c r="F222" s="63"/>
      <c r="G222" s="63" t="s">
        <v>40</v>
      </c>
      <c r="H222" s="63" t="s">
        <v>41</v>
      </c>
      <c r="I222" s="63">
        <v>2005</v>
      </c>
      <c r="J222" s="63" t="s">
        <v>109</v>
      </c>
      <c r="K222">
        <v>0</v>
      </c>
      <c r="L222" s="41"/>
      <c r="X222" s="57">
        <v>0</v>
      </c>
      <c r="AI222" s="41"/>
      <c r="AJ222" s="6"/>
      <c r="AK222" s="6"/>
      <c r="AL222" s="6"/>
      <c r="AM222" s="6"/>
      <c r="AN222" s="6"/>
      <c r="AO222" s="6"/>
      <c r="AP222" s="6"/>
      <c r="AQ222" s="41"/>
      <c r="AR222" s="6"/>
      <c r="AS222" s="6"/>
      <c r="AT222" s="6"/>
      <c r="AU222" s="6"/>
      <c r="AV222" s="6"/>
      <c r="AW222" s="6"/>
      <c r="AZ222" s="6"/>
    </row>
    <row r="223" spans="1:52">
      <c r="C223" s="63" t="s">
        <v>118</v>
      </c>
      <c r="D223" s="63"/>
      <c r="E223" s="63" t="s">
        <v>42</v>
      </c>
      <c r="F223" s="63"/>
      <c r="G223" s="63" t="s">
        <v>40</v>
      </c>
      <c r="H223" s="63" t="s">
        <v>41</v>
      </c>
      <c r="I223" s="63">
        <v>2010</v>
      </c>
      <c r="J223" s="63" t="s">
        <v>109</v>
      </c>
      <c r="K223">
        <v>0</v>
      </c>
      <c r="L223" s="41"/>
      <c r="X223" s="57">
        <v>0</v>
      </c>
      <c r="AI223" s="41"/>
      <c r="AJ223" s="6"/>
      <c r="AK223" s="6"/>
      <c r="AL223" s="6"/>
      <c r="AM223" s="6"/>
      <c r="AN223" s="6"/>
      <c r="AO223" s="6"/>
      <c r="AP223" s="6"/>
      <c r="AQ223" s="41"/>
      <c r="AR223" s="6"/>
      <c r="AS223" s="6"/>
      <c r="AT223" s="6"/>
      <c r="AU223" s="6"/>
      <c r="AV223" s="6"/>
      <c r="AW223" s="6"/>
      <c r="AZ223" s="6"/>
    </row>
    <row r="224" spans="1:52">
      <c r="C224" s="63" t="s">
        <v>118</v>
      </c>
      <c r="D224" s="63"/>
      <c r="E224" s="63" t="s">
        <v>42</v>
      </c>
      <c r="F224" s="63"/>
      <c r="G224" s="63" t="s">
        <v>40</v>
      </c>
      <c r="H224" s="63" t="s">
        <v>41</v>
      </c>
      <c r="I224" s="63">
        <v>2020</v>
      </c>
      <c r="J224" s="63" t="s">
        <v>109</v>
      </c>
      <c r="K224">
        <v>0</v>
      </c>
      <c r="L224" s="41"/>
      <c r="X224" s="57">
        <v>0</v>
      </c>
      <c r="AI224" s="41"/>
      <c r="AJ224" s="6"/>
      <c r="AK224" s="6"/>
      <c r="AL224" s="6"/>
      <c r="AM224" s="6"/>
      <c r="AN224" s="6"/>
      <c r="AO224" s="6"/>
      <c r="AP224" s="6"/>
      <c r="AQ224" s="41"/>
      <c r="AR224" s="6"/>
      <c r="AS224" s="6"/>
      <c r="AT224" s="6"/>
      <c r="AU224" s="6"/>
      <c r="AV224" s="6"/>
      <c r="AW224" s="6"/>
      <c r="AZ224" s="6"/>
    </row>
    <row r="225" spans="3:52">
      <c r="C225" s="63" t="s">
        <v>118</v>
      </c>
      <c r="D225" s="63"/>
      <c r="E225" s="63" t="s">
        <v>42</v>
      </c>
      <c r="F225" s="63"/>
      <c r="G225" s="63" t="s">
        <v>40</v>
      </c>
      <c r="H225" s="63" t="s">
        <v>41</v>
      </c>
      <c r="I225" s="63">
        <v>2030</v>
      </c>
      <c r="J225" s="63" t="s">
        <v>109</v>
      </c>
      <c r="K225">
        <v>0</v>
      </c>
      <c r="L225" s="41"/>
      <c r="X225" s="57">
        <v>0</v>
      </c>
      <c r="AI225" s="41"/>
      <c r="AJ225" s="6"/>
      <c r="AK225" s="6"/>
      <c r="AL225" s="6"/>
      <c r="AM225" s="6"/>
      <c r="AN225" s="6"/>
      <c r="AO225" s="6"/>
      <c r="AP225" s="6"/>
      <c r="AQ225" s="41"/>
      <c r="AR225" s="6"/>
      <c r="AS225" s="6"/>
      <c r="AT225" s="6"/>
      <c r="AU225" s="6"/>
      <c r="AV225" s="6"/>
      <c r="AW225" s="6"/>
      <c r="AZ225" s="6"/>
    </row>
    <row r="226" spans="3:52">
      <c r="C226" s="63" t="s">
        <v>118</v>
      </c>
      <c r="D226" s="63"/>
      <c r="E226" s="63" t="s">
        <v>42</v>
      </c>
      <c r="F226" s="63"/>
      <c r="G226" s="63" t="s">
        <v>40</v>
      </c>
      <c r="H226" s="63" t="s">
        <v>41</v>
      </c>
      <c r="I226" s="63">
        <v>2040</v>
      </c>
      <c r="J226" s="63" t="s">
        <v>109</v>
      </c>
      <c r="K226">
        <v>0</v>
      </c>
      <c r="L226" s="41"/>
      <c r="X226" s="57">
        <v>0</v>
      </c>
      <c r="AI226" s="41"/>
      <c r="AJ226" s="6"/>
      <c r="AK226" s="6"/>
      <c r="AL226" s="6"/>
      <c r="AM226" s="6"/>
      <c r="AN226" s="6"/>
      <c r="AO226" s="6"/>
      <c r="AP226" s="6"/>
      <c r="AQ226" s="41"/>
      <c r="AR226" s="6"/>
      <c r="AS226" s="6"/>
      <c r="AT226" s="6"/>
      <c r="AU226" s="6"/>
      <c r="AV226" s="6"/>
      <c r="AW226" s="6"/>
      <c r="AZ226" s="6"/>
    </row>
    <row r="227" spans="3:52" s="5" customFormat="1">
      <c r="C227" s="59" t="s">
        <v>118</v>
      </c>
      <c r="D227" s="59"/>
      <c r="E227" s="59" t="s">
        <v>42</v>
      </c>
      <c r="F227" s="59"/>
      <c r="G227" s="59" t="s">
        <v>40</v>
      </c>
      <c r="H227" s="59" t="s">
        <v>41</v>
      </c>
      <c r="I227" s="59">
        <v>2050</v>
      </c>
      <c r="J227" s="59" t="s">
        <v>109</v>
      </c>
      <c r="K227" s="5">
        <v>0</v>
      </c>
      <c r="L227" s="42"/>
      <c r="N227" s="95"/>
      <c r="X227" s="58">
        <v>0</v>
      </c>
      <c r="AI227" s="42"/>
      <c r="AJ227" s="7"/>
      <c r="AK227" s="7"/>
      <c r="AL227" s="7"/>
      <c r="AM227" s="7"/>
      <c r="AN227" s="7"/>
      <c r="AO227" s="7"/>
      <c r="AP227" s="7"/>
      <c r="AQ227" s="42"/>
      <c r="AR227" s="7"/>
      <c r="AS227" s="7"/>
      <c r="AT227" s="7"/>
      <c r="AU227" s="7"/>
      <c r="AV227" s="7"/>
      <c r="AW227" s="7"/>
      <c r="AZ227" s="7"/>
    </row>
    <row r="228" spans="3:52">
      <c r="C228" s="63" t="s">
        <v>118</v>
      </c>
      <c r="D228" s="63"/>
      <c r="E228" s="63"/>
      <c r="F228" s="63" t="s">
        <v>105</v>
      </c>
      <c r="G228" s="63"/>
      <c r="H228" s="63" t="s">
        <v>45</v>
      </c>
      <c r="I228" s="63">
        <v>2005</v>
      </c>
      <c r="J228" s="63" t="s">
        <v>109</v>
      </c>
      <c r="L228">
        <v>7.23</v>
      </c>
      <c r="M228">
        <v>7.28</v>
      </c>
      <c r="N228" s="90">
        <v>7.77</v>
      </c>
      <c r="O228">
        <v>7.24</v>
      </c>
      <c r="P228">
        <v>7.23</v>
      </c>
      <c r="Q228">
        <v>7.28</v>
      </c>
      <c r="R228">
        <v>8.25</v>
      </c>
      <c r="S228">
        <v>7.75</v>
      </c>
      <c r="T228">
        <v>6.33</v>
      </c>
      <c r="U228">
        <v>7.81</v>
      </c>
      <c r="V228">
        <v>6.97</v>
      </c>
      <c r="W228">
        <v>9.3000000000000007</v>
      </c>
      <c r="X228" s="57">
        <v>1000</v>
      </c>
      <c r="Y228">
        <v>6.53</v>
      </c>
      <c r="Z228">
        <v>7.53</v>
      </c>
      <c r="AA228">
        <v>7.23</v>
      </c>
      <c r="AB228">
        <v>7.08</v>
      </c>
      <c r="AC228">
        <v>7.08</v>
      </c>
      <c r="AD228">
        <v>8.07</v>
      </c>
      <c r="AE228">
        <v>7.44</v>
      </c>
      <c r="AF228">
        <v>7.09</v>
      </c>
      <c r="AG228">
        <v>6.76</v>
      </c>
      <c r="AH228">
        <v>7.09</v>
      </c>
      <c r="AI228">
        <v>7.23</v>
      </c>
      <c r="AJ228">
        <v>7.23</v>
      </c>
      <c r="AK228">
        <v>8.07</v>
      </c>
      <c r="AL228">
        <v>6.39</v>
      </c>
      <c r="AM228">
        <v>6.66</v>
      </c>
      <c r="AN228">
        <v>6.14</v>
      </c>
      <c r="AO228">
        <v>8.48</v>
      </c>
      <c r="AP228">
        <v>7.23</v>
      </c>
      <c r="AQ228">
        <v>7.23</v>
      </c>
      <c r="AR228">
        <v>6.66</v>
      </c>
      <c r="AS228">
        <v>6.84</v>
      </c>
      <c r="AT228">
        <v>6.64</v>
      </c>
      <c r="AU228">
        <v>7.19</v>
      </c>
      <c r="AV228" s="6"/>
      <c r="AW228" s="6"/>
      <c r="AZ228" s="6"/>
    </row>
    <row r="229" spans="3:52">
      <c r="C229" s="63" t="s">
        <v>118</v>
      </c>
      <c r="D229" s="63"/>
      <c r="E229" s="63"/>
      <c r="F229" s="63" t="s">
        <v>105</v>
      </c>
      <c r="G229" s="63"/>
      <c r="H229" s="63" t="s">
        <v>45</v>
      </c>
      <c r="I229" s="63">
        <v>2010</v>
      </c>
      <c r="J229" s="63" t="s">
        <v>109</v>
      </c>
      <c r="L229">
        <v>7.55</v>
      </c>
      <c r="M229">
        <v>7.28</v>
      </c>
      <c r="N229" s="90">
        <v>7.62</v>
      </c>
      <c r="O229">
        <v>7.56</v>
      </c>
      <c r="P229">
        <v>7.55</v>
      </c>
      <c r="Q229">
        <v>7.28</v>
      </c>
      <c r="R229">
        <v>8.25</v>
      </c>
      <c r="S229">
        <v>7.88</v>
      </c>
      <c r="T229">
        <v>7.11</v>
      </c>
      <c r="U229">
        <v>7.81</v>
      </c>
      <c r="V229">
        <v>7.4</v>
      </c>
      <c r="W229">
        <v>9.36</v>
      </c>
      <c r="X229" s="57">
        <v>1000</v>
      </c>
      <c r="Y229">
        <v>7.11</v>
      </c>
      <c r="Z229">
        <v>7.53</v>
      </c>
      <c r="AA229">
        <v>7.55</v>
      </c>
      <c r="AB229">
        <v>7.36</v>
      </c>
      <c r="AC229">
        <v>7.08</v>
      </c>
      <c r="AD229">
        <v>8.07</v>
      </c>
      <c r="AE229">
        <v>7.89</v>
      </c>
      <c r="AF229">
        <v>7.56</v>
      </c>
      <c r="AG229">
        <v>6.76</v>
      </c>
      <c r="AH229">
        <v>7.58</v>
      </c>
      <c r="AI229">
        <v>7.55</v>
      </c>
      <c r="AJ229">
        <v>7.55</v>
      </c>
      <c r="AK229">
        <v>8.07</v>
      </c>
      <c r="AL229">
        <v>6.76</v>
      </c>
      <c r="AM229">
        <v>7.11</v>
      </c>
      <c r="AN229">
        <v>6.66</v>
      </c>
      <c r="AO229">
        <v>8.48</v>
      </c>
      <c r="AP229">
        <v>7.55</v>
      </c>
      <c r="AQ229">
        <v>7.55</v>
      </c>
      <c r="AR229">
        <v>7.11</v>
      </c>
      <c r="AS229">
        <v>7.18</v>
      </c>
      <c r="AT229">
        <v>7.05</v>
      </c>
      <c r="AU229">
        <v>7.49</v>
      </c>
      <c r="AV229" s="6"/>
      <c r="AW229" s="6"/>
      <c r="AZ229" s="6"/>
    </row>
    <row r="230" spans="3:52">
      <c r="C230" s="63" t="s">
        <v>118</v>
      </c>
      <c r="D230" s="63"/>
      <c r="E230" s="63"/>
      <c r="F230" s="63" t="s">
        <v>105</v>
      </c>
      <c r="G230" s="63"/>
      <c r="H230" s="63" t="s">
        <v>45</v>
      </c>
      <c r="I230" s="63">
        <v>2020</v>
      </c>
      <c r="J230" s="63" t="s">
        <v>109</v>
      </c>
      <c r="L230">
        <v>9.5</v>
      </c>
      <c r="M230">
        <v>9.2799999999999994</v>
      </c>
      <c r="N230" s="90">
        <v>9.4499999999999993</v>
      </c>
      <c r="O230">
        <v>9.52</v>
      </c>
      <c r="P230">
        <v>9.5</v>
      </c>
      <c r="Q230">
        <v>9.2799999999999994</v>
      </c>
      <c r="R230">
        <v>10.51</v>
      </c>
      <c r="S230">
        <v>9.8699999999999992</v>
      </c>
      <c r="T230">
        <v>9.23</v>
      </c>
      <c r="U230">
        <v>9.9600000000000009</v>
      </c>
      <c r="V230">
        <v>9.49</v>
      </c>
      <c r="W230">
        <v>11.2</v>
      </c>
      <c r="X230" s="57">
        <v>1000</v>
      </c>
      <c r="Y230">
        <v>9.17</v>
      </c>
      <c r="Z230">
        <v>9.6</v>
      </c>
      <c r="AA230">
        <v>9.5</v>
      </c>
      <c r="AB230">
        <v>9.2799999999999994</v>
      </c>
      <c r="AC230">
        <v>9.0299999999999994</v>
      </c>
      <c r="AD230">
        <v>10.29</v>
      </c>
      <c r="AE230">
        <v>10.08</v>
      </c>
      <c r="AF230">
        <v>9.76</v>
      </c>
      <c r="AG230">
        <v>8.6300000000000008</v>
      </c>
      <c r="AH230">
        <v>9.7799999999999994</v>
      </c>
      <c r="AI230">
        <v>9.5</v>
      </c>
      <c r="AJ230">
        <v>9.5</v>
      </c>
      <c r="AK230">
        <v>10.29</v>
      </c>
      <c r="AL230">
        <v>8.65</v>
      </c>
      <c r="AM230">
        <v>9.14</v>
      </c>
      <c r="AN230">
        <v>8.67</v>
      </c>
      <c r="AO230">
        <v>10.34</v>
      </c>
      <c r="AP230">
        <v>9.5</v>
      </c>
      <c r="AQ230">
        <v>9.5</v>
      </c>
      <c r="AR230">
        <v>9.14</v>
      </c>
      <c r="AS230">
        <v>9.1199999999999992</v>
      </c>
      <c r="AT230">
        <v>9.0399999999999991</v>
      </c>
      <c r="AU230">
        <v>9.48</v>
      </c>
      <c r="AV230" s="6"/>
      <c r="AW230" s="6"/>
      <c r="AZ230" s="6"/>
    </row>
    <row r="231" spans="3:52">
      <c r="C231" s="63" t="s">
        <v>118</v>
      </c>
      <c r="D231" s="63"/>
      <c r="E231" s="63"/>
      <c r="F231" s="63" t="s">
        <v>105</v>
      </c>
      <c r="G231" s="63"/>
      <c r="H231" s="63" t="s">
        <v>45</v>
      </c>
      <c r="I231" s="63">
        <v>2030</v>
      </c>
      <c r="J231" s="63" t="s">
        <v>109</v>
      </c>
      <c r="L231">
        <v>10.96</v>
      </c>
      <c r="M231">
        <v>10.7</v>
      </c>
      <c r="N231" s="90">
        <v>10.9</v>
      </c>
      <c r="O231">
        <v>10.97</v>
      </c>
      <c r="P231">
        <v>10.96</v>
      </c>
      <c r="Q231">
        <v>10.7</v>
      </c>
      <c r="R231">
        <v>12.13</v>
      </c>
      <c r="S231">
        <v>11.38</v>
      </c>
      <c r="T231">
        <v>10.65</v>
      </c>
      <c r="U231">
        <v>11.49</v>
      </c>
      <c r="V231">
        <v>10.95</v>
      </c>
      <c r="W231">
        <v>12.92</v>
      </c>
      <c r="X231" s="57">
        <v>1000</v>
      </c>
      <c r="Y231">
        <v>10.58</v>
      </c>
      <c r="Z231">
        <v>11.07</v>
      </c>
      <c r="AA231">
        <v>10.96</v>
      </c>
      <c r="AB231">
        <v>10.71</v>
      </c>
      <c r="AC231">
        <v>10.41</v>
      </c>
      <c r="AD231">
        <v>11.87</v>
      </c>
      <c r="AE231">
        <v>11.63</v>
      </c>
      <c r="AF231">
        <v>11.26</v>
      </c>
      <c r="AG231">
        <v>9.9499999999999993</v>
      </c>
      <c r="AH231">
        <v>11.28</v>
      </c>
      <c r="AI231">
        <v>10.96</v>
      </c>
      <c r="AJ231">
        <v>10.96</v>
      </c>
      <c r="AK231">
        <v>11.87</v>
      </c>
      <c r="AL231">
        <v>9.9700000000000006</v>
      </c>
      <c r="AM231">
        <v>10.55</v>
      </c>
      <c r="AN231">
        <v>10</v>
      </c>
      <c r="AO231">
        <v>11.93</v>
      </c>
      <c r="AP231">
        <v>10.96</v>
      </c>
      <c r="AQ231">
        <v>10.96</v>
      </c>
      <c r="AR231">
        <v>10.55</v>
      </c>
      <c r="AS231">
        <v>10.51</v>
      </c>
      <c r="AT231">
        <v>10.42</v>
      </c>
      <c r="AU231">
        <v>10.93</v>
      </c>
      <c r="AV231" s="6"/>
      <c r="AW231" s="6"/>
      <c r="AZ231" s="6"/>
    </row>
    <row r="232" spans="3:52">
      <c r="C232" s="63" t="s">
        <v>118</v>
      </c>
      <c r="D232" s="63"/>
      <c r="E232" s="63"/>
      <c r="F232" s="63" t="s">
        <v>105</v>
      </c>
      <c r="G232" s="63"/>
      <c r="H232" s="63" t="s">
        <v>45</v>
      </c>
      <c r="I232" s="63">
        <v>2040</v>
      </c>
      <c r="J232" s="63" t="s">
        <v>109</v>
      </c>
      <c r="L232">
        <f t="shared" ref="L232:W232" si="3">L231</f>
        <v>10.96</v>
      </c>
      <c r="M232">
        <f t="shared" si="3"/>
        <v>10.7</v>
      </c>
      <c r="N232" s="90">
        <f t="shared" si="3"/>
        <v>10.9</v>
      </c>
      <c r="O232">
        <f t="shared" si="3"/>
        <v>10.97</v>
      </c>
      <c r="P232">
        <f t="shared" si="3"/>
        <v>10.96</v>
      </c>
      <c r="Q232">
        <f t="shared" si="3"/>
        <v>10.7</v>
      </c>
      <c r="R232">
        <f t="shared" si="3"/>
        <v>12.13</v>
      </c>
      <c r="S232">
        <f t="shared" si="3"/>
        <v>11.38</v>
      </c>
      <c r="T232">
        <f t="shared" si="3"/>
        <v>10.65</v>
      </c>
      <c r="U232">
        <f t="shared" si="3"/>
        <v>11.49</v>
      </c>
      <c r="V232">
        <f t="shared" si="3"/>
        <v>10.95</v>
      </c>
      <c r="W232">
        <f t="shared" si="3"/>
        <v>12.92</v>
      </c>
      <c r="X232" s="57">
        <v>1000</v>
      </c>
      <c r="Y232">
        <f t="shared" ref="Y232:AU232" si="4">Y231</f>
        <v>10.58</v>
      </c>
      <c r="Z232">
        <f t="shared" si="4"/>
        <v>11.07</v>
      </c>
      <c r="AA232">
        <f t="shared" si="4"/>
        <v>10.96</v>
      </c>
      <c r="AB232">
        <f t="shared" si="4"/>
        <v>10.71</v>
      </c>
      <c r="AC232">
        <f t="shared" si="4"/>
        <v>10.41</v>
      </c>
      <c r="AD232">
        <f t="shared" si="4"/>
        <v>11.87</v>
      </c>
      <c r="AE232">
        <f t="shared" si="4"/>
        <v>11.63</v>
      </c>
      <c r="AF232">
        <f t="shared" si="4"/>
        <v>11.26</v>
      </c>
      <c r="AG232">
        <f t="shared" si="4"/>
        <v>9.9499999999999993</v>
      </c>
      <c r="AH232">
        <f t="shared" si="4"/>
        <v>11.28</v>
      </c>
      <c r="AI232">
        <f t="shared" si="4"/>
        <v>10.96</v>
      </c>
      <c r="AJ232">
        <f t="shared" si="4"/>
        <v>10.96</v>
      </c>
      <c r="AK232">
        <f t="shared" si="4"/>
        <v>11.87</v>
      </c>
      <c r="AL232">
        <f t="shared" si="4"/>
        <v>9.9700000000000006</v>
      </c>
      <c r="AM232">
        <f t="shared" si="4"/>
        <v>10.55</v>
      </c>
      <c r="AN232">
        <f t="shared" si="4"/>
        <v>10</v>
      </c>
      <c r="AO232">
        <f t="shared" si="4"/>
        <v>11.93</v>
      </c>
      <c r="AP232">
        <f t="shared" si="4"/>
        <v>10.96</v>
      </c>
      <c r="AQ232">
        <f t="shared" si="4"/>
        <v>10.96</v>
      </c>
      <c r="AR232">
        <f t="shared" si="4"/>
        <v>10.55</v>
      </c>
      <c r="AS232">
        <f t="shared" si="4"/>
        <v>10.51</v>
      </c>
      <c r="AT232">
        <f t="shared" si="4"/>
        <v>10.42</v>
      </c>
      <c r="AU232">
        <f t="shared" si="4"/>
        <v>10.93</v>
      </c>
      <c r="AV232" s="6"/>
      <c r="AW232" s="6"/>
      <c r="AZ232" s="6"/>
    </row>
    <row r="233" spans="3:52" s="5" customFormat="1">
      <c r="C233" s="59" t="s">
        <v>118</v>
      </c>
      <c r="D233" s="59"/>
      <c r="E233" s="59"/>
      <c r="F233" s="59" t="s">
        <v>105</v>
      </c>
      <c r="G233" s="59"/>
      <c r="H233" s="59" t="s">
        <v>45</v>
      </c>
      <c r="I233" s="59">
        <v>2050</v>
      </c>
      <c r="J233" s="59" t="s">
        <v>109</v>
      </c>
      <c r="L233">
        <v>10.96</v>
      </c>
      <c r="M233" s="5">
        <v>10.7</v>
      </c>
      <c r="N233" s="90">
        <v>10.9</v>
      </c>
      <c r="O233" s="5">
        <v>10.97</v>
      </c>
      <c r="P233">
        <v>10.96</v>
      </c>
      <c r="Q233">
        <v>10.7</v>
      </c>
      <c r="R233">
        <v>12.13</v>
      </c>
      <c r="S233">
        <v>11.38</v>
      </c>
      <c r="T233">
        <v>10.65</v>
      </c>
      <c r="U233">
        <v>11.49</v>
      </c>
      <c r="V233" s="5">
        <v>10.95</v>
      </c>
      <c r="W233">
        <v>12.92</v>
      </c>
      <c r="X233" s="58">
        <v>1000</v>
      </c>
      <c r="Y233">
        <v>10.58</v>
      </c>
      <c r="Z233">
        <v>11.07</v>
      </c>
      <c r="AA233">
        <v>10.96</v>
      </c>
      <c r="AB233">
        <v>10.71</v>
      </c>
      <c r="AC233">
        <v>10.41</v>
      </c>
      <c r="AD233">
        <v>11.87</v>
      </c>
      <c r="AE233">
        <v>11.63</v>
      </c>
      <c r="AF233">
        <v>11.26</v>
      </c>
      <c r="AG233">
        <v>9.9499999999999993</v>
      </c>
      <c r="AH233">
        <v>11.28</v>
      </c>
      <c r="AI233">
        <v>10.96</v>
      </c>
      <c r="AJ233">
        <v>10.96</v>
      </c>
      <c r="AK233">
        <v>11.87</v>
      </c>
      <c r="AL233">
        <v>9.9700000000000006</v>
      </c>
      <c r="AM233">
        <v>10.55</v>
      </c>
      <c r="AN233">
        <v>10</v>
      </c>
      <c r="AO233">
        <v>11.93</v>
      </c>
      <c r="AP233">
        <v>10.96</v>
      </c>
      <c r="AQ233">
        <v>10.96</v>
      </c>
      <c r="AR233">
        <v>10.55</v>
      </c>
      <c r="AS233">
        <v>10.51</v>
      </c>
      <c r="AT233">
        <v>10.42</v>
      </c>
      <c r="AU233">
        <v>10.93</v>
      </c>
      <c r="AV233" s="7"/>
      <c r="AW233" s="7"/>
      <c r="AZ233" s="7"/>
    </row>
    <row r="234" spans="3:52">
      <c r="C234" s="63" t="s">
        <v>120</v>
      </c>
      <c r="D234" s="63"/>
      <c r="E234" s="77"/>
      <c r="F234" s="77" t="s">
        <v>105</v>
      </c>
      <c r="G234" s="77"/>
      <c r="H234" s="62" t="s">
        <v>45</v>
      </c>
      <c r="I234" s="62">
        <v>0</v>
      </c>
      <c r="J234" s="62" t="s">
        <v>119</v>
      </c>
      <c r="K234" s="64">
        <v>5</v>
      </c>
      <c r="L234" s="41"/>
      <c r="M234" s="6"/>
      <c r="N234" s="52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41"/>
      <c r="AJ234" s="6"/>
      <c r="AK234" s="6"/>
      <c r="AL234" s="6"/>
      <c r="AM234" s="6"/>
      <c r="AN234" s="6"/>
      <c r="AO234" s="6"/>
      <c r="AP234" s="6"/>
      <c r="AQ234" s="41"/>
      <c r="AR234" s="6"/>
      <c r="AS234" s="6"/>
      <c r="AT234" s="6"/>
      <c r="AU234" s="6"/>
      <c r="AV234" s="6"/>
      <c r="AW234" s="6"/>
      <c r="AZ234" s="6"/>
    </row>
    <row r="235" spans="3:52">
      <c r="C235" s="63" t="s">
        <v>121</v>
      </c>
      <c r="D235" s="63"/>
      <c r="E235" s="62" t="s">
        <v>42</v>
      </c>
      <c r="F235" s="77"/>
      <c r="G235" s="62" t="s">
        <v>40</v>
      </c>
      <c r="H235" s="65" t="s">
        <v>41</v>
      </c>
      <c r="I235" s="62">
        <v>0</v>
      </c>
      <c r="J235" s="62" t="s">
        <v>119</v>
      </c>
      <c r="K235" s="62">
        <v>5</v>
      </c>
      <c r="L235" s="41"/>
      <c r="M235" s="6"/>
      <c r="N235" s="52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41"/>
      <c r="AJ235" s="6"/>
      <c r="AK235" s="6"/>
      <c r="AL235" s="6"/>
      <c r="AM235" s="6"/>
      <c r="AN235" s="6"/>
      <c r="AO235" s="6"/>
      <c r="AP235" s="6"/>
      <c r="AQ235" s="41"/>
      <c r="AR235" s="6"/>
      <c r="AS235" s="6"/>
      <c r="AT235" s="6"/>
      <c r="AU235" s="6"/>
      <c r="AV235" s="6"/>
      <c r="AW235" s="6"/>
      <c r="AZ235" s="6"/>
    </row>
    <row r="236" spans="3:52">
      <c r="L236" s="41"/>
      <c r="M236" s="6"/>
      <c r="N236" s="52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41"/>
      <c r="AJ236" s="6"/>
      <c r="AK236" s="6"/>
      <c r="AL236" s="6"/>
      <c r="AM236" s="6"/>
      <c r="AN236" s="6"/>
      <c r="AO236" s="6"/>
      <c r="AP236" s="6"/>
      <c r="AQ236" s="41"/>
      <c r="AR236" s="6"/>
      <c r="AS236" s="6"/>
      <c r="AT236" s="6"/>
      <c r="AU236" s="6"/>
      <c r="AV236" s="6"/>
      <c r="AW236" s="6"/>
      <c r="AZ236" s="6"/>
    </row>
    <row r="240" spans="3:52">
      <c r="AX240" t="s">
        <v>137</v>
      </c>
      <c r="AY240" t="s">
        <v>146</v>
      </c>
    </row>
    <row r="241" spans="9:51">
      <c r="I241">
        <v>2005</v>
      </c>
      <c r="J241" t="s">
        <v>135</v>
      </c>
      <c r="L241" s="6">
        <f t="shared" ref="L241:U246" si="5">SUMIFS(L$6:L$235,$I$6:$I$235,$I241,$H$6:$H$235,"ACT_BND",$A$6:$A$235,$J241)</f>
        <v>0</v>
      </c>
      <c r="M241" s="6">
        <f t="shared" si="5"/>
        <v>32.020352427660804</v>
      </c>
      <c r="N241" s="52">
        <f t="shared" si="5"/>
        <v>14.033464440207261</v>
      </c>
      <c r="O241" s="6">
        <f t="shared" si="5"/>
        <v>3.852749599240612</v>
      </c>
      <c r="P241" s="6">
        <f t="shared" si="5"/>
        <v>0</v>
      </c>
      <c r="Q241" s="6">
        <f t="shared" si="5"/>
        <v>0</v>
      </c>
      <c r="R241" s="6">
        <f t="shared" si="5"/>
        <v>0</v>
      </c>
      <c r="S241" s="6">
        <f t="shared" si="5"/>
        <v>23.241134657331322</v>
      </c>
      <c r="T241" s="6">
        <f t="shared" si="5"/>
        <v>157.23353179273261</v>
      </c>
      <c r="U241" s="6">
        <f t="shared" si="5"/>
        <v>3.3224179601612223</v>
      </c>
      <c r="V241" s="6">
        <f t="shared" ref="V241:AE246" si="6">SUMIFS(V$6:V$235,$I$6:$I$235,$I241,$H$6:$H$235,"ACT_BND",$A$6:$A$235,$J241)</f>
        <v>1.0223422008552478E-2</v>
      </c>
      <c r="W241" s="6">
        <f t="shared" si="6"/>
        <v>20.393972337996146</v>
      </c>
      <c r="X241" s="6">
        <f t="shared" si="6"/>
        <v>0</v>
      </c>
      <c r="Y241" s="6">
        <f t="shared" si="6"/>
        <v>502.83093813988478</v>
      </c>
      <c r="Z241" s="6">
        <f t="shared" si="6"/>
        <v>9.2493682966679387</v>
      </c>
      <c r="AA241" s="6">
        <f t="shared" si="6"/>
        <v>30.150918793453421</v>
      </c>
      <c r="AB241" s="6">
        <f t="shared" si="6"/>
        <v>15.204244542010731</v>
      </c>
      <c r="AC241" s="6">
        <f t="shared" si="6"/>
        <v>4.6531844293736059E-2</v>
      </c>
      <c r="AD241" s="6">
        <f t="shared" si="6"/>
        <v>0</v>
      </c>
      <c r="AE241" s="6">
        <f t="shared" si="6"/>
        <v>7.64696069838641</v>
      </c>
      <c r="AF241" s="6">
        <f t="shared" ref="AF241:AO246" si="7">SUMIFS(AF$6:AF$235,$I$6:$I$235,$I241,$H$6:$H$235,"ACT_BND",$A$6:$A$235,$J241)</f>
        <v>4.7447929622088925</v>
      </c>
      <c r="AG241" s="6">
        <f t="shared" si="7"/>
        <v>0.41430963394092846</v>
      </c>
      <c r="AH241" s="6">
        <f t="shared" si="7"/>
        <v>0.82834959704083222</v>
      </c>
      <c r="AI241" s="6">
        <f t="shared" si="7"/>
        <v>0</v>
      </c>
      <c r="AJ241" s="6">
        <f t="shared" si="7"/>
        <v>0</v>
      </c>
      <c r="AK241" s="6">
        <f t="shared" si="7"/>
        <v>0</v>
      </c>
      <c r="AL241" s="6">
        <f t="shared" si="7"/>
        <v>3.7657822182060761</v>
      </c>
      <c r="AM241" s="6">
        <f t="shared" si="7"/>
        <v>0</v>
      </c>
      <c r="AN241" s="6">
        <f t="shared" si="7"/>
        <v>11.485794669646376</v>
      </c>
      <c r="AO241" s="6">
        <f t="shared" si="7"/>
        <v>9.8478790830838769E-2</v>
      </c>
      <c r="AP241" s="6">
        <f t="shared" ref="AP241:AU246" si="8">SUMIFS(AP$6:AP$235,$I$6:$I$235,$I241,$H$6:$H$235,"ACT_BND",$A$6:$A$235,$J241)</f>
        <v>4.3524139269104261</v>
      </c>
      <c r="AQ241" s="6">
        <f t="shared" si="8"/>
        <v>0</v>
      </c>
      <c r="AR241" s="6">
        <f t="shared" si="8"/>
        <v>18.467133889660705</v>
      </c>
      <c r="AS241" s="6">
        <f t="shared" si="8"/>
        <v>3.600783082005115E-4</v>
      </c>
      <c r="AT241" s="6">
        <f t="shared" si="8"/>
        <v>9.1175480545218459</v>
      </c>
      <c r="AU241" s="6">
        <f t="shared" si="8"/>
        <v>19.986855560210486</v>
      </c>
      <c r="AX241" s="87">
        <f>SUM(M241:O241,R241:AC241,AE241:AH241,AK241:AL241,AN241:AP241,AR241:AT241)</f>
        <v>872.51177277331078</v>
      </c>
      <c r="AY241" s="6">
        <f>SUM(L241:AU241)</f>
        <v>892.49862833352131</v>
      </c>
    </row>
    <row r="242" spans="9:51">
      <c r="I242">
        <v>2010</v>
      </c>
      <c r="J242" t="s">
        <v>135</v>
      </c>
      <c r="L242" s="6">
        <f t="shared" si="5"/>
        <v>0</v>
      </c>
      <c r="M242" s="6">
        <f t="shared" si="5"/>
        <v>32.020352427660804</v>
      </c>
      <c r="N242" s="52">
        <f t="shared" si="5"/>
        <v>14.033464440207261</v>
      </c>
      <c r="O242" s="6">
        <f t="shared" si="5"/>
        <v>3.852749599240612</v>
      </c>
      <c r="P242" s="6">
        <f t="shared" si="5"/>
        <v>0</v>
      </c>
      <c r="Q242" s="6">
        <f t="shared" si="5"/>
        <v>0</v>
      </c>
      <c r="R242" s="6">
        <f t="shared" si="5"/>
        <v>0</v>
      </c>
      <c r="S242" s="6">
        <f t="shared" si="5"/>
        <v>23.241134657331322</v>
      </c>
      <c r="T242" s="6">
        <f t="shared" si="5"/>
        <v>157.23353179273261</v>
      </c>
      <c r="U242" s="6">
        <f t="shared" si="5"/>
        <v>3.3224179601612223</v>
      </c>
      <c r="V242" s="6">
        <f t="shared" si="6"/>
        <v>1.0223422008552478E-2</v>
      </c>
      <c r="W242" s="6">
        <f t="shared" si="6"/>
        <v>20.393972337996146</v>
      </c>
      <c r="X242" s="6">
        <f t="shared" si="6"/>
        <v>0</v>
      </c>
      <c r="Y242" s="6">
        <f t="shared" si="6"/>
        <v>502.83093813988478</v>
      </c>
      <c r="Z242" s="6">
        <f t="shared" si="6"/>
        <v>9.2493682966679387</v>
      </c>
      <c r="AA242" s="6">
        <f t="shared" si="6"/>
        <v>30.150918793453421</v>
      </c>
      <c r="AB242" s="6">
        <f t="shared" si="6"/>
        <v>15.204244542010731</v>
      </c>
      <c r="AC242" s="6">
        <f t="shared" si="6"/>
        <v>4.6531844293736059E-2</v>
      </c>
      <c r="AD242" s="6">
        <f t="shared" si="6"/>
        <v>0</v>
      </c>
      <c r="AE242" s="6">
        <f t="shared" si="6"/>
        <v>7.64696069838641</v>
      </c>
      <c r="AF242" s="6">
        <f t="shared" si="7"/>
        <v>4.7447929622088925</v>
      </c>
      <c r="AG242" s="6">
        <f t="shared" si="7"/>
        <v>0.41430963394092846</v>
      </c>
      <c r="AH242" s="6">
        <f t="shared" si="7"/>
        <v>0.82834959704083222</v>
      </c>
      <c r="AI242" s="6">
        <f t="shared" si="7"/>
        <v>0</v>
      </c>
      <c r="AJ242" s="6">
        <f t="shared" si="7"/>
        <v>0</v>
      </c>
      <c r="AK242" s="6">
        <f t="shared" si="7"/>
        <v>0</v>
      </c>
      <c r="AL242" s="6">
        <f t="shared" si="7"/>
        <v>3.7657822182060761</v>
      </c>
      <c r="AM242" s="6">
        <f t="shared" si="7"/>
        <v>0</v>
      </c>
      <c r="AN242" s="6">
        <f t="shared" si="7"/>
        <v>11.485794669646376</v>
      </c>
      <c r="AO242" s="6">
        <f t="shared" si="7"/>
        <v>9.8478790830838769E-2</v>
      </c>
      <c r="AP242" s="6">
        <f t="shared" si="8"/>
        <v>4.3524139269104261</v>
      </c>
      <c r="AQ242" s="6">
        <f t="shared" si="8"/>
        <v>0</v>
      </c>
      <c r="AR242" s="6">
        <f t="shared" si="8"/>
        <v>18.467133889660705</v>
      </c>
      <c r="AS242" s="6">
        <f t="shared" si="8"/>
        <v>3.600783082005115E-4</v>
      </c>
      <c r="AT242" s="6">
        <f t="shared" si="8"/>
        <v>9.1175480545218459</v>
      </c>
      <c r="AU242" s="6">
        <f t="shared" si="8"/>
        <v>19.986855560210486</v>
      </c>
      <c r="AX242" s="87">
        <f t="shared" ref="AX242:AX296" si="9">SUM(M242:O242,R242:AC242,AE242:AH242,AK242:AL242,AN242:AP242,AR242:AT242)</f>
        <v>872.51177277331078</v>
      </c>
      <c r="AY242" s="6">
        <f t="shared" ref="AY242:AY296" si="10">SUM(L242:AU242)</f>
        <v>892.49862833352131</v>
      </c>
    </row>
    <row r="243" spans="9:51">
      <c r="I243">
        <v>2020</v>
      </c>
      <c r="J243" t="s">
        <v>135</v>
      </c>
      <c r="L243" s="6">
        <f t="shared" si="5"/>
        <v>30.0872455692014</v>
      </c>
      <c r="M243" s="6">
        <f t="shared" si="5"/>
        <v>46.211991643157639</v>
      </c>
      <c r="N243" s="52">
        <f t="shared" si="5"/>
        <v>57.323903998489591</v>
      </c>
      <c r="O243" s="6">
        <f t="shared" si="5"/>
        <v>89.689237306541131</v>
      </c>
      <c r="P243" s="6">
        <f t="shared" si="5"/>
        <v>73.842715046938082</v>
      </c>
      <c r="Q243" s="6">
        <f t="shared" si="5"/>
        <v>0</v>
      </c>
      <c r="R243" s="6">
        <f t="shared" si="5"/>
        <v>0.88104693223265684</v>
      </c>
      <c r="S243" s="6">
        <f t="shared" si="5"/>
        <v>59.767843490454794</v>
      </c>
      <c r="T243" s="6">
        <f t="shared" si="5"/>
        <v>191.00875037522167</v>
      </c>
      <c r="U243" s="6">
        <f t="shared" si="5"/>
        <v>2.963816127295813</v>
      </c>
      <c r="V243" s="6">
        <f t="shared" si="6"/>
        <v>9.1005516962043433</v>
      </c>
      <c r="W243" s="6">
        <f t="shared" si="6"/>
        <v>496.72417587634851</v>
      </c>
      <c r="X243" s="6">
        <f t="shared" si="6"/>
        <v>3.5</v>
      </c>
      <c r="Y243" s="6">
        <f t="shared" si="6"/>
        <v>711.18883984118406</v>
      </c>
      <c r="Z243" s="6">
        <f t="shared" si="6"/>
        <v>55.272391467521665</v>
      </c>
      <c r="AA243" s="6">
        <f t="shared" si="6"/>
        <v>26.515818533982966</v>
      </c>
      <c r="AB243" s="6">
        <f t="shared" si="6"/>
        <v>133.77976163490379</v>
      </c>
      <c r="AC243" s="6">
        <f t="shared" si="6"/>
        <v>19.12373975935812</v>
      </c>
      <c r="AD243" s="6">
        <f t="shared" si="6"/>
        <v>0</v>
      </c>
      <c r="AE243" s="6">
        <f t="shared" si="6"/>
        <v>280.28748048519782</v>
      </c>
      <c r="AF243" s="6">
        <f t="shared" si="7"/>
        <v>95.90817414130693</v>
      </c>
      <c r="AG243" s="6">
        <f t="shared" si="7"/>
        <v>0.35088535323377879</v>
      </c>
      <c r="AH243" s="6">
        <f t="shared" si="7"/>
        <v>9.5725924909081712</v>
      </c>
      <c r="AI243" s="6">
        <f t="shared" si="7"/>
        <v>2.7984436485444322</v>
      </c>
      <c r="AJ243" s="6">
        <f t="shared" si="7"/>
        <v>18.167524044573277</v>
      </c>
      <c r="AK243" s="6">
        <f t="shared" si="7"/>
        <v>0</v>
      </c>
      <c r="AL243" s="6">
        <f t="shared" si="7"/>
        <v>42.034767199758903</v>
      </c>
      <c r="AM243" s="6">
        <f t="shared" si="7"/>
        <v>7.4300688451655565</v>
      </c>
      <c r="AN243" s="6">
        <f t="shared" si="7"/>
        <v>290.2474333412182</v>
      </c>
      <c r="AO243" s="6">
        <f t="shared" si="7"/>
        <v>22.463314632676536</v>
      </c>
      <c r="AP243" s="6">
        <f t="shared" si="8"/>
        <v>371.7299386079452</v>
      </c>
      <c r="AQ243" s="6">
        <f t="shared" si="8"/>
        <v>42.219141725333841</v>
      </c>
      <c r="AR243" s="6">
        <f t="shared" si="8"/>
        <v>24.26460309578064</v>
      </c>
      <c r="AS243" s="6">
        <f t="shared" si="8"/>
        <v>1.1039577677696224</v>
      </c>
      <c r="AT243" s="6">
        <f t="shared" si="8"/>
        <v>20.782300665403472</v>
      </c>
      <c r="AU243" s="6">
        <f t="shared" si="8"/>
        <v>110.06103469423019</v>
      </c>
      <c r="AX243" s="87">
        <f t="shared" si="9"/>
        <v>3061.7973164640966</v>
      </c>
      <c r="AY243" s="6">
        <f t="shared" si="10"/>
        <v>3346.4034900380834</v>
      </c>
    </row>
    <row r="244" spans="9:51">
      <c r="I244">
        <v>2030</v>
      </c>
      <c r="J244" t="s">
        <v>135</v>
      </c>
      <c r="L244" s="6">
        <f t="shared" si="5"/>
        <v>31.529445406865452</v>
      </c>
      <c r="M244" s="6">
        <f t="shared" si="5"/>
        <v>51.603540110692165</v>
      </c>
      <c r="N244" s="52">
        <f t="shared" si="5"/>
        <v>92.491543813741316</v>
      </c>
      <c r="O244" s="6">
        <f t="shared" si="5"/>
        <v>71.38904522722639</v>
      </c>
      <c r="P244" s="6">
        <f t="shared" si="5"/>
        <v>76.234501325230056</v>
      </c>
      <c r="Q244" s="6">
        <f t="shared" si="5"/>
        <v>0</v>
      </c>
      <c r="R244" s="6">
        <f t="shared" si="5"/>
        <v>0.9553055985456842</v>
      </c>
      <c r="S244" s="6">
        <f t="shared" si="5"/>
        <v>87.91022958941825</v>
      </c>
      <c r="T244" s="6">
        <f t="shared" si="5"/>
        <v>262.14157241768839</v>
      </c>
      <c r="U244" s="6">
        <f t="shared" si="5"/>
        <v>4.8184750504944054</v>
      </c>
      <c r="V244" s="6">
        <f t="shared" si="6"/>
        <v>13.039227880353643</v>
      </c>
      <c r="W244" s="6">
        <f t="shared" si="6"/>
        <v>596.05254495643635</v>
      </c>
      <c r="X244" s="6">
        <f t="shared" si="6"/>
        <v>4.2</v>
      </c>
      <c r="Y244" s="6">
        <f t="shared" si="6"/>
        <v>843.94906862494224</v>
      </c>
      <c r="Z244" s="6">
        <f t="shared" si="6"/>
        <v>59.937815924743752</v>
      </c>
      <c r="AA244" s="6">
        <f t="shared" si="6"/>
        <v>40.340453521845127</v>
      </c>
      <c r="AB244" s="6">
        <f t="shared" si="6"/>
        <v>155.85553209292149</v>
      </c>
      <c r="AC244" s="6">
        <f t="shared" si="6"/>
        <v>17.821408353721377</v>
      </c>
      <c r="AD244" s="6">
        <f t="shared" si="6"/>
        <v>0</v>
      </c>
      <c r="AE244" s="6">
        <f t="shared" si="6"/>
        <v>402.95267623277374</v>
      </c>
      <c r="AF244" s="6">
        <f t="shared" si="7"/>
        <v>125.40043015688342</v>
      </c>
      <c r="AG244" s="6">
        <f t="shared" si="7"/>
        <v>0.35942216661624771</v>
      </c>
      <c r="AH244" s="6">
        <f t="shared" si="7"/>
        <v>14.36698448459024</v>
      </c>
      <c r="AI244" s="6">
        <f t="shared" si="7"/>
        <v>2.8648134614253533</v>
      </c>
      <c r="AJ244" s="6">
        <f t="shared" si="7"/>
        <v>19.000088465975743</v>
      </c>
      <c r="AK244" s="6">
        <f t="shared" si="7"/>
        <v>0</v>
      </c>
      <c r="AL244" s="6">
        <f t="shared" si="7"/>
        <v>67.018585888114742</v>
      </c>
      <c r="AM244" s="6">
        <f t="shared" si="7"/>
        <v>7.7533482453438864</v>
      </c>
      <c r="AN244" s="6">
        <f t="shared" si="7"/>
        <v>382.61694886041084</v>
      </c>
      <c r="AO244" s="6">
        <f t="shared" si="7"/>
        <v>23.089823291951781</v>
      </c>
      <c r="AP244" s="6">
        <f t="shared" si="8"/>
        <v>376.846604267977</v>
      </c>
      <c r="AQ244" s="6">
        <f t="shared" si="8"/>
        <v>42.421137548907211</v>
      </c>
      <c r="AR244" s="6">
        <f t="shared" si="8"/>
        <v>28.246457676339254</v>
      </c>
      <c r="AS244" s="6">
        <f t="shared" si="8"/>
        <v>3.0447622512666879</v>
      </c>
      <c r="AT244" s="6">
        <f t="shared" si="8"/>
        <v>30.138885510340486</v>
      </c>
      <c r="AU244" s="6">
        <f t="shared" si="8"/>
        <v>361.95570486717133</v>
      </c>
      <c r="AX244" s="88">
        <f t="shared" si="9"/>
        <v>3756.5873439500347</v>
      </c>
      <c r="AY244" s="6">
        <f t="shared" si="10"/>
        <v>4298.3463832709531</v>
      </c>
    </row>
    <row r="245" spans="9:51">
      <c r="I245">
        <v>2040</v>
      </c>
      <c r="J245" t="s">
        <v>135</v>
      </c>
      <c r="L245" s="6">
        <f t="shared" si="5"/>
        <v>33.178888051135957</v>
      </c>
      <c r="M245" s="6">
        <f t="shared" si="5"/>
        <v>48.051830334536582</v>
      </c>
      <c r="N245" s="52">
        <f t="shared" si="5"/>
        <v>87.912592473107168</v>
      </c>
      <c r="O245" s="6">
        <f t="shared" si="5"/>
        <v>86.57802710616339</v>
      </c>
      <c r="P245" s="6">
        <f t="shared" si="5"/>
        <v>76.941141061775724</v>
      </c>
      <c r="Q245" s="6">
        <f t="shared" si="5"/>
        <v>0</v>
      </c>
      <c r="R245" s="6">
        <f t="shared" si="5"/>
        <v>0.89651346814128763</v>
      </c>
      <c r="S245" s="6">
        <f t="shared" si="5"/>
        <v>99.018886628774993</v>
      </c>
      <c r="T245" s="6">
        <f t="shared" si="5"/>
        <v>267.71109613317083</v>
      </c>
      <c r="U245" s="6">
        <f t="shared" si="5"/>
        <v>6.1080062568275073</v>
      </c>
      <c r="V245" s="6">
        <f t="shared" si="6"/>
        <v>15.420249554765038</v>
      </c>
      <c r="W245" s="6">
        <f t="shared" si="6"/>
        <v>648.80422587167129</v>
      </c>
      <c r="X245" s="6">
        <f t="shared" si="6"/>
        <v>6</v>
      </c>
      <c r="Y245" s="6">
        <f t="shared" si="6"/>
        <v>800.58208581356052</v>
      </c>
      <c r="Z245" s="6">
        <f t="shared" si="6"/>
        <v>67.037352615009524</v>
      </c>
      <c r="AA245" s="6">
        <f t="shared" si="6"/>
        <v>40.950979213322675</v>
      </c>
      <c r="AB245" s="6">
        <f t="shared" si="6"/>
        <v>167.55182546155521</v>
      </c>
      <c r="AC245" s="6">
        <f t="shared" si="6"/>
        <v>12.926787935112594</v>
      </c>
      <c r="AD245" s="6">
        <f t="shared" si="6"/>
        <v>0</v>
      </c>
      <c r="AE245" s="6">
        <f t="shared" si="6"/>
        <v>406.97629155436869</v>
      </c>
      <c r="AF245" s="6">
        <f t="shared" si="7"/>
        <v>121.6683579153775</v>
      </c>
      <c r="AG245" s="6">
        <f t="shared" si="7"/>
        <v>0.39421719322729493</v>
      </c>
      <c r="AH245" s="6">
        <f t="shared" si="7"/>
        <v>13.113988783592353</v>
      </c>
      <c r="AI245" s="6">
        <f t="shared" si="7"/>
        <v>2.9568688682876489</v>
      </c>
      <c r="AJ245" s="6">
        <f t="shared" si="7"/>
        <v>20.401231073403586</v>
      </c>
      <c r="AK245" s="6">
        <f t="shared" si="7"/>
        <v>0</v>
      </c>
      <c r="AL245" s="6">
        <f t="shared" si="7"/>
        <v>57.810423676722209</v>
      </c>
      <c r="AM245" s="6">
        <f t="shared" si="7"/>
        <v>8.0112638885831817</v>
      </c>
      <c r="AN245" s="6">
        <f t="shared" si="7"/>
        <v>460.83883051249495</v>
      </c>
      <c r="AO245" s="6">
        <f t="shared" si="7"/>
        <v>24.178721143998509</v>
      </c>
      <c r="AP245" s="6">
        <f t="shared" si="8"/>
        <v>377.06667559218931</v>
      </c>
      <c r="AQ245" s="6">
        <f t="shared" si="8"/>
        <v>39.777768016168039</v>
      </c>
      <c r="AR245" s="6">
        <f t="shared" si="8"/>
        <v>27.067671461312603</v>
      </c>
      <c r="AS245" s="6">
        <f t="shared" si="8"/>
        <v>2.6118435952253933</v>
      </c>
      <c r="AT245" s="6">
        <f t="shared" si="8"/>
        <v>27.278112146686379</v>
      </c>
      <c r="AU245" s="6">
        <f t="shared" si="8"/>
        <v>287.61396886513683</v>
      </c>
      <c r="AX245" s="88">
        <f t="shared" si="9"/>
        <v>3874.5555924409146</v>
      </c>
      <c r="AY245" s="6">
        <f t="shared" si="10"/>
        <v>4343.4367222654055</v>
      </c>
    </row>
    <row r="246" spans="9:51">
      <c r="I246">
        <v>2050</v>
      </c>
      <c r="J246" t="s">
        <v>135</v>
      </c>
      <c r="L246" s="6">
        <f t="shared" si="5"/>
        <v>34.848870548530201</v>
      </c>
      <c r="M246" s="6">
        <f t="shared" si="5"/>
        <v>44.333804980375035</v>
      </c>
      <c r="N246" s="52">
        <f t="shared" si="5"/>
        <v>82.186288037505804</v>
      </c>
      <c r="O246" s="6">
        <f t="shared" si="5"/>
        <v>97.077837674447338</v>
      </c>
      <c r="P246" s="6">
        <f t="shared" si="5"/>
        <v>77.410605833950967</v>
      </c>
      <c r="Q246" s="6">
        <f t="shared" si="5"/>
        <v>0</v>
      </c>
      <c r="R246" s="6">
        <f t="shared" si="5"/>
        <v>0.82883306711458937</v>
      </c>
      <c r="S246" s="6">
        <f t="shared" si="5"/>
        <v>110.56497752661093</v>
      </c>
      <c r="T246" s="6">
        <f t="shared" si="5"/>
        <v>273.59285812504623</v>
      </c>
      <c r="U246" s="6">
        <f t="shared" si="5"/>
        <v>7.119963665932878</v>
      </c>
      <c r="V246" s="6">
        <f t="shared" si="6"/>
        <v>17.235405384035193</v>
      </c>
      <c r="W246" s="6">
        <f t="shared" si="6"/>
        <v>697.60467711969318</v>
      </c>
      <c r="X246" s="6">
        <f t="shared" si="6"/>
        <v>7.4</v>
      </c>
      <c r="Y246" s="6">
        <f t="shared" si="6"/>
        <v>757.17440835847185</v>
      </c>
      <c r="Z246" s="6">
        <f t="shared" si="6"/>
        <v>73.33722240880887</v>
      </c>
      <c r="AA246" s="6">
        <f t="shared" si="6"/>
        <v>41.295443630594214</v>
      </c>
      <c r="AB246" s="6">
        <f t="shared" si="6"/>
        <v>179.64639825843417</v>
      </c>
      <c r="AC246" s="6">
        <f t="shared" si="6"/>
        <v>7.536257149002294</v>
      </c>
      <c r="AD246" s="6">
        <f t="shared" si="6"/>
        <v>0</v>
      </c>
      <c r="AE246" s="6">
        <f t="shared" si="6"/>
        <v>413.09825026097195</v>
      </c>
      <c r="AF246" s="6">
        <f t="shared" si="7"/>
        <v>116.16184876687444</v>
      </c>
      <c r="AG246" s="6">
        <f t="shared" si="7"/>
        <v>0.43051833895699565</v>
      </c>
      <c r="AH246" s="6">
        <f t="shared" si="7"/>
        <v>11.49864711827442</v>
      </c>
      <c r="AI246" s="6">
        <f t="shared" si="7"/>
        <v>3.0456057197726514</v>
      </c>
      <c r="AJ246" s="6">
        <f t="shared" si="7"/>
        <v>21.849113004536722</v>
      </c>
      <c r="AK246" s="6">
        <f t="shared" si="7"/>
        <v>0</v>
      </c>
      <c r="AL246" s="6">
        <f t="shared" si="7"/>
        <v>48.560314503913247</v>
      </c>
      <c r="AM246" s="6">
        <f t="shared" si="7"/>
        <v>8.3542936417217106</v>
      </c>
      <c r="AN246" s="6">
        <f t="shared" si="7"/>
        <v>540.67732411101451</v>
      </c>
      <c r="AO246" s="6">
        <f t="shared" si="7"/>
        <v>25.370633264557128</v>
      </c>
      <c r="AP246" s="6">
        <f t="shared" si="8"/>
        <v>352.97961368364423</v>
      </c>
      <c r="AQ246" s="6">
        <f t="shared" si="8"/>
        <v>36.736867782760221</v>
      </c>
      <c r="AR246" s="6">
        <f t="shared" si="8"/>
        <v>25.759589986002066</v>
      </c>
      <c r="AS246" s="6">
        <f t="shared" si="8"/>
        <v>2.1262978858918524</v>
      </c>
      <c r="AT246" s="6">
        <f t="shared" si="8"/>
        <v>24.595077896113086</v>
      </c>
      <c r="AU246" s="6">
        <f t="shared" si="8"/>
        <v>213.61835747884189</v>
      </c>
      <c r="AX246" s="88">
        <f t="shared" si="9"/>
        <v>3958.192491202286</v>
      </c>
      <c r="AY246" s="6">
        <f t="shared" si="10"/>
        <v>4354.0562052124005</v>
      </c>
    </row>
    <row r="247" spans="9:51">
      <c r="L247" s="6"/>
      <c r="M247" s="6"/>
      <c r="N247" s="52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X247" s="87"/>
      <c r="AY247" s="6">
        <f t="shared" si="10"/>
        <v>0</v>
      </c>
    </row>
    <row r="248" spans="9:51">
      <c r="I248">
        <v>2005</v>
      </c>
      <c r="J248" t="s">
        <v>136</v>
      </c>
      <c r="L248" s="6">
        <f t="shared" ref="L248:AU248" si="11">SUMIFS(L$6:L$235,$I$6:$I$235,$I248,$H$6:$H$235,"ACT_BND",$A$6:$A$235,$J248)</f>
        <v>12.288956397855669</v>
      </c>
      <c r="M248" s="6">
        <f t="shared" si="11"/>
        <v>54.305970000000009</v>
      </c>
      <c r="N248" s="52">
        <f t="shared" si="11"/>
        <v>15.919620000000002</v>
      </c>
      <c r="O248" s="6">
        <f t="shared" si="11"/>
        <v>23.852509999999999</v>
      </c>
      <c r="P248" s="6">
        <f t="shared" si="11"/>
        <v>37.463086729402065</v>
      </c>
      <c r="Q248" s="6">
        <f t="shared" si="11"/>
        <v>31.962825300000002</v>
      </c>
      <c r="R248" s="6">
        <f t="shared" si="11"/>
        <v>0</v>
      </c>
      <c r="S248" s="6">
        <f t="shared" si="11"/>
        <v>31.313775532258138</v>
      </c>
      <c r="T248" s="6">
        <f t="shared" si="11"/>
        <v>154.43022999999999</v>
      </c>
      <c r="U248" s="6">
        <f t="shared" si="11"/>
        <v>12.53289</v>
      </c>
      <c r="V248" s="6">
        <f t="shared" si="11"/>
        <v>25.02308</v>
      </c>
      <c r="W248" s="6">
        <f t="shared" si="11"/>
        <v>76.176010000000019</v>
      </c>
      <c r="X248" s="6">
        <f t="shared" si="11"/>
        <v>130</v>
      </c>
      <c r="Y248" s="6">
        <f t="shared" si="11"/>
        <v>301.09201999999999</v>
      </c>
      <c r="Z248" s="6">
        <f t="shared" si="11"/>
        <v>16.489049999999999</v>
      </c>
      <c r="AA248" s="6">
        <f t="shared" si="11"/>
        <v>17.234847166030772</v>
      </c>
      <c r="AB248" s="6">
        <f t="shared" si="11"/>
        <v>30.575780000000002</v>
      </c>
      <c r="AC248" s="6">
        <f t="shared" si="11"/>
        <v>9.8659700000000008</v>
      </c>
      <c r="AD248" s="6">
        <f t="shared" si="11"/>
        <v>0</v>
      </c>
      <c r="AE248" s="6">
        <f t="shared" si="11"/>
        <v>91.477909999999994</v>
      </c>
      <c r="AF248" s="6">
        <f t="shared" si="11"/>
        <v>24.459429999999998</v>
      </c>
      <c r="AG248" s="6">
        <f t="shared" si="11"/>
        <v>0.84000000000000008</v>
      </c>
      <c r="AH248" s="6">
        <f t="shared" si="11"/>
        <v>44.526160000000004</v>
      </c>
      <c r="AI248" s="6">
        <f t="shared" si="11"/>
        <v>15.974478198927834</v>
      </c>
      <c r="AJ248" s="6">
        <f t="shared" si="11"/>
        <v>31.625151895175257</v>
      </c>
      <c r="AK248" s="6">
        <f t="shared" si="11"/>
        <v>0</v>
      </c>
      <c r="AL248" s="6">
        <f t="shared" si="11"/>
        <v>11.96289</v>
      </c>
      <c r="AM248" s="6">
        <f t="shared" si="11"/>
        <v>96.236970747601916</v>
      </c>
      <c r="AN248" s="6">
        <f t="shared" si="11"/>
        <v>66.33023</v>
      </c>
      <c r="AO248" s="6">
        <f t="shared" si="11"/>
        <v>37.325780000000002</v>
      </c>
      <c r="AP248" s="6">
        <f t="shared" si="11"/>
        <v>79.821303315463922</v>
      </c>
      <c r="AQ248" s="6">
        <f t="shared" si="11"/>
        <v>163.1616952598763</v>
      </c>
      <c r="AR248" s="6">
        <f t="shared" si="11"/>
        <v>142.14738286247407</v>
      </c>
      <c r="AS248" s="6">
        <f t="shared" si="11"/>
        <v>16.45654</v>
      </c>
      <c r="AT248" s="6">
        <f t="shared" si="11"/>
        <v>9.9728899999999996</v>
      </c>
      <c r="AU248" s="6">
        <f t="shared" si="11"/>
        <v>38.577720000000006</v>
      </c>
      <c r="AX248" s="87">
        <f t="shared" si="9"/>
        <v>1424.1322688762268</v>
      </c>
      <c r="AY248" s="6">
        <f t="shared" si="10"/>
        <v>1851.4231534050657</v>
      </c>
    </row>
    <row r="249" spans="9:51">
      <c r="I249">
        <v>2010</v>
      </c>
      <c r="J249" t="s">
        <v>136</v>
      </c>
      <c r="L249" s="6">
        <f t="shared" ref="L249:AK249" si="12">SUMIFS(L$6:L$235,$I$6:$I$235,$I249,$H$6:$H$235,"ACT_BND",$A$6:$A$235,$J249)</f>
        <v>12.438956397855671</v>
      </c>
      <c r="M249" s="6">
        <f t="shared" si="12"/>
        <v>55.125970000000002</v>
      </c>
      <c r="N249" s="52">
        <f t="shared" si="12"/>
        <v>15.949619999999999</v>
      </c>
      <c r="O249" s="6">
        <f t="shared" si="12"/>
        <v>23.502510000000001</v>
      </c>
      <c r="P249" s="6">
        <f t="shared" si="12"/>
        <v>37.693086729402062</v>
      </c>
      <c r="Q249" s="6">
        <f t="shared" si="12"/>
        <v>32.482825300000002</v>
      </c>
      <c r="R249" s="6">
        <f t="shared" si="12"/>
        <v>0</v>
      </c>
      <c r="S249" s="6">
        <f t="shared" si="12"/>
        <v>31.123775532258136</v>
      </c>
      <c r="T249" s="6">
        <f t="shared" si="12"/>
        <v>156.00022999999999</v>
      </c>
      <c r="U249" s="6">
        <f t="shared" si="12"/>
        <v>12.43289</v>
      </c>
      <c r="V249" s="6">
        <f t="shared" si="12"/>
        <v>24.583080000000002</v>
      </c>
      <c r="W249" s="6">
        <f t="shared" si="12"/>
        <v>75.816010000000006</v>
      </c>
      <c r="X249" s="6">
        <f t="shared" si="12"/>
        <v>129.5</v>
      </c>
      <c r="Y249" s="6">
        <f t="shared" si="12"/>
        <v>299.46202</v>
      </c>
      <c r="Z249" s="6">
        <f t="shared" si="12"/>
        <v>16.359049999999996</v>
      </c>
      <c r="AA249" s="6">
        <f t="shared" si="12"/>
        <v>16.804847166030772</v>
      </c>
      <c r="AB249" s="6">
        <f t="shared" si="12"/>
        <v>30.375780000000006</v>
      </c>
      <c r="AC249" s="6">
        <f t="shared" si="12"/>
        <v>9.7459700000000016</v>
      </c>
      <c r="AD249" s="6">
        <f t="shared" si="12"/>
        <v>0</v>
      </c>
      <c r="AE249" s="6">
        <f t="shared" si="12"/>
        <v>90.947909999999993</v>
      </c>
      <c r="AF249" s="6">
        <f t="shared" si="12"/>
        <v>24.119430000000001</v>
      </c>
      <c r="AG249" s="6">
        <f t="shared" si="12"/>
        <v>0.88</v>
      </c>
      <c r="AH249" s="6">
        <f t="shared" si="12"/>
        <v>43.936160000000001</v>
      </c>
      <c r="AI249" s="6">
        <f t="shared" si="12"/>
        <v>16.304478198927836</v>
      </c>
      <c r="AJ249" s="6">
        <f t="shared" si="12"/>
        <v>31.785151895175261</v>
      </c>
      <c r="AK249" s="6">
        <f t="shared" si="12"/>
        <v>0</v>
      </c>
      <c r="AL249" s="6">
        <f t="shared" ref="M249:AU253" si="13">SUMIFS(AL$6:AL$235,$I$6:$I$235,$I249,$H$6:$H$235,"ACT_BND",$A$6:$A$235,$J249)</f>
        <v>11.432889999999999</v>
      </c>
      <c r="AM249" s="6">
        <f t="shared" si="13"/>
        <v>97.146970747601927</v>
      </c>
      <c r="AN249" s="6">
        <f t="shared" si="13"/>
        <v>66.69023</v>
      </c>
      <c r="AO249" s="6">
        <f t="shared" si="13"/>
        <v>36.525779999999997</v>
      </c>
      <c r="AP249" s="6">
        <f t="shared" si="13"/>
        <v>79.581303315463927</v>
      </c>
      <c r="AQ249" s="6">
        <f t="shared" si="13"/>
        <v>164.09169525987627</v>
      </c>
      <c r="AR249" s="6">
        <f t="shared" si="13"/>
        <v>189.06738286247406</v>
      </c>
      <c r="AS249" s="6">
        <f t="shared" si="13"/>
        <v>16.29654</v>
      </c>
      <c r="AT249" s="6">
        <f t="shared" si="13"/>
        <v>9.8428900000000006</v>
      </c>
      <c r="AU249" s="6">
        <f t="shared" si="13"/>
        <v>38.367720000000006</v>
      </c>
      <c r="AX249" s="87">
        <f t="shared" si="9"/>
        <v>1466.1022688762266</v>
      </c>
      <c r="AY249" s="6">
        <f t="shared" si="10"/>
        <v>1896.4131534050657</v>
      </c>
    </row>
    <row r="250" spans="9:51">
      <c r="I250">
        <v>2020</v>
      </c>
      <c r="J250" t="s">
        <v>136</v>
      </c>
      <c r="L250" s="6">
        <f>SUMIFS(L$6:L$235,$I$6:$I$235,$I250,$H$6:$H$235,"ACT_BND",$A$6:$A$235,$J250)</f>
        <v>10.43700818774262</v>
      </c>
      <c r="M250" s="6">
        <f t="shared" si="13"/>
        <v>53.301254999999998</v>
      </c>
      <c r="N250" s="52">
        <f t="shared" si="13"/>
        <v>19.248084942917821</v>
      </c>
      <c r="O250" s="6">
        <f t="shared" si="13"/>
        <v>18.592890000000001</v>
      </c>
      <c r="P250" s="6">
        <f t="shared" si="13"/>
        <v>35.231181677528134</v>
      </c>
      <c r="Q250" s="6">
        <f t="shared" si="13"/>
        <v>27.876214950000001</v>
      </c>
      <c r="R250" s="6">
        <f t="shared" si="13"/>
        <v>0</v>
      </c>
      <c r="S250" s="6">
        <f t="shared" si="13"/>
        <v>23.066266202713443</v>
      </c>
      <c r="T250" s="6">
        <f t="shared" si="13"/>
        <v>145.50992500000001</v>
      </c>
      <c r="U250" s="6">
        <f t="shared" si="13"/>
        <v>10.05308</v>
      </c>
      <c r="V250" s="6">
        <f t="shared" si="13"/>
        <v>25.409938598</v>
      </c>
      <c r="W250" s="6">
        <f t="shared" si="13"/>
        <v>55.066085000000001</v>
      </c>
      <c r="X250" s="6">
        <f t="shared" si="13"/>
        <v>155.9</v>
      </c>
      <c r="Y250" s="6">
        <f t="shared" si="13"/>
        <v>255.21216999999999</v>
      </c>
      <c r="Z250" s="6">
        <f t="shared" si="13"/>
        <v>11.667795</v>
      </c>
      <c r="AA250" s="6">
        <f t="shared" si="13"/>
        <v>14.336302427792729</v>
      </c>
      <c r="AB250" s="6">
        <f t="shared" si="13"/>
        <v>25.466160000000002</v>
      </c>
      <c r="AC250" s="6">
        <f t="shared" si="13"/>
        <v>5.9496199999999995</v>
      </c>
      <c r="AD250" s="6">
        <f t="shared" si="13"/>
        <v>0</v>
      </c>
      <c r="AE250" s="6">
        <f t="shared" si="13"/>
        <v>79.390495000000001</v>
      </c>
      <c r="AF250" s="6">
        <f t="shared" si="13"/>
        <v>20.286350000000002</v>
      </c>
      <c r="AG250" s="6">
        <f t="shared" si="13"/>
        <v>0.92999999999999994</v>
      </c>
      <c r="AH250" s="6">
        <f t="shared" si="13"/>
        <v>39.854714999999999</v>
      </c>
      <c r="AI250" s="6">
        <f t="shared" si="13"/>
        <v>16.798504093871312</v>
      </c>
      <c r="AJ250" s="6">
        <f t="shared" si="13"/>
        <v>28.148268422420898</v>
      </c>
      <c r="AK250" s="6">
        <f t="shared" si="13"/>
        <v>0</v>
      </c>
      <c r="AL250" s="6">
        <f t="shared" si="13"/>
        <v>7.9114450000000005</v>
      </c>
      <c r="AM250" s="6">
        <f t="shared" si="13"/>
        <v>76.80950388085779</v>
      </c>
      <c r="AN250" s="6">
        <f t="shared" si="13"/>
        <v>52.81156</v>
      </c>
      <c r="AO250" s="6">
        <f t="shared" si="13"/>
        <v>29.996159999999996</v>
      </c>
      <c r="AP250" s="6">
        <f t="shared" si="13"/>
        <v>63.491734897855174</v>
      </c>
      <c r="AQ250" s="6">
        <f t="shared" si="13"/>
        <v>134.67385926118496</v>
      </c>
      <c r="AR250" s="6">
        <f t="shared" si="13"/>
        <v>190.83876840545818</v>
      </c>
      <c r="AS250" s="6">
        <f t="shared" si="13"/>
        <v>15.173270000000002</v>
      </c>
      <c r="AT250" s="6">
        <f t="shared" si="13"/>
        <v>7.6430800000000003</v>
      </c>
      <c r="AU250" s="6">
        <f t="shared" si="13"/>
        <v>27.327034999999999</v>
      </c>
      <c r="AX250" s="87">
        <f t="shared" si="9"/>
        <v>1327.1071504747372</v>
      </c>
      <c r="AY250" s="6">
        <f t="shared" si="10"/>
        <v>1684.4087259483431</v>
      </c>
    </row>
    <row r="251" spans="9:51">
      <c r="I251">
        <v>2030</v>
      </c>
      <c r="J251" t="s">
        <v>136</v>
      </c>
      <c r="L251" s="6">
        <f>SUMIFS(L$6:L$235,$I$6:$I$235,$I251,$H$6:$H$235,"ACT_BND",$A$6:$A$235,$J251)</f>
        <v>10.218204499268557</v>
      </c>
      <c r="M251" s="6">
        <f t="shared" si="13"/>
        <v>55.662570600000002</v>
      </c>
      <c r="N251" s="52">
        <f t="shared" si="13"/>
        <v>17.745635969674552</v>
      </c>
      <c r="O251" s="6">
        <f t="shared" si="13"/>
        <v>18.62439724</v>
      </c>
      <c r="P251" s="6">
        <f t="shared" si="13"/>
        <v>36.668374915325685</v>
      </c>
      <c r="Q251" s="6">
        <f t="shared" si="13"/>
        <v>26.769959593999999</v>
      </c>
      <c r="R251" s="6">
        <f t="shared" si="13"/>
        <v>0</v>
      </c>
      <c r="S251" s="6">
        <f t="shared" si="13"/>
        <v>23.510467664515406</v>
      </c>
      <c r="T251" s="6">
        <f t="shared" si="13"/>
        <v>148.18129235999999</v>
      </c>
      <c r="U251" s="6">
        <f t="shared" si="13"/>
        <v>10.2553918</v>
      </c>
      <c r="V251" s="6">
        <f t="shared" si="13"/>
        <v>22.39466324</v>
      </c>
      <c r="W251" s="6">
        <f t="shared" si="13"/>
        <v>56.828512440000004</v>
      </c>
      <c r="X251" s="6">
        <f t="shared" si="13"/>
        <v>207.39999999999998</v>
      </c>
      <c r="Y251" s="6">
        <f t="shared" si="13"/>
        <v>259.30113744000005</v>
      </c>
      <c r="Z251" s="6">
        <f t="shared" si="13"/>
        <v>12.075087800000002</v>
      </c>
      <c r="AA251" s="6">
        <f t="shared" si="13"/>
        <v>14.124273390634249</v>
      </c>
      <c r="AB251" s="6">
        <f t="shared" si="13"/>
        <v>25.755866480000002</v>
      </c>
      <c r="AC251" s="6">
        <f t="shared" si="13"/>
        <v>6.0338603200000005</v>
      </c>
      <c r="AD251" s="6">
        <f t="shared" si="13"/>
        <v>0</v>
      </c>
      <c r="AE251" s="6">
        <f t="shared" si="13"/>
        <v>79.991734600000001</v>
      </c>
      <c r="AF251" s="6">
        <f t="shared" si="13"/>
        <v>20.433195640000001</v>
      </c>
      <c r="AG251" s="6">
        <f t="shared" si="13"/>
        <v>1.1275224399999999</v>
      </c>
      <c r="AH251" s="6">
        <f t="shared" si="13"/>
        <v>39.555226040000001</v>
      </c>
      <c r="AI251" s="6">
        <f t="shared" si="13"/>
        <v>26.444102249634277</v>
      </c>
      <c r="AJ251" s="6">
        <f t="shared" si="13"/>
        <v>29.163460123354255</v>
      </c>
      <c r="AK251" s="6">
        <f t="shared" si="13"/>
        <v>2.7330799999999999E-2</v>
      </c>
      <c r="AL251" s="6">
        <f t="shared" si="13"/>
        <v>7.2419560400000007</v>
      </c>
      <c r="AM251" s="6">
        <f t="shared" si="13"/>
        <v>75.945025048783009</v>
      </c>
      <c r="AN251" s="6">
        <f t="shared" si="13"/>
        <v>54.543220879999993</v>
      </c>
      <c r="AO251" s="6">
        <f t="shared" si="13"/>
        <v>29.92275012</v>
      </c>
      <c r="AP251" s="6">
        <f t="shared" si="13"/>
        <v>64.471704160571306</v>
      </c>
      <c r="AQ251" s="6">
        <f t="shared" si="13"/>
        <v>131.80264758101708</v>
      </c>
      <c r="AR251" s="6">
        <f t="shared" si="13"/>
        <v>201.5899157851494</v>
      </c>
      <c r="AS251" s="6">
        <f t="shared" si="13"/>
        <v>14.856935400000001</v>
      </c>
      <c r="AT251" s="6">
        <f t="shared" si="13"/>
        <v>7.9472564400000003</v>
      </c>
      <c r="AU251" s="6">
        <f t="shared" si="13"/>
        <v>27.61538788</v>
      </c>
      <c r="AX251" s="88">
        <f t="shared" si="9"/>
        <v>1399.601905090545</v>
      </c>
      <c r="AY251" s="6">
        <f t="shared" si="10"/>
        <v>1764.2290669819279</v>
      </c>
    </row>
    <row r="252" spans="9:51">
      <c r="I252">
        <v>2040</v>
      </c>
      <c r="J252" t="s">
        <v>136</v>
      </c>
      <c r="L252" s="6">
        <f>SUMIFS(L$6:L$235,$I$6:$I$235,$I252,$H$6:$H$235,"ACT_BND",$A$6:$A$235,$J252)</f>
        <v>11.198530046583887</v>
      </c>
      <c r="M252" s="6">
        <f t="shared" si="13"/>
        <v>55.596388000000005</v>
      </c>
      <c r="N252" s="52">
        <f t="shared" si="13"/>
        <v>17.78620758513345</v>
      </c>
      <c r="O252" s="6">
        <f t="shared" si="13"/>
        <v>16.403004000000003</v>
      </c>
      <c r="P252" s="6">
        <f t="shared" si="13"/>
        <v>39.828971752070466</v>
      </c>
      <c r="Q252" s="6">
        <f t="shared" si="13"/>
        <v>31.893130119999999</v>
      </c>
      <c r="R252" s="6">
        <f t="shared" si="13"/>
        <v>0</v>
      </c>
      <c r="S252" s="6">
        <f t="shared" si="13"/>
        <v>19.656769383720668</v>
      </c>
      <c r="T252" s="6">
        <f t="shared" si="13"/>
        <v>145.382092</v>
      </c>
      <c r="U252" s="6">
        <f t="shared" si="13"/>
        <v>10.025391800000001</v>
      </c>
      <c r="V252" s="6">
        <f t="shared" si="13"/>
        <v>18.97</v>
      </c>
      <c r="W252" s="6">
        <f t="shared" si="13"/>
        <v>55.588512440000002</v>
      </c>
      <c r="X252" s="6">
        <f t="shared" si="13"/>
        <v>208.89999999999998</v>
      </c>
      <c r="Y252" s="6">
        <f t="shared" si="13"/>
        <v>255.04113744000003</v>
      </c>
      <c r="Z252" s="6">
        <f t="shared" si="13"/>
        <v>11.915087800000002</v>
      </c>
      <c r="AA252" s="6">
        <f t="shared" si="13"/>
        <v>13.234137030988393</v>
      </c>
      <c r="AB252" s="6">
        <f t="shared" si="13"/>
        <v>25.245866479999997</v>
      </c>
      <c r="AC252" s="6">
        <f t="shared" si="13"/>
        <v>5.7838603200000005</v>
      </c>
      <c r="AD252" s="6">
        <f t="shared" si="13"/>
        <v>0</v>
      </c>
      <c r="AE252" s="6">
        <f t="shared" si="13"/>
        <v>78.731734599999996</v>
      </c>
      <c r="AF252" s="6">
        <f t="shared" si="13"/>
        <v>19.599751530448728</v>
      </c>
      <c r="AG252" s="6">
        <f t="shared" si="13"/>
        <v>1.189578596739747</v>
      </c>
      <c r="AH252" s="6">
        <f t="shared" si="13"/>
        <v>38.386693078937014</v>
      </c>
      <c r="AI252" s="6">
        <f t="shared" si="13"/>
        <v>33.034265023291944</v>
      </c>
      <c r="AJ252" s="6">
        <f t="shared" si="13"/>
        <v>30.794192604813745</v>
      </c>
      <c r="AK252" s="6">
        <f t="shared" si="13"/>
        <v>2.7330799999999999E-2</v>
      </c>
      <c r="AL252" s="6">
        <f t="shared" si="13"/>
        <v>6.2219560400000002</v>
      </c>
      <c r="AM252" s="6">
        <f t="shared" si="13"/>
        <v>85.019621203520558</v>
      </c>
      <c r="AN252" s="6">
        <f t="shared" si="13"/>
        <v>55.223220880000007</v>
      </c>
      <c r="AO252" s="6">
        <f t="shared" si="13"/>
        <v>27.962750120000003</v>
      </c>
      <c r="AP252" s="6">
        <f t="shared" si="13"/>
        <v>63.824417054865719</v>
      </c>
      <c r="AQ252" s="6">
        <f t="shared" si="13"/>
        <v>136.88367848084897</v>
      </c>
      <c r="AR252" s="6">
        <f t="shared" si="13"/>
        <v>211.56137213878714</v>
      </c>
      <c r="AS252" s="6">
        <f t="shared" si="13"/>
        <v>14.126935400000001</v>
      </c>
      <c r="AT252" s="6">
        <f t="shared" si="13"/>
        <v>7.7872564400000002</v>
      </c>
      <c r="AU252" s="6">
        <f t="shared" si="13"/>
        <v>27.195387879999998</v>
      </c>
      <c r="AX252" s="88">
        <f t="shared" si="9"/>
        <v>1384.1714509596213</v>
      </c>
      <c r="AY252" s="6">
        <f t="shared" si="10"/>
        <v>1780.0192280707506</v>
      </c>
    </row>
    <row r="253" spans="9:51">
      <c r="I253">
        <v>2050</v>
      </c>
      <c r="J253" t="s">
        <v>136</v>
      </c>
      <c r="L253" s="6">
        <f>SUMIFS(L$6:L$235,$I$6:$I$235,$I253,$H$6:$H$235,"ACT_BND",$A$6:$A$235,$J253)</f>
        <v>10.849103320823845</v>
      </c>
      <c r="M253" s="6">
        <f t="shared" si="13"/>
        <v>57.156388</v>
      </c>
      <c r="N253" s="52">
        <f t="shared" si="13"/>
        <v>17.86644785553872</v>
      </c>
      <c r="O253" s="6">
        <f t="shared" si="13"/>
        <v>15.813003999999999</v>
      </c>
      <c r="P253" s="6">
        <f t="shared" si="13"/>
        <v>37.750022754843712</v>
      </c>
      <c r="Q253" s="6">
        <f t="shared" si="13"/>
        <v>34.313130119999997</v>
      </c>
      <c r="R253" s="6">
        <f t="shared" si="13"/>
        <v>0</v>
      </c>
      <c r="S253" s="6">
        <f t="shared" si="13"/>
        <v>19.376843852274138</v>
      </c>
      <c r="T253" s="6">
        <f t="shared" si="13"/>
        <v>148.54209199999997</v>
      </c>
      <c r="U253" s="6">
        <f t="shared" si="13"/>
        <v>9.8353918</v>
      </c>
      <c r="V253" s="6">
        <f t="shared" si="13"/>
        <v>18.07</v>
      </c>
      <c r="W253" s="6">
        <f t="shared" si="13"/>
        <v>54.758512440000004</v>
      </c>
      <c r="X253" s="6">
        <f t="shared" si="13"/>
        <v>208.8</v>
      </c>
      <c r="Y253" s="6">
        <f t="shared" si="13"/>
        <v>251.89113743999999</v>
      </c>
      <c r="Z253" s="6">
        <f t="shared" si="13"/>
        <v>11.775087800000001</v>
      </c>
      <c r="AA253" s="6">
        <f t="shared" si="13"/>
        <v>12.373199006772392</v>
      </c>
      <c r="AB253" s="6">
        <f t="shared" si="13"/>
        <v>24.745866479999997</v>
      </c>
      <c r="AC253" s="6">
        <f t="shared" si="13"/>
        <v>5.43386032</v>
      </c>
      <c r="AD253" s="6">
        <f t="shared" si="13"/>
        <v>0</v>
      </c>
      <c r="AE253" s="6">
        <f t="shared" si="13"/>
        <v>77.551734600000003</v>
      </c>
      <c r="AF253" s="6">
        <f t="shared" si="13"/>
        <v>19.148623647613849</v>
      </c>
      <c r="AG253" s="6">
        <f t="shared" si="13"/>
        <v>1.2568363667258839</v>
      </c>
      <c r="AH253" s="6">
        <f t="shared" si="13"/>
        <v>37.23570848348124</v>
      </c>
      <c r="AI253" s="6">
        <f t="shared" si="13"/>
        <v>32.584551660411918</v>
      </c>
      <c r="AJ253" s="6">
        <f t="shared" si="13"/>
        <v>28.975482471853653</v>
      </c>
      <c r="AK253" s="6">
        <f t="shared" si="13"/>
        <v>2.7330799999999999E-2</v>
      </c>
      <c r="AL253" s="6">
        <f t="shared" si="13"/>
        <v>5.1319560400000004</v>
      </c>
      <c r="AM253" s="6">
        <f t="shared" si="13"/>
        <v>83.835197892568374</v>
      </c>
      <c r="AN253" s="6">
        <f t="shared" si="13"/>
        <v>55.823220879999994</v>
      </c>
      <c r="AO253" s="6">
        <f t="shared" si="13"/>
        <v>26.472750120000001</v>
      </c>
      <c r="AP253" s="6">
        <f t="shared" si="13"/>
        <v>63.359194340198712</v>
      </c>
      <c r="AQ253" s="6">
        <f t="shared" si="13"/>
        <v>125.19549384927551</v>
      </c>
      <c r="AR253" s="6">
        <f t="shared" si="13"/>
        <v>214.97887403659368</v>
      </c>
      <c r="AS253" s="6">
        <f t="shared" si="13"/>
        <v>12.7569354</v>
      </c>
      <c r="AT253" s="6">
        <f t="shared" si="13"/>
        <v>7.7372564399999995</v>
      </c>
      <c r="AU253" s="6">
        <f t="shared" si="13"/>
        <v>26.895387880000001</v>
      </c>
      <c r="AX253" s="88">
        <f t="shared" si="9"/>
        <v>1377.9182521491987</v>
      </c>
      <c r="AY253" s="6">
        <f t="shared" si="10"/>
        <v>1758.3166220989756</v>
      </c>
    </row>
    <row r="254" spans="9:51">
      <c r="AY254" s="6">
        <f t="shared" si="10"/>
        <v>0</v>
      </c>
    </row>
    <row r="255" spans="9:51">
      <c r="I255">
        <v>2005</v>
      </c>
      <c r="J255" t="s">
        <v>138</v>
      </c>
      <c r="L255" s="6">
        <f t="shared" ref="L255:AA260" si="14">SUMIFS(L$6:L$235,$I$6:$I$235,$I255,$H$6:$H$235,"ACT_BND",$A$6:$A$235,$J255)</f>
        <v>4.0737053131837664</v>
      </c>
      <c r="M255" s="6">
        <f t="shared" si="14"/>
        <v>34.465406130444372</v>
      </c>
      <c r="N255" s="52">
        <f t="shared" si="14"/>
        <v>77.778587986687995</v>
      </c>
      <c r="O255" s="6">
        <f t="shared" si="14"/>
        <v>35.954507591189255</v>
      </c>
      <c r="P255" s="6">
        <f t="shared" si="14"/>
        <v>3.917148566450928</v>
      </c>
      <c r="Q255" s="6">
        <f t="shared" si="14"/>
        <v>26.889869986954345</v>
      </c>
      <c r="R255" s="6">
        <f t="shared" si="14"/>
        <v>5.5332872904296622</v>
      </c>
      <c r="S255" s="6">
        <f t="shared" si="14"/>
        <v>95.378673636663521</v>
      </c>
      <c r="T255" s="6">
        <f t="shared" si="14"/>
        <v>414.31339940329218</v>
      </c>
      <c r="U255" s="6">
        <f t="shared" si="14"/>
        <v>90.406784292369309</v>
      </c>
      <c r="V255" s="6">
        <f t="shared" si="14"/>
        <v>13.937803602766214</v>
      </c>
      <c r="W255" s="6">
        <f t="shared" si="14"/>
        <v>190.75807898293311</v>
      </c>
      <c r="X255" s="6">
        <f t="shared" si="14"/>
        <v>25.4</v>
      </c>
      <c r="Y255" s="6">
        <f t="shared" si="14"/>
        <v>533.39254445275537</v>
      </c>
      <c r="Z255" s="6">
        <f t="shared" si="14"/>
        <v>23.787134752239627</v>
      </c>
      <c r="AA255" s="6">
        <f t="shared" si="14"/>
        <v>13.199841609582974</v>
      </c>
      <c r="AB255" s="6">
        <f t="shared" ref="M255:AU260" si="15">SUMIFS(AB$6:AB$235,$I$6:$I$235,$I255,$H$6:$H$235,"ACT_BND",$A$6:$A$235,$J255)</f>
        <v>127.29689683565447</v>
      </c>
      <c r="AC255" s="6">
        <f t="shared" si="15"/>
        <v>19.298381970836918</v>
      </c>
      <c r="AD255" s="6">
        <f t="shared" si="15"/>
        <v>0.73088547597736386</v>
      </c>
      <c r="AE255" s="6">
        <f t="shared" si="15"/>
        <v>204.21179506706446</v>
      </c>
      <c r="AF255" s="6">
        <f t="shared" si="15"/>
        <v>26.523307304292377</v>
      </c>
      <c r="AG255" s="6">
        <f t="shared" si="15"/>
        <v>2.7007183910526487</v>
      </c>
      <c r="AH255" s="6">
        <f t="shared" si="15"/>
        <v>14.710661300355996</v>
      </c>
      <c r="AI255" s="6">
        <f t="shared" si="15"/>
        <v>0.33173624335027807</v>
      </c>
      <c r="AJ255" s="6">
        <f t="shared" si="15"/>
        <v>2.6734515070430063</v>
      </c>
      <c r="AK255" s="6">
        <f t="shared" si="15"/>
        <v>17.082853337614853</v>
      </c>
      <c r="AL255" s="6">
        <f t="shared" si="15"/>
        <v>93.374860214068732</v>
      </c>
      <c r="AM255" s="6">
        <f t="shared" si="15"/>
        <v>24.145397077041206</v>
      </c>
      <c r="AN255" s="6">
        <f t="shared" si="15"/>
        <v>184.49113751146319</v>
      </c>
      <c r="AO255" s="6">
        <f t="shared" si="15"/>
        <v>37.335238613887093</v>
      </c>
      <c r="AP255" s="6">
        <f t="shared" si="15"/>
        <v>84.78897499851081</v>
      </c>
      <c r="AQ255" s="6">
        <f t="shared" si="15"/>
        <v>34.997731589405518</v>
      </c>
      <c r="AR255" s="6">
        <f t="shared" si="15"/>
        <v>59.244395687130975</v>
      </c>
      <c r="AS255" s="6">
        <f t="shared" si="15"/>
        <v>3.1014008214464743</v>
      </c>
      <c r="AT255" s="6">
        <f t="shared" si="15"/>
        <v>32.100113847826293</v>
      </c>
      <c r="AU255" s="6">
        <f t="shared" si="15"/>
        <v>242.90248859274178</v>
      </c>
      <c r="AX255" s="87">
        <f t="shared" si="9"/>
        <v>2460.5667856325595</v>
      </c>
      <c r="AY255" s="6">
        <f t="shared" si="10"/>
        <v>2801.229199984708</v>
      </c>
    </row>
    <row r="256" spans="9:51">
      <c r="I256">
        <v>2010</v>
      </c>
      <c r="J256" t="s">
        <v>138</v>
      </c>
      <c r="L256" s="6">
        <f t="shared" si="14"/>
        <v>4.0737053131837664</v>
      </c>
      <c r="M256" s="6">
        <f t="shared" si="15"/>
        <v>34.465406130444372</v>
      </c>
      <c r="N256" s="52">
        <f t="shared" si="15"/>
        <v>77.778587986687995</v>
      </c>
      <c r="O256" s="6">
        <f t="shared" si="15"/>
        <v>35.954507591189255</v>
      </c>
      <c r="P256" s="6">
        <f t="shared" si="15"/>
        <v>3.917148566450928</v>
      </c>
      <c r="Q256" s="6">
        <f t="shared" si="15"/>
        <v>26.889869986954345</v>
      </c>
      <c r="R256" s="6">
        <f t="shared" si="15"/>
        <v>5.5332872904296622</v>
      </c>
      <c r="S256" s="6">
        <f t="shared" si="15"/>
        <v>95.378673636663521</v>
      </c>
      <c r="T256" s="6">
        <f t="shared" si="15"/>
        <v>414.31339940329218</v>
      </c>
      <c r="U256" s="6">
        <f t="shared" si="15"/>
        <v>90.406784292369309</v>
      </c>
      <c r="V256" s="6">
        <f t="shared" si="15"/>
        <v>13.937803602766214</v>
      </c>
      <c r="W256" s="6">
        <f t="shared" si="15"/>
        <v>190.75807898293311</v>
      </c>
      <c r="X256" s="6">
        <f t="shared" si="15"/>
        <v>25.7</v>
      </c>
      <c r="Y256" s="6">
        <f t="shared" si="15"/>
        <v>533.39254445275537</v>
      </c>
      <c r="Z256" s="6">
        <f t="shared" si="15"/>
        <v>23.787134752239627</v>
      </c>
      <c r="AA256" s="6">
        <f t="shared" si="15"/>
        <v>13.199841609582974</v>
      </c>
      <c r="AB256" s="6">
        <f t="shared" si="15"/>
        <v>127.29689683565447</v>
      </c>
      <c r="AC256" s="6">
        <f t="shared" si="15"/>
        <v>19.298381970836918</v>
      </c>
      <c r="AD256" s="6">
        <f t="shared" si="15"/>
        <v>0.73088547597736386</v>
      </c>
      <c r="AE256" s="6">
        <f t="shared" si="15"/>
        <v>204.21179506706446</v>
      </c>
      <c r="AF256" s="6">
        <f t="shared" si="15"/>
        <v>26.523307304292377</v>
      </c>
      <c r="AG256" s="6">
        <f t="shared" si="15"/>
        <v>2.7007183910526487</v>
      </c>
      <c r="AH256" s="6">
        <f t="shared" si="15"/>
        <v>14.710661300355996</v>
      </c>
      <c r="AI256" s="6">
        <f t="shared" si="15"/>
        <v>0.33173624335027807</v>
      </c>
      <c r="AJ256" s="6">
        <f t="shared" si="15"/>
        <v>2.6734515070430063</v>
      </c>
      <c r="AK256" s="6">
        <f t="shared" si="15"/>
        <v>17.082853337614853</v>
      </c>
      <c r="AL256" s="6">
        <f t="shared" si="15"/>
        <v>93.374860214068732</v>
      </c>
      <c r="AM256" s="6">
        <f t="shared" si="15"/>
        <v>24.145397077041206</v>
      </c>
      <c r="AN256" s="6">
        <f t="shared" si="15"/>
        <v>184.49113751146319</v>
      </c>
      <c r="AO256" s="6">
        <f t="shared" si="15"/>
        <v>37.335238613887093</v>
      </c>
      <c r="AP256" s="6">
        <f t="shared" si="15"/>
        <v>84.78897499851081</v>
      </c>
      <c r="AQ256" s="6">
        <f t="shared" si="15"/>
        <v>34.997731589405518</v>
      </c>
      <c r="AR256" s="6">
        <f t="shared" si="15"/>
        <v>59.244395687130975</v>
      </c>
      <c r="AS256" s="6">
        <f t="shared" si="15"/>
        <v>3.1014008214464743</v>
      </c>
      <c r="AT256" s="6">
        <f t="shared" si="15"/>
        <v>32.100113847826293</v>
      </c>
      <c r="AU256" s="6">
        <f t="shared" si="15"/>
        <v>242.90248859274178</v>
      </c>
      <c r="AX256" s="87">
        <f t="shared" si="9"/>
        <v>2460.8667856325587</v>
      </c>
      <c r="AY256" s="6">
        <f t="shared" si="10"/>
        <v>2801.5291999847072</v>
      </c>
    </row>
    <row r="257" spans="9:51">
      <c r="I257">
        <v>2020</v>
      </c>
      <c r="J257" t="s">
        <v>138</v>
      </c>
      <c r="L257" s="6">
        <f t="shared" si="14"/>
        <v>4.4455868149327715</v>
      </c>
      <c r="M257" s="6">
        <f t="shared" si="15"/>
        <v>35.10347958283311</v>
      </c>
      <c r="N257" s="52">
        <f t="shared" si="15"/>
        <v>81.345729476923992</v>
      </c>
      <c r="O257" s="6">
        <f t="shared" si="15"/>
        <v>39.229904353106143</v>
      </c>
      <c r="P257" s="6">
        <f t="shared" si="15"/>
        <v>4.3735817226652669</v>
      </c>
      <c r="Q257" s="6">
        <f t="shared" si="15"/>
        <v>29.286954634257654</v>
      </c>
      <c r="R257" s="6">
        <f t="shared" si="15"/>
        <v>5.9138741356239715</v>
      </c>
      <c r="S257" s="6">
        <f t="shared" si="15"/>
        <v>89.682527606977729</v>
      </c>
      <c r="T257" s="6">
        <f t="shared" si="15"/>
        <v>427.13994406314617</v>
      </c>
      <c r="U257" s="6">
        <f t="shared" si="15"/>
        <v>90.068005376192261</v>
      </c>
      <c r="V257" s="6">
        <f t="shared" si="15"/>
        <v>13.815295681471083</v>
      </c>
      <c r="W257" s="6">
        <f t="shared" si="15"/>
        <v>214.78537812535205</v>
      </c>
      <c r="X257" s="6">
        <f t="shared" si="15"/>
        <v>29.799999999999997</v>
      </c>
      <c r="Y257" s="6">
        <f t="shared" si="15"/>
        <v>552.13106862254506</v>
      </c>
      <c r="Z257" s="6">
        <f t="shared" si="15"/>
        <v>28.628385478782601</v>
      </c>
      <c r="AA257" s="6">
        <f t="shared" si="15"/>
        <v>13.011072582814567</v>
      </c>
      <c r="AB257" s="6">
        <f t="shared" si="15"/>
        <v>120.01672651213141</v>
      </c>
      <c r="AC257" s="6">
        <f t="shared" si="15"/>
        <v>19.759276613035521</v>
      </c>
      <c r="AD257" s="6">
        <f t="shared" si="15"/>
        <v>0.86717707691721413</v>
      </c>
      <c r="AE257" s="6">
        <f t="shared" si="15"/>
        <v>210.51370985207868</v>
      </c>
      <c r="AF257" s="6">
        <f t="shared" si="15"/>
        <v>27.98089706494163</v>
      </c>
      <c r="AG257" s="6">
        <f t="shared" si="15"/>
        <v>1.9410875100684928</v>
      </c>
      <c r="AH257" s="6">
        <f t="shared" si="15"/>
        <v>16.327594327566349</v>
      </c>
      <c r="AI257" s="6">
        <f t="shared" si="15"/>
        <v>0.37902761327163231</v>
      </c>
      <c r="AJ257" s="6">
        <f t="shared" si="15"/>
        <v>2.721614977934625</v>
      </c>
      <c r="AK257" s="6">
        <f t="shared" si="15"/>
        <v>3.774402437242887</v>
      </c>
      <c r="AL257" s="6">
        <f t="shared" si="15"/>
        <v>96.453410181834329</v>
      </c>
      <c r="AM257" s="6">
        <f t="shared" si="15"/>
        <v>25.418543131548198</v>
      </c>
      <c r="AN257" s="6">
        <f t="shared" si="15"/>
        <v>192.99901633375165</v>
      </c>
      <c r="AO257" s="6">
        <f t="shared" si="15"/>
        <v>38.903597165155588</v>
      </c>
      <c r="AP257" s="6">
        <f t="shared" si="15"/>
        <v>84.507078473176847</v>
      </c>
      <c r="AQ257" s="6">
        <f t="shared" si="15"/>
        <v>38.753377412126149</v>
      </c>
      <c r="AR257" s="6">
        <f t="shared" si="15"/>
        <v>59.158863128163077</v>
      </c>
      <c r="AS257" s="6">
        <f t="shared" si="15"/>
        <v>3.3454633331171753</v>
      </c>
      <c r="AT257" s="6">
        <f t="shared" si="15"/>
        <v>31.143047312745356</v>
      </c>
      <c r="AU257" s="6">
        <f t="shared" si="15"/>
        <v>234.87729801265138</v>
      </c>
      <c r="AX257" s="87">
        <f t="shared" si="9"/>
        <v>2527.4788353307777</v>
      </c>
      <c r="AY257" s="6">
        <f t="shared" si="10"/>
        <v>2868.6019967270822</v>
      </c>
    </row>
    <row r="258" spans="9:51">
      <c r="I258">
        <v>2030</v>
      </c>
      <c r="J258" t="s">
        <v>138</v>
      </c>
      <c r="L258" s="6">
        <f t="shared" si="14"/>
        <v>4.7041169046126763</v>
      </c>
      <c r="M258" s="6">
        <f t="shared" si="15"/>
        <v>37.847306290725456</v>
      </c>
      <c r="N258" s="52">
        <f t="shared" si="15"/>
        <v>91.841160573868152</v>
      </c>
      <c r="O258" s="6">
        <f t="shared" si="15"/>
        <v>38.949462961709948</v>
      </c>
      <c r="P258" s="6">
        <f t="shared" si="15"/>
        <v>4.3839076877707344</v>
      </c>
      <c r="Q258" s="6">
        <f t="shared" si="15"/>
        <v>33.068428412739507</v>
      </c>
      <c r="R258" s="6">
        <f t="shared" si="15"/>
        <v>6.3780309429987616</v>
      </c>
      <c r="S258" s="6">
        <f t="shared" si="15"/>
        <v>86.178178925521181</v>
      </c>
      <c r="T258" s="6">
        <f t="shared" si="15"/>
        <v>432.5618293410389</v>
      </c>
      <c r="U258" s="6">
        <f t="shared" si="15"/>
        <v>92.040452257316701</v>
      </c>
      <c r="V258" s="6">
        <f t="shared" si="15"/>
        <v>15.340060187732814</v>
      </c>
      <c r="W258" s="6">
        <f t="shared" si="15"/>
        <v>226.54358214620171</v>
      </c>
      <c r="X258" s="6">
        <f t="shared" si="15"/>
        <v>34.799999999999997</v>
      </c>
      <c r="Y258" s="6">
        <f t="shared" si="15"/>
        <v>556.84470645706801</v>
      </c>
      <c r="Z258" s="6">
        <f t="shared" si="15"/>
        <v>30.698164129447356</v>
      </c>
      <c r="AA258" s="6">
        <f t="shared" si="15"/>
        <v>12.359102233271885</v>
      </c>
      <c r="AB258" s="6">
        <f t="shared" si="15"/>
        <v>118.61751413755623</v>
      </c>
      <c r="AC258" s="6">
        <f t="shared" si="15"/>
        <v>20.381193625802556</v>
      </c>
      <c r="AD258" s="6">
        <f t="shared" si="15"/>
        <v>1.026839831902703</v>
      </c>
      <c r="AE258" s="6">
        <f t="shared" si="15"/>
        <v>214.88301646056374</v>
      </c>
      <c r="AF258" s="6">
        <f t="shared" si="15"/>
        <v>29.033904400263083</v>
      </c>
      <c r="AG258" s="6">
        <f t="shared" si="15"/>
        <v>1.9799673226533847</v>
      </c>
      <c r="AH258" s="6">
        <f t="shared" si="15"/>
        <v>16.58422515284154</v>
      </c>
      <c r="AI258" s="6">
        <f t="shared" si="15"/>
        <v>0.38106521157637435</v>
      </c>
      <c r="AJ258" s="6">
        <f t="shared" si="15"/>
        <v>2.9792038994278669</v>
      </c>
      <c r="AK258" s="6">
        <f t="shared" si="15"/>
        <v>4.4698595062817912</v>
      </c>
      <c r="AL258" s="6">
        <f t="shared" si="15"/>
        <v>104.77219915990651</v>
      </c>
      <c r="AM258" s="6">
        <f t="shared" si="15"/>
        <v>29.022825108561825</v>
      </c>
      <c r="AN258" s="6">
        <f t="shared" si="15"/>
        <v>191.72481907429545</v>
      </c>
      <c r="AO258" s="6">
        <f t="shared" si="15"/>
        <v>43.765058233902806</v>
      </c>
      <c r="AP258" s="6">
        <f t="shared" si="15"/>
        <v>89.327123388417064</v>
      </c>
      <c r="AQ258" s="6">
        <f t="shared" si="15"/>
        <v>43.156551464187622</v>
      </c>
      <c r="AR258" s="6">
        <f t="shared" si="15"/>
        <v>61.926668817033068</v>
      </c>
      <c r="AS258" s="6">
        <f t="shared" si="15"/>
        <v>3.425978297783657</v>
      </c>
      <c r="AT258" s="6">
        <f t="shared" si="15"/>
        <v>30.910511125421856</v>
      </c>
      <c r="AU258" s="6">
        <f t="shared" si="15"/>
        <v>244.8279050461247</v>
      </c>
      <c r="AX258" s="88">
        <f t="shared" si="9"/>
        <v>2594.1840751496234</v>
      </c>
      <c r="AY258" s="6">
        <f t="shared" si="10"/>
        <v>2957.7349187165273</v>
      </c>
    </row>
    <row r="259" spans="9:51">
      <c r="I259">
        <v>2040</v>
      </c>
      <c r="J259" t="s">
        <v>138</v>
      </c>
      <c r="L259" s="6">
        <f t="shared" si="14"/>
        <v>4.9368383966839975</v>
      </c>
      <c r="M259" s="6">
        <f t="shared" si="15"/>
        <v>40.184330981929804</v>
      </c>
      <c r="N259" s="52">
        <f t="shared" si="15"/>
        <v>104.07690986177009</v>
      </c>
      <c r="O259" s="6">
        <f t="shared" si="15"/>
        <v>36.945847676619522</v>
      </c>
      <c r="P259" s="6">
        <f t="shared" si="15"/>
        <v>4.5397710790184744</v>
      </c>
      <c r="Q259" s="6">
        <f t="shared" si="15"/>
        <v>37.786996050177116</v>
      </c>
      <c r="R259" s="6">
        <f t="shared" si="15"/>
        <v>6.9387087026905778</v>
      </c>
      <c r="S259" s="6">
        <f t="shared" si="15"/>
        <v>84.253257074206047</v>
      </c>
      <c r="T259" s="6">
        <f t="shared" si="15"/>
        <v>438.62817362506439</v>
      </c>
      <c r="U259" s="6">
        <f t="shared" si="15"/>
        <v>92.859054749427585</v>
      </c>
      <c r="V259" s="6">
        <f t="shared" si="15"/>
        <v>16.639221645270332</v>
      </c>
      <c r="W259" s="6">
        <f t="shared" si="15"/>
        <v>232.54915975548948</v>
      </c>
      <c r="X259" s="6">
        <f t="shared" si="15"/>
        <v>41.4</v>
      </c>
      <c r="Y259" s="6">
        <f t="shared" si="15"/>
        <v>558.54326697815338</v>
      </c>
      <c r="Z259" s="6">
        <f t="shared" si="15"/>
        <v>31.565294968267395</v>
      </c>
      <c r="AA259" s="6">
        <f t="shared" si="15"/>
        <v>11.379056457675539</v>
      </c>
      <c r="AB259" s="6">
        <f t="shared" si="15"/>
        <v>120.64222561846297</v>
      </c>
      <c r="AC259" s="6">
        <f t="shared" si="15"/>
        <v>20.730298586449614</v>
      </c>
      <c r="AD259" s="6">
        <f t="shared" si="15"/>
        <v>1.1769899547523672</v>
      </c>
      <c r="AE259" s="6">
        <f t="shared" si="15"/>
        <v>216.89631336619445</v>
      </c>
      <c r="AF259" s="6">
        <f t="shared" si="15"/>
        <v>32.66649387844511</v>
      </c>
      <c r="AG259" s="6">
        <f t="shared" si="15"/>
        <v>2.0404911826407224</v>
      </c>
      <c r="AH259" s="6">
        <f t="shared" si="15"/>
        <v>16.404755485892242</v>
      </c>
      <c r="AI259" s="6">
        <f t="shared" si="15"/>
        <v>0.38956075239862897</v>
      </c>
      <c r="AJ259" s="6">
        <f t="shared" si="15"/>
        <v>3.3523550619374332</v>
      </c>
      <c r="AK259" s="6">
        <f t="shared" si="15"/>
        <v>5.0745792802926717</v>
      </c>
      <c r="AL259" s="6">
        <f t="shared" si="15"/>
        <v>113.50993640731221</v>
      </c>
      <c r="AM259" s="6">
        <f t="shared" si="15"/>
        <v>35.233097182706423</v>
      </c>
      <c r="AN259" s="6">
        <f t="shared" si="15"/>
        <v>195.4787518721314</v>
      </c>
      <c r="AO259" s="6">
        <f t="shared" si="15"/>
        <v>46.480786357236056</v>
      </c>
      <c r="AP259" s="6">
        <f t="shared" si="15"/>
        <v>91.197210269309622</v>
      </c>
      <c r="AQ259" s="6">
        <f t="shared" si="15"/>
        <v>52.171444057696426</v>
      </c>
      <c r="AR259" s="6">
        <f t="shared" si="15"/>
        <v>66.790962454068605</v>
      </c>
      <c r="AS259" s="6">
        <f t="shared" si="15"/>
        <v>3.5410825276048588</v>
      </c>
      <c r="AT259" s="6">
        <f t="shared" si="15"/>
        <v>30.583306088826593</v>
      </c>
      <c r="AU259" s="6">
        <f t="shared" si="15"/>
        <v>247.41383893909813</v>
      </c>
      <c r="AX259" s="88">
        <f t="shared" si="9"/>
        <v>2657.9994758514317</v>
      </c>
      <c r="AY259" s="6">
        <f t="shared" si="10"/>
        <v>3045.0003673259007</v>
      </c>
    </row>
    <row r="260" spans="9:51">
      <c r="I260">
        <v>2050</v>
      </c>
      <c r="J260" t="s">
        <v>138</v>
      </c>
      <c r="L260" s="6">
        <f t="shared" si="14"/>
        <v>4.4927925815693506</v>
      </c>
      <c r="M260" s="6">
        <f t="shared" si="15"/>
        <v>42.776607717797816</v>
      </c>
      <c r="N260" s="52">
        <f t="shared" si="15"/>
        <v>119.12315327992535</v>
      </c>
      <c r="O260" s="6">
        <f t="shared" si="15"/>
        <v>34.994857641885403</v>
      </c>
      <c r="P260" s="6">
        <f t="shared" si="15"/>
        <v>4.6956344702662136</v>
      </c>
      <c r="Q260" s="6">
        <f t="shared" si="15"/>
        <v>42.353723292851299</v>
      </c>
      <c r="R260" s="6">
        <f t="shared" si="15"/>
        <v>7.585845671669059</v>
      </c>
      <c r="S260" s="6">
        <f t="shared" si="15"/>
        <v>82.404192070403582</v>
      </c>
      <c r="T260" s="6">
        <f t="shared" si="15"/>
        <v>443.62563996877617</v>
      </c>
      <c r="U260" s="6">
        <f t="shared" si="15"/>
        <v>94.220002613461716</v>
      </c>
      <c r="V260" s="6">
        <f t="shared" si="15"/>
        <v>18.011859503672554</v>
      </c>
      <c r="W260" s="6">
        <f t="shared" si="15"/>
        <v>239.24395643884549</v>
      </c>
      <c r="X260" s="6">
        <f t="shared" si="15"/>
        <v>45.5</v>
      </c>
      <c r="Y260" s="6">
        <f t="shared" si="15"/>
        <v>562.65974910640466</v>
      </c>
      <c r="Z260" s="6">
        <f t="shared" si="15"/>
        <v>32.647210904381694</v>
      </c>
      <c r="AA260" s="6">
        <f t="shared" si="15"/>
        <v>10.931930575186236</v>
      </c>
      <c r="AB260" s="6">
        <f t="shared" si="15"/>
        <v>122.89563255866071</v>
      </c>
      <c r="AC260" s="6">
        <f t="shared" si="15"/>
        <v>21.179548135861467</v>
      </c>
      <c r="AD260" s="6">
        <f t="shared" si="15"/>
        <v>1.2904160784007797</v>
      </c>
      <c r="AE260" s="6">
        <f t="shared" si="15"/>
        <v>219.52567314136243</v>
      </c>
      <c r="AF260" s="6">
        <f t="shared" si="15"/>
        <v>36.331516894305111</v>
      </c>
      <c r="AG260" s="6">
        <f t="shared" si="15"/>
        <v>2.1009344288329048</v>
      </c>
      <c r="AH260" s="6">
        <f t="shared" si="15"/>
        <v>16.232882187233759</v>
      </c>
      <c r="AI260" s="6">
        <f t="shared" si="15"/>
        <v>0.39805629322088365</v>
      </c>
      <c r="AJ260" s="6">
        <f t="shared" si="15"/>
        <v>3.854679457920184</v>
      </c>
      <c r="AK260" s="6">
        <f t="shared" si="15"/>
        <v>5.7694469905835266</v>
      </c>
      <c r="AL260" s="6">
        <f t="shared" si="15"/>
        <v>123.46835331414276</v>
      </c>
      <c r="AM260" s="6">
        <f t="shared" si="15"/>
        <v>44.238652299852561</v>
      </c>
      <c r="AN260" s="6">
        <f t="shared" si="15"/>
        <v>200.03326150261506</v>
      </c>
      <c r="AO260" s="6">
        <f t="shared" si="15"/>
        <v>49.568333882298504</v>
      </c>
      <c r="AP260" s="6">
        <f t="shared" si="15"/>
        <v>93.128039764919649</v>
      </c>
      <c r="AQ260" s="6">
        <f t="shared" si="15"/>
        <v>63.849757554991157</v>
      </c>
      <c r="AR260" s="6">
        <f t="shared" si="15"/>
        <v>71.745212222183383</v>
      </c>
      <c r="AS260" s="6">
        <f t="shared" si="15"/>
        <v>3.6700983320540761</v>
      </c>
      <c r="AT260" s="6">
        <f t="shared" si="15"/>
        <v>30.322344963474446</v>
      </c>
      <c r="AU260" s="6">
        <f t="shared" si="15"/>
        <v>250.51417667231965</v>
      </c>
      <c r="AX260" s="88">
        <f t="shared" si="9"/>
        <v>2729.696283810938</v>
      </c>
      <c r="AY260" s="6">
        <f t="shared" si="10"/>
        <v>3145.3841725123302</v>
      </c>
    </row>
    <row r="261" spans="9:51">
      <c r="L261" s="6"/>
      <c r="AX261" s="88">
        <f t="shared" si="9"/>
        <v>0</v>
      </c>
      <c r="AY261" s="6">
        <f t="shared" si="10"/>
        <v>0</v>
      </c>
    </row>
    <row r="262" spans="9:51">
      <c r="L262" s="6"/>
      <c r="AX262" s="88">
        <f t="shared" si="9"/>
        <v>0</v>
      </c>
      <c r="AY262" s="6">
        <f t="shared" si="10"/>
        <v>0</v>
      </c>
    </row>
    <row r="263" spans="9:51">
      <c r="I263">
        <v>2005</v>
      </c>
      <c r="J263" t="s">
        <v>140</v>
      </c>
      <c r="L263" s="6">
        <f>SUMIFS(L$6:L$235,$I$6:$I$235,$I263,$H$6:$H$235,"ACT_BND",$B$6:$B$235,$J263)</f>
        <v>2.8811537308633848</v>
      </c>
      <c r="M263" s="6">
        <f>SUMIFS(M$6:M$235,$I$6:$I$235,$I263,$H$6:$H$235,"ACT_BND",$B$6:$B$235,$J263)</f>
        <v>12.623199630959222</v>
      </c>
      <c r="N263" s="52">
        <f t="shared" ref="N263:AU270" si="16">SUMIFS(N$6:N$235,$I$6:$I$235,$I263,$H$6:$H$235,"ACT_BND",$B$6:$B$235,$J263)</f>
        <v>70.420099486965285</v>
      </c>
      <c r="O263" s="6">
        <f t="shared" si="16"/>
        <v>8.662311010503446</v>
      </c>
      <c r="P263" s="6">
        <f t="shared" si="16"/>
        <v>1.6140905284960574</v>
      </c>
      <c r="Q263" s="6">
        <f t="shared" si="16"/>
        <v>22.476149972821101</v>
      </c>
      <c r="R263" s="6">
        <f t="shared" si="16"/>
        <v>5.2418321287855596</v>
      </c>
      <c r="S263" s="6">
        <f t="shared" si="16"/>
        <v>58.615199174203802</v>
      </c>
      <c r="T263" s="6">
        <f t="shared" si="16"/>
        <v>212.04656198120105</v>
      </c>
      <c r="U263" s="6">
        <f t="shared" si="16"/>
        <v>61.369392631435133</v>
      </c>
      <c r="V263" s="6">
        <f t="shared" si="16"/>
        <v>10.539860128061868</v>
      </c>
      <c r="W263" s="6">
        <f t="shared" si="16"/>
        <v>111.14890239550017</v>
      </c>
      <c r="X263" s="6">
        <f t="shared" si="16"/>
        <v>10.9</v>
      </c>
      <c r="Y263" s="6">
        <f t="shared" si="16"/>
        <v>321.6058556235551</v>
      </c>
      <c r="Z263" s="6">
        <f t="shared" si="16"/>
        <v>9.7634846879674289</v>
      </c>
      <c r="AA263" s="6">
        <f t="shared" si="16"/>
        <v>3.3218148878901617</v>
      </c>
      <c r="AB263" s="6">
        <f t="shared" si="16"/>
        <v>79.054556850623896</v>
      </c>
      <c r="AC263" s="6">
        <f t="shared" si="16"/>
        <v>19.056264875639275</v>
      </c>
      <c r="AD263" s="6">
        <f t="shared" si="16"/>
        <v>0.73088547597736386</v>
      </c>
      <c r="AE263" s="6">
        <f t="shared" si="16"/>
        <v>142.53798196890611</v>
      </c>
      <c r="AF263" s="6">
        <f t="shared" si="16"/>
        <v>11.749499283400599</v>
      </c>
      <c r="AG263" s="6">
        <f t="shared" si="16"/>
        <v>2.3278776091067415</v>
      </c>
      <c r="AH263" s="6">
        <f t="shared" si="16"/>
        <v>7.7254024265397989</v>
      </c>
      <c r="AI263" s="6">
        <f t="shared" si="16"/>
        <v>0.24923990453185182</v>
      </c>
      <c r="AJ263" s="6">
        <f t="shared" si="16"/>
        <v>1.1750709914576256</v>
      </c>
      <c r="AK263" s="6">
        <f t="shared" si="16"/>
        <v>10.196381742442446</v>
      </c>
      <c r="AL263" s="6">
        <f t="shared" si="16"/>
        <v>87.646100321084319</v>
      </c>
      <c r="AM263" s="6">
        <f t="shared" si="16"/>
        <v>18.22145477446513</v>
      </c>
      <c r="AN263" s="6">
        <f t="shared" si="16"/>
        <v>81.291073407415823</v>
      </c>
      <c r="AO263" s="6">
        <f t="shared" si="16"/>
        <v>31.497783335851192</v>
      </c>
      <c r="AP263" s="6">
        <f t="shared" si="16"/>
        <v>27.778102706775716</v>
      </c>
      <c r="AQ263" s="6">
        <f t="shared" si="16"/>
        <v>15.124676178567826</v>
      </c>
      <c r="AR263" s="6">
        <f t="shared" si="16"/>
        <v>39.16596853921952</v>
      </c>
      <c r="AS263" s="6">
        <f t="shared" si="16"/>
        <v>2.3041872258269085</v>
      </c>
      <c r="AT263" s="6">
        <f t="shared" si="16"/>
        <v>18.742929457465621</v>
      </c>
      <c r="AU263" s="6">
        <f t="shared" si="16"/>
        <v>171.56807896133458</v>
      </c>
      <c r="AX263" s="88">
        <f t="shared" si="9"/>
        <v>1457.3326235173261</v>
      </c>
      <c r="AY263" s="6">
        <f t="shared" si="10"/>
        <v>1691.373424035841</v>
      </c>
    </row>
    <row r="264" spans="9:51">
      <c r="I264">
        <v>2010</v>
      </c>
      <c r="J264" t="s">
        <v>140</v>
      </c>
      <c r="L264" s="6">
        <f t="shared" ref="L264:AA279" si="17">SUMIFS(L$6:L$235,$I$6:$I$235,$I264,$H$6:$H$235,"ACT_BND",$B$6:$B$235,$J264)</f>
        <v>2.8811537308633848</v>
      </c>
      <c r="M264" s="6">
        <f t="shared" si="17"/>
        <v>12.623199630959222</v>
      </c>
      <c r="N264" s="52">
        <f t="shared" si="17"/>
        <v>70.420099486965285</v>
      </c>
      <c r="O264" s="6">
        <f t="shared" si="17"/>
        <v>8.662311010503446</v>
      </c>
      <c r="P264" s="6">
        <f t="shared" si="17"/>
        <v>1.6140905284960574</v>
      </c>
      <c r="Q264" s="6">
        <f t="shared" si="17"/>
        <v>22.476149972821101</v>
      </c>
      <c r="R264" s="6">
        <f t="shared" si="17"/>
        <v>5.2418321287855596</v>
      </c>
      <c r="S264" s="6">
        <f t="shared" si="17"/>
        <v>58.615199174203802</v>
      </c>
      <c r="T264" s="6">
        <f t="shared" si="17"/>
        <v>212.04656198120105</v>
      </c>
      <c r="U264" s="6">
        <f t="shared" si="17"/>
        <v>61.369392631435133</v>
      </c>
      <c r="V264" s="6">
        <f t="shared" si="17"/>
        <v>10.539860128061868</v>
      </c>
      <c r="W264" s="6">
        <f t="shared" si="17"/>
        <v>111.14890239550017</v>
      </c>
      <c r="X264" s="6">
        <f t="shared" si="17"/>
        <v>11.2</v>
      </c>
      <c r="Y264" s="6">
        <f t="shared" si="17"/>
        <v>321.6058556235551</v>
      </c>
      <c r="Z264" s="6">
        <f t="shared" si="17"/>
        <v>9.7634846879674289</v>
      </c>
      <c r="AA264" s="6">
        <f t="shared" si="17"/>
        <v>3.3218148878901617</v>
      </c>
      <c r="AB264" s="6">
        <f t="shared" si="16"/>
        <v>79.054556850623896</v>
      </c>
      <c r="AC264" s="6">
        <f t="shared" si="16"/>
        <v>19.056264875639275</v>
      </c>
      <c r="AD264" s="6">
        <f t="shared" si="16"/>
        <v>0.73088547597736386</v>
      </c>
      <c r="AE264" s="6">
        <f t="shared" si="16"/>
        <v>142.53798196890611</v>
      </c>
      <c r="AF264" s="6">
        <f t="shared" si="16"/>
        <v>11.749499283400599</v>
      </c>
      <c r="AG264" s="6">
        <f t="shared" si="16"/>
        <v>2.3278776091067415</v>
      </c>
      <c r="AH264" s="6">
        <f t="shared" si="16"/>
        <v>7.7254024265397989</v>
      </c>
      <c r="AI264" s="6">
        <f t="shared" si="16"/>
        <v>0.24923990453185182</v>
      </c>
      <c r="AJ264" s="6">
        <f t="shared" si="16"/>
        <v>1.1750709914576256</v>
      </c>
      <c r="AK264" s="6">
        <f t="shared" si="16"/>
        <v>10.196381742442446</v>
      </c>
      <c r="AL264" s="6">
        <f t="shared" si="16"/>
        <v>87.646100321084319</v>
      </c>
      <c r="AM264" s="6">
        <f t="shared" si="16"/>
        <v>18.22145477446513</v>
      </c>
      <c r="AN264" s="6">
        <f t="shared" si="16"/>
        <v>81.291073407415823</v>
      </c>
      <c r="AO264" s="6">
        <f t="shared" si="16"/>
        <v>31.497783335851192</v>
      </c>
      <c r="AP264" s="6">
        <f t="shared" si="16"/>
        <v>27.778102706775716</v>
      </c>
      <c r="AQ264" s="6">
        <f t="shared" si="16"/>
        <v>15.124676178567826</v>
      </c>
      <c r="AR264" s="6">
        <f t="shared" si="16"/>
        <v>39.16596853921952</v>
      </c>
      <c r="AS264" s="6">
        <f t="shared" si="16"/>
        <v>2.3041872258269085</v>
      </c>
      <c r="AT264" s="6">
        <f t="shared" si="16"/>
        <v>18.742929457465621</v>
      </c>
      <c r="AU264" s="6">
        <f t="shared" si="16"/>
        <v>171.56807896133458</v>
      </c>
      <c r="AX264" s="88">
        <f t="shared" si="9"/>
        <v>1457.632623517326</v>
      </c>
      <c r="AY264" s="6">
        <f t="shared" si="10"/>
        <v>1691.673424035841</v>
      </c>
    </row>
    <row r="265" spans="9:51">
      <c r="I265">
        <v>2020</v>
      </c>
      <c r="J265" t="s">
        <v>140</v>
      </c>
      <c r="L265" s="6">
        <f t="shared" si="17"/>
        <v>3.0485952238894582</v>
      </c>
      <c r="M265" s="6">
        <f t="shared" si="17"/>
        <v>13.720521337194961</v>
      </c>
      <c r="N265" s="52">
        <f t="shared" si="16"/>
        <v>74.441338235066439</v>
      </c>
      <c r="O265" s="6">
        <f t="shared" si="16"/>
        <v>8.0446772931880268</v>
      </c>
      <c r="P265" s="6">
        <f t="shared" si="16"/>
        <v>1.6140905284960574</v>
      </c>
      <c r="Q265" s="6">
        <f t="shared" si="16"/>
        <v>25.485180603558295</v>
      </c>
      <c r="R265" s="6">
        <f t="shared" si="16"/>
        <v>5.5143121609099932</v>
      </c>
      <c r="S265" s="6">
        <f t="shared" si="16"/>
        <v>52.188275342687746</v>
      </c>
      <c r="T265" s="6">
        <f t="shared" si="16"/>
        <v>214.32771643689927</v>
      </c>
      <c r="U265" s="6">
        <f t="shared" si="16"/>
        <v>62.868031708904226</v>
      </c>
      <c r="V265" s="6">
        <f t="shared" si="16"/>
        <v>10.221347877612155</v>
      </c>
      <c r="W265" s="6">
        <f t="shared" si="16"/>
        <v>123.53320482493939</v>
      </c>
      <c r="X265" s="6">
        <f t="shared" si="16"/>
        <v>12.8</v>
      </c>
      <c r="Y265" s="6">
        <f t="shared" si="16"/>
        <v>326.96074764036535</v>
      </c>
      <c r="Z265" s="6">
        <f t="shared" si="16"/>
        <v>9.6748822543009165</v>
      </c>
      <c r="AA265" s="6">
        <f t="shared" si="16"/>
        <v>3.3373043049463353</v>
      </c>
      <c r="AB265" s="6">
        <f t="shared" si="16"/>
        <v>69.943525436786388</v>
      </c>
      <c r="AC265" s="6">
        <f t="shared" si="16"/>
        <v>19.406076372948398</v>
      </c>
      <c r="AD265" s="6">
        <f t="shared" si="16"/>
        <v>0.86717707691721413</v>
      </c>
      <c r="AE265" s="6">
        <f t="shared" si="16"/>
        <v>146.18192171664364</v>
      </c>
      <c r="AF265" s="6">
        <f t="shared" si="16"/>
        <v>13.680497765034156</v>
      </c>
      <c r="AG265" s="6">
        <f t="shared" si="16"/>
        <v>1.6213213724147653</v>
      </c>
      <c r="AH265" s="6">
        <f t="shared" si="16"/>
        <v>7.9526997576659459</v>
      </c>
      <c r="AI265" s="6">
        <f t="shared" si="16"/>
        <v>0.24923990453185182</v>
      </c>
      <c r="AJ265" s="6">
        <f t="shared" si="16"/>
        <v>1.2825324119479742</v>
      </c>
      <c r="AK265" s="6">
        <f t="shared" si="16"/>
        <v>3.7637249135311497</v>
      </c>
      <c r="AL265" s="6">
        <f t="shared" si="16"/>
        <v>91.143988799744179</v>
      </c>
      <c r="AM265" s="6">
        <f t="shared" si="16"/>
        <v>20.321519360958138</v>
      </c>
      <c r="AN265" s="6">
        <f t="shared" si="16"/>
        <v>90.301429108546117</v>
      </c>
      <c r="AO265" s="6">
        <f t="shared" si="16"/>
        <v>31.746328887598857</v>
      </c>
      <c r="AP265" s="6">
        <f t="shared" si="16"/>
        <v>29.919472403228319</v>
      </c>
      <c r="AQ265" s="6">
        <f t="shared" si="16"/>
        <v>16.659798900836837</v>
      </c>
      <c r="AR265" s="6">
        <f t="shared" si="16"/>
        <v>41.767588127258442</v>
      </c>
      <c r="AS265" s="6">
        <f t="shared" si="16"/>
        <v>2.3892107105616622</v>
      </c>
      <c r="AT265" s="6">
        <f t="shared" si="16"/>
        <v>16.482059641769251</v>
      </c>
      <c r="AU265" s="6">
        <f t="shared" si="16"/>
        <v>170.75171272788154</v>
      </c>
      <c r="AX265" s="88">
        <f t="shared" si="9"/>
        <v>1483.932204430746</v>
      </c>
      <c r="AY265" s="6">
        <f t="shared" si="10"/>
        <v>1724.2120511697633</v>
      </c>
    </row>
    <row r="266" spans="9:51">
      <c r="I266">
        <v>2030</v>
      </c>
      <c r="J266" t="s">
        <v>140</v>
      </c>
      <c r="L266" s="6">
        <f t="shared" si="17"/>
        <v>3.1864566447990272</v>
      </c>
      <c r="M266" s="6">
        <f t="shared" si="17"/>
        <v>15.668183437193161</v>
      </c>
      <c r="N266" s="52">
        <f t="shared" si="16"/>
        <v>84.987207814923309</v>
      </c>
      <c r="O266" s="6">
        <f t="shared" si="16"/>
        <v>8.878221564176247</v>
      </c>
      <c r="P266" s="6">
        <f t="shared" si="16"/>
        <v>1.6140905284960574</v>
      </c>
      <c r="Q266" s="6">
        <f t="shared" si="16"/>
        <v>29.502338555146473</v>
      </c>
      <c r="R266" s="6">
        <f t="shared" si="16"/>
        <v>5.953144086430469</v>
      </c>
      <c r="S266" s="6">
        <f t="shared" si="16"/>
        <v>48.607613718343465</v>
      </c>
      <c r="T266" s="6">
        <f t="shared" si="16"/>
        <v>226.11490214032696</v>
      </c>
      <c r="U266" s="6">
        <f t="shared" si="16"/>
        <v>66.174740903175461</v>
      </c>
      <c r="V266" s="6">
        <f t="shared" si="16"/>
        <v>10.835555592676977</v>
      </c>
      <c r="W266" s="6">
        <f t="shared" si="16"/>
        <v>133.53827058093552</v>
      </c>
      <c r="X266" s="6">
        <f t="shared" si="16"/>
        <v>16.899999999999999</v>
      </c>
      <c r="Y266" s="6">
        <f t="shared" si="16"/>
        <v>341.18355176585777</v>
      </c>
      <c r="Z266" s="6">
        <f t="shared" si="16"/>
        <v>10.229676879703966</v>
      </c>
      <c r="AA266" s="6">
        <f t="shared" si="16"/>
        <v>3.3735377256631875</v>
      </c>
      <c r="AB266" s="6">
        <f t="shared" si="16"/>
        <v>70.813397506415185</v>
      </c>
      <c r="AC266" s="6">
        <f t="shared" si="16"/>
        <v>20.069739157952455</v>
      </c>
      <c r="AD266" s="6">
        <f t="shared" si="16"/>
        <v>1.026839831902703</v>
      </c>
      <c r="AE266" s="6">
        <f t="shared" si="16"/>
        <v>151.59979506338357</v>
      </c>
      <c r="AF266" s="6">
        <f t="shared" si="16"/>
        <v>15.527297529875163</v>
      </c>
      <c r="AG266" s="6">
        <f t="shared" si="16"/>
        <v>1.6410787398487439</v>
      </c>
      <c r="AH266" s="6">
        <f t="shared" si="16"/>
        <v>8.6370084963047038</v>
      </c>
      <c r="AI266" s="6">
        <f t="shared" si="16"/>
        <v>0.24923990453185182</v>
      </c>
      <c r="AJ266" s="6">
        <f t="shared" si="16"/>
        <v>1.485076445886812</v>
      </c>
      <c r="AK266" s="6">
        <f t="shared" si="16"/>
        <v>4.4589250469699895</v>
      </c>
      <c r="AL266" s="6">
        <f t="shared" si="16"/>
        <v>99.494055686191373</v>
      </c>
      <c r="AM266" s="6">
        <f t="shared" si="16"/>
        <v>24.285601864360835</v>
      </c>
      <c r="AN266" s="6">
        <f t="shared" si="16"/>
        <v>103.242649133892</v>
      </c>
      <c r="AO266" s="6">
        <f t="shared" si="16"/>
        <v>35.525928608112828</v>
      </c>
      <c r="AP266" s="6">
        <f t="shared" si="16"/>
        <v>31.895492552026671</v>
      </c>
      <c r="AQ266" s="6">
        <f t="shared" si="16"/>
        <v>19.731458817857643</v>
      </c>
      <c r="AR266" s="6">
        <f t="shared" si="16"/>
        <v>45.546962356166397</v>
      </c>
      <c r="AS266" s="6">
        <f t="shared" si="16"/>
        <v>2.5570296272990527</v>
      </c>
      <c r="AT266" s="6">
        <f t="shared" si="16"/>
        <v>17.309044894897024</v>
      </c>
      <c r="AU266" s="6">
        <f t="shared" si="16"/>
        <v>175.34128284857857</v>
      </c>
      <c r="AX266" s="88">
        <f t="shared" si="9"/>
        <v>1580.7630106087415</v>
      </c>
      <c r="AY266" s="6">
        <f t="shared" si="10"/>
        <v>1837.1853960503015</v>
      </c>
    </row>
    <row r="267" spans="9:51">
      <c r="I267">
        <v>2040</v>
      </c>
      <c r="J267" t="s">
        <v>140</v>
      </c>
      <c r="L267" s="6">
        <f t="shared" si="17"/>
        <v>3.3386541501932419</v>
      </c>
      <c r="M267" s="6">
        <f t="shared" si="17"/>
        <v>17.428351211133172</v>
      </c>
      <c r="N267" s="52">
        <f t="shared" si="16"/>
        <v>97.073548170576245</v>
      </c>
      <c r="O267" s="6">
        <f t="shared" si="16"/>
        <v>9.1236351192608129</v>
      </c>
      <c r="P267" s="6">
        <f t="shared" si="16"/>
        <v>1.6140905284960574</v>
      </c>
      <c r="Q267" s="6">
        <f t="shared" si="16"/>
        <v>34.127239648676763</v>
      </c>
      <c r="R267" s="6">
        <f t="shared" si="16"/>
        <v>6.5074969496328601</v>
      </c>
      <c r="S267" s="6">
        <f t="shared" si="16"/>
        <v>47.691651434945079</v>
      </c>
      <c r="T267" s="6">
        <f t="shared" si="16"/>
        <v>237.16799964835232</v>
      </c>
      <c r="U267" s="6">
        <f t="shared" si="16"/>
        <v>68.938327651890546</v>
      </c>
      <c r="V267" s="6">
        <f t="shared" si="16"/>
        <v>11.327063282758706</v>
      </c>
      <c r="W267" s="6">
        <f t="shared" si="16"/>
        <v>141.42093654538132</v>
      </c>
      <c r="X267" s="6">
        <f t="shared" si="16"/>
        <v>23.5</v>
      </c>
      <c r="Y267" s="6">
        <f t="shared" si="16"/>
        <v>355.38409737309433</v>
      </c>
      <c r="Z267" s="6">
        <f t="shared" si="16"/>
        <v>10.985172987674334</v>
      </c>
      <c r="AA267" s="6">
        <f t="shared" si="16"/>
        <v>3.3996767184316736</v>
      </c>
      <c r="AB267" s="6">
        <f t="shared" si="16"/>
        <v>73.39284137228411</v>
      </c>
      <c r="AC267" s="6">
        <f t="shared" si="16"/>
        <v>20.48256245258024</v>
      </c>
      <c r="AD267" s="6">
        <f t="shared" si="16"/>
        <v>1.1769899547523672</v>
      </c>
      <c r="AE267" s="6">
        <f t="shared" si="16"/>
        <v>154.80928190090498</v>
      </c>
      <c r="AF267" s="6">
        <f t="shared" si="16"/>
        <v>17.028455399977869</v>
      </c>
      <c r="AG267" s="6">
        <f t="shared" si="16"/>
        <v>1.6629756759572525</v>
      </c>
      <c r="AH267" s="6">
        <f t="shared" si="16"/>
        <v>8.9863362912621945</v>
      </c>
      <c r="AI267" s="6">
        <f t="shared" si="16"/>
        <v>0.24923990453185182</v>
      </c>
      <c r="AJ267" s="6">
        <f t="shared" si="16"/>
        <v>1.7505012090106056</v>
      </c>
      <c r="AK267" s="6">
        <f t="shared" si="16"/>
        <v>5.0633010272693193</v>
      </c>
      <c r="AL267" s="6">
        <f t="shared" si="16"/>
        <v>107.78843053942074</v>
      </c>
      <c r="AM267" s="6">
        <f t="shared" si="16"/>
        <v>30.421064788406674</v>
      </c>
      <c r="AN267" s="6">
        <f t="shared" si="16"/>
        <v>115.65935261763518</v>
      </c>
      <c r="AO267" s="6">
        <f t="shared" si="16"/>
        <v>38.603677649281394</v>
      </c>
      <c r="AP267" s="6">
        <f t="shared" si="16"/>
        <v>31.550435859760093</v>
      </c>
      <c r="AQ267" s="6">
        <f t="shared" si="16"/>
        <v>24.441152889289935</v>
      </c>
      <c r="AR267" s="6">
        <f t="shared" si="16"/>
        <v>50.064026879057998</v>
      </c>
      <c r="AS267" s="6">
        <f t="shared" si="16"/>
        <v>2.6596404442275823</v>
      </c>
      <c r="AT267" s="6">
        <f t="shared" si="16"/>
        <v>17.362948366565735</v>
      </c>
      <c r="AU267" s="6">
        <f t="shared" si="16"/>
        <v>180.23943916408504</v>
      </c>
      <c r="AX267" s="88">
        <f t="shared" si="9"/>
        <v>1675.0622235693161</v>
      </c>
      <c r="AY267" s="6">
        <f t="shared" si="10"/>
        <v>1952.4205958067582</v>
      </c>
    </row>
    <row r="268" spans="9:51">
      <c r="I268">
        <v>2050</v>
      </c>
      <c r="J268" t="s">
        <v>140</v>
      </c>
      <c r="L268" s="6">
        <f t="shared" si="17"/>
        <v>2.8140843484014892</v>
      </c>
      <c r="M268" s="6">
        <f t="shared" si="17"/>
        <v>19.455385406502018</v>
      </c>
      <c r="N268" s="52">
        <f t="shared" si="16"/>
        <v>111.9744625961097</v>
      </c>
      <c r="O268" s="6">
        <f t="shared" si="16"/>
        <v>9.4220760141608704</v>
      </c>
      <c r="P268" s="6">
        <f t="shared" si="16"/>
        <v>1.6140905284960574</v>
      </c>
      <c r="Q268" s="6">
        <f t="shared" si="16"/>
        <v>38.5904096038009</v>
      </c>
      <c r="R268" s="6">
        <f t="shared" si="16"/>
        <v>7.1481636205018626</v>
      </c>
      <c r="S268" s="6">
        <f t="shared" si="16"/>
        <v>46.865630414379908</v>
      </c>
      <c r="T268" s="6">
        <f t="shared" si="16"/>
        <v>248.56198103150103</v>
      </c>
      <c r="U268" s="6">
        <f t="shared" si="16"/>
        <v>72.215047408584155</v>
      </c>
      <c r="V268" s="6">
        <f t="shared" si="16"/>
        <v>11.885477989300478</v>
      </c>
      <c r="W268" s="6">
        <f t="shared" si="16"/>
        <v>149.81074357228468</v>
      </c>
      <c r="X268" s="6">
        <f t="shared" si="16"/>
        <v>27.6</v>
      </c>
      <c r="Y268" s="6">
        <f t="shared" si="16"/>
        <v>371.86544529382883</v>
      </c>
      <c r="Z268" s="6">
        <f t="shared" si="16"/>
        <v>11.804259575035466</v>
      </c>
      <c r="AA268" s="6">
        <f t="shared" si="16"/>
        <v>3.43046913033659</v>
      </c>
      <c r="AB268" s="6">
        <f t="shared" si="16"/>
        <v>76.200995992942524</v>
      </c>
      <c r="AC268" s="6">
        <f t="shared" si="16"/>
        <v>20.995333996619799</v>
      </c>
      <c r="AD268" s="6">
        <f t="shared" si="16"/>
        <v>1.2904160784007797</v>
      </c>
      <c r="AE268" s="6">
        <f t="shared" si="16"/>
        <v>158.71165264401117</v>
      </c>
      <c r="AF268" s="6">
        <f t="shared" si="16"/>
        <v>18.562247427115462</v>
      </c>
      <c r="AG268" s="6">
        <f t="shared" si="16"/>
        <v>1.688882123293844</v>
      </c>
      <c r="AH268" s="6">
        <f t="shared" si="16"/>
        <v>9.3450504956602956</v>
      </c>
      <c r="AI268" s="6">
        <f t="shared" si="16"/>
        <v>0.24923990453185182</v>
      </c>
      <c r="AJ268" s="6">
        <f t="shared" si="16"/>
        <v>2.1450992056075826</v>
      </c>
      <c r="AK268" s="6">
        <f t="shared" si="16"/>
        <v>5.7578249438486235</v>
      </c>
      <c r="AL268" s="6">
        <f t="shared" si="16"/>
        <v>117.30622087508742</v>
      </c>
      <c r="AM268" s="6">
        <f t="shared" si="16"/>
        <v>39.338089383198081</v>
      </c>
      <c r="AN268" s="6">
        <f t="shared" si="16"/>
        <v>128.71345116942121</v>
      </c>
      <c r="AO268" s="6">
        <f t="shared" si="16"/>
        <v>42.080283036185264</v>
      </c>
      <c r="AP268" s="6">
        <f t="shared" si="16"/>
        <v>31.300953064057822</v>
      </c>
      <c r="AQ268" s="6">
        <f t="shared" si="16"/>
        <v>31.81426786450815</v>
      </c>
      <c r="AR268" s="6">
        <f t="shared" si="16"/>
        <v>54.628265379729548</v>
      </c>
      <c r="AS268" s="6">
        <f t="shared" si="16"/>
        <v>2.7762662744130564</v>
      </c>
      <c r="AT268" s="6">
        <f t="shared" si="16"/>
        <v>17.484015504766603</v>
      </c>
      <c r="AU268" s="6">
        <f t="shared" si="16"/>
        <v>185.83064533288172</v>
      </c>
      <c r="AX268" s="88">
        <f t="shared" si="9"/>
        <v>1777.5905849796779</v>
      </c>
      <c r="AY268" s="6">
        <f t="shared" si="10"/>
        <v>2081.2769272295045</v>
      </c>
    </row>
    <row r="269" spans="9:51">
      <c r="L269" s="6"/>
      <c r="M269" s="6"/>
      <c r="N269" s="52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X269" s="88"/>
      <c r="AY269" s="6">
        <f t="shared" si="10"/>
        <v>0</v>
      </c>
    </row>
    <row r="270" spans="9:51">
      <c r="I270">
        <v>2005</v>
      </c>
      <c r="J270" t="s">
        <v>139</v>
      </c>
      <c r="L270" s="6">
        <f t="shared" si="17"/>
        <v>0</v>
      </c>
      <c r="M270" s="6">
        <f t="shared" si="17"/>
        <v>32.020352427660804</v>
      </c>
      <c r="N270" s="52">
        <f t="shared" si="16"/>
        <v>14.033464440207261</v>
      </c>
      <c r="O270" s="6">
        <f t="shared" si="16"/>
        <v>3.852749599240612</v>
      </c>
      <c r="P270" s="6">
        <f t="shared" si="16"/>
        <v>0</v>
      </c>
      <c r="Q270" s="6">
        <f t="shared" si="16"/>
        <v>0</v>
      </c>
      <c r="R270" s="6">
        <f t="shared" si="16"/>
        <v>0</v>
      </c>
      <c r="S270" s="6">
        <f t="shared" si="16"/>
        <v>23.241134657331322</v>
      </c>
      <c r="T270" s="6">
        <f t="shared" si="16"/>
        <v>157.23353179273261</v>
      </c>
      <c r="U270" s="6">
        <f t="shared" si="16"/>
        <v>3.3224179601612223</v>
      </c>
      <c r="V270" s="6">
        <f t="shared" si="16"/>
        <v>1.0223422008552478E-2</v>
      </c>
      <c r="W270" s="6">
        <f t="shared" si="16"/>
        <v>20.393972337996146</v>
      </c>
      <c r="X270" s="6">
        <f t="shared" si="16"/>
        <v>0</v>
      </c>
      <c r="Y270" s="6">
        <f t="shared" si="16"/>
        <v>502.83093813988478</v>
      </c>
      <c r="Z270" s="6">
        <f t="shared" si="16"/>
        <v>9.2493682966679387</v>
      </c>
      <c r="AA270" s="6">
        <f t="shared" si="16"/>
        <v>30.150918793453421</v>
      </c>
      <c r="AB270" s="6">
        <f t="shared" si="16"/>
        <v>15.204244542010731</v>
      </c>
      <c r="AC270" s="6">
        <f t="shared" si="16"/>
        <v>4.6531844293736059E-2</v>
      </c>
      <c r="AD270" s="6">
        <f t="shared" si="16"/>
        <v>0</v>
      </c>
      <c r="AE270" s="6">
        <f t="shared" si="16"/>
        <v>7.64696069838641</v>
      </c>
      <c r="AF270" s="6">
        <f t="shared" si="16"/>
        <v>4.7447929622088925</v>
      </c>
      <c r="AG270" s="6">
        <f t="shared" si="16"/>
        <v>0.41430963394092846</v>
      </c>
      <c r="AH270" s="6">
        <f t="shared" si="16"/>
        <v>0.82834959704083222</v>
      </c>
      <c r="AI270" s="6">
        <f t="shared" si="16"/>
        <v>0</v>
      </c>
      <c r="AJ270" s="6">
        <f t="shared" si="16"/>
        <v>0</v>
      </c>
      <c r="AK270" s="6">
        <f t="shared" si="16"/>
        <v>0</v>
      </c>
      <c r="AL270" s="6">
        <f t="shared" si="16"/>
        <v>3.7657822182060761</v>
      </c>
      <c r="AM270" s="6">
        <f t="shared" si="16"/>
        <v>0</v>
      </c>
      <c r="AN270" s="6">
        <f t="shared" si="16"/>
        <v>11.485794669646376</v>
      </c>
      <c r="AO270" s="6">
        <f t="shared" si="16"/>
        <v>9.8478790830838769E-2</v>
      </c>
      <c r="AP270" s="6">
        <f t="shared" si="16"/>
        <v>4.3524139269104261</v>
      </c>
      <c r="AQ270" s="6">
        <f t="shared" si="16"/>
        <v>0</v>
      </c>
      <c r="AR270" s="6">
        <f t="shared" si="16"/>
        <v>18.467133889660705</v>
      </c>
      <c r="AS270" s="6">
        <f t="shared" ref="N270:AU278" si="18">SUMIFS(AS$6:AS$235,$I$6:$I$235,$I270,$H$6:$H$235,"ACT_BND",$B$6:$B$235,$J270)</f>
        <v>3.600783082005115E-4</v>
      </c>
      <c r="AT270" s="6">
        <f t="shared" si="18"/>
        <v>9.1175480545218459</v>
      </c>
      <c r="AU270" s="6">
        <f t="shared" si="18"/>
        <v>19.986855560210486</v>
      </c>
      <c r="AX270" s="88">
        <f t="shared" si="9"/>
        <v>872.51177277331078</v>
      </c>
      <c r="AY270" s="6">
        <f t="shared" si="10"/>
        <v>892.49862833352131</v>
      </c>
    </row>
    <row r="271" spans="9:51">
      <c r="I271">
        <v>2010</v>
      </c>
      <c r="J271" t="s">
        <v>139</v>
      </c>
      <c r="L271" s="6">
        <f t="shared" si="17"/>
        <v>0</v>
      </c>
      <c r="M271" s="6">
        <f t="shared" si="17"/>
        <v>32.020352427660804</v>
      </c>
      <c r="N271" s="52">
        <f t="shared" si="18"/>
        <v>14.033464440207261</v>
      </c>
      <c r="O271" s="6">
        <f t="shared" si="18"/>
        <v>3.852749599240612</v>
      </c>
      <c r="P271" s="6">
        <f t="shared" si="18"/>
        <v>0</v>
      </c>
      <c r="Q271" s="6">
        <f t="shared" si="18"/>
        <v>0</v>
      </c>
      <c r="R271" s="6">
        <f t="shared" si="18"/>
        <v>0</v>
      </c>
      <c r="S271" s="6">
        <f t="shared" si="18"/>
        <v>23.241134657331322</v>
      </c>
      <c r="T271" s="6">
        <f t="shared" si="18"/>
        <v>157.23353179273261</v>
      </c>
      <c r="U271" s="6">
        <f t="shared" si="18"/>
        <v>3.3224179601612223</v>
      </c>
      <c r="V271" s="6">
        <f t="shared" si="18"/>
        <v>1.0223422008552478E-2</v>
      </c>
      <c r="W271" s="6">
        <f t="shared" si="18"/>
        <v>20.393972337996146</v>
      </c>
      <c r="X271" s="6">
        <f t="shared" si="18"/>
        <v>0</v>
      </c>
      <c r="Y271" s="6">
        <f t="shared" si="18"/>
        <v>502.83093813988478</v>
      </c>
      <c r="Z271" s="6">
        <f t="shared" si="18"/>
        <v>9.2493682966679387</v>
      </c>
      <c r="AA271" s="6">
        <f t="shared" si="18"/>
        <v>30.150918793453421</v>
      </c>
      <c r="AB271" s="6">
        <f t="shared" si="18"/>
        <v>15.204244542010731</v>
      </c>
      <c r="AC271" s="6">
        <f t="shared" si="18"/>
        <v>4.6531844293736059E-2</v>
      </c>
      <c r="AD271" s="6">
        <f t="shared" si="18"/>
        <v>0</v>
      </c>
      <c r="AE271" s="6">
        <f t="shared" si="18"/>
        <v>7.64696069838641</v>
      </c>
      <c r="AF271" s="6">
        <f t="shared" si="18"/>
        <v>4.7447929622088925</v>
      </c>
      <c r="AG271" s="6">
        <f t="shared" si="18"/>
        <v>0.41430963394092846</v>
      </c>
      <c r="AH271" s="6">
        <f t="shared" si="18"/>
        <v>0.82834959704083222</v>
      </c>
      <c r="AI271" s="6">
        <f t="shared" si="18"/>
        <v>0</v>
      </c>
      <c r="AJ271" s="6">
        <f t="shared" si="18"/>
        <v>0</v>
      </c>
      <c r="AK271" s="6">
        <f t="shared" si="18"/>
        <v>0</v>
      </c>
      <c r="AL271" s="6">
        <f t="shared" si="18"/>
        <v>3.7657822182060761</v>
      </c>
      <c r="AM271" s="6">
        <f t="shared" si="18"/>
        <v>0</v>
      </c>
      <c r="AN271" s="6">
        <f t="shared" si="18"/>
        <v>11.485794669646376</v>
      </c>
      <c r="AO271" s="6">
        <f t="shared" si="18"/>
        <v>9.8478790830838769E-2</v>
      </c>
      <c r="AP271" s="6">
        <f t="shared" si="18"/>
        <v>4.3524139269104261</v>
      </c>
      <c r="AQ271" s="6">
        <f t="shared" si="18"/>
        <v>0</v>
      </c>
      <c r="AR271" s="6">
        <f t="shared" si="18"/>
        <v>18.467133889660705</v>
      </c>
      <c r="AS271" s="6">
        <f t="shared" si="18"/>
        <v>3.600783082005115E-4</v>
      </c>
      <c r="AT271" s="6">
        <f t="shared" si="18"/>
        <v>9.1175480545218459</v>
      </c>
      <c r="AU271" s="6">
        <f t="shared" si="18"/>
        <v>19.986855560210486</v>
      </c>
      <c r="AX271" s="88">
        <f t="shared" si="9"/>
        <v>872.51177277331078</v>
      </c>
      <c r="AY271" s="6">
        <f t="shared" si="10"/>
        <v>892.49862833352131</v>
      </c>
    </row>
    <row r="272" spans="9:51">
      <c r="I272">
        <v>2020</v>
      </c>
      <c r="J272" t="s">
        <v>139</v>
      </c>
      <c r="L272" s="6">
        <f t="shared" si="17"/>
        <v>30.0872455692014</v>
      </c>
      <c r="M272" s="6">
        <f t="shared" si="17"/>
        <v>46.211991643157639</v>
      </c>
      <c r="N272" s="52">
        <f t="shared" si="18"/>
        <v>57.323903998489591</v>
      </c>
      <c r="O272" s="6">
        <f t="shared" si="18"/>
        <v>89.689237306541131</v>
      </c>
      <c r="P272" s="6">
        <f t="shared" si="18"/>
        <v>73.842715046938082</v>
      </c>
      <c r="Q272" s="6">
        <f t="shared" si="18"/>
        <v>0</v>
      </c>
      <c r="R272" s="6">
        <f t="shared" si="18"/>
        <v>0.88104693223265684</v>
      </c>
      <c r="S272" s="6">
        <f t="shared" si="18"/>
        <v>59.767843490454794</v>
      </c>
      <c r="T272" s="6">
        <f t="shared" si="18"/>
        <v>191.00875037522167</v>
      </c>
      <c r="U272" s="6">
        <f t="shared" si="18"/>
        <v>2.963816127295813</v>
      </c>
      <c r="V272" s="6">
        <f t="shared" si="18"/>
        <v>9.1005516962043433</v>
      </c>
      <c r="W272" s="6">
        <f t="shared" si="18"/>
        <v>496.72417587634851</v>
      </c>
      <c r="X272" s="6">
        <f t="shared" si="18"/>
        <v>3.5</v>
      </c>
      <c r="Y272" s="6">
        <f t="shared" si="18"/>
        <v>711.18883984118406</v>
      </c>
      <c r="Z272" s="6">
        <f t="shared" si="18"/>
        <v>55.272391467521665</v>
      </c>
      <c r="AA272" s="6">
        <f t="shared" si="18"/>
        <v>26.515818533982966</v>
      </c>
      <c r="AB272" s="6">
        <f t="shared" si="18"/>
        <v>133.77976163490379</v>
      </c>
      <c r="AC272" s="6">
        <f t="shared" si="18"/>
        <v>19.12373975935812</v>
      </c>
      <c r="AD272" s="6">
        <f t="shared" si="18"/>
        <v>0</v>
      </c>
      <c r="AE272" s="6">
        <f t="shared" si="18"/>
        <v>280.28748048519782</v>
      </c>
      <c r="AF272" s="6">
        <f t="shared" si="18"/>
        <v>95.90817414130693</v>
      </c>
      <c r="AG272" s="6">
        <f t="shared" si="18"/>
        <v>0.35088535323377879</v>
      </c>
      <c r="AH272" s="6">
        <f t="shared" si="18"/>
        <v>9.5725924909081712</v>
      </c>
      <c r="AI272" s="6">
        <f t="shared" si="18"/>
        <v>2.7984436485444322</v>
      </c>
      <c r="AJ272" s="6">
        <f t="shared" si="18"/>
        <v>18.167524044573277</v>
      </c>
      <c r="AK272" s="6">
        <f t="shared" si="18"/>
        <v>0</v>
      </c>
      <c r="AL272" s="6">
        <f t="shared" si="18"/>
        <v>42.034767199758903</v>
      </c>
      <c r="AM272" s="6">
        <f t="shared" si="18"/>
        <v>7.4300688451655565</v>
      </c>
      <c r="AN272" s="6">
        <f t="shared" si="18"/>
        <v>290.2474333412182</v>
      </c>
      <c r="AO272" s="6">
        <f t="shared" si="18"/>
        <v>22.463314632676536</v>
      </c>
      <c r="AP272" s="6">
        <f t="shared" si="18"/>
        <v>371.7299386079452</v>
      </c>
      <c r="AQ272" s="6">
        <f t="shared" si="18"/>
        <v>42.219141725333841</v>
      </c>
      <c r="AR272" s="6">
        <f t="shared" si="18"/>
        <v>24.26460309578064</v>
      </c>
      <c r="AS272" s="6">
        <f t="shared" si="18"/>
        <v>1.1039577677696224</v>
      </c>
      <c r="AT272" s="6">
        <f t="shared" si="18"/>
        <v>20.782300665403472</v>
      </c>
      <c r="AU272" s="6">
        <f t="shared" si="18"/>
        <v>110.06103469423019</v>
      </c>
      <c r="AX272" s="88">
        <f t="shared" si="9"/>
        <v>3061.7973164640966</v>
      </c>
      <c r="AY272" s="6">
        <f t="shared" si="10"/>
        <v>3346.4034900380834</v>
      </c>
    </row>
    <row r="273" spans="9:51">
      <c r="I273">
        <v>2030</v>
      </c>
      <c r="J273" t="s">
        <v>139</v>
      </c>
      <c r="L273" s="6">
        <f t="shared" si="17"/>
        <v>31.529445406865452</v>
      </c>
      <c r="M273" s="6">
        <f t="shared" si="17"/>
        <v>51.603540110692165</v>
      </c>
      <c r="N273" s="52">
        <f t="shared" si="18"/>
        <v>92.491543813741316</v>
      </c>
      <c r="O273" s="6">
        <f t="shared" si="18"/>
        <v>71.38904522722639</v>
      </c>
      <c r="P273" s="6">
        <f t="shared" si="18"/>
        <v>76.234501325230056</v>
      </c>
      <c r="Q273" s="6">
        <f t="shared" si="18"/>
        <v>0</v>
      </c>
      <c r="R273" s="6">
        <f t="shared" si="18"/>
        <v>0.9553055985456842</v>
      </c>
      <c r="S273" s="6">
        <f t="shared" si="18"/>
        <v>87.91022958941825</v>
      </c>
      <c r="T273" s="6">
        <f t="shared" si="18"/>
        <v>262.14157241768839</v>
      </c>
      <c r="U273" s="6">
        <f t="shared" si="18"/>
        <v>4.8184750504944054</v>
      </c>
      <c r="V273" s="6">
        <f t="shared" si="18"/>
        <v>13.039227880353643</v>
      </c>
      <c r="W273" s="6">
        <f t="shared" si="18"/>
        <v>596.05254495643635</v>
      </c>
      <c r="X273" s="6">
        <f t="shared" si="18"/>
        <v>4.2</v>
      </c>
      <c r="Y273" s="6">
        <f t="shared" si="18"/>
        <v>843.94906862494224</v>
      </c>
      <c r="Z273" s="6">
        <f t="shared" si="18"/>
        <v>59.937815924743752</v>
      </c>
      <c r="AA273" s="6">
        <f t="shared" si="18"/>
        <v>40.340453521845127</v>
      </c>
      <c r="AB273" s="6">
        <f t="shared" si="18"/>
        <v>155.85553209292149</v>
      </c>
      <c r="AC273" s="6">
        <f t="shared" si="18"/>
        <v>17.821408353721377</v>
      </c>
      <c r="AD273" s="6">
        <f t="shared" si="18"/>
        <v>0</v>
      </c>
      <c r="AE273" s="6">
        <f t="shared" si="18"/>
        <v>402.95267623277374</v>
      </c>
      <c r="AF273" s="6">
        <f t="shared" si="18"/>
        <v>125.40043015688342</v>
      </c>
      <c r="AG273" s="6">
        <f t="shared" si="18"/>
        <v>0.35942216661624771</v>
      </c>
      <c r="AH273" s="6">
        <f t="shared" si="18"/>
        <v>14.36698448459024</v>
      </c>
      <c r="AI273" s="6">
        <f t="shared" si="18"/>
        <v>2.8648134614253533</v>
      </c>
      <c r="AJ273" s="6">
        <f t="shared" si="18"/>
        <v>19.000088465975743</v>
      </c>
      <c r="AK273" s="6">
        <f t="shared" si="18"/>
        <v>0</v>
      </c>
      <c r="AL273" s="6">
        <f t="shared" si="18"/>
        <v>67.018585888114742</v>
      </c>
      <c r="AM273" s="6">
        <f t="shared" si="18"/>
        <v>7.7533482453438864</v>
      </c>
      <c r="AN273" s="6">
        <f t="shared" si="18"/>
        <v>382.61694886041084</v>
      </c>
      <c r="AO273" s="6">
        <f t="shared" si="18"/>
        <v>23.089823291951781</v>
      </c>
      <c r="AP273" s="6">
        <f t="shared" si="18"/>
        <v>376.846604267977</v>
      </c>
      <c r="AQ273" s="6">
        <f t="shared" si="18"/>
        <v>42.421137548907211</v>
      </c>
      <c r="AR273" s="6">
        <f t="shared" si="18"/>
        <v>28.246457676339254</v>
      </c>
      <c r="AS273" s="6">
        <f t="shared" si="18"/>
        <v>3.0447622512666879</v>
      </c>
      <c r="AT273" s="6">
        <f t="shared" si="18"/>
        <v>30.138885510340486</v>
      </c>
      <c r="AU273" s="6">
        <f t="shared" si="18"/>
        <v>361.95570486717133</v>
      </c>
      <c r="AX273" s="88">
        <f t="shared" si="9"/>
        <v>3756.5873439500347</v>
      </c>
      <c r="AY273" s="6">
        <f t="shared" si="10"/>
        <v>4298.3463832709531</v>
      </c>
    </row>
    <row r="274" spans="9:51">
      <c r="I274">
        <v>2040</v>
      </c>
      <c r="J274" t="s">
        <v>139</v>
      </c>
      <c r="L274" s="6">
        <f t="shared" si="17"/>
        <v>33.178888051135957</v>
      </c>
      <c r="M274" s="6">
        <f t="shared" si="17"/>
        <v>48.051830334536582</v>
      </c>
      <c r="N274" s="52">
        <f t="shared" si="18"/>
        <v>87.912592473107168</v>
      </c>
      <c r="O274" s="6">
        <f t="shared" si="18"/>
        <v>86.57802710616339</v>
      </c>
      <c r="P274" s="6">
        <f t="shared" si="18"/>
        <v>76.941141061775724</v>
      </c>
      <c r="Q274" s="6">
        <f t="shared" si="18"/>
        <v>0</v>
      </c>
      <c r="R274" s="6">
        <f t="shared" si="18"/>
        <v>0.89651346814128763</v>
      </c>
      <c r="S274" s="6">
        <f t="shared" si="18"/>
        <v>99.018886628774993</v>
      </c>
      <c r="T274" s="6">
        <f t="shared" si="18"/>
        <v>267.71109613317083</v>
      </c>
      <c r="U274" s="6">
        <f t="shared" si="18"/>
        <v>6.1080062568275073</v>
      </c>
      <c r="V274" s="6">
        <f t="shared" si="18"/>
        <v>15.420249554765038</v>
      </c>
      <c r="W274" s="6">
        <f t="shared" si="18"/>
        <v>648.80422587167129</v>
      </c>
      <c r="X274" s="6">
        <f t="shared" si="18"/>
        <v>6</v>
      </c>
      <c r="Y274" s="6">
        <f t="shared" si="18"/>
        <v>800.58208581356052</v>
      </c>
      <c r="Z274" s="6">
        <f t="shared" si="18"/>
        <v>67.037352615009524</v>
      </c>
      <c r="AA274" s="6">
        <f t="shared" si="18"/>
        <v>40.950979213322675</v>
      </c>
      <c r="AB274" s="6">
        <f t="shared" si="18"/>
        <v>167.55182546155521</v>
      </c>
      <c r="AC274" s="6">
        <f t="shared" si="18"/>
        <v>12.926787935112594</v>
      </c>
      <c r="AD274" s="6">
        <f t="shared" si="18"/>
        <v>0</v>
      </c>
      <c r="AE274" s="6">
        <f t="shared" si="18"/>
        <v>406.97629155436869</v>
      </c>
      <c r="AF274" s="6">
        <f t="shared" si="18"/>
        <v>121.6683579153775</v>
      </c>
      <c r="AG274" s="6">
        <f t="shared" si="18"/>
        <v>0.39421719322729493</v>
      </c>
      <c r="AH274" s="6">
        <f t="shared" si="18"/>
        <v>13.113988783592353</v>
      </c>
      <c r="AI274" s="6">
        <f t="shared" si="18"/>
        <v>2.9568688682876489</v>
      </c>
      <c r="AJ274" s="6">
        <f t="shared" si="18"/>
        <v>20.401231073403586</v>
      </c>
      <c r="AK274" s="6">
        <f t="shared" si="18"/>
        <v>0</v>
      </c>
      <c r="AL274" s="6">
        <f t="shared" si="18"/>
        <v>57.810423676722209</v>
      </c>
      <c r="AM274" s="6">
        <f t="shared" si="18"/>
        <v>8.0112638885831817</v>
      </c>
      <c r="AN274" s="6">
        <f t="shared" si="18"/>
        <v>460.83883051249495</v>
      </c>
      <c r="AO274" s="6">
        <f t="shared" si="18"/>
        <v>24.178721143998509</v>
      </c>
      <c r="AP274" s="6">
        <f t="shared" si="18"/>
        <v>377.06667559218931</v>
      </c>
      <c r="AQ274" s="6">
        <f t="shared" si="18"/>
        <v>39.777768016168039</v>
      </c>
      <c r="AR274" s="6">
        <f t="shared" si="18"/>
        <v>27.067671461312603</v>
      </c>
      <c r="AS274" s="6">
        <f t="shared" si="18"/>
        <v>2.6118435952253933</v>
      </c>
      <c r="AT274" s="6">
        <f t="shared" si="18"/>
        <v>27.278112146686379</v>
      </c>
      <c r="AU274" s="6">
        <f t="shared" si="18"/>
        <v>287.61396886513683</v>
      </c>
      <c r="AX274" s="88">
        <f t="shared" si="9"/>
        <v>3874.5555924409146</v>
      </c>
      <c r="AY274" s="6">
        <f t="shared" si="10"/>
        <v>4343.4367222654055</v>
      </c>
    </row>
    <row r="275" spans="9:51">
      <c r="I275">
        <v>2050</v>
      </c>
      <c r="J275" t="s">
        <v>139</v>
      </c>
      <c r="L275" s="6">
        <f t="shared" si="17"/>
        <v>34.848870548530201</v>
      </c>
      <c r="M275" s="6">
        <f t="shared" si="17"/>
        <v>44.333804980375035</v>
      </c>
      <c r="N275" s="52">
        <f t="shared" si="18"/>
        <v>82.186288037505804</v>
      </c>
      <c r="O275" s="6">
        <f t="shared" si="18"/>
        <v>97.077837674447338</v>
      </c>
      <c r="P275" s="6">
        <f t="shared" si="18"/>
        <v>77.410605833950967</v>
      </c>
      <c r="Q275" s="6">
        <f t="shared" si="18"/>
        <v>0</v>
      </c>
      <c r="R275" s="6">
        <f t="shared" si="18"/>
        <v>0.82883306711458937</v>
      </c>
      <c r="S275" s="6">
        <f t="shared" si="18"/>
        <v>110.56497752661093</v>
      </c>
      <c r="T275" s="6">
        <f t="shared" si="18"/>
        <v>273.59285812504623</v>
      </c>
      <c r="U275" s="6">
        <f t="shared" si="18"/>
        <v>7.119963665932878</v>
      </c>
      <c r="V275" s="6">
        <f t="shared" si="18"/>
        <v>17.235405384035193</v>
      </c>
      <c r="W275" s="6">
        <f t="shared" si="18"/>
        <v>697.60467711969318</v>
      </c>
      <c r="X275" s="6">
        <f t="shared" si="18"/>
        <v>7.4</v>
      </c>
      <c r="Y275" s="6">
        <f t="shared" si="18"/>
        <v>757.17440835847185</v>
      </c>
      <c r="Z275" s="6">
        <f t="shared" si="18"/>
        <v>73.33722240880887</v>
      </c>
      <c r="AA275" s="6">
        <f t="shared" si="18"/>
        <v>41.295443630594214</v>
      </c>
      <c r="AB275" s="6">
        <f t="shared" si="18"/>
        <v>179.64639825843417</v>
      </c>
      <c r="AC275" s="6">
        <f t="shared" si="18"/>
        <v>7.536257149002294</v>
      </c>
      <c r="AD275" s="6">
        <f t="shared" si="18"/>
        <v>0</v>
      </c>
      <c r="AE275" s="6">
        <f t="shared" si="18"/>
        <v>413.09825026097195</v>
      </c>
      <c r="AF275" s="6">
        <f t="shared" si="18"/>
        <v>116.16184876687444</v>
      </c>
      <c r="AG275" s="6">
        <f t="shared" si="18"/>
        <v>0.43051833895699565</v>
      </c>
      <c r="AH275" s="6">
        <f t="shared" si="18"/>
        <v>11.49864711827442</v>
      </c>
      <c r="AI275" s="6">
        <f t="shared" si="18"/>
        <v>3.0456057197726514</v>
      </c>
      <c r="AJ275" s="6">
        <f t="shared" si="18"/>
        <v>21.849113004536722</v>
      </c>
      <c r="AK275" s="6">
        <f t="shared" si="18"/>
        <v>0</v>
      </c>
      <c r="AL275" s="6">
        <f t="shared" si="18"/>
        <v>48.560314503913247</v>
      </c>
      <c r="AM275" s="6">
        <f t="shared" si="18"/>
        <v>8.3542936417217106</v>
      </c>
      <c r="AN275" s="6">
        <f t="shared" si="18"/>
        <v>540.67732411101451</v>
      </c>
      <c r="AO275" s="6">
        <f t="shared" si="18"/>
        <v>25.370633264557128</v>
      </c>
      <c r="AP275" s="6">
        <f t="shared" si="18"/>
        <v>352.97961368364423</v>
      </c>
      <c r="AQ275" s="6">
        <f t="shared" si="18"/>
        <v>36.736867782760221</v>
      </c>
      <c r="AR275" s="6">
        <f t="shared" si="18"/>
        <v>25.759589986002066</v>
      </c>
      <c r="AS275" s="6">
        <f t="shared" si="18"/>
        <v>2.1262978858918524</v>
      </c>
      <c r="AT275" s="6">
        <f t="shared" si="18"/>
        <v>24.595077896113086</v>
      </c>
      <c r="AU275" s="6">
        <f t="shared" si="18"/>
        <v>213.61835747884189</v>
      </c>
      <c r="AX275" s="88">
        <f t="shared" si="9"/>
        <v>3958.192491202286</v>
      </c>
      <c r="AY275" s="6">
        <f t="shared" si="10"/>
        <v>4354.0562052124005</v>
      </c>
    </row>
    <row r="276" spans="9:51">
      <c r="L276" s="6"/>
      <c r="M276" s="6"/>
      <c r="N276" s="52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X276" s="88"/>
      <c r="AY276" s="6">
        <f t="shared" si="10"/>
        <v>0</v>
      </c>
    </row>
    <row r="277" spans="9:51">
      <c r="I277">
        <v>2005</v>
      </c>
      <c r="J277" t="s">
        <v>141</v>
      </c>
      <c r="L277" s="6">
        <f t="shared" si="17"/>
        <v>1.1925515823203809</v>
      </c>
      <c r="M277" s="6">
        <f t="shared" si="17"/>
        <v>21.842206499485151</v>
      </c>
      <c r="N277" s="52">
        <f t="shared" si="18"/>
        <v>7.3584884997227222</v>
      </c>
      <c r="O277" s="6">
        <f t="shared" si="18"/>
        <v>27.292196580685811</v>
      </c>
      <c r="P277" s="6">
        <f t="shared" si="18"/>
        <v>2.3030580379548704</v>
      </c>
      <c r="Q277" s="6">
        <f t="shared" si="18"/>
        <v>4.4137200141332453</v>
      </c>
      <c r="R277" s="6">
        <f t="shared" si="18"/>
        <v>0.29145516164410301</v>
      </c>
      <c r="S277" s="6">
        <f t="shared" si="18"/>
        <v>36.763474462459719</v>
      </c>
      <c r="T277" s="6">
        <f t="shared" si="18"/>
        <v>202.26683742209121</v>
      </c>
      <c r="U277" s="6">
        <f t="shared" si="18"/>
        <v>29.037391660934173</v>
      </c>
      <c r="V277" s="6">
        <f t="shared" si="18"/>
        <v>3.3979434747043471</v>
      </c>
      <c r="W277" s="6">
        <f t="shared" si="18"/>
        <v>79.609176587432927</v>
      </c>
      <c r="X277" s="6">
        <f t="shared" si="18"/>
        <v>14.5</v>
      </c>
      <c r="Y277" s="6">
        <f t="shared" si="18"/>
        <v>211.78668882920024</v>
      </c>
      <c r="Z277" s="6">
        <f t="shared" si="18"/>
        <v>14.023650064272198</v>
      </c>
      <c r="AA277" s="6">
        <f t="shared" si="18"/>
        <v>9.8780267216928124</v>
      </c>
      <c r="AB277" s="6">
        <f t="shared" si="18"/>
        <v>48.242339985030576</v>
      </c>
      <c r="AC277" s="6">
        <f t="shared" si="18"/>
        <v>0.24211709519764227</v>
      </c>
      <c r="AD277" s="6">
        <f t="shared" si="18"/>
        <v>0</v>
      </c>
      <c r="AE277" s="6">
        <f t="shared" si="18"/>
        <v>61.673813098158334</v>
      </c>
      <c r="AF277" s="6">
        <f t="shared" si="18"/>
        <v>14.773808020891783</v>
      </c>
      <c r="AG277" s="6">
        <f t="shared" si="18"/>
        <v>0.3728407819459077</v>
      </c>
      <c r="AH277" s="6">
        <f t="shared" si="18"/>
        <v>6.985258873816198</v>
      </c>
      <c r="AI277" s="6">
        <f t="shared" si="18"/>
        <v>8.2496338818426218E-2</v>
      </c>
      <c r="AJ277" s="6">
        <f t="shared" si="18"/>
        <v>1.4983805155853804</v>
      </c>
      <c r="AK277" s="6">
        <f t="shared" si="18"/>
        <v>6.8864715951724103</v>
      </c>
      <c r="AL277" s="6">
        <f t="shared" si="18"/>
        <v>5.7287598929844128</v>
      </c>
      <c r="AM277" s="6">
        <f t="shared" si="18"/>
        <v>5.9239423025760765</v>
      </c>
      <c r="AN277" s="6">
        <f t="shared" si="18"/>
        <v>103.20006410404739</v>
      </c>
      <c r="AO277" s="6">
        <f t="shared" si="18"/>
        <v>5.837455278035903</v>
      </c>
      <c r="AP277" s="6">
        <f t="shared" si="18"/>
        <v>57.010872291735097</v>
      </c>
      <c r="AQ277" s="6">
        <f t="shared" si="18"/>
        <v>19.873055410837697</v>
      </c>
      <c r="AR277" s="6">
        <f t="shared" si="18"/>
        <v>20.078427147911459</v>
      </c>
      <c r="AS277" s="6">
        <f t="shared" si="18"/>
        <v>0.79721359561956562</v>
      </c>
      <c r="AT277" s="6">
        <f t="shared" si="18"/>
        <v>13.357184390360672</v>
      </c>
      <c r="AU277" s="6">
        <f t="shared" si="18"/>
        <v>71.334409631407198</v>
      </c>
      <c r="AX277" s="88">
        <f t="shared" si="9"/>
        <v>1003.2341621152327</v>
      </c>
      <c r="AY277" s="6">
        <f t="shared" si="10"/>
        <v>1109.8557759488658</v>
      </c>
    </row>
    <row r="278" spans="9:51">
      <c r="I278">
        <v>2010</v>
      </c>
      <c r="J278" t="s">
        <v>141</v>
      </c>
      <c r="L278" s="6">
        <f t="shared" si="17"/>
        <v>1.1925515823203809</v>
      </c>
      <c r="M278" s="6">
        <f t="shared" si="17"/>
        <v>21.842206499485151</v>
      </c>
      <c r="N278" s="52">
        <f t="shared" si="18"/>
        <v>7.3584884997227222</v>
      </c>
      <c r="O278" s="6">
        <f t="shared" si="18"/>
        <v>27.292196580685811</v>
      </c>
      <c r="P278" s="6">
        <f t="shared" si="18"/>
        <v>2.3030580379548704</v>
      </c>
      <c r="Q278" s="6">
        <f t="shared" si="18"/>
        <v>4.4137200141332453</v>
      </c>
      <c r="R278" s="6">
        <f t="shared" si="18"/>
        <v>0.29145516164410301</v>
      </c>
      <c r="S278" s="6">
        <f t="shared" si="18"/>
        <v>36.763474462459719</v>
      </c>
      <c r="T278" s="6">
        <f t="shared" si="18"/>
        <v>202.26683742209121</v>
      </c>
      <c r="U278" s="6">
        <f t="shared" si="18"/>
        <v>29.037391660934173</v>
      </c>
      <c r="V278" s="6">
        <f t="shared" si="18"/>
        <v>3.3979434747043471</v>
      </c>
      <c r="W278" s="6">
        <f t="shared" si="18"/>
        <v>79.609176587432927</v>
      </c>
      <c r="X278" s="6">
        <f t="shared" si="18"/>
        <v>14.5</v>
      </c>
      <c r="Y278" s="6">
        <f t="shared" si="18"/>
        <v>211.78668882920024</v>
      </c>
      <c r="Z278" s="6">
        <f t="shared" si="18"/>
        <v>14.023650064272198</v>
      </c>
      <c r="AA278" s="6">
        <f t="shared" si="18"/>
        <v>9.8780267216928124</v>
      </c>
      <c r="AB278" s="6">
        <f t="shared" ref="N278:AU286" si="19">SUMIFS(AB$6:AB$235,$I$6:$I$235,$I278,$H$6:$H$235,"ACT_BND",$B$6:$B$235,$J278)</f>
        <v>48.242339985030576</v>
      </c>
      <c r="AC278" s="6">
        <f t="shared" si="19"/>
        <v>0.24211709519764227</v>
      </c>
      <c r="AD278" s="6">
        <f t="shared" si="19"/>
        <v>0</v>
      </c>
      <c r="AE278" s="6">
        <f t="shared" si="19"/>
        <v>61.673813098158334</v>
      </c>
      <c r="AF278" s="6">
        <f t="shared" si="19"/>
        <v>14.773808020891783</v>
      </c>
      <c r="AG278" s="6">
        <f t="shared" si="19"/>
        <v>0.3728407819459077</v>
      </c>
      <c r="AH278" s="6">
        <f t="shared" si="19"/>
        <v>6.985258873816198</v>
      </c>
      <c r="AI278" s="6">
        <f t="shared" si="19"/>
        <v>8.2496338818426218E-2</v>
      </c>
      <c r="AJ278" s="6">
        <f t="shared" si="19"/>
        <v>1.4983805155853804</v>
      </c>
      <c r="AK278" s="6">
        <f t="shared" si="19"/>
        <v>6.8864715951724103</v>
      </c>
      <c r="AL278" s="6">
        <f t="shared" si="19"/>
        <v>5.7287598929844128</v>
      </c>
      <c r="AM278" s="6">
        <f t="shared" si="19"/>
        <v>5.9239423025760765</v>
      </c>
      <c r="AN278" s="6">
        <f t="shared" si="19"/>
        <v>103.20006410404739</v>
      </c>
      <c r="AO278" s="6">
        <f t="shared" si="19"/>
        <v>5.837455278035903</v>
      </c>
      <c r="AP278" s="6">
        <f t="shared" si="19"/>
        <v>57.010872291735097</v>
      </c>
      <c r="AQ278" s="6">
        <f t="shared" si="19"/>
        <v>19.873055410837697</v>
      </c>
      <c r="AR278" s="6">
        <f t="shared" si="19"/>
        <v>20.078427147911459</v>
      </c>
      <c r="AS278" s="6">
        <f t="shared" si="19"/>
        <v>0.79721359561956562</v>
      </c>
      <c r="AT278" s="6">
        <f t="shared" si="19"/>
        <v>13.357184390360672</v>
      </c>
      <c r="AU278" s="6">
        <f t="shared" si="19"/>
        <v>71.334409631407198</v>
      </c>
      <c r="AX278" s="88">
        <f t="shared" si="9"/>
        <v>1003.2341621152327</v>
      </c>
      <c r="AY278" s="6">
        <f t="shared" si="10"/>
        <v>1109.8557759488658</v>
      </c>
    </row>
    <row r="279" spans="9:51">
      <c r="I279">
        <v>2020</v>
      </c>
      <c r="J279" t="s">
        <v>141</v>
      </c>
      <c r="L279" s="6">
        <f t="shared" si="17"/>
        <v>1.3969915910433135</v>
      </c>
      <c r="M279" s="6">
        <f t="shared" si="17"/>
        <v>21.382958245638143</v>
      </c>
      <c r="N279" s="52">
        <f t="shared" si="19"/>
        <v>6.9043912418575397</v>
      </c>
      <c r="O279" s="6">
        <f t="shared" si="19"/>
        <v>31.185227059918116</v>
      </c>
      <c r="P279" s="6">
        <f t="shared" si="19"/>
        <v>2.7594911941692093</v>
      </c>
      <c r="Q279" s="6">
        <f t="shared" si="19"/>
        <v>3.8017740306993604</v>
      </c>
      <c r="R279" s="6">
        <f t="shared" si="19"/>
        <v>0.3995619747139787</v>
      </c>
      <c r="S279" s="6">
        <f t="shared" si="19"/>
        <v>37.494252264289969</v>
      </c>
      <c r="T279" s="6">
        <f t="shared" si="19"/>
        <v>212.81222762624691</v>
      </c>
      <c r="U279" s="6">
        <f t="shared" si="19"/>
        <v>27.199973667288049</v>
      </c>
      <c r="V279" s="6">
        <f t="shared" si="19"/>
        <v>3.5939478038589279</v>
      </c>
      <c r="W279" s="6">
        <f t="shared" si="19"/>
        <v>91.252173300412679</v>
      </c>
      <c r="X279" s="6">
        <f t="shared" si="19"/>
        <v>17</v>
      </c>
      <c r="Y279" s="6">
        <f t="shared" si="19"/>
        <v>225.17032098217962</v>
      </c>
      <c r="Z279" s="6">
        <f t="shared" si="19"/>
        <v>18.953503224481686</v>
      </c>
      <c r="AA279" s="6">
        <f t="shared" si="19"/>
        <v>9.6737682778682323</v>
      </c>
      <c r="AB279" s="6">
        <f t="shared" si="19"/>
        <v>50.07320107534504</v>
      </c>
      <c r="AC279" s="6">
        <f t="shared" si="19"/>
        <v>0.35320024008712148</v>
      </c>
      <c r="AD279" s="6">
        <f t="shared" si="19"/>
        <v>0</v>
      </c>
      <c r="AE279" s="6">
        <f t="shared" si="19"/>
        <v>64.331788135435033</v>
      </c>
      <c r="AF279" s="6">
        <f t="shared" si="19"/>
        <v>14.300399299907479</v>
      </c>
      <c r="AG279" s="6">
        <f t="shared" si="19"/>
        <v>0.31976613765372747</v>
      </c>
      <c r="AH279" s="6">
        <f t="shared" si="19"/>
        <v>8.3748945699004036</v>
      </c>
      <c r="AI279" s="6">
        <f t="shared" si="19"/>
        <v>0.12978770873978049</v>
      </c>
      <c r="AJ279" s="6">
        <f t="shared" si="19"/>
        <v>1.4390825659866513</v>
      </c>
      <c r="AK279" s="6">
        <f t="shared" si="19"/>
        <v>1.0677523711737143E-2</v>
      </c>
      <c r="AL279" s="6">
        <f t="shared" si="19"/>
        <v>5.3094213820901537</v>
      </c>
      <c r="AM279" s="6">
        <f t="shared" si="19"/>
        <v>5.0970237705900603</v>
      </c>
      <c r="AN279" s="6">
        <f t="shared" si="19"/>
        <v>102.69758722520552</v>
      </c>
      <c r="AO279" s="6">
        <f t="shared" si="19"/>
        <v>7.1572682775567333</v>
      </c>
      <c r="AP279" s="6">
        <f t="shared" si="19"/>
        <v>54.587606069948535</v>
      </c>
      <c r="AQ279" s="6">
        <f t="shared" si="19"/>
        <v>22.093578511289312</v>
      </c>
      <c r="AR279" s="6">
        <f t="shared" si="19"/>
        <v>17.391275000904638</v>
      </c>
      <c r="AS279" s="6">
        <f t="shared" si="19"/>
        <v>0.95625262255551269</v>
      </c>
      <c r="AT279" s="6">
        <f t="shared" si="19"/>
        <v>14.660987670976107</v>
      </c>
      <c r="AU279" s="6">
        <f t="shared" si="19"/>
        <v>64.125585284769826</v>
      </c>
      <c r="AX279" s="88">
        <f t="shared" si="9"/>
        <v>1043.5466309000312</v>
      </c>
      <c r="AY279" s="6">
        <f t="shared" si="10"/>
        <v>1144.3899455573189</v>
      </c>
    </row>
    <row r="280" spans="9:51">
      <c r="I280">
        <v>2030</v>
      </c>
      <c r="J280" t="s">
        <v>141</v>
      </c>
      <c r="L280" s="6">
        <f t="shared" ref="L280:AA296" si="20">SUMIFS(L$6:L$235,$I$6:$I$235,$I280,$H$6:$H$235,"ACT_BND",$B$6:$B$235,$J280)</f>
        <v>1.517660259813649</v>
      </c>
      <c r="M280" s="6">
        <f t="shared" si="20"/>
        <v>22.179122853532292</v>
      </c>
      <c r="N280" s="52">
        <f t="shared" si="20"/>
        <v>6.8539527589448497</v>
      </c>
      <c r="O280" s="6">
        <f t="shared" si="20"/>
        <v>30.071241397533701</v>
      </c>
      <c r="P280" s="6">
        <f t="shared" si="20"/>
        <v>2.7698171592746772</v>
      </c>
      <c r="Q280" s="6">
        <f t="shared" si="20"/>
        <v>3.5660898575930298</v>
      </c>
      <c r="R280" s="6">
        <f t="shared" si="20"/>
        <v>0.42488685656829295</v>
      </c>
      <c r="S280" s="6">
        <f t="shared" si="20"/>
        <v>37.570565207177715</v>
      </c>
      <c r="T280" s="6">
        <f t="shared" si="20"/>
        <v>206.44692720071197</v>
      </c>
      <c r="U280" s="6">
        <f t="shared" si="20"/>
        <v>25.865711354141254</v>
      </c>
      <c r="V280" s="6">
        <f t="shared" si="20"/>
        <v>4.5045045950558373</v>
      </c>
      <c r="W280" s="6">
        <f t="shared" si="20"/>
        <v>93.005311565266197</v>
      </c>
      <c r="X280" s="6">
        <f t="shared" si="20"/>
        <v>17.899999999999999</v>
      </c>
      <c r="Y280" s="6">
        <f t="shared" si="20"/>
        <v>215.66115469121027</v>
      </c>
      <c r="Z280" s="6">
        <f t="shared" si="20"/>
        <v>20.46848724974339</v>
      </c>
      <c r="AA280" s="6">
        <f t="shared" si="20"/>
        <v>8.9855645076086983</v>
      </c>
      <c r="AB280" s="6">
        <f t="shared" si="19"/>
        <v>47.804116631141049</v>
      </c>
      <c r="AC280" s="6">
        <f t="shared" si="19"/>
        <v>0.31145446785010256</v>
      </c>
      <c r="AD280" s="6">
        <f t="shared" si="19"/>
        <v>0</v>
      </c>
      <c r="AE280" s="6">
        <f t="shared" si="19"/>
        <v>63.283221397180164</v>
      </c>
      <c r="AF280" s="6">
        <f t="shared" si="19"/>
        <v>13.50660687038792</v>
      </c>
      <c r="AG280" s="6">
        <f t="shared" si="19"/>
        <v>0.33888858280464085</v>
      </c>
      <c r="AH280" s="6">
        <f t="shared" si="19"/>
        <v>7.9472166565368374</v>
      </c>
      <c r="AI280" s="6">
        <f t="shared" si="19"/>
        <v>0.13182530704452253</v>
      </c>
      <c r="AJ280" s="6">
        <f t="shared" si="19"/>
        <v>1.4941274535410551</v>
      </c>
      <c r="AK280" s="6">
        <f t="shared" si="19"/>
        <v>1.0934459311801648E-2</v>
      </c>
      <c r="AL280" s="6">
        <f t="shared" si="19"/>
        <v>5.2781434737151258</v>
      </c>
      <c r="AM280" s="6">
        <f t="shared" si="19"/>
        <v>4.7372232442009876</v>
      </c>
      <c r="AN280" s="6">
        <f t="shared" si="19"/>
        <v>88.482169940403452</v>
      </c>
      <c r="AO280" s="6">
        <f t="shared" si="19"/>
        <v>8.2391296257899835</v>
      </c>
      <c r="AP280" s="6">
        <f t="shared" si="19"/>
        <v>57.43163083639039</v>
      </c>
      <c r="AQ280" s="6">
        <f t="shared" si="19"/>
        <v>23.425092646329979</v>
      </c>
      <c r="AR280" s="6">
        <f t="shared" si="19"/>
        <v>16.379706460866672</v>
      </c>
      <c r="AS280" s="6">
        <f t="shared" si="19"/>
        <v>0.86894867048460478</v>
      </c>
      <c r="AT280" s="6">
        <f t="shared" si="19"/>
        <v>13.601466230524832</v>
      </c>
      <c r="AU280" s="6">
        <f t="shared" si="19"/>
        <v>69.486622197546126</v>
      </c>
      <c r="AX280" s="88">
        <f t="shared" si="9"/>
        <v>1013.4210645408818</v>
      </c>
      <c r="AY280" s="6">
        <f t="shared" si="10"/>
        <v>1120.549522666226</v>
      </c>
    </row>
    <row r="281" spans="9:51">
      <c r="I281">
        <v>2040</v>
      </c>
      <c r="J281" t="s">
        <v>141</v>
      </c>
      <c r="L281" s="6">
        <f t="shared" si="20"/>
        <v>1.598184246490755</v>
      </c>
      <c r="M281" s="6">
        <f t="shared" si="20"/>
        <v>22.755979770796625</v>
      </c>
      <c r="N281" s="52">
        <f t="shared" si="19"/>
        <v>7.0033616911938426</v>
      </c>
      <c r="O281" s="6">
        <f t="shared" si="19"/>
        <v>27.822212557358711</v>
      </c>
      <c r="P281" s="6">
        <f t="shared" si="19"/>
        <v>2.9256805505224168</v>
      </c>
      <c r="Q281" s="6">
        <f t="shared" si="19"/>
        <v>3.6597564015003536</v>
      </c>
      <c r="R281" s="6">
        <f t="shared" si="19"/>
        <v>0.43121175305771786</v>
      </c>
      <c r="S281" s="6">
        <f t="shared" si="19"/>
        <v>36.561605639260961</v>
      </c>
      <c r="T281" s="6">
        <f t="shared" si="19"/>
        <v>201.4601739767121</v>
      </c>
      <c r="U281" s="6">
        <f t="shared" si="19"/>
        <v>23.920727097537032</v>
      </c>
      <c r="V281" s="6">
        <f t="shared" si="19"/>
        <v>5.3121583625116253</v>
      </c>
      <c r="W281" s="6">
        <f t="shared" si="19"/>
        <v>91.128223210108146</v>
      </c>
      <c r="X281" s="6">
        <f t="shared" si="19"/>
        <v>17.899999999999999</v>
      </c>
      <c r="Y281" s="6">
        <f t="shared" si="19"/>
        <v>203.15916960505899</v>
      </c>
      <c r="Z281" s="6">
        <f t="shared" si="19"/>
        <v>20.580121980593059</v>
      </c>
      <c r="AA281" s="6">
        <f t="shared" si="19"/>
        <v>7.9793797392438641</v>
      </c>
      <c r="AB281" s="6">
        <f t="shared" si="19"/>
        <v>47.249384246178856</v>
      </c>
      <c r="AC281" s="6">
        <f t="shared" si="19"/>
        <v>0.24773613386937307</v>
      </c>
      <c r="AD281" s="6">
        <f t="shared" si="19"/>
        <v>0</v>
      </c>
      <c r="AE281" s="6">
        <f t="shared" si="19"/>
        <v>62.087031465289471</v>
      </c>
      <c r="AF281" s="6">
        <f t="shared" si="19"/>
        <v>15.638038478467239</v>
      </c>
      <c r="AG281" s="6">
        <f t="shared" si="19"/>
        <v>0.37751550668346984</v>
      </c>
      <c r="AH281" s="6">
        <f t="shared" si="19"/>
        <v>7.4184191946300446</v>
      </c>
      <c r="AI281" s="6">
        <f t="shared" si="19"/>
        <v>0.14032084786677712</v>
      </c>
      <c r="AJ281" s="6">
        <f t="shared" si="19"/>
        <v>1.6018538529268278</v>
      </c>
      <c r="AK281" s="6">
        <f t="shared" si="19"/>
        <v>1.1278253023352405E-2</v>
      </c>
      <c r="AL281" s="6">
        <f t="shared" si="19"/>
        <v>5.721505867891473</v>
      </c>
      <c r="AM281" s="6">
        <f t="shared" si="19"/>
        <v>4.8120323942997461</v>
      </c>
      <c r="AN281" s="6">
        <f t="shared" si="19"/>
        <v>79.819399254496176</v>
      </c>
      <c r="AO281" s="6">
        <f t="shared" si="19"/>
        <v>7.8771087079546653</v>
      </c>
      <c r="AP281" s="6">
        <f t="shared" si="19"/>
        <v>59.64677440954955</v>
      </c>
      <c r="AQ281" s="6">
        <f t="shared" si="19"/>
        <v>27.730291168406492</v>
      </c>
      <c r="AR281" s="6">
        <f t="shared" si="19"/>
        <v>16.7269355750106</v>
      </c>
      <c r="AS281" s="6">
        <f t="shared" si="19"/>
        <v>0.88144208337727659</v>
      </c>
      <c r="AT281" s="6">
        <f t="shared" si="19"/>
        <v>13.220357722260861</v>
      </c>
      <c r="AU281" s="6">
        <f t="shared" si="19"/>
        <v>67.1743997750131</v>
      </c>
      <c r="AX281" s="88">
        <f t="shared" si="9"/>
        <v>982.93725228211486</v>
      </c>
      <c r="AY281" s="6">
        <f t="shared" si="10"/>
        <v>1092.5797715191416</v>
      </c>
    </row>
    <row r="282" spans="9:51">
      <c r="I282">
        <v>2050</v>
      </c>
      <c r="J282" t="s">
        <v>141</v>
      </c>
      <c r="L282" s="6">
        <f t="shared" si="20"/>
        <v>1.6787082331678609</v>
      </c>
      <c r="M282" s="6">
        <f t="shared" si="20"/>
        <v>23.321222311295799</v>
      </c>
      <c r="N282" s="52">
        <f t="shared" si="19"/>
        <v>7.1486906838156408</v>
      </c>
      <c r="O282" s="6">
        <f t="shared" si="19"/>
        <v>25.572781627724531</v>
      </c>
      <c r="P282" s="6">
        <f t="shared" si="19"/>
        <v>3.0815439417701564</v>
      </c>
      <c r="Q282" s="6">
        <f t="shared" si="19"/>
        <v>3.7633136890504013</v>
      </c>
      <c r="R282" s="6">
        <f t="shared" si="19"/>
        <v>0.43768205116719638</v>
      </c>
      <c r="S282" s="6">
        <f t="shared" si="19"/>
        <v>35.538561656023674</v>
      </c>
      <c r="T282" s="6">
        <f t="shared" si="19"/>
        <v>195.06365893727514</v>
      </c>
      <c r="U282" s="6">
        <f t="shared" si="19"/>
        <v>22.004955204877554</v>
      </c>
      <c r="V282" s="6">
        <f t="shared" si="19"/>
        <v>6.126381514372075</v>
      </c>
      <c r="W282" s="6">
        <f t="shared" si="19"/>
        <v>89.433212866560808</v>
      </c>
      <c r="X282" s="6">
        <f t="shared" si="19"/>
        <v>17.899999999999999</v>
      </c>
      <c r="Y282" s="6">
        <f t="shared" si="19"/>
        <v>190.79430381257583</v>
      </c>
      <c r="Z282" s="6">
        <f t="shared" si="19"/>
        <v>20.842951329346228</v>
      </c>
      <c r="AA282" s="6">
        <f t="shared" si="19"/>
        <v>7.5014614448496477</v>
      </c>
      <c r="AB282" s="6">
        <f t="shared" si="19"/>
        <v>46.694636565718184</v>
      </c>
      <c r="AC282" s="6">
        <f t="shared" si="19"/>
        <v>0.18421413924166646</v>
      </c>
      <c r="AD282" s="6">
        <f t="shared" si="19"/>
        <v>0</v>
      </c>
      <c r="AE282" s="6">
        <f t="shared" si="19"/>
        <v>60.814020497351251</v>
      </c>
      <c r="AF282" s="6">
        <f t="shared" si="19"/>
        <v>17.769269467189648</v>
      </c>
      <c r="AG282" s="6">
        <f t="shared" si="19"/>
        <v>0.41205230553906125</v>
      </c>
      <c r="AH282" s="6">
        <f t="shared" si="19"/>
        <v>6.8878316915734663</v>
      </c>
      <c r="AI282" s="6">
        <f t="shared" si="19"/>
        <v>0.1488163886890318</v>
      </c>
      <c r="AJ282" s="6">
        <f t="shared" si="19"/>
        <v>1.7095802523126011</v>
      </c>
      <c r="AK282" s="6">
        <f t="shared" si="19"/>
        <v>1.162204673490317E-2</v>
      </c>
      <c r="AL282" s="6">
        <f t="shared" si="19"/>
        <v>6.1621324390553438</v>
      </c>
      <c r="AM282" s="6">
        <f t="shared" si="19"/>
        <v>4.9005629166544837</v>
      </c>
      <c r="AN282" s="6">
        <f t="shared" si="19"/>
        <v>71.319810333193871</v>
      </c>
      <c r="AO282" s="6">
        <f t="shared" si="19"/>
        <v>7.4880508461132447</v>
      </c>
      <c r="AP282" s="6">
        <f t="shared" si="19"/>
        <v>61.827086700861834</v>
      </c>
      <c r="AQ282" s="6">
        <f t="shared" si="19"/>
        <v>32.035489690483011</v>
      </c>
      <c r="AR282" s="6">
        <f t="shared" si="19"/>
        <v>17.116946842453824</v>
      </c>
      <c r="AS282" s="6">
        <f t="shared" si="19"/>
        <v>0.89383205764101992</v>
      </c>
      <c r="AT282" s="6">
        <f t="shared" si="19"/>
        <v>12.838329458707843</v>
      </c>
      <c r="AU282" s="6">
        <f t="shared" si="19"/>
        <v>64.683531339437934</v>
      </c>
      <c r="AX282" s="88">
        <f t="shared" si="9"/>
        <v>952.10569883125913</v>
      </c>
      <c r="AY282" s="6">
        <f t="shared" si="10"/>
        <v>1064.1072452828248</v>
      </c>
    </row>
    <row r="283" spans="9:51">
      <c r="L283" s="6"/>
      <c r="M283" s="6"/>
      <c r="N283" s="52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X283" s="88"/>
      <c r="AY283" s="6">
        <f t="shared" si="10"/>
        <v>0</v>
      </c>
    </row>
    <row r="284" spans="9:51">
      <c r="I284">
        <v>2005</v>
      </c>
      <c r="J284" t="s">
        <v>142</v>
      </c>
      <c r="L284" s="6">
        <f t="shared" si="20"/>
        <v>6.6</v>
      </c>
      <c r="M284" s="6">
        <f t="shared" si="20"/>
        <v>33.1</v>
      </c>
      <c r="N284" s="52">
        <f t="shared" si="19"/>
        <v>5.5</v>
      </c>
      <c r="O284" s="6">
        <f t="shared" si="19"/>
        <v>13.2</v>
      </c>
      <c r="P284" s="6">
        <f t="shared" si="19"/>
        <v>25.8</v>
      </c>
      <c r="Q284" s="6">
        <f t="shared" si="19"/>
        <v>14.3</v>
      </c>
      <c r="R284" s="6">
        <f t="shared" si="19"/>
        <v>0</v>
      </c>
      <c r="S284" s="6">
        <f t="shared" si="19"/>
        <v>11.2</v>
      </c>
      <c r="T284" s="6">
        <f t="shared" si="19"/>
        <v>89.5</v>
      </c>
      <c r="U284" s="6">
        <f t="shared" si="19"/>
        <v>6.4</v>
      </c>
      <c r="V284" s="6">
        <f t="shared" si="19"/>
        <v>12.3</v>
      </c>
      <c r="W284" s="6">
        <f t="shared" si="19"/>
        <v>28.2</v>
      </c>
      <c r="X284" s="6">
        <f t="shared" si="19"/>
        <v>56</v>
      </c>
      <c r="Y284" s="6">
        <f t="shared" si="19"/>
        <v>197.6</v>
      </c>
      <c r="Z284" s="6">
        <f t="shared" si="19"/>
        <v>5.7</v>
      </c>
      <c r="AA284" s="6">
        <f t="shared" si="19"/>
        <v>11</v>
      </c>
      <c r="AB284" s="6">
        <f t="shared" si="19"/>
        <v>20.9</v>
      </c>
      <c r="AC284" s="6">
        <f t="shared" si="19"/>
        <v>1.9</v>
      </c>
      <c r="AD284" s="6">
        <f t="shared" si="19"/>
        <v>0</v>
      </c>
      <c r="AE284" s="6">
        <f t="shared" si="19"/>
        <v>61.1</v>
      </c>
      <c r="AF284" s="6">
        <f t="shared" si="19"/>
        <v>14.7</v>
      </c>
      <c r="AG284" s="6">
        <f t="shared" si="19"/>
        <v>0.2</v>
      </c>
      <c r="AH284" s="6">
        <f t="shared" si="19"/>
        <v>20.100000000000001</v>
      </c>
      <c r="AI284" s="6">
        <f t="shared" si="19"/>
        <v>4.0999999999999996</v>
      </c>
      <c r="AJ284" s="6">
        <f t="shared" si="19"/>
        <v>20.399999999999999</v>
      </c>
      <c r="AK284" s="6">
        <f t="shared" si="19"/>
        <v>0</v>
      </c>
      <c r="AL284" s="6">
        <f t="shared" si="19"/>
        <v>2.4</v>
      </c>
      <c r="AM284" s="6">
        <f t="shared" si="19"/>
        <v>26.9</v>
      </c>
      <c r="AN284" s="6">
        <f t="shared" si="19"/>
        <v>24</v>
      </c>
      <c r="AO284" s="6">
        <f t="shared" si="19"/>
        <v>16</v>
      </c>
      <c r="AP284" s="6">
        <f t="shared" si="19"/>
        <v>32.5</v>
      </c>
      <c r="AQ284" s="6">
        <f t="shared" si="19"/>
        <v>140.5</v>
      </c>
      <c r="AR284" s="6">
        <f t="shared" si="19"/>
        <v>72.2</v>
      </c>
      <c r="AS284" s="6">
        <f t="shared" si="19"/>
        <v>13.4</v>
      </c>
      <c r="AT284" s="6">
        <f t="shared" si="19"/>
        <v>3.7</v>
      </c>
      <c r="AU284" s="6">
        <f t="shared" si="19"/>
        <v>8.8000000000000007</v>
      </c>
      <c r="AX284" s="88">
        <f t="shared" si="9"/>
        <v>752.80000000000007</v>
      </c>
      <c r="AY284" s="6">
        <f t="shared" si="10"/>
        <v>1000.2000000000002</v>
      </c>
    </row>
    <row r="285" spans="9:51">
      <c r="I285">
        <v>2010</v>
      </c>
      <c r="J285" t="s">
        <v>142</v>
      </c>
      <c r="L285" s="6">
        <f t="shared" si="20"/>
        <v>6.7</v>
      </c>
      <c r="M285" s="6">
        <f t="shared" si="20"/>
        <v>33.200000000000003</v>
      </c>
      <c r="N285" s="52">
        <f t="shared" si="19"/>
        <v>5.6</v>
      </c>
      <c r="O285" s="6">
        <f t="shared" si="19"/>
        <v>12.9</v>
      </c>
      <c r="P285" s="6">
        <f t="shared" si="19"/>
        <v>25.9</v>
      </c>
      <c r="Q285" s="6">
        <f t="shared" si="19"/>
        <v>14.4</v>
      </c>
      <c r="R285" s="6">
        <f t="shared" si="19"/>
        <v>0</v>
      </c>
      <c r="S285" s="6">
        <f t="shared" si="19"/>
        <v>11.1</v>
      </c>
      <c r="T285" s="6">
        <f t="shared" si="19"/>
        <v>89.9</v>
      </c>
      <c r="U285" s="6">
        <f t="shared" si="19"/>
        <v>6.4</v>
      </c>
      <c r="V285" s="6">
        <f t="shared" si="19"/>
        <v>12.2</v>
      </c>
      <c r="W285" s="6">
        <f t="shared" si="19"/>
        <v>27.6</v>
      </c>
      <c r="X285" s="6">
        <f t="shared" si="19"/>
        <v>55.7</v>
      </c>
      <c r="Y285" s="6">
        <f t="shared" si="19"/>
        <v>195.2</v>
      </c>
      <c r="Z285" s="6">
        <f t="shared" si="19"/>
        <v>5.6</v>
      </c>
      <c r="AA285" s="6">
        <f t="shared" si="19"/>
        <v>10.8</v>
      </c>
      <c r="AB285" s="6">
        <f t="shared" si="19"/>
        <v>20.7</v>
      </c>
      <c r="AC285" s="6">
        <f t="shared" si="19"/>
        <v>1.8</v>
      </c>
      <c r="AD285" s="6">
        <f t="shared" si="19"/>
        <v>0</v>
      </c>
      <c r="AE285" s="6">
        <f t="shared" si="19"/>
        <v>60.8</v>
      </c>
      <c r="AF285" s="6">
        <f t="shared" si="19"/>
        <v>14.6</v>
      </c>
      <c r="AG285" s="6">
        <f t="shared" si="19"/>
        <v>0.2</v>
      </c>
      <c r="AH285" s="6">
        <f t="shared" si="19"/>
        <v>20.100000000000001</v>
      </c>
      <c r="AI285" s="6">
        <f t="shared" si="19"/>
        <v>4.0999999999999996</v>
      </c>
      <c r="AJ285" s="6">
        <f t="shared" si="19"/>
        <v>20.5</v>
      </c>
      <c r="AK285" s="6">
        <f t="shared" si="19"/>
        <v>0</v>
      </c>
      <c r="AL285" s="6">
        <f t="shared" si="19"/>
        <v>2.2999999999999998</v>
      </c>
      <c r="AM285" s="6">
        <f t="shared" si="19"/>
        <v>27</v>
      </c>
      <c r="AN285" s="6">
        <f t="shared" si="19"/>
        <v>23.9</v>
      </c>
      <c r="AO285" s="6">
        <f t="shared" si="19"/>
        <v>15.8</v>
      </c>
      <c r="AP285" s="6">
        <f t="shared" si="19"/>
        <v>32.200000000000003</v>
      </c>
      <c r="AQ285" s="6">
        <f t="shared" si="19"/>
        <v>141.1</v>
      </c>
      <c r="AR285" s="6">
        <f t="shared" si="19"/>
        <v>72.5</v>
      </c>
      <c r="AS285" s="6">
        <f t="shared" si="19"/>
        <v>13.4</v>
      </c>
      <c r="AT285" s="6">
        <f t="shared" si="19"/>
        <v>3.6</v>
      </c>
      <c r="AU285" s="6">
        <f t="shared" si="19"/>
        <v>8.6999999999999993</v>
      </c>
      <c r="AX285" s="88">
        <f t="shared" si="9"/>
        <v>748.1</v>
      </c>
      <c r="AY285" s="6">
        <f t="shared" si="10"/>
        <v>996.50000000000011</v>
      </c>
    </row>
    <row r="286" spans="9:51">
      <c r="I286">
        <v>2020</v>
      </c>
      <c r="J286" t="s">
        <v>142</v>
      </c>
      <c r="L286" s="6">
        <f t="shared" si="20"/>
        <v>6.3</v>
      </c>
      <c r="M286" s="6">
        <f t="shared" si="20"/>
        <v>33</v>
      </c>
      <c r="N286" s="52">
        <f t="shared" si="19"/>
        <v>6</v>
      </c>
      <c r="O286" s="6">
        <f t="shared" si="19"/>
        <v>12.2</v>
      </c>
      <c r="P286" s="6">
        <f t="shared" si="19"/>
        <v>26.2</v>
      </c>
      <c r="Q286" s="6">
        <f t="shared" si="19"/>
        <v>13.1</v>
      </c>
      <c r="R286" s="6">
        <f t="shared" si="19"/>
        <v>0</v>
      </c>
      <c r="S286" s="6">
        <f t="shared" si="19"/>
        <v>10.8</v>
      </c>
      <c r="T286" s="6">
        <f t="shared" si="19"/>
        <v>91.5</v>
      </c>
      <c r="U286" s="6">
        <f t="shared" si="19"/>
        <v>6.3</v>
      </c>
      <c r="V286" s="6">
        <f t="shared" si="19"/>
        <v>11.8</v>
      </c>
      <c r="W286" s="6">
        <f t="shared" si="19"/>
        <v>25.2</v>
      </c>
      <c r="X286" s="6">
        <f t="shared" si="19"/>
        <v>74.2</v>
      </c>
      <c r="Y286" s="6">
        <f t="shared" ref="N286:AU293" si="21">SUMIFS(Y$6:Y$235,$I$6:$I$235,$I286,$H$6:$H$235,"ACT_BND",$B$6:$B$235,$J286)</f>
        <v>186.7</v>
      </c>
      <c r="Z286" s="6">
        <f t="shared" si="21"/>
        <v>5.4</v>
      </c>
      <c r="AA286" s="6">
        <f t="shared" si="21"/>
        <v>10.199999999999999</v>
      </c>
      <c r="AB286" s="6">
        <f t="shared" si="21"/>
        <v>19.899999999999999</v>
      </c>
      <c r="AC286" s="6">
        <f t="shared" si="21"/>
        <v>1.5</v>
      </c>
      <c r="AD286" s="6">
        <f t="shared" si="21"/>
        <v>0</v>
      </c>
      <c r="AE286" s="6">
        <f t="shared" si="21"/>
        <v>59.8</v>
      </c>
      <c r="AF286" s="6">
        <f t="shared" si="21"/>
        <v>14.1</v>
      </c>
      <c r="AG286" s="6">
        <f t="shared" si="21"/>
        <v>0.2</v>
      </c>
      <c r="AH286" s="6">
        <f t="shared" si="21"/>
        <v>19.899999999999999</v>
      </c>
      <c r="AI286" s="6">
        <f t="shared" si="21"/>
        <v>4.0999999999999996</v>
      </c>
      <c r="AJ286" s="6">
        <f t="shared" si="21"/>
        <v>20.7</v>
      </c>
      <c r="AK286" s="6">
        <f t="shared" si="21"/>
        <v>0</v>
      </c>
      <c r="AL286" s="6">
        <f t="shared" si="21"/>
        <v>2.1</v>
      </c>
      <c r="AM286" s="6">
        <f t="shared" si="21"/>
        <v>26.7</v>
      </c>
      <c r="AN286" s="6">
        <f t="shared" si="21"/>
        <v>23.5</v>
      </c>
      <c r="AO286" s="6">
        <f t="shared" si="21"/>
        <v>15</v>
      </c>
      <c r="AP286" s="6">
        <f t="shared" si="21"/>
        <v>31.2</v>
      </c>
      <c r="AQ286" s="6">
        <f t="shared" si="21"/>
        <v>116.1</v>
      </c>
      <c r="AR286" s="6">
        <f t="shared" si="21"/>
        <v>72.2</v>
      </c>
      <c r="AS286" s="6">
        <f t="shared" si="21"/>
        <v>13.3</v>
      </c>
      <c r="AT286" s="6">
        <f t="shared" si="21"/>
        <v>3.5</v>
      </c>
      <c r="AU286" s="6">
        <f t="shared" si="21"/>
        <v>8.5</v>
      </c>
      <c r="AX286" s="88">
        <f t="shared" si="9"/>
        <v>749.5</v>
      </c>
      <c r="AY286" s="6">
        <f t="shared" si="10"/>
        <v>971.20000000000016</v>
      </c>
    </row>
    <row r="287" spans="9:51">
      <c r="I287">
        <v>2030</v>
      </c>
      <c r="J287" t="s">
        <v>142</v>
      </c>
      <c r="L287" s="6">
        <f t="shared" si="20"/>
        <v>5.8</v>
      </c>
      <c r="M287" s="6">
        <f t="shared" si="20"/>
        <v>33.700000000000003</v>
      </c>
      <c r="N287" s="52">
        <f t="shared" si="21"/>
        <v>6</v>
      </c>
      <c r="O287" s="6">
        <f t="shared" si="21"/>
        <v>12</v>
      </c>
      <c r="P287" s="6">
        <f t="shared" si="21"/>
        <v>27</v>
      </c>
      <c r="Q287" s="6">
        <f t="shared" si="21"/>
        <v>13.4</v>
      </c>
      <c r="R287" s="6">
        <f t="shared" si="21"/>
        <v>0</v>
      </c>
      <c r="S287" s="6">
        <f t="shared" si="21"/>
        <v>11</v>
      </c>
      <c r="T287" s="6">
        <f t="shared" si="21"/>
        <v>91.2</v>
      </c>
      <c r="U287" s="6">
        <f t="shared" si="21"/>
        <v>6.4</v>
      </c>
      <c r="V287" s="6">
        <f t="shared" si="21"/>
        <v>11.8</v>
      </c>
      <c r="W287" s="6">
        <f t="shared" si="21"/>
        <v>25.3</v>
      </c>
      <c r="X287" s="6">
        <f t="shared" si="21"/>
        <v>82.8</v>
      </c>
      <c r="Y287" s="6">
        <f t="shared" si="21"/>
        <v>187.2</v>
      </c>
      <c r="Z287" s="6">
        <f t="shared" si="21"/>
        <v>5.4</v>
      </c>
      <c r="AA287" s="6">
        <f t="shared" si="21"/>
        <v>10.199999999999999</v>
      </c>
      <c r="AB287" s="6">
        <f t="shared" si="21"/>
        <v>19.899999999999999</v>
      </c>
      <c r="AC287" s="6">
        <f t="shared" si="21"/>
        <v>1.3</v>
      </c>
      <c r="AD287" s="6">
        <f t="shared" si="21"/>
        <v>0</v>
      </c>
      <c r="AE287" s="6">
        <f t="shared" si="21"/>
        <v>59.6</v>
      </c>
      <c r="AF287" s="6">
        <f t="shared" si="21"/>
        <v>14.3</v>
      </c>
      <c r="AG287" s="6">
        <f t="shared" si="21"/>
        <v>0.2</v>
      </c>
      <c r="AH287" s="6">
        <f t="shared" si="21"/>
        <v>20.100000000000001</v>
      </c>
      <c r="AI287" s="6">
        <f t="shared" si="21"/>
        <v>12.5</v>
      </c>
      <c r="AJ287" s="6">
        <f t="shared" si="21"/>
        <v>21.3</v>
      </c>
      <c r="AK287" s="6">
        <f t="shared" si="21"/>
        <v>0</v>
      </c>
      <c r="AL287" s="6">
        <f t="shared" si="21"/>
        <v>2</v>
      </c>
      <c r="AM287" s="6">
        <f t="shared" si="21"/>
        <v>27.6</v>
      </c>
      <c r="AN287" s="6">
        <f t="shared" si="21"/>
        <v>23.5</v>
      </c>
      <c r="AO287" s="6">
        <f t="shared" si="21"/>
        <v>15.3</v>
      </c>
      <c r="AP287" s="6">
        <f t="shared" si="21"/>
        <v>31.1</v>
      </c>
      <c r="AQ287" s="6">
        <f t="shared" si="21"/>
        <v>111.8</v>
      </c>
      <c r="AR287" s="6">
        <f t="shared" si="21"/>
        <v>73.099999999999994</v>
      </c>
      <c r="AS287" s="6">
        <f t="shared" si="21"/>
        <v>13.3</v>
      </c>
      <c r="AT287" s="6">
        <f t="shared" si="21"/>
        <v>3.6</v>
      </c>
      <c r="AU287" s="6">
        <f t="shared" si="21"/>
        <v>8.4</v>
      </c>
      <c r="AX287" s="88">
        <f t="shared" si="9"/>
        <v>760.3</v>
      </c>
      <c r="AY287" s="6">
        <f t="shared" si="10"/>
        <v>988.09999999999991</v>
      </c>
    </row>
    <row r="288" spans="9:51">
      <c r="I288">
        <v>2040</v>
      </c>
      <c r="J288" t="s">
        <v>142</v>
      </c>
      <c r="L288" s="6">
        <f t="shared" si="20"/>
        <v>5.9</v>
      </c>
      <c r="M288" s="6">
        <f t="shared" si="20"/>
        <v>33.799999999999997</v>
      </c>
      <c r="N288" s="52">
        <f t="shared" si="21"/>
        <v>6.2</v>
      </c>
      <c r="O288" s="6">
        <f t="shared" si="21"/>
        <v>11.4</v>
      </c>
      <c r="P288" s="6">
        <f t="shared" si="21"/>
        <v>27.8</v>
      </c>
      <c r="Q288" s="6">
        <f t="shared" si="21"/>
        <v>14.3</v>
      </c>
      <c r="R288" s="6">
        <f t="shared" si="21"/>
        <v>0</v>
      </c>
      <c r="S288" s="6">
        <f t="shared" si="21"/>
        <v>10.8</v>
      </c>
      <c r="T288" s="6">
        <f t="shared" si="21"/>
        <v>92.3</v>
      </c>
      <c r="U288" s="6">
        <f t="shared" si="21"/>
        <v>6.4</v>
      </c>
      <c r="V288" s="6">
        <f t="shared" si="21"/>
        <v>11.4</v>
      </c>
      <c r="W288" s="6">
        <f t="shared" si="21"/>
        <v>23.6</v>
      </c>
      <c r="X288" s="6">
        <f t="shared" si="21"/>
        <v>82.1</v>
      </c>
      <c r="Y288" s="6">
        <f t="shared" si="21"/>
        <v>181.2</v>
      </c>
      <c r="Z288" s="6">
        <f t="shared" si="21"/>
        <v>5.3</v>
      </c>
      <c r="AA288" s="6">
        <f t="shared" si="21"/>
        <v>9.8000000000000007</v>
      </c>
      <c r="AB288" s="6">
        <f t="shared" si="21"/>
        <v>19.399999999999999</v>
      </c>
      <c r="AC288" s="6">
        <f t="shared" si="21"/>
        <v>1.1000000000000001</v>
      </c>
      <c r="AD288" s="6">
        <f t="shared" si="21"/>
        <v>0</v>
      </c>
      <c r="AE288" s="6">
        <f t="shared" si="21"/>
        <v>58.9</v>
      </c>
      <c r="AF288" s="6">
        <f t="shared" si="21"/>
        <v>14</v>
      </c>
      <c r="AG288" s="6">
        <f t="shared" si="21"/>
        <v>0.2</v>
      </c>
      <c r="AH288" s="6">
        <f t="shared" si="21"/>
        <v>20.100000000000001</v>
      </c>
      <c r="AI288" s="6">
        <f t="shared" si="21"/>
        <v>13.2</v>
      </c>
      <c r="AJ288" s="6">
        <f t="shared" si="21"/>
        <v>21.9</v>
      </c>
      <c r="AK288" s="6">
        <f t="shared" si="21"/>
        <v>0</v>
      </c>
      <c r="AL288" s="6">
        <f t="shared" si="21"/>
        <v>1.9</v>
      </c>
      <c r="AM288" s="6">
        <f t="shared" si="21"/>
        <v>28</v>
      </c>
      <c r="AN288" s="6">
        <f t="shared" si="21"/>
        <v>23.3</v>
      </c>
      <c r="AO288" s="6">
        <f t="shared" si="21"/>
        <v>14.8</v>
      </c>
      <c r="AP288" s="6">
        <f t="shared" si="21"/>
        <v>30.4</v>
      </c>
      <c r="AQ288" s="6">
        <f t="shared" si="21"/>
        <v>111.3</v>
      </c>
      <c r="AR288" s="6">
        <f t="shared" si="21"/>
        <v>74.900000000000006</v>
      </c>
      <c r="AS288" s="6">
        <f t="shared" si="21"/>
        <v>12.9</v>
      </c>
      <c r="AT288" s="6">
        <f t="shared" si="21"/>
        <v>3.5</v>
      </c>
      <c r="AU288" s="6">
        <f t="shared" si="21"/>
        <v>8.1999999999999993</v>
      </c>
      <c r="AX288" s="88">
        <f t="shared" si="9"/>
        <v>749.69999999999993</v>
      </c>
      <c r="AY288" s="6">
        <f t="shared" si="10"/>
        <v>980.29999999999984</v>
      </c>
    </row>
    <row r="289" spans="9:51">
      <c r="I289">
        <v>2050</v>
      </c>
      <c r="J289" t="s">
        <v>142</v>
      </c>
      <c r="L289" s="6">
        <f t="shared" si="20"/>
        <v>5.4</v>
      </c>
      <c r="M289" s="6">
        <f t="shared" si="20"/>
        <v>33.9</v>
      </c>
      <c r="N289" s="52">
        <f t="shared" si="21"/>
        <v>6.4</v>
      </c>
      <c r="O289" s="6">
        <f t="shared" si="21"/>
        <v>10.9</v>
      </c>
      <c r="P289" s="6">
        <f t="shared" si="21"/>
        <v>25.3</v>
      </c>
      <c r="Q289" s="6">
        <f t="shared" si="21"/>
        <v>14.1</v>
      </c>
      <c r="R289" s="6">
        <f t="shared" si="21"/>
        <v>0</v>
      </c>
      <c r="S289" s="6">
        <f t="shared" si="21"/>
        <v>10.7</v>
      </c>
      <c r="T289" s="6">
        <f t="shared" si="21"/>
        <v>93.1</v>
      </c>
      <c r="U289" s="6">
        <f t="shared" si="21"/>
        <v>6.4</v>
      </c>
      <c r="V289" s="6">
        <f t="shared" si="21"/>
        <v>11.2</v>
      </c>
      <c r="W289" s="6">
        <f t="shared" si="21"/>
        <v>22.3</v>
      </c>
      <c r="X289" s="6">
        <f t="shared" si="21"/>
        <v>80.599999999999994</v>
      </c>
      <c r="Y289" s="6">
        <f t="shared" si="21"/>
        <v>176.5</v>
      </c>
      <c r="Z289" s="6">
        <f t="shared" si="21"/>
        <v>5.2</v>
      </c>
      <c r="AA289" s="6">
        <f t="shared" si="21"/>
        <v>9.4</v>
      </c>
      <c r="AB289" s="6">
        <f t="shared" si="21"/>
        <v>18.899999999999999</v>
      </c>
      <c r="AC289" s="6">
        <f t="shared" si="21"/>
        <v>0.8</v>
      </c>
      <c r="AD289" s="6">
        <f t="shared" si="21"/>
        <v>0</v>
      </c>
      <c r="AE289" s="6">
        <f t="shared" si="21"/>
        <v>58.2</v>
      </c>
      <c r="AF289" s="6">
        <f t="shared" si="21"/>
        <v>13.8</v>
      </c>
      <c r="AG289" s="6">
        <f t="shared" si="21"/>
        <v>0.2</v>
      </c>
      <c r="AH289" s="6">
        <f t="shared" si="21"/>
        <v>20.100000000000001</v>
      </c>
      <c r="AI289" s="6">
        <f t="shared" si="21"/>
        <v>11.7</v>
      </c>
      <c r="AJ289" s="6">
        <f t="shared" si="21"/>
        <v>19.899999999999999</v>
      </c>
      <c r="AK289" s="6">
        <f t="shared" si="21"/>
        <v>0</v>
      </c>
      <c r="AL289" s="6">
        <f t="shared" si="21"/>
        <v>1.7</v>
      </c>
      <c r="AM289" s="6">
        <f t="shared" si="21"/>
        <v>25.1</v>
      </c>
      <c r="AN289" s="6">
        <f t="shared" si="21"/>
        <v>23</v>
      </c>
      <c r="AO289" s="6">
        <f t="shared" si="21"/>
        <v>14.5</v>
      </c>
      <c r="AP289" s="6">
        <f t="shared" si="21"/>
        <v>29.8</v>
      </c>
      <c r="AQ289" s="6">
        <f t="shared" si="21"/>
        <v>98.6</v>
      </c>
      <c r="AR289" s="6">
        <f t="shared" si="21"/>
        <v>75.099999999999994</v>
      </c>
      <c r="AS289" s="6">
        <f t="shared" si="21"/>
        <v>11.8</v>
      </c>
      <c r="AT289" s="6">
        <f t="shared" si="21"/>
        <v>3.5</v>
      </c>
      <c r="AU289" s="6">
        <f t="shared" si="21"/>
        <v>8.1</v>
      </c>
      <c r="AX289" s="88">
        <f t="shared" si="9"/>
        <v>738</v>
      </c>
      <c r="AY289" s="6">
        <f t="shared" si="10"/>
        <v>946.2</v>
      </c>
    </row>
    <row r="290" spans="9:51">
      <c r="L290" s="6"/>
      <c r="M290" s="6"/>
      <c r="N290" s="52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X290" s="88"/>
      <c r="AY290" s="6">
        <f t="shared" si="10"/>
        <v>0</v>
      </c>
    </row>
    <row r="291" spans="9:51">
      <c r="I291">
        <v>2005</v>
      </c>
      <c r="J291" t="s">
        <v>143</v>
      </c>
      <c r="L291" s="6">
        <f t="shared" si="20"/>
        <v>5.6889563978556703</v>
      </c>
      <c r="M291" s="6">
        <f t="shared" si="20"/>
        <v>21.205970000000004</v>
      </c>
      <c r="N291" s="52">
        <f t="shared" si="21"/>
        <v>10.41962</v>
      </c>
      <c r="O291" s="6">
        <f t="shared" si="21"/>
        <v>10.652509999999999</v>
      </c>
      <c r="P291" s="6">
        <f t="shared" si="21"/>
        <v>11.663086729402064</v>
      </c>
      <c r="Q291" s="6">
        <f t="shared" si="21"/>
        <v>17.662825300000002</v>
      </c>
      <c r="R291" s="6">
        <f t="shared" si="21"/>
        <v>0</v>
      </c>
      <c r="S291" s="6">
        <f t="shared" si="21"/>
        <v>20.113775532258138</v>
      </c>
      <c r="T291" s="6">
        <f t="shared" si="21"/>
        <v>64.930230000000009</v>
      </c>
      <c r="U291" s="6">
        <f t="shared" si="21"/>
        <v>6.1328899999999997</v>
      </c>
      <c r="V291" s="6">
        <f t="shared" si="21"/>
        <v>12.72308</v>
      </c>
      <c r="W291" s="6">
        <f t="shared" si="21"/>
        <v>47.976010000000009</v>
      </c>
      <c r="X291" s="6">
        <f t="shared" si="21"/>
        <v>74</v>
      </c>
      <c r="Y291" s="6">
        <f t="shared" si="21"/>
        <v>103.49202</v>
      </c>
      <c r="Z291" s="6">
        <f t="shared" si="21"/>
        <v>10.78905</v>
      </c>
      <c r="AA291" s="6">
        <f t="shared" si="21"/>
        <v>6.2348471660307716</v>
      </c>
      <c r="AB291" s="6">
        <f t="shared" si="21"/>
        <v>9.6757800000000014</v>
      </c>
      <c r="AC291" s="6">
        <f t="shared" si="21"/>
        <v>7.9659700000000013</v>
      </c>
      <c r="AD291" s="6">
        <f t="shared" si="21"/>
        <v>0</v>
      </c>
      <c r="AE291" s="6">
        <f t="shared" si="21"/>
        <v>30.377909999999993</v>
      </c>
      <c r="AF291" s="6">
        <f t="shared" si="21"/>
        <v>9.75943</v>
      </c>
      <c r="AG291" s="6">
        <f t="shared" si="21"/>
        <v>0.64</v>
      </c>
      <c r="AH291" s="6">
        <f t="shared" si="21"/>
        <v>24.426159999999999</v>
      </c>
      <c r="AI291" s="6">
        <f t="shared" si="21"/>
        <v>11.874478198927836</v>
      </c>
      <c r="AJ291" s="6">
        <f t="shared" si="21"/>
        <v>11.225151895175259</v>
      </c>
      <c r="AK291" s="6">
        <f t="shared" si="21"/>
        <v>0</v>
      </c>
      <c r="AL291" s="6">
        <f t="shared" si="21"/>
        <v>9.5628899999999994</v>
      </c>
      <c r="AM291" s="6">
        <f t="shared" si="21"/>
        <v>69.336970747601924</v>
      </c>
      <c r="AN291" s="6">
        <f t="shared" si="21"/>
        <v>42.33023</v>
      </c>
      <c r="AO291" s="6">
        <f t="shared" si="21"/>
        <v>21.325780000000002</v>
      </c>
      <c r="AP291" s="6">
        <f t="shared" si="21"/>
        <v>47.321303315463922</v>
      </c>
      <c r="AQ291" s="6">
        <f t="shared" si="21"/>
        <v>22.661695259876289</v>
      </c>
      <c r="AR291" s="6">
        <f t="shared" si="21"/>
        <v>69.947382862474072</v>
      </c>
      <c r="AS291" s="6">
        <f t="shared" si="21"/>
        <v>3.05654</v>
      </c>
      <c r="AT291" s="6">
        <f t="shared" si="21"/>
        <v>6.2728900000000003</v>
      </c>
      <c r="AU291" s="6">
        <f t="shared" si="21"/>
        <v>29.777720000000006</v>
      </c>
      <c r="AX291" s="88">
        <f t="shared" si="9"/>
        <v>671.33226887622686</v>
      </c>
      <c r="AY291" s="6">
        <f t="shared" si="10"/>
        <v>851.22315340506611</v>
      </c>
    </row>
    <row r="292" spans="9:51">
      <c r="I292">
        <v>2010</v>
      </c>
      <c r="J292" t="s">
        <v>143</v>
      </c>
      <c r="L292" s="6">
        <f t="shared" si="20"/>
        <v>5.7389563978556701</v>
      </c>
      <c r="M292" s="6">
        <f t="shared" si="20"/>
        <v>21.925970000000003</v>
      </c>
      <c r="N292" s="52">
        <f t="shared" si="21"/>
        <v>10.34962</v>
      </c>
      <c r="O292" s="6">
        <f t="shared" si="21"/>
        <v>10.602510000000001</v>
      </c>
      <c r="P292" s="6">
        <f t="shared" si="21"/>
        <v>11.793086729402063</v>
      </c>
      <c r="Q292" s="6">
        <f t="shared" si="21"/>
        <v>18.082825300000003</v>
      </c>
      <c r="R292" s="6">
        <f t="shared" si="21"/>
        <v>0</v>
      </c>
      <c r="S292" s="6">
        <f t="shared" si="21"/>
        <v>20.023775532258139</v>
      </c>
      <c r="T292" s="6">
        <f t="shared" si="21"/>
        <v>66.10023000000001</v>
      </c>
      <c r="U292" s="6">
        <f t="shared" si="21"/>
        <v>6.0328899999999992</v>
      </c>
      <c r="V292" s="6">
        <f t="shared" si="21"/>
        <v>12.38308</v>
      </c>
      <c r="W292" s="6">
        <f t="shared" si="21"/>
        <v>48.216010000000011</v>
      </c>
      <c r="X292" s="6">
        <f t="shared" si="21"/>
        <v>73.8</v>
      </c>
      <c r="Y292" s="6">
        <f t="shared" si="21"/>
        <v>104.26202000000001</v>
      </c>
      <c r="Z292" s="6">
        <f t="shared" si="21"/>
        <v>10.759049999999998</v>
      </c>
      <c r="AA292" s="6">
        <f t="shared" si="21"/>
        <v>6.004847166030773</v>
      </c>
      <c r="AB292" s="6">
        <f t="shared" si="21"/>
        <v>9.6757800000000014</v>
      </c>
      <c r="AC292" s="6">
        <f t="shared" si="21"/>
        <v>7.9459700000000009</v>
      </c>
      <c r="AD292" s="6">
        <f t="shared" si="21"/>
        <v>0</v>
      </c>
      <c r="AE292" s="6">
        <f t="shared" si="21"/>
        <v>30.147909999999989</v>
      </c>
      <c r="AF292" s="6">
        <f t="shared" si="21"/>
        <v>9.5194299999999998</v>
      </c>
      <c r="AG292" s="6">
        <f t="shared" si="21"/>
        <v>0.67999999999999994</v>
      </c>
      <c r="AH292" s="6">
        <f t="shared" si="21"/>
        <v>23.83616</v>
      </c>
      <c r="AI292" s="6">
        <f t="shared" si="21"/>
        <v>12.204478198927834</v>
      </c>
      <c r="AJ292" s="6">
        <f t="shared" si="21"/>
        <v>11.285151895175259</v>
      </c>
      <c r="AK292" s="6">
        <f t="shared" si="21"/>
        <v>0</v>
      </c>
      <c r="AL292" s="6">
        <f t="shared" si="21"/>
        <v>9.1328899999999997</v>
      </c>
      <c r="AM292" s="6">
        <f t="shared" si="21"/>
        <v>70.146970747601912</v>
      </c>
      <c r="AN292" s="6">
        <f t="shared" si="21"/>
        <v>42.790229999999994</v>
      </c>
      <c r="AO292" s="6">
        <f t="shared" si="21"/>
        <v>20.72578</v>
      </c>
      <c r="AP292" s="6">
        <f t="shared" si="21"/>
        <v>47.381303315463924</v>
      </c>
      <c r="AQ292" s="6">
        <f t="shared" si="21"/>
        <v>22.991695259876291</v>
      </c>
      <c r="AR292" s="6">
        <f t="shared" si="21"/>
        <v>116.56738286247406</v>
      </c>
      <c r="AS292" s="6">
        <f t="shared" si="21"/>
        <v>2.8965399999999999</v>
      </c>
      <c r="AT292" s="6">
        <f t="shared" si="21"/>
        <v>6.2428900000000001</v>
      </c>
      <c r="AU292" s="6">
        <f t="shared" si="21"/>
        <v>29.667720000000006</v>
      </c>
      <c r="AX292" s="88">
        <f t="shared" si="9"/>
        <v>718.00226887622671</v>
      </c>
      <c r="AY292" s="6">
        <f t="shared" si="10"/>
        <v>899.91315340506583</v>
      </c>
    </row>
    <row r="293" spans="9:51">
      <c r="I293">
        <v>2020</v>
      </c>
      <c r="J293" t="s">
        <v>143</v>
      </c>
      <c r="L293" s="6">
        <f t="shared" si="20"/>
        <v>4.1370081877426212</v>
      </c>
      <c r="M293" s="6">
        <f t="shared" si="20"/>
        <v>20.301254999999998</v>
      </c>
      <c r="N293" s="52">
        <f t="shared" si="21"/>
        <v>13.248084942917821</v>
      </c>
      <c r="O293" s="6">
        <f t="shared" si="21"/>
        <v>6.3928900000000013</v>
      </c>
      <c r="P293" s="6">
        <f t="shared" si="21"/>
        <v>9.0311816775281386</v>
      </c>
      <c r="Q293" s="6">
        <f t="shared" si="21"/>
        <v>14.776214950000002</v>
      </c>
      <c r="R293" s="6">
        <f t="shared" si="21"/>
        <v>0</v>
      </c>
      <c r="S293" s="6">
        <f t="shared" si="21"/>
        <v>12.266266202713442</v>
      </c>
      <c r="T293" s="6">
        <f t="shared" si="21"/>
        <v>54.009924999999996</v>
      </c>
      <c r="U293" s="6">
        <f t="shared" si="21"/>
        <v>3.7530800000000002</v>
      </c>
      <c r="V293" s="6">
        <f t="shared" si="21"/>
        <v>13.609938598000001</v>
      </c>
      <c r="W293" s="6">
        <f t="shared" si="21"/>
        <v>29.866084999999998</v>
      </c>
      <c r="X293" s="6">
        <f t="shared" si="21"/>
        <v>81.7</v>
      </c>
      <c r="Y293" s="6">
        <f t="shared" si="21"/>
        <v>68.512169999999998</v>
      </c>
      <c r="Z293" s="6">
        <f t="shared" si="21"/>
        <v>6.2677949999999996</v>
      </c>
      <c r="AA293" s="6">
        <f t="shared" si="21"/>
        <v>4.1363024277927298</v>
      </c>
      <c r="AB293" s="6">
        <f t="shared" si="21"/>
        <v>5.56616</v>
      </c>
      <c r="AC293" s="6">
        <f t="shared" si="21"/>
        <v>4.4496199999999995</v>
      </c>
      <c r="AD293" s="6">
        <f t="shared" si="21"/>
        <v>0</v>
      </c>
      <c r="AE293" s="6">
        <f t="shared" si="21"/>
        <v>19.590494999999997</v>
      </c>
      <c r="AF293" s="6">
        <f t="shared" si="21"/>
        <v>6.18635</v>
      </c>
      <c r="AG293" s="6">
        <f t="shared" si="21"/>
        <v>0.73</v>
      </c>
      <c r="AH293" s="6">
        <f t="shared" si="21"/>
        <v>19.954715</v>
      </c>
      <c r="AI293" s="6">
        <f t="shared" si="21"/>
        <v>12.698504093871311</v>
      </c>
      <c r="AJ293" s="6">
        <f t="shared" si="21"/>
        <v>7.4482684224208988</v>
      </c>
      <c r="AK293" s="6">
        <f t="shared" si="21"/>
        <v>0</v>
      </c>
      <c r="AL293" s="6">
        <f t="shared" si="21"/>
        <v>5.811445</v>
      </c>
      <c r="AM293" s="6">
        <f t="shared" si="21"/>
        <v>50.109503880857794</v>
      </c>
      <c r="AN293" s="6">
        <f t="shared" si="21"/>
        <v>29.31156</v>
      </c>
      <c r="AO293" s="6">
        <f t="shared" si="21"/>
        <v>14.99616</v>
      </c>
      <c r="AP293" s="6">
        <f t="shared" ref="N293:AU296" si="22">SUMIFS(AP$6:AP$235,$I$6:$I$235,$I293,$H$6:$H$235,"ACT_BND",$B$6:$B$235,$J293)</f>
        <v>32.291734897855179</v>
      </c>
      <c r="AQ293" s="6">
        <f t="shared" si="22"/>
        <v>18.573859261184968</v>
      </c>
      <c r="AR293" s="6">
        <f t="shared" si="22"/>
        <v>118.63876840545819</v>
      </c>
      <c r="AS293" s="6">
        <f t="shared" si="22"/>
        <v>1.87327</v>
      </c>
      <c r="AT293" s="6">
        <f t="shared" si="22"/>
        <v>4.1430800000000003</v>
      </c>
      <c r="AU293" s="6">
        <f t="shared" si="22"/>
        <v>18.827034999999999</v>
      </c>
      <c r="AX293" s="88">
        <f t="shared" si="9"/>
        <v>577.60715047473741</v>
      </c>
      <c r="AY293" s="6">
        <f t="shared" si="10"/>
        <v>713.20872594834316</v>
      </c>
    </row>
    <row r="294" spans="9:51">
      <c r="I294">
        <v>2030</v>
      </c>
      <c r="J294" t="s">
        <v>143</v>
      </c>
      <c r="L294" s="6">
        <f t="shared" si="20"/>
        <v>4.4182044992685565</v>
      </c>
      <c r="M294" s="6">
        <f t="shared" si="20"/>
        <v>21.962570599999999</v>
      </c>
      <c r="N294" s="52">
        <f t="shared" si="22"/>
        <v>11.745635969674552</v>
      </c>
      <c r="O294" s="6">
        <f t="shared" si="22"/>
        <v>6.6243972400000004</v>
      </c>
      <c r="P294" s="6">
        <f t="shared" si="22"/>
        <v>9.6683749153256873</v>
      </c>
      <c r="Q294" s="6">
        <f t="shared" si="22"/>
        <v>13.369959594000001</v>
      </c>
      <c r="R294" s="6">
        <f t="shared" si="22"/>
        <v>0</v>
      </c>
      <c r="S294" s="6">
        <f t="shared" si="22"/>
        <v>12.510467664515406</v>
      </c>
      <c r="T294" s="6">
        <f t="shared" si="22"/>
        <v>56.981292359999998</v>
      </c>
      <c r="U294" s="6">
        <f t="shared" si="22"/>
        <v>3.8553918000000005</v>
      </c>
      <c r="V294" s="6">
        <f t="shared" si="22"/>
        <v>10.594663239999999</v>
      </c>
      <c r="W294" s="6">
        <f t="shared" si="22"/>
        <v>31.528512440000007</v>
      </c>
      <c r="X294" s="6">
        <f t="shared" si="22"/>
        <v>124.6</v>
      </c>
      <c r="Y294" s="6">
        <f t="shared" si="22"/>
        <v>72.101137440000016</v>
      </c>
      <c r="Z294" s="6">
        <f t="shared" si="22"/>
        <v>6.6750878000000009</v>
      </c>
      <c r="AA294" s="6">
        <f t="shared" si="22"/>
        <v>3.9242733906342484</v>
      </c>
      <c r="AB294" s="6">
        <f t="shared" si="22"/>
        <v>5.8558664799999995</v>
      </c>
      <c r="AC294" s="6">
        <f t="shared" si="22"/>
        <v>4.7338603199999998</v>
      </c>
      <c r="AD294" s="6">
        <f t="shared" si="22"/>
        <v>0</v>
      </c>
      <c r="AE294" s="6">
        <f t="shared" si="22"/>
        <v>20.391734599999999</v>
      </c>
      <c r="AF294" s="6">
        <f t="shared" si="22"/>
        <v>6.1331956400000003</v>
      </c>
      <c r="AG294" s="6">
        <f t="shared" si="22"/>
        <v>0.92752244000000006</v>
      </c>
      <c r="AH294" s="6">
        <f t="shared" si="22"/>
        <v>19.455226039999999</v>
      </c>
      <c r="AI294" s="6">
        <f t="shared" si="22"/>
        <v>13.94410224963428</v>
      </c>
      <c r="AJ294" s="6">
        <f t="shared" si="22"/>
        <v>7.8634601233542529</v>
      </c>
      <c r="AK294" s="6">
        <f t="shared" si="22"/>
        <v>2.7330799999999999E-2</v>
      </c>
      <c r="AL294" s="6">
        <f t="shared" si="22"/>
        <v>5.2419560400000007</v>
      </c>
      <c r="AM294" s="6">
        <f t="shared" si="22"/>
        <v>48.345025048783</v>
      </c>
      <c r="AN294" s="6">
        <f t="shared" si="22"/>
        <v>31.043220879999996</v>
      </c>
      <c r="AO294" s="6">
        <f t="shared" si="22"/>
        <v>14.622750120000003</v>
      </c>
      <c r="AP294" s="6">
        <f t="shared" si="22"/>
        <v>33.371704160571305</v>
      </c>
      <c r="AQ294" s="6">
        <f t="shared" si="22"/>
        <v>20.002647581017097</v>
      </c>
      <c r="AR294" s="6">
        <f t="shared" si="22"/>
        <v>128.48991578514944</v>
      </c>
      <c r="AS294" s="6">
        <f t="shared" si="22"/>
        <v>1.5569354000000002</v>
      </c>
      <c r="AT294" s="6">
        <f t="shared" si="22"/>
        <v>4.3472564399999998</v>
      </c>
      <c r="AU294" s="6">
        <f t="shared" si="22"/>
        <v>19.215387879999998</v>
      </c>
      <c r="AX294" s="88">
        <f t="shared" si="9"/>
        <v>639.30190509054501</v>
      </c>
      <c r="AY294" s="6">
        <f t="shared" si="10"/>
        <v>776.12906698192796</v>
      </c>
    </row>
    <row r="295" spans="9:51">
      <c r="I295">
        <v>2040</v>
      </c>
      <c r="J295" t="s">
        <v>143</v>
      </c>
      <c r="L295" s="6">
        <f t="shared" si="20"/>
        <v>5.2985300465838865</v>
      </c>
      <c r="M295" s="6">
        <f t="shared" si="20"/>
        <v>21.796388</v>
      </c>
      <c r="N295" s="52">
        <f t="shared" si="22"/>
        <v>11.586207585133447</v>
      </c>
      <c r="O295" s="6">
        <f t="shared" si="22"/>
        <v>5.0030040000000007</v>
      </c>
      <c r="P295" s="6">
        <f t="shared" si="22"/>
        <v>12.028971752070458</v>
      </c>
      <c r="Q295" s="6">
        <f t="shared" si="22"/>
        <v>17.593130119999998</v>
      </c>
      <c r="R295" s="6">
        <f t="shared" si="22"/>
        <v>0</v>
      </c>
      <c r="S295" s="6">
        <f t="shared" si="22"/>
        <v>8.8567693837206676</v>
      </c>
      <c r="T295" s="6">
        <f t="shared" si="22"/>
        <v>53.082092000000003</v>
      </c>
      <c r="U295" s="6">
        <f t="shared" si="22"/>
        <v>3.6253918000000001</v>
      </c>
      <c r="V295" s="6">
        <f t="shared" si="22"/>
        <v>7.57</v>
      </c>
      <c r="W295" s="6">
        <f t="shared" si="22"/>
        <v>31.988512440000001</v>
      </c>
      <c r="X295" s="6">
        <f t="shared" si="22"/>
        <v>126.8</v>
      </c>
      <c r="Y295" s="6">
        <f t="shared" si="22"/>
        <v>73.841137440000011</v>
      </c>
      <c r="Z295" s="6">
        <f t="shared" si="22"/>
        <v>6.6150878000000031</v>
      </c>
      <c r="AA295" s="6">
        <f t="shared" si="22"/>
        <v>3.4341370309883903</v>
      </c>
      <c r="AB295" s="6">
        <f t="shared" si="22"/>
        <v>5.8458664799999998</v>
      </c>
      <c r="AC295" s="6">
        <f t="shared" si="22"/>
        <v>4.68386032</v>
      </c>
      <c r="AD295" s="6">
        <f t="shared" si="22"/>
        <v>0</v>
      </c>
      <c r="AE295" s="6">
        <f t="shared" si="22"/>
        <v>19.831734600000001</v>
      </c>
      <c r="AF295" s="6">
        <f t="shared" si="22"/>
        <v>5.5997515304487271</v>
      </c>
      <c r="AG295" s="6">
        <f t="shared" si="22"/>
        <v>0.98957859673974702</v>
      </c>
      <c r="AH295" s="6">
        <f t="shared" si="22"/>
        <v>18.286693078937013</v>
      </c>
      <c r="AI295" s="6">
        <f t="shared" si="22"/>
        <v>19.834265023291941</v>
      </c>
      <c r="AJ295" s="6">
        <f t="shared" si="22"/>
        <v>8.8941926048137461</v>
      </c>
      <c r="AK295" s="6">
        <f t="shared" si="22"/>
        <v>2.7330799999999999E-2</v>
      </c>
      <c r="AL295" s="6">
        <f t="shared" si="22"/>
        <v>4.3219560399999999</v>
      </c>
      <c r="AM295" s="6">
        <f t="shared" si="22"/>
        <v>57.019621203520558</v>
      </c>
      <c r="AN295" s="6">
        <f t="shared" si="22"/>
        <v>31.923220880000006</v>
      </c>
      <c r="AO295" s="6">
        <f t="shared" si="22"/>
        <v>13.16275012</v>
      </c>
      <c r="AP295" s="6">
        <f t="shared" si="22"/>
        <v>33.424417054865721</v>
      </c>
      <c r="AQ295" s="6">
        <f t="shared" si="22"/>
        <v>25.583678480848974</v>
      </c>
      <c r="AR295" s="6">
        <f t="shared" si="22"/>
        <v>136.66137213878713</v>
      </c>
      <c r="AS295" s="6">
        <f t="shared" si="22"/>
        <v>1.2269354000000001</v>
      </c>
      <c r="AT295" s="6">
        <f t="shared" si="22"/>
        <v>4.2872564400000002</v>
      </c>
      <c r="AU295" s="6">
        <f t="shared" si="22"/>
        <v>18.995387879999999</v>
      </c>
      <c r="AX295" s="88">
        <f t="shared" si="9"/>
        <v>634.47145095962082</v>
      </c>
      <c r="AY295" s="6">
        <f t="shared" si="10"/>
        <v>799.71922807075032</v>
      </c>
    </row>
    <row r="296" spans="9:51">
      <c r="I296">
        <v>2050</v>
      </c>
      <c r="J296" t="s">
        <v>143</v>
      </c>
      <c r="L296" s="6">
        <f t="shared" si="20"/>
        <v>5.4491033208238449</v>
      </c>
      <c r="M296" s="6">
        <f t="shared" si="20"/>
        <v>23.256388000000001</v>
      </c>
      <c r="N296" s="52">
        <f t="shared" si="22"/>
        <v>11.466447855538721</v>
      </c>
      <c r="O296" s="6">
        <f t="shared" si="22"/>
        <v>4.9130039999999999</v>
      </c>
      <c r="P296" s="6">
        <f t="shared" si="22"/>
        <v>12.450022754843715</v>
      </c>
      <c r="Q296" s="6">
        <f t="shared" si="22"/>
        <v>20.213130120000002</v>
      </c>
      <c r="R296" s="6">
        <f t="shared" si="22"/>
        <v>0</v>
      </c>
      <c r="S296" s="6">
        <f t="shared" si="22"/>
        <v>8.6768438522741391</v>
      </c>
      <c r="T296" s="6">
        <f t="shared" si="22"/>
        <v>55.442092000000002</v>
      </c>
      <c r="U296" s="6">
        <f t="shared" si="22"/>
        <v>3.4353918000000006</v>
      </c>
      <c r="V296" s="6">
        <f t="shared" si="22"/>
        <v>6.8699999999999992</v>
      </c>
      <c r="W296" s="6">
        <f t="shared" si="22"/>
        <v>32.45851244</v>
      </c>
      <c r="X296" s="6">
        <f t="shared" si="22"/>
        <v>128.19999999999999</v>
      </c>
      <c r="Y296" s="6">
        <f t="shared" si="22"/>
        <v>75.391137439999994</v>
      </c>
      <c r="Z296" s="6">
        <f t="shared" si="22"/>
        <v>6.5750878000000013</v>
      </c>
      <c r="AA296" s="6">
        <f t="shared" si="22"/>
        <v>2.9731990067723921</v>
      </c>
      <c r="AB296" s="6">
        <f t="shared" si="22"/>
        <v>5.8458664799999998</v>
      </c>
      <c r="AC296" s="6">
        <f t="shared" si="22"/>
        <v>4.6338603200000001</v>
      </c>
      <c r="AD296" s="6">
        <f t="shared" si="22"/>
        <v>0</v>
      </c>
      <c r="AE296" s="6">
        <f t="shared" si="22"/>
        <v>19.351734600000004</v>
      </c>
      <c r="AF296" s="6">
        <f t="shared" si="22"/>
        <v>5.3486236476138487</v>
      </c>
      <c r="AG296" s="6">
        <f t="shared" si="22"/>
        <v>1.056836366725884</v>
      </c>
      <c r="AH296" s="6">
        <f t="shared" si="22"/>
        <v>17.135708483481238</v>
      </c>
      <c r="AI296" s="6">
        <f t="shared" si="22"/>
        <v>20.884551660411923</v>
      </c>
      <c r="AJ296" s="6">
        <f t="shared" si="22"/>
        <v>9.0754824718536522</v>
      </c>
      <c r="AK296" s="6">
        <f t="shared" si="22"/>
        <v>2.7330799999999999E-2</v>
      </c>
      <c r="AL296" s="6">
        <f t="shared" si="22"/>
        <v>3.4319560400000002</v>
      </c>
      <c r="AM296" s="6">
        <f t="shared" si="22"/>
        <v>58.735197892568365</v>
      </c>
      <c r="AN296" s="6">
        <f t="shared" si="22"/>
        <v>32.823220879999994</v>
      </c>
      <c r="AO296" s="6">
        <f t="shared" si="22"/>
        <v>11.972750120000001</v>
      </c>
      <c r="AP296" s="6">
        <f t="shared" si="22"/>
        <v>33.559194340198715</v>
      </c>
      <c r="AQ296" s="6">
        <f t="shared" si="22"/>
        <v>26.59549384927551</v>
      </c>
      <c r="AR296" s="6">
        <f t="shared" si="22"/>
        <v>139.87887403659369</v>
      </c>
      <c r="AS296" s="6">
        <f t="shared" si="22"/>
        <v>0.9569354000000001</v>
      </c>
      <c r="AT296" s="6">
        <f t="shared" si="22"/>
        <v>4.2372564399999995</v>
      </c>
      <c r="AU296" s="6">
        <f t="shared" si="22"/>
        <v>18.795387880000003</v>
      </c>
      <c r="AX296" s="88">
        <f t="shared" si="9"/>
        <v>639.91825214919868</v>
      </c>
      <c r="AY296" s="6">
        <f t="shared" si="10"/>
        <v>812.11662209897565</v>
      </c>
    </row>
  </sheetData>
  <autoFilter ref="E5:AU236" xr:uid="{00000000-0009-0000-0000-000000000000}"/>
  <conditionalFormatting sqref="L107:AU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3"/>
  <sheetViews>
    <sheetView topLeftCell="A25" zoomScale="80" zoomScaleNormal="80" workbookViewId="0">
      <selection activeCell="C57" sqref="C57"/>
    </sheetView>
  </sheetViews>
  <sheetFormatPr defaultRowHeight="15"/>
  <cols>
    <col min="1" max="1" width="8.85546875"/>
    <col min="2" max="2" width="19.28515625" customWidth="1"/>
  </cols>
  <sheetData>
    <row r="1" spans="1:41">
      <c r="A1" t="s">
        <v>145</v>
      </c>
    </row>
    <row r="3" spans="1:41" s="89" customFormat="1">
      <c r="B3" s="89" t="s">
        <v>148</v>
      </c>
      <c r="D3" s="89" t="s">
        <v>5</v>
      </c>
      <c r="E3" s="89" t="s">
        <v>6</v>
      </c>
      <c r="F3" s="89" t="s">
        <v>7</v>
      </c>
      <c r="G3" s="89" t="s">
        <v>8</v>
      </c>
      <c r="H3" s="89" t="s">
        <v>97</v>
      </c>
      <c r="I3" s="89" t="s">
        <v>9</v>
      </c>
      <c r="J3" s="89" t="s">
        <v>10</v>
      </c>
      <c r="K3" s="89" t="s">
        <v>11</v>
      </c>
      <c r="L3" s="89" t="s">
        <v>12</v>
      </c>
      <c r="M3" s="89" t="s">
        <v>13</v>
      </c>
      <c r="N3" s="89" t="s">
        <v>14</v>
      </c>
      <c r="O3" s="89" t="s">
        <v>15</v>
      </c>
      <c r="P3" s="89" t="s">
        <v>16</v>
      </c>
      <c r="Q3" s="89" t="s">
        <v>17</v>
      </c>
      <c r="R3" s="89" t="s">
        <v>98</v>
      </c>
      <c r="S3" s="89" t="s">
        <v>18</v>
      </c>
      <c r="T3" s="89" t="s">
        <v>19</v>
      </c>
      <c r="U3" s="89" t="s">
        <v>20</v>
      </c>
      <c r="V3" s="89" t="s">
        <v>21</v>
      </c>
      <c r="W3" s="89" t="s">
        <v>22</v>
      </c>
      <c r="X3" s="89" t="s">
        <v>23</v>
      </c>
      <c r="Y3" s="89" t="s">
        <v>24</v>
      </c>
      <c r="Z3" s="89" t="s">
        <v>25</v>
      </c>
      <c r="AA3" s="89" t="s">
        <v>26</v>
      </c>
      <c r="AB3" s="89" t="s">
        <v>27</v>
      </c>
      <c r="AC3" s="89" t="s">
        <v>28</v>
      </c>
      <c r="AD3" s="89" t="s">
        <v>29</v>
      </c>
      <c r="AE3" s="89" t="s">
        <v>30</v>
      </c>
      <c r="AF3" s="89" t="s">
        <v>31</v>
      </c>
      <c r="AG3" s="89" t="s">
        <v>32</v>
      </c>
      <c r="AH3" s="89" t="s">
        <v>33</v>
      </c>
      <c r="AI3" s="89" t="s">
        <v>34</v>
      </c>
      <c r="AJ3" s="89" t="s">
        <v>35</v>
      </c>
      <c r="AK3" s="89" t="s">
        <v>36</v>
      </c>
      <c r="AL3" s="89" t="s">
        <v>37</v>
      </c>
      <c r="AM3" s="89" t="s">
        <v>38</v>
      </c>
    </row>
    <row r="4" spans="1:41">
      <c r="B4" t="s">
        <v>140</v>
      </c>
      <c r="C4">
        <v>2005</v>
      </c>
      <c r="E4">
        <f>BIO!M263/BIO!$AX263</f>
        <v>8.6618520900826768E-3</v>
      </c>
      <c r="F4">
        <f>BIO!N263/BIO!$AX263</f>
        <v>4.8321226294244193E-2</v>
      </c>
      <c r="G4">
        <f>BIO!O263/BIO!$AX263</f>
        <v>5.9439491511530419E-3</v>
      </c>
      <c r="J4">
        <f>BIO!R263/BIO!$AX263</f>
        <v>3.5968673480555212E-3</v>
      </c>
      <c r="K4">
        <f>BIO!S263/BIO!$AX263</f>
        <v>4.022087904183045E-2</v>
      </c>
      <c r="L4">
        <f>BIO!T263/BIO!$AX263</f>
        <v>0.14550320123172625</v>
      </c>
      <c r="M4">
        <f>BIO!U263/BIO!$AX263</f>
        <v>4.2110765683209532E-2</v>
      </c>
      <c r="N4">
        <f>BIO!V263/BIO!$AX263</f>
        <v>7.2322954677453977E-3</v>
      </c>
      <c r="O4">
        <f>BIO!W263/BIO!$AX263</f>
        <v>7.626872589130558E-2</v>
      </c>
      <c r="P4">
        <f>BIO!X263/BIO!$AX263</f>
        <v>7.4794180985892217E-3</v>
      </c>
      <c r="Q4">
        <f>BIO!Y263/BIO!$AX263</f>
        <v>0.22068116120762293</v>
      </c>
      <c r="R4">
        <f>BIO!Z263/BIO!$AX263</f>
        <v>6.6995581725213136E-3</v>
      </c>
      <c r="S4">
        <f>BIO!AA263/BIO!$AX263</f>
        <v>2.2793800360228255E-3</v>
      </c>
      <c r="T4">
        <f>BIO!AB263/BIO!$AX263</f>
        <v>5.4246062686652004E-2</v>
      </c>
      <c r="U4">
        <f>BIO!AC263/BIO!$AX263</f>
        <v>1.3076125908473988E-2</v>
      </c>
      <c r="W4">
        <f>BIO!AE263/BIO!$AX263</f>
        <v>9.7807446061891776E-2</v>
      </c>
      <c r="X4">
        <f>BIO!AF263/BIO!$AX263</f>
        <v>8.0623318889566538E-3</v>
      </c>
      <c r="Y4">
        <f>BIO!AG263/BIO!$AX263</f>
        <v>1.5973550386104189E-3</v>
      </c>
      <c r="Z4">
        <f>BIO!AH263/BIO!$AX263</f>
        <v>5.3010563970593448E-3</v>
      </c>
      <c r="AC4">
        <f>BIO!AK263/BIO!$AX263</f>
        <v>6.9966057013347458E-3</v>
      </c>
      <c r="AD4">
        <f>BIO!AL263/BIO!$AX263</f>
        <v>6.0141452202961888E-2</v>
      </c>
      <c r="AF4">
        <f>BIO!AN263/BIO!$AX263</f>
        <v>5.5780727128180808E-2</v>
      </c>
      <c r="AG4">
        <f>BIO!AO263/BIO!$AX263</f>
        <v>2.1613311077762144E-2</v>
      </c>
      <c r="AH4">
        <f>BIO!AP263/BIO!$AX263</f>
        <v>1.9060921479773257E-2</v>
      </c>
      <c r="AJ4">
        <f>BIO!AR263/BIO!$AX263</f>
        <v>2.6875105866148122E-2</v>
      </c>
      <c r="AK4">
        <f>BIO!AS263/BIO!$AX263</f>
        <v>1.5810990494851255E-3</v>
      </c>
      <c r="AL4">
        <f>BIO!AT263/BIO!$AX263</f>
        <v>1.2861119798600863E-2</v>
      </c>
      <c r="AO4">
        <f>SUM(D4:AM4)</f>
        <v>0.99999999999999989</v>
      </c>
    </row>
    <row r="5" spans="1:41">
      <c r="B5" t="s">
        <v>140</v>
      </c>
      <c r="C5">
        <v>2010</v>
      </c>
      <c r="E5">
        <f>BIO!M264/BIO!$AX264</f>
        <v>8.6600693667921169E-3</v>
      </c>
      <c r="F5">
        <f>BIO!N264/BIO!$AX264</f>
        <v>4.8311281149181991E-2</v>
      </c>
      <c r="G5">
        <f>BIO!O264/BIO!$AX264</f>
        <v>5.9427258080989856E-3</v>
      </c>
      <c r="J5">
        <f>BIO!R264/BIO!$AX264</f>
        <v>3.5961270653621954E-3</v>
      </c>
      <c r="K5">
        <f>BIO!S264/BIO!$AX264</f>
        <v>4.0212601054964707E-2</v>
      </c>
      <c r="L5">
        <f>BIO!T264/BIO!$AX264</f>
        <v>0.14547325475573139</v>
      </c>
      <c r="M5">
        <f>BIO!U264/BIO!$AX264</f>
        <v>4.2102098732771445E-2</v>
      </c>
      <c r="N5">
        <f>BIO!V264/BIO!$AX264</f>
        <v>7.2308069660438597E-3</v>
      </c>
      <c r="O5">
        <f>BIO!W264/BIO!$AX264</f>
        <v>7.6253028782584054E-2</v>
      </c>
      <c r="P5">
        <f>BIO!X264/BIO!$AX264</f>
        <v>7.6836919120086304E-3</v>
      </c>
      <c r="Q5">
        <f>BIO!Y264/BIO!$AX264</f>
        <v>0.22063574211690409</v>
      </c>
      <c r="R5">
        <f>BIO!Z264/BIO!$AX264</f>
        <v>6.6981793151745933E-3</v>
      </c>
      <c r="S5">
        <f>BIO!AA264/BIO!$AX264</f>
        <v>2.2789109095778118E-3</v>
      </c>
      <c r="T5">
        <f>BIO!AB264/BIO!$AX264</f>
        <v>5.4234898132193336E-2</v>
      </c>
      <c r="U5">
        <f>BIO!AC264/BIO!$AX264</f>
        <v>1.3073434669468184E-2</v>
      </c>
      <c r="W5">
        <f>BIO!AE264/BIO!$AX264</f>
        <v>9.7787316000760349E-2</v>
      </c>
      <c r="X5">
        <f>BIO!AF264/BIO!$AX264</f>
        <v>8.0606725548228921E-3</v>
      </c>
      <c r="Y5">
        <f>BIO!AG264/BIO!$AX264</f>
        <v>1.5970262818963802E-3</v>
      </c>
      <c r="Z5">
        <f>BIO!AH264/BIO!$AX264</f>
        <v>5.2999653698049742E-3</v>
      </c>
      <c r="AC5">
        <f>BIO!AK264/BIO!$AX264</f>
        <v>6.9951657076926339E-3</v>
      </c>
      <c r="AD5">
        <f>BIO!AL264/BIO!$AX264</f>
        <v>6.0129074299661849E-2</v>
      </c>
      <c r="AF5">
        <f>BIO!AN264/BIO!$AX264</f>
        <v>5.5769246719559004E-2</v>
      </c>
      <c r="AG5">
        <f>BIO!AO264/BIO!$AX264</f>
        <v>2.1608862773560718E-2</v>
      </c>
      <c r="AH5">
        <f>BIO!AP264/BIO!$AX264</f>
        <v>1.9056998490981931E-2</v>
      </c>
      <c r="AJ5">
        <f>BIO!AR264/BIO!$AX264</f>
        <v>2.6869574615248706E-2</v>
      </c>
      <c r="AK5">
        <f>BIO!AS264/BIO!$AX264</f>
        <v>1.5807736384678413E-3</v>
      </c>
      <c r="AL5">
        <f>BIO!AT264/BIO!$AX264</f>
        <v>1.2858472810685438E-2</v>
      </c>
      <c r="AO5">
        <f t="shared" ref="AO5:AO37" si="0">SUM(D5:AM5)</f>
        <v>1</v>
      </c>
    </row>
    <row r="6" spans="1:41">
      <c r="B6" t="s">
        <v>140</v>
      </c>
      <c r="C6">
        <v>2020</v>
      </c>
      <c r="E6">
        <f>BIO!M265/BIO!$AX265</f>
        <v>9.2460567243085861E-3</v>
      </c>
      <c r="F6">
        <f>BIO!N265/BIO!$AX265</f>
        <v>5.0164918594527722E-2</v>
      </c>
      <c r="G6">
        <f>BIO!O265/BIO!$AX265</f>
        <v>5.4211892357131372E-3</v>
      </c>
      <c r="J6">
        <f>BIO!R265/BIO!$AX265</f>
        <v>3.7160135378457864E-3</v>
      </c>
      <c r="K6">
        <f>BIO!S265/BIO!$AX265</f>
        <v>3.5168908112421342E-2</v>
      </c>
      <c r="L6">
        <f>BIO!T265/BIO!$AX265</f>
        <v>0.14443228322490509</v>
      </c>
      <c r="M6">
        <f>BIO!U265/BIO!$AX265</f>
        <v>4.2365838224409418E-2</v>
      </c>
      <c r="N6">
        <f>BIO!V265/BIO!$AX265</f>
        <v>6.8880154006315843E-3</v>
      </c>
      <c r="O6">
        <f>BIO!W265/BIO!$AX265</f>
        <v>8.3247202571716E-2</v>
      </c>
      <c r="P6">
        <f>BIO!X265/BIO!$AX265</f>
        <v>8.6257309881014634E-3</v>
      </c>
      <c r="Q6">
        <f>BIO!Y265/BIO!$AX265</f>
        <v>0.22033401975111888</v>
      </c>
      <c r="R6">
        <f>BIO!Z265/BIO!$AX265</f>
        <v>6.5197602864965898E-3</v>
      </c>
      <c r="S6">
        <f>BIO!AA265/BIO!$AX265</f>
        <v>2.248960090617189E-3</v>
      </c>
      <c r="T6">
        <f>BIO!AB265/BIO!$AX265</f>
        <v>4.7133908966964941E-2</v>
      </c>
      <c r="U6">
        <f>BIO!AC265/BIO!$AX265</f>
        <v>1.3077468306844113E-2</v>
      </c>
      <c r="W6">
        <f>BIO!AE265/BIO!$AX265</f>
        <v>9.8509838441521502E-2</v>
      </c>
      <c r="X6">
        <f>BIO!AF265/BIO!$AX265</f>
        <v>9.2190854300396811E-3</v>
      </c>
      <c r="Y6">
        <f>BIO!AG265/BIO!$AX265</f>
        <v>1.0925845315397837E-3</v>
      </c>
      <c r="Z6">
        <f>BIO!AH265/BIO!$AX265</f>
        <v>5.3592069327161049E-3</v>
      </c>
      <c r="AC6">
        <f>BIO!AK265/BIO!$AX265</f>
        <v>2.5363186419793075E-3</v>
      </c>
      <c r="AD6">
        <f>BIO!AL265/BIO!$AX265</f>
        <v>6.142058816946297E-2</v>
      </c>
      <c r="AF6">
        <f>BIO!AN265/BIO!$AX265</f>
        <v>6.0852799635268254E-2</v>
      </c>
      <c r="AG6">
        <f>BIO!AO265/BIO!$AX265</f>
        <v>2.139338225345485E-2</v>
      </c>
      <c r="AH6">
        <f>BIO!AP265/BIO!$AX265</f>
        <v>2.0162290645013521E-2</v>
      </c>
      <c r="AJ6">
        <f>BIO!AR265/BIO!$AX265</f>
        <v>2.814656087558999E-2</v>
      </c>
      <c r="AK6">
        <f>BIO!AS265/BIO!$AX265</f>
        <v>1.6100538174371598E-3</v>
      </c>
      <c r="AL6">
        <f>BIO!AT265/BIO!$AX265</f>
        <v>1.1107016609355119E-2</v>
      </c>
      <c r="AO6">
        <f t="shared" si="0"/>
        <v>1</v>
      </c>
    </row>
    <row r="7" spans="1:41">
      <c r="B7" t="s">
        <v>140</v>
      </c>
      <c r="C7">
        <v>2030</v>
      </c>
      <c r="E7">
        <f>BIO!M266/BIO!$AX266</f>
        <v>9.9117852151407847E-3</v>
      </c>
      <c r="F7">
        <f>BIO!N266/BIO!$AX266</f>
        <v>5.3763408711211741E-2</v>
      </c>
      <c r="G7">
        <f>BIO!O266/BIO!$AX266</f>
        <v>5.6164153036180305E-3</v>
      </c>
      <c r="J7">
        <f>BIO!R266/BIO!$AX266</f>
        <v>3.765994046215664E-3</v>
      </c>
      <c r="K7">
        <f>BIO!S266/BIO!$AX266</f>
        <v>3.0749463007503565E-2</v>
      </c>
      <c r="L7">
        <f>BIO!T266/BIO!$AX266</f>
        <v>0.14304162016876368</v>
      </c>
      <c r="M7">
        <f>BIO!U266/BIO!$AX266</f>
        <v>4.1862531232744367E-2</v>
      </c>
      <c r="N7">
        <f>BIO!V266/BIO!$AX266</f>
        <v>6.854636349634899E-3</v>
      </c>
      <c r="O7">
        <f>BIO!W266/BIO!$AX266</f>
        <v>8.4477097252870809E-2</v>
      </c>
      <c r="P7">
        <f>BIO!X266/BIO!$AX266</f>
        <v>1.0691039635025315E-2</v>
      </c>
      <c r="Q7">
        <f>BIO!Y266/BIO!$AX266</f>
        <v>0.21583472631641995</v>
      </c>
      <c r="R7">
        <f>BIO!Z266/BIO!$AX266</f>
        <v>6.4713539038116687E-3</v>
      </c>
      <c r="S7">
        <f>BIO!AA266/BIO!$AX266</f>
        <v>2.1341198541608461E-3</v>
      </c>
      <c r="T7">
        <f>BIO!AB266/BIO!$AX266</f>
        <v>4.4796972747448975E-2</v>
      </c>
      <c r="U7">
        <f>BIO!AC266/BIO!$AX266</f>
        <v>1.269623531374493E-2</v>
      </c>
      <c r="W7">
        <f>BIO!AE266/BIO!$AX266</f>
        <v>9.590292412333426E-2</v>
      </c>
      <c r="X7">
        <f>BIO!AF266/BIO!$AX266</f>
        <v>9.8226599595695897E-3</v>
      </c>
      <c r="Y7">
        <f>BIO!AG266/BIO!$AX266</f>
        <v>1.0381560859124451E-3</v>
      </c>
      <c r="Z7">
        <f>BIO!AH266/BIO!$AX266</f>
        <v>5.4638224947955024E-3</v>
      </c>
      <c r="AC7">
        <f>BIO!AK266/BIO!$AX266</f>
        <v>2.8207422725895432E-3</v>
      </c>
      <c r="AD7">
        <f>BIO!AL266/BIO!$AX266</f>
        <v>6.2940526200620586E-2</v>
      </c>
      <c r="AF7">
        <f>BIO!AN266/BIO!$AX266</f>
        <v>6.5311908515707187E-2</v>
      </c>
      <c r="AG7">
        <f>BIO!AO266/BIO!$AX266</f>
        <v>2.2473911882864735E-2</v>
      </c>
      <c r="AH7">
        <f>BIO!AP266/BIO!$AX266</f>
        <v>2.0177276630317865E-2</v>
      </c>
      <c r="AJ7">
        <f>BIO!AR266/BIO!$AX266</f>
        <v>2.8813276911525503E-2</v>
      </c>
      <c r="AK7">
        <f>BIO!AS266/BIO!$AX266</f>
        <v>1.6175920173602475E-3</v>
      </c>
      <c r="AL7">
        <f>BIO!AT266/BIO!$AX266</f>
        <v>1.0949803847087379E-2</v>
      </c>
      <c r="AO7">
        <f t="shared" si="0"/>
        <v>1.0000000000000002</v>
      </c>
    </row>
    <row r="8" spans="1:41">
      <c r="B8" t="s">
        <v>140</v>
      </c>
      <c r="C8">
        <v>2040</v>
      </c>
      <c r="E8">
        <f>BIO!M267/BIO!$AX267</f>
        <v>1.0404599283479673E-2</v>
      </c>
      <c r="F8">
        <f>BIO!N267/BIO!$AX267</f>
        <v>5.7952204285119935E-2</v>
      </c>
      <c r="G8">
        <f>BIO!O267/BIO!$AX267</f>
        <v>5.4467440020345408E-3</v>
      </c>
      <c r="J8">
        <f>BIO!R267/BIO!$AX267</f>
        <v>3.8849284868751458E-3</v>
      </c>
      <c r="K8">
        <f>BIO!S267/BIO!$AX267</f>
        <v>2.8471570049094085E-2</v>
      </c>
      <c r="L8">
        <f>BIO!T267/BIO!$AX267</f>
        <v>0.14158757585911139</v>
      </c>
      <c r="M8">
        <f>BIO!U267/BIO!$AX267</f>
        <v>4.1155681670733947E-2</v>
      </c>
      <c r="N8">
        <f>BIO!V267/BIO!$AX267</f>
        <v>6.762174636487454E-3</v>
      </c>
      <c r="O8">
        <f>BIO!W267/BIO!$AX267</f>
        <v>8.4427273539745704E-2</v>
      </c>
      <c r="P8">
        <f>BIO!X267/BIO!$AX267</f>
        <v>1.4029329579127447E-2</v>
      </c>
      <c r="Q8">
        <f>BIO!Y267/BIO!$AX267</f>
        <v>0.21216172890331325</v>
      </c>
      <c r="R8">
        <f>BIO!Z267/BIO!$AX267</f>
        <v>6.558068609694101E-3</v>
      </c>
      <c r="S8">
        <f>BIO!AA267/BIO!$AX267</f>
        <v>2.0295823466112517E-3</v>
      </c>
      <c r="T8">
        <f>BIO!AB267/BIO!$AX267</f>
        <v>4.3814994057889113E-2</v>
      </c>
      <c r="U8">
        <f>BIO!AC267/BIO!$AX267</f>
        <v>1.2227941245630179E-2</v>
      </c>
      <c r="W8">
        <f>BIO!AE267/BIO!$AX267</f>
        <v>9.2420018625355135E-2</v>
      </c>
      <c r="X8">
        <f>BIO!AF267/BIO!$AX267</f>
        <v>1.0165864384245193E-2</v>
      </c>
      <c r="Y8">
        <f>BIO!AG267/BIO!$AX267</f>
        <v>9.9278441872666144E-4</v>
      </c>
      <c r="Z8">
        <f>BIO!AH267/BIO!$AX267</f>
        <v>5.3647775974038792E-3</v>
      </c>
      <c r="AC8">
        <f>BIO!AK267/BIO!$AX267</f>
        <v>3.0227539944636533E-3</v>
      </c>
      <c r="AD8">
        <f>BIO!AL267/BIO!$AX267</f>
        <v>6.434891135550723E-2</v>
      </c>
      <c r="AF8">
        <f>BIO!AN267/BIO!$AX267</f>
        <v>6.9047794756651945E-2</v>
      </c>
      <c r="AG8">
        <f>BIO!AO267/BIO!$AX267</f>
        <v>2.3046115604602749E-2</v>
      </c>
      <c r="AH8">
        <f>BIO!AP267/BIO!$AX267</f>
        <v>1.8835381406029601E-2</v>
      </c>
      <c r="AJ8">
        <f>BIO!AR267/BIO!$AX267</f>
        <v>2.9887860984876596E-2</v>
      </c>
      <c r="AK8">
        <f>BIO!AS267/BIO!$AX267</f>
        <v>1.5877860576189653E-3</v>
      </c>
      <c r="AL8">
        <f>BIO!AT267/BIO!$AX267</f>
        <v>1.0365554259571204E-2</v>
      </c>
      <c r="AO8">
        <f t="shared" si="0"/>
        <v>0.99999999999999989</v>
      </c>
    </row>
    <row r="9" spans="1:41">
      <c r="B9" t="s">
        <v>140</v>
      </c>
      <c r="C9">
        <v>2050</v>
      </c>
      <c r="E9">
        <f>BIO!M268/BIO!$AX268</f>
        <v>1.0944806734968412E-2</v>
      </c>
      <c r="F9">
        <f>BIO!N268/BIO!$AX268</f>
        <v>6.29922680409504E-2</v>
      </c>
      <c r="G9">
        <f>BIO!O268/BIO!$AX268</f>
        <v>5.3004758766027034E-3</v>
      </c>
      <c r="J9">
        <f>BIO!R268/BIO!$AX268</f>
        <v>4.0212654594947595E-3</v>
      </c>
      <c r="K9">
        <f>BIO!S268/BIO!$AX268</f>
        <v>2.6364693203477837E-2</v>
      </c>
      <c r="L9">
        <f>BIO!T268/BIO!$AX268</f>
        <v>0.13983083795099122</v>
      </c>
      <c r="M9">
        <f>BIO!U268/BIO!$AX268</f>
        <v>4.0625241840718765E-2</v>
      </c>
      <c r="N9">
        <f>BIO!V268/BIO!$AX268</f>
        <v>6.6862854077483526E-3</v>
      </c>
      <c r="O9">
        <f>BIO!W268/BIO!$AX268</f>
        <v>8.4277417330041363E-2</v>
      </c>
      <c r="P9">
        <f>BIO!X268/BIO!$AX268</f>
        <v>1.5526634891754636E-2</v>
      </c>
      <c r="Q9">
        <f>BIO!Y268/BIO!$AX268</f>
        <v>0.20919634050496511</v>
      </c>
      <c r="R9">
        <f>BIO!Z268/BIO!$AX268</f>
        <v>6.6405952387345799E-3</v>
      </c>
      <c r="S9">
        <f>BIO!AA268/BIO!$AX268</f>
        <v>1.9298420903685245E-3</v>
      </c>
      <c r="T9">
        <f>BIO!AB268/BIO!$AX268</f>
        <v>4.2867574027915814E-2</v>
      </c>
      <c r="U9">
        <f>BIO!AC268/BIO!$AX268</f>
        <v>1.181111903608548E-2</v>
      </c>
      <c r="W9">
        <f>BIO!AE268/BIO!$AX268</f>
        <v>8.9284705930092231E-2</v>
      </c>
      <c r="X9">
        <f>BIO!AF268/BIO!$AX268</f>
        <v>1.0442363716349044E-2</v>
      </c>
      <c r="Y9">
        <f>BIO!AG268/BIO!$AX268</f>
        <v>9.5009623563749464E-4</v>
      </c>
      <c r="Z9">
        <f>BIO!AH268/BIO!$AX268</f>
        <v>5.2571444598234814E-3</v>
      </c>
      <c r="AC9">
        <f>BIO!AK268/BIO!$AX268</f>
        <v>3.2391175968759134E-3</v>
      </c>
      <c r="AD9">
        <f>BIO!AL268/BIO!$AX268</f>
        <v>6.5991697900688706E-2</v>
      </c>
      <c r="AF9">
        <f>BIO!AN268/BIO!$AX268</f>
        <v>7.2408940650916367E-2</v>
      </c>
      <c r="AG9">
        <f>BIO!AO268/BIO!$AX268</f>
        <v>2.3672651842193651E-2</v>
      </c>
      <c r="AH9">
        <f>BIO!AP268/BIO!$AX268</f>
        <v>1.7608640217013562E-2</v>
      </c>
      <c r="AJ9">
        <f>BIO!AR268/BIO!$AX268</f>
        <v>3.0731635192787703E-2</v>
      </c>
      <c r="AK9">
        <f>BIO!AS268/BIO!$AX268</f>
        <v>1.5618142320689642E-3</v>
      </c>
      <c r="AL9">
        <f>BIO!AT268/BIO!$AX268</f>
        <v>9.8357943907350781E-3</v>
      </c>
      <c r="AO9">
        <f t="shared" si="0"/>
        <v>1</v>
      </c>
    </row>
    <row r="11" spans="1:41">
      <c r="B11" t="s">
        <v>139</v>
      </c>
      <c r="C11">
        <v>2005</v>
      </c>
      <c r="E11">
        <f>BIO!M270/BIO!$AX270</f>
        <v>3.6699049143924939E-2</v>
      </c>
      <c r="F11">
        <f>BIO!N270/BIO!$AX270</f>
        <v>1.608398290787685E-2</v>
      </c>
      <c r="G11">
        <f>BIO!O270/BIO!$AX270</f>
        <v>4.4156992713055383E-3</v>
      </c>
      <c r="J11">
        <f>BIO!R270/BIO!$AX270</f>
        <v>0</v>
      </c>
      <c r="K11">
        <f>BIO!S270/BIO!$AX270</f>
        <v>2.6637044201086847E-2</v>
      </c>
      <c r="L11">
        <f>BIO!T270/BIO!$AX270</f>
        <v>0.18020792005242525</v>
      </c>
      <c r="M11">
        <f>BIO!U270/BIO!$AX270</f>
        <v>3.8078775139053934E-3</v>
      </c>
      <c r="N11">
        <f>BIO!V270/BIO!$AX270</f>
        <v>1.1717231019195254E-5</v>
      </c>
      <c r="O11">
        <f>BIO!W270/BIO!$AX270</f>
        <v>2.3373864943017509E-2</v>
      </c>
      <c r="P11">
        <f>BIO!X270/BIO!$AX270</f>
        <v>0</v>
      </c>
      <c r="Q11">
        <f>BIO!Y270/BIO!$AX270</f>
        <v>0.57630275467988024</v>
      </c>
      <c r="R11">
        <f>BIO!Z270/BIO!$AX270</f>
        <v>1.0600852143540116E-2</v>
      </c>
      <c r="S11">
        <f>BIO!AA270/BIO!$AX270</f>
        <v>3.4556460708395506E-2</v>
      </c>
      <c r="T11">
        <f>BIO!AB270/BIO!$AX270</f>
        <v>1.7425833113613447E-2</v>
      </c>
      <c r="U11">
        <f>BIO!AC270/BIO!$AX270</f>
        <v>5.3330907095766603E-5</v>
      </c>
      <c r="W11">
        <f>BIO!AE270/BIO!$AX270</f>
        <v>8.7643066111076813E-3</v>
      </c>
      <c r="X11">
        <f>BIO!AF270/BIO!$AX270</f>
        <v>5.4380847459827315E-3</v>
      </c>
      <c r="Y11">
        <f>BIO!AG270/BIO!$AX270</f>
        <v>4.748470414605754E-4</v>
      </c>
      <c r="Z11">
        <f>BIO!AH270/BIO!$AX270</f>
        <v>9.4938500876371281E-4</v>
      </c>
      <c r="AC11">
        <f>BIO!AK270/BIO!$AX270</f>
        <v>0</v>
      </c>
      <c r="AD11">
        <f>BIO!AL270/BIO!$AX270</f>
        <v>4.3160245348167611E-3</v>
      </c>
      <c r="AF11">
        <f>BIO!AN270/BIO!$AX270</f>
        <v>1.3164056953797144E-2</v>
      </c>
      <c r="AG11">
        <f>BIO!AO270/BIO!$AX270</f>
        <v>1.1286815135779808E-4</v>
      </c>
      <c r="AH11">
        <f>BIO!AP270/BIO!$AX270</f>
        <v>4.9883727219818689E-3</v>
      </c>
      <c r="AJ11">
        <f>BIO!AR270/BIO!$AX270</f>
        <v>2.1165483911996099E-2</v>
      </c>
      <c r="AK11">
        <f>BIO!AS270/BIO!$AX270</f>
        <v>4.1269163286586881E-7</v>
      </c>
      <c r="AL11">
        <f>BIO!AT270/BIO!$AX270</f>
        <v>1.0449770810015989E-2</v>
      </c>
      <c r="AO11">
        <f t="shared" si="0"/>
        <v>0.99999999999999989</v>
      </c>
    </row>
    <row r="12" spans="1:41">
      <c r="B12" t="s">
        <v>139</v>
      </c>
      <c r="C12">
        <v>2010</v>
      </c>
      <c r="E12">
        <f>BIO!M271/BIO!$AX271</f>
        <v>3.6699049143924939E-2</v>
      </c>
      <c r="F12">
        <f>BIO!N271/BIO!$AX271</f>
        <v>1.608398290787685E-2</v>
      </c>
      <c r="G12">
        <f>BIO!O271/BIO!$AX271</f>
        <v>4.4156992713055383E-3</v>
      </c>
      <c r="J12">
        <f>BIO!R271/BIO!$AX271</f>
        <v>0</v>
      </c>
      <c r="K12">
        <f>BIO!S271/BIO!$AX271</f>
        <v>2.6637044201086847E-2</v>
      </c>
      <c r="L12">
        <f>BIO!T271/BIO!$AX271</f>
        <v>0.18020792005242525</v>
      </c>
      <c r="M12">
        <f>BIO!U271/BIO!$AX271</f>
        <v>3.8078775139053934E-3</v>
      </c>
      <c r="N12">
        <f>BIO!V271/BIO!$AX271</f>
        <v>1.1717231019195254E-5</v>
      </c>
      <c r="O12">
        <f>BIO!W271/BIO!$AX271</f>
        <v>2.3373864943017509E-2</v>
      </c>
      <c r="P12">
        <f>BIO!X271/BIO!$AX271</f>
        <v>0</v>
      </c>
      <c r="Q12">
        <f>BIO!Y271/BIO!$AX271</f>
        <v>0.57630275467988024</v>
      </c>
      <c r="R12">
        <f>BIO!Z271/BIO!$AX271</f>
        <v>1.0600852143540116E-2</v>
      </c>
      <c r="S12">
        <f>BIO!AA271/BIO!$AX271</f>
        <v>3.4556460708395506E-2</v>
      </c>
      <c r="T12">
        <f>BIO!AB271/BIO!$AX271</f>
        <v>1.7425833113613447E-2</v>
      </c>
      <c r="U12">
        <f>BIO!AC271/BIO!$AX271</f>
        <v>5.3330907095766603E-5</v>
      </c>
      <c r="W12">
        <f>BIO!AE271/BIO!$AX271</f>
        <v>8.7643066111076813E-3</v>
      </c>
      <c r="X12">
        <f>BIO!AF271/BIO!$AX271</f>
        <v>5.4380847459827315E-3</v>
      </c>
      <c r="Y12">
        <f>BIO!AG271/BIO!$AX271</f>
        <v>4.748470414605754E-4</v>
      </c>
      <c r="Z12">
        <f>BIO!AH271/BIO!$AX271</f>
        <v>9.4938500876371281E-4</v>
      </c>
      <c r="AC12">
        <f>BIO!AK271/BIO!$AX271</f>
        <v>0</v>
      </c>
      <c r="AD12">
        <f>BIO!AL271/BIO!$AX271</f>
        <v>4.3160245348167611E-3</v>
      </c>
      <c r="AF12">
        <f>BIO!AN271/BIO!$AX271</f>
        <v>1.3164056953797144E-2</v>
      </c>
      <c r="AG12">
        <f>BIO!AO271/BIO!$AX271</f>
        <v>1.1286815135779808E-4</v>
      </c>
      <c r="AH12">
        <f>BIO!AP271/BIO!$AX271</f>
        <v>4.9883727219818689E-3</v>
      </c>
      <c r="AJ12">
        <f>BIO!AR271/BIO!$AX271</f>
        <v>2.1165483911996099E-2</v>
      </c>
      <c r="AK12">
        <f>BIO!AS271/BIO!$AX271</f>
        <v>4.1269163286586881E-7</v>
      </c>
      <c r="AL12">
        <f>BIO!AT271/BIO!$AX271</f>
        <v>1.0449770810015989E-2</v>
      </c>
      <c r="AO12">
        <f t="shared" si="0"/>
        <v>0.99999999999999989</v>
      </c>
    </row>
    <row r="13" spans="1:41">
      <c r="B13" t="s">
        <v>139</v>
      </c>
      <c r="C13">
        <v>2020</v>
      </c>
      <c r="E13">
        <f>BIO!M272/BIO!$AX272</f>
        <v>1.509309299954752E-2</v>
      </c>
      <c r="F13">
        <f>BIO!N272/BIO!$AX272</f>
        <v>1.8722305258497596E-2</v>
      </c>
      <c r="G13">
        <f>BIO!O272/BIO!$AX272</f>
        <v>2.9293002781163306E-2</v>
      </c>
      <c r="J13">
        <f>BIO!R272/BIO!$AX272</f>
        <v>2.8775481887551268E-4</v>
      </c>
      <c r="K13">
        <f>BIO!S272/BIO!$AX272</f>
        <v>1.9520509463205563E-2</v>
      </c>
      <c r="L13">
        <f>BIO!T272/BIO!$AX272</f>
        <v>6.2384518187443998E-2</v>
      </c>
      <c r="M13">
        <f>BIO!U272/BIO!$AX272</f>
        <v>9.6799879971106752E-4</v>
      </c>
      <c r="N13">
        <f>BIO!V272/BIO!$AX272</f>
        <v>2.9722907023493235E-3</v>
      </c>
      <c r="O13">
        <f>BIO!W272/BIO!$AX272</f>
        <v>0.16223287322296967</v>
      </c>
      <c r="P13">
        <f>BIO!X272/BIO!$AX272</f>
        <v>1.1431194289640177E-3</v>
      </c>
      <c r="Q13">
        <f>BIO!Y272/BIO!$AX272</f>
        <v>0.23227822299566758</v>
      </c>
      <c r="R13">
        <f>BIO!Z272/BIO!$AX272</f>
        <v>1.8052269877665433E-2</v>
      </c>
      <c r="S13">
        <f>BIO!AA272/BIO!$AX272</f>
        <v>8.6602135260228936E-3</v>
      </c>
      <c r="T13">
        <f>BIO!AB272/BIO!$AX272</f>
        <v>4.3693212779152467E-2</v>
      </c>
      <c r="U13">
        <f>BIO!AC272/BIO!$AX272</f>
        <v>6.2459195638211243E-3</v>
      </c>
      <c r="W13">
        <f>BIO!AE272/BIO!$AX272</f>
        <v>9.1543447039429307E-2</v>
      </c>
      <c r="X13">
        <f>BIO!AF272/BIO!$AX272</f>
        <v>3.1324142073540673E-2</v>
      </c>
      <c r="Y13">
        <f>BIO!AG272/BIO!$AX272</f>
        <v>1.146011041772671E-4</v>
      </c>
      <c r="Z13">
        <f>BIO!AH272/BIO!$AX272</f>
        <v>3.1264618462606263E-3</v>
      </c>
      <c r="AC13">
        <f>BIO!AK272/BIO!$AX272</f>
        <v>0</v>
      </c>
      <c r="AD13">
        <f>BIO!AL272/BIO!$AX272</f>
        <v>1.3728788308006806E-2</v>
      </c>
      <c r="AF13">
        <f>BIO!AN272/BIO!$AX272</f>
        <v>9.4796422931224325E-2</v>
      </c>
      <c r="AG13">
        <f>BIO!AO272/BIO!$AX272</f>
        <v>7.3366432558697901E-3</v>
      </c>
      <c r="AH13">
        <f>BIO!AP272/BIO!$AX272</f>
        <v>0.12140906147152676</v>
      </c>
      <c r="AJ13">
        <f>BIO!AR272/BIO!$AX272</f>
        <v>7.924954067110657E-3</v>
      </c>
      <c r="AK13">
        <f>BIO!AS272/BIO!$AX272</f>
        <v>3.605587351694864E-4</v>
      </c>
      <c r="AL13">
        <f>BIO!AT272/BIO!$AX272</f>
        <v>6.7876147626270119E-3</v>
      </c>
      <c r="AO13">
        <f t="shared" si="0"/>
        <v>0.99999999999999989</v>
      </c>
    </row>
    <row r="14" spans="1:41">
      <c r="B14" t="s">
        <v>139</v>
      </c>
      <c r="C14">
        <v>2030</v>
      </c>
      <c r="E14">
        <f>BIO!M273/BIO!$AX273</f>
        <v>1.3736813598597518E-2</v>
      </c>
      <c r="F14">
        <f>BIO!N273/BIO!$AX273</f>
        <v>2.4621161534470505E-2</v>
      </c>
      <c r="G14">
        <f>BIO!O273/BIO!$AX273</f>
        <v>1.9003696358131563E-2</v>
      </c>
      <c r="J14">
        <f>BIO!R273/BIO!$AX273</f>
        <v>2.5430144731872109E-4</v>
      </c>
      <c r="K14">
        <f>BIO!S273/BIO!$AX273</f>
        <v>2.3401620018498236E-2</v>
      </c>
      <c r="L14">
        <f>BIO!T273/BIO!$AX273</f>
        <v>6.9781838785105341E-2</v>
      </c>
      <c r="M14">
        <f>BIO!U273/BIO!$AX273</f>
        <v>1.2826735037199484E-3</v>
      </c>
      <c r="N14">
        <f>BIO!V273/BIO!$AX273</f>
        <v>3.4710301362627051E-3</v>
      </c>
      <c r="O14">
        <f>BIO!W273/BIO!$AX273</f>
        <v>0.15866862404154558</v>
      </c>
      <c r="P14">
        <f>BIO!X273/BIO!$AX273</f>
        <v>1.1180360298993393E-3</v>
      </c>
      <c r="Q14">
        <f>BIO!Y273/BIO!$AX273</f>
        <v>0.22465844431492271</v>
      </c>
      <c r="R14">
        <f>BIO!Z273/BIO!$AX273</f>
        <v>1.5955389942223307E-2</v>
      </c>
      <c r="S14">
        <f>BIO!AA273/BIO!$AX273</f>
        <v>1.0738590595214891E-2</v>
      </c>
      <c r="T14">
        <f>BIO!AB273/BIO!$AX273</f>
        <v>4.1488595318814048E-2</v>
      </c>
      <c r="U14">
        <f>BIO!AC273/BIO!$AX273</f>
        <v>4.7440420578594208E-3</v>
      </c>
      <c r="W14">
        <f>BIO!AE273/BIO!$AX273</f>
        <v>0.10726562151728671</v>
      </c>
      <c r="X14">
        <f>BIO!AF273/BIO!$AX273</f>
        <v>3.3381475971493164E-2</v>
      </c>
      <c r="Y14">
        <f>BIO!AG273/BIO!$AX273</f>
        <v>9.5677841005106754E-5</v>
      </c>
      <c r="Z14">
        <f>BIO!AH273/BIO!$AX273</f>
        <v>3.8244776892325419E-3</v>
      </c>
      <c r="AC14">
        <f>BIO!AK273/BIO!$AX273</f>
        <v>0</v>
      </c>
      <c r="AD14">
        <f>BIO!AL273/BIO!$AX273</f>
        <v>1.784028421328945E-2</v>
      </c>
      <c r="AF14">
        <f>BIO!AN273/BIO!$AX273</f>
        <v>0.10185227011335529</v>
      </c>
      <c r="AG14">
        <f>BIO!AO273/BIO!$AX273</f>
        <v>6.1464891343835856E-3</v>
      </c>
      <c r="AH14">
        <f>BIO!AP273/BIO!$AX273</f>
        <v>0.10031620983733723</v>
      </c>
      <c r="AJ14">
        <f>BIO!AR273/BIO!$AX273</f>
        <v>7.5191803331366791E-3</v>
      </c>
      <c r="AK14">
        <f>BIO!AS273/BIO!$AX273</f>
        <v>8.1051283318894806E-4</v>
      </c>
      <c r="AL14">
        <f>BIO!AT273/BIO!$AX273</f>
        <v>8.0229428337075699E-3</v>
      </c>
      <c r="AO14">
        <f t="shared" si="0"/>
        <v>1</v>
      </c>
    </row>
    <row r="15" spans="1:41">
      <c r="B15" t="s">
        <v>139</v>
      </c>
      <c r="C15">
        <v>2040</v>
      </c>
      <c r="E15">
        <f>BIO!M274/BIO!$AX274</f>
        <v>1.2401894665876923E-2</v>
      </c>
      <c r="F15">
        <f>BIO!N274/BIO!$AX274</f>
        <v>2.2689722827727837E-2</v>
      </c>
      <c r="G15">
        <f>BIO!O274/BIO!$AX274</f>
        <v>2.2345279359282717E-2</v>
      </c>
      <c r="J15">
        <f>BIO!R274/BIO!$AX274</f>
        <v>2.3138485092079862E-4</v>
      </c>
      <c r="K15">
        <f>BIO!S274/BIO!$AX274</f>
        <v>2.5556191998369164E-2</v>
      </c>
      <c r="L15">
        <f>BIO!T274/BIO!$AX274</f>
        <v>6.9094658663683459E-2</v>
      </c>
      <c r="M15">
        <f>BIO!U274/BIO!$AX274</f>
        <v>1.5764404745524767E-3</v>
      </c>
      <c r="N15">
        <f>BIO!V274/BIO!$AX274</f>
        <v>3.9798756752514423E-3</v>
      </c>
      <c r="O15">
        <f>BIO!W274/BIO!$AX274</f>
        <v>0.16745255304568593</v>
      </c>
      <c r="P15">
        <f>BIO!X274/BIO!$AX274</f>
        <v>1.5485646951887162E-3</v>
      </c>
      <c r="Q15">
        <f>BIO!Y274/BIO!$AX274</f>
        <v>0.20662552561523714</v>
      </c>
      <c r="R15">
        <f>BIO!Z274/BIO!$AX274</f>
        <v>1.7301946253086783E-2</v>
      </c>
      <c r="S15">
        <f>BIO!AA274/BIO!$AX274</f>
        <v>1.0569206773859747E-2</v>
      </c>
      <c r="T15">
        <f>BIO!AB274/BIO!$AX274</f>
        <v>4.3244140254031033E-2</v>
      </c>
      <c r="U15">
        <f>BIO!AC274/BIO!$AX274</f>
        <v>3.3363279030844679E-3</v>
      </c>
      <c r="W15">
        <f>BIO!AE274/BIO!$AX274</f>
        <v>0.10503818614665417</v>
      </c>
      <c r="X15">
        <f>BIO!AF274/BIO!$AX274</f>
        <v>3.1401887264889697E-2</v>
      </c>
      <c r="Y15">
        <f>BIO!AG274/BIO!$AX274</f>
        <v>1.0174513794469619E-4</v>
      </c>
      <c r="Z15">
        <f>BIO!AH274/BIO!$AX274</f>
        <v>3.3846433405619889E-3</v>
      </c>
      <c r="AC15">
        <f>BIO!AK274/BIO!$AX274</f>
        <v>0</v>
      </c>
      <c r="AD15">
        <f>BIO!AL274/BIO!$AX274</f>
        <v>1.492053018661231E-2</v>
      </c>
      <c r="AF15">
        <f>BIO!AN274/BIO!$AX274</f>
        <v>0.11893979051728436</v>
      </c>
      <c r="AG15">
        <f>BIO!AO274/BIO!$AX274</f>
        <v>6.2403856564015028E-3</v>
      </c>
      <c r="AH15">
        <f>BIO!AP274/BIO!$AX274</f>
        <v>9.7318690259040191E-2</v>
      </c>
      <c r="AJ15">
        <f>BIO!AR274/BIO!$AX274</f>
        <v>6.9860067343259762E-3</v>
      </c>
      <c r="AK15">
        <f>BIO!AS274/BIO!$AX274</f>
        <v>6.7410146348680187E-4</v>
      </c>
      <c r="AL15">
        <f>BIO!AT274/BIO!$AX274</f>
        <v>7.0403202369595007E-3</v>
      </c>
      <c r="AO15">
        <f t="shared" si="0"/>
        <v>0.99999999999999978</v>
      </c>
    </row>
    <row r="16" spans="1:41">
      <c r="B16" t="s">
        <v>139</v>
      </c>
      <c r="C16">
        <v>2050</v>
      </c>
      <c r="E16">
        <f>BIO!M275/BIO!$AX275</f>
        <v>1.1200517680459954E-2</v>
      </c>
      <c r="F16">
        <f>BIO!N275/BIO!$AX275</f>
        <v>2.0763590507580906E-2</v>
      </c>
      <c r="G16">
        <f>BIO!O275/BIO!$AX275</f>
        <v>2.4525800069152351E-2</v>
      </c>
      <c r="J16">
        <f>BIO!R275/BIO!$AX275</f>
        <v>2.0939685701410507E-4</v>
      </c>
      <c r="K16">
        <f>BIO!S275/BIO!$AX275</f>
        <v>2.7933198744719775E-2</v>
      </c>
      <c r="L16">
        <f>BIO!T275/BIO!$AX275</f>
        <v>6.9120655130630967E-2</v>
      </c>
      <c r="M16">
        <f>BIO!U275/BIO!$AX275</f>
        <v>1.79879166608449E-3</v>
      </c>
      <c r="N16">
        <f>BIO!V275/BIO!$AX275</f>
        <v>4.3543626092828053E-3</v>
      </c>
      <c r="O16">
        <f>BIO!W275/BIO!$AX275</f>
        <v>0.17624324200256325</v>
      </c>
      <c r="P16">
        <f>BIO!X275/BIO!$AX275</f>
        <v>1.8695402046382738E-3</v>
      </c>
      <c r="Q16">
        <f>BIO!Y275/BIO!$AX275</f>
        <v>0.19129297274991369</v>
      </c>
      <c r="R16">
        <f>BIO!Z275/BIO!$AX275</f>
        <v>1.852795753915772E-2</v>
      </c>
      <c r="S16">
        <f>BIO!AA275/BIO!$AX275</f>
        <v>1.043290434267154E-2</v>
      </c>
      <c r="T16">
        <f>BIO!AB275/BIO!$AX275</f>
        <v>4.5385968130081326E-2</v>
      </c>
      <c r="U16">
        <f>BIO!AC275/BIO!$AX275</f>
        <v>1.9039642881827569E-3</v>
      </c>
      <c r="W16">
        <f>BIO!AE275/BIO!$AX275</f>
        <v>0.10436537666602842</v>
      </c>
      <c r="X16">
        <f>BIO!AF275/BIO!$AX275</f>
        <v>2.9347195474970628E-2</v>
      </c>
      <c r="Y16">
        <f>BIO!AG275/BIO!$AX275</f>
        <v>1.0876639777218801E-4</v>
      </c>
      <c r="Z16">
        <f>BIO!AH275/BIO!$AX275</f>
        <v>2.9050247414273045E-3</v>
      </c>
      <c r="AC16">
        <f>BIO!AK275/BIO!$AX275</f>
        <v>0</v>
      </c>
      <c r="AD16">
        <f>BIO!AL275/BIO!$AX275</f>
        <v>1.2268305447965528E-2</v>
      </c>
      <c r="AF16">
        <f>BIO!AN275/BIO!$AX275</f>
        <v>0.13659702637321355</v>
      </c>
      <c r="AG16">
        <f>BIO!AO275/BIO!$AX275</f>
        <v>6.4096512034084764E-3</v>
      </c>
      <c r="AH16">
        <f>BIO!AP275/BIO!$AX275</f>
        <v>8.9176970162062025E-2</v>
      </c>
      <c r="AJ16">
        <f>BIO!AR275/BIO!$AX275</f>
        <v>6.5079174505173415E-3</v>
      </c>
      <c r="AK16">
        <f>BIO!AS275/BIO!$AX275</f>
        <v>5.3718910604218684E-4</v>
      </c>
      <c r="AL16">
        <f>BIO!AT275/BIO!$AX275</f>
        <v>6.2137144544585866E-3</v>
      </c>
      <c r="AO16">
        <f t="shared" si="0"/>
        <v>1.0000000000000002</v>
      </c>
    </row>
    <row r="18" spans="2:41">
      <c r="B18" t="s">
        <v>141</v>
      </c>
      <c r="C18">
        <v>2005</v>
      </c>
      <c r="E18">
        <f>BIO!M277/BIO!$AX277</f>
        <v>2.1771792991411638E-2</v>
      </c>
      <c r="F18">
        <f>BIO!N277/BIO!$AX277</f>
        <v>7.3347666752176617E-3</v>
      </c>
      <c r="G18">
        <f>BIO!O277/BIO!$AX277</f>
        <v>2.7204213743222787E-2</v>
      </c>
      <c r="J18">
        <f>BIO!R277/BIO!$AX277</f>
        <v>2.9051558713829575E-4</v>
      </c>
      <c r="K18">
        <f>BIO!S277/BIO!$AX277</f>
        <v>3.6644958725236293E-2</v>
      </c>
      <c r="L18">
        <f>BIO!T277/BIO!$AX277</f>
        <v>0.20161478253056</v>
      </c>
      <c r="M18">
        <f>BIO!U277/BIO!$AX277</f>
        <v>2.894378277521106E-2</v>
      </c>
      <c r="N18">
        <f>BIO!V277/BIO!$AX277</f>
        <v>3.3869894018960403E-3</v>
      </c>
      <c r="O18">
        <f>BIO!W277/BIO!$AX277</f>
        <v>7.9352537616525984E-2</v>
      </c>
      <c r="P18">
        <f>BIO!X277/BIO!$AX277</f>
        <v>1.4453255827560737E-2</v>
      </c>
      <c r="Q18">
        <f>BIO!Y277/BIO!$AX277</f>
        <v>0.21110394444968489</v>
      </c>
      <c r="R18">
        <f>BIO!Z277/BIO!$AX277</f>
        <v>1.397844151828377E-2</v>
      </c>
      <c r="S18">
        <f>BIO!AA277/BIO!$AX277</f>
        <v>9.8461825710418841E-3</v>
      </c>
      <c r="T18">
        <f>BIO!AB277/BIO!$AX277</f>
        <v>4.8086819415435141E-2</v>
      </c>
      <c r="U18">
        <f>BIO!AC277/BIO!$AX277</f>
        <v>2.4133657359430349E-4</v>
      </c>
      <c r="W18">
        <f>BIO!AE277/BIO!$AX277</f>
        <v>6.147499300474818E-2</v>
      </c>
      <c r="X18">
        <f>BIO!AF277/BIO!$AX277</f>
        <v>1.4726181163670188E-2</v>
      </c>
      <c r="Y18">
        <f>BIO!AG277/BIO!$AX277</f>
        <v>3.7163884168358566E-4</v>
      </c>
      <c r="Z18">
        <f>BIO!AH277/BIO!$AX277</f>
        <v>6.9627402431037457E-3</v>
      </c>
      <c r="AC18">
        <f>BIO!AK277/BIO!$AX277</f>
        <v>6.8642714285694567E-3</v>
      </c>
      <c r="AD18">
        <f>BIO!AL277/BIO!$AX277</f>
        <v>5.7102918833084959E-3</v>
      </c>
      <c r="AF18">
        <f>BIO!AN277/BIO!$AX277</f>
        <v>0.10286737433906651</v>
      </c>
      <c r="AG18">
        <f>BIO!AO277/BIO!$AX277</f>
        <v>5.8186368631308683E-3</v>
      </c>
      <c r="AH18">
        <f>BIO!AP277/BIO!$AX277</f>
        <v>5.682708428860974E-2</v>
      </c>
      <c r="AJ18">
        <f>BIO!AR277/BIO!$AX277</f>
        <v>2.0013699598883102E-2</v>
      </c>
      <c r="AK18">
        <f>BIO!AS277/BIO!$AX277</f>
        <v>7.9464358942752658E-4</v>
      </c>
      <c r="AL18">
        <f>BIO!AT277/BIO!$AX277</f>
        <v>1.3314124353778186E-2</v>
      </c>
      <c r="AO18">
        <f t="shared" si="0"/>
        <v>1</v>
      </c>
    </row>
    <row r="19" spans="2:41">
      <c r="B19" t="s">
        <v>141</v>
      </c>
      <c r="C19">
        <v>2010</v>
      </c>
      <c r="E19">
        <f>BIO!M278/BIO!$AX278</f>
        <v>2.1771792991411638E-2</v>
      </c>
      <c r="F19">
        <f>BIO!N278/BIO!$AX278</f>
        <v>7.3347666752176617E-3</v>
      </c>
      <c r="G19">
        <f>BIO!O278/BIO!$AX278</f>
        <v>2.7204213743222787E-2</v>
      </c>
      <c r="J19">
        <f>BIO!R278/BIO!$AX278</f>
        <v>2.9051558713829575E-4</v>
      </c>
      <c r="K19">
        <f>BIO!S278/BIO!$AX278</f>
        <v>3.6644958725236293E-2</v>
      </c>
      <c r="L19">
        <f>BIO!T278/BIO!$AX278</f>
        <v>0.20161478253056</v>
      </c>
      <c r="M19">
        <f>BIO!U278/BIO!$AX278</f>
        <v>2.894378277521106E-2</v>
      </c>
      <c r="N19">
        <f>BIO!V278/BIO!$AX278</f>
        <v>3.3869894018960403E-3</v>
      </c>
      <c r="O19">
        <f>BIO!W278/BIO!$AX278</f>
        <v>7.9352537616525984E-2</v>
      </c>
      <c r="P19">
        <f>BIO!X278/BIO!$AX278</f>
        <v>1.4453255827560737E-2</v>
      </c>
      <c r="Q19">
        <f>BIO!Y278/BIO!$AX278</f>
        <v>0.21110394444968489</v>
      </c>
      <c r="R19">
        <f>BIO!Z278/BIO!$AX278</f>
        <v>1.397844151828377E-2</v>
      </c>
      <c r="S19">
        <f>BIO!AA278/BIO!$AX278</f>
        <v>9.8461825710418841E-3</v>
      </c>
      <c r="T19">
        <f>BIO!AB278/BIO!$AX278</f>
        <v>4.8086819415435141E-2</v>
      </c>
      <c r="U19">
        <f>BIO!AC278/BIO!$AX278</f>
        <v>2.4133657359430349E-4</v>
      </c>
      <c r="W19">
        <f>BIO!AE278/BIO!$AX278</f>
        <v>6.147499300474818E-2</v>
      </c>
      <c r="X19">
        <f>BIO!AF278/BIO!$AX278</f>
        <v>1.4726181163670188E-2</v>
      </c>
      <c r="Y19">
        <f>BIO!AG278/BIO!$AX278</f>
        <v>3.7163884168358566E-4</v>
      </c>
      <c r="Z19">
        <f>BIO!AH278/BIO!$AX278</f>
        <v>6.9627402431037457E-3</v>
      </c>
      <c r="AC19">
        <f>BIO!AK278/BIO!$AX278</f>
        <v>6.8642714285694567E-3</v>
      </c>
      <c r="AD19">
        <f>BIO!AL278/BIO!$AX278</f>
        <v>5.7102918833084959E-3</v>
      </c>
      <c r="AF19">
        <f>BIO!AN278/BIO!$AX278</f>
        <v>0.10286737433906651</v>
      </c>
      <c r="AG19">
        <f>BIO!AO278/BIO!$AX278</f>
        <v>5.8186368631308683E-3</v>
      </c>
      <c r="AH19">
        <f>BIO!AP278/BIO!$AX278</f>
        <v>5.682708428860974E-2</v>
      </c>
      <c r="AJ19">
        <f>BIO!AR278/BIO!$AX278</f>
        <v>2.0013699598883102E-2</v>
      </c>
      <c r="AK19">
        <f>BIO!AS278/BIO!$AX278</f>
        <v>7.9464358942752658E-4</v>
      </c>
      <c r="AL19">
        <f>BIO!AT278/BIO!$AX278</f>
        <v>1.3314124353778186E-2</v>
      </c>
      <c r="AO19">
        <f t="shared" si="0"/>
        <v>1</v>
      </c>
    </row>
    <row r="20" spans="2:41">
      <c r="B20" t="s">
        <v>141</v>
      </c>
      <c r="C20">
        <v>2020</v>
      </c>
      <c r="E20">
        <f>BIO!M279/BIO!$AX279</f>
        <v>2.0490659077875523E-2</v>
      </c>
      <c r="F20">
        <f>BIO!N279/BIO!$AX279</f>
        <v>6.6162747666605815E-3</v>
      </c>
      <c r="G20">
        <f>BIO!O279/BIO!$AX279</f>
        <v>2.9883884568743888E-2</v>
      </c>
      <c r="J20">
        <f>BIO!R279/BIO!$AX279</f>
        <v>3.8288847175843701E-4</v>
      </c>
      <c r="K20">
        <f>BIO!S279/BIO!$AX279</f>
        <v>3.5929637597461428E-2</v>
      </c>
      <c r="L20">
        <f>BIO!T279/BIO!$AX279</f>
        <v>0.20393168960998131</v>
      </c>
      <c r="M20">
        <f>BIO!U279/BIO!$AX279</f>
        <v>2.6064933623357871E-2</v>
      </c>
      <c r="N20">
        <f>BIO!V279/BIO!$AX279</f>
        <v>3.4439743250948389E-3</v>
      </c>
      <c r="O20">
        <f>BIO!W279/BIO!$AX279</f>
        <v>8.7444269952469789E-2</v>
      </c>
      <c r="P20">
        <f>BIO!X279/BIO!$AX279</f>
        <v>1.6290599285762583E-2</v>
      </c>
      <c r="Q20">
        <f>BIO!Y279/BIO!$AX279</f>
        <v>0.21577408648042512</v>
      </c>
      <c r="R20">
        <f>BIO!Z279/BIO!$AX279</f>
        <v>1.8162583887731776E-2</v>
      </c>
      <c r="S20">
        <f>BIO!AA279/BIO!$AX279</f>
        <v>9.2700872116513507E-3</v>
      </c>
      <c r="T20">
        <f>BIO!AB279/BIO!$AX279</f>
        <v>4.7983673745521302E-2</v>
      </c>
      <c r="U20">
        <f>BIO!AC279/BIO!$AX279</f>
        <v>3.3846138699379028E-4</v>
      </c>
      <c r="W20">
        <f>BIO!AE279/BIO!$AX279</f>
        <v>6.1647257755938108E-2</v>
      </c>
      <c r="X20">
        <f>BIO!AF279/BIO!$AX279</f>
        <v>1.3703651448305444E-2</v>
      </c>
      <c r="Y20">
        <f>BIO!AG279/BIO!$AX279</f>
        <v>3.0642247139252196E-4</v>
      </c>
      <c r="Z20">
        <f>BIO!AH279/BIO!$AX279</f>
        <v>8.0254147940444984E-3</v>
      </c>
      <c r="AC20">
        <f>BIO!AK279/BIO!$AX279</f>
        <v>1.0231956479537538E-5</v>
      </c>
      <c r="AD20">
        <f>BIO!AL279/BIO!$AX279</f>
        <v>5.0878621279347325E-3</v>
      </c>
      <c r="AF20">
        <f>BIO!AN279/BIO!$AX279</f>
        <v>9.8412073005910219E-2</v>
      </c>
      <c r="AG20">
        <f>BIO!AO279/BIO!$AX279</f>
        <v>6.8585993817868781E-3</v>
      </c>
      <c r="AH20">
        <f>BIO!AP279/BIO!$AX279</f>
        <v>5.2309695085564288E-2</v>
      </c>
      <c r="AJ20">
        <f>BIO!AR279/BIO!$AX279</f>
        <v>1.6665546594602221E-2</v>
      </c>
      <c r="AK20">
        <f>BIO!AS279/BIO!$AX279</f>
        <v>9.1634872294184906E-4</v>
      </c>
      <c r="AL20">
        <f>BIO!AT279/BIO!$AX279</f>
        <v>1.4049192663610436E-2</v>
      </c>
      <c r="AO20">
        <f t="shared" si="0"/>
        <v>1.0000000000000004</v>
      </c>
    </row>
    <row r="21" spans="2:41">
      <c r="B21" t="s">
        <v>141</v>
      </c>
      <c r="C21">
        <v>2030</v>
      </c>
      <c r="E21">
        <f>BIO!M280/BIO!$AX280</f>
        <v>2.1885397520901417E-2</v>
      </c>
      <c r="F21">
        <f>BIO!N280/BIO!$AX280</f>
        <v>6.7631836348792992E-3</v>
      </c>
      <c r="G21">
        <f>BIO!O280/BIO!$AX280</f>
        <v>2.9672998173920051E-2</v>
      </c>
      <c r="J21">
        <f>BIO!R280/BIO!$AX280</f>
        <v>4.1925994182959164E-4</v>
      </c>
      <c r="K21">
        <f>BIO!S280/BIO!$AX280</f>
        <v>3.7073006000914933E-2</v>
      </c>
      <c r="L21">
        <f>BIO!T280/BIO!$AX280</f>
        <v>0.20371288344419825</v>
      </c>
      <c r="M21">
        <f>BIO!U280/BIO!$AX280</f>
        <v>2.5523163331777992E-2</v>
      </c>
      <c r="N21">
        <f>BIO!V280/BIO!$AX280</f>
        <v>4.444849976644751E-3</v>
      </c>
      <c r="O21">
        <f>BIO!W280/BIO!$AX280</f>
        <v>9.1773611995524418E-2</v>
      </c>
      <c r="P21">
        <f>BIO!X280/BIO!$AX280</f>
        <v>1.7662944482123407E-2</v>
      </c>
      <c r="Q21">
        <f>BIO!Y280/BIO!$AX280</f>
        <v>0.2128050839252221</v>
      </c>
      <c r="R21">
        <f>BIO!Z280/BIO!$AX280</f>
        <v>2.0197416420406053E-2</v>
      </c>
      <c r="S21">
        <f>BIO!AA280/BIO!$AX280</f>
        <v>8.866565756336927E-3</v>
      </c>
      <c r="T21">
        <f>BIO!AB280/BIO!$AX280</f>
        <v>4.7171031177251209E-2</v>
      </c>
      <c r="U21">
        <f>BIO!AC280/BIO!$AX280</f>
        <v>3.0732977510310904E-4</v>
      </c>
      <c r="W21">
        <f>BIO!AE280/BIO!$AX280</f>
        <v>6.2445141127838964E-2</v>
      </c>
      <c r="X21">
        <f>BIO!AF280/BIO!$AX280</f>
        <v>1.3327734485671979E-2</v>
      </c>
      <c r="Y21">
        <f>BIO!AG280/BIO!$AX280</f>
        <v>3.3440057115663983E-4</v>
      </c>
      <c r="Z21">
        <f>BIO!AH280/BIO!$AX280</f>
        <v>7.8419690833417075E-3</v>
      </c>
      <c r="AC21">
        <f>BIO!AK280/BIO!$AX280</f>
        <v>1.0789650713206137E-5</v>
      </c>
      <c r="AD21">
        <f>BIO!AL280/BIO!$AX280</f>
        <v>5.208243304185043E-3</v>
      </c>
      <c r="AF21">
        <f>BIO!AN280/BIO!$AX280</f>
        <v>8.7310371805315923E-2</v>
      </c>
      <c r="AG21">
        <f>BIO!AO280/BIO!$AX280</f>
        <v>8.1300161542651791E-3</v>
      </c>
      <c r="AH21">
        <f>BIO!AP280/BIO!$AX280</f>
        <v>5.6671045082735766E-2</v>
      </c>
      <c r="AJ21">
        <f>BIO!AR280/BIO!$AX280</f>
        <v>1.616278468445621E-2</v>
      </c>
      <c r="AK21">
        <f>BIO!AS280/BIO!$AX280</f>
        <v>8.5744090081477781E-4</v>
      </c>
      <c r="AL21">
        <f>BIO!AT280/BIO!$AX280</f>
        <v>1.342133759247131E-2</v>
      </c>
      <c r="AO21">
        <f t="shared" si="0"/>
        <v>1</v>
      </c>
    </row>
    <row r="22" spans="2:41">
      <c r="B22" t="s">
        <v>141</v>
      </c>
      <c r="C22">
        <v>2040</v>
      </c>
      <c r="E22">
        <f>BIO!M281/BIO!$AX281</f>
        <v>2.3150999433548158E-2</v>
      </c>
      <c r="F22">
        <f>BIO!N281/BIO!$AX281</f>
        <v>7.124932618978402E-3</v>
      </c>
      <c r="G22">
        <f>BIO!O281/BIO!$AX281</f>
        <v>2.8305176645572284E-2</v>
      </c>
      <c r="J22">
        <f>BIO!R281/BIO!$AX281</f>
        <v>4.3869713153770563E-4</v>
      </c>
      <c r="K22">
        <f>BIO!S281/BIO!$AX281</f>
        <v>3.7196276318121821E-2</v>
      </c>
      <c r="L22">
        <f>BIO!T281/BIO!$AX281</f>
        <v>0.20495730883021879</v>
      </c>
      <c r="M22">
        <f>BIO!U281/BIO!$AX281</f>
        <v>2.4335965537982781E-2</v>
      </c>
      <c r="N22">
        <f>BIO!V281/BIO!$AX281</f>
        <v>5.4043717950237697E-3</v>
      </c>
      <c r="O22">
        <f>BIO!W281/BIO!$AX281</f>
        <v>9.2710112470081915E-2</v>
      </c>
      <c r="P22">
        <f>BIO!X281/BIO!$AX281</f>
        <v>1.8210725006546483E-2</v>
      </c>
      <c r="Q22">
        <f>BIO!Y281/BIO!$AX281</f>
        <v>0.20668579721989197</v>
      </c>
      <c r="R22">
        <f>BIO!Z281/BIO!$AX281</f>
        <v>2.0937371060880613E-2</v>
      </c>
      <c r="S22">
        <f>BIO!AA281/BIO!$AX281</f>
        <v>8.1178933047027155E-3</v>
      </c>
      <c r="T22">
        <f>BIO!AB281/BIO!$AX281</f>
        <v>4.8069583420995134E-2</v>
      </c>
      <c r="U22">
        <f>BIO!AC281/BIO!$AX281</f>
        <v>2.5203657028380669E-4</v>
      </c>
      <c r="W22">
        <f>BIO!AE281/BIO!$AX281</f>
        <v>6.3164796451798066E-2</v>
      </c>
      <c r="X22">
        <f>BIO!AF281/BIO!$AX281</f>
        <v>1.5909498233137403E-2</v>
      </c>
      <c r="Y22">
        <f>BIO!AG281/BIO!$AX281</f>
        <v>3.8406877530277825E-4</v>
      </c>
      <c r="Z22">
        <f>BIO!AH281/BIO!$AX281</f>
        <v>7.5471950802622227E-3</v>
      </c>
      <c r="AC22">
        <f>BIO!AK281/BIO!$AX281</f>
        <v>1.1474031528632522E-5</v>
      </c>
      <c r="AD22">
        <f>BIO!AL281/BIO!$AX281</f>
        <v>5.820825138743782E-3</v>
      </c>
      <c r="AF22">
        <f>BIO!AN281/BIO!$AX281</f>
        <v>8.1204979330244217E-2</v>
      </c>
      <c r="AG22">
        <f>BIO!AO281/BIO!$AX281</f>
        <v>8.0138469568287757E-3</v>
      </c>
      <c r="AH22">
        <f>BIO!AP281/BIO!$AX281</f>
        <v>6.0682179122895023E-2</v>
      </c>
      <c r="AJ22">
        <f>BIO!AR281/BIO!$AX281</f>
        <v>1.7017297427862434E-2</v>
      </c>
      <c r="AK22">
        <f>BIO!AS281/BIO!$AX281</f>
        <v>8.9674298265815652E-4</v>
      </c>
      <c r="AL22">
        <f>BIO!AT281/BIO!$AX281</f>
        <v>1.3449849104372391E-2</v>
      </c>
      <c r="AO22">
        <f t="shared" si="0"/>
        <v>1</v>
      </c>
    </row>
    <row r="23" spans="2:41">
      <c r="B23" t="s">
        <v>141</v>
      </c>
      <c r="C23">
        <v>2050</v>
      </c>
      <c r="E23">
        <f>BIO!M282/BIO!$AX282</f>
        <v>2.4494362695153871E-2</v>
      </c>
      <c r="F23">
        <f>BIO!N282/BIO!$AX282</f>
        <v>7.5082952371684072E-3</v>
      </c>
      <c r="G23">
        <f>BIO!O282/BIO!$AX282</f>
        <v>2.6859183448976261E-2</v>
      </c>
      <c r="J23">
        <f>BIO!R282/BIO!$AX282</f>
        <v>4.5969901420027777E-4</v>
      </c>
      <c r="K23">
        <f>BIO!S282/BIO!$AX282</f>
        <v>3.732627763876261E-2</v>
      </c>
      <c r="L23">
        <f>BIO!T282/BIO!$AX282</f>
        <v>0.20487605438841733</v>
      </c>
      <c r="M23">
        <f>BIO!U282/BIO!$AX282</f>
        <v>2.3111882674254923E-2</v>
      </c>
      <c r="N23">
        <f>BIO!V282/BIO!$AX282</f>
        <v>6.4345602824270546E-3</v>
      </c>
      <c r="O23">
        <f>BIO!W282/BIO!$AX282</f>
        <v>9.3932021388321699E-2</v>
      </c>
      <c r="P23">
        <f>BIO!X282/BIO!$AX282</f>
        <v>1.8800433630397163E-2</v>
      </c>
      <c r="Q23">
        <f>BIO!Y282/BIO!$AX282</f>
        <v>0.20039193552436677</v>
      </c>
      <c r="R23">
        <f>BIO!Z282/BIO!$AX282</f>
        <v>2.1891425873126934E-2</v>
      </c>
      <c r="S23">
        <f>BIO!AA282/BIO!$AX282</f>
        <v>7.8788116215016222E-3</v>
      </c>
      <c r="T23">
        <f>BIO!AB282/BIO!$AX282</f>
        <v>4.9043542773703985E-2</v>
      </c>
      <c r="U23">
        <f>BIO!AC282/BIO!$AX282</f>
        <v>1.9348076528456383E-4</v>
      </c>
      <c r="W23">
        <f>BIO!AE282/BIO!$AX282</f>
        <v>6.3873181908271792E-2</v>
      </c>
      <c r="X23">
        <f>BIO!AF282/BIO!$AX282</f>
        <v>1.8663126887069375E-2</v>
      </c>
      <c r="Y23">
        <f>BIO!AG282/BIO!$AX282</f>
        <v>4.3278000125917626E-4</v>
      </c>
      <c r="Z23">
        <f>BIO!AH282/BIO!$AX282</f>
        <v>7.2343141103225249E-3</v>
      </c>
      <c r="AC23">
        <f>BIO!AK282/BIO!$AX282</f>
        <v>1.220667699938107E-5</v>
      </c>
      <c r="AD23">
        <f>BIO!AL282/BIO!$AX282</f>
        <v>6.4721096057082346E-3</v>
      </c>
      <c r="AF23">
        <f>BIO!AN282/BIO!$AX282</f>
        <v>7.4907450318532146E-2</v>
      </c>
      <c r="AG23">
        <f>BIO!AO282/BIO!$AX282</f>
        <v>7.8647264219771727E-3</v>
      </c>
      <c r="AH23">
        <f>BIO!AP282/BIO!$AX282</f>
        <v>6.4937208943037103E-2</v>
      </c>
      <c r="AJ23">
        <f>BIO!AR282/BIO!$AX282</f>
        <v>1.7977990115451925E-2</v>
      </c>
      <c r="AK23">
        <f>BIO!AS282/BIO!$AX282</f>
        <v>9.3879498750845409E-4</v>
      </c>
      <c r="AL23">
        <f>BIO!AT282/BIO!$AX282</f>
        <v>1.3484143067799418E-2</v>
      </c>
      <c r="AO23">
        <f t="shared" si="0"/>
        <v>1.0000000000000002</v>
      </c>
    </row>
    <row r="25" spans="2:41">
      <c r="B25" t="s">
        <v>142</v>
      </c>
      <c r="C25">
        <v>2005</v>
      </c>
      <c r="E25">
        <f>BIO!M284/BIO!$AX284</f>
        <v>4.3969181721572791E-2</v>
      </c>
      <c r="F25">
        <f>BIO!N284/BIO!$AX284</f>
        <v>7.3060573857598289E-3</v>
      </c>
      <c r="G25">
        <f>BIO!O284/BIO!$AX284</f>
        <v>1.7534537725823588E-2</v>
      </c>
      <c r="J25">
        <f>BIO!R284/BIO!$AX284</f>
        <v>0</v>
      </c>
      <c r="K25">
        <f>BIO!S284/BIO!$AX284</f>
        <v>1.4877789585547288E-2</v>
      </c>
      <c r="L25">
        <f>BIO!T284/BIO!$AX284</f>
        <v>0.1188894792773645</v>
      </c>
      <c r="M25">
        <f>BIO!U284/BIO!$AX284</f>
        <v>8.5015940488841653E-3</v>
      </c>
      <c r="N25">
        <f>BIO!V284/BIO!$AX284</f>
        <v>1.6339001062699254E-2</v>
      </c>
      <c r="O25">
        <f>BIO!W284/BIO!$AX284</f>
        <v>3.7460148777895851E-2</v>
      </c>
      <c r="P25">
        <f>BIO!X284/BIO!$AX284</f>
        <v>7.438894792773644E-2</v>
      </c>
      <c r="Q25">
        <f>BIO!Y284/BIO!$AX284</f>
        <v>0.26248671625929859</v>
      </c>
      <c r="R25">
        <f>BIO!Z284/BIO!$AX284</f>
        <v>7.5717321997874594E-3</v>
      </c>
      <c r="S25">
        <f>BIO!AA284/BIO!$AX284</f>
        <v>1.4612114771519658E-2</v>
      </c>
      <c r="T25">
        <f>BIO!AB284/BIO!$AX284</f>
        <v>2.7763018065887348E-2</v>
      </c>
      <c r="U25">
        <f>BIO!AC284/BIO!$AX284</f>
        <v>2.5239107332624862E-3</v>
      </c>
      <c r="W25">
        <f>BIO!AE284/BIO!$AX284</f>
        <v>8.1163655685441011E-2</v>
      </c>
      <c r="X25">
        <f>BIO!AF284/BIO!$AX284</f>
        <v>1.9527098831030817E-2</v>
      </c>
      <c r="Y25">
        <f>BIO!AG284/BIO!$AX284</f>
        <v>2.6567481402763017E-4</v>
      </c>
      <c r="Z25">
        <f>BIO!AH284/BIO!$AX284</f>
        <v>2.6700318809776833E-2</v>
      </c>
      <c r="AC25">
        <f>BIO!AK284/BIO!$AX284</f>
        <v>0</v>
      </c>
      <c r="AD25">
        <f>BIO!AL284/BIO!$AX284</f>
        <v>3.1880977683315615E-3</v>
      </c>
      <c r="AF25">
        <f>BIO!AN284/BIO!$AX284</f>
        <v>3.1880977683315617E-2</v>
      </c>
      <c r="AG25">
        <f>BIO!AO284/BIO!$AX284</f>
        <v>2.1253985122210411E-2</v>
      </c>
      <c r="AH25">
        <f>BIO!AP284/BIO!$AX284</f>
        <v>4.3172157279489899E-2</v>
      </c>
      <c r="AJ25">
        <f>BIO!AR284/BIO!$AX284</f>
        <v>9.5908607863974496E-2</v>
      </c>
      <c r="AK25">
        <f>BIO!AS284/BIO!$AX284</f>
        <v>1.7800212539851222E-2</v>
      </c>
      <c r="AL25">
        <f>BIO!AT284/BIO!$AX284</f>
        <v>4.914984059511158E-3</v>
      </c>
      <c r="AO25">
        <f t="shared" si="0"/>
        <v>0.99999999999999989</v>
      </c>
    </row>
    <row r="26" spans="2:41">
      <c r="B26" t="s">
        <v>142</v>
      </c>
      <c r="C26">
        <v>2010</v>
      </c>
      <c r="E26">
        <f>BIO!M285/BIO!$AX285</f>
        <v>4.4379093704050264E-2</v>
      </c>
      <c r="F26">
        <f>BIO!N285/BIO!$AX285</f>
        <v>7.4856302633337785E-3</v>
      </c>
      <c r="G26">
        <f>BIO!O285/BIO!$AX285</f>
        <v>1.7243683999465312E-2</v>
      </c>
      <c r="J26">
        <f>BIO!R285/BIO!$AX285</f>
        <v>0</v>
      </c>
      <c r="K26">
        <f>BIO!S285/BIO!$AX285</f>
        <v>1.4837588557679453E-2</v>
      </c>
      <c r="L26">
        <f>BIO!T285/BIO!$AX285</f>
        <v>0.12017110012030478</v>
      </c>
      <c r="M26">
        <f>BIO!U285/BIO!$AX285</f>
        <v>8.5550060152386042E-3</v>
      </c>
      <c r="N26">
        <f>BIO!V285/BIO!$AX285</f>
        <v>1.6307980216548588E-2</v>
      </c>
      <c r="O26">
        <f>BIO!W285/BIO!$AX285</f>
        <v>3.6893463440716485E-2</v>
      </c>
      <c r="P26">
        <f>BIO!X285/BIO!$AX285</f>
        <v>7.4455286726373485E-2</v>
      </c>
      <c r="Q26">
        <f>BIO!Y285/BIO!$AX285</f>
        <v>0.2609276834647774</v>
      </c>
      <c r="R26">
        <f>BIO!Z285/BIO!$AX285</f>
        <v>7.4856302633337785E-3</v>
      </c>
      <c r="S26">
        <f>BIO!AA285/BIO!$AX285</f>
        <v>1.4436572650715145E-2</v>
      </c>
      <c r="T26">
        <f>BIO!AB285/BIO!$AX285</f>
        <v>2.7670097580537359E-2</v>
      </c>
      <c r="U26">
        <f>BIO!AC285/BIO!$AX285</f>
        <v>2.4060954417858575E-3</v>
      </c>
      <c r="W26">
        <f>BIO!AE285/BIO!$AX285</f>
        <v>8.1272557144766736E-2</v>
      </c>
      <c r="X26">
        <f>BIO!AF285/BIO!$AX285</f>
        <v>1.9516107472263067E-2</v>
      </c>
      <c r="Y26">
        <f>BIO!AG285/BIO!$AX285</f>
        <v>2.6734393797620638E-4</v>
      </c>
      <c r="Z26">
        <f>BIO!AH285/BIO!$AX285</f>
        <v>2.6868065766608742E-2</v>
      </c>
      <c r="AC26">
        <f>BIO!AK285/BIO!$AX285</f>
        <v>0</v>
      </c>
      <c r="AD26">
        <f>BIO!AL285/BIO!$AX285</f>
        <v>3.0744552867263734E-3</v>
      </c>
      <c r="AF26">
        <f>BIO!AN285/BIO!$AX285</f>
        <v>3.1947600588156662E-2</v>
      </c>
      <c r="AG26">
        <f>BIO!AO285/BIO!$AX285</f>
        <v>2.1120171100120304E-2</v>
      </c>
      <c r="AH26">
        <f>BIO!AP285/BIO!$AX285</f>
        <v>4.304237401416923E-2</v>
      </c>
      <c r="AJ26">
        <f>BIO!AR285/BIO!$AX285</f>
        <v>9.691217751637482E-2</v>
      </c>
      <c r="AK26">
        <f>BIO!AS285/BIO!$AX285</f>
        <v>1.7912043844405829E-2</v>
      </c>
      <c r="AL26">
        <f>BIO!AT285/BIO!$AX285</f>
        <v>4.812190883571715E-3</v>
      </c>
      <c r="AO26">
        <f t="shared" si="0"/>
        <v>1.0000000000000002</v>
      </c>
    </row>
    <row r="27" spans="2:41">
      <c r="B27" t="s">
        <v>142</v>
      </c>
      <c r="C27">
        <v>2020</v>
      </c>
      <c r="E27">
        <f>BIO!M286/BIO!$AX286</f>
        <v>4.4029352901934625E-2</v>
      </c>
      <c r="F27">
        <f>BIO!N286/BIO!$AX286</f>
        <v>8.0053368912608412E-3</v>
      </c>
      <c r="G27">
        <f>BIO!O286/BIO!$AX286</f>
        <v>1.6277518345563707E-2</v>
      </c>
      <c r="J27">
        <f>BIO!R286/BIO!$AX286</f>
        <v>0</v>
      </c>
      <c r="K27">
        <f>BIO!S286/BIO!$AX286</f>
        <v>1.4409606404269514E-2</v>
      </c>
      <c r="L27">
        <f>BIO!T286/BIO!$AX286</f>
        <v>0.12208138759172782</v>
      </c>
      <c r="M27">
        <f>BIO!U286/BIO!$AX286</f>
        <v>8.4056037358238821E-3</v>
      </c>
      <c r="N27">
        <f>BIO!V286/BIO!$AX286</f>
        <v>1.5743829219479654E-2</v>
      </c>
      <c r="O27">
        <f>BIO!W286/BIO!$AX286</f>
        <v>3.3622414943295528E-2</v>
      </c>
      <c r="P27">
        <f>BIO!X286/BIO!$AX286</f>
        <v>9.8999332888592403E-2</v>
      </c>
      <c r="Q27">
        <f>BIO!Y286/BIO!$AX286</f>
        <v>0.24909939959973315</v>
      </c>
      <c r="R27">
        <f>BIO!Z286/BIO!$AX286</f>
        <v>7.2048032021347569E-3</v>
      </c>
      <c r="S27">
        <f>BIO!AA286/BIO!$AX286</f>
        <v>1.3609072715143429E-2</v>
      </c>
      <c r="T27">
        <f>BIO!AB286/BIO!$AX286</f>
        <v>2.6551034022681785E-2</v>
      </c>
      <c r="U27">
        <f>BIO!AC286/BIO!$AX286</f>
        <v>2.0013342228152103E-3</v>
      </c>
      <c r="W27">
        <f>BIO!AE286/BIO!$AX286</f>
        <v>7.9786524349566373E-2</v>
      </c>
      <c r="X27">
        <f>BIO!AF286/BIO!$AX286</f>
        <v>1.8812541694462975E-2</v>
      </c>
      <c r="Y27">
        <f>BIO!AG286/BIO!$AX286</f>
        <v>2.6684456304202801E-4</v>
      </c>
      <c r="Z27">
        <f>BIO!AH286/BIO!$AX286</f>
        <v>2.6551034022681785E-2</v>
      </c>
      <c r="AC27">
        <f>BIO!AK286/BIO!$AX286</f>
        <v>0</v>
      </c>
      <c r="AD27">
        <f>BIO!AL286/BIO!$AX286</f>
        <v>2.8018679119412942E-3</v>
      </c>
      <c r="AF27">
        <f>BIO!AN286/BIO!$AX286</f>
        <v>3.1354236157438292E-2</v>
      </c>
      <c r="AG27">
        <f>BIO!AO286/BIO!$AX286</f>
        <v>2.0013342228152101E-2</v>
      </c>
      <c r="AH27">
        <f>BIO!AP286/BIO!$AX286</f>
        <v>4.1627751834556373E-2</v>
      </c>
      <c r="AJ27">
        <f>BIO!AR286/BIO!$AX286</f>
        <v>9.6330887258172113E-2</v>
      </c>
      <c r="AK27">
        <f>BIO!AS286/BIO!$AX286</f>
        <v>1.7745163442294865E-2</v>
      </c>
      <c r="AL27">
        <f>BIO!AT286/BIO!$AX286</f>
        <v>4.6697798532354907E-3</v>
      </c>
      <c r="AO27">
        <f t="shared" si="0"/>
        <v>0.99999999999999989</v>
      </c>
    </row>
    <row r="28" spans="2:41">
      <c r="B28" t="s">
        <v>142</v>
      </c>
      <c r="C28">
        <v>2030</v>
      </c>
      <c r="E28">
        <f>BIO!M287/BIO!$AX287</f>
        <v>4.4324608707089312E-2</v>
      </c>
      <c r="F28">
        <f>BIO!N287/BIO!$AX287</f>
        <v>7.8916217282651597E-3</v>
      </c>
      <c r="G28">
        <f>BIO!O287/BIO!$AX287</f>
        <v>1.5783243456530319E-2</v>
      </c>
      <c r="J28">
        <f>BIO!R287/BIO!$AX287</f>
        <v>0</v>
      </c>
      <c r="K28">
        <f>BIO!S287/BIO!$AX287</f>
        <v>1.4467973168486125E-2</v>
      </c>
      <c r="L28">
        <f>BIO!T287/BIO!$AX287</f>
        <v>0.11995265026963042</v>
      </c>
      <c r="M28">
        <f>BIO!U287/BIO!$AX287</f>
        <v>8.4177298434828362E-3</v>
      </c>
      <c r="N28">
        <f>BIO!V287/BIO!$AX287</f>
        <v>1.5520189398921479E-2</v>
      </c>
      <c r="O28">
        <f>BIO!W287/BIO!$AX287</f>
        <v>3.3276338287518088E-2</v>
      </c>
      <c r="P28">
        <f>BIO!X287/BIO!$AX287</f>
        <v>0.10890437985005919</v>
      </c>
      <c r="Q28">
        <f>BIO!Y287/BIO!$AX287</f>
        <v>0.24621859792187295</v>
      </c>
      <c r="R28">
        <f>BIO!Z287/BIO!$AX287</f>
        <v>7.1024595554386432E-3</v>
      </c>
      <c r="S28">
        <f>BIO!AA287/BIO!$AX287</f>
        <v>1.341575693805077E-2</v>
      </c>
      <c r="T28">
        <f>BIO!AB287/BIO!$AX287</f>
        <v>2.6173878732079443E-2</v>
      </c>
      <c r="U28">
        <f>BIO!AC287/BIO!$AX287</f>
        <v>1.7098513744574512E-3</v>
      </c>
      <c r="W28">
        <f>BIO!AE287/BIO!$AX287</f>
        <v>7.8390109167433913E-2</v>
      </c>
      <c r="X28">
        <f>BIO!AF287/BIO!$AX287</f>
        <v>1.8808365119031962E-2</v>
      </c>
      <c r="Y28">
        <f>BIO!AG287/BIO!$AX287</f>
        <v>2.6305405760883863E-4</v>
      </c>
      <c r="Z28">
        <f>BIO!AH287/BIO!$AX287</f>
        <v>2.6436932789688283E-2</v>
      </c>
      <c r="AC28">
        <f>BIO!AK287/BIO!$AX287</f>
        <v>0</v>
      </c>
      <c r="AD28">
        <f>BIO!AL287/BIO!$AX287</f>
        <v>2.6305405760883864E-3</v>
      </c>
      <c r="AF28">
        <f>BIO!AN287/BIO!$AX287</f>
        <v>3.0908851769038539E-2</v>
      </c>
      <c r="AG28">
        <f>BIO!AO287/BIO!$AX287</f>
        <v>2.0123635407076155E-2</v>
      </c>
      <c r="AH28">
        <f>BIO!AP287/BIO!$AX287</f>
        <v>4.0904905958174406E-2</v>
      </c>
      <c r="AJ28">
        <f>BIO!AR287/BIO!$AX287</f>
        <v>9.6146258056030512E-2</v>
      </c>
      <c r="AK28">
        <f>BIO!AS287/BIO!$AX287</f>
        <v>1.7493094830987769E-2</v>
      </c>
      <c r="AL28">
        <f>BIO!AT287/BIO!$AX287</f>
        <v>4.7349730369590955E-3</v>
      </c>
      <c r="AO28">
        <f t="shared" si="0"/>
        <v>1</v>
      </c>
    </row>
    <row r="29" spans="2:41">
      <c r="B29" t="s">
        <v>142</v>
      </c>
      <c r="C29">
        <v>2040</v>
      </c>
      <c r="E29">
        <f>BIO!M288/BIO!$AX288</f>
        <v>4.5084700546885424E-2</v>
      </c>
      <c r="F29">
        <f>BIO!N288/BIO!$AX288</f>
        <v>8.26997465652928E-3</v>
      </c>
      <c r="G29">
        <f>BIO!O288/BIO!$AX288</f>
        <v>1.5206082432973191E-2</v>
      </c>
      <c r="J29">
        <f>BIO!R288/BIO!$AX288</f>
        <v>0</v>
      </c>
      <c r="K29">
        <f>BIO!S288/BIO!$AX288</f>
        <v>1.440576230492197E-2</v>
      </c>
      <c r="L29">
        <f>BIO!T288/BIO!$AX288</f>
        <v>0.12311591303187942</v>
      </c>
      <c r="M29">
        <f>BIO!U288/BIO!$AX288</f>
        <v>8.536748032546353E-3</v>
      </c>
      <c r="N29">
        <f>BIO!V288/BIO!$AX288</f>
        <v>1.5206082432973191E-2</v>
      </c>
      <c r="O29">
        <f>BIO!W288/BIO!$AX288</f>
        <v>3.1479258370014675E-2</v>
      </c>
      <c r="P29">
        <f>BIO!X288/BIO!$AX288</f>
        <v>0.10951047085500867</v>
      </c>
      <c r="Q29">
        <f>BIO!Y288/BIO!$AX288</f>
        <v>0.2416966786714686</v>
      </c>
      <c r="R29">
        <f>BIO!Z288/BIO!$AX288</f>
        <v>7.0694944644524478E-3</v>
      </c>
      <c r="S29">
        <f>BIO!AA288/BIO!$AX288</f>
        <v>1.3071895424836603E-2</v>
      </c>
      <c r="T29">
        <f>BIO!AB288/BIO!$AX288</f>
        <v>2.587701747365613E-2</v>
      </c>
      <c r="U29">
        <f>BIO!AC288/BIO!$AX288</f>
        <v>1.4672535680939046E-3</v>
      </c>
      <c r="W29">
        <f>BIO!AE288/BIO!$AX288</f>
        <v>7.8564759237028145E-2</v>
      </c>
      <c r="X29">
        <f>BIO!AF288/BIO!$AX288</f>
        <v>1.8674136321195148E-2</v>
      </c>
      <c r="Y29">
        <f>BIO!AG288/BIO!$AX288</f>
        <v>2.6677337601707353E-4</v>
      </c>
      <c r="Z29">
        <f>BIO!AH288/BIO!$AX288</f>
        <v>2.6810724289715891E-2</v>
      </c>
      <c r="AC29">
        <f>BIO!AK288/BIO!$AX288</f>
        <v>0</v>
      </c>
      <c r="AD29">
        <f>BIO!AL288/BIO!$AX288</f>
        <v>2.5343470721621983E-3</v>
      </c>
      <c r="AF29">
        <f>BIO!AN288/BIO!$AX288</f>
        <v>3.1079098305989067E-2</v>
      </c>
      <c r="AG29">
        <f>BIO!AO288/BIO!$AX288</f>
        <v>1.974122982526344E-2</v>
      </c>
      <c r="AH29">
        <f>BIO!AP288/BIO!$AX288</f>
        <v>4.0549553154595172E-2</v>
      </c>
      <c r="AJ29">
        <f>BIO!AR288/BIO!$AX288</f>
        <v>9.9906629318394044E-2</v>
      </c>
      <c r="AK29">
        <f>BIO!AS288/BIO!$AX288</f>
        <v>1.7206882753101241E-2</v>
      </c>
      <c r="AL29">
        <f>BIO!AT288/BIO!$AX288</f>
        <v>4.6685340802987869E-3</v>
      </c>
      <c r="AO29">
        <f t="shared" si="0"/>
        <v>1</v>
      </c>
    </row>
    <row r="30" spans="2:41">
      <c r="B30" t="s">
        <v>142</v>
      </c>
      <c r="C30">
        <v>2050</v>
      </c>
      <c r="E30">
        <f>BIO!M289/BIO!$AX289</f>
        <v>4.5934959349593497E-2</v>
      </c>
      <c r="F30">
        <f>BIO!N289/BIO!$AX289</f>
        <v>8.6720867208672087E-3</v>
      </c>
      <c r="G30">
        <f>BIO!O289/BIO!$AX289</f>
        <v>1.4769647696476965E-2</v>
      </c>
      <c r="J30">
        <f>BIO!R289/BIO!$AX289</f>
        <v>0</v>
      </c>
      <c r="K30">
        <f>BIO!S289/BIO!$AX289</f>
        <v>1.4498644986449864E-2</v>
      </c>
      <c r="L30">
        <f>BIO!T289/BIO!$AX289</f>
        <v>0.12615176151761517</v>
      </c>
      <c r="M30">
        <f>BIO!U289/BIO!$AX289</f>
        <v>8.6720867208672087E-3</v>
      </c>
      <c r="N30">
        <f>BIO!V289/BIO!$AX289</f>
        <v>1.5176151761517613E-2</v>
      </c>
      <c r="O30">
        <f>BIO!W289/BIO!$AX289</f>
        <v>3.0216802168021681E-2</v>
      </c>
      <c r="P30">
        <f>BIO!X289/BIO!$AX289</f>
        <v>0.1092140921409214</v>
      </c>
      <c r="Q30">
        <f>BIO!Y289/BIO!$AX289</f>
        <v>0.23915989159891599</v>
      </c>
      <c r="R30">
        <f>BIO!Z289/BIO!$AX289</f>
        <v>7.046070460704607E-3</v>
      </c>
      <c r="S30">
        <f>BIO!AA289/BIO!$AX289</f>
        <v>1.2737127371273714E-2</v>
      </c>
      <c r="T30">
        <f>BIO!AB289/BIO!$AX289</f>
        <v>2.5609756097560974E-2</v>
      </c>
      <c r="U30">
        <f>BIO!AC289/BIO!$AX289</f>
        <v>1.0840108401084011E-3</v>
      </c>
      <c r="W30">
        <f>BIO!AE289/BIO!$AX289</f>
        <v>7.8861788617886189E-2</v>
      </c>
      <c r="X30">
        <f>BIO!AF289/BIO!$AX289</f>
        <v>1.8699186991869919E-2</v>
      </c>
      <c r="Y30">
        <f>BIO!AG289/BIO!$AX289</f>
        <v>2.7100271002710027E-4</v>
      </c>
      <c r="Z30">
        <f>BIO!AH289/BIO!$AX289</f>
        <v>2.7235772357723578E-2</v>
      </c>
      <c r="AC30">
        <f>BIO!AK289/BIO!$AX289</f>
        <v>0</v>
      </c>
      <c r="AD30">
        <f>BIO!AL289/BIO!$AX289</f>
        <v>2.3035230352303521E-3</v>
      </c>
      <c r="AF30">
        <f>BIO!AN289/BIO!$AX289</f>
        <v>3.1165311653116531E-2</v>
      </c>
      <c r="AG30">
        <f>BIO!AO289/BIO!$AX289</f>
        <v>1.9647696476964769E-2</v>
      </c>
      <c r="AH30">
        <f>BIO!AP289/BIO!$AX289</f>
        <v>4.0379403794037941E-2</v>
      </c>
      <c r="AJ30">
        <f>BIO!AR289/BIO!$AX289</f>
        <v>0.10176151761517614</v>
      </c>
      <c r="AK30">
        <f>BIO!AS289/BIO!$AX289</f>
        <v>1.5989159891598916E-2</v>
      </c>
      <c r="AL30">
        <f>BIO!AT289/BIO!$AX289</f>
        <v>4.7425474254742545E-3</v>
      </c>
      <c r="AO30">
        <f t="shared" si="0"/>
        <v>1</v>
      </c>
    </row>
    <row r="32" spans="2:41">
      <c r="B32" t="s">
        <v>143</v>
      </c>
      <c r="C32">
        <v>2005</v>
      </c>
      <c r="E32">
        <f>BIO!M291/BIO!$AX291</f>
        <v>3.158789020449982E-2</v>
      </c>
      <c r="F32">
        <f>BIO!N291/BIO!$AX291</f>
        <v>1.5520809118027156E-2</v>
      </c>
      <c r="G32">
        <f>BIO!O291/BIO!$AX291</f>
        <v>1.586771632150457E-2</v>
      </c>
      <c r="J32">
        <f>BIO!R291/BIO!$AX291</f>
        <v>0</v>
      </c>
      <c r="K32">
        <f>BIO!S291/BIO!$AX291</f>
        <v>2.9960984246932578E-2</v>
      </c>
      <c r="L32">
        <f>BIO!T291/BIO!$AX291</f>
        <v>9.6718470138028118E-2</v>
      </c>
      <c r="M32">
        <f>BIO!U291/BIO!$AX291</f>
        <v>9.1354017739473763E-3</v>
      </c>
      <c r="N32">
        <f>BIO!V291/BIO!$AX291</f>
        <v>1.895198635587372E-2</v>
      </c>
      <c r="O32">
        <f>BIO!W291/BIO!$AX291</f>
        <v>7.146388193183266E-2</v>
      </c>
      <c r="P32">
        <f>BIO!X291/BIO!$AX291</f>
        <v>0.1102285759686063</v>
      </c>
      <c r="Q32">
        <f>BIO!Y291/BIO!$AX291</f>
        <v>0.15415916200965571</v>
      </c>
      <c r="R32">
        <f>BIO!Z291/BIO!$AX291</f>
        <v>1.6071102939920159E-2</v>
      </c>
      <c r="S32">
        <f>BIO!AA291/BIO!$AX291</f>
        <v>9.2872746553171962E-3</v>
      </c>
      <c r="T32">
        <f>BIO!AB291/BIO!$AX291</f>
        <v>1.4412803388993535E-2</v>
      </c>
      <c r="U32">
        <f>BIO!AC291/BIO!$AX291</f>
        <v>1.1865912558224849E-2</v>
      </c>
      <c r="W32">
        <f>BIO!AE291/BIO!$AX291</f>
        <v>4.5250185948682214E-2</v>
      </c>
      <c r="X32">
        <f>BIO!AF291/BIO!$AX291</f>
        <v>1.4537406367098585E-2</v>
      </c>
      <c r="Y32">
        <f>BIO!AG291/BIO!$AX291</f>
        <v>9.5332822459335176E-4</v>
      </c>
      <c r="Z32">
        <f>BIO!AH291/BIO!$AX291</f>
        <v>3.6384605853801787E-2</v>
      </c>
      <c r="AC32">
        <f>BIO!AK291/BIO!$AX291</f>
        <v>0</v>
      </c>
      <c r="AD32">
        <f>BIO!AL291/BIO!$AX291</f>
        <v>1.424464522762737E-2</v>
      </c>
      <c r="AF32">
        <f>BIO!AN291/BIO!$AX291</f>
        <v>6.3054067207075362E-2</v>
      </c>
      <c r="AG32">
        <f>BIO!AO291/BIO!$AX291</f>
        <v>3.1766356227294394E-2</v>
      </c>
      <c r="AH32">
        <f>BIO!AP291/BIO!$AX291</f>
        <v>7.0488646992460491E-2</v>
      </c>
      <c r="AJ32">
        <f>BIO!AR291/BIO!$AX291</f>
        <v>0.10419189737380288</v>
      </c>
      <c r="AK32">
        <f>BIO!AS291/BIO!$AX291</f>
        <v>4.5529466431227551E-3</v>
      </c>
      <c r="AL32">
        <f>BIO!AT291/BIO!$AX291</f>
        <v>9.3439423230771718E-3</v>
      </c>
      <c r="AO32">
        <f t="shared" si="0"/>
        <v>1.0000000000000002</v>
      </c>
    </row>
    <row r="33" spans="2:41">
      <c r="B33" t="s">
        <v>143</v>
      </c>
      <c r="C33">
        <v>2010</v>
      </c>
      <c r="E33">
        <f>BIO!M292/BIO!$AX292</f>
        <v>3.0537466175862078E-2</v>
      </c>
      <c r="F33">
        <f>BIO!N292/BIO!$AX292</f>
        <v>1.4414466985179021E-2</v>
      </c>
      <c r="G33">
        <f>BIO!O292/BIO!$AX292</f>
        <v>1.4766680356866284E-2</v>
      </c>
      <c r="J33">
        <f>BIO!R292/BIO!$AX292</f>
        <v>0</v>
      </c>
      <c r="K33">
        <f>BIO!S292/BIO!$AX292</f>
        <v>2.7888178631521775E-2</v>
      </c>
      <c r="L33">
        <f>BIO!T292/BIO!$AX292</f>
        <v>9.2061310758051018E-2</v>
      </c>
      <c r="M33">
        <f>BIO!U292/BIO!$AX292</f>
        <v>8.4023272091358573E-3</v>
      </c>
      <c r="N33">
        <f>BIO!V292/BIO!$AX292</f>
        <v>1.7246575027375945E-2</v>
      </c>
      <c r="O33">
        <f>BIO!W292/BIO!$AX292</f>
        <v>6.7153005067051894E-2</v>
      </c>
      <c r="P33">
        <f>BIO!X292/BIO!$AX292</f>
        <v>0.10278519051967239</v>
      </c>
      <c r="Q33">
        <f>BIO!Y292/BIO!$AX292</f>
        <v>0.14521126815265439</v>
      </c>
      <c r="R33">
        <f>BIO!Z292/BIO!$AX292</f>
        <v>1.4984701952041749E-2</v>
      </c>
      <c r="S33">
        <f>BIO!AA292/BIO!$AX292</f>
        <v>8.3632704607315422E-3</v>
      </c>
      <c r="T33">
        <f>BIO!AB292/BIO!$AX292</f>
        <v>1.3475974129084497E-2</v>
      </c>
      <c r="U33">
        <f>BIO!AC292/BIO!$AX292</f>
        <v>1.1066775614005438E-2</v>
      </c>
      <c r="W33">
        <f>BIO!AE292/BIO!$AX292</f>
        <v>4.1988599906774192E-2</v>
      </c>
      <c r="X33">
        <f>BIO!AF292/BIO!$AX292</f>
        <v>1.3258217157028251E-2</v>
      </c>
      <c r="Y33">
        <f>BIO!AG292/BIO!$AX292</f>
        <v>9.4707221617042301E-4</v>
      </c>
      <c r="Z33">
        <f>BIO!AH292/BIO!$AX292</f>
        <v>3.3197889523812925E-2</v>
      </c>
      <c r="AC33">
        <f>BIO!AK292/BIO!$AX292</f>
        <v>0</v>
      </c>
      <c r="AD33">
        <f>BIO!AL292/BIO!$AX292</f>
        <v>1.2719862312265727E-2</v>
      </c>
      <c r="AF33">
        <f>BIO!AN292/BIO!$AX292</f>
        <v>5.9596232289032526E-2</v>
      </c>
      <c r="AG33">
        <f>BIO!AO292/BIO!$AX292</f>
        <v>2.886589764185387E-2</v>
      </c>
      <c r="AH33">
        <f>BIO!AP292/BIO!$AX292</f>
        <v>6.5990464611793281E-2</v>
      </c>
      <c r="AJ33">
        <f>BIO!AR292/BIO!$AX292</f>
        <v>0.16234960238345514</v>
      </c>
      <c r="AK33">
        <f>BIO!AS292/BIO!$AX292</f>
        <v>4.0341655250386429E-3</v>
      </c>
      <c r="AL33">
        <f>BIO!AT292/BIO!$AX292</f>
        <v>8.6948053935414302E-3</v>
      </c>
      <c r="AO33">
        <f t="shared" si="0"/>
        <v>1.0000000000000002</v>
      </c>
    </row>
    <row r="34" spans="2:41">
      <c r="B34" t="s">
        <v>143</v>
      </c>
      <c r="C34">
        <v>2020</v>
      </c>
      <c r="E34">
        <f>BIO!M293/BIO!$AX293</f>
        <v>3.5147167037863573E-2</v>
      </c>
      <c r="F34">
        <f>BIO!N293/BIO!$AX293</f>
        <v>2.293615120939755E-2</v>
      </c>
      <c r="G34">
        <f>BIO!O293/BIO!$AX293</f>
        <v>1.1067885836845443E-2</v>
      </c>
      <c r="J34">
        <f>BIO!R293/BIO!$AX293</f>
        <v>0</v>
      </c>
      <c r="K34">
        <f>BIO!S293/BIO!$AX293</f>
        <v>2.1236347563619588E-2</v>
      </c>
      <c r="L34">
        <f>BIO!T293/BIO!$AX293</f>
        <v>9.3506330307041807E-2</v>
      </c>
      <c r="M34">
        <f>BIO!U293/BIO!$AX293</f>
        <v>6.4976342431275827E-3</v>
      </c>
      <c r="N34">
        <f>BIO!V293/BIO!$AX293</f>
        <v>2.3562621388627102E-2</v>
      </c>
      <c r="O34">
        <f>BIO!W293/BIO!$AX293</f>
        <v>5.1706570764321315E-2</v>
      </c>
      <c r="P34">
        <f>BIO!X293/BIO!$AX293</f>
        <v>0.14144561737653433</v>
      </c>
      <c r="Q34">
        <f>BIO!Y293/BIO!$AX293</f>
        <v>0.11861378437522735</v>
      </c>
      <c r="R34">
        <f>BIO!Z293/BIO!$AX293</f>
        <v>1.0851311301891738E-2</v>
      </c>
      <c r="S34">
        <f>BIO!AA293/BIO!$AX293</f>
        <v>7.1610997619975586E-3</v>
      </c>
      <c r="T34">
        <f>BIO!AB293/BIO!$AX293</f>
        <v>9.6365843037523914E-3</v>
      </c>
      <c r="U34">
        <f>BIO!AC293/BIO!$AX293</f>
        <v>7.7035403670865929E-3</v>
      </c>
      <c r="W34">
        <f>BIO!AE293/BIO!$AX293</f>
        <v>3.3916642105102923E-2</v>
      </c>
      <c r="X34">
        <f>BIO!AF293/BIO!$AX293</f>
        <v>1.0710307161044347E-2</v>
      </c>
      <c r="Y34">
        <f>BIO!AG293/BIO!$AX293</f>
        <v>1.2638347697046519E-3</v>
      </c>
      <c r="Z34">
        <f>BIO!AH293/BIO!$AX293</f>
        <v>3.4547209091160228E-2</v>
      </c>
      <c r="AC34">
        <f>BIO!AK293/BIO!$AX293</f>
        <v>0</v>
      </c>
      <c r="AD34">
        <f>BIO!AL293/BIO!$AX293</f>
        <v>1.0061241442775686E-2</v>
      </c>
      <c r="AF34">
        <f>BIO!AN293/BIO!$AX293</f>
        <v>5.0746532441485054E-2</v>
      </c>
      <c r="AG34">
        <f>BIO!AO293/BIO!$AX293</f>
        <v>2.5962559479526182E-2</v>
      </c>
      <c r="AH34">
        <f>BIO!AP293/BIO!$AX293</f>
        <v>5.5906051147937633E-2</v>
      </c>
      <c r="AJ34">
        <f>BIO!AR293/BIO!$AX293</f>
        <v>0.20539698704898054</v>
      </c>
      <c r="AK34">
        <f>BIO!AS293/BIO!$AX293</f>
        <v>3.2431558343077168E-3</v>
      </c>
      <c r="AL34">
        <f>BIO!AT293/BIO!$AX293</f>
        <v>7.1728336406410272E-3</v>
      </c>
      <c r="AO34">
        <f t="shared" si="0"/>
        <v>1</v>
      </c>
    </row>
    <row r="35" spans="2:41">
      <c r="B35" t="s">
        <v>143</v>
      </c>
      <c r="C35">
        <v>2030</v>
      </c>
      <c r="E35">
        <f>BIO!M294/BIO!$AX294</f>
        <v>3.435398897628722E-2</v>
      </c>
      <c r="F35">
        <f>BIO!N294/BIO!$AX294</f>
        <v>1.837259654030126E-2</v>
      </c>
      <c r="G35">
        <f>BIO!O294/BIO!$AX294</f>
        <v>1.0361923196618317E-2</v>
      </c>
      <c r="J35">
        <f>BIO!R294/BIO!$AX294</f>
        <v>0</v>
      </c>
      <c r="K35">
        <f>BIO!S294/BIO!$AX294</f>
        <v>1.956895101500368E-2</v>
      </c>
      <c r="L35">
        <f>BIO!T294/BIO!$AX294</f>
        <v>8.9130490471367632E-2</v>
      </c>
      <c r="M35">
        <f>BIO!U294/BIO!$AX294</f>
        <v>6.0306277351918061E-3</v>
      </c>
      <c r="N35">
        <f>BIO!V294/BIO!$AX294</f>
        <v>1.6572237867020691E-2</v>
      </c>
      <c r="O35">
        <f>BIO!W294/BIO!$AX294</f>
        <v>4.9317094457171362E-2</v>
      </c>
      <c r="P35">
        <f>BIO!X294/BIO!$AX294</f>
        <v>0.19490009181554491</v>
      </c>
      <c r="Q35">
        <f>BIO!Y294/BIO!$AX294</f>
        <v>0.1127810458030596</v>
      </c>
      <c r="R35">
        <f>BIO!Z294/BIO!$AX294</f>
        <v>1.0441213684565199E-2</v>
      </c>
      <c r="S35">
        <f>BIO!AA294/BIO!$AX294</f>
        <v>6.1383727459383202E-3</v>
      </c>
      <c r="T35">
        <f>BIO!AB294/BIO!$AX294</f>
        <v>9.159782621280671E-3</v>
      </c>
      <c r="U35">
        <f>BIO!AC294/BIO!$AX294</f>
        <v>7.4047336357140033E-3</v>
      </c>
      <c r="W35">
        <f>BIO!AE294/BIO!$AX294</f>
        <v>3.1896877574785105E-2</v>
      </c>
      <c r="X35">
        <f>BIO!AF294/BIO!$AX294</f>
        <v>9.5935826112255197E-3</v>
      </c>
      <c r="Y35">
        <f>BIO!AG294/BIO!$AX294</f>
        <v>1.4508363460431642E-3</v>
      </c>
      <c r="Z35">
        <f>BIO!AH294/BIO!$AX294</f>
        <v>3.0431985084174801E-2</v>
      </c>
      <c r="AC35">
        <f>BIO!AK294/BIO!$AX294</f>
        <v>4.2751006656438961E-5</v>
      </c>
      <c r="AD35">
        <f>BIO!AL294/BIO!$AX294</f>
        <v>8.1995001082588309E-3</v>
      </c>
      <c r="AF35">
        <f>BIO!AN294/BIO!$AX294</f>
        <v>4.8557998392955382E-2</v>
      </c>
      <c r="AG35">
        <f>BIO!AO294/BIO!$AX294</f>
        <v>2.2872996316081629E-2</v>
      </c>
      <c r="AH35">
        <f>BIO!AP294/BIO!$AX294</f>
        <v>5.2200226363856739E-2</v>
      </c>
      <c r="AJ35">
        <f>BIO!AR294/BIO!$AX294</f>
        <v>0.20098472218216099</v>
      </c>
      <c r="AK35">
        <f>BIO!AS294/BIO!$AX294</f>
        <v>2.4353679968769837E-3</v>
      </c>
      <c r="AL35">
        <f>BIO!AT294/BIO!$AX294</f>
        <v>6.800005451859702E-3</v>
      </c>
      <c r="AO35">
        <f t="shared" si="0"/>
        <v>0.99999999999999989</v>
      </c>
    </row>
    <row r="36" spans="2:41">
      <c r="B36" t="s">
        <v>143</v>
      </c>
      <c r="C36">
        <v>2040</v>
      </c>
      <c r="E36">
        <f>BIO!M295/BIO!$AX295</f>
        <v>3.4353615071306291E-2</v>
      </c>
      <c r="F36">
        <f>BIO!N295/BIO!$AX295</f>
        <v>1.8261196098909766E-2</v>
      </c>
      <c r="G36">
        <f>BIO!O295/BIO!$AX295</f>
        <v>7.8853098786920879E-3</v>
      </c>
      <c r="J36">
        <f>BIO!R295/BIO!$AX295</f>
        <v>0</v>
      </c>
      <c r="K36">
        <f>BIO!S295/BIO!$AX295</f>
        <v>1.3959287483030236E-2</v>
      </c>
      <c r="L36">
        <f>BIO!T295/BIO!$AX295</f>
        <v>8.3663483864742511E-2</v>
      </c>
      <c r="M36">
        <f>BIO!U295/BIO!$AX295</f>
        <v>5.714034562968426E-3</v>
      </c>
      <c r="N36">
        <f>BIO!V295/BIO!$AX295</f>
        <v>1.1931190896848994E-2</v>
      </c>
      <c r="O36">
        <f>BIO!W295/BIO!$AX295</f>
        <v>5.0417575750048717E-2</v>
      </c>
      <c r="P36">
        <f>BIO!X295/BIO!$AX295</f>
        <v>0.19985138780983516</v>
      </c>
      <c r="Q36">
        <f>BIO!Y295/BIO!$AX295</f>
        <v>0.11638212771956452</v>
      </c>
      <c r="R36">
        <f>BIO!Z295/BIO!$AX295</f>
        <v>1.042613941099298E-2</v>
      </c>
      <c r="S36">
        <f>BIO!AA295/BIO!$AX295</f>
        <v>5.4125950439446119E-3</v>
      </c>
      <c r="T36">
        <f>BIO!AB295/BIO!$AX295</f>
        <v>9.2137581149763087E-3</v>
      </c>
      <c r="U36">
        <f>BIO!AC295/BIO!$AX295</f>
        <v>7.3823027228660781E-3</v>
      </c>
      <c r="W36">
        <f>BIO!AE295/BIO!$AX295</f>
        <v>3.1257095287747054E-2</v>
      </c>
      <c r="X36">
        <f>BIO!AF295/BIO!$AX295</f>
        <v>8.8258526399875911E-3</v>
      </c>
      <c r="Y36">
        <f>BIO!AG295/BIO!$AX295</f>
        <v>1.5596897153418586E-3</v>
      </c>
      <c r="Z36">
        <f>BIO!AH295/BIO!$AX295</f>
        <v>2.8821932099984779E-2</v>
      </c>
      <c r="AC36">
        <f>BIO!AK295/BIO!$AX295</f>
        <v>4.3076485094266899E-5</v>
      </c>
      <c r="AD36">
        <f>BIO!AL295/BIO!$AX295</f>
        <v>6.8118999420118259E-3</v>
      </c>
      <c r="AF36">
        <f>BIO!AN295/BIO!$AX295</f>
        <v>5.0314668739967733E-2</v>
      </c>
      <c r="AG36">
        <f>BIO!AO295/BIO!$AX295</f>
        <v>2.0746008508486392E-2</v>
      </c>
      <c r="AH36">
        <f>BIO!AP295/BIO!$AX295</f>
        <v>5.2680726617899354E-2</v>
      </c>
      <c r="AJ36">
        <f>BIO!AR295/BIO!$AX295</f>
        <v>0.21539404481019678</v>
      </c>
      <c r="AK36">
        <f>BIO!AS295/BIO!$AX295</f>
        <v>1.9337913441878176E-3</v>
      </c>
      <c r="AL36">
        <f>BIO!AT295/BIO!$AX295</f>
        <v>6.7572093803679291E-3</v>
      </c>
      <c r="AO36">
        <f t="shared" si="0"/>
        <v>1</v>
      </c>
    </row>
    <row r="37" spans="2:41">
      <c r="B37" t="s">
        <v>143</v>
      </c>
      <c r="C37">
        <v>2050</v>
      </c>
      <c r="E37">
        <f>BIO!M296/BIO!$AX296</f>
        <v>3.6342748346202366E-2</v>
      </c>
      <c r="F37">
        <f>BIO!N296/BIO!$AX296</f>
        <v>1.7918613537007362E-2</v>
      </c>
      <c r="G37">
        <f>BIO!O296/BIO!$AX296</f>
        <v>7.6775494111934158E-3</v>
      </c>
      <c r="J37">
        <f>BIO!R296/BIO!$AX296</f>
        <v>0</v>
      </c>
      <c r="K37">
        <f>BIO!S296/BIO!$AX296</f>
        <v>1.3559300462414547E-2</v>
      </c>
      <c r="L37">
        <f>BIO!T296/BIO!$AX296</f>
        <v>8.6639335280396926E-2</v>
      </c>
      <c r="M37">
        <f>BIO!U296/BIO!$AX296</f>
        <v>5.3684854096004587E-3</v>
      </c>
      <c r="N37">
        <f>BIO!V296/BIO!$AX296</f>
        <v>1.0735746287790272E-2</v>
      </c>
      <c r="O37">
        <f>BIO!W296/BIO!$AX296</f>
        <v>5.0722904575680412E-2</v>
      </c>
      <c r="P37">
        <f>BIO!X296/BIO!$AX296</f>
        <v>0.2003380893878767</v>
      </c>
      <c r="Q37">
        <f>BIO!Y296/BIO!$AX296</f>
        <v>0.11781370071379421</v>
      </c>
      <c r="R37">
        <f>BIO!Z296/BIO!$AX296</f>
        <v>1.0274887109278767E-2</v>
      </c>
      <c r="S37">
        <f>BIO!AA296/BIO!$AX296</f>
        <v>4.6462169140929314E-3</v>
      </c>
      <c r="T37">
        <f>BIO!AB296/BIO!$AX296</f>
        <v>9.1353332404043065E-3</v>
      </c>
      <c r="U37">
        <f>BIO!AC296/BIO!$AX296</f>
        <v>7.2413316926606477E-3</v>
      </c>
      <c r="W37">
        <f>BIO!AE296/BIO!$AX296</f>
        <v>3.0240948019541868E-2</v>
      </c>
      <c r="X37">
        <f>BIO!AF296/BIO!$AX296</f>
        <v>8.3582920625411422E-3</v>
      </c>
      <c r="Y37">
        <f>BIO!AG296/BIO!$AX296</f>
        <v>1.6515177730537364E-3</v>
      </c>
      <c r="Z37">
        <f>BIO!AH296/BIO!$AX296</f>
        <v>2.6777964882123726E-2</v>
      </c>
      <c r="AC37">
        <f>BIO!AK296/BIO!$AX296</f>
        <v>4.2709830370063813E-5</v>
      </c>
      <c r="AD37">
        <f>BIO!AL296/BIO!$AX296</f>
        <v>5.3631163488048628E-3</v>
      </c>
      <c r="AF37">
        <f>BIO!AN296/BIO!$AX296</f>
        <v>5.1292834310885028E-2</v>
      </c>
      <c r="AG37">
        <f>BIO!AO296/BIO!$AX296</f>
        <v>1.8709811885797751E-2</v>
      </c>
      <c r="AH37">
        <f>BIO!AP296/BIO!$AX296</f>
        <v>5.2442939746582345E-2</v>
      </c>
      <c r="AJ37">
        <f>BIO!AR296/BIO!$AX296</f>
        <v>0.21858866123415488</v>
      </c>
      <c r="AK37">
        <f>BIO!AS296/BIO!$AX296</f>
        <v>1.4954025717911355E-3</v>
      </c>
      <c r="AL37">
        <f>BIO!AT296/BIO!$AX296</f>
        <v>6.6215589659600329E-3</v>
      </c>
      <c r="AO37">
        <f t="shared" si="0"/>
        <v>0.99999999999999989</v>
      </c>
    </row>
    <row r="39" spans="2:41">
      <c r="B39" t="s">
        <v>149</v>
      </c>
      <c r="C39" t="s">
        <v>150</v>
      </c>
      <c r="D39" s="89" t="s">
        <v>5</v>
      </c>
      <c r="E39" s="89" t="s">
        <v>6</v>
      </c>
      <c r="F39" s="89" t="s">
        <v>7</v>
      </c>
      <c r="G39" s="89" t="s">
        <v>8</v>
      </c>
      <c r="H39" s="89" t="s">
        <v>97</v>
      </c>
      <c r="I39" s="89" t="s">
        <v>9</v>
      </c>
      <c r="J39" s="89" t="s">
        <v>10</v>
      </c>
      <c r="K39" s="89" t="s">
        <v>11</v>
      </c>
      <c r="L39" s="89" t="s">
        <v>12</v>
      </c>
      <c r="M39" s="89" t="s">
        <v>13</v>
      </c>
      <c r="N39" s="89" t="s">
        <v>14</v>
      </c>
      <c r="O39" s="89" t="s">
        <v>15</v>
      </c>
      <c r="P39" s="89" t="s">
        <v>16</v>
      </c>
      <c r="Q39" s="89" t="s">
        <v>17</v>
      </c>
      <c r="R39" s="89" t="s">
        <v>98</v>
      </c>
      <c r="S39" s="89" t="s">
        <v>18</v>
      </c>
      <c r="T39" s="89" t="s">
        <v>19</v>
      </c>
      <c r="U39" s="89" t="s">
        <v>20</v>
      </c>
      <c r="V39" s="89" t="s">
        <v>21</v>
      </c>
      <c r="W39" s="89" t="s">
        <v>22</v>
      </c>
      <c r="X39" s="89" t="s">
        <v>23</v>
      </c>
      <c r="Y39" s="89" t="s">
        <v>24</v>
      </c>
      <c r="Z39" s="89" t="s">
        <v>25</v>
      </c>
      <c r="AA39" s="89" t="s">
        <v>26</v>
      </c>
      <c r="AB39" s="89" t="s">
        <v>27</v>
      </c>
      <c r="AC39" s="89" t="s">
        <v>28</v>
      </c>
      <c r="AD39" s="89" t="s">
        <v>29</v>
      </c>
      <c r="AE39" s="89" t="s">
        <v>30</v>
      </c>
      <c r="AF39" s="89" t="s">
        <v>31</v>
      </c>
      <c r="AG39" s="89" t="s">
        <v>32</v>
      </c>
      <c r="AH39" s="89" t="s">
        <v>33</v>
      </c>
      <c r="AI39" s="89" t="s">
        <v>34</v>
      </c>
      <c r="AJ39" s="89" t="s">
        <v>35</v>
      </c>
      <c r="AK39" s="89" t="s">
        <v>36</v>
      </c>
      <c r="AL39" s="89" t="s">
        <v>37</v>
      </c>
      <c r="AM39" s="89" t="s">
        <v>38</v>
      </c>
    </row>
    <row r="40" spans="2:41">
      <c r="B40" t="s">
        <v>43</v>
      </c>
      <c r="C40">
        <v>2005</v>
      </c>
      <c r="D40">
        <f>IFERROR(BIO!L6/BIO!L270,0)</f>
        <v>0</v>
      </c>
      <c r="E40">
        <f>IFERROR(BIO!M6/BIO!M270,0)</f>
        <v>0.43348316146163957</v>
      </c>
      <c r="F40">
        <f>IFERROR(BIO!N6/BIO!N270,0)</f>
        <v>0.32686791290692435</v>
      </c>
      <c r="G40">
        <f>IFERROR(BIO!O6/BIO!O270,0)</f>
        <v>0</v>
      </c>
      <c r="H40">
        <f>IFERROR(BIO!P6/BIO!P270,0)</f>
        <v>0</v>
      </c>
      <c r="I40">
        <f>IFERROR(BIO!Q6/BIO!Q270,0)</f>
        <v>0</v>
      </c>
      <c r="J40">
        <f>IFERROR(BIO!R6/BIO!R270,0)</f>
        <v>0</v>
      </c>
      <c r="K40">
        <f>IFERROR(BIO!S6/BIO!S270,0)</f>
        <v>0.41672971114886542</v>
      </c>
      <c r="L40">
        <f>IFERROR(BIO!T6/BIO!T270,0)</f>
        <v>0.4603471257897026</v>
      </c>
      <c r="M40">
        <f>IFERROR(BIO!U6/BIO!U270,0)</f>
        <v>0.43325791516990897</v>
      </c>
      <c r="N40">
        <f>IFERROR(BIO!V6/BIO!V270,0)</f>
        <v>0</v>
      </c>
      <c r="O40">
        <f>IFERROR(BIO!W6/BIO!W270,0)</f>
        <v>0</v>
      </c>
      <c r="P40">
        <f>IFERROR(BIO!X6/BIO!X270,0)</f>
        <v>0</v>
      </c>
      <c r="Q40">
        <f>IFERROR(BIO!Y6/BIO!Y270,0)</f>
        <v>0.45802903968987141</v>
      </c>
      <c r="R40">
        <f>IFERROR(BIO!Z6/BIO!Z270,0)</f>
        <v>0</v>
      </c>
      <c r="S40">
        <f>IFERROR(BIO!AA6/BIO!AA270,0)</f>
        <v>0</v>
      </c>
      <c r="T40">
        <f>IFERROR(BIO!AB6/BIO!AB270,0)</f>
        <v>0</v>
      </c>
      <c r="U40">
        <f>IFERROR(BIO!AC6/BIO!AC270,0)</f>
        <v>0</v>
      </c>
      <c r="V40">
        <f>IFERROR(BIO!AD6/BIO!AD270,0)</f>
        <v>0</v>
      </c>
      <c r="W40">
        <f>IFERROR(BIO!AE6/BIO!AE270,0)</f>
        <v>0</v>
      </c>
      <c r="X40">
        <f>IFERROR(BIO!AF6/BIO!AF270,0)</f>
        <v>0.34291612359481927</v>
      </c>
      <c r="Y40">
        <f>IFERROR(BIO!AG6/BIO!AG270,0)</f>
        <v>0</v>
      </c>
      <c r="Z40">
        <f>IFERROR(BIO!AH6/BIO!AH270,0)</f>
        <v>0</v>
      </c>
      <c r="AA40">
        <f>IFERROR(BIO!AI6/BIO!AI270,0)</f>
        <v>0</v>
      </c>
      <c r="AB40">
        <f>IFERROR(BIO!AJ6/BIO!AJ270,0)</f>
        <v>0</v>
      </c>
      <c r="AC40">
        <f>IFERROR(BIO!AK6/BIO!AK270,0)</f>
        <v>0</v>
      </c>
      <c r="AD40">
        <f>IFERROR(BIO!AL6/BIO!AL270,0)</f>
        <v>0.41988890793625522</v>
      </c>
      <c r="AE40">
        <f>IFERROR(BIO!AM6/BIO!AM270,0)</f>
        <v>0</v>
      </c>
      <c r="AF40">
        <f>IFERROR(BIO!AN6/BIO!AN270,0)</f>
        <v>0.15571674850672437</v>
      </c>
      <c r="AG40">
        <f>IFERROR(BIO!AO6/BIO!AO270,0)</f>
        <v>0</v>
      </c>
      <c r="AH40">
        <f>IFERROR(BIO!AP6/BIO!AP270,0)</f>
        <v>0</v>
      </c>
      <c r="AI40">
        <f>IFERROR(BIO!AQ6/BIO!AQ270,0)</f>
        <v>0</v>
      </c>
      <c r="AJ40">
        <f>IFERROR(BIO!AR6/BIO!AR270,0)</f>
        <v>0.2629985011495557</v>
      </c>
      <c r="AK40">
        <f>IFERROR(BIO!AS6/BIO!AS270,0)</f>
        <v>0</v>
      </c>
      <c r="AL40">
        <f>IFERROR(BIO!AT6/BIO!AT270,0)</f>
        <v>0.16100359096685346</v>
      </c>
      <c r="AM40">
        <f>IFERROR(BIO!AU6/BIO!AU270,0)</f>
        <v>0.15133094405729272</v>
      </c>
    </row>
    <row r="41" spans="2:41">
      <c r="B41" t="s">
        <v>43</v>
      </c>
      <c r="C41">
        <v>2010</v>
      </c>
      <c r="D41">
        <f>IFERROR(BIO!L7/BIO!L271,0)</f>
        <v>0</v>
      </c>
      <c r="E41">
        <f>IFERROR(BIO!M7/BIO!M271,0)</f>
        <v>0.43348316146163957</v>
      </c>
      <c r="F41">
        <f>IFERROR(BIO!N7/BIO!N271,0)</f>
        <v>0.32686791290692435</v>
      </c>
      <c r="G41">
        <f>IFERROR(BIO!O7/BIO!O271,0)</f>
        <v>0</v>
      </c>
      <c r="H41">
        <f>IFERROR(BIO!P7/BIO!P271,0)</f>
        <v>0</v>
      </c>
      <c r="I41">
        <f>IFERROR(BIO!Q7/BIO!Q271,0)</f>
        <v>0</v>
      </c>
      <c r="J41">
        <f>IFERROR(BIO!R7/BIO!R271,0)</f>
        <v>0</v>
      </c>
      <c r="K41">
        <f>IFERROR(BIO!S7/BIO!S271,0)</f>
        <v>0.41672971114886542</v>
      </c>
      <c r="L41">
        <f>IFERROR(BIO!T7/BIO!T271,0)</f>
        <v>0.4603471257897026</v>
      </c>
      <c r="M41">
        <f>IFERROR(BIO!U7/BIO!U271,0)</f>
        <v>0.43325791516990897</v>
      </c>
      <c r="N41">
        <f>IFERROR(BIO!V7/BIO!V271,0)</f>
        <v>0</v>
      </c>
      <c r="O41">
        <f>IFERROR(BIO!W7/BIO!W271,0)</f>
        <v>0</v>
      </c>
      <c r="P41">
        <f>IFERROR(BIO!X7/BIO!X271,0)</f>
        <v>0</v>
      </c>
      <c r="Q41">
        <f>IFERROR(BIO!Y7/BIO!Y271,0)</f>
        <v>0.45802903968987141</v>
      </c>
      <c r="R41">
        <f>IFERROR(BIO!Z7/BIO!Z271,0)</f>
        <v>0</v>
      </c>
      <c r="S41">
        <f>IFERROR(BIO!AA7/BIO!AA271,0)</f>
        <v>0</v>
      </c>
      <c r="T41">
        <f>IFERROR(BIO!AB7/BIO!AB271,0)</f>
        <v>0</v>
      </c>
      <c r="U41">
        <f>IFERROR(BIO!AC7/BIO!AC271,0)</f>
        <v>0</v>
      </c>
      <c r="V41">
        <f>IFERROR(BIO!AD7/BIO!AD271,0)</f>
        <v>0</v>
      </c>
      <c r="W41">
        <f>IFERROR(BIO!AE7/BIO!AE271,0)</f>
        <v>0</v>
      </c>
      <c r="X41">
        <f>IFERROR(BIO!AF7/BIO!AF271,0)</f>
        <v>0.34291612359481927</v>
      </c>
      <c r="Y41">
        <f>IFERROR(BIO!AG7/BIO!AG271,0)</f>
        <v>0</v>
      </c>
      <c r="Z41">
        <f>IFERROR(BIO!AH7/BIO!AH271,0)</f>
        <v>0</v>
      </c>
      <c r="AA41">
        <f>IFERROR(BIO!AI7/BIO!AI271,0)</f>
        <v>0</v>
      </c>
      <c r="AB41">
        <f>IFERROR(BIO!AJ7/BIO!AJ271,0)</f>
        <v>0</v>
      </c>
      <c r="AC41">
        <f>IFERROR(BIO!AK7/BIO!AK271,0)</f>
        <v>0</v>
      </c>
      <c r="AD41">
        <f>IFERROR(BIO!AL7/BIO!AL271,0)</f>
        <v>0.41988890793625522</v>
      </c>
      <c r="AE41">
        <f>IFERROR(BIO!AM7/BIO!AM271,0)</f>
        <v>0</v>
      </c>
      <c r="AF41">
        <f>IFERROR(BIO!AN7/BIO!AN271,0)</f>
        <v>0.15571674850672437</v>
      </c>
      <c r="AG41">
        <f>IFERROR(BIO!AO7/BIO!AO271,0)</f>
        <v>0</v>
      </c>
      <c r="AH41">
        <f>IFERROR(BIO!AP7/BIO!AP271,0)</f>
        <v>0</v>
      </c>
      <c r="AI41">
        <f>IFERROR(BIO!AQ7/BIO!AQ271,0)</f>
        <v>0</v>
      </c>
      <c r="AJ41">
        <f>IFERROR(BIO!AR7/BIO!AR271,0)</f>
        <v>0.2629985011495557</v>
      </c>
      <c r="AK41">
        <f>IFERROR(BIO!AS7/BIO!AS271,0)</f>
        <v>0</v>
      </c>
      <c r="AL41">
        <f>IFERROR(BIO!AT7/BIO!AT271,0)</f>
        <v>0.16100359096685346</v>
      </c>
      <c r="AM41">
        <f>IFERROR(BIO!AU7/BIO!AU271,0)</f>
        <v>0.15133094405729272</v>
      </c>
    </row>
    <row r="42" spans="2:41">
      <c r="B42" t="s">
        <v>43</v>
      </c>
      <c r="C42">
        <v>2020</v>
      </c>
      <c r="D42">
        <f>IFERROR(BIO!L8/BIO!L272,0)</f>
        <v>0</v>
      </c>
      <c r="E42">
        <f>IFERROR(BIO!M8/BIO!M272,0)</f>
        <v>0.2978364145667326</v>
      </c>
      <c r="F42">
        <f>IFERROR(BIO!N8/BIO!N272,0)</f>
        <v>0.3030005360167789</v>
      </c>
      <c r="G42">
        <f>IFERROR(BIO!O8/BIO!O272,0)</f>
        <v>9.5641569929500944E-2</v>
      </c>
      <c r="H42">
        <f>IFERROR(BIO!P8/BIO!P272,0)</f>
        <v>0</v>
      </c>
      <c r="I42">
        <f>IFERROR(BIO!Q8/BIO!Q272,0)</f>
        <v>0</v>
      </c>
      <c r="J42">
        <f>IFERROR(BIO!R8/BIO!R272,0)</f>
        <v>0</v>
      </c>
      <c r="K42">
        <f>IFERROR(BIO!S8/BIO!S272,0)</f>
        <v>0.24497449754558304</v>
      </c>
      <c r="L42">
        <f>IFERROR(BIO!T8/BIO!T272,0)</f>
        <v>0.25621803961823369</v>
      </c>
      <c r="M42">
        <f>IFERROR(BIO!U8/BIO!U272,0)</f>
        <v>0.22655639645664211</v>
      </c>
      <c r="N42">
        <f>IFERROR(BIO!V8/BIO!V272,0)</f>
        <v>0</v>
      </c>
      <c r="O42">
        <f>IFERROR(BIO!W8/BIO!W272,0)</f>
        <v>0.21355782631524603</v>
      </c>
      <c r="P42">
        <f>IFERROR(BIO!X8/BIO!X272,0)</f>
        <v>0</v>
      </c>
      <c r="Q42">
        <f>IFERROR(BIO!Y8/BIO!Y272,0)</f>
        <v>0.32095413376130749</v>
      </c>
      <c r="R42">
        <f>IFERROR(BIO!Z8/BIO!Z272,0)</f>
        <v>0.26636883871384515</v>
      </c>
      <c r="S42">
        <f>IFERROR(BIO!AA8/BIO!AA272,0)</f>
        <v>0</v>
      </c>
      <c r="T42">
        <f>IFERROR(BIO!AB8/BIO!AB272,0)</f>
        <v>3.1831819799574758E-2</v>
      </c>
      <c r="U42">
        <f>IFERROR(BIO!AC8/BIO!AC272,0)</f>
        <v>0</v>
      </c>
      <c r="V42">
        <f>IFERROR(BIO!AD8/BIO!AD272,0)</f>
        <v>0</v>
      </c>
      <c r="W42">
        <f>IFERROR(BIO!AE8/BIO!AE272,0)</f>
        <v>0.15820660494775021</v>
      </c>
      <c r="X42">
        <f>IFERROR(BIO!AF8/BIO!AF272,0)</f>
        <v>0.25332425497397165</v>
      </c>
      <c r="Y42">
        <f>IFERROR(BIO!AG8/BIO!AG272,0)</f>
        <v>0</v>
      </c>
      <c r="Z42">
        <f>IFERROR(BIO!AH8/BIO!AH272,0)</f>
        <v>0</v>
      </c>
      <c r="AA42">
        <f>IFERROR(BIO!AI8/BIO!AI272,0)</f>
        <v>0</v>
      </c>
      <c r="AB42">
        <f>IFERROR(BIO!AJ8/BIO!AJ272,0)</f>
        <v>0</v>
      </c>
      <c r="AC42">
        <f>IFERROR(BIO!AK8/BIO!AK272,0)</f>
        <v>0</v>
      </c>
      <c r="AD42">
        <f>IFERROR(BIO!AL8/BIO!AL272,0)</f>
        <v>0.33715044260688676</v>
      </c>
      <c r="AE42">
        <f>IFERROR(BIO!AM8/BIO!AM272,0)</f>
        <v>0</v>
      </c>
      <c r="AF42">
        <f>IFERROR(BIO!AN8/BIO!AN272,0)</f>
        <v>9.884802343746403E-2</v>
      </c>
      <c r="AG42">
        <f>IFERROR(BIO!AO8/BIO!AO272,0)</f>
        <v>8.9798271963459891E-3</v>
      </c>
      <c r="AH42">
        <f>IFERROR(BIO!AP8/BIO!AP272,0)</f>
        <v>2.6628694650771546E-2</v>
      </c>
      <c r="AI42">
        <f>IFERROR(BIO!AQ8/BIO!AQ272,0)</f>
        <v>0</v>
      </c>
      <c r="AJ42">
        <f>IFERROR(BIO!AR8/BIO!AR272,0)</f>
        <v>0.18740775176733668</v>
      </c>
      <c r="AK42">
        <f>IFERROR(BIO!AS8/BIO!AS272,0)</f>
        <v>0</v>
      </c>
      <c r="AL42">
        <f>IFERROR(BIO!AT8/BIO!AT272,0)</f>
        <v>7.7667370698274951E-2</v>
      </c>
      <c r="AM42">
        <f>IFERROR(BIO!AU8/BIO!AU272,0)</f>
        <v>0.16505881804696879</v>
      </c>
    </row>
    <row r="43" spans="2:41">
      <c r="B43" t="s">
        <v>43</v>
      </c>
      <c r="C43">
        <v>2030</v>
      </c>
      <c r="D43">
        <f>IFERROR(BIO!L9/BIO!L273,0)</f>
        <v>0</v>
      </c>
      <c r="E43">
        <f>IFERROR(BIO!M9/BIO!M273,0)</f>
        <v>0.29685642703488352</v>
      </c>
      <c r="F43">
        <f>IFERROR(BIO!N9/BIO!N273,0)</f>
        <v>0.33322829159580031</v>
      </c>
      <c r="G43">
        <f>IFERROR(BIO!O9/BIO!O273,0)</f>
        <v>2.1225237388025776E-2</v>
      </c>
      <c r="H43">
        <f>IFERROR(BIO!P9/BIO!P273,0)</f>
        <v>0</v>
      </c>
      <c r="I43">
        <f>IFERROR(BIO!Q9/BIO!Q273,0)</f>
        <v>0</v>
      </c>
      <c r="J43">
        <f>IFERROR(BIO!R9/BIO!R273,0)</f>
        <v>0</v>
      </c>
      <c r="K43">
        <f>IFERROR(BIO!S9/BIO!S273,0)</f>
        <v>0.28480791897656826</v>
      </c>
      <c r="L43">
        <f>IFERROR(BIO!T9/BIO!T273,0)</f>
        <v>0.17458276465912004</v>
      </c>
      <c r="M43">
        <f>IFERROR(BIO!U9/BIO!U273,0)</f>
        <v>0.2795638900415352</v>
      </c>
      <c r="N43">
        <f>IFERROR(BIO!V9/BIO!V273,0)</f>
        <v>0</v>
      </c>
      <c r="O43">
        <f>IFERROR(BIO!W9/BIO!W273,0)</f>
        <v>0.22928442106140792</v>
      </c>
      <c r="P43">
        <f>IFERROR(BIO!X9/BIO!X273,0)</f>
        <v>0</v>
      </c>
      <c r="Q43">
        <f>IFERROR(BIO!Y9/BIO!Y273,0)</f>
        <v>0.29782986998618122</v>
      </c>
      <c r="R43">
        <f>IFERROR(BIO!Z9/BIO!Z273,0)</f>
        <v>0.27568234562842936</v>
      </c>
      <c r="S43">
        <f>IFERROR(BIO!AA9/BIO!AA273,0)</f>
        <v>0</v>
      </c>
      <c r="T43">
        <f>IFERROR(BIO!AB9/BIO!AB273,0)</f>
        <v>5.8600770050832147E-2</v>
      </c>
      <c r="U43">
        <f>IFERROR(BIO!AC9/BIO!AC273,0)</f>
        <v>0</v>
      </c>
      <c r="V43">
        <f>IFERROR(BIO!AD9/BIO!AD273,0)</f>
        <v>0</v>
      </c>
      <c r="W43">
        <f>IFERROR(BIO!AE9/BIO!AE273,0)</f>
        <v>0.27541038012148333</v>
      </c>
      <c r="X43">
        <f>IFERROR(BIO!AF9/BIO!AF273,0)</f>
        <v>0.26999897881921003</v>
      </c>
      <c r="Y43">
        <f>IFERROR(BIO!AG9/BIO!AG273,0)</f>
        <v>0</v>
      </c>
      <c r="Z43">
        <f>IFERROR(BIO!AH9/BIO!AH273,0)</f>
        <v>0</v>
      </c>
      <c r="AA43">
        <f>IFERROR(BIO!AI9/BIO!AI273,0)</f>
        <v>0</v>
      </c>
      <c r="AB43">
        <f>IFERROR(BIO!AJ9/BIO!AJ273,0)</f>
        <v>0</v>
      </c>
      <c r="AC43">
        <f>IFERROR(BIO!AK9/BIO!AK273,0)</f>
        <v>0</v>
      </c>
      <c r="AD43">
        <f>IFERROR(BIO!AL9/BIO!AL273,0)</f>
        <v>0.31242857036764127</v>
      </c>
      <c r="AE43">
        <f>IFERROR(BIO!AM9/BIO!AM273,0)</f>
        <v>0</v>
      </c>
      <c r="AF43">
        <f>IFERROR(BIO!AN9/BIO!AN273,0)</f>
        <v>0.12458296689710797</v>
      </c>
      <c r="AG43">
        <f>IFERROR(BIO!AO9/BIO!AO273,0)</f>
        <v>2.8054280172428035E-3</v>
      </c>
      <c r="AH43">
        <f>IFERROR(BIO!AP9/BIO!AP273,0)</f>
        <v>1.6261330296457132E-5</v>
      </c>
      <c r="AI43">
        <f>IFERROR(BIO!AQ9/BIO!AQ273,0)</f>
        <v>0</v>
      </c>
      <c r="AJ43">
        <f>IFERROR(BIO!AR9/BIO!AR273,0)</f>
        <v>0.18058614763021091</v>
      </c>
      <c r="AK43">
        <f>IFERROR(BIO!AS9/BIO!AS273,0)</f>
        <v>0</v>
      </c>
      <c r="AL43">
        <f>IFERROR(BIO!AT9/BIO!AT273,0)</f>
        <v>0.14013737261834591</v>
      </c>
      <c r="AM43">
        <f>IFERROR(BIO!AU9/BIO!AU273,0)</f>
        <v>0.34857668248581042</v>
      </c>
    </row>
    <row r="44" spans="2:41">
      <c r="B44" t="s">
        <v>43</v>
      </c>
      <c r="C44">
        <v>2040</v>
      </c>
      <c r="D44">
        <f>IFERROR(BIO!L10/BIO!L274,0)</f>
        <v>0</v>
      </c>
      <c r="E44">
        <f>IFERROR(BIO!M10/BIO!M274,0)</f>
        <v>0.30855310236320072</v>
      </c>
      <c r="F44">
        <f>IFERROR(BIO!N10/BIO!N274,0)</f>
        <v>0.38273370922457239</v>
      </c>
      <c r="G44">
        <f>IFERROR(BIO!O10/BIO!O274,0)</f>
        <v>0.10147719008782707</v>
      </c>
      <c r="H44">
        <f>IFERROR(BIO!P10/BIO!P274,0)</f>
        <v>0</v>
      </c>
      <c r="I44">
        <f>IFERROR(BIO!Q10/BIO!Q274,0)</f>
        <v>0</v>
      </c>
      <c r="J44">
        <f>IFERROR(BIO!R10/BIO!R274,0)</f>
        <v>0</v>
      </c>
      <c r="K44">
        <f>IFERROR(BIO!S10/BIO!S274,0)</f>
        <v>0.29966763268406915</v>
      </c>
      <c r="L44">
        <f>IFERROR(BIO!T10/BIO!T274,0)</f>
        <v>0.16656271296829009</v>
      </c>
      <c r="M44">
        <f>IFERROR(BIO!U10/BIO!U274,0)</f>
        <v>0.34439957697024237</v>
      </c>
      <c r="N44">
        <f>IFERROR(BIO!V10/BIO!V274,0)</f>
        <v>0</v>
      </c>
      <c r="O44">
        <f>IFERROR(BIO!W10/BIO!W274,0)</f>
        <v>0.23787598345679764</v>
      </c>
      <c r="P44">
        <f>IFERROR(BIO!X10/BIO!X274,0)</f>
        <v>0</v>
      </c>
      <c r="Q44">
        <f>IFERROR(BIO!Y10/BIO!Y274,0)</f>
        <v>0.30183294346041278</v>
      </c>
      <c r="R44">
        <f>IFERROR(BIO!Z10/BIO!Z274,0)</f>
        <v>0.2870277366294961</v>
      </c>
      <c r="S44">
        <f>IFERROR(BIO!AA10/BIO!AA274,0)</f>
        <v>0</v>
      </c>
      <c r="T44">
        <f>IFERROR(BIO!AB10/BIO!AB274,0)</f>
        <v>7.6398489101097727E-2</v>
      </c>
      <c r="U44">
        <f>IFERROR(BIO!AC10/BIO!AC274,0)</f>
        <v>0</v>
      </c>
      <c r="V44">
        <f>IFERROR(BIO!AD10/BIO!AD274,0)</f>
        <v>0</v>
      </c>
      <c r="W44">
        <f>IFERROR(BIO!AE10/BIO!AE274,0)</f>
        <v>0.29477454279077292</v>
      </c>
      <c r="X44">
        <f>IFERROR(BIO!AF10/BIO!AF274,0)</f>
        <v>0.3107853210939826</v>
      </c>
      <c r="Y44">
        <f>IFERROR(BIO!AG10/BIO!AG274,0)</f>
        <v>0</v>
      </c>
      <c r="Z44">
        <f>IFERROR(BIO!AH10/BIO!AH274,0)</f>
        <v>0</v>
      </c>
      <c r="AA44">
        <f>IFERROR(BIO!AI10/BIO!AI274,0)</f>
        <v>0</v>
      </c>
      <c r="AB44">
        <f>IFERROR(BIO!AJ10/BIO!AJ274,0)</f>
        <v>0</v>
      </c>
      <c r="AC44">
        <f>IFERROR(BIO!AK10/BIO!AK274,0)</f>
        <v>0</v>
      </c>
      <c r="AD44">
        <f>IFERROR(BIO!AL10/BIO!AL274,0)</f>
        <v>0.30421968974242652</v>
      </c>
      <c r="AE44">
        <f>IFERROR(BIO!AM10/BIO!AM274,0)</f>
        <v>0</v>
      </c>
      <c r="AF44">
        <f>IFERROR(BIO!AN10/BIO!AN274,0)</f>
        <v>0.19393111215457692</v>
      </c>
      <c r="AG44">
        <f>IFERROR(BIO!AO10/BIO!AO274,0)</f>
        <v>9.1971777375390515E-3</v>
      </c>
      <c r="AH44">
        <f>IFERROR(BIO!AP10/BIO!AP274,0)</f>
        <v>2.5411644955819435E-2</v>
      </c>
      <c r="AI44">
        <f>IFERROR(BIO!AQ10/BIO!AQ274,0)</f>
        <v>0</v>
      </c>
      <c r="AJ44">
        <f>IFERROR(BIO!AR10/BIO!AR274,0)</f>
        <v>0.19472842416900984</v>
      </c>
      <c r="AK44">
        <f>IFERROR(BIO!AS10/BIO!AS274,0)</f>
        <v>0</v>
      </c>
      <c r="AL44">
        <f>IFERROR(BIO!AT10/BIO!AT274,0)</f>
        <v>0.23108047816375407</v>
      </c>
      <c r="AM44">
        <f>IFERROR(BIO!AU10/BIO!AU274,0)</f>
        <v>0.33642970664787625</v>
      </c>
    </row>
    <row r="45" spans="2:41">
      <c r="B45" t="s">
        <v>43</v>
      </c>
      <c r="C45">
        <v>2050</v>
      </c>
      <c r="D45">
        <f>IFERROR(BIO!L11/BIO!L275,0)</f>
        <v>0</v>
      </c>
      <c r="E45">
        <f>IFERROR(BIO!M11/BIO!M275,0)</f>
        <v>0.32334917238279182</v>
      </c>
      <c r="F45">
        <f>IFERROR(BIO!N11/BIO!N275,0)</f>
        <v>0.44290650015095917</v>
      </c>
      <c r="G45">
        <f>IFERROR(BIO!O11/BIO!O275,0)</f>
        <v>0.12026082298301326</v>
      </c>
      <c r="H45">
        <f>IFERROR(BIO!P11/BIO!P275,0)</f>
        <v>0</v>
      </c>
      <c r="I45">
        <f>IFERROR(BIO!Q11/BIO!Q275,0)</f>
        <v>0</v>
      </c>
      <c r="J45">
        <f>IFERROR(BIO!R11/BIO!R275,0)</f>
        <v>0</v>
      </c>
      <c r="K45">
        <f>IFERROR(BIO!S11/BIO!S275,0)</f>
        <v>0.31102263686541232</v>
      </c>
      <c r="L45">
        <f>IFERROR(BIO!T11/BIO!T275,0)</f>
        <v>0.15904599016837023</v>
      </c>
      <c r="M45">
        <f>IFERROR(BIO!U11/BIO!U275,0)</f>
        <v>0.37909532664837259</v>
      </c>
      <c r="N45">
        <f>IFERROR(BIO!V11/BIO!V275,0)</f>
        <v>0</v>
      </c>
      <c r="O45">
        <f>IFERROR(BIO!W11/BIO!W275,0)</f>
        <v>0.24369789674873868</v>
      </c>
      <c r="P45">
        <f>IFERROR(BIO!X11/BIO!X275,0)</f>
        <v>0</v>
      </c>
      <c r="Q45">
        <f>IFERROR(BIO!Y11/BIO!Y275,0)</f>
        <v>0.30624572951578782</v>
      </c>
      <c r="R45">
        <f>IFERROR(BIO!Z11/BIO!Z275,0)</f>
        <v>0.29690391336656941</v>
      </c>
      <c r="S45">
        <f>IFERROR(BIO!AA11/BIO!AA275,0)</f>
        <v>0</v>
      </c>
      <c r="T45">
        <f>IFERROR(BIO!AB11/BIO!AB275,0)</f>
        <v>9.4616352008541404E-2</v>
      </c>
      <c r="U45">
        <f>IFERROR(BIO!AC11/BIO!AC275,0)</f>
        <v>0</v>
      </c>
      <c r="V45">
        <f>IFERROR(BIO!AD11/BIO!AD275,0)</f>
        <v>0</v>
      </c>
      <c r="W45">
        <f>IFERROR(BIO!AE11/BIO!AE275,0)</f>
        <v>0.31541664889499066</v>
      </c>
      <c r="X45">
        <f>IFERROR(BIO!AF11/BIO!AF275,0)</f>
        <v>0.3584202021213192</v>
      </c>
      <c r="Y45">
        <f>IFERROR(BIO!AG11/BIO!AG275,0)</f>
        <v>0</v>
      </c>
      <c r="Z45">
        <f>IFERROR(BIO!AH11/BIO!AH275,0)</f>
        <v>0</v>
      </c>
      <c r="AA45">
        <f>IFERROR(BIO!AI11/BIO!AI275,0)</f>
        <v>0</v>
      </c>
      <c r="AB45">
        <f>IFERROR(BIO!AJ11/BIO!AJ275,0)</f>
        <v>0</v>
      </c>
      <c r="AC45">
        <f>IFERROR(BIO!AK11/BIO!AK275,0)</f>
        <v>0</v>
      </c>
      <c r="AD45">
        <f>IFERROR(BIO!AL11/BIO!AL275,0)</f>
        <v>0.2956834688777179</v>
      </c>
      <c r="AE45">
        <f>IFERROR(BIO!AM11/BIO!AM275,0)</f>
        <v>0</v>
      </c>
      <c r="AF45">
        <f>IFERROR(BIO!AN11/BIO!AN275,0)</f>
        <v>0.24605367812368134</v>
      </c>
      <c r="AG45">
        <f>IFERROR(BIO!AO11/BIO!AO275,0)</f>
        <v>1.8788191714487586E-2</v>
      </c>
      <c r="AH45">
        <f>IFERROR(BIO!AP11/BIO!AP275,0)</f>
        <v>2.6551562191831107E-2</v>
      </c>
      <c r="AI45">
        <f>IFERROR(BIO!AQ11/BIO!AQ275,0)</f>
        <v>0</v>
      </c>
      <c r="AJ45">
        <f>IFERROR(BIO!AR11/BIO!AR275,0)</f>
        <v>0.21109020840755088</v>
      </c>
      <c r="AK45">
        <f>IFERROR(BIO!AS11/BIO!AS275,0)</f>
        <v>0</v>
      </c>
      <c r="AL45">
        <f>IFERROR(BIO!AT11/BIO!AT275,0)</f>
        <v>0.35746022966272156</v>
      </c>
      <c r="AM45">
        <f>IFERROR(BIO!AU11/BIO!AU275,0)</f>
        <v>0.31822921663666032</v>
      </c>
    </row>
    <row r="46" spans="2:41">
      <c r="B46" t="s">
        <v>47</v>
      </c>
      <c r="C46">
        <v>2005</v>
      </c>
      <c r="D46">
        <f>IFERROR(BIO!L19/BIO!L270,0)</f>
        <v>0</v>
      </c>
      <c r="E46">
        <f>IFERROR(BIO!M19/BIO!M270,0)</f>
        <v>0.46222577088819078</v>
      </c>
      <c r="F46">
        <f>IFERROR(BIO!N19/BIO!N270,0)</f>
        <v>0.32686791290692435</v>
      </c>
      <c r="G46">
        <f>IFERROR(BIO!O19/BIO!O270,0)</f>
        <v>0.22923341485565876</v>
      </c>
      <c r="H46">
        <f>IFERROR(BIO!P19/BIO!P270,0)</f>
        <v>0</v>
      </c>
      <c r="I46">
        <f>IFERROR(BIO!Q19/BIO!Q270,0)</f>
        <v>0</v>
      </c>
      <c r="J46">
        <f>IFERROR(BIO!R19/BIO!R270,0)</f>
        <v>0</v>
      </c>
      <c r="K46">
        <f>IFERROR(BIO!S19/BIO!S270,0)</f>
        <v>0.42348745288916462</v>
      </c>
      <c r="L46">
        <f>IFERROR(BIO!T19/BIO!T270,0)</f>
        <v>0.4603471257897026</v>
      </c>
      <c r="M46">
        <f>IFERROR(BIO!U19/BIO!U270,0)</f>
        <v>0.43325791516990897</v>
      </c>
      <c r="N46">
        <f>IFERROR(BIO!V19/BIO!V270,0)</f>
        <v>0</v>
      </c>
      <c r="O46">
        <f>IFERROR(BIO!W19/BIO!W270,0)</f>
        <v>0.34093333724282526</v>
      </c>
      <c r="P46">
        <f>IFERROR(BIO!X19/BIO!X270,0)</f>
        <v>0</v>
      </c>
      <c r="Q46">
        <f>IFERROR(BIO!Y19/BIO!Y270,0)</f>
        <v>0.47402762861483472</v>
      </c>
      <c r="R46">
        <f>IFERROR(BIO!Z19/BIO!Z270,0)</f>
        <v>2.3485973036096269E-2</v>
      </c>
      <c r="S46">
        <f>IFERROR(BIO!AA19/BIO!AA270,0)</f>
        <v>0</v>
      </c>
      <c r="T46">
        <f>IFERROR(BIO!AB19/BIO!AB270,0)</f>
        <v>0.34463959130225696</v>
      </c>
      <c r="U46">
        <f>IFERROR(BIO!AC19/BIO!AC270,0)</f>
        <v>0</v>
      </c>
      <c r="V46">
        <f>IFERROR(BIO!AD19/BIO!AD270,0)</f>
        <v>0</v>
      </c>
      <c r="W46">
        <f>IFERROR(BIO!AE19/BIO!AE270,0)</f>
        <v>0.41183224355691084</v>
      </c>
      <c r="X46">
        <f>IFERROR(BIO!AF19/BIO!AF270,0)</f>
        <v>0.34291612359481927</v>
      </c>
      <c r="Y46">
        <f>IFERROR(BIO!AG19/BIO!AG270,0)</f>
        <v>0</v>
      </c>
      <c r="Z46">
        <f>IFERROR(BIO!AH19/BIO!AH270,0)</f>
        <v>0</v>
      </c>
      <c r="AA46">
        <f>IFERROR(BIO!AI19/BIO!AI270,0)</f>
        <v>0</v>
      </c>
      <c r="AB46">
        <f>IFERROR(BIO!AJ19/BIO!AJ270,0)</f>
        <v>0</v>
      </c>
      <c r="AC46">
        <f>IFERROR(BIO!AK19/BIO!AK270,0)</f>
        <v>0</v>
      </c>
      <c r="AD46">
        <f>IFERROR(BIO!AL19/BIO!AL270,0)</f>
        <v>0.42348515199405501</v>
      </c>
      <c r="AE46">
        <f>IFERROR(BIO!AM19/BIO!AM270,0)</f>
        <v>0</v>
      </c>
      <c r="AF46">
        <f>IFERROR(BIO!AN19/BIO!AN270,0)</f>
        <v>0.15808798755885045</v>
      </c>
      <c r="AG46">
        <f>IFERROR(BIO!AO19/BIO!AO270,0)</f>
        <v>1</v>
      </c>
      <c r="AH46">
        <f>IFERROR(BIO!AP19/BIO!AP270,0)</f>
        <v>0.19593559832338223</v>
      </c>
      <c r="AI46">
        <f>IFERROR(BIO!AQ19/BIO!AQ270,0)</f>
        <v>0</v>
      </c>
      <c r="AJ46">
        <f>IFERROR(BIO!AR19/BIO!AR270,0)</f>
        <v>0.2629985011495557</v>
      </c>
      <c r="AK46">
        <f>IFERROR(BIO!AS19/BIO!AS270,0)</f>
        <v>1</v>
      </c>
      <c r="AL46">
        <f>IFERROR(BIO!AT19/BIO!AT270,0)</f>
        <v>0.20236807334170875</v>
      </c>
      <c r="AM46">
        <f>IFERROR(BIO!AU19/BIO!AU270,0)</f>
        <v>0.15133094405729272</v>
      </c>
    </row>
    <row r="47" spans="2:41">
      <c r="B47" t="s">
        <v>47</v>
      </c>
      <c r="C47">
        <v>2010</v>
      </c>
      <c r="D47">
        <f>IFERROR(BIO!L20/BIO!L271,0)</f>
        <v>0</v>
      </c>
      <c r="E47">
        <f>IFERROR(BIO!M20/BIO!M271,0)</f>
        <v>0.46222577088819078</v>
      </c>
      <c r="F47">
        <f>IFERROR(BIO!N20/BIO!N271,0)</f>
        <v>0.32686791290692435</v>
      </c>
      <c r="G47">
        <f>IFERROR(BIO!O20/BIO!O271,0)</f>
        <v>0.22923341485565876</v>
      </c>
      <c r="H47">
        <f>IFERROR(BIO!P20/BIO!P271,0)</f>
        <v>0</v>
      </c>
      <c r="I47">
        <f>IFERROR(BIO!Q20/BIO!Q271,0)</f>
        <v>0</v>
      </c>
      <c r="J47">
        <f>IFERROR(BIO!R20/BIO!R271,0)</f>
        <v>0</v>
      </c>
      <c r="K47">
        <f>IFERROR(BIO!S20/BIO!S271,0)</f>
        <v>0.42348745288916462</v>
      </c>
      <c r="L47">
        <f>IFERROR(BIO!T20/BIO!T271,0)</f>
        <v>0.4603471257897026</v>
      </c>
      <c r="M47">
        <f>IFERROR(BIO!U20/BIO!U271,0)</f>
        <v>0.43325791516990897</v>
      </c>
      <c r="N47">
        <f>IFERROR(BIO!V20/BIO!V271,0)</f>
        <v>0</v>
      </c>
      <c r="O47">
        <f>IFERROR(BIO!W20/BIO!W271,0)</f>
        <v>0.34093333724282526</v>
      </c>
      <c r="P47">
        <f>IFERROR(BIO!X20/BIO!X271,0)</f>
        <v>0</v>
      </c>
      <c r="Q47">
        <f>IFERROR(BIO!Y20/BIO!Y271,0)</f>
        <v>0.47402762861483472</v>
      </c>
      <c r="R47">
        <f>IFERROR(BIO!Z20/BIO!Z271,0)</f>
        <v>2.3485973036096269E-2</v>
      </c>
      <c r="S47">
        <f>IFERROR(BIO!AA20/BIO!AA271,0)</f>
        <v>0</v>
      </c>
      <c r="T47">
        <f>IFERROR(BIO!AB20/BIO!AB271,0)</f>
        <v>0.34463959130225696</v>
      </c>
      <c r="U47">
        <f>IFERROR(BIO!AC20/BIO!AC271,0)</f>
        <v>0</v>
      </c>
      <c r="V47">
        <f>IFERROR(BIO!AD20/BIO!AD271,0)</f>
        <v>0</v>
      </c>
      <c r="W47">
        <f>IFERROR(BIO!AE20/BIO!AE271,0)</f>
        <v>0.41183224355691084</v>
      </c>
      <c r="X47">
        <f>IFERROR(BIO!AF20/BIO!AF271,0)</f>
        <v>0.34291612359481927</v>
      </c>
      <c r="Y47">
        <f>IFERROR(BIO!AG20/BIO!AG271,0)</f>
        <v>0</v>
      </c>
      <c r="Z47">
        <f>IFERROR(BIO!AH20/BIO!AH271,0)</f>
        <v>0</v>
      </c>
      <c r="AA47">
        <f>IFERROR(BIO!AI20/BIO!AI271,0)</f>
        <v>0</v>
      </c>
      <c r="AB47">
        <f>IFERROR(BIO!AJ20/BIO!AJ271,0)</f>
        <v>0</v>
      </c>
      <c r="AC47">
        <f>IFERROR(BIO!AK20/BIO!AK271,0)</f>
        <v>0</v>
      </c>
      <c r="AD47">
        <f>IFERROR(BIO!AL20/BIO!AL271,0)</f>
        <v>0.42348515199405501</v>
      </c>
      <c r="AE47">
        <f>IFERROR(BIO!AM20/BIO!AM271,0)</f>
        <v>0</v>
      </c>
      <c r="AF47">
        <f>IFERROR(BIO!AN20/BIO!AN271,0)</f>
        <v>0.15808798755885045</v>
      </c>
      <c r="AG47">
        <f>IFERROR(BIO!AO20/BIO!AO271,0)</f>
        <v>1</v>
      </c>
      <c r="AH47">
        <f>IFERROR(BIO!AP20/BIO!AP271,0)</f>
        <v>0.19593559832338223</v>
      </c>
      <c r="AI47">
        <f>IFERROR(BIO!AQ20/BIO!AQ271,0)</f>
        <v>0</v>
      </c>
      <c r="AJ47">
        <f>IFERROR(BIO!AR20/BIO!AR271,0)</f>
        <v>0.2629985011495557</v>
      </c>
      <c r="AK47">
        <f>IFERROR(BIO!AS20/BIO!AS271,0)</f>
        <v>1</v>
      </c>
      <c r="AL47">
        <f>IFERROR(BIO!AT20/BIO!AT271,0)</f>
        <v>0.20236807334170875</v>
      </c>
      <c r="AM47">
        <f>IFERROR(BIO!AU20/BIO!AU271,0)</f>
        <v>0.15133094405729272</v>
      </c>
    </row>
    <row r="48" spans="2:41">
      <c r="B48" t="s">
        <v>47</v>
      </c>
      <c r="C48">
        <v>2020</v>
      </c>
      <c r="D48">
        <f>IFERROR(BIO!L21/BIO!L272,0)</f>
        <v>0</v>
      </c>
      <c r="E48">
        <f>IFERROR(BIO!M21/BIO!M272,0)</f>
        <v>0.3152324973301861</v>
      </c>
      <c r="F48">
        <f>IFERROR(BIO!N21/BIO!N272,0)</f>
        <v>0.3030005360167789</v>
      </c>
      <c r="G48">
        <f>IFERROR(BIO!O21/BIO!O272,0)</f>
        <v>0.1597648507733182</v>
      </c>
      <c r="H48">
        <f>IFERROR(BIO!P21/BIO!P272,0)</f>
        <v>0</v>
      </c>
      <c r="I48">
        <f>IFERROR(BIO!Q21/BIO!Q272,0)</f>
        <v>0</v>
      </c>
      <c r="J48">
        <f>IFERROR(BIO!R21/BIO!R272,0)</f>
        <v>0</v>
      </c>
      <c r="K48">
        <f>IFERROR(BIO!S21/BIO!S272,0)</f>
        <v>0.255698905630382</v>
      </c>
      <c r="L48">
        <f>IFERROR(BIO!T21/BIO!T272,0)</f>
        <v>0.25621803961823369</v>
      </c>
      <c r="M48">
        <f>IFERROR(BIO!U21/BIO!U272,0)</f>
        <v>0.22655639645664211</v>
      </c>
      <c r="N48">
        <f>IFERROR(BIO!V21/BIO!V272,0)</f>
        <v>0</v>
      </c>
      <c r="O48">
        <f>IFERROR(BIO!W21/BIO!W272,0)</f>
        <v>0.23225883697309782</v>
      </c>
      <c r="P48">
        <f>IFERROR(BIO!X21/BIO!X272,0)</f>
        <v>0</v>
      </c>
      <c r="Q48">
        <f>IFERROR(BIO!Y21/BIO!Y272,0)</f>
        <v>0.36604630482628292</v>
      </c>
      <c r="R48">
        <f>IFERROR(BIO!Z21/BIO!Z272,0)</f>
        <v>0.27686307401747218</v>
      </c>
      <c r="S48">
        <f>IFERROR(BIO!AA21/BIO!AA272,0)</f>
        <v>0</v>
      </c>
      <c r="T48">
        <f>IFERROR(BIO!AB21/BIO!AB272,0)</f>
        <v>8.779440783072387E-2</v>
      </c>
      <c r="U48">
        <f>IFERROR(BIO!AC21/BIO!AC272,0)</f>
        <v>0</v>
      </c>
      <c r="V48">
        <f>IFERROR(BIO!AD21/BIO!AD272,0)</f>
        <v>0</v>
      </c>
      <c r="W48">
        <f>IFERROR(BIO!AE21/BIO!AE272,0)</f>
        <v>0.1695051138198328</v>
      </c>
      <c r="X48">
        <f>IFERROR(BIO!AF21/BIO!AF272,0)</f>
        <v>0.25332425497397165</v>
      </c>
      <c r="Y48">
        <f>IFERROR(BIO!AG21/BIO!AG272,0)</f>
        <v>0</v>
      </c>
      <c r="Z48">
        <f>IFERROR(BIO!AH21/BIO!AH272,0)</f>
        <v>0</v>
      </c>
      <c r="AA48">
        <f>IFERROR(BIO!AI21/BIO!AI272,0)</f>
        <v>0</v>
      </c>
      <c r="AB48">
        <f>IFERROR(BIO!AJ21/BIO!AJ272,0)</f>
        <v>0</v>
      </c>
      <c r="AC48">
        <f>IFERROR(BIO!AK21/BIO!AK272,0)</f>
        <v>0</v>
      </c>
      <c r="AD48">
        <f>IFERROR(BIO!AL21/BIO!AL272,0)</f>
        <v>0.33754605317757203</v>
      </c>
      <c r="AE48">
        <f>IFERROR(BIO!AM21/BIO!AM272,0)</f>
        <v>0</v>
      </c>
      <c r="AF48">
        <f>IFERROR(BIO!AN21/BIO!AN272,0)</f>
        <v>9.9940536694338597E-2</v>
      </c>
      <c r="AG48">
        <f>IFERROR(BIO!AO21/BIO!AO272,0)</f>
        <v>5.6324698271094688E-2</v>
      </c>
      <c r="AH48">
        <f>IFERROR(BIO!AP21/BIO!AP272,0)</f>
        <v>4.0059018610845952E-2</v>
      </c>
      <c r="AI48">
        <f>IFERROR(BIO!AQ21/BIO!AQ272,0)</f>
        <v>0</v>
      </c>
      <c r="AJ48">
        <f>IFERROR(BIO!AR21/BIO!AR272,0)</f>
        <v>0.18740775176733668</v>
      </c>
      <c r="AK48">
        <f>IFERROR(BIO!AS21/BIO!AS272,0)</f>
        <v>0</v>
      </c>
      <c r="AL48">
        <f>IFERROR(BIO!AT21/BIO!AT272,0)</f>
        <v>0.12788436606484743</v>
      </c>
      <c r="AM48">
        <f>IFERROR(BIO!AU21/BIO!AU272,0)</f>
        <v>0.16505881804696879</v>
      </c>
    </row>
    <row r="49" spans="2:39">
      <c r="B49" t="s">
        <v>47</v>
      </c>
      <c r="C49">
        <v>2030</v>
      </c>
      <c r="D49">
        <f>IFERROR(BIO!L22/BIO!L273,0)</f>
        <v>0</v>
      </c>
      <c r="E49">
        <f>IFERROR(BIO!M22/BIO!M273,0)</f>
        <v>0.32632185379040429</v>
      </c>
      <c r="F49">
        <f>IFERROR(BIO!N22/BIO!N273,0)</f>
        <v>0.33322829159580031</v>
      </c>
      <c r="G49">
        <f>IFERROR(BIO!O22/BIO!O273,0)</f>
        <v>0.10435787679898542</v>
      </c>
      <c r="H49">
        <f>IFERROR(BIO!P22/BIO!P273,0)</f>
        <v>0</v>
      </c>
      <c r="I49">
        <f>IFERROR(BIO!Q22/BIO!Q273,0)</f>
        <v>0</v>
      </c>
      <c r="J49">
        <f>IFERROR(BIO!R22/BIO!R273,0)</f>
        <v>0</v>
      </c>
      <c r="K49">
        <f>IFERROR(BIO!S22/BIO!S273,0)</f>
        <v>0.29443537951667298</v>
      </c>
      <c r="L49">
        <f>IFERROR(BIO!T22/BIO!T273,0)</f>
        <v>0.17458276465912004</v>
      </c>
      <c r="M49">
        <f>IFERROR(BIO!U22/BIO!U273,0)</f>
        <v>0.2795638900415352</v>
      </c>
      <c r="N49">
        <f>IFERROR(BIO!V22/BIO!V273,0)</f>
        <v>0</v>
      </c>
      <c r="O49">
        <f>IFERROR(BIO!W22/BIO!W273,0)</f>
        <v>0.24047170049122482</v>
      </c>
      <c r="P49">
        <f>IFERROR(BIO!X22/BIO!X273,0)</f>
        <v>0</v>
      </c>
      <c r="Q49">
        <f>IFERROR(BIO!Y22/BIO!Y273,0)</f>
        <v>0.32976616699167199</v>
      </c>
      <c r="R49">
        <f>IFERROR(BIO!Z22/BIO!Z273,0)</f>
        <v>0.28850859403584711</v>
      </c>
      <c r="S49">
        <f>IFERROR(BIO!AA22/BIO!AA273,0)</f>
        <v>0</v>
      </c>
      <c r="T49">
        <f>IFERROR(BIO!AB22/BIO!AB273,0)</f>
        <v>0.11634974322499034</v>
      </c>
      <c r="U49">
        <f>IFERROR(BIO!AC22/BIO!AC273,0)</f>
        <v>0</v>
      </c>
      <c r="V49">
        <f>IFERROR(BIO!AD22/BIO!AD273,0)</f>
        <v>0</v>
      </c>
      <c r="W49">
        <f>IFERROR(BIO!AE22/BIO!AE273,0)</f>
        <v>0.29041201620759988</v>
      </c>
      <c r="X49">
        <f>IFERROR(BIO!AF22/BIO!AF273,0)</f>
        <v>0.26999897881921003</v>
      </c>
      <c r="Y49">
        <f>IFERROR(BIO!AG22/BIO!AG273,0)</f>
        <v>0</v>
      </c>
      <c r="Z49">
        <f>IFERROR(BIO!AH22/BIO!AH273,0)</f>
        <v>0</v>
      </c>
      <c r="AA49">
        <f>IFERROR(BIO!AI22/BIO!AI273,0)</f>
        <v>0</v>
      </c>
      <c r="AB49">
        <f>IFERROR(BIO!AJ22/BIO!AJ273,0)</f>
        <v>0</v>
      </c>
      <c r="AC49">
        <f>IFERROR(BIO!AK22/BIO!AK273,0)</f>
        <v>0</v>
      </c>
      <c r="AD49">
        <f>IFERROR(BIO!AL22/BIO!AL273,0)</f>
        <v>0.31422194312999119</v>
      </c>
      <c r="AE49">
        <f>IFERROR(BIO!AM22/BIO!AM273,0)</f>
        <v>0</v>
      </c>
      <c r="AF49">
        <f>IFERROR(BIO!AN22/BIO!AN273,0)</f>
        <v>0.12595453028619549</v>
      </c>
      <c r="AG49">
        <f>IFERROR(BIO!AO22/BIO!AO273,0)</f>
        <v>3.4427672024311587E-2</v>
      </c>
      <c r="AH49">
        <f>IFERROR(BIO!AP22/BIO!AP273,0)</f>
        <v>1.8781761005303321E-2</v>
      </c>
      <c r="AI49">
        <f>IFERROR(BIO!AQ22/BIO!AQ273,0)</f>
        <v>0</v>
      </c>
      <c r="AJ49">
        <f>IFERROR(BIO!AR22/BIO!AR273,0)</f>
        <v>0.18058614763021091</v>
      </c>
      <c r="AK49">
        <f>IFERROR(BIO!AS22/BIO!AS273,0)</f>
        <v>0</v>
      </c>
      <c r="AL49">
        <f>IFERROR(BIO!AT22/BIO!AT273,0)</f>
        <v>0.16473820896580293</v>
      </c>
      <c r="AM49">
        <f>IFERROR(BIO!AU22/BIO!AU273,0)</f>
        <v>0.34857668248581042</v>
      </c>
    </row>
    <row r="50" spans="2:39">
      <c r="B50" t="s">
        <v>47</v>
      </c>
      <c r="C50">
        <v>2040</v>
      </c>
      <c r="D50">
        <f>IFERROR(BIO!L23/BIO!L274,0)</f>
        <v>0</v>
      </c>
      <c r="E50">
        <f>IFERROR(BIO!M23/BIO!M274,0)</f>
        <v>0.34045114590423609</v>
      </c>
      <c r="F50">
        <f>IFERROR(BIO!N23/BIO!N274,0)</f>
        <v>0.38273370922457239</v>
      </c>
      <c r="G50">
        <f>IFERROR(BIO!O23/BIO!O274,0)</f>
        <v>0.16616284480322485</v>
      </c>
      <c r="H50">
        <f>IFERROR(BIO!P23/BIO!P274,0)</f>
        <v>0</v>
      </c>
      <c r="I50">
        <f>IFERROR(BIO!Q23/BIO!Q274,0)</f>
        <v>0</v>
      </c>
      <c r="J50">
        <f>IFERROR(BIO!R23/BIO!R274,0)</f>
        <v>0</v>
      </c>
      <c r="K50">
        <f>IFERROR(BIO!S23/BIO!S274,0)</f>
        <v>0.30538171511346163</v>
      </c>
      <c r="L50">
        <f>IFERROR(BIO!T23/BIO!T274,0)</f>
        <v>0.16656271296829009</v>
      </c>
      <c r="M50">
        <f>IFERROR(BIO!U23/BIO!U274,0)</f>
        <v>0.34439957697024237</v>
      </c>
      <c r="N50">
        <f>IFERROR(BIO!V23/BIO!V274,0)</f>
        <v>0</v>
      </c>
      <c r="O50">
        <f>IFERROR(BIO!W23/BIO!W274,0)</f>
        <v>0.24471899094383279</v>
      </c>
      <c r="P50">
        <f>IFERROR(BIO!X23/BIO!X274,0)</f>
        <v>0</v>
      </c>
      <c r="Q50">
        <f>IFERROR(BIO!Y23/BIO!Y274,0)</f>
        <v>0.32196564651874759</v>
      </c>
      <c r="R50">
        <f>IFERROR(BIO!Z23/BIO!Z274,0)</f>
        <v>0.31772460823934845</v>
      </c>
      <c r="S50">
        <f>IFERROR(BIO!AA23/BIO!AA274,0)</f>
        <v>0</v>
      </c>
      <c r="T50">
        <f>IFERROR(BIO!AB23/BIO!AB274,0)</f>
        <v>0.12453162099080793</v>
      </c>
      <c r="U50">
        <f>IFERROR(BIO!AC23/BIO!AC274,0)</f>
        <v>0</v>
      </c>
      <c r="V50">
        <f>IFERROR(BIO!AD23/BIO!AD274,0)</f>
        <v>0</v>
      </c>
      <c r="W50">
        <f>IFERROR(BIO!AE23/BIO!AE274,0)</f>
        <v>0.30504365474748801</v>
      </c>
      <c r="X50">
        <f>IFERROR(BIO!AF23/BIO!AF274,0)</f>
        <v>0.3107853210939826</v>
      </c>
      <c r="Y50">
        <f>IFERROR(BIO!AG23/BIO!AG274,0)</f>
        <v>0</v>
      </c>
      <c r="Z50">
        <f>IFERROR(BIO!AH23/BIO!AH274,0)</f>
        <v>0</v>
      </c>
      <c r="AA50">
        <f>IFERROR(BIO!AI23/BIO!AI274,0)</f>
        <v>0</v>
      </c>
      <c r="AB50">
        <f>IFERROR(BIO!AJ23/BIO!AJ274,0)</f>
        <v>0</v>
      </c>
      <c r="AC50">
        <f>IFERROR(BIO!AK23/BIO!AK274,0)</f>
        <v>0</v>
      </c>
      <c r="AD50">
        <f>IFERROR(BIO!AL23/BIO!AL274,0)</f>
        <v>0.3051599789506319</v>
      </c>
      <c r="AE50">
        <f>IFERROR(BIO!AM23/BIO!AM274,0)</f>
        <v>0</v>
      </c>
      <c r="AF50">
        <f>IFERROR(BIO!AN23/BIO!AN274,0)</f>
        <v>0.1946862473299493</v>
      </c>
      <c r="AG50">
        <f>IFERROR(BIO!AO23/BIO!AO274,0)</f>
        <v>3.3514967155138478E-2</v>
      </c>
      <c r="AH50">
        <f>IFERROR(BIO!AP23/BIO!AP274,0)</f>
        <v>4.4842612729101339E-2</v>
      </c>
      <c r="AI50">
        <f>IFERROR(BIO!AQ23/BIO!AQ274,0)</f>
        <v>0</v>
      </c>
      <c r="AJ50">
        <f>IFERROR(BIO!AR23/BIO!AR274,0)</f>
        <v>0.19472842416900984</v>
      </c>
      <c r="AK50">
        <f>IFERROR(BIO!AS23/BIO!AS274,0)</f>
        <v>2.9379598915435437E-19</v>
      </c>
      <c r="AL50">
        <f>IFERROR(BIO!AT23/BIO!AT274,0)</f>
        <v>0.24469526098545386</v>
      </c>
      <c r="AM50">
        <f>IFERROR(BIO!AU23/BIO!AU274,0)</f>
        <v>0.33642970664787625</v>
      </c>
    </row>
    <row r="51" spans="2:39">
      <c r="B51" t="s">
        <v>47</v>
      </c>
      <c r="C51">
        <v>2050</v>
      </c>
      <c r="D51">
        <f>IFERROR(BIO!L24/BIO!L275,0)</f>
        <v>0</v>
      </c>
      <c r="E51">
        <f>IFERROR(BIO!M24/BIO!M275,0)</f>
        <v>0.35894209777096392</v>
      </c>
      <c r="F51">
        <f>IFERROR(BIO!N24/BIO!N275,0)</f>
        <v>0.44290650015095917</v>
      </c>
      <c r="G51">
        <f>IFERROR(BIO!O24/BIO!O275,0)</f>
        <v>0.17584212781927908</v>
      </c>
      <c r="H51">
        <f>IFERROR(BIO!P24/BIO!P275,0)</f>
        <v>0</v>
      </c>
      <c r="I51">
        <f>IFERROR(BIO!Q24/BIO!Q275,0)</f>
        <v>0</v>
      </c>
      <c r="J51">
        <f>IFERROR(BIO!R24/BIO!R275,0)</f>
        <v>0</v>
      </c>
      <c r="K51">
        <f>IFERROR(BIO!S24/BIO!S275,0)</f>
        <v>0.31381215077838936</v>
      </c>
      <c r="L51">
        <f>IFERROR(BIO!T24/BIO!T275,0)</f>
        <v>0.15904599016837023</v>
      </c>
      <c r="M51">
        <f>IFERROR(BIO!U24/BIO!U275,0)</f>
        <v>0.37909532664837259</v>
      </c>
      <c r="N51">
        <f>IFERROR(BIO!V24/BIO!V275,0)</f>
        <v>0</v>
      </c>
      <c r="O51">
        <f>IFERROR(BIO!W24/BIO!W275,0)</f>
        <v>0.24744681160730544</v>
      </c>
      <c r="P51">
        <f>IFERROR(BIO!X24/BIO!X275,0)</f>
        <v>0</v>
      </c>
      <c r="Q51">
        <f>IFERROR(BIO!Y24/BIO!Y275,0)</f>
        <v>0.31642194819214664</v>
      </c>
      <c r="R51">
        <f>IFERROR(BIO!Z24/BIO!Z275,0)</f>
        <v>0.34196501959044667</v>
      </c>
      <c r="S51">
        <f>IFERROR(BIO!AA24/BIO!AA275,0)</f>
        <v>0</v>
      </c>
      <c r="T51">
        <f>IFERROR(BIO!AB24/BIO!AB275,0)</f>
        <v>0.1345150712439307</v>
      </c>
      <c r="U51">
        <f>IFERROR(BIO!AC24/BIO!AC275,0)</f>
        <v>0</v>
      </c>
      <c r="V51">
        <f>IFERROR(BIO!AD24/BIO!AD275,0)</f>
        <v>0</v>
      </c>
      <c r="W51">
        <f>IFERROR(BIO!AE24/BIO!AE275,0)</f>
        <v>0.32159655093267142</v>
      </c>
      <c r="X51">
        <f>IFERROR(BIO!AF24/BIO!AF275,0)</f>
        <v>0.3584202021213192</v>
      </c>
      <c r="Y51">
        <f>IFERROR(BIO!AG24/BIO!AG275,0)</f>
        <v>0</v>
      </c>
      <c r="Z51">
        <f>IFERROR(BIO!AH24/BIO!AH275,0)</f>
        <v>0</v>
      </c>
      <c r="AA51">
        <f>IFERROR(BIO!AI24/BIO!AI275,0)</f>
        <v>0</v>
      </c>
      <c r="AB51">
        <f>IFERROR(BIO!AJ24/BIO!AJ275,0)</f>
        <v>0</v>
      </c>
      <c r="AC51">
        <f>IFERROR(BIO!AK24/BIO!AK275,0)</f>
        <v>0</v>
      </c>
      <c r="AD51">
        <f>IFERROR(BIO!AL24/BIO!AL275,0)</f>
        <v>0.29573792782327879</v>
      </c>
      <c r="AE51">
        <f>IFERROR(BIO!AM24/BIO!AM275,0)</f>
        <v>0</v>
      </c>
      <c r="AF51">
        <f>IFERROR(BIO!AN24/BIO!AN275,0)</f>
        <v>0.24641908663473425</v>
      </c>
      <c r="AG51">
        <f>IFERROR(BIO!AO24/BIO!AO275,0)</f>
        <v>3.3216941905422785E-2</v>
      </c>
      <c r="AH51">
        <f>IFERROR(BIO!AP24/BIO!AP275,0)</f>
        <v>4.6691970331803556E-2</v>
      </c>
      <c r="AI51">
        <f>IFERROR(BIO!AQ24/BIO!AQ275,0)</f>
        <v>0</v>
      </c>
      <c r="AJ51">
        <f>IFERROR(BIO!AR24/BIO!AR275,0)</f>
        <v>0.21109020840755088</v>
      </c>
      <c r="AK51">
        <f>IFERROR(BIO!AS24/BIO!AS275,0)</f>
        <v>0</v>
      </c>
      <c r="AL51">
        <f>IFERROR(BIO!AT24/BIO!AT275,0)</f>
        <v>0.36044919390412083</v>
      </c>
      <c r="AM51">
        <f>IFERROR(BIO!AU24/BIO!AU275,0)</f>
        <v>0.31822921663666032</v>
      </c>
    </row>
    <row r="52" spans="2:39">
      <c r="B52" t="s">
        <v>48</v>
      </c>
      <c r="C52">
        <v>2005</v>
      </c>
      <c r="D52">
        <f>IFERROR(BIO!L32/BIO!L270,0)</f>
        <v>0</v>
      </c>
      <c r="E52">
        <f>IFERROR(BIO!M32/BIO!M270,0)</f>
        <v>0.10429106765016971</v>
      </c>
      <c r="F52">
        <f>IFERROR(BIO!N32/BIO!N270,0)</f>
        <v>0.34626417418615135</v>
      </c>
      <c r="G52">
        <f>IFERROR(BIO!O32/BIO!O270,0)</f>
        <v>0.77076658514434127</v>
      </c>
      <c r="H52">
        <f>IFERROR(BIO!P32/BIO!P270,0)</f>
        <v>0</v>
      </c>
      <c r="I52">
        <f>IFERROR(BIO!Q32/BIO!Q270,0)</f>
        <v>0</v>
      </c>
      <c r="J52">
        <f>IFERROR(BIO!R32/BIO!R270,0)</f>
        <v>0</v>
      </c>
      <c r="K52">
        <f>IFERROR(BIO!S32/BIO!S270,0)</f>
        <v>0.15978283596196996</v>
      </c>
      <c r="L52">
        <f>IFERROR(BIO!T32/BIO!T270,0)</f>
        <v>7.9305748420594721E-2</v>
      </c>
      <c r="M52">
        <f>IFERROR(BIO!U32/BIO!U270,0)</f>
        <v>0.13348416966018198</v>
      </c>
      <c r="N52">
        <f>IFERROR(BIO!V32/BIO!V270,0)</f>
        <v>1</v>
      </c>
      <c r="O52">
        <f>IFERROR(BIO!W32/BIO!W270,0)</f>
        <v>0.65906666275717463</v>
      </c>
      <c r="P52">
        <f>IFERROR(BIO!X32/BIO!X270,0)</f>
        <v>0</v>
      </c>
      <c r="Q52">
        <f>IFERROR(BIO!Y32/BIO!Y270,0)</f>
        <v>6.7943331695293915E-2</v>
      </c>
      <c r="R52">
        <f>IFERROR(BIO!Z32/BIO!Z270,0)</f>
        <v>0.97651402696390377</v>
      </c>
      <c r="S52">
        <f>IFERROR(BIO!AA32/BIO!AA270,0)</f>
        <v>1</v>
      </c>
      <c r="T52">
        <f>IFERROR(BIO!AB32/BIO!AB270,0)</f>
        <v>0.65536040869774304</v>
      </c>
      <c r="U52">
        <f>IFERROR(BIO!AC32/BIO!AC270,0)</f>
        <v>1</v>
      </c>
      <c r="V52">
        <f>IFERROR(BIO!AD32/BIO!AD270,0)</f>
        <v>0</v>
      </c>
      <c r="W52">
        <f>IFERROR(BIO!AE32/BIO!AE270,0)</f>
        <v>0.58816775644308916</v>
      </c>
      <c r="X52">
        <f>IFERROR(BIO!AF32/BIO!AF270,0)</f>
        <v>0.31416775281036141</v>
      </c>
      <c r="Y52">
        <f>IFERROR(BIO!AG32/BIO!AG270,0)</f>
        <v>1</v>
      </c>
      <c r="Z52">
        <f>IFERROR(BIO!AH32/BIO!AH270,0)</f>
        <v>1</v>
      </c>
      <c r="AA52">
        <f>IFERROR(BIO!AI32/BIO!AI270,0)</f>
        <v>0</v>
      </c>
      <c r="AB52">
        <f>IFERROR(BIO!AJ32/BIO!AJ270,0)</f>
        <v>0</v>
      </c>
      <c r="AC52">
        <f>IFERROR(BIO!AK32/BIO!AK270,0)</f>
        <v>0</v>
      </c>
      <c r="AD52">
        <f>IFERROR(BIO!AL32/BIO!AL270,0)</f>
        <v>0.15662594006968983</v>
      </c>
      <c r="AE52">
        <f>IFERROR(BIO!AM32/BIO!AM270,0)</f>
        <v>0</v>
      </c>
      <c r="AF52">
        <f>IFERROR(BIO!AN32/BIO!AN270,0)</f>
        <v>0.6861952639344252</v>
      </c>
      <c r="AG52">
        <f>IFERROR(BIO!AO32/BIO!AO270,0)</f>
        <v>0</v>
      </c>
      <c r="AH52">
        <f>IFERROR(BIO!AP32/BIO!AP270,0)</f>
        <v>0.80406440167661775</v>
      </c>
      <c r="AI52">
        <f>IFERROR(BIO!AQ32/BIO!AQ270,0)</f>
        <v>0</v>
      </c>
      <c r="AJ52">
        <f>IFERROR(BIO!AR32/BIO!AR270,0)</f>
        <v>0.47400299770088861</v>
      </c>
      <c r="AK52">
        <f>IFERROR(BIO!AS32/BIO!AS270,0)</f>
        <v>0</v>
      </c>
      <c r="AL52">
        <f>IFERROR(BIO!AT32/BIO!AT270,0)</f>
        <v>0.63662833569143773</v>
      </c>
      <c r="AM52">
        <f>IFERROR(BIO!AU32/BIO!AU270,0)</f>
        <v>0.6973381118854145</v>
      </c>
    </row>
    <row r="53" spans="2:39">
      <c r="B53" t="s">
        <v>48</v>
      </c>
      <c r="C53">
        <v>2010</v>
      </c>
      <c r="D53">
        <f>IFERROR(BIO!L33/BIO!L271,0)</f>
        <v>0</v>
      </c>
      <c r="E53">
        <f>IFERROR(BIO!M33/BIO!M271,0)</f>
        <v>0.10429106765016971</v>
      </c>
      <c r="F53">
        <f>IFERROR(BIO!N33/BIO!N271,0)</f>
        <v>0.34626417418615135</v>
      </c>
      <c r="G53">
        <f>IFERROR(BIO!O33/BIO!O271,0)</f>
        <v>0.77076658514434127</v>
      </c>
      <c r="H53">
        <f>IFERROR(BIO!P33/BIO!P271,0)</f>
        <v>0</v>
      </c>
      <c r="I53">
        <f>IFERROR(BIO!Q33/BIO!Q271,0)</f>
        <v>0</v>
      </c>
      <c r="J53">
        <f>IFERROR(BIO!R33/BIO!R271,0)</f>
        <v>0</v>
      </c>
      <c r="K53">
        <f>IFERROR(BIO!S33/BIO!S271,0)</f>
        <v>0.15978283596196996</v>
      </c>
      <c r="L53">
        <f>IFERROR(BIO!T33/BIO!T271,0)</f>
        <v>7.9305748420594721E-2</v>
      </c>
      <c r="M53">
        <f>IFERROR(BIO!U33/BIO!U271,0)</f>
        <v>0.13348416966018198</v>
      </c>
      <c r="N53">
        <f>IFERROR(BIO!V33/BIO!V271,0)</f>
        <v>1</v>
      </c>
      <c r="O53">
        <f>IFERROR(BIO!W33/BIO!W271,0)</f>
        <v>0.65906666275717463</v>
      </c>
      <c r="P53">
        <f>IFERROR(BIO!X33/BIO!X271,0)</f>
        <v>0</v>
      </c>
      <c r="Q53">
        <f>IFERROR(BIO!Y33/BIO!Y271,0)</f>
        <v>6.7943331695293915E-2</v>
      </c>
      <c r="R53">
        <f>IFERROR(BIO!Z33/BIO!Z271,0)</f>
        <v>0.97651402696390377</v>
      </c>
      <c r="S53">
        <f>IFERROR(BIO!AA33/BIO!AA271,0)</f>
        <v>1</v>
      </c>
      <c r="T53">
        <f>IFERROR(BIO!AB33/BIO!AB271,0)</f>
        <v>0.65536040869774304</v>
      </c>
      <c r="U53">
        <f>IFERROR(BIO!AC33/BIO!AC271,0)</f>
        <v>1</v>
      </c>
      <c r="V53">
        <f>IFERROR(BIO!AD33/BIO!AD271,0)</f>
        <v>0</v>
      </c>
      <c r="W53">
        <f>IFERROR(BIO!AE33/BIO!AE271,0)</f>
        <v>0.58816775644308916</v>
      </c>
      <c r="X53">
        <f>IFERROR(BIO!AF33/BIO!AF271,0)</f>
        <v>0.31416775281036141</v>
      </c>
      <c r="Y53">
        <f>IFERROR(BIO!AG33/BIO!AG271,0)</f>
        <v>1</v>
      </c>
      <c r="Z53">
        <f>IFERROR(BIO!AH33/BIO!AH271,0)</f>
        <v>1</v>
      </c>
      <c r="AA53">
        <f>IFERROR(BIO!AI33/BIO!AI271,0)</f>
        <v>0</v>
      </c>
      <c r="AB53">
        <f>IFERROR(BIO!AJ33/BIO!AJ271,0)</f>
        <v>0</v>
      </c>
      <c r="AC53">
        <f>IFERROR(BIO!AK33/BIO!AK271,0)</f>
        <v>0</v>
      </c>
      <c r="AD53">
        <f>IFERROR(BIO!AL33/BIO!AL271,0)</f>
        <v>0.15662594006968983</v>
      </c>
      <c r="AE53">
        <f>IFERROR(BIO!AM33/BIO!AM271,0)</f>
        <v>0</v>
      </c>
      <c r="AF53">
        <f>IFERROR(BIO!AN33/BIO!AN271,0)</f>
        <v>0.6861952639344252</v>
      </c>
      <c r="AG53">
        <f>IFERROR(BIO!AO33/BIO!AO271,0)</f>
        <v>0</v>
      </c>
      <c r="AH53">
        <f>IFERROR(BIO!AP33/BIO!AP271,0)</f>
        <v>0.80406440167661775</v>
      </c>
      <c r="AI53">
        <f>IFERROR(BIO!AQ33/BIO!AQ271,0)</f>
        <v>0</v>
      </c>
      <c r="AJ53">
        <f>IFERROR(BIO!AR33/BIO!AR271,0)</f>
        <v>0.47400299770088861</v>
      </c>
      <c r="AK53">
        <f>IFERROR(BIO!AS33/BIO!AS271,0)</f>
        <v>0</v>
      </c>
      <c r="AL53">
        <f>IFERROR(BIO!AT33/BIO!AT271,0)</f>
        <v>0.63662833569143773</v>
      </c>
      <c r="AM53">
        <f>IFERROR(BIO!AU33/BIO!AU271,0)</f>
        <v>0.6973381118854145</v>
      </c>
    </row>
    <row r="54" spans="2:39">
      <c r="B54" t="s">
        <v>48</v>
      </c>
      <c r="C54">
        <v>2020</v>
      </c>
      <c r="D54">
        <f>IFERROR(BIO!L34/BIO!L272,0)</f>
        <v>0</v>
      </c>
      <c r="E54">
        <f>IFERROR(BIO!M34/BIO!M272,0)</f>
        <v>2.3145887117058013E-2</v>
      </c>
      <c r="F54">
        <f>IFERROR(BIO!N34/BIO!N272,0)</f>
        <v>8.2608857250938111E-2</v>
      </c>
      <c r="G54">
        <f>IFERROR(BIO!O34/BIO!O272,0)</f>
        <v>9.5468127786690365E-2</v>
      </c>
      <c r="H54">
        <f>IFERROR(BIO!P34/BIO!P272,0)</f>
        <v>0</v>
      </c>
      <c r="I54">
        <f>IFERROR(BIO!Q34/BIO!Q272,0)</f>
        <v>0</v>
      </c>
      <c r="J54">
        <f>IFERROR(BIO!R34/BIO!R272,0)</f>
        <v>0</v>
      </c>
      <c r="K54">
        <f>IFERROR(BIO!S34/BIO!S272,0)</f>
        <v>5.5457485909969573E-2</v>
      </c>
      <c r="L54">
        <f>IFERROR(BIO!T34/BIO!T272,0)</f>
        <v>1.3182080359523346E-2</v>
      </c>
      <c r="M54">
        <f>IFERROR(BIO!U34/BIO!U272,0)</f>
        <v>0.54261865854661839</v>
      </c>
      <c r="N54">
        <f>IFERROR(BIO!V34/BIO!V272,0)</f>
        <v>3.9438190523566792E-2</v>
      </c>
      <c r="O54">
        <f>IFERROR(BIO!W34/BIO!W272,0)</f>
        <v>5.2072155810445032E-2</v>
      </c>
      <c r="P54">
        <f>IFERROR(BIO!X34/BIO!X272,0)</f>
        <v>0</v>
      </c>
      <c r="Q54">
        <f>IFERROR(BIO!Y34/BIO!Y272,0)</f>
        <v>3.805222121576373E-2</v>
      </c>
      <c r="R54">
        <f>IFERROR(BIO!Z34/BIO!Z272,0)</f>
        <v>0.10388315497790321</v>
      </c>
      <c r="S54">
        <f>IFERROR(BIO!AA34/BIO!AA272,0)</f>
        <v>1</v>
      </c>
      <c r="T54">
        <f>IFERROR(BIO!AB34/BIO!AB272,0)</f>
        <v>0.11287528214355476</v>
      </c>
      <c r="U54">
        <f>IFERROR(BIO!AC34/BIO!AC272,0)</f>
        <v>1.2136790356283027E-2</v>
      </c>
      <c r="V54">
        <f>IFERROR(BIO!AD34/BIO!AD272,0)</f>
        <v>0</v>
      </c>
      <c r="W54">
        <f>IFERROR(BIO!AE34/BIO!AE272,0)</f>
        <v>6.9612077748966369E-2</v>
      </c>
      <c r="X54">
        <f>IFERROR(BIO!AF34/BIO!AF272,0)</f>
        <v>2.4570026224746373E-2</v>
      </c>
      <c r="Y54">
        <f>IFERROR(BIO!AG34/BIO!AG272,0)</f>
        <v>1</v>
      </c>
      <c r="Z54">
        <f>IFERROR(BIO!AH34/BIO!AH272,0)</f>
        <v>7.7760595392900825E-2</v>
      </c>
      <c r="AA54">
        <f>IFERROR(BIO!AI34/BIO!AI272,0)</f>
        <v>0</v>
      </c>
      <c r="AB54">
        <f>IFERROR(BIO!AJ34/BIO!AJ272,0)</f>
        <v>0</v>
      </c>
      <c r="AC54">
        <f>IFERROR(BIO!AK34/BIO!AK272,0)</f>
        <v>0</v>
      </c>
      <c r="AD54">
        <f>IFERROR(BIO!AL34/BIO!AL272,0)</f>
        <v>1.6420521466025781E-2</v>
      </c>
      <c r="AE54">
        <f>IFERROR(BIO!AM34/BIO!AM272,0)</f>
        <v>0</v>
      </c>
      <c r="AF54">
        <f>IFERROR(BIO!AN34/BIO!AN272,0)</f>
        <v>3.8466450649389868E-2</v>
      </c>
      <c r="AG54">
        <f>IFERROR(BIO!AO34/BIO!AO272,0)</f>
        <v>7.2883189649365528E-3</v>
      </c>
      <c r="AH54">
        <f>IFERROR(BIO!AP34/BIO!AP272,0)</f>
        <v>4.7899382850654697E-2</v>
      </c>
      <c r="AI54">
        <f>IFERROR(BIO!AQ34/BIO!AQ272,0)</f>
        <v>0</v>
      </c>
      <c r="AJ54">
        <f>IFERROR(BIO!AR34/BIO!AR272,0)</f>
        <v>3.3950943175089225E-2</v>
      </c>
      <c r="AK54">
        <f>IFERROR(BIO!AS34/BIO!AS272,0)</f>
        <v>4.0183775831881839E-2</v>
      </c>
      <c r="AL54">
        <f>IFERROR(BIO!AT34/BIO!AT272,0)</f>
        <v>0.16550343205008186</v>
      </c>
      <c r="AM54">
        <f>IFERROR(BIO!AU34/BIO!AU272,0)</f>
        <v>0.16431284048955622</v>
      </c>
    </row>
    <row r="55" spans="2:39">
      <c r="B55" t="s">
        <v>48</v>
      </c>
      <c r="C55">
        <v>2030</v>
      </c>
      <c r="D55">
        <f>IFERROR(BIO!L35/BIO!L273,0)</f>
        <v>0</v>
      </c>
      <c r="E55">
        <f>IFERROR(BIO!M35/BIO!M273,0)</f>
        <v>3.4800316952720789E-2</v>
      </c>
      <c r="F55">
        <f>IFERROR(BIO!N35/BIO!N273,0)</f>
        <v>5.411260760739485E-2</v>
      </c>
      <c r="G55">
        <f>IFERROR(BIO!O35/BIO!O273,0)</f>
        <v>0.15125878508374016</v>
      </c>
      <c r="H55">
        <f>IFERROR(BIO!P35/BIO!P273,0)</f>
        <v>0</v>
      </c>
      <c r="I55">
        <f>IFERROR(BIO!Q35/BIO!Q273,0)</f>
        <v>0</v>
      </c>
      <c r="J55">
        <f>IFERROR(BIO!R35/BIO!R273,0)</f>
        <v>0</v>
      </c>
      <c r="K55">
        <f>IFERROR(BIO!S35/BIO!S273,0)</f>
        <v>7.3256157671645269E-2</v>
      </c>
      <c r="L55">
        <f>IFERROR(BIO!T35/BIO!T273,0)</f>
        <v>1.4068114530941716E-2</v>
      </c>
      <c r="M55">
        <f>IFERROR(BIO!U35/BIO!U273,0)</f>
        <v>0.43983279456029495</v>
      </c>
      <c r="N55">
        <f>IFERROR(BIO!V35/BIO!V273,0)</f>
        <v>0.34667318149017712</v>
      </c>
      <c r="O55">
        <f>IFERROR(BIO!W35/BIO!W273,0)</f>
        <v>5.1258905617810317E-2</v>
      </c>
      <c r="P55">
        <f>IFERROR(BIO!X35/BIO!X273,0)</f>
        <v>0</v>
      </c>
      <c r="Q55">
        <f>IFERROR(BIO!Y35/BIO!Y273,0)</f>
        <v>4.413670885596508E-2</v>
      </c>
      <c r="R55">
        <f>IFERROR(BIO!Z35/BIO!Z273,0)</f>
        <v>0.14744296100291343</v>
      </c>
      <c r="S55">
        <f>IFERROR(BIO!AA35/BIO!AA273,0)</f>
        <v>1</v>
      </c>
      <c r="T55">
        <f>IFERROR(BIO!AB35/BIO!AB273,0)</f>
        <v>0.13961667562414393</v>
      </c>
      <c r="U55">
        <f>IFERROR(BIO!AC35/BIO!AC273,0)</f>
        <v>1.4465867849915869E-2</v>
      </c>
      <c r="V55">
        <f>IFERROR(BIO!AD35/BIO!AD273,0)</f>
        <v>0</v>
      </c>
      <c r="W55">
        <f>IFERROR(BIO!AE35/BIO!AE273,0)</f>
        <v>4.5861927580302102E-2</v>
      </c>
      <c r="X55">
        <f>IFERROR(BIO!AF35/BIO!AF273,0)</f>
        <v>5.6778295179267309E-2</v>
      </c>
      <c r="Y55">
        <f>IFERROR(BIO!AG35/BIO!AG273,0)</f>
        <v>1</v>
      </c>
      <c r="Z55">
        <f>IFERROR(BIO!AH35/BIO!AH273,0)</f>
        <v>0.22290918688919506</v>
      </c>
      <c r="AA55">
        <f>IFERROR(BIO!AI35/BIO!AI273,0)</f>
        <v>0</v>
      </c>
      <c r="AB55">
        <f>IFERROR(BIO!AJ35/BIO!AJ273,0)</f>
        <v>0</v>
      </c>
      <c r="AC55">
        <f>IFERROR(BIO!AK35/BIO!AK273,0)</f>
        <v>0</v>
      </c>
      <c r="AD55">
        <f>IFERROR(BIO!AL35/BIO!AL273,0)</f>
        <v>1.1818281744792493E-2</v>
      </c>
      <c r="AE55">
        <f>IFERROR(BIO!AM35/BIO!AM273,0)</f>
        <v>0</v>
      </c>
      <c r="AF55">
        <f>IFERROR(BIO!AN35/BIO!AN273,0)</f>
        <v>4.1369254831747589E-2</v>
      </c>
      <c r="AG55">
        <f>IFERROR(BIO!AO35/BIO!AO273,0)</f>
        <v>6.1491285935434039E-3</v>
      </c>
      <c r="AH55">
        <f>IFERROR(BIO!AP35/BIO!AP273,0)</f>
        <v>6.4116131004626695E-2</v>
      </c>
      <c r="AI55">
        <f>IFERROR(BIO!AQ35/BIO!AQ273,0)</f>
        <v>0</v>
      </c>
      <c r="AJ55">
        <f>IFERROR(BIO!AR35/BIO!AR273,0)</f>
        <v>2.257053086096374E-2</v>
      </c>
      <c r="AK55">
        <f>IFERROR(BIO!AS35/BIO!AS273,0)</f>
        <v>6.2950427270736825E-2</v>
      </c>
      <c r="AL55">
        <f>IFERROR(BIO!AT35/BIO!AT273,0)</f>
        <v>0.17223163877993616</v>
      </c>
      <c r="AM55">
        <f>IFERROR(BIO!AU35/BIO!AU273,0)</f>
        <v>0.10410254039737324</v>
      </c>
    </row>
    <row r="56" spans="2:39">
      <c r="B56" t="s">
        <v>48</v>
      </c>
      <c r="C56">
        <v>2040</v>
      </c>
      <c r="D56">
        <f>IFERROR(BIO!L36/BIO!L274,0)</f>
        <v>0</v>
      </c>
      <c r="E56">
        <f>IFERROR(BIO!M36/BIO!M274,0)</f>
        <v>3.8056998608005155E-2</v>
      </c>
      <c r="F56">
        <f>IFERROR(BIO!N36/BIO!N274,0)</f>
        <v>6.0222738878534784E-2</v>
      </c>
      <c r="G56">
        <f>IFERROR(BIO!O36/BIO!O274,0)</f>
        <v>0.11816944022128711</v>
      </c>
      <c r="H56">
        <f>IFERROR(BIO!P36/BIO!P274,0)</f>
        <v>0</v>
      </c>
      <c r="I56">
        <f>IFERROR(BIO!Q36/BIO!Q274,0)</f>
        <v>0</v>
      </c>
      <c r="J56">
        <f>IFERROR(BIO!R36/BIO!R274,0)</f>
        <v>0</v>
      </c>
      <c r="K56">
        <f>IFERROR(BIO!S36/BIO!S274,0)</f>
        <v>4.7320604759762692E-2</v>
      </c>
      <c r="L56">
        <f>IFERROR(BIO!T36/BIO!T274,0)</f>
        <v>2.1869738941699881E-2</v>
      </c>
      <c r="M56">
        <f>IFERROR(BIO!U36/BIO!U274,0)</f>
        <v>0.31077221996408771</v>
      </c>
      <c r="N56">
        <f>IFERROR(BIO!V36/BIO!V274,0)</f>
        <v>0.61438862143202777</v>
      </c>
      <c r="O56">
        <f>IFERROR(BIO!W36/BIO!W274,0)</f>
        <v>5.0052546297959938E-2</v>
      </c>
      <c r="P56">
        <f>IFERROR(BIO!X36/BIO!X274,0)</f>
        <v>0</v>
      </c>
      <c r="Q56">
        <f>IFERROR(BIO!Y36/BIO!Y274,0)</f>
        <v>4.0234059260002002E-2</v>
      </c>
      <c r="R56">
        <f>IFERROR(BIO!Z36/BIO!Z274,0)</f>
        <v>0.12054977363016489</v>
      </c>
      <c r="S56">
        <f>IFERROR(BIO!AA36/BIO!AA274,0)</f>
        <v>1</v>
      </c>
      <c r="T56">
        <f>IFERROR(BIO!AB36/BIO!AB274,0)</f>
        <v>0.13367456803957029</v>
      </c>
      <c r="U56">
        <f>IFERROR(BIO!AC36/BIO!AC274,0)</f>
        <v>1.8466993588015866E-2</v>
      </c>
      <c r="V56">
        <f>IFERROR(BIO!AD36/BIO!AD274,0)</f>
        <v>0</v>
      </c>
      <c r="W56">
        <f>IFERROR(BIO!AE36/BIO!AE274,0)</f>
        <v>4.1769817406707946E-2</v>
      </c>
      <c r="X56">
        <f>IFERROR(BIO!AF36/BIO!AF274,0)</f>
        <v>8.0567152853249419E-2</v>
      </c>
      <c r="Y56">
        <f>IFERROR(BIO!AG36/BIO!AG274,0)</f>
        <v>1</v>
      </c>
      <c r="Z56">
        <f>IFERROR(BIO!AH36/BIO!AH274,0)</f>
        <v>0.41545441734790184</v>
      </c>
      <c r="AA56">
        <f>IFERROR(BIO!AI36/BIO!AI274,0)</f>
        <v>0</v>
      </c>
      <c r="AB56">
        <f>IFERROR(BIO!AJ36/BIO!AJ274,0)</f>
        <v>0</v>
      </c>
      <c r="AC56">
        <f>IFERROR(BIO!AK36/BIO!AK274,0)</f>
        <v>0</v>
      </c>
      <c r="AD56">
        <f>IFERROR(BIO!AL36/BIO!AL274,0)</f>
        <v>1.5312887262494995E-2</v>
      </c>
      <c r="AE56">
        <f>IFERROR(BIO!AM36/BIO!AM274,0)</f>
        <v>0</v>
      </c>
      <c r="AF56">
        <f>IFERROR(BIO!AN36/BIO!AN274,0)</f>
        <v>3.7948634031330829E-2</v>
      </c>
      <c r="AG56">
        <f>IFERROR(BIO!AO36/BIO!AO274,0)</f>
        <v>4.3881695478753526E-3</v>
      </c>
      <c r="AH56">
        <f>IFERROR(BIO!AP36/BIO!AP274,0)</f>
        <v>6.8829971945447654E-2</v>
      </c>
      <c r="AI56">
        <f>IFERROR(BIO!AQ36/BIO!AQ274,0)</f>
        <v>0</v>
      </c>
      <c r="AJ56">
        <f>IFERROR(BIO!AR36/BIO!AR274,0)</f>
        <v>1.8975178413940797E-2</v>
      </c>
      <c r="AK56">
        <f>IFERROR(BIO!AS36/BIO!AS274,0)</f>
        <v>6.4324735826916501E-2</v>
      </c>
      <c r="AL56">
        <f>IFERROR(BIO!AT36/BIO!AT274,0)</f>
        <v>0.14785901830105669</v>
      </c>
      <c r="AM56">
        <f>IFERROR(BIO!AU36/BIO!AU274,0)</f>
        <v>0.10410528489564927</v>
      </c>
    </row>
    <row r="57" spans="2:39">
      <c r="B57" t="s">
        <v>48</v>
      </c>
      <c r="C57">
        <v>2050</v>
      </c>
      <c r="D57">
        <f>IFERROR(BIO!L37/BIO!L275,0)</f>
        <v>0</v>
      </c>
      <c r="E57">
        <f>IFERROR(BIO!M37/BIO!M275,0)</f>
        <v>4.4144735634731008E-2</v>
      </c>
      <c r="F57">
        <f>IFERROR(BIO!N37/BIO!N275,0)</f>
        <v>6.812027032603038E-2</v>
      </c>
      <c r="G57">
        <f>IFERROR(BIO!O37/BIO!O275,0)</f>
        <v>9.9913037538423996E-2</v>
      </c>
      <c r="H57">
        <f>IFERROR(BIO!P37/BIO!P275,0)</f>
        <v>0</v>
      </c>
      <c r="I57">
        <f>IFERROR(BIO!Q37/BIO!Q275,0)</f>
        <v>0</v>
      </c>
      <c r="J57">
        <f>IFERROR(BIO!R37/BIO!R275,0)</f>
        <v>0</v>
      </c>
      <c r="K57">
        <f>IFERROR(BIO!S37/BIO!S275,0)</f>
        <v>2.685354475275863E-2</v>
      </c>
      <c r="L57">
        <f>IFERROR(BIO!T37/BIO!T275,0)</f>
        <v>3.0328986502367164E-2</v>
      </c>
      <c r="M57">
        <f>IFERROR(BIO!U37/BIO!U275,0)</f>
        <v>0.2418093467032548</v>
      </c>
      <c r="N57">
        <f>IFERROR(BIO!V37/BIO!V275,0)</f>
        <v>0.81919835463278268</v>
      </c>
      <c r="O57">
        <f>IFERROR(BIO!W37/BIO!W275,0)</f>
        <v>4.7577112119321238E-2</v>
      </c>
      <c r="P57">
        <f>IFERROR(BIO!X37/BIO!X275,0)</f>
        <v>0</v>
      </c>
      <c r="Q57">
        <f>IFERROR(BIO!Y37/BIO!Y275,0)</f>
        <v>3.513750621014318E-2</v>
      </c>
      <c r="R57">
        <f>IFERROR(BIO!Z37/BIO!Z275,0)</f>
        <v>9.419931248485397E-2</v>
      </c>
      <c r="S57">
        <f>IFERROR(BIO!AA37/BIO!AA275,0)</f>
        <v>1</v>
      </c>
      <c r="T57">
        <f>IFERROR(BIO!AB37/BIO!AB275,0)</f>
        <v>0.12442727842736055</v>
      </c>
      <c r="U57">
        <f>IFERROR(BIO!AC37/BIO!AC275,0)</f>
        <v>2.8808257734610161E-2</v>
      </c>
      <c r="V57">
        <f>IFERROR(BIO!AD37/BIO!AD275,0)</f>
        <v>0</v>
      </c>
      <c r="W57">
        <f>IFERROR(BIO!AE37/BIO!AE275,0)</f>
        <v>3.9294687975700522E-2</v>
      </c>
      <c r="X57">
        <f>IFERROR(BIO!AF37/BIO!AF275,0)</f>
        <v>0.10693174894987573</v>
      </c>
      <c r="Y57">
        <f>IFERROR(BIO!AG37/BIO!AG275,0)</f>
        <v>1</v>
      </c>
      <c r="Z57">
        <f>IFERROR(BIO!AH37/BIO!AH275,0)</f>
        <v>0.66790603292100448</v>
      </c>
      <c r="AA57">
        <f>IFERROR(BIO!AI37/BIO!AI275,0)</f>
        <v>0</v>
      </c>
      <c r="AB57">
        <f>IFERROR(BIO!AJ37/BIO!AJ275,0)</f>
        <v>0</v>
      </c>
      <c r="AC57">
        <f>IFERROR(BIO!AK37/BIO!AK275,0)</f>
        <v>0</v>
      </c>
      <c r="AD57">
        <f>IFERROR(BIO!AL37/BIO!AL275,0)</f>
        <v>2.0441535616983E-2</v>
      </c>
      <c r="AE57">
        <f>IFERROR(BIO!AM37/BIO!AM275,0)</f>
        <v>0</v>
      </c>
      <c r="AF57">
        <f>IFERROR(BIO!AN37/BIO!AN275,0)</f>
        <v>3.4154022976513897E-2</v>
      </c>
      <c r="AG57">
        <f>IFERROR(BIO!AO37/BIO!AO275,0)</f>
        <v>2.5272109308091496E-3</v>
      </c>
      <c r="AH57">
        <f>IFERROR(BIO!AP37/BIO!AP275,0)</f>
        <v>7.5561644228712879E-2</v>
      </c>
      <c r="AI57">
        <f>IFERROR(BIO!AQ37/BIO!AQ275,0)</f>
        <v>0</v>
      </c>
      <c r="AJ57">
        <f>IFERROR(BIO!AR37/BIO!AR275,0)</f>
        <v>1.7734166751106287E-2</v>
      </c>
      <c r="AK57">
        <f>IFERROR(BIO!AS37/BIO!AS275,0)</f>
        <v>6.5174622803841342E-2</v>
      </c>
      <c r="AL57">
        <f>IFERROR(BIO!AT37/BIO!AT275,0)</f>
        <v>0.10995329862188692</v>
      </c>
      <c r="AM57">
        <f>IFERROR(BIO!AU37/BIO!AU275,0)</f>
        <v>0.10420999885598588</v>
      </c>
    </row>
    <row r="58" spans="2:39">
      <c r="B58" t="s">
        <v>76</v>
      </c>
      <c r="C58">
        <v>2005</v>
      </c>
      <c r="D58">
        <f>IFERROR(BIO!L45/BIO!L270,0)</f>
        <v>0</v>
      </c>
      <c r="E58">
        <f>IFERROR(BIO!M45/BIO!M270,0)</f>
        <v>0</v>
      </c>
      <c r="F58">
        <f>IFERROR(BIO!N45/BIO!N270,0)</f>
        <v>0</v>
      </c>
      <c r="G58">
        <f>IFERROR(BIO!O45/BIO!O270,0)</f>
        <v>0</v>
      </c>
      <c r="H58">
        <f>IFERROR(BIO!P45/BIO!P270,0)</f>
        <v>0</v>
      </c>
      <c r="I58">
        <f>IFERROR(BIO!Q45/BIO!Q270,0)</f>
        <v>0</v>
      </c>
      <c r="J58">
        <f>IFERROR(BIO!R45/BIO!R270,0)</f>
        <v>0</v>
      </c>
      <c r="K58">
        <f>IFERROR(BIO!S45/BIO!S270,0)</f>
        <v>0</v>
      </c>
      <c r="L58">
        <f>IFERROR(BIO!T45/BIO!T270,0)</f>
        <v>0</v>
      </c>
      <c r="M58">
        <f>IFERROR(BIO!U45/BIO!U270,0)</f>
        <v>0</v>
      </c>
      <c r="N58">
        <f>IFERROR(BIO!V45/BIO!V270,0)</f>
        <v>0</v>
      </c>
      <c r="O58">
        <f>IFERROR(BIO!W45/BIO!W270,0)</f>
        <v>0</v>
      </c>
      <c r="P58">
        <f>IFERROR(BIO!X45/BIO!X270,0)</f>
        <v>0</v>
      </c>
      <c r="Q58">
        <f>IFERROR(BIO!Y45/BIO!Y270,0)</f>
        <v>0</v>
      </c>
      <c r="R58">
        <f>IFERROR(BIO!Z45/BIO!Z270,0)</f>
        <v>0</v>
      </c>
      <c r="S58">
        <f>IFERROR(BIO!AA45/BIO!AA270,0)</f>
        <v>0</v>
      </c>
      <c r="T58">
        <f>IFERROR(BIO!AB45/BIO!AB270,0)</f>
        <v>0</v>
      </c>
      <c r="U58">
        <f>IFERROR(BIO!AC45/BIO!AC270,0)</f>
        <v>0</v>
      </c>
      <c r="V58">
        <f>IFERROR(BIO!AD45/BIO!AD270,0)</f>
        <v>0</v>
      </c>
      <c r="W58">
        <f>IFERROR(BIO!AE45/BIO!AE270,0)</f>
        <v>0</v>
      </c>
      <c r="X58">
        <f>IFERROR(BIO!AF45/BIO!AF270,0)</f>
        <v>0</v>
      </c>
      <c r="Y58">
        <f>IFERROR(BIO!AG45/BIO!AG270,0)</f>
        <v>0</v>
      </c>
      <c r="Z58">
        <f>IFERROR(BIO!AH45/BIO!AH270,0)</f>
        <v>0</v>
      </c>
      <c r="AA58">
        <f>IFERROR(BIO!AI45/BIO!AI270,0)</f>
        <v>0</v>
      </c>
      <c r="AB58">
        <f>IFERROR(BIO!AJ45/BIO!AJ270,0)</f>
        <v>0</v>
      </c>
      <c r="AC58">
        <f>IFERROR(BIO!AK45/BIO!AK270,0)</f>
        <v>0</v>
      </c>
      <c r="AD58">
        <f>IFERROR(BIO!AL45/BIO!AL270,0)</f>
        <v>0</v>
      </c>
      <c r="AE58">
        <f>IFERROR(BIO!AM45/BIO!AM270,0)</f>
        <v>0</v>
      </c>
      <c r="AF58">
        <f>IFERROR(BIO!AN45/BIO!AN270,0)</f>
        <v>0</v>
      </c>
      <c r="AG58">
        <f>IFERROR(BIO!AO45/BIO!AO270,0)</f>
        <v>0</v>
      </c>
      <c r="AH58">
        <f>IFERROR(BIO!AP45/BIO!AP270,0)</f>
        <v>0</v>
      </c>
      <c r="AI58">
        <f>IFERROR(BIO!AQ45/BIO!AQ270,0)</f>
        <v>0</v>
      </c>
      <c r="AJ58">
        <f>IFERROR(BIO!AR45/BIO!AR270,0)</f>
        <v>0</v>
      </c>
      <c r="AK58">
        <f>IFERROR(BIO!AS45/BIO!AS270,0)</f>
        <v>0</v>
      </c>
      <c r="AL58">
        <f>IFERROR(BIO!AT45/BIO!AT270,0)</f>
        <v>0</v>
      </c>
      <c r="AM58">
        <f>IFERROR(BIO!AU45/BIO!AU270,0)</f>
        <v>0</v>
      </c>
    </row>
    <row r="59" spans="2:39">
      <c r="B59" t="s">
        <v>76</v>
      </c>
      <c r="C59">
        <v>2010</v>
      </c>
      <c r="D59">
        <f>IFERROR(BIO!L46/BIO!L271,0)</f>
        <v>0</v>
      </c>
      <c r="E59">
        <f>IFERROR(BIO!M46/BIO!M271,0)</f>
        <v>0</v>
      </c>
      <c r="F59">
        <f>IFERROR(BIO!N46/BIO!N271,0)</f>
        <v>0</v>
      </c>
      <c r="G59">
        <f>IFERROR(BIO!O46/BIO!O271,0)</f>
        <v>0</v>
      </c>
      <c r="H59">
        <f>IFERROR(BIO!P46/BIO!P271,0)</f>
        <v>0</v>
      </c>
      <c r="I59">
        <f>IFERROR(BIO!Q46/BIO!Q271,0)</f>
        <v>0</v>
      </c>
      <c r="J59">
        <f>IFERROR(BIO!R46/BIO!R271,0)</f>
        <v>0</v>
      </c>
      <c r="K59">
        <f>IFERROR(BIO!S46/BIO!S271,0)</f>
        <v>0</v>
      </c>
      <c r="L59">
        <f>IFERROR(BIO!T46/BIO!T271,0)</f>
        <v>0</v>
      </c>
      <c r="M59">
        <f>IFERROR(BIO!U46/BIO!U271,0)</f>
        <v>0</v>
      </c>
      <c r="N59">
        <f>IFERROR(BIO!V46/BIO!V271,0)</f>
        <v>0</v>
      </c>
      <c r="O59">
        <f>IFERROR(BIO!W46/BIO!W271,0)</f>
        <v>0</v>
      </c>
      <c r="P59">
        <f>IFERROR(BIO!X46/BIO!X271,0)</f>
        <v>0</v>
      </c>
      <c r="Q59">
        <f>IFERROR(BIO!Y46/BIO!Y271,0)</f>
        <v>0</v>
      </c>
      <c r="R59">
        <f>IFERROR(BIO!Z46/BIO!Z271,0)</f>
        <v>0</v>
      </c>
      <c r="S59">
        <f>IFERROR(BIO!AA46/BIO!AA271,0)</f>
        <v>0</v>
      </c>
      <c r="T59">
        <f>IFERROR(BIO!AB46/BIO!AB271,0)</f>
        <v>0</v>
      </c>
      <c r="U59">
        <f>IFERROR(BIO!AC46/BIO!AC271,0)</f>
        <v>0</v>
      </c>
      <c r="V59">
        <f>IFERROR(BIO!AD46/BIO!AD271,0)</f>
        <v>0</v>
      </c>
      <c r="W59">
        <f>IFERROR(BIO!AE46/BIO!AE271,0)</f>
        <v>0</v>
      </c>
      <c r="X59">
        <f>IFERROR(BIO!AF46/BIO!AF271,0)</f>
        <v>0</v>
      </c>
      <c r="Y59">
        <f>IFERROR(BIO!AG46/BIO!AG271,0)</f>
        <v>0</v>
      </c>
      <c r="Z59">
        <f>IFERROR(BIO!AH46/BIO!AH271,0)</f>
        <v>0</v>
      </c>
      <c r="AA59">
        <f>IFERROR(BIO!AI46/BIO!AI271,0)</f>
        <v>0</v>
      </c>
      <c r="AB59">
        <f>IFERROR(BIO!AJ46/BIO!AJ271,0)</f>
        <v>0</v>
      </c>
      <c r="AC59">
        <f>IFERROR(BIO!AK46/BIO!AK271,0)</f>
        <v>0</v>
      </c>
      <c r="AD59">
        <f>IFERROR(BIO!AL46/BIO!AL271,0)</f>
        <v>0</v>
      </c>
      <c r="AE59">
        <f>IFERROR(BIO!AM46/BIO!AM271,0)</f>
        <v>0</v>
      </c>
      <c r="AF59">
        <f>IFERROR(BIO!AN46/BIO!AN271,0)</f>
        <v>0</v>
      </c>
      <c r="AG59">
        <f>IFERROR(BIO!AO46/BIO!AO271,0)</f>
        <v>0</v>
      </c>
      <c r="AH59">
        <f>IFERROR(BIO!AP46/BIO!AP271,0)</f>
        <v>0</v>
      </c>
      <c r="AI59">
        <f>IFERROR(BIO!AQ46/BIO!AQ271,0)</f>
        <v>0</v>
      </c>
      <c r="AJ59">
        <f>IFERROR(BIO!AR46/BIO!AR271,0)</f>
        <v>0</v>
      </c>
      <c r="AK59">
        <f>IFERROR(BIO!AS46/BIO!AS271,0)</f>
        <v>0</v>
      </c>
      <c r="AL59">
        <f>IFERROR(BIO!AT46/BIO!AT271,0)</f>
        <v>0</v>
      </c>
      <c r="AM59">
        <f>IFERROR(BIO!AU46/BIO!AU271,0)</f>
        <v>0</v>
      </c>
    </row>
    <row r="60" spans="2:39">
      <c r="B60" t="s">
        <v>76</v>
      </c>
      <c r="C60">
        <v>2020</v>
      </c>
      <c r="D60">
        <f>IFERROR(BIO!L47/BIO!L272,0)</f>
        <v>0.82133680429323819</v>
      </c>
      <c r="E60">
        <f>IFERROR(BIO!M47/BIO!M272,0)</f>
        <v>0.31326822238723506</v>
      </c>
      <c r="F60">
        <f>IFERROR(BIO!N47/BIO!N272,0)</f>
        <v>0.24770809473144675</v>
      </c>
      <c r="G60">
        <f>IFERROR(BIO!O47/BIO!O272,0)</f>
        <v>0.57429562516644295</v>
      </c>
      <c r="H60">
        <f>IFERROR(BIO!P47/BIO!P272,0)</f>
        <v>0.82133680429323808</v>
      </c>
      <c r="I60">
        <f>IFERROR(BIO!Q47/BIO!Q272,0)</f>
        <v>0</v>
      </c>
      <c r="J60">
        <f>IFERROR(BIO!R47/BIO!R272,0)</f>
        <v>0.69807067097697839</v>
      </c>
      <c r="K60">
        <f>IFERROR(BIO!S47/BIO!S272,0)</f>
        <v>0.37619661976900309</v>
      </c>
      <c r="L60">
        <f>IFERROR(BIO!T47/BIO!T272,0)</f>
        <v>0.42108880931633874</v>
      </c>
      <c r="M60">
        <f>IFERROR(BIO!U47/BIO!U272,0)</f>
        <v>2.5351327065661075E-3</v>
      </c>
      <c r="N60">
        <f>IFERROR(BIO!V47/BIO!V272,0)</f>
        <v>0.6325485212886649</v>
      </c>
      <c r="O60">
        <f>IFERROR(BIO!W47/BIO!W272,0)</f>
        <v>0.42056320421769483</v>
      </c>
      <c r="P60">
        <f>IFERROR(BIO!X47/BIO!X272,0)</f>
        <v>0</v>
      </c>
      <c r="Q60">
        <f>IFERROR(BIO!Y47/BIO!Y272,0)</f>
        <v>0.23527356440299291</v>
      </c>
      <c r="R60">
        <f>IFERROR(BIO!Z47/BIO!Z272,0)</f>
        <v>0.29432939616942755</v>
      </c>
      <c r="S60">
        <f>IFERROR(BIO!AA47/BIO!AA272,0)</f>
        <v>0</v>
      </c>
      <c r="T60">
        <f>IFERROR(BIO!AB47/BIO!AB272,0)</f>
        <v>0.65256981872103703</v>
      </c>
      <c r="U60">
        <f>IFERROR(BIO!AC47/BIO!AC272,0)</f>
        <v>0.64367647304225528</v>
      </c>
      <c r="V60">
        <f>IFERROR(BIO!AD47/BIO!AD272,0)</f>
        <v>0</v>
      </c>
      <c r="W60">
        <f>IFERROR(BIO!AE47/BIO!AE272,0)</f>
        <v>0.56095569117200816</v>
      </c>
      <c r="X60">
        <f>IFERROR(BIO!AF47/BIO!AF272,0)</f>
        <v>0.30743616049994882</v>
      </c>
      <c r="Y60">
        <f>IFERROR(BIO!AG47/BIO!AG272,0)</f>
        <v>0</v>
      </c>
      <c r="Z60">
        <f>IFERROR(BIO!AH47/BIO!AH272,0)</f>
        <v>0.60627245406413333</v>
      </c>
      <c r="AA60">
        <f>IFERROR(BIO!AI47/BIO!AI272,0)</f>
        <v>0.82133680429323819</v>
      </c>
      <c r="AB60">
        <f>IFERROR(BIO!AJ47/BIO!AJ272,0)</f>
        <v>0.82133680429323819</v>
      </c>
      <c r="AC60">
        <f>IFERROR(BIO!AK47/BIO!AK272,0)</f>
        <v>0</v>
      </c>
      <c r="AD60">
        <f>IFERROR(BIO!AL47/BIO!AL272,0)</f>
        <v>0.27887695402465257</v>
      </c>
      <c r="AE60">
        <f>IFERROR(BIO!AM47/BIO!AM272,0)</f>
        <v>0.51669142534780821</v>
      </c>
      <c r="AF60">
        <f>IFERROR(BIO!AN47/BIO!AN272,0)</f>
        <v>0.53110259135128057</v>
      </c>
      <c r="AG60">
        <f>IFERROR(BIO!AO47/BIO!AO272,0)</f>
        <v>0.79708364428432699</v>
      </c>
      <c r="AH60">
        <f>IFERROR(BIO!AP47/BIO!AP272,0)</f>
        <v>0.71830413684520977</v>
      </c>
      <c r="AI60">
        <f>IFERROR(BIO!AQ47/BIO!AQ272,0)</f>
        <v>0.8213368042932383</v>
      </c>
      <c r="AJ60">
        <f>IFERROR(BIO!AR47/BIO!AR272,0)</f>
        <v>0.42821716795996062</v>
      </c>
      <c r="AK60">
        <f>IFERROR(BIO!AS47/BIO!AS272,0)</f>
        <v>0.90351576838041425</v>
      </c>
      <c r="AL60">
        <f>IFERROR(BIO!AT47/BIO!AT272,0)</f>
        <v>0.51930581603614112</v>
      </c>
      <c r="AM60">
        <f>IFERROR(BIO!AU47/BIO!AU272,0)</f>
        <v>0.25480769185298147</v>
      </c>
    </row>
    <row r="61" spans="2:39">
      <c r="B61" t="s">
        <v>76</v>
      </c>
      <c r="C61">
        <v>2030</v>
      </c>
      <c r="D61">
        <f>IFERROR(BIO!L48/BIO!L273,0)</f>
        <v>0.82133680429323819</v>
      </c>
      <c r="E61">
        <f>IFERROR(BIO!M48/BIO!M273,0)</f>
        <v>0.29391736036708327</v>
      </c>
      <c r="F61">
        <f>IFERROR(BIO!N48/BIO!N273,0)</f>
        <v>0.22344547050440755</v>
      </c>
      <c r="G61">
        <f>IFERROR(BIO!O48/BIO!O273,0)</f>
        <v>0.65595682669149324</v>
      </c>
      <c r="H61">
        <f>IFERROR(BIO!P48/BIO!P273,0)</f>
        <v>0.82133680429323808</v>
      </c>
      <c r="I61">
        <f>IFERROR(BIO!Q48/BIO!Q273,0)</f>
        <v>0</v>
      </c>
      <c r="J61">
        <f>IFERROR(BIO!R48/BIO!R273,0)</f>
        <v>0.69807067097697828</v>
      </c>
      <c r="K61">
        <f>IFERROR(BIO!S48/BIO!S273,0)</f>
        <v>0.28985387258959699</v>
      </c>
      <c r="L61">
        <f>IFERROR(BIO!T48/BIO!T273,0)</f>
        <v>0.56515304780724496</v>
      </c>
      <c r="M61">
        <f>IFERROR(BIO!U48/BIO!U273,0)</f>
        <v>6.173248805502159E-4</v>
      </c>
      <c r="N61">
        <f>IFERROR(BIO!V48/BIO!V273,0)</f>
        <v>0.43027660538885715</v>
      </c>
      <c r="O61">
        <f>IFERROR(BIO!W48/BIO!W273,0)</f>
        <v>0.40363078391596513</v>
      </c>
      <c r="P61">
        <f>IFERROR(BIO!X48/BIO!X273,0)</f>
        <v>0</v>
      </c>
      <c r="Q61">
        <f>IFERROR(BIO!Y48/BIO!Y273,0)</f>
        <v>0.28486423085766743</v>
      </c>
      <c r="R61">
        <f>IFERROR(BIO!Z48/BIO!Z273,0)</f>
        <v>0.22684518519665073</v>
      </c>
      <c r="S61">
        <f>IFERROR(BIO!AA48/BIO!AA273,0)</f>
        <v>0</v>
      </c>
      <c r="T61">
        <f>IFERROR(BIO!AB48/BIO!AB273,0)</f>
        <v>0.5766672097955019</v>
      </c>
      <c r="U61">
        <f>IFERROR(BIO!AC48/BIO!AC273,0)</f>
        <v>0.6420474958843656</v>
      </c>
      <c r="V61">
        <f>IFERROR(BIO!AD48/BIO!AD273,0)</f>
        <v>0</v>
      </c>
      <c r="W61">
        <f>IFERROR(BIO!AE48/BIO!AE273,0)</f>
        <v>0.36068880275116638</v>
      </c>
      <c r="X61">
        <f>IFERROR(BIO!AF48/BIO!AF273,0)</f>
        <v>0.26646014249212752</v>
      </c>
      <c r="Y61">
        <f>IFERROR(BIO!AG48/BIO!AG273,0)</f>
        <v>0</v>
      </c>
      <c r="Z61">
        <f>IFERROR(BIO!AH48/BIO!AH273,0)</f>
        <v>0.52108446640039818</v>
      </c>
      <c r="AA61">
        <f>IFERROR(BIO!AI48/BIO!AI273,0)</f>
        <v>0.82133680429323819</v>
      </c>
      <c r="AB61">
        <f>IFERROR(BIO!AJ48/BIO!AJ273,0)</f>
        <v>0.82133680429323819</v>
      </c>
      <c r="AC61">
        <f>IFERROR(BIO!AK48/BIO!AK273,0)</f>
        <v>0</v>
      </c>
      <c r="AD61">
        <f>IFERROR(BIO!AL48/BIO!AL273,0)</f>
        <v>0.32714295208715394</v>
      </c>
      <c r="AE61">
        <f>IFERROR(BIO!AM48/BIO!AM273,0)</f>
        <v>0.51669142534780821</v>
      </c>
      <c r="AF61">
        <f>IFERROR(BIO!AN48/BIO!AN273,0)</f>
        <v>0.49637961681003778</v>
      </c>
      <c r="AG61">
        <f>IFERROR(BIO!AO48/BIO!AO273,0)</f>
        <v>0.84370853850512806</v>
      </c>
      <c r="AH61">
        <f>IFERROR(BIO!AP48/BIO!AP273,0)</f>
        <v>0.74072486349282174</v>
      </c>
      <c r="AI61">
        <f>IFERROR(BIO!AQ48/BIO!AQ273,0)</f>
        <v>0.82133680429323819</v>
      </c>
      <c r="AJ61">
        <f>IFERROR(BIO!AR48/BIO!AR273,0)</f>
        <v>0.44811656042810366</v>
      </c>
      <c r="AK61">
        <f>IFERROR(BIO!AS48/BIO!AS273,0)</f>
        <v>0.88557385508103759</v>
      </c>
      <c r="AL61">
        <f>IFERROR(BIO!AT48/BIO!AT273,0)</f>
        <v>0.43711725884078534</v>
      </c>
      <c r="AM61">
        <f>IFERROR(BIO!AU48/BIO!AU273,0)</f>
        <v>9.9535113764248687E-2</v>
      </c>
    </row>
    <row r="62" spans="2:39">
      <c r="B62" t="s">
        <v>76</v>
      </c>
      <c r="C62">
        <v>2040</v>
      </c>
      <c r="D62">
        <f>IFERROR(BIO!L49/BIO!L274,0)</f>
        <v>0.82133680429323819</v>
      </c>
      <c r="E62">
        <f>IFERROR(BIO!M49/BIO!M274,0)</f>
        <v>0.26844776163359119</v>
      </c>
      <c r="F62">
        <f>IFERROR(BIO!N49/BIO!N274,0)</f>
        <v>0.13943431254720712</v>
      </c>
      <c r="G62">
        <f>IFERROR(BIO!O49/BIO!O274,0)</f>
        <v>0.54920604748533697</v>
      </c>
      <c r="H62">
        <f>IFERROR(BIO!P49/BIO!P274,0)</f>
        <v>0.82133680429323819</v>
      </c>
      <c r="I62">
        <f>IFERROR(BIO!Q49/BIO!Q274,0)</f>
        <v>0</v>
      </c>
      <c r="J62">
        <f>IFERROR(BIO!R49/BIO!R274,0)</f>
        <v>0.69807067097697828</v>
      </c>
      <c r="K62">
        <f>IFERROR(BIO!S49/BIO!S274,0)</f>
        <v>0.27082293747073544</v>
      </c>
      <c r="L62">
        <f>IFERROR(BIO!T49/BIO!T274,0)</f>
        <v>0.57221196950345321</v>
      </c>
      <c r="M62">
        <f>IFERROR(BIO!U49/BIO!U274,0)</f>
        <v>2.5456522824999719E-4</v>
      </c>
      <c r="N62">
        <f>IFERROR(BIO!V49/BIO!V274,0)</f>
        <v>0.25018200424853765</v>
      </c>
      <c r="O62">
        <f>IFERROR(BIO!W49/BIO!W274,0)</f>
        <v>0.39107176908231772</v>
      </c>
      <c r="P62">
        <f>IFERROR(BIO!X49/BIO!X274,0)</f>
        <v>0</v>
      </c>
      <c r="Q62">
        <f>IFERROR(BIO!Y49/BIO!Y274,0)</f>
        <v>0.29225862338530345</v>
      </c>
      <c r="R62">
        <f>IFERROR(BIO!Z49/BIO!Z274,0)</f>
        <v>0.21441489524704893</v>
      </c>
      <c r="S62">
        <f>IFERROR(BIO!AA49/BIO!AA274,0)</f>
        <v>0</v>
      </c>
      <c r="T62">
        <f>IFERROR(BIO!AB49/BIO!AB274,0)</f>
        <v>0.55635432400891571</v>
      </c>
      <c r="U62">
        <f>IFERROR(BIO!AC49/BIO!AC274,0)</f>
        <v>0.63917324844946333</v>
      </c>
      <c r="V62">
        <f>IFERROR(BIO!AD49/BIO!AD274,0)</f>
        <v>0</v>
      </c>
      <c r="W62">
        <f>IFERROR(BIO!AE49/BIO!AE274,0)</f>
        <v>0.33140151940220447</v>
      </c>
      <c r="X62">
        <f>IFERROR(BIO!AF49/BIO!AF274,0)</f>
        <v>0.19417475744564044</v>
      </c>
      <c r="Y62">
        <f>IFERROR(BIO!AG49/BIO!AG274,0)</f>
        <v>0</v>
      </c>
      <c r="Z62">
        <f>IFERROR(BIO!AH49/BIO!AH274,0)</f>
        <v>0.3761391232772896</v>
      </c>
      <c r="AA62">
        <f>IFERROR(BIO!AI49/BIO!AI274,0)</f>
        <v>0.82133680429323819</v>
      </c>
      <c r="AB62">
        <f>IFERROR(BIO!AJ49/BIO!AJ274,0)</f>
        <v>0.82133680429323819</v>
      </c>
      <c r="AC62">
        <f>IFERROR(BIO!AK49/BIO!AK274,0)</f>
        <v>0</v>
      </c>
      <c r="AD62">
        <f>IFERROR(BIO!AL49/BIO!AL274,0)</f>
        <v>0.3396472798739551</v>
      </c>
      <c r="AE62">
        <f>IFERROR(BIO!AM49/BIO!AM274,0)</f>
        <v>0.5166914253478081</v>
      </c>
      <c r="AF62">
        <f>IFERROR(BIO!AN49/BIO!AN274,0)</f>
        <v>0.40187736853247591</v>
      </c>
      <c r="AG62">
        <f>IFERROR(BIO!AO49/BIO!AO274,0)</f>
        <v>0.79960257842813054</v>
      </c>
      <c r="AH62">
        <f>IFERROR(BIO!AP49/BIO!AP274,0)</f>
        <v>0.69152979828798733</v>
      </c>
      <c r="AI62">
        <f>IFERROR(BIO!AQ49/BIO!AQ274,0)</f>
        <v>0.82133680429323808</v>
      </c>
      <c r="AJ62">
        <f>IFERROR(BIO!AR49/BIO!AR274,0)</f>
        <v>0.42939518519004044</v>
      </c>
      <c r="AK62">
        <f>IFERROR(BIO!AS49/BIO!AS274,0)</f>
        <v>0.88351701114520476</v>
      </c>
      <c r="AL62">
        <f>IFERROR(BIO!AT49/BIO!AT274,0)</f>
        <v>0.30282344924860322</v>
      </c>
      <c r="AM62">
        <f>IFERROR(BIO!AU49/BIO!AU274,0)</f>
        <v>0.11149782625036353</v>
      </c>
    </row>
    <row r="63" spans="2:39">
      <c r="B63" t="s">
        <v>76</v>
      </c>
      <c r="C63">
        <v>2050</v>
      </c>
      <c r="D63">
        <f>IFERROR(BIO!L50/BIO!L275,0)</f>
        <v>0.82133680429323819</v>
      </c>
      <c r="E63">
        <f>IFERROR(BIO!M50/BIO!M275,0)</f>
        <v>0.23400855388820849</v>
      </c>
      <c r="F63">
        <f>IFERROR(BIO!N50/BIO!N275,0)</f>
        <v>3.6944868220224136E-2</v>
      </c>
      <c r="G63">
        <f>IFERROR(BIO!O50/BIO!O275,0)</f>
        <v>0.5369437084888119</v>
      </c>
      <c r="H63">
        <f>IFERROR(BIO!P50/BIO!P275,0)</f>
        <v>0.82133680429323819</v>
      </c>
      <c r="I63">
        <f>IFERROR(BIO!Q50/BIO!Q275,0)</f>
        <v>0</v>
      </c>
      <c r="J63">
        <f>IFERROR(BIO!R50/BIO!R275,0)</f>
        <v>0.69807067097697828</v>
      </c>
      <c r="K63">
        <f>IFERROR(BIO!S50/BIO!S275,0)</f>
        <v>0.254759356438163</v>
      </c>
      <c r="L63">
        <f>IFERROR(BIO!T50/BIO!T275,0)</f>
        <v>0.57778313202571563</v>
      </c>
      <c r="M63">
        <f>IFERROR(BIO!U50/BIO!U275,0)</f>
        <v>0</v>
      </c>
      <c r="N63">
        <f>IFERROR(BIO!V50/BIO!V275,0)</f>
        <v>0.11201865206572044</v>
      </c>
      <c r="O63">
        <f>IFERROR(BIO!W50/BIO!W275,0)</f>
        <v>0.38345783258187893</v>
      </c>
      <c r="P63">
        <f>IFERROR(BIO!X50/BIO!X275,0)</f>
        <v>0</v>
      </c>
      <c r="Q63">
        <f>IFERROR(BIO!Y50/BIO!Y275,0)</f>
        <v>0.2985222729481124</v>
      </c>
      <c r="R63">
        <f>IFERROR(BIO!Z50/BIO!Z275,0)</f>
        <v>0.20678244532692125</v>
      </c>
      <c r="S63">
        <f>IFERROR(BIO!AA50/BIO!AA275,0)</f>
        <v>0</v>
      </c>
      <c r="T63">
        <f>IFERROR(BIO!AB50/BIO!AB275,0)</f>
        <v>0.53713797951106712</v>
      </c>
      <c r="U63">
        <f>IFERROR(BIO!AC50/BIO!AC275,0)</f>
        <v>0.63174580578801742</v>
      </c>
      <c r="V63">
        <f>IFERROR(BIO!AD50/BIO!AD275,0)</f>
        <v>0</v>
      </c>
      <c r="W63">
        <f>IFERROR(BIO!AE50/BIO!AE275,0)</f>
        <v>0.29755603842422862</v>
      </c>
      <c r="X63">
        <f>IFERROR(BIO!AF50/BIO!AF275,0)</f>
        <v>0.11064145918389767</v>
      </c>
      <c r="Y63">
        <f>IFERROR(BIO!AG50/BIO!AG275,0)</f>
        <v>0</v>
      </c>
      <c r="Z63">
        <f>IFERROR(BIO!AH50/BIO!AH275,0)</f>
        <v>0.18500456069864896</v>
      </c>
      <c r="AA63">
        <f>IFERROR(BIO!AI50/BIO!AI275,0)</f>
        <v>0.82133680429323819</v>
      </c>
      <c r="AB63">
        <f>IFERROR(BIO!AJ50/BIO!AJ275,0)</f>
        <v>0.82133680429323819</v>
      </c>
      <c r="AC63">
        <f>IFERROR(BIO!AK50/BIO!AK275,0)</f>
        <v>0</v>
      </c>
      <c r="AD63">
        <f>IFERROR(BIO!AL50/BIO!AL275,0)</f>
        <v>0.35131366701420663</v>
      </c>
      <c r="AE63">
        <f>IFERROR(BIO!AM50/BIO!AM275,0)</f>
        <v>0.5166914253478081</v>
      </c>
      <c r="AF63">
        <f>IFERROR(BIO!AN50/BIO!AN275,0)</f>
        <v>0.33165214921906944</v>
      </c>
      <c r="AG63">
        <f>IFERROR(BIO!AO50/BIO!AO275,0)</f>
        <v>0.75267374376771523</v>
      </c>
      <c r="AH63">
        <f>IFERROR(BIO!AP50/BIO!AP275,0)</f>
        <v>0.67897366828701344</v>
      </c>
      <c r="AI63">
        <f>IFERROR(BIO!AQ50/BIO!AQ275,0)</f>
        <v>0.82133680429323819</v>
      </c>
      <c r="AJ63">
        <f>IFERROR(BIO!AR50/BIO!AR275,0)</f>
        <v>0.40558571131978499</v>
      </c>
      <c r="AK63">
        <f>IFERROR(BIO!AS50/BIO!AS275,0)</f>
        <v>0.88152861556368223</v>
      </c>
      <c r="AL63">
        <f>IFERROR(BIO!AT50/BIO!AT275,0)</f>
        <v>0.11658105677986243</v>
      </c>
      <c r="AM63">
        <f>IFERROR(BIO!AU50/BIO!AU275,0)</f>
        <v>0.12930866083104819</v>
      </c>
    </row>
    <row r="64" spans="2:39">
      <c r="B64" t="s">
        <v>49</v>
      </c>
      <c r="C64">
        <v>2005</v>
      </c>
      <c r="D64">
        <f>IFERROR(BIO!L57/BIO!L270,0)</f>
        <v>0</v>
      </c>
      <c r="E64">
        <f>IFERROR(BIO!M57/BIO!M270,0)</f>
        <v>0</v>
      </c>
      <c r="F64">
        <f>IFERROR(BIO!N57/BIO!N270,0)</f>
        <v>0</v>
      </c>
      <c r="G64">
        <f>IFERROR(BIO!O57/BIO!O270,0)</f>
        <v>0</v>
      </c>
      <c r="H64">
        <f>IFERROR(BIO!P57/BIO!P270,0)</f>
        <v>0</v>
      </c>
      <c r="I64">
        <f>IFERROR(BIO!Q57/BIO!Q270,0)</f>
        <v>0</v>
      </c>
      <c r="J64">
        <f>IFERROR(BIO!R57/BIO!R270,0)</f>
        <v>0</v>
      </c>
      <c r="K64">
        <f>IFERROR(BIO!S57/BIO!S270,0)</f>
        <v>0</v>
      </c>
      <c r="L64">
        <f>IFERROR(BIO!T57/BIO!T270,0)</f>
        <v>0</v>
      </c>
      <c r="M64">
        <f>IFERROR(BIO!U57/BIO!U270,0)</f>
        <v>0</v>
      </c>
      <c r="N64">
        <f>IFERROR(BIO!V57/BIO!V270,0)</f>
        <v>0</v>
      </c>
      <c r="O64">
        <f>IFERROR(BIO!W57/BIO!W270,0)</f>
        <v>0</v>
      </c>
      <c r="P64">
        <f>IFERROR(BIO!X57/BIO!X270,0)</f>
        <v>0</v>
      </c>
      <c r="Q64">
        <f>IFERROR(BIO!Y57/BIO!Y270,0)</f>
        <v>0</v>
      </c>
      <c r="R64">
        <f>IFERROR(BIO!Z57/BIO!Z270,0)</f>
        <v>0</v>
      </c>
      <c r="S64">
        <f>IFERROR(BIO!AA57/BIO!AA270,0)</f>
        <v>0</v>
      </c>
      <c r="T64">
        <f>IFERROR(BIO!AB57/BIO!AB270,0)</f>
        <v>0</v>
      </c>
      <c r="U64">
        <f>IFERROR(BIO!AC57/BIO!AC270,0)</f>
        <v>0</v>
      </c>
      <c r="V64">
        <f>IFERROR(BIO!AD57/BIO!AD270,0)</f>
        <v>0</v>
      </c>
      <c r="W64">
        <f>IFERROR(BIO!AE57/BIO!AE270,0)</f>
        <v>0</v>
      </c>
      <c r="X64">
        <f>IFERROR(BIO!AF57/BIO!AF270,0)</f>
        <v>0</v>
      </c>
      <c r="Y64">
        <f>IFERROR(BIO!AG57/BIO!AG270,0)</f>
        <v>0</v>
      </c>
      <c r="Z64">
        <f>IFERROR(BIO!AH57/BIO!AH270,0)</f>
        <v>0</v>
      </c>
      <c r="AA64">
        <f>IFERROR(BIO!AI57/BIO!AI270,0)</f>
        <v>0</v>
      </c>
      <c r="AB64">
        <f>IFERROR(BIO!AJ57/BIO!AJ270,0)</f>
        <v>0</v>
      </c>
      <c r="AC64">
        <f>IFERROR(BIO!AK57/BIO!AK270,0)</f>
        <v>0</v>
      </c>
      <c r="AD64">
        <f>IFERROR(BIO!AL57/BIO!AL270,0)</f>
        <v>0</v>
      </c>
      <c r="AE64">
        <f>IFERROR(BIO!AM57/BIO!AM270,0)</f>
        <v>0</v>
      </c>
      <c r="AF64">
        <f>IFERROR(BIO!AN57/BIO!AN270,0)</f>
        <v>0</v>
      </c>
      <c r="AG64">
        <f>IFERROR(BIO!AO57/BIO!AO270,0)</f>
        <v>0</v>
      </c>
      <c r="AH64">
        <f>IFERROR(BIO!AP57/BIO!AP270,0)</f>
        <v>0</v>
      </c>
      <c r="AI64">
        <f>IFERROR(BIO!AQ57/BIO!AQ270,0)</f>
        <v>0</v>
      </c>
      <c r="AJ64">
        <f>IFERROR(BIO!AR57/BIO!AR270,0)</f>
        <v>0</v>
      </c>
      <c r="AK64">
        <f>IFERROR(BIO!AS57/BIO!AS270,0)</f>
        <v>0</v>
      </c>
      <c r="AL64">
        <f>IFERROR(BIO!AT57/BIO!AT270,0)</f>
        <v>0</v>
      </c>
      <c r="AM64">
        <f>IFERROR(BIO!AU57/BIO!AU270,0)</f>
        <v>0</v>
      </c>
    </row>
    <row r="65" spans="2:39">
      <c r="B65" t="s">
        <v>49</v>
      </c>
      <c r="C65">
        <v>2010</v>
      </c>
      <c r="D65">
        <f>IFERROR(BIO!L58/BIO!L271,0)</f>
        <v>0</v>
      </c>
      <c r="E65">
        <f>IFERROR(BIO!M58/BIO!M271,0)</f>
        <v>0</v>
      </c>
      <c r="F65">
        <f>IFERROR(BIO!N58/BIO!N271,0)</f>
        <v>0</v>
      </c>
      <c r="G65">
        <f>IFERROR(BIO!O58/BIO!O271,0)</f>
        <v>0</v>
      </c>
      <c r="H65">
        <f>IFERROR(BIO!P58/BIO!P271,0)</f>
        <v>0</v>
      </c>
      <c r="I65">
        <f>IFERROR(BIO!Q58/BIO!Q271,0)</f>
        <v>0</v>
      </c>
      <c r="J65">
        <f>IFERROR(BIO!R58/BIO!R271,0)</f>
        <v>0</v>
      </c>
      <c r="K65">
        <f>IFERROR(BIO!S58/BIO!S271,0)</f>
        <v>0</v>
      </c>
      <c r="L65">
        <f>IFERROR(BIO!T58/BIO!T271,0)</f>
        <v>0</v>
      </c>
      <c r="M65">
        <f>IFERROR(BIO!U58/BIO!U271,0)</f>
        <v>0</v>
      </c>
      <c r="N65">
        <f>IFERROR(BIO!V58/BIO!V271,0)</f>
        <v>0</v>
      </c>
      <c r="O65">
        <f>IFERROR(BIO!W58/BIO!W271,0)</f>
        <v>0</v>
      </c>
      <c r="P65">
        <f>IFERROR(BIO!X58/BIO!X271,0)</f>
        <v>0</v>
      </c>
      <c r="Q65">
        <f>IFERROR(BIO!Y58/BIO!Y271,0)</f>
        <v>0</v>
      </c>
      <c r="R65">
        <f>IFERROR(BIO!Z58/BIO!Z271,0)</f>
        <v>0</v>
      </c>
      <c r="S65">
        <f>IFERROR(BIO!AA58/BIO!AA271,0)</f>
        <v>0</v>
      </c>
      <c r="T65">
        <f>IFERROR(BIO!AB58/BIO!AB271,0)</f>
        <v>0</v>
      </c>
      <c r="U65">
        <f>IFERROR(BIO!AC58/BIO!AC271,0)</f>
        <v>0</v>
      </c>
      <c r="V65">
        <f>IFERROR(BIO!AD58/BIO!AD271,0)</f>
        <v>0</v>
      </c>
      <c r="W65">
        <f>IFERROR(BIO!AE58/BIO!AE271,0)</f>
        <v>0</v>
      </c>
      <c r="X65">
        <f>IFERROR(BIO!AF58/BIO!AF271,0)</f>
        <v>0</v>
      </c>
      <c r="Y65">
        <f>IFERROR(BIO!AG58/BIO!AG271,0)</f>
        <v>0</v>
      </c>
      <c r="Z65">
        <f>IFERROR(BIO!AH58/BIO!AH271,0)</f>
        <v>0</v>
      </c>
      <c r="AA65">
        <f>IFERROR(BIO!AI58/BIO!AI271,0)</f>
        <v>0</v>
      </c>
      <c r="AB65">
        <f>IFERROR(BIO!AJ58/BIO!AJ271,0)</f>
        <v>0</v>
      </c>
      <c r="AC65">
        <f>IFERROR(BIO!AK58/BIO!AK271,0)</f>
        <v>0</v>
      </c>
      <c r="AD65">
        <f>IFERROR(BIO!AL58/BIO!AL271,0)</f>
        <v>0</v>
      </c>
      <c r="AE65">
        <f>IFERROR(BIO!AM58/BIO!AM271,0)</f>
        <v>0</v>
      </c>
      <c r="AF65">
        <f>IFERROR(BIO!AN58/BIO!AN271,0)</f>
        <v>0</v>
      </c>
      <c r="AG65">
        <f>IFERROR(BIO!AO58/BIO!AO271,0)</f>
        <v>0</v>
      </c>
      <c r="AH65">
        <f>IFERROR(BIO!AP58/BIO!AP271,0)</f>
        <v>0</v>
      </c>
      <c r="AI65">
        <f>IFERROR(BIO!AQ58/BIO!AQ271,0)</f>
        <v>0</v>
      </c>
      <c r="AJ65">
        <f>IFERROR(BIO!AR58/BIO!AR271,0)</f>
        <v>0</v>
      </c>
      <c r="AK65">
        <f>IFERROR(BIO!AS58/BIO!AS271,0)</f>
        <v>0</v>
      </c>
      <c r="AL65">
        <f>IFERROR(BIO!AT58/BIO!AT271,0)</f>
        <v>0</v>
      </c>
      <c r="AM65">
        <f>IFERROR(BIO!AU58/BIO!AU271,0)</f>
        <v>0</v>
      </c>
    </row>
    <row r="66" spans="2:39">
      <c r="B66" t="s">
        <v>49</v>
      </c>
      <c r="C66">
        <v>2020</v>
      </c>
      <c r="D66">
        <f>IFERROR(BIO!L59/BIO!L272,0)</f>
        <v>0</v>
      </c>
      <c r="E66">
        <f>IFERROR(BIO!M59/BIO!M272,0)</f>
        <v>5.0516978598788211E-2</v>
      </c>
      <c r="F66">
        <f>IFERROR(BIO!N59/BIO!N272,0)</f>
        <v>6.3681975984057351E-2</v>
      </c>
      <c r="G66">
        <f>IFERROR(BIO!O59/BIO!O272,0)</f>
        <v>7.4829826344047598E-2</v>
      </c>
      <c r="H66">
        <f>IFERROR(BIO!P59/BIO!P272,0)</f>
        <v>0</v>
      </c>
      <c r="I66">
        <f>IFERROR(BIO!Q59/BIO!Q272,0)</f>
        <v>0</v>
      </c>
      <c r="J66">
        <f>IFERROR(BIO!R59/BIO!R272,0)</f>
        <v>0</v>
      </c>
      <c r="K66">
        <f>IFERROR(BIO!S59/BIO!S272,0)</f>
        <v>6.7672491145062227E-2</v>
      </c>
      <c r="L66">
        <f>IFERROR(BIO!T59/BIO!T272,0)</f>
        <v>5.3293031087670598E-2</v>
      </c>
      <c r="M66">
        <f>IFERROR(BIO!U59/BIO!U272,0)</f>
        <v>1.7334158335313942E-3</v>
      </c>
      <c r="N66">
        <f>IFERROR(BIO!V59/BIO!V272,0)</f>
        <v>0.32801328818776826</v>
      </c>
      <c r="O66">
        <f>IFERROR(BIO!W59/BIO!W272,0)</f>
        <v>0</v>
      </c>
      <c r="P66">
        <f>IFERROR(BIO!X59/BIO!X272,0)</f>
        <v>1</v>
      </c>
      <c r="Q66">
        <f>IFERROR(BIO!Y59/BIO!Y272,0)</f>
        <v>3.5867633276843384E-2</v>
      </c>
      <c r="R66">
        <f>IFERROR(BIO!Z59/BIO!Z272,0)</f>
        <v>0</v>
      </c>
      <c r="S66">
        <f>IFERROR(BIO!AA59/BIO!AA272,0)</f>
        <v>0</v>
      </c>
      <c r="T66">
        <f>IFERROR(BIO!AB59/BIO!AB272,0)</f>
        <v>0.11492867150510955</v>
      </c>
      <c r="U66">
        <f>IFERROR(BIO!AC59/BIO!AC272,0)</f>
        <v>0.34418673660146165</v>
      </c>
      <c r="V66">
        <f>IFERROR(BIO!AD59/BIO!AD272,0)</f>
        <v>0</v>
      </c>
      <c r="W66">
        <f>IFERROR(BIO!AE59/BIO!AE272,0)</f>
        <v>0</v>
      </c>
      <c r="X66">
        <f>IFERROR(BIO!AF59/BIO!AF272,0)</f>
        <v>0.16134530332736149</v>
      </c>
      <c r="Y66">
        <f>IFERROR(BIO!AG59/BIO!AG272,0)</f>
        <v>0</v>
      </c>
      <c r="Z66">
        <f>IFERROR(BIO!AH59/BIO!AH272,0)</f>
        <v>0.31596695054296597</v>
      </c>
      <c r="AA66">
        <f>IFERROR(BIO!AI59/BIO!AI272,0)</f>
        <v>0</v>
      </c>
      <c r="AB66">
        <f>IFERROR(BIO!AJ59/BIO!AJ272,0)</f>
        <v>0</v>
      </c>
      <c r="AC66">
        <f>IFERROR(BIO!AK59/BIO!AK272,0)</f>
        <v>0</v>
      </c>
      <c r="AD66">
        <f>IFERROR(BIO!AL59/BIO!AL272,0)</f>
        <v>3.0006028724862899E-2</v>
      </c>
      <c r="AE66">
        <f>IFERROR(BIO!AM59/BIO!AM272,0)</f>
        <v>0.48330857465219185</v>
      </c>
      <c r="AF66">
        <f>IFERROR(BIO!AN59/BIO!AN272,0)</f>
        <v>0.23164239786752691</v>
      </c>
      <c r="AG66">
        <f>IFERROR(BIO!AO59/BIO!AO272,0)</f>
        <v>0</v>
      </c>
      <c r="AH66">
        <f>IFERROR(BIO!AP59/BIO!AP272,0)</f>
        <v>0.16710876704251809</v>
      </c>
      <c r="AI66">
        <f>IFERROR(BIO!AQ59/BIO!AQ272,0)</f>
        <v>0</v>
      </c>
      <c r="AJ66">
        <f>IFERROR(BIO!AR59/BIO!AR272,0)</f>
        <v>0.16301638533027679</v>
      </c>
      <c r="AK66">
        <f>IFERROR(BIO!AS59/BIO!AS272,0)</f>
        <v>0</v>
      </c>
      <c r="AL66">
        <f>IFERROR(BIO!AT59/BIO!AT272,0)</f>
        <v>0.10963901515065469</v>
      </c>
      <c r="AM66">
        <f>IFERROR(BIO!AU59/BIO!AU272,0)</f>
        <v>0.25076183156352477</v>
      </c>
    </row>
    <row r="67" spans="2:39">
      <c r="B67" t="s">
        <v>49</v>
      </c>
      <c r="C67">
        <v>2030</v>
      </c>
      <c r="D67">
        <f>IFERROR(BIO!L60/BIO!L273,0)</f>
        <v>0</v>
      </c>
      <c r="E67">
        <f>IFERROR(BIO!M60/BIO!M273,0)</f>
        <v>4.8104041854908186E-2</v>
      </c>
      <c r="F67">
        <f>IFERROR(BIO!N60/BIO!N273,0)</f>
        <v>5.5985338696596901E-2</v>
      </c>
      <c r="G67">
        <f>IFERROR(BIO!O60/BIO!O273,0)</f>
        <v>6.7201274037755318E-2</v>
      </c>
      <c r="H67">
        <f>IFERROR(BIO!P60/BIO!P273,0)</f>
        <v>0</v>
      </c>
      <c r="I67">
        <f>IFERROR(BIO!Q60/BIO!Q273,0)</f>
        <v>0</v>
      </c>
      <c r="J67">
        <f>IFERROR(BIO!R60/BIO!R273,0)</f>
        <v>0</v>
      </c>
      <c r="K67">
        <f>IFERROR(BIO!S60/BIO!S273,0)</f>
        <v>5.7646671245516388E-2</v>
      </c>
      <c r="L67">
        <f>IFERROR(BIO!T60/BIO!T273,0)</f>
        <v>7.161330834357324E-2</v>
      </c>
      <c r="M67">
        <f>IFERROR(BIO!U60/BIO!U273,0)</f>
        <v>4.2210047608437376E-4</v>
      </c>
      <c r="N67">
        <f>IFERROR(BIO!V60/BIO!V273,0)</f>
        <v>0.22305021312096579</v>
      </c>
      <c r="O67">
        <f>IFERROR(BIO!W60/BIO!W273,0)</f>
        <v>0</v>
      </c>
      <c r="P67">
        <f>IFERROR(BIO!X60/BIO!X273,0)</f>
        <v>1</v>
      </c>
      <c r="Q67">
        <f>IFERROR(BIO!Y60/BIO!Y273,0)</f>
        <v>3.9720381447598638E-2</v>
      </c>
      <c r="R67">
        <f>IFERROR(BIO!Z60/BIO!Z273,0)</f>
        <v>0</v>
      </c>
      <c r="S67">
        <f>IFERROR(BIO!AA60/BIO!AA273,0)</f>
        <v>0</v>
      </c>
      <c r="T67">
        <f>IFERROR(BIO!AB60/BIO!AB273,0)</f>
        <v>0.10876560130453153</v>
      </c>
      <c r="U67">
        <f>IFERROR(BIO!AC60/BIO!AC273,0)</f>
        <v>0.34348663626571846</v>
      </c>
      <c r="V67">
        <f>IFERROR(BIO!AD60/BIO!AD273,0)</f>
        <v>0</v>
      </c>
      <c r="W67">
        <f>IFERROR(BIO!AE60/BIO!AE273,0)</f>
        <v>0</v>
      </c>
      <c r="X67">
        <f>IFERROR(BIO!AF60/BIO!AF273,0)</f>
        <v>0.13676360469018509</v>
      </c>
      <c r="Y67">
        <f>IFERROR(BIO!AG60/BIO!AG273,0)</f>
        <v>0</v>
      </c>
      <c r="Z67">
        <f>IFERROR(BIO!AH60/BIO!AH273,0)</f>
        <v>0.2560063467104069</v>
      </c>
      <c r="AA67">
        <f>IFERROR(BIO!AI60/BIO!AI273,0)</f>
        <v>0</v>
      </c>
      <c r="AB67">
        <f>IFERROR(BIO!AJ60/BIO!AJ273,0)</f>
        <v>0</v>
      </c>
      <c r="AC67">
        <f>IFERROR(BIO!AK60/BIO!AK273,0)</f>
        <v>0</v>
      </c>
      <c r="AD67">
        <f>IFERROR(BIO!AL60/BIO!AL273,0)</f>
        <v>3.4388252670421088E-2</v>
      </c>
      <c r="AE67">
        <f>IFERROR(BIO!AM60/BIO!AM273,0)</f>
        <v>0.4833085746521919</v>
      </c>
      <c r="AF67">
        <f>IFERROR(BIO!AN60/BIO!AN273,0)</f>
        <v>0.21171363117491121</v>
      </c>
      <c r="AG67">
        <f>IFERROR(BIO!AO60/BIO!AO273,0)</f>
        <v>0</v>
      </c>
      <c r="AH67">
        <f>IFERROR(BIO!AP60/BIO!AP273,0)</f>
        <v>0.17636098316695178</v>
      </c>
      <c r="AI67">
        <f>IFERROR(BIO!AQ60/BIO!AQ273,0)</f>
        <v>0</v>
      </c>
      <c r="AJ67">
        <f>IFERROR(BIO!AR60/BIO!AR273,0)</f>
        <v>0.16814061345051082</v>
      </c>
      <c r="AK67">
        <f>IFERROR(BIO!AS60/BIO!AS273,0)</f>
        <v>0</v>
      </c>
      <c r="AL67">
        <f>IFERROR(BIO!AT60/BIO!AT273,0)</f>
        <v>8.5775520795129581E-2</v>
      </c>
      <c r="AM67">
        <f>IFERROR(BIO!AU60/BIO!AU273,0)</f>
        <v>9.9208980866757168E-2</v>
      </c>
    </row>
    <row r="68" spans="2:39">
      <c r="B68" t="s">
        <v>49</v>
      </c>
      <c r="C68">
        <v>2040</v>
      </c>
      <c r="D68">
        <f>IFERROR(BIO!L61/BIO!L274,0)</f>
        <v>0</v>
      </c>
      <c r="E68">
        <f>IFERROR(BIO!M61/BIO!M274,0)</f>
        <v>4.4490991490966934E-2</v>
      </c>
      <c r="F68">
        <f>IFERROR(BIO!N61/BIO!N274,0)</f>
        <v>3.4875530125113401E-2</v>
      </c>
      <c r="G68">
        <f>IFERROR(BIO!O61/BIO!O274,0)</f>
        <v>6.4984477402323951E-2</v>
      </c>
      <c r="H68">
        <f>IFERROR(BIO!P61/BIO!P274,0)</f>
        <v>0</v>
      </c>
      <c r="I68">
        <f>IFERROR(BIO!Q61/BIO!Q274,0)</f>
        <v>0</v>
      </c>
      <c r="J68">
        <f>IFERROR(BIO!R61/BIO!R274,0)</f>
        <v>0</v>
      </c>
      <c r="K68">
        <f>IFERROR(BIO!S61/BIO!S274,0)</f>
        <v>7.6807109971971183E-2</v>
      </c>
      <c r="L68">
        <f>IFERROR(BIO!T61/BIO!T274,0)</f>
        <v>7.2792865618266825E-2</v>
      </c>
      <c r="M68">
        <f>IFERROR(BIO!U61/BIO!U274,0)</f>
        <v>1.7406086717755494E-4</v>
      </c>
      <c r="N68">
        <f>IFERROR(BIO!V61/BIO!V274,0)</f>
        <v>0.13542937431943458</v>
      </c>
      <c r="O68">
        <f>IFERROR(BIO!W61/BIO!W274,0)</f>
        <v>0</v>
      </c>
      <c r="P68">
        <f>IFERROR(BIO!X61/BIO!X274,0)</f>
        <v>1</v>
      </c>
      <c r="Q68">
        <f>IFERROR(BIO!Y61/BIO!Y274,0)</f>
        <v>3.9796000091807102E-2</v>
      </c>
      <c r="R68">
        <f>IFERROR(BIO!Z61/BIO!Z274,0)</f>
        <v>0</v>
      </c>
      <c r="S68">
        <f>IFERROR(BIO!AA61/BIO!AA274,0)</f>
        <v>0</v>
      </c>
      <c r="T68">
        <f>IFERROR(BIO!AB61/BIO!AB274,0)</f>
        <v>0.1090409978596083</v>
      </c>
      <c r="U68">
        <f>IFERROR(BIO!AC61/BIO!AC274,0)</f>
        <v>0.34235975796252083</v>
      </c>
      <c r="V68">
        <f>IFERROR(BIO!AD61/BIO!AD274,0)</f>
        <v>0</v>
      </c>
      <c r="W68">
        <f>IFERROR(BIO!AE61/BIO!AE274,0)</f>
        <v>0</v>
      </c>
      <c r="X68">
        <f>IFERROR(BIO!AF61/BIO!AF274,0)</f>
        <v>0.10368744751314493</v>
      </c>
      <c r="Y68">
        <f>IFERROR(BIO!AG61/BIO!AG274,0)</f>
        <v>0</v>
      </c>
      <c r="Z68">
        <f>IFERROR(BIO!AH61/BIO!AH274,0)</f>
        <v>0.20840645937480853</v>
      </c>
      <c r="AA68">
        <f>IFERROR(BIO!AI61/BIO!AI274,0)</f>
        <v>0</v>
      </c>
      <c r="AB68">
        <f>IFERROR(BIO!AJ61/BIO!AJ274,0)</f>
        <v>0</v>
      </c>
      <c r="AC68">
        <f>IFERROR(BIO!AK61/BIO!AK274,0)</f>
        <v>0</v>
      </c>
      <c r="AD68">
        <f>IFERROR(BIO!AL61/BIO!AL274,0)</f>
        <v>3.5660164170491504E-2</v>
      </c>
      <c r="AE68">
        <f>IFERROR(BIO!AM61/BIO!AM274,0)</f>
        <v>0.48330857465219185</v>
      </c>
      <c r="AF68">
        <f>IFERROR(BIO!AN61/BIO!AN274,0)</f>
        <v>0.17155663795166698</v>
      </c>
      <c r="AG68">
        <f>IFERROR(BIO!AO61/BIO!AO274,0)</f>
        <v>0</v>
      </c>
      <c r="AH68">
        <f>IFERROR(BIO!AP61/BIO!AP274,0)</f>
        <v>0.16938597208164424</v>
      </c>
      <c r="AI68">
        <f>IFERROR(BIO!AQ61/BIO!AQ274,0)</f>
        <v>0</v>
      </c>
      <c r="AJ68">
        <f>IFERROR(BIO!AR61/BIO!AR274,0)</f>
        <v>0.16217278805799909</v>
      </c>
      <c r="AK68">
        <f>IFERROR(BIO!AS61/BIO!AS274,0)</f>
        <v>0</v>
      </c>
      <c r="AL68">
        <f>IFERROR(BIO!AT61/BIO!AT274,0)</f>
        <v>7.3541793301132169E-2</v>
      </c>
      <c r="AM68">
        <f>IFERROR(BIO!AU61/BIO!AU274,0)</f>
        <v>0.11153747555823471</v>
      </c>
    </row>
    <row r="69" spans="2:39">
      <c r="B69" t="s">
        <v>49</v>
      </c>
      <c r="C69">
        <v>2050</v>
      </c>
      <c r="D69">
        <f>IFERROR(BIO!L62/BIO!L275,0)</f>
        <v>0</v>
      </c>
      <c r="E69">
        <f>IFERROR(BIO!M62/BIO!M275,0)</f>
        <v>3.9555440323304811E-2</v>
      </c>
      <c r="F69">
        <f>IFERROR(BIO!N62/BIO!N275,0)</f>
        <v>9.1218611518272472E-3</v>
      </c>
      <c r="G69">
        <f>IFERROR(BIO!O62/BIO!O275,0)</f>
        <v>6.7040303170471729E-2</v>
      </c>
      <c r="H69">
        <f>IFERROR(BIO!P62/BIO!P275,0)</f>
        <v>0</v>
      </c>
      <c r="I69">
        <f>IFERROR(BIO!Q62/BIO!Q275,0)</f>
        <v>0</v>
      </c>
      <c r="J69">
        <f>IFERROR(BIO!R62/BIO!R275,0)</f>
        <v>0</v>
      </c>
      <c r="K69">
        <f>IFERROR(BIO!S62/BIO!S275,0)</f>
        <v>9.3552311165276833E-2</v>
      </c>
      <c r="L69">
        <f>IFERROR(BIO!T62/BIO!T275,0)</f>
        <v>7.3795901135176784E-2</v>
      </c>
      <c r="M69">
        <f>IFERROR(BIO!U62/BIO!U275,0)</f>
        <v>0</v>
      </c>
      <c r="N69">
        <f>IFERROR(BIO!V62/BIO!V275,0)</f>
        <v>6.8782993301496828E-2</v>
      </c>
      <c r="O69">
        <f>IFERROR(BIO!W62/BIO!W275,0)</f>
        <v>0</v>
      </c>
      <c r="P69">
        <f>IFERROR(BIO!X62/BIO!X275,0)</f>
        <v>1</v>
      </c>
      <c r="Q69">
        <f>IFERROR(BIO!Y62/BIO!Y275,0)</f>
        <v>3.9516562302056663E-2</v>
      </c>
      <c r="R69">
        <f>IFERROR(BIO!Z62/BIO!Z275,0)</f>
        <v>0</v>
      </c>
      <c r="S69">
        <f>IFERROR(BIO!AA62/BIO!AA275,0)</f>
        <v>0</v>
      </c>
      <c r="T69">
        <f>IFERROR(BIO!AB62/BIO!AB275,0)</f>
        <v>0.10930331880910012</v>
      </c>
      <c r="U69">
        <f>IFERROR(BIO!AC62/BIO!AC275,0)</f>
        <v>0.33944593647737242</v>
      </c>
      <c r="V69">
        <f>IFERROR(BIO!AD62/BIO!AD275,0)</f>
        <v>0</v>
      </c>
      <c r="W69">
        <f>IFERROR(BIO!AE62/BIO!AE275,0)</f>
        <v>0</v>
      </c>
      <c r="X69">
        <f>IFERROR(BIO!AF62/BIO!AF275,0)</f>
        <v>6.5586387623588246E-2</v>
      </c>
      <c r="Y69">
        <f>IFERROR(BIO!AG62/BIO!AG275,0)</f>
        <v>0</v>
      </c>
      <c r="Z69">
        <f>IFERROR(BIO!AH62/BIO!AH275,0)</f>
        <v>0.14708940638034657</v>
      </c>
      <c r="AA69">
        <f>IFERROR(BIO!AI62/BIO!AI275,0)</f>
        <v>0</v>
      </c>
      <c r="AB69">
        <f>IFERROR(BIO!AJ62/BIO!AJ275,0)</f>
        <v>0</v>
      </c>
      <c r="AC69">
        <f>IFERROR(BIO!AK62/BIO!AK275,0)</f>
        <v>0</v>
      </c>
      <c r="AD69">
        <f>IFERROR(BIO!AL62/BIO!AL275,0)</f>
        <v>3.6823400667813609E-2</v>
      </c>
      <c r="AE69">
        <f>IFERROR(BIO!AM62/BIO!AM275,0)</f>
        <v>0.48330857465219185</v>
      </c>
      <c r="AF69">
        <f>IFERROR(BIO!AN62/BIO!AN275,0)</f>
        <v>0.14172106304600127</v>
      </c>
      <c r="AG69">
        <f>IFERROR(BIO!AO62/BIO!AO275,0)</f>
        <v>0</v>
      </c>
      <c r="AH69">
        <f>IFERROR(BIO!AP62/BIO!AP275,0)</f>
        <v>0.17222115496063906</v>
      </c>
      <c r="AI69">
        <f>IFERROR(BIO!AQ62/BIO!AQ275,0)</f>
        <v>0</v>
      </c>
      <c r="AJ69">
        <f>IFERROR(BIO!AR62/BIO!AR275,0)</f>
        <v>0.15449970511400687</v>
      </c>
      <c r="AK69">
        <f>IFERROR(BIO!AS62/BIO!AS275,0)</f>
        <v>0</v>
      </c>
      <c r="AL69">
        <f>IFERROR(BIO!AT62/BIO!AT275,0)</f>
        <v>5.5556221031408233E-2</v>
      </c>
      <c r="AM69">
        <f>IFERROR(BIO!AU62/BIO!AU275,0)</f>
        <v>0.13002290703964522</v>
      </c>
    </row>
    <row r="70" spans="2:39">
      <c r="B70" t="s">
        <v>50</v>
      </c>
      <c r="C70">
        <v>2005</v>
      </c>
      <c r="D70">
        <f>IFERROR(BIO!L69/BIO!L270,0)</f>
        <v>0</v>
      </c>
      <c r="E70">
        <f>IFERROR(BIO!M69/BIO!M270,0)</f>
        <v>0</v>
      </c>
      <c r="F70">
        <f>IFERROR(BIO!N69/BIO!N270,0)</f>
        <v>0</v>
      </c>
      <c r="G70">
        <f>IFERROR(BIO!O69/BIO!O270,0)</f>
        <v>0</v>
      </c>
      <c r="H70">
        <f>IFERROR(BIO!P69/BIO!P270,0)</f>
        <v>0</v>
      </c>
      <c r="I70">
        <f>IFERROR(BIO!Q69/BIO!Q270,0)</f>
        <v>0</v>
      </c>
      <c r="J70">
        <f>IFERROR(BIO!R69/BIO!R270,0)</f>
        <v>0</v>
      </c>
      <c r="K70">
        <f>IFERROR(BIO!S69/BIO!S270,0)</f>
        <v>0</v>
      </c>
      <c r="L70">
        <f>IFERROR(BIO!T69/BIO!T270,0)</f>
        <v>0</v>
      </c>
      <c r="M70">
        <f>IFERROR(BIO!U69/BIO!U270,0)</f>
        <v>0</v>
      </c>
      <c r="N70">
        <f>IFERROR(BIO!V69/BIO!V270,0)</f>
        <v>0</v>
      </c>
      <c r="O70">
        <f>IFERROR(BIO!W69/BIO!W270,0)</f>
        <v>0</v>
      </c>
      <c r="P70">
        <f>IFERROR(BIO!X69/BIO!X270,0)</f>
        <v>0</v>
      </c>
      <c r="Q70">
        <f>IFERROR(BIO!Y69/BIO!Y270,0)</f>
        <v>0</v>
      </c>
      <c r="R70">
        <f>IFERROR(BIO!Z69/BIO!Z270,0)</f>
        <v>0</v>
      </c>
      <c r="S70">
        <f>IFERROR(BIO!AA69/BIO!AA270,0)</f>
        <v>0</v>
      </c>
      <c r="T70">
        <f>IFERROR(BIO!AB69/BIO!AB270,0)</f>
        <v>0</v>
      </c>
      <c r="U70">
        <f>IFERROR(BIO!AC69/BIO!AC270,0)</f>
        <v>0</v>
      </c>
      <c r="V70">
        <f>IFERROR(BIO!AD69/BIO!AD270,0)</f>
        <v>0</v>
      </c>
      <c r="W70">
        <f>IFERROR(BIO!AE69/BIO!AE270,0)</f>
        <v>0</v>
      </c>
      <c r="X70">
        <f>IFERROR(BIO!AF69/BIO!AF270,0)</f>
        <v>0</v>
      </c>
      <c r="Y70">
        <f>IFERROR(BIO!AG69/BIO!AG270,0)</f>
        <v>0</v>
      </c>
      <c r="Z70">
        <f>IFERROR(BIO!AH69/BIO!AH270,0)</f>
        <v>0</v>
      </c>
      <c r="AA70">
        <f>IFERROR(BIO!AI69/BIO!AI270,0)</f>
        <v>0</v>
      </c>
      <c r="AB70">
        <f>IFERROR(BIO!AJ69/BIO!AJ270,0)</f>
        <v>0</v>
      </c>
      <c r="AC70">
        <f>IFERROR(BIO!AK69/BIO!AK270,0)</f>
        <v>0</v>
      </c>
      <c r="AD70">
        <f>IFERROR(BIO!AL69/BIO!AL270,0)</f>
        <v>0</v>
      </c>
      <c r="AE70">
        <f>IFERROR(BIO!AM69/BIO!AM270,0)</f>
        <v>0</v>
      </c>
      <c r="AF70">
        <f>IFERROR(BIO!AN69/BIO!AN270,0)</f>
        <v>0</v>
      </c>
      <c r="AG70">
        <f>IFERROR(BIO!AO69/BIO!AO270,0)</f>
        <v>0</v>
      </c>
      <c r="AH70">
        <f>IFERROR(BIO!AP69/BIO!AP270,0)</f>
        <v>0</v>
      </c>
      <c r="AI70">
        <f>IFERROR(BIO!AQ69/BIO!AQ270,0)</f>
        <v>0</v>
      </c>
      <c r="AJ70">
        <f>IFERROR(BIO!AR69/BIO!AR270,0)</f>
        <v>0</v>
      </c>
      <c r="AK70">
        <f>IFERROR(BIO!AS69/BIO!AS270,0)</f>
        <v>0</v>
      </c>
      <c r="AL70">
        <f>IFERROR(BIO!AT69/BIO!AT270,0)</f>
        <v>0</v>
      </c>
      <c r="AM70">
        <f>IFERROR(BIO!AU69/BIO!AU270,0)</f>
        <v>0</v>
      </c>
    </row>
    <row r="71" spans="2:39">
      <c r="B71" t="s">
        <v>50</v>
      </c>
      <c r="C71">
        <v>2010</v>
      </c>
      <c r="D71">
        <f>IFERROR(BIO!L70/BIO!L271,0)</f>
        <v>0</v>
      </c>
      <c r="E71">
        <f>IFERROR(BIO!M70/BIO!M271,0)</f>
        <v>0</v>
      </c>
      <c r="F71">
        <f>IFERROR(BIO!N70/BIO!N271,0)</f>
        <v>0</v>
      </c>
      <c r="G71">
        <f>IFERROR(BIO!O70/BIO!O271,0)</f>
        <v>0</v>
      </c>
      <c r="H71">
        <f>IFERROR(BIO!P70/BIO!P271,0)</f>
        <v>0</v>
      </c>
      <c r="I71">
        <f>IFERROR(BIO!Q70/BIO!Q271,0)</f>
        <v>0</v>
      </c>
      <c r="J71">
        <f>IFERROR(BIO!R70/BIO!R271,0)</f>
        <v>0</v>
      </c>
      <c r="K71">
        <f>IFERROR(BIO!S70/BIO!S271,0)</f>
        <v>0</v>
      </c>
      <c r="L71">
        <f>IFERROR(BIO!T70/BIO!T271,0)</f>
        <v>0</v>
      </c>
      <c r="M71">
        <f>IFERROR(BIO!U70/BIO!U271,0)</f>
        <v>0</v>
      </c>
      <c r="N71">
        <f>IFERROR(BIO!V70/BIO!V271,0)</f>
        <v>0</v>
      </c>
      <c r="O71">
        <f>IFERROR(BIO!W70/BIO!W271,0)</f>
        <v>0</v>
      </c>
      <c r="P71">
        <f>IFERROR(BIO!X70/BIO!X271,0)</f>
        <v>0</v>
      </c>
      <c r="Q71">
        <f>IFERROR(BIO!Y70/BIO!Y271,0)</f>
        <v>0</v>
      </c>
      <c r="R71">
        <f>IFERROR(BIO!Z70/BIO!Z271,0)</f>
        <v>0</v>
      </c>
      <c r="S71">
        <f>IFERROR(BIO!AA70/BIO!AA271,0)</f>
        <v>0</v>
      </c>
      <c r="T71">
        <f>IFERROR(BIO!AB70/BIO!AB271,0)</f>
        <v>0</v>
      </c>
      <c r="U71">
        <f>IFERROR(BIO!AC70/BIO!AC271,0)</f>
        <v>0</v>
      </c>
      <c r="V71">
        <f>IFERROR(BIO!AD70/BIO!AD271,0)</f>
        <v>0</v>
      </c>
      <c r="W71">
        <f>IFERROR(BIO!AE70/BIO!AE271,0)</f>
        <v>0</v>
      </c>
      <c r="X71">
        <f>IFERROR(BIO!AF70/BIO!AF271,0)</f>
        <v>0</v>
      </c>
      <c r="Y71">
        <f>IFERROR(BIO!AG70/BIO!AG271,0)</f>
        <v>0</v>
      </c>
      <c r="Z71">
        <f>IFERROR(BIO!AH70/BIO!AH271,0)</f>
        <v>0</v>
      </c>
      <c r="AA71">
        <f>IFERROR(BIO!AI70/BIO!AI271,0)</f>
        <v>0</v>
      </c>
      <c r="AB71">
        <f>IFERROR(BIO!AJ70/BIO!AJ271,0)</f>
        <v>0</v>
      </c>
      <c r="AC71">
        <f>IFERROR(BIO!AK70/BIO!AK271,0)</f>
        <v>0</v>
      </c>
      <c r="AD71">
        <f>IFERROR(BIO!AL70/BIO!AL271,0)</f>
        <v>0</v>
      </c>
      <c r="AE71">
        <f>IFERROR(BIO!AM70/BIO!AM271,0)</f>
        <v>0</v>
      </c>
      <c r="AF71">
        <f>IFERROR(BIO!AN70/BIO!AN271,0)</f>
        <v>0</v>
      </c>
      <c r="AG71">
        <f>IFERROR(BIO!AO70/BIO!AO271,0)</f>
        <v>0</v>
      </c>
      <c r="AH71">
        <f>IFERROR(BIO!AP70/BIO!AP271,0)</f>
        <v>0</v>
      </c>
      <c r="AI71">
        <f>IFERROR(BIO!AQ70/BIO!AQ271,0)</f>
        <v>0</v>
      </c>
      <c r="AJ71">
        <f>IFERROR(BIO!AR70/BIO!AR271,0)</f>
        <v>0</v>
      </c>
      <c r="AK71">
        <f>IFERROR(BIO!AS70/BIO!AS271,0)</f>
        <v>0</v>
      </c>
      <c r="AL71">
        <f>IFERROR(BIO!AT70/BIO!AT271,0)</f>
        <v>0</v>
      </c>
      <c r="AM71">
        <f>IFERROR(BIO!AU70/BIO!AU271,0)</f>
        <v>0</v>
      </c>
    </row>
    <row r="72" spans="2:39">
      <c r="B72" t="s">
        <v>50</v>
      </c>
      <c r="C72">
        <v>2020</v>
      </c>
      <c r="D72">
        <f>IFERROR(BIO!L71/BIO!L272,0)</f>
        <v>0.17866319570676176</v>
      </c>
      <c r="E72">
        <f>IFERROR(BIO!M71/BIO!M272,0)</f>
        <v>0</v>
      </c>
      <c r="F72">
        <f>IFERROR(BIO!N71/BIO!N272,0)</f>
        <v>0</v>
      </c>
      <c r="G72">
        <f>IFERROR(BIO!O71/BIO!O272,0)</f>
        <v>0</v>
      </c>
      <c r="H72">
        <f>IFERROR(BIO!P71/BIO!P272,0)</f>
        <v>0.17866319570676181</v>
      </c>
      <c r="I72">
        <f>IFERROR(BIO!Q71/BIO!Q272,0)</f>
        <v>0</v>
      </c>
      <c r="J72">
        <f>IFERROR(BIO!R71/BIO!R272,0)</f>
        <v>0.30192932902302166</v>
      </c>
      <c r="K72">
        <f>IFERROR(BIO!S71/BIO!S272,0)</f>
        <v>0</v>
      </c>
      <c r="L72">
        <f>IFERROR(BIO!T71/BIO!T272,0)</f>
        <v>0</v>
      </c>
      <c r="M72">
        <f>IFERROR(BIO!U71/BIO!U272,0)</f>
        <v>0</v>
      </c>
      <c r="N72">
        <f>IFERROR(BIO!V71/BIO!V272,0)</f>
        <v>0</v>
      </c>
      <c r="O72">
        <f>IFERROR(BIO!W71/BIO!W272,0)</f>
        <v>8.1547976683516196E-2</v>
      </c>
      <c r="P72">
        <f>IFERROR(BIO!X71/BIO!X272,0)</f>
        <v>0</v>
      </c>
      <c r="Q72">
        <f>IFERROR(BIO!Y71/BIO!Y272,0)</f>
        <v>3.8061425168095264E-3</v>
      </c>
      <c r="R72">
        <f>IFERROR(BIO!Z71/BIO!Z272,0)</f>
        <v>5.8555536121351948E-2</v>
      </c>
      <c r="S72">
        <f>IFERROR(BIO!AA71/BIO!AA272,0)</f>
        <v>0</v>
      </c>
      <c r="T72">
        <f>IFERROR(BIO!AB71/BIO!AB272,0)</f>
        <v>0</v>
      </c>
      <c r="U72">
        <f>IFERROR(BIO!AC71/BIO!AC272,0)</f>
        <v>0</v>
      </c>
      <c r="V72">
        <f>IFERROR(BIO!AD71/BIO!AD272,0)</f>
        <v>0</v>
      </c>
      <c r="W72">
        <f>IFERROR(BIO!AE71/BIO!AE272,0)</f>
        <v>4.1720512311442574E-2</v>
      </c>
      <c r="X72">
        <f>IFERROR(BIO!AF71/BIO!AF272,0)</f>
        <v>0</v>
      </c>
      <c r="Y72">
        <f>IFERROR(BIO!AG71/BIO!AG272,0)</f>
        <v>0</v>
      </c>
      <c r="Z72">
        <f>IFERROR(BIO!AH71/BIO!AH272,0)</f>
        <v>0</v>
      </c>
      <c r="AA72">
        <f>IFERROR(BIO!AI71/BIO!AI272,0)</f>
        <v>0.17866319570676184</v>
      </c>
      <c r="AB72">
        <f>IFERROR(BIO!AJ71/BIO!AJ272,0)</f>
        <v>0.17866319570676184</v>
      </c>
      <c r="AC72">
        <f>IFERROR(BIO!AK71/BIO!AK272,0)</f>
        <v>0</v>
      </c>
      <c r="AD72">
        <f>IFERROR(BIO!AL71/BIO!AL272,0)</f>
        <v>0</v>
      </c>
      <c r="AE72">
        <f>IFERROR(BIO!AM71/BIO!AM272,0)</f>
        <v>0</v>
      </c>
      <c r="AF72">
        <f>IFERROR(BIO!AN71/BIO!AN272,0)</f>
        <v>0</v>
      </c>
      <c r="AG72">
        <f>IFERROR(BIO!AO71/BIO!AO272,0)</f>
        <v>0.13032351128329583</v>
      </c>
      <c r="AH72">
        <f>IFERROR(BIO!AP71/BIO!AP272,0)</f>
        <v>0</v>
      </c>
      <c r="AI72">
        <f>IFERROR(BIO!AQ71/BIO!AQ272,0)</f>
        <v>0.17866319570676181</v>
      </c>
      <c r="AJ72">
        <f>IFERROR(BIO!AR71/BIO!AR272,0)</f>
        <v>0</v>
      </c>
      <c r="AK72">
        <f>IFERROR(BIO!AS71/BIO!AS272,0)</f>
        <v>5.6300455787704026E-2</v>
      </c>
      <c r="AL72">
        <f>IFERROR(BIO!AT71/BIO!AT272,0)</f>
        <v>0</v>
      </c>
      <c r="AM72">
        <f>IFERROR(BIO!AU71/BIO!AU272,0)</f>
        <v>0</v>
      </c>
    </row>
    <row r="73" spans="2:39">
      <c r="B73" t="s">
        <v>50</v>
      </c>
      <c r="C73">
        <v>2030</v>
      </c>
      <c r="D73">
        <f>IFERROR(BIO!L72/BIO!L273,0)</f>
        <v>0.17866319570676181</v>
      </c>
      <c r="E73">
        <f>IFERROR(BIO!M72/BIO!M273,0)</f>
        <v>0</v>
      </c>
      <c r="F73">
        <f>IFERROR(BIO!N72/BIO!N273,0)</f>
        <v>0</v>
      </c>
      <c r="G73">
        <f>IFERROR(BIO!O72/BIO!O273,0)</f>
        <v>0</v>
      </c>
      <c r="H73">
        <f>IFERROR(BIO!P72/BIO!P273,0)</f>
        <v>0.17866319570676181</v>
      </c>
      <c r="I73">
        <f>IFERROR(BIO!Q72/BIO!Q273,0)</f>
        <v>0</v>
      </c>
      <c r="J73">
        <f>IFERROR(BIO!R72/BIO!R273,0)</f>
        <v>0.30192932902302166</v>
      </c>
      <c r="K73">
        <f>IFERROR(BIO!S72/BIO!S273,0)</f>
        <v>0</v>
      </c>
      <c r="L73">
        <f>IFERROR(BIO!T72/BIO!T273,0)</f>
        <v>0</v>
      </c>
      <c r="M73">
        <f>IFERROR(BIO!U72/BIO!U273,0)</f>
        <v>0</v>
      </c>
      <c r="N73">
        <f>IFERROR(BIO!V72/BIO!V273,0)</f>
        <v>0</v>
      </c>
      <c r="O73">
        <f>IFERROR(BIO!W72/BIO!W273,0)</f>
        <v>7.535418891359183E-2</v>
      </c>
      <c r="P73">
        <f>IFERROR(BIO!X72/BIO!X273,0)</f>
        <v>0</v>
      </c>
      <c r="Q73">
        <f>IFERROR(BIO!Y72/BIO!Y273,0)</f>
        <v>3.68264186091563E-3</v>
      </c>
      <c r="R73">
        <f>IFERROR(BIO!Z72/BIO!Z273,0)</f>
        <v>6.1520914136159247E-2</v>
      </c>
      <c r="S73">
        <f>IFERROR(BIO!AA72/BIO!AA273,0)</f>
        <v>0</v>
      </c>
      <c r="T73">
        <f>IFERROR(BIO!AB72/BIO!AB273,0)</f>
        <v>0</v>
      </c>
      <c r="U73">
        <f>IFERROR(BIO!AC72/BIO!AC273,0)</f>
        <v>0</v>
      </c>
      <c r="V73">
        <f>IFERROR(BIO!AD72/BIO!AD273,0)</f>
        <v>0</v>
      </c>
      <c r="W73">
        <f>IFERROR(BIO!AE72/BIO!AE273,0)</f>
        <v>2.7626873339448334E-2</v>
      </c>
      <c r="X73">
        <f>IFERROR(BIO!AF72/BIO!AF273,0)</f>
        <v>0</v>
      </c>
      <c r="Y73">
        <f>IFERROR(BIO!AG72/BIO!AG273,0)</f>
        <v>0</v>
      </c>
      <c r="Z73">
        <f>IFERROR(BIO!AH72/BIO!AH273,0)</f>
        <v>0</v>
      </c>
      <c r="AA73">
        <f>IFERROR(BIO!AI72/BIO!AI273,0)</f>
        <v>0.17866319570676181</v>
      </c>
      <c r="AB73">
        <f>IFERROR(BIO!AJ72/BIO!AJ273,0)</f>
        <v>0.17866319570676184</v>
      </c>
      <c r="AC73">
        <f>IFERROR(BIO!AK72/BIO!AK273,0)</f>
        <v>0</v>
      </c>
      <c r="AD73">
        <f>IFERROR(BIO!AL72/BIO!AL273,0)</f>
        <v>0</v>
      </c>
      <c r="AE73">
        <f>IFERROR(BIO!AM72/BIO!AM273,0)</f>
        <v>0</v>
      </c>
      <c r="AF73">
        <f>IFERROR(BIO!AN72/BIO!AN273,0)</f>
        <v>0</v>
      </c>
      <c r="AG73">
        <f>IFERROR(BIO!AO72/BIO!AO273,0)</f>
        <v>0.11290923285977414</v>
      </c>
      <c r="AH73">
        <f>IFERROR(BIO!AP72/BIO!AP273,0)</f>
        <v>0</v>
      </c>
      <c r="AI73">
        <f>IFERROR(BIO!AQ72/BIO!AQ273,0)</f>
        <v>0.17866319570676181</v>
      </c>
      <c r="AJ73">
        <f>IFERROR(BIO!AR72/BIO!AR273,0)</f>
        <v>0</v>
      </c>
      <c r="AK73">
        <f>IFERROR(BIO!AS72/BIO!AS273,0)</f>
        <v>5.1475717648225602E-2</v>
      </c>
      <c r="AL73">
        <f>IFERROR(BIO!AT72/BIO!AT273,0)</f>
        <v>0</v>
      </c>
      <c r="AM73">
        <f>IFERROR(BIO!AU72/BIO!AU273,0)</f>
        <v>0</v>
      </c>
    </row>
    <row r="74" spans="2:39">
      <c r="B74" t="s">
        <v>50</v>
      </c>
      <c r="C74">
        <v>2040</v>
      </c>
      <c r="D74">
        <f>IFERROR(BIO!L73/BIO!L274,0)</f>
        <v>0.17866319570676181</v>
      </c>
      <c r="E74">
        <f>IFERROR(BIO!M73/BIO!M274,0)</f>
        <v>0</v>
      </c>
      <c r="F74">
        <f>IFERROR(BIO!N73/BIO!N274,0)</f>
        <v>0</v>
      </c>
      <c r="G74">
        <f>IFERROR(BIO!O73/BIO!O274,0)</f>
        <v>0</v>
      </c>
      <c r="H74">
        <f>IFERROR(BIO!P73/BIO!P274,0)</f>
        <v>0.17866319570676181</v>
      </c>
      <c r="I74">
        <f>IFERROR(BIO!Q73/BIO!Q274,0)</f>
        <v>0</v>
      </c>
      <c r="J74">
        <f>IFERROR(BIO!R73/BIO!R274,0)</f>
        <v>0.30192932902302166</v>
      </c>
      <c r="K74">
        <f>IFERROR(BIO!S73/BIO!S274,0)</f>
        <v>0</v>
      </c>
      <c r="L74">
        <f>IFERROR(BIO!T73/BIO!T274,0)</f>
        <v>0</v>
      </c>
      <c r="M74">
        <f>IFERROR(BIO!U73/BIO!U274,0)</f>
        <v>0</v>
      </c>
      <c r="N74">
        <f>IFERROR(BIO!V73/BIO!V274,0)</f>
        <v>0</v>
      </c>
      <c r="O74">
        <f>IFERROR(BIO!W73/BIO!W274,0)</f>
        <v>7.628071021909183E-2</v>
      </c>
      <c r="P74">
        <f>IFERROR(BIO!X73/BIO!X274,0)</f>
        <v>0</v>
      </c>
      <c r="Q74">
        <f>IFERROR(BIO!Y73/BIO!Y274,0)</f>
        <v>3.9127272837269703E-3</v>
      </c>
      <c r="R74">
        <f>IFERROR(BIO!Z73/BIO!Z274,0)</f>
        <v>6.0282986253941621E-2</v>
      </c>
      <c r="S74">
        <f>IFERROR(BIO!AA73/BIO!AA274,0)</f>
        <v>0</v>
      </c>
      <c r="T74">
        <f>IFERROR(BIO!AB73/BIO!AB274,0)</f>
        <v>0</v>
      </c>
      <c r="U74">
        <f>IFERROR(BIO!AC73/BIO!AC274,0)</f>
        <v>0</v>
      </c>
      <c r="V74">
        <f>IFERROR(BIO!AD73/BIO!AD274,0)</f>
        <v>0</v>
      </c>
      <c r="W74">
        <f>IFERROR(BIO!AE73/BIO!AE274,0)</f>
        <v>2.7010465652826648E-2</v>
      </c>
      <c r="X74">
        <f>IFERROR(BIO!AF73/BIO!AF274,0)</f>
        <v>0</v>
      </c>
      <c r="Y74">
        <f>IFERROR(BIO!AG73/BIO!AG274,0)</f>
        <v>0</v>
      </c>
      <c r="Z74">
        <f>IFERROR(BIO!AH73/BIO!AH274,0)</f>
        <v>0</v>
      </c>
      <c r="AA74">
        <f>IFERROR(BIO!AI73/BIO!AI274,0)</f>
        <v>0.17866319570676178</v>
      </c>
      <c r="AB74">
        <f>IFERROR(BIO!AJ73/BIO!AJ274,0)</f>
        <v>0.17866319570676187</v>
      </c>
      <c r="AC74">
        <f>IFERROR(BIO!AK73/BIO!AK274,0)</f>
        <v>0</v>
      </c>
      <c r="AD74">
        <f>IFERROR(BIO!AL73/BIO!AL274,0)</f>
        <v>0</v>
      </c>
      <c r="AE74">
        <f>IFERROR(BIO!AM73/BIO!AM274,0)</f>
        <v>0</v>
      </c>
      <c r="AF74">
        <f>IFERROR(BIO!AN73/BIO!AN274,0)</f>
        <v>0</v>
      </c>
      <c r="AG74">
        <f>IFERROR(BIO!AO73/BIO!AO274,0)</f>
        <v>0.15329710713131647</v>
      </c>
      <c r="AH74">
        <f>IFERROR(BIO!AP73/BIO!AP274,0)</f>
        <v>0</v>
      </c>
      <c r="AI74">
        <f>IFERROR(BIO!AQ73/BIO!AQ274,0)</f>
        <v>0.17866319570676181</v>
      </c>
      <c r="AJ74">
        <f>IFERROR(BIO!AR73/BIO!AR274,0)</f>
        <v>0</v>
      </c>
      <c r="AK74">
        <f>IFERROR(BIO!AS73/BIO!AS274,0)</f>
        <v>5.2158253027878881E-2</v>
      </c>
      <c r="AL74">
        <f>IFERROR(BIO!AT73/BIO!AT274,0)</f>
        <v>0</v>
      </c>
      <c r="AM74">
        <f>IFERROR(BIO!AU73/BIO!AU274,0)</f>
        <v>0</v>
      </c>
    </row>
    <row r="75" spans="2:39">
      <c r="B75" t="s">
        <v>50</v>
      </c>
      <c r="C75">
        <v>2050</v>
      </c>
      <c r="D75">
        <f>IFERROR(BIO!L74/BIO!L275,0)</f>
        <v>0.17866319570676187</v>
      </c>
      <c r="E75">
        <f>IFERROR(BIO!M74/BIO!M275,0)</f>
        <v>0</v>
      </c>
      <c r="F75">
        <f>IFERROR(BIO!N74/BIO!N275,0)</f>
        <v>0</v>
      </c>
      <c r="G75">
        <f>IFERROR(BIO!O74/BIO!O275,0)</f>
        <v>0</v>
      </c>
      <c r="H75">
        <f>IFERROR(BIO!P74/BIO!P275,0)</f>
        <v>0.17866319570676184</v>
      </c>
      <c r="I75">
        <f>IFERROR(BIO!Q74/BIO!Q275,0)</f>
        <v>0</v>
      </c>
      <c r="J75">
        <f>IFERROR(BIO!R74/BIO!R275,0)</f>
        <v>0.30192932902302178</v>
      </c>
      <c r="K75">
        <f>IFERROR(BIO!S74/BIO!S275,0)</f>
        <v>0</v>
      </c>
      <c r="L75">
        <f>IFERROR(BIO!T74/BIO!T275,0)</f>
        <v>0</v>
      </c>
      <c r="M75">
        <f>IFERROR(BIO!U74/BIO!U275,0)</f>
        <v>0</v>
      </c>
      <c r="N75">
        <f>IFERROR(BIO!V74/BIO!V275,0)</f>
        <v>0</v>
      </c>
      <c r="O75">
        <f>IFERROR(BIO!W74/BIO!W275,0)</f>
        <v>7.7820346942755692E-2</v>
      </c>
      <c r="P75">
        <f>IFERROR(BIO!X74/BIO!X275,0)</f>
        <v>0</v>
      </c>
      <c r="Q75">
        <f>IFERROR(BIO!Y74/BIO!Y275,0)</f>
        <v>4.1559808317533182E-3</v>
      </c>
      <c r="R75">
        <f>IFERROR(BIO!Z74/BIO!Z275,0)</f>
        <v>6.0149309231208856E-2</v>
      </c>
      <c r="S75">
        <f>IFERROR(BIO!AA74/BIO!AA275,0)</f>
        <v>0</v>
      </c>
      <c r="T75">
        <f>IFERROR(BIO!AB74/BIO!AB275,0)</f>
        <v>0</v>
      </c>
      <c r="U75">
        <f>IFERROR(BIO!AC74/BIO!AC275,0)</f>
        <v>0</v>
      </c>
      <c r="V75">
        <f>IFERROR(BIO!AD74/BIO!AD275,0)</f>
        <v>0</v>
      </c>
      <c r="W75">
        <f>IFERROR(BIO!AE74/BIO!AE275,0)</f>
        <v>2.613607377240889E-2</v>
      </c>
      <c r="X75">
        <f>IFERROR(BIO!AF74/BIO!AF275,0)</f>
        <v>0</v>
      </c>
      <c r="Y75">
        <f>IFERROR(BIO!AG74/BIO!AG275,0)</f>
        <v>0</v>
      </c>
      <c r="Z75">
        <f>IFERROR(BIO!AH74/BIO!AH275,0)</f>
        <v>0</v>
      </c>
      <c r="AA75">
        <f>IFERROR(BIO!AI74/BIO!AI275,0)</f>
        <v>0.17866319570676178</v>
      </c>
      <c r="AB75">
        <f>IFERROR(BIO!AJ74/BIO!AJ275,0)</f>
        <v>0.17866319570676181</v>
      </c>
      <c r="AC75">
        <f>IFERROR(BIO!AK74/BIO!AK275,0)</f>
        <v>0</v>
      </c>
      <c r="AD75">
        <f>IFERROR(BIO!AL74/BIO!AL275,0)</f>
        <v>0</v>
      </c>
      <c r="AE75">
        <f>IFERROR(BIO!AM74/BIO!AM275,0)</f>
        <v>0</v>
      </c>
      <c r="AF75">
        <f>IFERROR(BIO!AN74/BIO!AN275,0)</f>
        <v>0</v>
      </c>
      <c r="AG75">
        <f>IFERROR(BIO!AO74/BIO!AO275,0)</f>
        <v>0.19279391168156518</v>
      </c>
      <c r="AH75">
        <f>IFERROR(BIO!AP74/BIO!AP275,0)</f>
        <v>0</v>
      </c>
      <c r="AI75">
        <f>IFERROR(BIO!AQ74/BIO!AQ275,0)</f>
        <v>0.17866319570676187</v>
      </c>
      <c r="AJ75">
        <f>IFERROR(BIO!AR74/BIO!AR275,0)</f>
        <v>0</v>
      </c>
      <c r="AK75">
        <f>IFERROR(BIO!AS74/BIO!AS275,0)</f>
        <v>5.3296761632476389E-2</v>
      </c>
      <c r="AL75">
        <f>IFERROR(BIO!AT74/BIO!AT275,0)</f>
        <v>0</v>
      </c>
      <c r="AM75">
        <f>IFERROR(BIO!AU74/BIO!AU275,0)</f>
        <v>0</v>
      </c>
    </row>
    <row r="77" spans="2:39">
      <c r="C77">
        <v>2005</v>
      </c>
      <c r="D77">
        <f>SUMIFS(D$40:D$75,$C$40:$C$75,$C77)</f>
        <v>0</v>
      </c>
      <c r="E77">
        <f>SUMIFS(E$40:E$75,$C$40:$C$75,$C77)</f>
        <v>1</v>
      </c>
      <c r="F77">
        <f>SUMIFS(F$40:F$75,$C$40:$C$75,$C77)</f>
        <v>1</v>
      </c>
      <c r="G77">
        <f>SUMIFS(G$40:G$75,$C$40:$C$75,$C77)</f>
        <v>1</v>
      </c>
      <c r="H77">
        <f t="shared" ref="H77:AM82" si="1">SUMIFS(H$40:H$75,$C$40:$C$75,$C77)</f>
        <v>0</v>
      </c>
      <c r="I77">
        <f t="shared" si="1"/>
        <v>0</v>
      </c>
      <c r="J77">
        <f t="shared" si="1"/>
        <v>0</v>
      </c>
      <c r="K77">
        <f t="shared" si="1"/>
        <v>1</v>
      </c>
      <c r="L77">
        <f t="shared" si="1"/>
        <v>0.99999999999999989</v>
      </c>
      <c r="M77">
        <f t="shared" si="1"/>
        <v>0.99999999999999989</v>
      </c>
      <c r="N77">
        <f t="shared" si="1"/>
        <v>1</v>
      </c>
      <c r="O77">
        <f t="shared" si="1"/>
        <v>0.99999999999999989</v>
      </c>
      <c r="P77">
        <f t="shared" si="1"/>
        <v>0</v>
      </c>
      <c r="Q77">
        <f t="shared" si="1"/>
        <v>1</v>
      </c>
      <c r="R77">
        <f t="shared" si="1"/>
        <v>1</v>
      </c>
      <c r="S77">
        <f t="shared" si="1"/>
        <v>1</v>
      </c>
      <c r="T77">
        <f t="shared" si="1"/>
        <v>1</v>
      </c>
      <c r="U77">
        <f t="shared" si="1"/>
        <v>1</v>
      </c>
      <c r="V77">
        <f t="shared" si="1"/>
        <v>0</v>
      </c>
      <c r="W77">
        <f t="shared" si="1"/>
        <v>1</v>
      </c>
      <c r="X77">
        <f t="shared" si="1"/>
        <v>1</v>
      </c>
      <c r="Y77">
        <f t="shared" si="1"/>
        <v>1</v>
      </c>
      <c r="Z77">
        <f t="shared" si="1"/>
        <v>1</v>
      </c>
      <c r="AA77">
        <f t="shared" si="1"/>
        <v>0</v>
      </c>
      <c r="AB77">
        <f t="shared" si="1"/>
        <v>0</v>
      </c>
      <c r="AC77">
        <f t="shared" si="1"/>
        <v>0</v>
      </c>
      <c r="AD77">
        <f t="shared" si="1"/>
        <v>1</v>
      </c>
      <c r="AE77">
        <f t="shared" si="1"/>
        <v>0</v>
      </c>
      <c r="AF77">
        <f t="shared" si="1"/>
        <v>1</v>
      </c>
      <c r="AG77">
        <f t="shared" si="1"/>
        <v>1</v>
      </c>
      <c r="AH77">
        <f t="shared" si="1"/>
        <v>1</v>
      </c>
      <c r="AI77">
        <f t="shared" si="1"/>
        <v>0</v>
      </c>
      <c r="AJ77">
        <f t="shared" si="1"/>
        <v>1</v>
      </c>
      <c r="AK77">
        <f t="shared" si="1"/>
        <v>1</v>
      </c>
      <c r="AL77">
        <f t="shared" si="1"/>
        <v>1</v>
      </c>
      <c r="AM77">
        <f t="shared" si="1"/>
        <v>1</v>
      </c>
    </row>
    <row r="78" spans="2:39">
      <c r="C78">
        <v>2010</v>
      </c>
      <c r="D78">
        <f t="shared" ref="D78:S82" si="2">SUMIFS(D$40:D$75,$C$40:$C$75,$C78)</f>
        <v>0</v>
      </c>
      <c r="E78">
        <f t="shared" si="2"/>
        <v>1</v>
      </c>
      <c r="F78">
        <f t="shared" si="2"/>
        <v>1</v>
      </c>
      <c r="G78">
        <f t="shared" si="2"/>
        <v>1</v>
      </c>
      <c r="H78">
        <f t="shared" si="2"/>
        <v>0</v>
      </c>
      <c r="I78">
        <f t="shared" si="2"/>
        <v>0</v>
      </c>
      <c r="J78">
        <f t="shared" si="2"/>
        <v>0</v>
      </c>
      <c r="K78">
        <f t="shared" si="2"/>
        <v>1</v>
      </c>
      <c r="L78">
        <f t="shared" si="2"/>
        <v>0.99999999999999989</v>
      </c>
      <c r="M78">
        <f t="shared" si="2"/>
        <v>0.99999999999999989</v>
      </c>
      <c r="N78">
        <f t="shared" si="2"/>
        <v>1</v>
      </c>
      <c r="O78">
        <f t="shared" si="2"/>
        <v>0.99999999999999989</v>
      </c>
      <c r="P78">
        <f t="shared" si="2"/>
        <v>0</v>
      </c>
      <c r="Q78">
        <f t="shared" si="2"/>
        <v>1</v>
      </c>
      <c r="R78">
        <f t="shared" si="2"/>
        <v>1</v>
      </c>
      <c r="S78">
        <f t="shared" si="2"/>
        <v>1</v>
      </c>
      <c r="T78">
        <f t="shared" si="1"/>
        <v>1</v>
      </c>
      <c r="U78">
        <f t="shared" si="1"/>
        <v>1</v>
      </c>
      <c r="V78">
        <f t="shared" si="1"/>
        <v>0</v>
      </c>
      <c r="W78">
        <f t="shared" si="1"/>
        <v>1</v>
      </c>
      <c r="X78">
        <f t="shared" si="1"/>
        <v>1</v>
      </c>
      <c r="Y78">
        <f t="shared" si="1"/>
        <v>1</v>
      </c>
      <c r="Z78">
        <f t="shared" si="1"/>
        <v>1</v>
      </c>
      <c r="AA78">
        <f t="shared" si="1"/>
        <v>0</v>
      </c>
      <c r="AB78">
        <f t="shared" si="1"/>
        <v>0</v>
      </c>
      <c r="AC78">
        <f t="shared" si="1"/>
        <v>0</v>
      </c>
      <c r="AD78">
        <f t="shared" si="1"/>
        <v>1</v>
      </c>
      <c r="AE78">
        <f t="shared" si="1"/>
        <v>0</v>
      </c>
      <c r="AF78">
        <f t="shared" si="1"/>
        <v>1</v>
      </c>
      <c r="AG78">
        <f t="shared" si="1"/>
        <v>1</v>
      </c>
      <c r="AH78">
        <f t="shared" si="1"/>
        <v>1</v>
      </c>
      <c r="AI78">
        <f t="shared" si="1"/>
        <v>0</v>
      </c>
      <c r="AJ78">
        <f t="shared" si="1"/>
        <v>1</v>
      </c>
      <c r="AK78">
        <f t="shared" si="1"/>
        <v>1</v>
      </c>
      <c r="AL78">
        <f t="shared" si="1"/>
        <v>1</v>
      </c>
      <c r="AM78">
        <f t="shared" si="1"/>
        <v>1</v>
      </c>
    </row>
    <row r="79" spans="2:39">
      <c r="C79">
        <v>2020</v>
      </c>
      <c r="D79">
        <f t="shared" si="2"/>
        <v>1</v>
      </c>
      <c r="E79">
        <f t="shared" si="2"/>
        <v>1</v>
      </c>
      <c r="F79">
        <f t="shared" si="2"/>
        <v>1</v>
      </c>
      <c r="G79">
        <f t="shared" si="2"/>
        <v>1</v>
      </c>
      <c r="H79">
        <f t="shared" si="1"/>
        <v>0.99999999999999989</v>
      </c>
      <c r="I79">
        <f t="shared" si="1"/>
        <v>0</v>
      </c>
      <c r="J79">
        <f t="shared" si="1"/>
        <v>1</v>
      </c>
      <c r="K79">
        <f t="shared" si="1"/>
        <v>0.99999999999999989</v>
      </c>
      <c r="L79">
        <f t="shared" si="1"/>
        <v>1.0000000000000002</v>
      </c>
      <c r="M79">
        <f t="shared" si="1"/>
        <v>1.0000000000000002</v>
      </c>
      <c r="N79">
        <f t="shared" si="1"/>
        <v>1</v>
      </c>
      <c r="O79">
        <f t="shared" si="1"/>
        <v>0.99999999999999989</v>
      </c>
      <c r="P79">
        <f t="shared" si="1"/>
        <v>1</v>
      </c>
      <c r="Q79">
        <f t="shared" si="1"/>
        <v>1</v>
      </c>
      <c r="R79">
        <f t="shared" si="1"/>
        <v>1</v>
      </c>
      <c r="S79">
        <f t="shared" si="1"/>
        <v>1</v>
      </c>
      <c r="T79">
        <f t="shared" si="1"/>
        <v>0.99999999999999989</v>
      </c>
      <c r="U79">
        <f t="shared" si="1"/>
        <v>1</v>
      </c>
      <c r="V79">
        <f t="shared" si="1"/>
        <v>0</v>
      </c>
      <c r="W79">
        <f t="shared" si="1"/>
        <v>1</v>
      </c>
      <c r="X79">
        <f t="shared" si="1"/>
        <v>1</v>
      </c>
      <c r="Y79">
        <f t="shared" si="1"/>
        <v>1</v>
      </c>
      <c r="Z79">
        <f t="shared" si="1"/>
        <v>1</v>
      </c>
      <c r="AA79">
        <f t="shared" si="1"/>
        <v>1</v>
      </c>
      <c r="AB79">
        <f t="shared" si="1"/>
        <v>1</v>
      </c>
      <c r="AC79">
        <f t="shared" si="1"/>
        <v>0</v>
      </c>
      <c r="AD79">
        <f t="shared" si="1"/>
        <v>1</v>
      </c>
      <c r="AE79">
        <f t="shared" si="1"/>
        <v>1</v>
      </c>
      <c r="AF79">
        <f t="shared" si="1"/>
        <v>1</v>
      </c>
      <c r="AG79">
        <f t="shared" si="1"/>
        <v>1</v>
      </c>
      <c r="AH79">
        <f t="shared" si="1"/>
        <v>1</v>
      </c>
      <c r="AI79">
        <f t="shared" si="1"/>
        <v>1</v>
      </c>
      <c r="AJ79">
        <f t="shared" si="1"/>
        <v>1</v>
      </c>
      <c r="AK79">
        <f t="shared" si="1"/>
        <v>1</v>
      </c>
      <c r="AL79">
        <f t="shared" si="1"/>
        <v>1</v>
      </c>
      <c r="AM79">
        <f t="shared" si="1"/>
        <v>1</v>
      </c>
    </row>
    <row r="80" spans="2:39">
      <c r="C80">
        <v>2030</v>
      </c>
      <c r="D80">
        <f t="shared" si="2"/>
        <v>1</v>
      </c>
      <c r="E80">
        <f t="shared" si="2"/>
        <v>1</v>
      </c>
      <c r="F80">
        <f t="shared" si="2"/>
        <v>1</v>
      </c>
      <c r="G80">
        <f t="shared" si="2"/>
        <v>0.99999999999999989</v>
      </c>
      <c r="H80">
        <f t="shared" si="1"/>
        <v>0.99999999999999989</v>
      </c>
      <c r="I80">
        <f t="shared" si="1"/>
        <v>0</v>
      </c>
      <c r="J80">
        <f t="shared" si="1"/>
        <v>1</v>
      </c>
      <c r="K80">
        <f t="shared" si="1"/>
        <v>0.99999999999999978</v>
      </c>
      <c r="L80">
        <f t="shared" si="1"/>
        <v>1</v>
      </c>
      <c r="M80">
        <f t="shared" si="1"/>
        <v>1</v>
      </c>
      <c r="N80">
        <f t="shared" si="1"/>
        <v>1</v>
      </c>
      <c r="O80">
        <f t="shared" si="1"/>
        <v>1</v>
      </c>
      <c r="P80">
        <f t="shared" si="1"/>
        <v>1</v>
      </c>
      <c r="Q80">
        <f t="shared" si="1"/>
        <v>1</v>
      </c>
      <c r="R80">
        <f t="shared" si="1"/>
        <v>0.99999999999999989</v>
      </c>
      <c r="S80">
        <f t="shared" si="1"/>
        <v>1</v>
      </c>
      <c r="T80">
        <f t="shared" si="1"/>
        <v>0.99999999999999978</v>
      </c>
      <c r="U80">
        <f t="shared" si="1"/>
        <v>1</v>
      </c>
      <c r="V80">
        <f t="shared" si="1"/>
        <v>0</v>
      </c>
      <c r="W80">
        <f t="shared" si="1"/>
        <v>0.99999999999999989</v>
      </c>
      <c r="X80">
        <f t="shared" si="1"/>
        <v>1</v>
      </c>
      <c r="Y80">
        <f t="shared" si="1"/>
        <v>1</v>
      </c>
      <c r="Z80">
        <f t="shared" si="1"/>
        <v>1</v>
      </c>
      <c r="AA80">
        <f t="shared" si="1"/>
        <v>1</v>
      </c>
      <c r="AB80">
        <f t="shared" si="1"/>
        <v>1</v>
      </c>
      <c r="AC80">
        <f t="shared" si="1"/>
        <v>0</v>
      </c>
      <c r="AD80">
        <f t="shared" si="1"/>
        <v>1</v>
      </c>
      <c r="AE80">
        <f t="shared" si="1"/>
        <v>1</v>
      </c>
      <c r="AF80">
        <f t="shared" si="1"/>
        <v>1</v>
      </c>
      <c r="AG80">
        <f t="shared" si="1"/>
        <v>1</v>
      </c>
      <c r="AH80">
        <f t="shared" si="1"/>
        <v>1</v>
      </c>
      <c r="AI80">
        <f t="shared" si="1"/>
        <v>1</v>
      </c>
      <c r="AJ80">
        <f t="shared" si="1"/>
        <v>1</v>
      </c>
      <c r="AK80">
        <f t="shared" si="1"/>
        <v>1</v>
      </c>
      <c r="AL80">
        <f t="shared" si="1"/>
        <v>1</v>
      </c>
      <c r="AM80">
        <f t="shared" si="1"/>
        <v>1</v>
      </c>
    </row>
    <row r="81" spans="2:39">
      <c r="C81">
        <v>2040</v>
      </c>
      <c r="D81">
        <f t="shared" si="2"/>
        <v>1</v>
      </c>
      <c r="E81">
        <f t="shared" si="2"/>
        <v>1</v>
      </c>
      <c r="F81">
        <f t="shared" si="2"/>
        <v>1</v>
      </c>
      <c r="G81">
        <f t="shared" si="2"/>
        <v>0.99999999999999989</v>
      </c>
      <c r="H81">
        <f t="shared" si="1"/>
        <v>1</v>
      </c>
      <c r="I81">
        <f t="shared" si="1"/>
        <v>0</v>
      </c>
      <c r="J81">
        <f t="shared" si="1"/>
        <v>1</v>
      </c>
      <c r="K81">
        <f t="shared" si="1"/>
        <v>1</v>
      </c>
      <c r="L81">
        <f t="shared" si="1"/>
        <v>1</v>
      </c>
      <c r="M81">
        <f t="shared" si="1"/>
        <v>0.99999999999999989</v>
      </c>
      <c r="N81">
        <f t="shared" si="1"/>
        <v>1</v>
      </c>
      <c r="O81">
        <f t="shared" si="1"/>
        <v>1</v>
      </c>
      <c r="P81">
        <f t="shared" si="1"/>
        <v>1</v>
      </c>
      <c r="Q81">
        <f t="shared" si="1"/>
        <v>0.99999999999999989</v>
      </c>
      <c r="R81">
        <f t="shared" si="1"/>
        <v>0.99999999999999989</v>
      </c>
      <c r="S81">
        <f t="shared" si="1"/>
        <v>1</v>
      </c>
      <c r="T81">
        <f t="shared" si="1"/>
        <v>1</v>
      </c>
      <c r="U81">
        <f t="shared" si="1"/>
        <v>1</v>
      </c>
      <c r="V81">
        <f t="shared" si="1"/>
        <v>0</v>
      </c>
      <c r="W81">
        <f t="shared" si="1"/>
        <v>0.99999999999999989</v>
      </c>
      <c r="X81">
        <f t="shared" si="1"/>
        <v>1</v>
      </c>
      <c r="Y81">
        <f t="shared" si="1"/>
        <v>1</v>
      </c>
      <c r="Z81">
        <f t="shared" si="1"/>
        <v>1</v>
      </c>
      <c r="AA81">
        <f t="shared" si="1"/>
        <v>1</v>
      </c>
      <c r="AB81">
        <f t="shared" si="1"/>
        <v>1</v>
      </c>
      <c r="AC81">
        <f t="shared" si="1"/>
        <v>0</v>
      </c>
      <c r="AD81">
        <f t="shared" si="1"/>
        <v>1</v>
      </c>
      <c r="AE81">
        <f t="shared" si="1"/>
        <v>1</v>
      </c>
      <c r="AF81">
        <f t="shared" si="1"/>
        <v>0.99999999999999989</v>
      </c>
      <c r="AG81">
        <f t="shared" si="1"/>
        <v>0.99999999999999989</v>
      </c>
      <c r="AH81">
        <f t="shared" si="1"/>
        <v>1</v>
      </c>
      <c r="AI81">
        <f t="shared" si="1"/>
        <v>0.99999999999999989</v>
      </c>
      <c r="AJ81">
        <f t="shared" si="1"/>
        <v>1</v>
      </c>
      <c r="AK81">
        <f t="shared" si="1"/>
        <v>1</v>
      </c>
      <c r="AL81">
        <f t="shared" si="1"/>
        <v>1</v>
      </c>
      <c r="AM81">
        <f t="shared" si="1"/>
        <v>1</v>
      </c>
    </row>
    <row r="82" spans="2:39">
      <c r="C82">
        <v>2050</v>
      </c>
      <c r="D82">
        <f t="shared" si="2"/>
        <v>1</v>
      </c>
      <c r="E82">
        <f t="shared" si="2"/>
        <v>1</v>
      </c>
      <c r="F82">
        <f t="shared" si="2"/>
        <v>1.0000000000000002</v>
      </c>
      <c r="G82">
        <f t="shared" si="2"/>
        <v>0.99999999999999989</v>
      </c>
      <c r="H82">
        <f t="shared" si="1"/>
        <v>1</v>
      </c>
      <c r="I82">
        <f t="shared" si="1"/>
        <v>0</v>
      </c>
      <c r="J82">
        <f t="shared" si="1"/>
        <v>1</v>
      </c>
      <c r="K82">
        <f t="shared" si="1"/>
        <v>1</v>
      </c>
      <c r="L82">
        <f t="shared" si="1"/>
        <v>1</v>
      </c>
      <c r="M82">
        <f t="shared" si="1"/>
        <v>1</v>
      </c>
      <c r="N82">
        <f t="shared" si="1"/>
        <v>1</v>
      </c>
      <c r="O82">
        <f t="shared" si="1"/>
        <v>1</v>
      </c>
      <c r="P82">
        <f t="shared" si="1"/>
        <v>1</v>
      </c>
      <c r="Q82">
        <f t="shared" si="1"/>
        <v>1.0000000000000002</v>
      </c>
      <c r="R82">
        <f t="shared" si="1"/>
        <v>1</v>
      </c>
      <c r="S82">
        <f t="shared" si="1"/>
        <v>1</v>
      </c>
      <c r="T82">
        <f t="shared" si="1"/>
        <v>1</v>
      </c>
      <c r="U82">
        <f t="shared" si="1"/>
        <v>1</v>
      </c>
      <c r="V82">
        <f t="shared" si="1"/>
        <v>0</v>
      </c>
      <c r="W82">
        <f t="shared" si="1"/>
        <v>1</v>
      </c>
      <c r="X82">
        <f t="shared" si="1"/>
        <v>1</v>
      </c>
      <c r="Y82">
        <f t="shared" si="1"/>
        <v>1</v>
      </c>
      <c r="Z82">
        <f t="shared" si="1"/>
        <v>1</v>
      </c>
      <c r="AA82">
        <f t="shared" si="1"/>
        <v>1</v>
      </c>
      <c r="AB82">
        <f t="shared" si="1"/>
        <v>1</v>
      </c>
      <c r="AC82">
        <f t="shared" si="1"/>
        <v>0</v>
      </c>
      <c r="AD82">
        <f t="shared" si="1"/>
        <v>1</v>
      </c>
      <c r="AE82">
        <f t="shared" si="1"/>
        <v>1</v>
      </c>
      <c r="AF82">
        <f t="shared" si="1"/>
        <v>1.0000000000000002</v>
      </c>
      <c r="AG82">
        <f t="shared" si="1"/>
        <v>1</v>
      </c>
      <c r="AH82">
        <f t="shared" si="1"/>
        <v>1</v>
      </c>
      <c r="AI82">
        <f t="shared" si="1"/>
        <v>1</v>
      </c>
      <c r="AJ82">
        <f t="shared" si="1"/>
        <v>1</v>
      </c>
      <c r="AK82">
        <f t="shared" si="1"/>
        <v>1</v>
      </c>
      <c r="AL82">
        <f t="shared" si="1"/>
        <v>1</v>
      </c>
      <c r="AM82">
        <f t="shared" si="1"/>
        <v>1</v>
      </c>
    </row>
    <row r="84" spans="2:39">
      <c r="B84" t="s">
        <v>151</v>
      </c>
      <c r="C84" t="s">
        <v>154</v>
      </c>
      <c r="D84" s="89" t="s">
        <v>5</v>
      </c>
      <c r="E84" s="89" t="s">
        <v>6</v>
      </c>
      <c r="F84" s="89" t="s">
        <v>7</v>
      </c>
      <c r="G84" s="89" t="s">
        <v>8</v>
      </c>
      <c r="H84" s="89" t="s">
        <v>97</v>
      </c>
      <c r="I84" s="89" t="s">
        <v>9</v>
      </c>
      <c r="J84" s="89" t="s">
        <v>10</v>
      </c>
      <c r="K84" s="89" t="s">
        <v>11</v>
      </c>
      <c r="L84" s="89" t="s">
        <v>12</v>
      </c>
      <c r="M84" s="89" t="s">
        <v>13</v>
      </c>
      <c r="N84" s="89" t="s">
        <v>14</v>
      </c>
      <c r="O84" s="89" t="s">
        <v>15</v>
      </c>
      <c r="P84" s="89" t="s">
        <v>16</v>
      </c>
      <c r="Q84" s="89" t="s">
        <v>17</v>
      </c>
      <c r="R84" s="89" t="s">
        <v>98</v>
      </c>
      <c r="S84" s="89" t="s">
        <v>18</v>
      </c>
      <c r="T84" s="89" t="s">
        <v>19</v>
      </c>
      <c r="U84" s="89" t="s">
        <v>20</v>
      </c>
      <c r="V84" s="89" t="s">
        <v>21</v>
      </c>
      <c r="W84" s="89" t="s">
        <v>22</v>
      </c>
      <c r="X84" s="89" t="s">
        <v>23</v>
      </c>
      <c r="Y84" s="89" t="s">
        <v>24</v>
      </c>
      <c r="Z84" s="89" t="s">
        <v>25</v>
      </c>
      <c r="AA84" s="89" t="s">
        <v>26</v>
      </c>
      <c r="AB84" s="89" t="s">
        <v>27</v>
      </c>
      <c r="AC84" s="89" t="s">
        <v>28</v>
      </c>
      <c r="AD84" s="89" t="s">
        <v>29</v>
      </c>
      <c r="AE84" s="89" t="s">
        <v>30</v>
      </c>
      <c r="AF84" s="89" t="s">
        <v>31</v>
      </c>
      <c r="AG84" s="89" t="s">
        <v>32</v>
      </c>
      <c r="AH84" s="89" t="s">
        <v>33</v>
      </c>
      <c r="AI84" s="89" t="s">
        <v>34</v>
      </c>
      <c r="AJ84" s="89" t="s">
        <v>35</v>
      </c>
      <c r="AK84" s="89" t="s">
        <v>36</v>
      </c>
      <c r="AL84" s="89" t="s">
        <v>37</v>
      </c>
      <c r="AM84" s="89" t="s">
        <v>38</v>
      </c>
    </row>
    <row r="85" spans="2:39">
      <c r="B85" t="s">
        <v>60</v>
      </c>
      <c r="C85">
        <v>2005</v>
      </c>
      <c r="D85">
        <f>IFERROR(BIO!L133/BIO!L291,0)</f>
        <v>0</v>
      </c>
      <c r="E85">
        <f>IFERROR(BIO!M133/BIO!M291,0)</f>
        <v>0</v>
      </c>
      <c r="F85">
        <f>IFERROR(BIO!N133/BIO!N291,0)</f>
        <v>0</v>
      </c>
      <c r="G85">
        <f>IFERROR(BIO!O133/BIO!O291,0)</f>
        <v>0</v>
      </c>
      <c r="H85">
        <f>IFERROR(BIO!P133/BIO!P291,0)</f>
        <v>0</v>
      </c>
      <c r="I85">
        <f>IFERROR(BIO!Q133/BIO!Q291,0)</f>
        <v>0</v>
      </c>
      <c r="J85">
        <f>IFERROR(BIO!R133/BIO!R291,0)</f>
        <v>0</v>
      </c>
      <c r="K85">
        <f>IFERROR(BIO!S133/BIO!S291,0)</f>
        <v>0</v>
      </c>
      <c r="L85">
        <f>IFERROR(BIO!T133/BIO!T291,0)</f>
        <v>0</v>
      </c>
      <c r="M85">
        <f>IFERROR(BIO!U133/BIO!U291,0)</f>
        <v>0</v>
      </c>
      <c r="N85">
        <f>IFERROR(BIO!V133/BIO!V291,0)</f>
        <v>0</v>
      </c>
      <c r="O85">
        <f>IFERROR(BIO!W133/BIO!W291,0)</f>
        <v>0</v>
      </c>
      <c r="P85">
        <f>IFERROR(BIO!X133/BIO!X291,0)</f>
        <v>0.25675675675675674</v>
      </c>
      <c r="Q85">
        <f>IFERROR(BIO!Y133/BIO!Y291,0)</f>
        <v>0</v>
      </c>
      <c r="R85">
        <f>IFERROR(BIO!Z133/BIO!Z291,0)</f>
        <v>0</v>
      </c>
      <c r="S85">
        <f>IFERROR(BIO!AA133/BIO!AA291,0)</f>
        <v>0</v>
      </c>
      <c r="T85">
        <f>IFERROR(BIO!AB133/BIO!AB291,0)</f>
        <v>0</v>
      </c>
      <c r="U85">
        <f>IFERROR(BIO!AC133/BIO!AC291,0)</f>
        <v>0</v>
      </c>
      <c r="V85">
        <f>IFERROR(BIO!AD133/BIO!AD291,0)</f>
        <v>0</v>
      </c>
      <c r="W85">
        <f>IFERROR(BIO!AE133/BIO!AE291,0)</f>
        <v>0</v>
      </c>
      <c r="X85">
        <f>IFERROR(BIO!AF133/BIO!AF291,0)</f>
        <v>0</v>
      </c>
      <c r="Y85">
        <f>IFERROR(BIO!AG133/BIO!AG291,0)</f>
        <v>0</v>
      </c>
      <c r="Z85">
        <f>IFERROR(BIO!AH133/BIO!AH291,0)</f>
        <v>0</v>
      </c>
      <c r="AA85">
        <f>IFERROR(BIO!AI133/BIO!AI291,0)</f>
        <v>0</v>
      </c>
      <c r="AB85">
        <f>IFERROR(BIO!AJ133/BIO!AJ291,0)</f>
        <v>0</v>
      </c>
      <c r="AC85">
        <f>IFERROR(BIO!AK133/BIO!AK291,0)</f>
        <v>0</v>
      </c>
      <c r="AD85">
        <f>IFERROR(BIO!AL133/BIO!AL291,0)</f>
        <v>0</v>
      </c>
      <c r="AE85">
        <f>IFERROR(BIO!AM133/BIO!AM291,0)</f>
        <v>0</v>
      </c>
      <c r="AF85">
        <f>IFERROR(BIO!AN133/BIO!AN291,0)</f>
        <v>0</v>
      </c>
      <c r="AG85">
        <f>IFERROR(BIO!AO133/BIO!AO291,0)</f>
        <v>0</v>
      </c>
      <c r="AH85">
        <f>IFERROR(BIO!AP133/BIO!AP291,0)</f>
        <v>0</v>
      </c>
      <c r="AI85">
        <f>IFERROR(BIO!AQ133/BIO!AQ291,0)</f>
        <v>0</v>
      </c>
      <c r="AJ85">
        <f>IFERROR(BIO!AR133/BIO!AR291,0)</f>
        <v>0</v>
      </c>
      <c r="AK85">
        <f>IFERROR(BIO!AS133/BIO!AS291,0)</f>
        <v>0</v>
      </c>
      <c r="AL85">
        <f>IFERROR(BIO!AT133/BIO!AT291,0)</f>
        <v>0</v>
      </c>
      <c r="AM85">
        <f>IFERROR(BIO!AU133/BIO!AU291,0)</f>
        <v>0</v>
      </c>
    </row>
    <row r="86" spans="2:39">
      <c r="B86" t="s">
        <v>60</v>
      </c>
      <c r="C86">
        <v>2010</v>
      </c>
      <c r="D86">
        <f>IFERROR(BIO!L134/BIO!L292,0)</f>
        <v>0</v>
      </c>
      <c r="E86">
        <f>IFERROR(BIO!M134/BIO!M292,0)</f>
        <v>0</v>
      </c>
      <c r="F86">
        <f>IFERROR(BIO!N134/BIO!N292,0)</f>
        <v>0</v>
      </c>
      <c r="G86">
        <f>IFERROR(BIO!O134/BIO!O292,0)</f>
        <v>0</v>
      </c>
      <c r="H86">
        <f>IFERROR(BIO!P134/BIO!P292,0)</f>
        <v>0</v>
      </c>
      <c r="I86">
        <f>IFERROR(BIO!Q134/BIO!Q292,0)</f>
        <v>0</v>
      </c>
      <c r="J86">
        <f>IFERROR(BIO!R134/BIO!R292,0)</f>
        <v>0</v>
      </c>
      <c r="K86">
        <f>IFERROR(BIO!S134/BIO!S292,0)</f>
        <v>0</v>
      </c>
      <c r="L86">
        <f>IFERROR(BIO!T134/BIO!T292,0)</f>
        <v>0</v>
      </c>
      <c r="M86">
        <f>IFERROR(BIO!U134/BIO!U292,0)</f>
        <v>0</v>
      </c>
      <c r="N86">
        <f>IFERROR(BIO!V134/BIO!V292,0)</f>
        <v>0</v>
      </c>
      <c r="O86">
        <f>IFERROR(BIO!W134/BIO!W292,0)</f>
        <v>0</v>
      </c>
      <c r="P86">
        <f>IFERROR(BIO!X134/BIO!X292,0)</f>
        <v>0.25338753387533874</v>
      </c>
      <c r="Q86">
        <f>IFERROR(BIO!Y134/BIO!Y292,0)</f>
        <v>0</v>
      </c>
      <c r="R86">
        <f>IFERROR(BIO!Z134/BIO!Z292,0)</f>
        <v>0</v>
      </c>
      <c r="S86">
        <f>IFERROR(BIO!AA134/BIO!AA292,0)</f>
        <v>0</v>
      </c>
      <c r="T86">
        <f>IFERROR(BIO!AB134/BIO!AB292,0)</f>
        <v>0</v>
      </c>
      <c r="U86">
        <f>IFERROR(BIO!AC134/BIO!AC292,0)</f>
        <v>0</v>
      </c>
      <c r="V86">
        <f>IFERROR(BIO!AD134/BIO!AD292,0)</f>
        <v>0</v>
      </c>
      <c r="W86">
        <f>IFERROR(BIO!AE134/BIO!AE292,0)</f>
        <v>0</v>
      </c>
      <c r="X86">
        <f>IFERROR(BIO!AF134/BIO!AF292,0)</f>
        <v>0</v>
      </c>
      <c r="Y86">
        <f>IFERROR(BIO!AG134/BIO!AG292,0)</f>
        <v>0</v>
      </c>
      <c r="Z86">
        <f>IFERROR(BIO!AH134/BIO!AH292,0)</f>
        <v>0</v>
      </c>
      <c r="AA86">
        <f>IFERROR(BIO!AI134/BIO!AI292,0)</f>
        <v>0</v>
      </c>
      <c r="AB86">
        <f>IFERROR(BIO!AJ134/BIO!AJ292,0)</f>
        <v>0</v>
      </c>
      <c r="AC86">
        <f>IFERROR(BIO!AK134/BIO!AK292,0)</f>
        <v>0</v>
      </c>
      <c r="AD86">
        <f>IFERROR(BIO!AL134/BIO!AL292,0)</f>
        <v>0</v>
      </c>
      <c r="AE86">
        <f>IFERROR(BIO!AM134/BIO!AM292,0)</f>
        <v>0</v>
      </c>
      <c r="AF86">
        <f>IFERROR(BIO!AN134/BIO!AN292,0)</f>
        <v>0</v>
      </c>
      <c r="AG86">
        <f>IFERROR(BIO!AO134/BIO!AO292,0)</f>
        <v>0</v>
      </c>
      <c r="AH86">
        <f>IFERROR(BIO!AP134/BIO!AP292,0)</f>
        <v>0</v>
      </c>
      <c r="AI86">
        <f>IFERROR(BIO!AQ134/BIO!AQ292,0)</f>
        <v>0</v>
      </c>
      <c r="AJ86">
        <f>IFERROR(BIO!AR134/BIO!AR292,0)</f>
        <v>0.38604280970338761</v>
      </c>
      <c r="AK86">
        <f>IFERROR(BIO!AS134/BIO!AS292,0)</f>
        <v>0</v>
      </c>
      <c r="AL86">
        <f>IFERROR(BIO!AT134/BIO!AT292,0)</f>
        <v>0</v>
      </c>
      <c r="AM86">
        <f>IFERROR(BIO!AU134/BIO!AU292,0)</f>
        <v>0</v>
      </c>
    </row>
    <row r="87" spans="2:39">
      <c r="B87" t="s">
        <v>60</v>
      </c>
      <c r="C87">
        <v>2020</v>
      </c>
      <c r="D87">
        <f>IFERROR(BIO!L135/BIO!L293,0)</f>
        <v>0</v>
      </c>
      <c r="E87">
        <f>IFERROR(BIO!M135/BIO!M293,0)</f>
        <v>0</v>
      </c>
      <c r="F87">
        <f>IFERROR(BIO!N135/BIO!N293,0)</f>
        <v>0</v>
      </c>
      <c r="G87">
        <f>IFERROR(BIO!O135/BIO!O293,0)</f>
        <v>0</v>
      </c>
      <c r="H87">
        <f>IFERROR(BIO!P135/BIO!P293,0)</f>
        <v>0</v>
      </c>
      <c r="I87">
        <f>IFERROR(BIO!Q135/BIO!Q293,0)</f>
        <v>0</v>
      </c>
      <c r="J87">
        <f>IFERROR(BIO!R135/BIO!R293,0)</f>
        <v>0</v>
      </c>
      <c r="K87">
        <f>IFERROR(BIO!S135/BIO!S293,0)</f>
        <v>0</v>
      </c>
      <c r="L87">
        <f>IFERROR(BIO!T135/BIO!T293,0)</f>
        <v>0</v>
      </c>
      <c r="M87">
        <f>IFERROR(BIO!U135/BIO!U293,0)</f>
        <v>0</v>
      </c>
      <c r="N87">
        <f>IFERROR(BIO!V135/BIO!V293,0)</f>
        <v>0</v>
      </c>
      <c r="O87">
        <f>IFERROR(BIO!W135/BIO!W293,0)</f>
        <v>0</v>
      </c>
      <c r="P87">
        <f>IFERROR(BIO!X135/BIO!X293,0)</f>
        <v>0.2288861689106487</v>
      </c>
      <c r="Q87">
        <f>IFERROR(BIO!Y135/BIO!Y293,0)</f>
        <v>0</v>
      </c>
      <c r="R87">
        <f>IFERROR(BIO!Z135/BIO!Z293,0)</f>
        <v>0</v>
      </c>
      <c r="S87">
        <f>IFERROR(BIO!AA135/BIO!AA293,0)</f>
        <v>0</v>
      </c>
      <c r="T87">
        <f>IFERROR(BIO!AB135/BIO!AB293,0)</f>
        <v>0</v>
      </c>
      <c r="U87">
        <f>IFERROR(BIO!AC135/BIO!AC293,0)</f>
        <v>0</v>
      </c>
      <c r="V87">
        <f>IFERROR(BIO!AD135/BIO!AD293,0)</f>
        <v>0</v>
      </c>
      <c r="W87">
        <f>IFERROR(BIO!AE135/BIO!AE293,0)</f>
        <v>0</v>
      </c>
      <c r="X87">
        <f>IFERROR(BIO!AF135/BIO!AF293,0)</f>
        <v>0</v>
      </c>
      <c r="Y87">
        <f>IFERROR(BIO!AG135/BIO!AG293,0)</f>
        <v>0</v>
      </c>
      <c r="Z87">
        <f>IFERROR(BIO!AH135/BIO!AH293,0)</f>
        <v>0</v>
      </c>
      <c r="AA87">
        <f>IFERROR(BIO!AI135/BIO!AI293,0)</f>
        <v>0</v>
      </c>
      <c r="AB87">
        <f>IFERROR(BIO!AJ135/BIO!AJ293,0)</f>
        <v>0</v>
      </c>
      <c r="AC87">
        <f>IFERROR(BIO!AK135/BIO!AK293,0)</f>
        <v>0</v>
      </c>
      <c r="AD87">
        <f>IFERROR(BIO!AL135/BIO!AL293,0)</f>
        <v>0</v>
      </c>
      <c r="AE87">
        <f>IFERROR(BIO!AM135/BIO!AM293,0)</f>
        <v>0</v>
      </c>
      <c r="AF87">
        <f>IFERROR(BIO!AN135/BIO!AN293,0)</f>
        <v>0</v>
      </c>
      <c r="AG87">
        <f>IFERROR(BIO!AO135/BIO!AO293,0)</f>
        <v>0</v>
      </c>
      <c r="AH87">
        <f>IFERROR(BIO!AP135/BIO!AP293,0)</f>
        <v>0</v>
      </c>
      <c r="AI87">
        <f>IFERROR(BIO!AQ135/BIO!AQ293,0)</f>
        <v>0</v>
      </c>
      <c r="AJ87">
        <f>IFERROR(BIO!AR135/BIO!AR293,0)</f>
        <v>0.54788161469998498</v>
      </c>
      <c r="AK87">
        <f>IFERROR(BIO!AS135/BIO!AS293,0)</f>
        <v>0</v>
      </c>
      <c r="AL87">
        <f>IFERROR(BIO!AT135/BIO!AT293,0)</f>
        <v>0</v>
      </c>
      <c r="AM87">
        <f>IFERROR(BIO!AU135/BIO!AU293,0)</f>
        <v>0</v>
      </c>
    </row>
    <row r="88" spans="2:39">
      <c r="B88" t="s">
        <v>60</v>
      </c>
      <c r="C88">
        <v>2030</v>
      </c>
      <c r="D88">
        <f>IFERROR(BIO!L136/BIO!L294,0)</f>
        <v>0</v>
      </c>
      <c r="E88">
        <f>IFERROR(BIO!M136/BIO!M294,0)</f>
        <v>0</v>
      </c>
      <c r="F88">
        <f>IFERROR(BIO!N136/BIO!N294,0)</f>
        <v>0</v>
      </c>
      <c r="G88">
        <f>IFERROR(BIO!O136/BIO!O294,0)</f>
        <v>0</v>
      </c>
      <c r="H88">
        <f>IFERROR(BIO!P136/BIO!P294,0)</f>
        <v>0</v>
      </c>
      <c r="I88">
        <f>IFERROR(BIO!Q136/BIO!Q294,0)</f>
        <v>0</v>
      </c>
      <c r="J88">
        <f>IFERROR(BIO!R136/BIO!R294,0)</f>
        <v>0</v>
      </c>
      <c r="K88">
        <f>IFERROR(BIO!S136/BIO!S294,0)</f>
        <v>0</v>
      </c>
      <c r="L88">
        <f>IFERROR(BIO!T136/BIO!T294,0)</f>
        <v>0</v>
      </c>
      <c r="M88">
        <f>IFERROR(BIO!U136/BIO!U294,0)</f>
        <v>0</v>
      </c>
      <c r="N88">
        <f>IFERROR(BIO!V136/BIO!V294,0)</f>
        <v>0</v>
      </c>
      <c r="O88">
        <f>IFERROR(BIO!W136/BIO!W294,0)</f>
        <v>0</v>
      </c>
      <c r="P88">
        <f>IFERROR(BIO!X136/BIO!X294,0)</f>
        <v>0.3234349919743178</v>
      </c>
      <c r="Q88">
        <f>IFERROR(BIO!Y136/BIO!Y294,0)</f>
        <v>0</v>
      </c>
      <c r="R88">
        <f>IFERROR(BIO!Z136/BIO!Z294,0)</f>
        <v>0</v>
      </c>
      <c r="S88">
        <f>IFERROR(BIO!AA136/BIO!AA294,0)</f>
        <v>0</v>
      </c>
      <c r="T88">
        <f>IFERROR(BIO!AB136/BIO!AB294,0)</f>
        <v>0</v>
      </c>
      <c r="U88">
        <f>IFERROR(BIO!AC136/BIO!AC294,0)</f>
        <v>0</v>
      </c>
      <c r="V88">
        <f>IFERROR(BIO!AD136/BIO!AD294,0)</f>
        <v>0</v>
      </c>
      <c r="W88">
        <f>IFERROR(BIO!AE136/BIO!AE294,0)</f>
        <v>0</v>
      </c>
      <c r="X88">
        <f>IFERROR(BIO!AF136/BIO!AF294,0)</f>
        <v>0</v>
      </c>
      <c r="Y88">
        <f>IFERROR(BIO!AG136/BIO!AG294,0)</f>
        <v>0</v>
      </c>
      <c r="Z88">
        <f>IFERROR(BIO!AH136/BIO!AH294,0)</f>
        <v>0</v>
      </c>
      <c r="AA88">
        <f>IFERROR(BIO!AI136/BIO!AI294,0)</f>
        <v>0</v>
      </c>
      <c r="AB88">
        <f>IFERROR(BIO!AJ136/BIO!AJ294,0)</f>
        <v>0</v>
      </c>
      <c r="AC88">
        <f>IFERROR(BIO!AK136/BIO!AK294,0)</f>
        <v>0</v>
      </c>
      <c r="AD88">
        <f>IFERROR(BIO!AL136/BIO!AL294,0)</f>
        <v>0</v>
      </c>
      <c r="AE88">
        <f>IFERROR(BIO!AM136/BIO!AM294,0)</f>
        <v>0</v>
      </c>
      <c r="AF88">
        <f>IFERROR(BIO!AN136/BIO!AN294,0)</f>
        <v>0</v>
      </c>
      <c r="AG88">
        <f>IFERROR(BIO!AO136/BIO!AO294,0)</f>
        <v>0</v>
      </c>
      <c r="AH88">
        <f>IFERROR(BIO!AP136/BIO!AP294,0)</f>
        <v>0</v>
      </c>
      <c r="AI88">
        <f>IFERROR(BIO!AQ136/BIO!AQ294,0)</f>
        <v>0</v>
      </c>
      <c r="AJ88">
        <f>IFERROR(BIO!AR136/BIO!AR294,0)</f>
        <v>0.54478983484624899</v>
      </c>
      <c r="AK88">
        <f>IFERROR(BIO!AS136/BIO!AS294,0)</f>
        <v>0</v>
      </c>
      <c r="AL88">
        <f>IFERROR(BIO!AT136/BIO!AT294,0)</f>
        <v>0</v>
      </c>
      <c r="AM88">
        <f>IFERROR(BIO!AU136/BIO!AU294,0)</f>
        <v>0</v>
      </c>
    </row>
    <row r="89" spans="2:39">
      <c r="B89" t="s">
        <v>60</v>
      </c>
      <c r="C89">
        <v>2040</v>
      </c>
      <c r="D89">
        <f>IFERROR(BIO!L137/BIO!L295,0)</f>
        <v>0</v>
      </c>
      <c r="E89">
        <f>IFERROR(BIO!M137/BIO!M295,0)</f>
        <v>0</v>
      </c>
      <c r="F89">
        <f>IFERROR(BIO!N137/BIO!N295,0)</f>
        <v>0</v>
      </c>
      <c r="G89">
        <f>IFERROR(BIO!O137/BIO!O295,0)</f>
        <v>0</v>
      </c>
      <c r="H89">
        <f>IFERROR(BIO!P137/BIO!P295,0)</f>
        <v>0</v>
      </c>
      <c r="I89">
        <f>IFERROR(BIO!Q137/BIO!Q295,0)</f>
        <v>0</v>
      </c>
      <c r="J89">
        <f>IFERROR(BIO!R137/BIO!R295,0)</f>
        <v>0</v>
      </c>
      <c r="K89">
        <f>IFERROR(BIO!S137/BIO!S295,0)</f>
        <v>0</v>
      </c>
      <c r="L89">
        <f>IFERROR(BIO!T137/BIO!T295,0)</f>
        <v>0</v>
      </c>
      <c r="M89">
        <f>IFERROR(BIO!U137/BIO!U295,0)</f>
        <v>0</v>
      </c>
      <c r="N89">
        <f>IFERROR(BIO!V137/BIO!V295,0)</f>
        <v>0</v>
      </c>
      <c r="O89">
        <f>IFERROR(BIO!W137/BIO!W295,0)</f>
        <v>0</v>
      </c>
      <c r="P89">
        <f>IFERROR(BIO!X137/BIO!X295,0)</f>
        <v>0.33517350157728709</v>
      </c>
      <c r="Q89">
        <f>IFERROR(BIO!Y137/BIO!Y295,0)</f>
        <v>0</v>
      </c>
      <c r="R89">
        <f>IFERROR(BIO!Z137/BIO!Z295,0)</f>
        <v>0</v>
      </c>
      <c r="S89">
        <f>IFERROR(BIO!AA137/BIO!AA295,0)</f>
        <v>0</v>
      </c>
      <c r="T89">
        <f>IFERROR(BIO!AB137/BIO!AB295,0)</f>
        <v>0</v>
      </c>
      <c r="U89">
        <f>IFERROR(BIO!AC137/BIO!AC295,0)</f>
        <v>0</v>
      </c>
      <c r="V89">
        <f>IFERROR(BIO!AD137/BIO!AD295,0)</f>
        <v>0</v>
      </c>
      <c r="W89">
        <f>IFERROR(BIO!AE137/BIO!AE295,0)</f>
        <v>0</v>
      </c>
      <c r="X89">
        <f>IFERROR(BIO!AF137/BIO!AF295,0)</f>
        <v>0</v>
      </c>
      <c r="Y89">
        <f>IFERROR(BIO!AG137/BIO!AG295,0)</f>
        <v>0</v>
      </c>
      <c r="Z89">
        <f>IFERROR(BIO!AH137/BIO!AH295,0)</f>
        <v>0</v>
      </c>
      <c r="AA89">
        <f>IFERROR(BIO!AI137/BIO!AI295,0)</f>
        <v>0</v>
      </c>
      <c r="AB89">
        <f>IFERROR(BIO!AJ137/BIO!AJ295,0)</f>
        <v>0</v>
      </c>
      <c r="AC89">
        <f>IFERROR(BIO!AK137/BIO!AK295,0)</f>
        <v>0</v>
      </c>
      <c r="AD89">
        <f>IFERROR(BIO!AL137/BIO!AL295,0)</f>
        <v>0</v>
      </c>
      <c r="AE89">
        <f>IFERROR(BIO!AM137/BIO!AM295,0)</f>
        <v>0</v>
      </c>
      <c r="AF89">
        <f>IFERROR(BIO!AN137/BIO!AN295,0)</f>
        <v>0</v>
      </c>
      <c r="AG89">
        <f>IFERROR(BIO!AO137/BIO!AO295,0)</f>
        <v>0</v>
      </c>
      <c r="AH89">
        <f>IFERROR(BIO!AP137/BIO!AP295,0)</f>
        <v>0</v>
      </c>
      <c r="AI89">
        <f>IFERROR(BIO!AQ137/BIO!AQ295,0)</f>
        <v>0</v>
      </c>
      <c r="AJ89">
        <f>IFERROR(BIO!AR137/BIO!AR295,0)</f>
        <v>0.54880174863042774</v>
      </c>
      <c r="AK89">
        <f>IFERROR(BIO!AS137/BIO!AS295,0)</f>
        <v>0</v>
      </c>
      <c r="AL89">
        <f>IFERROR(BIO!AT137/BIO!AT295,0)</f>
        <v>0</v>
      </c>
      <c r="AM89">
        <f>IFERROR(BIO!AU137/BIO!AU295,0)</f>
        <v>0</v>
      </c>
    </row>
    <row r="90" spans="2:39">
      <c r="B90" t="s">
        <v>60</v>
      </c>
      <c r="C90">
        <v>2050</v>
      </c>
      <c r="D90">
        <f>IFERROR(BIO!L138/BIO!L296,0)</f>
        <v>0</v>
      </c>
      <c r="E90">
        <f>IFERROR(BIO!M138/BIO!M296,0)</f>
        <v>0</v>
      </c>
      <c r="F90">
        <f>IFERROR(BIO!N138/BIO!N296,0)</f>
        <v>0</v>
      </c>
      <c r="G90">
        <f>IFERROR(BIO!O138/BIO!O296,0)</f>
        <v>0</v>
      </c>
      <c r="H90">
        <f>IFERROR(BIO!P138/BIO!P296,0)</f>
        <v>0</v>
      </c>
      <c r="I90">
        <f>IFERROR(BIO!Q138/BIO!Q296,0)</f>
        <v>0</v>
      </c>
      <c r="J90">
        <f>IFERROR(BIO!R138/BIO!R296,0)</f>
        <v>0</v>
      </c>
      <c r="K90">
        <f>IFERROR(BIO!S138/BIO!S296,0)</f>
        <v>0</v>
      </c>
      <c r="L90">
        <f>IFERROR(BIO!T138/BIO!T296,0)</f>
        <v>0</v>
      </c>
      <c r="M90">
        <f>IFERROR(BIO!U138/BIO!U296,0)</f>
        <v>0</v>
      </c>
      <c r="N90">
        <f>IFERROR(BIO!V138/BIO!V296,0)</f>
        <v>0</v>
      </c>
      <c r="O90">
        <f>IFERROR(BIO!W138/BIO!W296,0)</f>
        <v>0</v>
      </c>
      <c r="P90">
        <f>IFERROR(BIO!X138/BIO!X296,0)</f>
        <v>0.34243369734789392</v>
      </c>
      <c r="Q90">
        <f>IFERROR(BIO!Y138/BIO!Y296,0)</f>
        <v>0</v>
      </c>
      <c r="R90">
        <f>IFERROR(BIO!Z138/BIO!Z296,0)</f>
        <v>0</v>
      </c>
      <c r="S90">
        <f>IFERROR(BIO!AA138/BIO!AA296,0)</f>
        <v>0</v>
      </c>
      <c r="T90">
        <f>IFERROR(BIO!AB138/BIO!AB296,0)</f>
        <v>0</v>
      </c>
      <c r="U90">
        <f>IFERROR(BIO!AC138/BIO!AC296,0)</f>
        <v>0</v>
      </c>
      <c r="V90">
        <f>IFERROR(BIO!AD138/BIO!AD296,0)</f>
        <v>0</v>
      </c>
      <c r="W90">
        <f>IFERROR(BIO!AE138/BIO!AE296,0)</f>
        <v>0</v>
      </c>
      <c r="X90">
        <f>IFERROR(BIO!AF138/BIO!AF296,0)</f>
        <v>0</v>
      </c>
      <c r="Y90">
        <f>IFERROR(BIO!AG138/BIO!AG296,0)</f>
        <v>0</v>
      </c>
      <c r="Z90">
        <f>IFERROR(BIO!AH138/BIO!AH296,0)</f>
        <v>0</v>
      </c>
      <c r="AA90">
        <f>IFERROR(BIO!AI138/BIO!AI296,0)</f>
        <v>0</v>
      </c>
      <c r="AB90">
        <f>IFERROR(BIO!AJ138/BIO!AJ296,0)</f>
        <v>0</v>
      </c>
      <c r="AC90">
        <f>IFERROR(BIO!AK138/BIO!AK296,0)</f>
        <v>0</v>
      </c>
      <c r="AD90">
        <f>IFERROR(BIO!AL138/BIO!AL296,0)</f>
        <v>0</v>
      </c>
      <c r="AE90">
        <f>IFERROR(BIO!AM138/BIO!AM296,0)</f>
        <v>0</v>
      </c>
      <c r="AF90">
        <f>IFERROR(BIO!AN138/BIO!AN296,0)</f>
        <v>0</v>
      </c>
      <c r="AG90">
        <f>IFERROR(BIO!AO138/BIO!AO296,0)</f>
        <v>0</v>
      </c>
      <c r="AH90">
        <f>IFERROR(BIO!AP138/BIO!AP296,0)</f>
        <v>0</v>
      </c>
      <c r="AI90">
        <f>IFERROR(BIO!AQ138/BIO!AQ296,0)</f>
        <v>0</v>
      </c>
      <c r="AJ90">
        <f>IFERROR(BIO!AR138/BIO!AR296,0)</f>
        <v>0.53617817927515821</v>
      </c>
      <c r="AK90">
        <f>IFERROR(BIO!AS138/BIO!AS296,0)</f>
        <v>0</v>
      </c>
      <c r="AL90">
        <f>IFERROR(BIO!AT138/BIO!AT296,0)</f>
        <v>0</v>
      </c>
      <c r="AM90">
        <f>IFERROR(BIO!AU138/BIO!AU296,0)</f>
        <v>0</v>
      </c>
    </row>
    <row r="91" spans="2:39">
      <c r="B91" t="s">
        <v>62</v>
      </c>
      <c r="C91">
        <v>2005</v>
      </c>
      <c r="D91">
        <f>IFERROR(BIO!L146/BIO!L291,0)</f>
        <v>0.11777203992151217</v>
      </c>
      <c r="E91">
        <f>IFERROR(BIO!M146/BIO!M291,0)</f>
        <v>0.27869510331288777</v>
      </c>
      <c r="F91">
        <f>IFERROR(BIO!N146/BIO!N291,0)</f>
        <v>0.57007837138014639</v>
      </c>
      <c r="G91">
        <f>IFERROR(BIO!O146/BIO!O291,0)</f>
        <v>4.9753532266104426E-2</v>
      </c>
      <c r="H91">
        <f>IFERROR(BIO!P146/BIO!P291,0)</f>
        <v>0.15347566570756083</v>
      </c>
      <c r="I91">
        <f>IFERROR(BIO!Q146/BIO!Q291,0)</f>
        <v>0.30346220997837758</v>
      </c>
      <c r="J91">
        <f>IFERROR(BIO!R146/BIO!R291,0)</f>
        <v>0</v>
      </c>
      <c r="K91">
        <f>IFERROR(BIO!S146/BIO!S291,0)</f>
        <v>2.0384039751385752E-2</v>
      </c>
      <c r="L91">
        <f>IFERROR(BIO!T146/BIO!T291,0)</f>
        <v>0.24996061156721605</v>
      </c>
      <c r="M91">
        <f>IFERROR(BIO!U146/BIO!U291,0)</f>
        <v>9.2941500662819643E-2</v>
      </c>
      <c r="N91">
        <f>IFERROR(BIO!V146/BIO!V291,0)</f>
        <v>0.15876658796454948</v>
      </c>
      <c r="O91">
        <f>IFERROR(BIO!W146/BIO!W291,0)</f>
        <v>3.605968899873082E-2</v>
      </c>
      <c r="P91">
        <f>IFERROR(BIO!X146/BIO!X291,0)</f>
        <v>0</v>
      </c>
      <c r="Q91">
        <f>IFERROR(BIO!Y146/BIO!Y291,0)</f>
        <v>5.7202478026808251E-2</v>
      </c>
      <c r="R91">
        <f>IFERROR(BIO!Z146/BIO!Z291,0)</f>
        <v>1.761044762977278E-2</v>
      </c>
      <c r="S91">
        <f>IFERROR(BIO!AA146/BIO!AA291,0)</f>
        <v>0.16520052097054347</v>
      </c>
      <c r="T91">
        <f>IFERROR(BIO!AB146/BIO!AB291,0)</f>
        <v>1.0335084096579294E-3</v>
      </c>
      <c r="U91">
        <f>IFERROR(BIO!AC146/BIO!AC291,0)</f>
        <v>5.649029559488674E-2</v>
      </c>
      <c r="V91">
        <f>IFERROR(BIO!AD146/BIO!AD291,0)</f>
        <v>0</v>
      </c>
      <c r="W91">
        <f>IFERROR(BIO!AE146/BIO!AE291,0)</f>
        <v>0.15702199394230876</v>
      </c>
      <c r="X91">
        <f>IFERROR(BIO!AF146/BIO!AF291,0)</f>
        <v>5.9429700300119979E-2</v>
      </c>
      <c r="Y91">
        <f>IFERROR(BIO!AG146/BIO!AG291,0)</f>
        <v>0.609375</v>
      </c>
      <c r="Z91">
        <f>IFERROR(BIO!AH146/BIO!AH291,0)</f>
        <v>0.1404232183855342</v>
      </c>
      <c r="AA91">
        <f>IFERROR(BIO!AI146/BIO!AI291,0)</f>
        <v>0.37559545146183348</v>
      </c>
      <c r="AB91">
        <f>IFERROR(BIO!AJ146/BIO!AJ291,0)</f>
        <v>6.9486810270714988E-2</v>
      </c>
      <c r="AC91">
        <f>IFERROR(BIO!AK146/BIO!AK291,0)</f>
        <v>0</v>
      </c>
      <c r="AD91">
        <f>IFERROR(BIO!AL146/BIO!AL291,0)</f>
        <v>0.45383769969120213</v>
      </c>
      <c r="AE91">
        <f>IFERROR(BIO!AM146/BIO!AM291,0)</f>
        <v>0.14537698851443731</v>
      </c>
      <c r="AF91">
        <f>IFERROR(BIO!AN146/BIO!AN291,0)</f>
        <v>4.0160424358667554E-2</v>
      </c>
      <c r="AG91">
        <f>IFERROR(BIO!AO146/BIO!AO291,0)</f>
        <v>0.51393196403601649</v>
      </c>
      <c r="AH91">
        <f>IFERROR(BIO!AP146/BIO!AP291,0)</f>
        <v>0.18089104484158861</v>
      </c>
      <c r="AI91">
        <f>IFERROR(BIO!AQ146/BIO!AQ291,0)</f>
        <v>0.18709985953730218</v>
      </c>
      <c r="AJ91">
        <f>IFERROR(BIO!AR146/BIO!AR291,0)</f>
        <v>4.4319027719664873E-2</v>
      </c>
      <c r="AK91">
        <f>IFERROR(BIO!AS146/BIO!AS291,0)</f>
        <v>0.27809222192413641</v>
      </c>
      <c r="AL91">
        <f>IFERROR(BIO!AT146/BIO!AT291,0)</f>
        <v>2.3912423141486616E-2</v>
      </c>
      <c r="AM91">
        <f>IFERROR(BIO!AU146/BIO!AU291,0)</f>
        <v>2.0485114374102512E-2</v>
      </c>
    </row>
    <row r="92" spans="2:39">
      <c r="B92" t="s">
        <v>62</v>
      </c>
      <c r="C92">
        <v>2010</v>
      </c>
      <c r="D92">
        <f>IFERROR(BIO!L147/BIO!L292,0)</f>
        <v>0.12371587284846555</v>
      </c>
      <c r="E92">
        <f>IFERROR(BIO!M147/BIO!M292,0)</f>
        <v>0.29645210679390693</v>
      </c>
      <c r="F92">
        <f>IFERROR(BIO!N147/BIO!N292,0)</f>
        <v>0.56523814400915195</v>
      </c>
      <c r="G92">
        <f>IFERROR(BIO!O147/BIO!O292,0)</f>
        <v>4.8101817399842109E-2</v>
      </c>
      <c r="H92">
        <f>IFERROR(BIO!P147/BIO!P292,0)</f>
        <v>0.16111133951580245</v>
      </c>
      <c r="I92">
        <f>IFERROR(BIO!Q147/BIO!Q292,0)</f>
        <v>0.3146632180315318</v>
      </c>
      <c r="J92">
        <f>IFERROR(BIO!R147/BIO!R292,0)</f>
        <v>0</v>
      </c>
      <c r="K92">
        <f>IFERROR(BIO!S147/BIO!S292,0)</f>
        <v>1.8977440063080168E-2</v>
      </c>
      <c r="L92">
        <f>IFERROR(BIO!T147/BIO!T292,0)</f>
        <v>0.2608160364948805</v>
      </c>
      <c r="M92">
        <f>IFERROR(BIO!U147/BIO!U292,0)</f>
        <v>8.4536598545638997E-2</v>
      </c>
      <c r="N92">
        <f>IFERROR(BIO!V147/BIO!V292,0)</f>
        <v>0.15505027828294737</v>
      </c>
      <c r="O92">
        <f>IFERROR(BIO!W147/BIO!W292,0)</f>
        <v>3.6917198250124794E-2</v>
      </c>
      <c r="P92">
        <f>IFERROR(BIO!X147/BIO!X292,0)</f>
        <v>0</v>
      </c>
      <c r="Q92">
        <f>IFERROR(BIO!Y147/BIO!Y292,0)</f>
        <v>6.0041038913307067E-2</v>
      </c>
      <c r="R92">
        <f>IFERROR(BIO!Z147/BIO!Z292,0)</f>
        <v>1.5800651544513693E-2</v>
      </c>
      <c r="S92">
        <f>IFERROR(BIO!AA147/BIO!AA292,0)</f>
        <v>0.15820552525868092</v>
      </c>
      <c r="T92">
        <f>IFERROR(BIO!AB147/BIO!AB292,0)</f>
        <v>1.0335084096579294E-3</v>
      </c>
      <c r="U92">
        <f>IFERROR(BIO!AC147/BIO!AC292,0)</f>
        <v>5.4115482439525943E-2</v>
      </c>
      <c r="V92">
        <f>IFERROR(BIO!AD147/BIO!AD292,0)</f>
        <v>0</v>
      </c>
      <c r="W92">
        <f>IFERROR(BIO!AE147/BIO!AE292,0)</f>
        <v>0.15324445376147142</v>
      </c>
      <c r="X92">
        <f>IFERROR(BIO!AF147/BIO!AF292,0)</f>
        <v>5.4625119361138223E-2</v>
      </c>
      <c r="Y92">
        <f>IFERROR(BIO!AG147/BIO!AG292,0)</f>
        <v>0.6029411764705882</v>
      </c>
      <c r="Z92">
        <f>IFERROR(BIO!AH147/BIO!AH292,0)</f>
        <v>0.13550840403823436</v>
      </c>
      <c r="AA92">
        <f>IFERROR(BIO!AI147/BIO!AI292,0)</f>
        <v>0.38838202852592341</v>
      </c>
      <c r="AB92">
        <f>IFERROR(BIO!AJ147/BIO!AJ292,0)</f>
        <v>7.3547968845226602E-2</v>
      </c>
      <c r="AC92">
        <f>IFERROR(BIO!AK147/BIO!AK292,0)</f>
        <v>0</v>
      </c>
      <c r="AD92">
        <f>IFERROR(BIO!AL147/BIO!AL292,0)</f>
        <v>0.42921791459220465</v>
      </c>
      <c r="AE92">
        <f>IFERROR(BIO!AM147/BIO!AM292,0)</f>
        <v>0.15253687915476802</v>
      </c>
      <c r="AF92">
        <f>IFERROR(BIO!AN147/BIO!AN292,0)</f>
        <v>4.4870055617836135E-2</v>
      </c>
      <c r="AG92">
        <f>IFERROR(BIO!AO147/BIO!AO292,0)</f>
        <v>0.50082554190964101</v>
      </c>
      <c r="AH92">
        <f>IFERROR(BIO!AP147/BIO!AP292,0)</f>
        <v>0.18023987105506201</v>
      </c>
      <c r="AI92">
        <f>IFERROR(BIO!AQ147/BIO!AQ292,0)</f>
        <v>0.19615778432269748</v>
      </c>
      <c r="AJ92">
        <f>IFERROR(BIO!AR147/BIO!AR292,0)</f>
        <v>3.2599170597174952E-2</v>
      </c>
      <c r="AK92">
        <f>IFERROR(BIO!AS147/BIO!AS292,0)</f>
        <v>0.25892961947703125</v>
      </c>
      <c r="AL92">
        <f>IFERROR(BIO!AT147/BIO!AT292,0)</f>
        <v>2.2425511261611211E-2</v>
      </c>
      <c r="AM92">
        <f>IFERROR(BIO!AU147/BIO!AU292,0)</f>
        <v>1.9886934351544368E-2</v>
      </c>
    </row>
    <row r="93" spans="2:39">
      <c r="B93" t="s">
        <v>62</v>
      </c>
      <c r="C93">
        <v>2020</v>
      </c>
      <c r="D93">
        <f>IFERROR(BIO!L148/BIO!L293,0)</f>
        <v>0.20787969493221214</v>
      </c>
      <c r="E93">
        <f>IFERROR(BIO!M148/BIO!M293,0)</f>
        <v>0.37485367283943782</v>
      </c>
      <c r="F93">
        <f>IFERROR(BIO!N148/BIO!N293,0)</f>
        <v>0.42647673413510118</v>
      </c>
      <c r="G93">
        <f>IFERROR(BIO!O148/BIO!O293,0)</f>
        <v>7.1954937438310357E-2</v>
      </c>
      <c r="H93">
        <f>IFERROR(BIO!P148/BIO!P293,0)</f>
        <v>0.25578048172232692</v>
      </c>
      <c r="I93">
        <f>IFERROR(BIO!Q148/BIO!Q293,0)</f>
        <v>0.36003807592146592</v>
      </c>
      <c r="J93">
        <f>IFERROR(BIO!R148/BIO!R293,0)</f>
        <v>0</v>
      </c>
      <c r="K93">
        <f>IFERROR(BIO!S148/BIO!S293,0)</f>
        <v>2.4457320185472288E-2</v>
      </c>
      <c r="L93">
        <f>IFERROR(BIO!T148/BIO!T293,0)</f>
        <v>0.35715657816595747</v>
      </c>
      <c r="M93">
        <f>IFERROR(BIO!U148/BIO!U293,0)</f>
        <v>0.10125017319108572</v>
      </c>
      <c r="N93">
        <f>IFERROR(BIO!V148/BIO!V293,0)</f>
        <v>0.11976541909156964</v>
      </c>
      <c r="O93">
        <f>IFERROR(BIO!W148/BIO!W293,0)</f>
        <v>6.2947654505101688E-2</v>
      </c>
      <c r="P93">
        <f>IFERROR(BIO!X148/BIO!X293,0)</f>
        <v>0</v>
      </c>
      <c r="Q93">
        <f>IFERROR(BIO!Y148/BIO!Y293,0)</f>
        <v>0.10246354771714281</v>
      </c>
      <c r="R93">
        <f>IFERROR(BIO!Z148/BIO!Z293,0)</f>
        <v>2.3931861204777756E-2</v>
      </c>
      <c r="S93">
        <f>IFERROR(BIO!AA148/BIO!AA293,0)</f>
        <v>0.19340945541714341</v>
      </c>
      <c r="T93">
        <f>IFERROR(BIO!AB148/BIO!AB293,0)</f>
        <v>1.7965707058366989E-3</v>
      </c>
      <c r="U93">
        <f>IFERROR(BIO!AC148/BIO!AC293,0)</f>
        <v>7.8658402290532684E-2</v>
      </c>
      <c r="V93">
        <f>IFERROR(BIO!AD148/BIO!AD293,0)</f>
        <v>0</v>
      </c>
      <c r="W93">
        <f>IFERROR(BIO!AE148/BIO!AE293,0)</f>
        <v>0.21796284371579178</v>
      </c>
      <c r="X93">
        <f>IFERROR(BIO!AF148/BIO!AF293,0)</f>
        <v>6.6274944030001531E-2</v>
      </c>
      <c r="Y93">
        <f>IFERROR(BIO!AG148/BIO!AG293,0)</f>
        <v>0.58904109589041098</v>
      </c>
      <c r="Z93">
        <f>IFERROR(BIO!AH148/BIO!AH293,0)</f>
        <v>0.13680977152517587</v>
      </c>
      <c r="AA93">
        <f>IFERROR(BIO!AI148/BIO!AI293,0)</f>
        <v>0.45359673528632033</v>
      </c>
      <c r="AB93">
        <f>IFERROR(BIO!AJ148/BIO!AJ293,0)</f>
        <v>0.13560198729676304</v>
      </c>
      <c r="AC93">
        <f>IFERROR(BIO!AK148/BIO!AK293,0)</f>
        <v>0</v>
      </c>
      <c r="AD93">
        <f>IFERROR(BIO!AL148/BIO!AL293,0)</f>
        <v>0.52310569918497041</v>
      </c>
      <c r="AE93">
        <f>IFERROR(BIO!AM148/BIO!AM293,0)</f>
        <v>0.21552797700169771</v>
      </c>
      <c r="AF93">
        <f>IFERROR(BIO!AN148/BIO!AN293,0)</f>
        <v>7.94908220510952E-2</v>
      </c>
      <c r="AG93">
        <f>IFERROR(BIO!AO148/BIO!AO293,0)</f>
        <v>0.58881740392207071</v>
      </c>
      <c r="AH93">
        <f>IFERROR(BIO!AP148/BIO!AP293,0)</f>
        <v>0.26105751291052254</v>
      </c>
      <c r="AI93">
        <f>IFERROR(BIO!AQ148/BIO!AQ293,0)</f>
        <v>0.29449991641914847</v>
      </c>
      <c r="AJ93">
        <f>IFERROR(BIO!AR148/BIO!AR293,0)</f>
        <v>4.1301844800460411E-2</v>
      </c>
      <c r="AK93">
        <f>IFERROR(BIO!AS148/BIO!AS293,0)</f>
        <v>0.29360423217155029</v>
      </c>
      <c r="AL93">
        <f>IFERROR(BIO!AT148/BIO!AT293,0)</f>
        <v>3.3791285710148007E-2</v>
      </c>
      <c r="AM93">
        <f>IFERROR(BIO!AU148/BIO!AU293,0)</f>
        <v>2.9213309477567766E-2</v>
      </c>
    </row>
    <row r="94" spans="2:39">
      <c r="B94" t="s">
        <v>62</v>
      </c>
      <c r="C94">
        <v>2030</v>
      </c>
      <c r="D94">
        <f>IFERROR(BIO!L149/BIO!L294,0)</f>
        <v>0.23086301237728205</v>
      </c>
      <c r="E94">
        <f>IFERROR(BIO!M149/BIO!M294,0)</f>
        <v>0.40523489540882801</v>
      </c>
      <c r="F94">
        <f>IFERROR(BIO!N149/BIO!N294,0)</f>
        <v>0.47166454113710304</v>
      </c>
      <c r="G94">
        <f>IFERROR(BIO!O149/BIO!O294,0)</f>
        <v>6.4911566203116153E-2</v>
      </c>
      <c r="H94">
        <f>IFERROR(BIO!P149/BIO!P294,0)</f>
        <v>0.2802952950970366</v>
      </c>
      <c r="I94">
        <f>IFERROR(BIO!Q149/BIO!Q294,0)</f>
        <v>0.3732247629408954</v>
      </c>
      <c r="J94">
        <f>IFERROR(BIO!R149/BIO!R294,0)</f>
        <v>0</v>
      </c>
      <c r="K94">
        <f>IFERROR(BIO!S149/BIO!S294,0)</f>
        <v>2.1581927010276836E-2</v>
      </c>
      <c r="L94">
        <f>IFERROR(BIO!T149/BIO!T294,0)</f>
        <v>0.37134994879221095</v>
      </c>
      <c r="M94">
        <f>IFERROR(BIO!U149/BIO!U294,0)</f>
        <v>7.5219333090867688E-2</v>
      </c>
      <c r="N94">
        <f>IFERROR(BIO!V149/BIO!V294,0)</f>
        <v>0.1453562010527859</v>
      </c>
      <c r="O94">
        <f>IFERROR(BIO!W149/BIO!W294,0)</f>
        <v>6.2800298738103083E-2</v>
      </c>
      <c r="P94">
        <f>IFERROR(BIO!X149/BIO!X294,0)</f>
        <v>0</v>
      </c>
      <c r="Q94">
        <f>IFERROR(BIO!Y149/BIO!Y294,0)</f>
        <v>0.10526879699111717</v>
      </c>
      <c r="R94">
        <f>IFERROR(BIO!Z149/BIO!Z294,0)</f>
        <v>1.9475399259916849E-2</v>
      </c>
      <c r="S94">
        <f>IFERROR(BIO!AA149/BIO!AA294,0)</f>
        <v>0.16563575859707008</v>
      </c>
      <c r="T94">
        <f>IFERROR(BIO!AB149/BIO!AB294,0)</f>
        <v>1.7076892094711833E-3</v>
      </c>
      <c r="U94">
        <f>IFERROR(BIO!AC149/BIO!AC294,0)</f>
        <v>7.3935430355072246E-2</v>
      </c>
      <c r="V94">
        <f>IFERROR(BIO!AD149/BIO!AD294,0)</f>
        <v>0</v>
      </c>
      <c r="W94">
        <f>IFERROR(BIO!AE149/BIO!AE294,0)</f>
        <v>0.19860988186850961</v>
      </c>
      <c r="X94">
        <f>IFERROR(BIO!AF149/BIO!AF294,0)</f>
        <v>5.2175084374122459E-2</v>
      </c>
      <c r="Y94">
        <f>IFERROR(BIO!AG149/BIO!AG294,0)</f>
        <v>0.50672628470314951</v>
      </c>
      <c r="Z94">
        <f>IFERROR(BIO!AH149/BIO!AH294,0)</f>
        <v>0.12695817539830548</v>
      </c>
      <c r="AA94">
        <f>IFERROR(BIO!AI149/BIO!AI294,0)</f>
        <v>0.48694422046267516</v>
      </c>
      <c r="AB94">
        <f>IFERROR(BIO!AJ149/BIO!AJ294,0)</f>
        <v>0.15133287145002922</v>
      </c>
      <c r="AC94">
        <f>IFERROR(BIO!AK149/BIO!AK294,0)</f>
        <v>0</v>
      </c>
      <c r="AD94">
        <f>IFERROR(BIO!AL149/BIO!AL294,0)</f>
        <v>0.42732140119206341</v>
      </c>
      <c r="AE94">
        <f>IFERROR(BIO!AM149/BIO!AM294,0)</f>
        <v>0.21305191153808875</v>
      </c>
      <c r="AF94">
        <f>IFERROR(BIO!AN149/BIO!AN294,0)</f>
        <v>8.9874694729163693E-2</v>
      </c>
      <c r="AG94">
        <f>IFERROR(BIO!AO149/BIO!AO294,0)</f>
        <v>0.56829255316577887</v>
      </c>
      <c r="AH94">
        <f>IFERROR(BIO!AP149/BIO!AP294,0)</f>
        <v>0.25560576585951522</v>
      </c>
      <c r="AI94">
        <f>IFERROR(BIO!AQ149/BIO!AQ294,0)</f>
        <v>0.32245731340690997</v>
      </c>
      <c r="AJ94">
        <f>IFERROR(BIO!AR149/BIO!AR294,0)</f>
        <v>5.2144169906712404E-2</v>
      </c>
      <c r="AK94">
        <f>IFERROR(BIO!AS149/BIO!AS294,0)</f>
        <v>0.21837771817636106</v>
      </c>
      <c r="AL94">
        <f>IFERROR(BIO!AT149/BIO!AT294,0)</f>
        <v>2.760361659272164E-2</v>
      </c>
      <c r="AM94">
        <f>IFERROR(BIO!AU149/BIO!AU294,0)</f>
        <v>2.8622893455742204E-2</v>
      </c>
    </row>
    <row r="95" spans="2:39">
      <c r="B95" t="s">
        <v>62</v>
      </c>
      <c r="C95">
        <v>2040</v>
      </c>
      <c r="D95">
        <f>IFERROR(BIO!L150/BIO!L295,0)</f>
        <v>0.28498470079895838</v>
      </c>
      <c r="E95">
        <f>IFERROR(BIO!M150/BIO!M295,0)</f>
        <v>0.46154436230443319</v>
      </c>
      <c r="F95">
        <f>IFERROR(BIO!N150/BIO!N295,0)</f>
        <v>0.46175592493826179</v>
      </c>
      <c r="G95">
        <f>IFERROR(BIO!O150/BIO!O295,0)</f>
        <v>7.7953165738024591E-2</v>
      </c>
      <c r="H95">
        <f>IFERROR(BIO!P150/BIO!P295,0)</f>
        <v>0.33419315323506904</v>
      </c>
      <c r="I95">
        <f>IFERROR(BIO!Q150/BIO!Q295,0)</f>
        <v>0.41777670885549051</v>
      </c>
      <c r="J95">
        <f>IFERROR(BIO!R150/BIO!R295,0)</f>
        <v>0</v>
      </c>
      <c r="K95">
        <f>IFERROR(BIO!S150/BIO!S295,0)</f>
        <v>2.2581597344920525E-2</v>
      </c>
      <c r="L95">
        <f>IFERROR(BIO!T150/BIO!T295,0)</f>
        <v>0.43913114803387926</v>
      </c>
      <c r="M95">
        <f>IFERROR(BIO!U150/BIO!U295,0)</f>
        <v>4.4133161000695149E-2</v>
      </c>
      <c r="N95">
        <f>IFERROR(BIO!V150/BIO!V295,0)</f>
        <v>0.1690885072655218</v>
      </c>
      <c r="O95">
        <f>IFERROR(BIO!W150/BIO!W295,0)</f>
        <v>6.5023342485881472E-2</v>
      </c>
      <c r="P95">
        <f>IFERROR(BIO!X150/BIO!X295,0)</f>
        <v>0</v>
      </c>
      <c r="Q95">
        <f>IFERROR(BIO!Y150/BIO!Y295,0)</f>
        <v>0.11280974655582172</v>
      </c>
      <c r="R95">
        <f>IFERROR(BIO!Z150/BIO!Z295,0)</f>
        <v>1.51169573289715E-2</v>
      </c>
      <c r="S95">
        <f>IFERROR(BIO!AA150/BIO!AA295,0)</f>
        <v>0.14268504593102141</v>
      </c>
      <c r="T95">
        <f>IFERROR(BIO!AB150/BIO!AB295,0)</f>
        <v>1.7106104003935445E-3</v>
      </c>
      <c r="U95">
        <f>IFERROR(BIO!AC150/BIO!AC295,0)</f>
        <v>6.4049732379722196E-2</v>
      </c>
      <c r="V95">
        <f>IFERROR(BIO!AD150/BIO!AD295,0)</f>
        <v>0</v>
      </c>
      <c r="W95">
        <f>IFERROR(BIO!AE150/BIO!AE295,0)</f>
        <v>0.18808238791174625</v>
      </c>
      <c r="X95">
        <f>IFERROR(BIO!AF150/BIO!AF295,0)</f>
        <v>3.5715870411838317E-2</v>
      </c>
      <c r="Y95">
        <f>IFERROR(BIO!AG150/BIO!AG295,0)</f>
        <v>0.50526557632440072</v>
      </c>
      <c r="Z95">
        <f>IFERROR(BIO!AH150/BIO!AH295,0)</f>
        <v>0.10936914571523272</v>
      </c>
      <c r="AA95">
        <f>IFERROR(BIO!AI150/BIO!AI295,0)</f>
        <v>0.50720306440325647</v>
      </c>
      <c r="AB95">
        <f>IFERROR(BIO!AJ150/BIO!AJ295,0)</f>
        <v>0.19788193017626429</v>
      </c>
      <c r="AC95">
        <f>IFERROR(BIO!AK150/BIO!AK295,0)</f>
        <v>0</v>
      </c>
      <c r="AD95">
        <f>IFERROR(BIO!AL150/BIO!AL295,0)</f>
        <v>0.31467233526049471</v>
      </c>
      <c r="AE95">
        <f>IFERROR(BIO!AM150/BIO!AM295,0)</f>
        <v>0.25254464508983626</v>
      </c>
      <c r="AF95">
        <f>IFERROR(BIO!AN150/BIO!AN295,0)</f>
        <v>0.10024051182143748</v>
      </c>
      <c r="AG95">
        <f>IFERROR(BIO!AO150/BIO!AO295,0)</f>
        <v>0.52496628265400813</v>
      </c>
      <c r="AH95">
        <f>IFERROR(BIO!AP150/BIO!AP295,0)</f>
        <v>0.25251001344753016</v>
      </c>
      <c r="AI95">
        <f>IFERROR(BIO!AQ150/BIO!AQ295,0)</f>
        <v>0.37328486625364637</v>
      </c>
      <c r="AJ95">
        <f>IFERROR(BIO!AR150/BIO!AR295,0)</f>
        <v>5.8538853187245631E-2</v>
      </c>
      <c r="AK95">
        <f>IFERROR(BIO!AS150/BIO!AS295,0)</f>
        <v>0.11410543700996809</v>
      </c>
      <c r="AL95">
        <f>IFERROR(BIO!AT150/BIO!AT295,0)</f>
        <v>2.5657434198174532E-2</v>
      </c>
      <c r="AM95">
        <f>IFERROR(BIO!AU150/BIO!AU295,0)</f>
        <v>2.7375066162639478E-2</v>
      </c>
    </row>
    <row r="96" spans="2:39">
      <c r="B96" t="s">
        <v>62</v>
      </c>
      <c r="C96">
        <v>2050</v>
      </c>
      <c r="D96">
        <f>IFERROR(BIO!L151/BIO!L296,0)</f>
        <v>0.3009669487698482</v>
      </c>
      <c r="E96">
        <f>IFERROR(BIO!M151/BIO!M296,0)</f>
        <v>0.48330807002359955</v>
      </c>
      <c r="F96">
        <f>IFERROR(BIO!N151/BIO!N296,0)</f>
        <v>0.4526249162239932</v>
      </c>
      <c r="G96">
        <f>IFERROR(BIO!O151/BIO!O296,0)</f>
        <v>7.1239510490933855E-2</v>
      </c>
      <c r="H96">
        <f>IFERROR(BIO!P151/BIO!P296,0)</f>
        <v>0.35100337453598945</v>
      </c>
      <c r="I96">
        <f>IFERROR(BIO!Q151/BIO!Q296,0)</f>
        <v>0.43733948911025955</v>
      </c>
      <c r="J96">
        <f>IFERROR(BIO!R151/BIO!R296,0)</f>
        <v>0</v>
      </c>
      <c r="K96">
        <f>IFERROR(BIO!S151/BIO!S296,0)</f>
        <v>1.4982406300411633E-2</v>
      </c>
      <c r="L96">
        <f>IFERROR(BIO!T151/BIO!T296,0)</f>
        <v>0.45687309201824489</v>
      </c>
      <c r="M96">
        <f>IFERROR(BIO!U151/BIO!U296,0)</f>
        <v>1.4554380667730533E-2</v>
      </c>
      <c r="N96">
        <f>IFERROR(BIO!V151/BIO!V296,0)</f>
        <v>0.1542940320232897</v>
      </c>
      <c r="O96">
        <f>IFERROR(BIO!W151/BIO!W296,0)</f>
        <v>6.7162658918203957E-2</v>
      </c>
      <c r="P96">
        <f>IFERROR(BIO!X151/BIO!X296,0)</f>
        <v>0</v>
      </c>
      <c r="Q96">
        <f>IFERROR(BIO!Y151/BIO!Y296,0)</f>
        <v>0.11964271008881598</v>
      </c>
      <c r="R96">
        <f>IFERROR(BIO!Z151/BIO!Z296,0)</f>
        <v>1.2167137904987366E-2</v>
      </c>
      <c r="S96">
        <f>IFERROR(BIO!AA151/BIO!AA296,0)</f>
        <v>0.11435494200877355</v>
      </c>
      <c r="T96">
        <f>IFERROR(BIO!AB151/BIO!AB296,0)</f>
        <v>1.7106104003935445E-3</v>
      </c>
      <c r="U96">
        <f>IFERROR(BIO!AC151/BIO!AC296,0)</f>
        <v>5.3950698280866606E-2</v>
      </c>
      <c r="V96">
        <f>IFERROR(BIO!AD151/BIO!AD296,0)</f>
        <v>0</v>
      </c>
      <c r="W96">
        <f>IFERROR(BIO!AE151/BIO!AE296,0)</f>
        <v>0.1772450930574461</v>
      </c>
      <c r="X96">
        <f>IFERROR(BIO!AF151/BIO!AF296,0)</f>
        <v>1.8696398660356751E-2</v>
      </c>
      <c r="Y96">
        <f>IFERROR(BIO!AG151/BIO!AG296,0)</f>
        <v>0.50149674697697866</v>
      </c>
      <c r="Z96">
        <f>IFERROR(BIO!AH151/BIO!AH296,0)</f>
        <v>9.2788693361161828E-2</v>
      </c>
      <c r="AA96">
        <f>IFERROR(BIO!AI151/BIO!AI296,0)</f>
        <v>0.52335334642201359</v>
      </c>
      <c r="AB96">
        <f>IFERROR(BIO!AJ151/BIO!AJ296,0)</f>
        <v>0.21045713061796983</v>
      </c>
      <c r="AC96">
        <f>IFERROR(BIO!AK151/BIO!AK296,0)</f>
        <v>0</v>
      </c>
      <c r="AD96">
        <f>IFERROR(BIO!AL151/BIO!AL296,0)</f>
        <v>0.14568951180388662</v>
      </c>
      <c r="AE96">
        <f>IFERROR(BIO!AM151/BIO!AM296,0)</f>
        <v>0.26730138934266678</v>
      </c>
      <c r="AF96">
        <f>IFERROR(BIO!AN151/BIO!AN296,0)</f>
        <v>0.11059243738666273</v>
      </c>
      <c r="AG96">
        <f>IFERROR(BIO!AO151/BIO!AO296,0)</f>
        <v>0.48025724602694703</v>
      </c>
      <c r="AH96">
        <f>IFERROR(BIO!AP151/BIO!AP296,0)</f>
        <v>0.25060196364506054</v>
      </c>
      <c r="AI96">
        <f>IFERROR(BIO!AQ151/BIO!AQ296,0)</f>
        <v>0.39066768449133482</v>
      </c>
      <c r="AJ96">
        <f>IFERROR(BIO!AR151/BIO!AR296,0)</f>
        <v>6.7200998469153159E-2</v>
      </c>
      <c r="AK96">
        <f>IFERROR(BIO!AS151/BIO!AS296,0)</f>
        <v>0</v>
      </c>
      <c r="AL96">
        <f>IFERROR(BIO!AT151/BIO!AT296,0)</f>
        <v>2.3600176533096501E-2</v>
      </c>
      <c r="AM96">
        <f>IFERROR(BIO!AU151/BIO!AU296,0)</f>
        <v>2.6070225479166854E-2</v>
      </c>
    </row>
    <row r="97" spans="2:39">
      <c r="B97" t="s">
        <v>63</v>
      </c>
      <c r="C97">
        <v>2005</v>
      </c>
      <c r="D97">
        <f>IFERROR(BIO!L159/BIO!L291,0)</f>
        <v>0.13886553960894718</v>
      </c>
      <c r="E97">
        <f>IFERROR(BIO!M159/BIO!M291,0)</f>
        <v>0.36687781789750712</v>
      </c>
      <c r="F97">
        <f>IFERROR(BIO!N159/BIO!N291,0)</f>
        <v>3.6469660121962219E-2</v>
      </c>
      <c r="G97">
        <f>IFERROR(BIO!O159/BIO!O291,0)</f>
        <v>0.11640449058484809</v>
      </c>
      <c r="H97">
        <f>IFERROR(BIO!P159/BIO!P291,0)</f>
        <v>0.18177006217878713</v>
      </c>
      <c r="I97">
        <f>IFERROR(BIO!Q159/BIO!Q291,0)</f>
        <v>0.48803064365925641</v>
      </c>
      <c r="J97">
        <f>IFERROR(BIO!R159/BIO!R291,0)</f>
        <v>0</v>
      </c>
      <c r="K97">
        <f>IFERROR(BIO!S159/BIO!S291,0)</f>
        <v>9.7445653445648955E-2</v>
      </c>
      <c r="L97">
        <f>IFERROR(BIO!T159/BIO!T291,0)</f>
        <v>0.23440545336124635</v>
      </c>
      <c r="M97">
        <f>IFERROR(BIO!U159/BIO!U291,0)</f>
        <v>0.12718310617017425</v>
      </c>
      <c r="N97">
        <f>IFERROR(BIO!V159/BIO!V291,0)</f>
        <v>0.62642064657299967</v>
      </c>
      <c r="O97">
        <f>IFERROR(BIO!W159/BIO!W291,0)</f>
        <v>6.6700002772218853E-2</v>
      </c>
      <c r="P97">
        <f>IFERROR(BIO!X159/BIO!X291,0)</f>
        <v>0.7432432432432432</v>
      </c>
      <c r="Q97">
        <f>IFERROR(BIO!Y159/BIO!Y291,0)</f>
        <v>0.11092642698441871</v>
      </c>
      <c r="R97">
        <f>IFERROR(BIO!Z159/BIO!Z291,0)</f>
        <v>3.2440298265370905E-2</v>
      </c>
      <c r="S97">
        <f>IFERROR(BIO!AA159/BIO!AA291,0)</f>
        <v>0.32558937628175066</v>
      </c>
      <c r="T97">
        <f>IFERROR(BIO!AB159/BIO!AB291,0)</f>
        <v>1.0335084096579293E-2</v>
      </c>
      <c r="U97">
        <f>IFERROR(BIO!AC159/BIO!AC291,0)</f>
        <v>0</v>
      </c>
      <c r="V97">
        <f>IFERROR(BIO!AD159/BIO!AD291,0)</f>
        <v>0</v>
      </c>
      <c r="W97">
        <f>IFERROR(BIO!AE159/BIO!AE291,0)</f>
        <v>0.10073109045355658</v>
      </c>
      <c r="X97">
        <f>IFERROR(BIO!AF159/BIO!AF291,0)</f>
        <v>0.31046895156786819</v>
      </c>
      <c r="Y97">
        <f>IFERROR(BIO!AG159/BIO!AG291,0)</f>
        <v>0.390625</v>
      </c>
      <c r="Z97">
        <f>IFERROR(BIO!AH159/BIO!AH291,0)</f>
        <v>0.6357937555473312</v>
      </c>
      <c r="AA97">
        <f>IFERROR(BIO!AI159/BIO!AI291,0)</f>
        <v>0.44633540196137161</v>
      </c>
      <c r="AB97">
        <f>IFERROR(BIO!AJ159/BIO!AJ291,0)</f>
        <v>8.2849658399698642E-2</v>
      </c>
      <c r="AC97">
        <f>IFERROR(BIO!AK159/BIO!AK291,0)</f>
        <v>0</v>
      </c>
      <c r="AD97">
        <f>IFERROR(BIO!AL159/BIO!AL291,0)</f>
        <v>4.6011195360398376E-2</v>
      </c>
      <c r="AE97">
        <f>IFERROR(BIO!AM159/BIO!AM291,0)</f>
        <v>0.23378581188680841</v>
      </c>
      <c r="AF97">
        <f>IFERROR(BIO!AN159/BIO!AN291,0)</f>
        <v>0.16891002009674883</v>
      </c>
      <c r="AG97">
        <f>IFERROR(BIO!AO159/BIO!AO291,0)</f>
        <v>3.7513282046424561E-2</v>
      </c>
      <c r="AH97">
        <f>IFERROR(BIO!AP159/BIO!AP291,0)</f>
        <v>7.4385102551681292E-2</v>
      </c>
      <c r="AI97">
        <f>IFERROR(BIO!AQ159/BIO!AQ291,0)</f>
        <v>0.22196044657373348</v>
      </c>
      <c r="AJ97">
        <f>IFERROR(BIO!AR159/BIO!AR291,0)</f>
        <v>0.26419859105142157</v>
      </c>
      <c r="AK97">
        <f>IFERROR(BIO!AS159/BIO!AS291,0)</f>
        <v>0.27482054872502892</v>
      </c>
      <c r="AL97">
        <f>IFERROR(BIO!AT159/BIO!AT291,0)</f>
        <v>0.21361764673061381</v>
      </c>
      <c r="AM97">
        <f>IFERROR(BIO!AU159/BIO!AU291,0)</f>
        <v>0.15347044703221063</v>
      </c>
    </row>
    <row r="98" spans="2:39">
      <c r="B98" t="s">
        <v>63</v>
      </c>
      <c r="C98">
        <v>2010</v>
      </c>
      <c r="D98">
        <f>IFERROR(BIO!L160/BIO!L292,0)</f>
        <v>0.13939816658982035</v>
      </c>
      <c r="E98">
        <f>IFERROR(BIO!M160/BIO!M292,0)</f>
        <v>0.3607594099599698</v>
      </c>
      <c r="F98">
        <f>IFERROR(BIO!N160/BIO!N292,0)</f>
        <v>3.8648761983531767E-2</v>
      </c>
      <c r="G98">
        <f>IFERROR(BIO!O160/BIO!O292,0)</f>
        <v>0.11412391971335088</v>
      </c>
      <c r="H98">
        <f>IFERROR(BIO!P160/BIO!P292,0)</f>
        <v>0.18146224555990381</v>
      </c>
      <c r="I98">
        <f>IFERROR(BIO!Q160/BIO!Q292,0)</f>
        <v>0.4816725182872833</v>
      </c>
      <c r="J98">
        <f>IFERROR(BIO!R160/BIO!R292,0)</f>
        <v>0</v>
      </c>
      <c r="K98">
        <f>IFERROR(BIO!S160/BIO!S292,0)</f>
        <v>9.4887200315400835E-2</v>
      </c>
      <c r="L98">
        <f>IFERROR(BIO!T160/BIO!T292,0)</f>
        <v>0.23267695135100133</v>
      </c>
      <c r="M98">
        <f>IFERROR(BIO!U160/BIO!U292,0)</f>
        <v>0.12266094690935855</v>
      </c>
      <c r="N98">
        <f>IFERROR(BIO!V160/BIO!V292,0)</f>
        <v>0.62423888079540801</v>
      </c>
      <c r="O98">
        <f>IFERROR(BIO!W160/BIO!W292,0)</f>
        <v>7.0308596667372505E-2</v>
      </c>
      <c r="P98">
        <f>IFERROR(BIO!X160/BIO!X292,0)</f>
        <v>0.74661246612466126</v>
      </c>
      <c r="Q98">
        <f>IFERROR(BIO!Y160/BIO!Y292,0)</f>
        <v>0.11423143345966248</v>
      </c>
      <c r="R98">
        <f>IFERROR(BIO!Z160/BIO!Z292,0)</f>
        <v>3.1601303089027387E-2</v>
      </c>
      <c r="S98">
        <f>IFERROR(BIO!AA160/BIO!AA292,0)</f>
        <v>0.31308040788033697</v>
      </c>
      <c r="T98">
        <f>IFERROR(BIO!AB160/BIO!AB292,0)</f>
        <v>1.0335084096579293E-2</v>
      </c>
      <c r="U98">
        <f>IFERROR(BIO!AC160/BIO!AC292,0)</f>
        <v>0</v>
      </c>
      <c r="V98">
        <f>IFERROR(BIO!AD160/BIO!AD292,0)</f>
        <v>0</v>
      </c>
      <c r="W98">
        <f>IFERROR(BIO!AE160/BIO!AE292,0)</f>
        <v>9.884598965566771E-2</v>
      </c>
      <c r="X98">
        <f>IFERROR(BIO!AF160/BIO!AF292,0)</f>
        <v>0.29938767342162292</v>
      </c>
      <c r="Y98">
        <f>IFERROR(BIO!AG160/BIO!AG292,0)</f>
        <v>0.39705882352941185</v>
      </c>
      <c r="Z98">
        <f>IFERROR(BIO!AH160/BIO!AH292,0)</f>
        <v>0.63516942326280745</v>
      </c>
      <c r="AA98">
        <f>IFERROR(BIO!AI160/BIO!AI292,0)</f>
        <v>0.43836368198601056</v>
      </c>
      <c r="AB98">
        <f>IFERROR(BIO!AJ160/BIO!AJ292,0)</f>
        <v>8.3295290017485549E-2</v>
      </c>
      <c r="AC98">
        <f>IFERROR(BIO!AK160/BIO!AK292,0)</f>
        <v>0</v>
      </c>
      <c r="AD98">
        <f>IFERROR(BIO!AL160/BIO!AL292,0)</f>
        <v>4.7082577365981634E-2</v>
      </c>
      <c r="AE98">
        <f>IFERROR(BIO!AM160/BIO!AM292,0)</f>
        <v>0.23379484281665378</v>
      </c>
      <c r="AF98">
        <f>IFERROR(BIO!AN160/BIO!AN292,0)</f>
        <v>0.17270297448740052</v>
      </c>
      <c r="AG98">
        <f>IFERROR(BIO!AO160/BIO!AO292,0)</f>
        <v>3.7634289276447012E-2</v>
      </c>
      <c r="AH98">
        <f>IFERROR(BIO!AP160/BIO!AP292,0)</f>
        <v>7.5979336744522633E-2</v>
      </c>
      <c r="AI98">
        <f>IFERROR(BIO!AQ160/BIO!AQ292,0)</f>
        <v>0.22138428430211313</v>
      </c>
      <c r="AJ98">
        <f>IFERROR(BIO!AR160/BIO!AR292,0)</f>
        <v>0.16642734462768263</v>
      </c>
      <c r="AK98">
        <f>IFERROR(BIO!AS160/BIO!AS292,0)</f>
        <v>0.26928680425611251</v>
      </c>
      <c r="AL98">
        <f>IFERROR(BIO!AT160/BIO!AT292,0)</f>
        <v>0.21144053475233426</v>
      </c>
      <c r="AM98">
        <f>IFERROR(BIO!AU160/BIO!AU292,0)</f>
        <v>0.15100587439816743</v>
      </c>
    </row>
    <row r="99" spans="2:39">
      <c r="B99" t="s">
        <v>63</v>
      </c>
      <c r="C99">
        <v>2020</v>
      </c>
      <c r="D99">
        <f>IFERROR(BIO!L161/BIO!L293,0)</f>
        <v>0.20787969493221214</v>
      </c>
      <c r="E99">
        <f>IFERROR(BIO!M161/BIO!M293,0)</f>
        <v>0.40637881746719606</v>
      </c>
      <c r="F99">
        <f>IFERROR(BIO!N161/BIO!N293,0)</f>
        <v>3.2457521358954598E-2</v>
      </c>
      <c r="G99">
        <f>IFERROR(BIO!O161/BIO!O293,0)</f>
        <v>0.17988734359577588</v>
      </c>
      <c r="H99">
        <f>IFERROR(BIO!P161/BIO!P293,0)</f>
        <v>0.25356593209702544</v>
      </c>
      <c r="I99">
        <f>IFERROR(BIO!Q161/BIO!Q293,0)</f>
        <v>0.49268368283990072</v>
      </c>
      <c r="J99">
        <f>IFERROR(BIO!R161/BIO!R293,0)</f>
        <v>0</v>
      </c>
      <c r="K99">
        <f>IFERROR(BIO!S161/BIO!S293,0)</f>
        <v>0.14103721306955685</v>
      </c>
      <c r="L99">
        <f>IFERROR(BIO!T161/BIO!T293,0)</f>
        <v>0.29494579005617949</v>
      </c>
      <c r="M99">
        <f>IFERROR(BIO!U161/BIO!U293,0)</f>
        <v>0.17052660747972331</v>
      </c>
      <c r="N99">
        <f>IFERROR(BIO!V161/BIO!V293,0)</f>
        <v>0.52241234953439275</v>
      </c>
      <c r="O99">
        <f>IFERROR(BIO!W161/BIO!W293,0)</f>
        <v>0.12489082516171772</v>
      </c>
      <c r="P99">
        <f>IFERROR(BIO!X161/BIO!X293,0)</f>
        <v>0.77111383108935128</v>
      </c>
      <c r="Q99">
        <f>IFERROR(BIO!Y161/BIO!Y293,0)</f>
        <v>0.18945539164793643</v>
      </c>
      <c r="R99">
        <f>IFERROR(BIO!Z161/BIO!Z293,0)</f>
        <v>4.9459179823207369E-2</v>
      </c>
      <c r="S99">
        <f>IFERROR(BIO!AA161/BIO!AA293,0)</f>
        <v>0.36989558348528678</v>
      </c>
      <c r="T99">
        <f>IFERROR(BIO!AB161/BIO!AB293,0)</f>
        <v>1.616913635253029E-2</v>
      </c>
      <c r="U99">
        <f>IFERROR(BIO!AC161/BIO!AC293,0)</f>
        <v>0</v>
      </c>
      <c r="V99">
        <f>IFERROR(BIO!AD161/BIO!AD293,0)</f>
        <v>0</v>
      </c>
      <c r="W99">
        <f>IFERROR(BIO!AE161/BIO!AE293,0)</f>
        <v>0.13680103540007543</v>
      </c>
      <c r="X99">
        <f>IFERROR(BIO!AF161/BIO!AF293,0)</f>
        <v>0.38148504368488689</v>
      </c>
      <c r="Y99">
        <f>IFERROR(BIO!AG161/BIO!AG293,0)</f>
        <v>0.41095890410958902</v>
      </c>
      <c r="Z99">
        <f>IFERROR(BIO!AH161/BIO!AH293,0)</f>
        <v>0.70910559233745007</v>
      </c>
      <c r="AA99">
        <f>IFERROR(BIO!AI161/BIO!AI293,0)</f>
        <v>0.45123425229003744</v>
      </c>
      <c r="AB99">
        <f>IFERROR(BIO!AJ161/BIO!AJ293,0)</f>
        <v>0.13425939336313172</v>
      </c>
      <c r="AC99">
        <f>IFERROR(BIO!AK161/BIO!AK293,0)</f>
        <v>0</v>
      </c>
      <c r="AD99">
        <f>IFERROR(BIO!AL161/BIO!AL293,0)</f>
        <v>6.5388212398121301E-2</v>
      </c>
      <c r="AE99">
        <f>IFERROR(BIO!AM161/BIO!AM293,0)</f>
        <v>0.29535315366899317</v>
      </c>
      <c r="AF99">
        <f>IFERROR(BIO!AN161/BIO!AN293,0)</f>
        <v>0.26781242622364693</v>
      </c>
      <c r="AG99">
        <f>IFERROR(BIO!AO161/BIO!AO293,0)</f>
        <v>4.6678616392463138E-2</v>
      </c>
      <c r="AH99">
        <f>IFERROR(BIO!AP161/BIO!AP293,0)</f>
        <v>0.11519975658684982</v>
      </c>
      <c r="AI99">
        <f>IFERROR(BIO!AQ161/BIO!AQ293,0)</f>
        <v>0.29342313427501998</v>
      </c>
      <c r="AJ99">
        <f>IFERROR(BIO!AR161/BIO!AR293,0)</f>
        <v>0.1786936958713797</v>
      </c>
      <c r="AK99">
        <f>IFERROR(BIO!AS161/BIO!AS293,0)</f>
        <v>0.34164856107234942</v>
      </c>
      <c r="AL99">
        <f>IFERROR(BIO!AT161/BIO!AT293,0)</f>
        <v>0.30653523465634258</v>
      </c>
      <c r="AM99">
        <f>IFERROR(BIO!AU161/BIO!AU293,0)</f>
        <v>0.22680151176220789</v>
      </c>
    </row>
    <row r="100" spans="2:39">
      <c r="B100" t="s">
        <v>63</v>
      </c>
      <c r="C100">
        <v>2030</v>
      </c>
      <c r="D100">
        <f>IFERROR(BIO!L162/BIO!L294,0)</f>
        <v>0.2014392951135108</v>
      </c>
      <c r="E100">
        <f>IFERROR(BIO!M162/BIO!M294,0)</f>
        <v>0.38383485037038423</v>
      </c>
      <c r="F100">
        <f>IFERROR(BIO!N162/BIO!N294,0)</f>
        <v>4.0014861793219933E-2</v>
      </c>
      <c r="G100">
        <f>IFERROR(BIO!O162/BIO!O294,0)</f>
        <v>0.17058155769656105</v>
      </c>
      <c r="H100">
        <f>IFERROR(BIO!P162/BIO!P294,0)</f>
        <v>0.24409479573026066</v>
      </c>
      <c r="I100">
        <f>IFERROR(BIO!Q162/BIO!Q294,0)</f>
        <v>0.45699464961300018</v>
      </c>
      <c r="J100">
        <f>IFERROR(BIO!R162/BIO!R294,0)</f>
        <v>0</v>
      </c>
      <c r="K100">
        <f>IFERROR(BIO!S162/BIO!S294,0)</f>
        <v>0.13668553773175329</v>
      </c>
      <c r="L100">
        <f>IFERROR(BIO!T162/BIO!T294,0)</f>
        <v>0.28009192734989069</v>
      </c>
      <c r="M100">
        <f>IFERROR(BIO!U162/BIO!U294,0)</f>
        <v>0.15562620639489866</v>
      </c>
      <c r="N100">
        <f>IFERROR(BIO!V162/BIO!V294,0)</f>
        <v>0.64749580468968271</v>
      </c>
      <c r="O100">
        <f>IFERROR(BIO!W162/BIO!W294,0)</f>
        <v>0.13162688876925649</v>
      </c>
      <c r="P100">
        <f>IFERROR(BIO!X162/BIO!X294,0)</f>
        <v>0.6765650080256822</v>
      </c>
      <c r="Q100">
        <f>IFERROR(BIO!Y162/BIO!Y294,0)</f>
        <v>0.18709829662848099</v>
      </c>
      <c r="R100">
        <f>IFERROR(BIO!Z162/BIO!Z294,0)</f>
        <v>4.4943229061346568E-2</v>
      </c>
      <c r="S100">
        <f>IFERROR(BIO!AA162/BIO!AA294,0)</f>
        <v>0.33127151719414016</v>
      </c>
      <c r="T100">
        <f>IFERROR(BIO!AB162/BIO!AB294,0)</f>
        <v>1.5369202885240648E-2</v>
      </c>
      <c r="U100">
        <f>IFERROR(BIO!AC162/BIO!AC294,0)</f>
        <v>0</v>
      </c>
      <c r="V100">
        <f>IFERROR(BIO!AD162/BIO!AD294,0)</f>
        <v>0</v>
      </c>
      <c r="W100">
        <f>IFERROR(BIO!AE162/BIO!AE294,0)</f>
        <v>0.13191619314229402</v>
      </c>
      <c r="X100">
        <f>IFERROR(BIO!AF162/BIO!AF294,0)</f>
        <v>0.35381229091201788</v>
      </c>
      <c r="Y100">
        <f>IFERROR(BIO!AG162/BIO!AG294,0)</f>
        <v>0.36656795063632097</v>
      </c>
      <c r="Z100">
        <f>IFERROR(BIO!AH162/BIO!AH294,0)</f>
        <v>0.70263897072665416</v>
      </c>
      <c r="AA100">
        <f>IFERROR(BIO!AI162/BIO!AI294,0)</f>
        <v>0.42311795297934962</v>
      </c>
      <c r="AB100">
        <f>IFERROR(BIO!AJ162/BIO!AJ294,0)</f>
        <v>0.13098559461641185</v>
      </c>
      <c r="AC100">
        <f>IFERROR(BIO!AK162/BIO!AK294,0)</f>
        <v>0</v>
      </c>
      <c r="AD100">
        <f>IFERROR(BIO!AL162/BIO!AL294,0)</f>
        <v>7.0584338589760459E-2</v>
      </c>
      <c r="AE100">
        <f>IFERROR(BIO!AM162/BIO!AM294,0)</f>
        <v>0.26062661023105999</v>
      </c>
      <c r="AF100">
        <f>IFERROR(BIO!AN162/BIO!AN294,0)</f>
        <v>0.26865768962051084</v>
      </c>
      <c r="AG100">
        <f>IFERROR(BIO!AO162/BIO!AO294,0)</f>
        <v>5.0606075733174043E-2</v>
      </c>
      <c r="AH100">
        <f>IFERROR(BIO!AP162/BIO!AP294,0)</f>
        <v>0.11806409349196836</v>
      </c>
      <c r="AI100">
        <f>IFERROR(BIO!AQ162/BIO!AQ294,0)</f>
        <v>0.2804628725911264</v>
      </c>
      <c r="AJ100">
        <f>IFERROR(BIO!AR162/BIO!AR294,0)</f>
        <v>0.18055891669189966</v>
      </c>
      <c r="AK100">
        <f>IFERROR(BIO!AS162/BIO!AS294,0)</f>
        <v>0.33398945132855218</v>
      </c>
      <c r="AL100">
        <f>IFERROR(BIO!AT162/BIO!AT294,0)</f>
        <v>0.28523737145812361</v>
      </c>
      <c r="AM100">
        <f>IFERROR(BIO!AU162/BIO!AU294,0)</f>
        <v>0.2159727415296912</v>
      </c>
    </row>
    <row r="101" spans="2:39">
      <c r="B101" t="s">
        <v>63</v>
      </c>
      <c r="C101">
        <v>2040</v>
      </c>
      <c r="D101">
        <f>IFERROR(BIO!L163/BIO!L295,0)</f>
        <v>0.24157643511434884</v>
      </c>
      <c r="E101">
        <f>IFERROR(BIO!M163/BIO!M295,0)</f>
        <v>0.40052507782482127</v>
      </c>
      <c r="F101">
        <f>IFERROR(BIO!N163/BIO!N295,0)</f>
        <v>4.3154759340024468E-2</v>
      </c>
      <c r="G101">
        <f>IFERROR(BIO!O163/BIO!O295,0)</f>
        <v>0.21187270687770784</v>
      </c>
      <c r="H101">
        <f>IFERROR(BIO!P163/BIO!P295,0)</f>
        <v>0.28348225187352877</v>
      </c>
      <c r="I101">
        <f>IFERROR(BIO!Q163/BIO!Q295,0)</f>
        <v>0.49849003219900023</v>
      </c>
      <c r="J101">
        <f>IFERROR(BIO!R163/BIO!R295,0)</f>
        <v>0</v>
      </c>
      <c r="K101">
        <f>IFERROR(BIO!S163/BIO!S295,0)</f>
        <v>0.17613645929038008</v>
      </c>
      <c r="L101">
        <f>IFERROR(BIO!T163/BIO!T295,0)</f>
        <v>0.30857864456434758</v>
      </c>
      <c r="M101">
        <f>IFERROR(BIO!U163/BIO!U295,0)</f>
        <v>0.13791612812717235</v>
      </c>
      <c r="N101">
        <f>IFERROR(BIO!V163/BIO!V295,0)</f>
        <v>0.83091149273447817</v>
      </c>
      <c r="O101">
        <f>IFERROR(BIO!W163/BIO!W295,0)</f>
        <v>0.14098811279390644</v>
      </c>
      <c r="P101">
        <f>IFERROR(BIO!X163/BIO!X295,0)</f>
        <v>0.66482649842271291</v>
      </c>
      <c r="Q101">
        <f>IFERROR(BIO!Y163/BIO!Y295,0)</f>
        <v>0.19623208014332014</v>
      </c>
      <c r="R101">
        <f>IFERROR(BIO!Z163/BIO!Z295,0)</f>
        <v>4.081578478822305E-2</v>
      </c>
      <c r="S101">
        <f>IFERROR(BIO!AA163/BIO!AA295,0)</f>
        <v>0.28245815214916487</v>
      </c>
      <c r="T101">
        <f>IFERROR(BIO!AB163/BIO!AB295,0)</f>
        <v>1.3684883203148356E-2</v>
      </c>
      <c r="U101">
        <f>IFERROR(BIO!AC163/BIO!AC295,0)</f>
        <v>0</v>
      </c>
      <c r="V101">
        <f>IFERROR(BIO!AD163/BIO!AD295,0)</f>
        <v>0</v>
      </c>
      <c r="W101">
        <f>IFERROR(BIO!AE163/BIO!AE295,0)</f>
        <v>0.12353937007607999</v>
      </c>
      <c r="X101">
        <f>IFERROR(BIO!AF163/BIO!AF295,0)</f>
        <v>0.3089422790624014</v>
      </c>
      <c r="Y101">
        <f>IFERROR(BIO!AG163/BIO!AG295,0)</f>
        <v>0.38400183800654453</v>
      </c>
      <c r="Z101">
        <f>IFERROR(BIO!AH163/BIO!AH295,0)</f>
        <v>0.69777514966318477</v>
      </c>
      <c r="AA101">
        <f>IFERROR(BIO!AI163/BIO!AI295,0)</f>
        <v>0.4295596529538514</v>
      </c>
      <c r="AB101">
        <f>IFERROR(BIO!AJ163/BIO!AJ295,0)</f>
        <v>0.16752504316058739</v>
      </c>
      <c r="AC101">
        <f>IFERROR(BIO!AK163/BIO!AK295,0)</f>
        <v>0</v>
      </c>
      <c r="AD101">
        <f>IFERROR(BIO!AL163/BIO!AL295,0)</f>
        <v>7.6354316644090633E-2</v>
      </c>
      <c r="AE101">
        <f>IFERROR(BIO!AM163/BIO!AM295,0)</f>
        <v>0.30165054830174881</v>
      </c>
      <c r="AF101">
        <f>IFERROR(BIO!AN163/BIO!AN295,0)</f>
        <v>0.27597465910839503</v>
      </c>
      <c r="AG101">
        <f>IFERROR(BIO!AO163/BIO!AO295,0)</f>
        <v>5.1660936643230911E-2</v>
      </c>
      <c r="AH101">
        <f>IFERROR(BIO!AP163/BIO!AP295,0)</f>
        <v>0.12206645199833212</v>
      </c>
      <c r="AI101">
        <f>IFERROR(BIO!AQ163/BIO!AQ295,0)</f>
        <v>0.3162172322504711</v>
      </c>
      <c r="AJ101">
        <f>IFERROR(BIO!AR163/BIO!AR295,0)</f>
        <v>0.18366565187498318</v>
      </c>
      <c r="AK101">
        <f>IFERROR(BIO!AS163/BIO!AS295,0)</f>
        <v>0.31786514595633963</v>
      </c>
      <c r="AL101">
        <f>IFERROR(BIO!AT163/BIO!AT295,0)</f>
        <v>0.27756678814388808</v>
      </c>
      <c r="AM101">
        <f>IFERROR(BIO!AU163/BIO!AU295,0)</f>
        <v>0.20847165770010062</v>
      </c>
    </row>
    <row r="102" spans="2:39">
      <c r="B102" t="s">
        <v>63</v>
      </c>
      <c r="C102">
        <v>2050</v>
      </c>
      <c r="D102">
        <f>IFERROR(BIO!L164/BIO!L296,0)</f>
        <v>0.23857136182975774</v>
      </c>
      <c r="E102">
        <f>IFERROR(BIO!M164/BIO!M296,0)</f>
        <v>0.38742043691393518</v>
      </c>
      <c r="F102">
        <f>IFERROR(BIO!N164/BIO!N296,0)</f>
        <v>4.7093921919259409E-2</v>
      </c>
      <c r="G102">
        <f>IFERROR(BIO!O164/BIO!O296,0)</f>
        <v>0.20557687313098055</v>
      </c>
      <c r="H102">
        <f>IFERROR(BIO!P164/BIO!P296,0)</f>
        <v>0.27951756141538747</v>
      </c>
      <c r="I102">
        <f>IFERROR(BIO!Q164/BIO!Q296,0)</f>
        <v>0.48978064956918205</v>
      </c>
      <c r="J102">
        <f>IFERROR(BIO!R164/BIO!R296,0)</f>
        <v>0</v>
      </c>
      <c r="K102">
        <f>IFERROR(BIO!S164/BIO!S296,0)</f>
        <v>0.16711145488920667</v>
      </c>
      <c r="L102">
        <f>IFERROR(BIO!T164/BIO!T296,0)</f>
        <v>0.30157592177438036</v>
      </c>
      <c r="M102">
        <f>IFERROR(BIO!U164/BIO!U296,0)</f>
        <v>0.12225679760893646</v>
      </c>
      <c r="N102">
        <f>IFERROR(BIO!V164/BIO!V296,0)</f>
        <v>0.84570596797671038</v>
      </c>
      <c r="O102">
        <f>IFERROR(BIO!W164/BIO!W296,0)</f>
        <v>0.15034576858753912</v>
      </c>
      <c r="P102">
        <f>IFERROR(BIO!X164/BIO!X296,0)</f>
        <v>0.65756630265210614</v>
      </c>
      <c r="Q102">
        <f>IFERROR(BIO!Y164/BIO!Y296,0)</f>
        <v>0.20360483368773008</v>
      </c>
      <c r="R102">
        <f>IFERROR(BIO!Z164/BIO!Z296,0)</f>
        <v>3.802230595308552E-2</v>
      </c>
      <c r="S102">
        <f>IFERROR(BIO!AA164/BIO!AA296,0)</f>
        <v>0.22198312272291337</v>
      </c>
      <c r="T102">
        <f>IFERROR(BIO!AB164/BIO!AB296,0)</f>
        <v>1.3684883203148356E-2</v>
      </c>
      <c r="U102">
        <f>IFERROR(BIO!AC164/BIO!AC296,0)</f>
        <v>0</v>
      </c>
      <c r="V102">
        <f>IFERROR(BIO!AD164/BIO!AD296,0)</f>
        <v>0</v>
      </c>
      <c r="W102">
        <f>IFERROR(BIO!AE164/BIO!AE296,0)</f>
        <v>0.11730214613422817</v>
      </c>
      <c r="X102">
        <f>IFERROR(BIO!AF164/BIO!AF296,0)</f>
        <v>0.25427102178085181</v>
      </c>
      <c r="Y102">
        <f>IFERROR(BIO!AG164/BIO!AG296,0)</f>
        <v>0.39741251647232262</v>
      </c>
      <c r="Z102">
        <f>IFERROR(BIO!AH164/BIO!AH296,0)</f>
        <v>0.69854129530384101</v>
      </c>
      <c r="AA102">
        <f>IFERROR(BIO!AI164/BIO!AI296,0)</f>
        <v>0.41657585671285619</v>
      </c>
      <c r="AB102">
        <f>IFERROR(BIO!AJ164/BIO!AJ296,0)</f>
        <v>0.16748420865932678</v>
      </c>
      <c r="AC102">
        <f>IFERROR(BIO!AK164/BIO!AK296,0)</f>
        <v>0</v>
      </c>
      <c r="AD102">
        <f>IFERROR(BIO!AL164/BIO!AL296,0)</f>
        <v>8.7413707082331968E-2</v>
      </c>
      <c r="AE102">
        <f>IFERROR(BIO!AM164/BIO!AM296,0)</f>
        <v>0.29964996512298958</v>
      </c>
      <c r="AF102">
        <f>IFERROR(BIO!AN164/BIO!AN296,0)</f>
        <v>0.28272667188656475</v>
      </c>
      <c r="AG102">
        <f>IFERROR(BIO!AO164/BIO!AO296,0)</f>
        <v>5.4289949550872275E-2</v>
      </c>
      <c r="AH102">
        <f>IFERROR(BIO!AP164/BIO!AP296,0)</f>
        <v>0.12634391508383552</v>
      </c>
      <c r="AI102">
        <f>IFERROR(BIO!AQ164/BIO!AQ296,0)</f>
        <v>0.31057892915288021</v>
      </c>
      <c r="AJ102">
        <f>IFERROR(BIO!AR164/BIO!AR296,0)</f>
        <v>0.19230924030002339</v>
      </c>
      <c r="AK102">
        <f>IFERROR(BIO!AS164/BIO!AS296,0)</f>
        <v>0.27170068115360763</v>
      </c>
      <c r="AL102">
        <f>IFERROR(BIO!AT164/BIO!AT296,0)</f>
        <v>0.27140203013060971</v>
      </c>
      <c r="AM102">
        <f>IFERROR(BIO!AU164/BIO!AU296,0)</f>
        <v>0.20164521340008651</v>
      </c>
    </row>
    <row r="103" spans="2:39">
      <c r="B103" t="s">
        <v>67</v>
      </c>
      <c r="C103">
        <v>2005</v>
      </c>
      <c r="D103">
        <f>IFERROR(BIO!L172/BIO!L291,0)</f>
        <v>0.74336242046954071</v>
      </c>
      <c r="E103">
        <f>IFERROR(BIO!M172/BIO!M291,0)</f>
        <v>0.35442707878960505</v>
      </c>
      <c r="F103">
        <f>IFERROR(BIO!N172/BIO!N291,0)</f>
        <v>0.39345196849789144</v>
      </c>
      <c r="G103">
        <f>IFERROR(BIO!O172/BIO!O291,0)</f>
        <v>0.83384197714904751</v>
      </c>
      <c r="H103">
        <f>IFERROR(BIO!P172/BIO!P291,0)</f>
        <v>0.66475427211365201</v>
      </c>
      <c r="I103">
        <f>IFERROR(BIO!Q172/BIO!Q291,0)</f>
        <v>0.20850714636236597</v>
      </c>
      <c r="J103">
        <f>IFERROR(BIO!R172/BIO!R291,0)</f>
        <v>0</v>
      </c>
      <c r="K103">
        <f>IFERROR(BIO!S172/BIO!S291,0)</f>
        <v>0.88217030680296527</v>
      </c>
      <c r="L103">
        <f>IFERROR(BIO!T172/BIO!T291,0)</f>
        <v>0.51563393507153754</v>
      </c>
      <c r="M103">
        <f>IFERROR(BIO!U172/BIO!U291,0)</f>
        <v>0.77987539316700605</v>
      </c>
      <c r="N103">
        <f>IFERROR(BIO!V172/BIO!V291,0)</f>
        <v>0.2148127654624509</v>
      </c>
      <c r="O103">
        <f>IFERROR(BIO!W172/BIO!W291,0)</f>
        <v>0.89724030822905032</v>
      </c>
      <c r="P103">
        <f>IFERROR(BIO!X172/BIO!X291,0)</f>
        <v>0</v>
      </c>
      <c r="Q103">
        <f>IFERROR(BIO!Y172/BIO!Y291,0)</f>
        <v>0.8318710949887731</v>
      </c>
      <c r="R103">
        <f>IFERROR(BIO!Z172/BIO!Z291,0)</f>
        <v>0.9499492541048562</v>
      </c>
      <c r="S103">
        <f>IFERROR(BIO!AA172/BIO!AA291,0)</f>
        <v>0.50921010274770595</v>
      </c>
      <c r="T103">
        <f>IFERROR(BIO!AB172/BIO!AB291,0)</f>
        <v>0.98863140749376288</v>
      </c>
      <c r="U103">
        <f>IFERROR(BIO!AC172/BIO!AC291,0)</f>
        <v>0.94350970440511328</v>
      </c>
      <c r="V103">
        <f>IFERROR(BIO!AD172/BIO!AD291,0)</f>
        <v>0</v>
      </c>
      <c r="W103">
        <f>IFERROR(BIO!AE172/BIO!AE291,0)</f>
        <v>0.74224691560413458</v>
      </c>
      <c r="X103">
        <f>IFERROR(BIO!AF172/BIO!AF291,0)</f>
        <v>0.63010134813201191</v>
      </c>
      <c r="Y103">
        <f>IFERROR(BIO!AG172/BIO!AG291,0)</f>
        <v>0</v>
      </c>
      <c r="Z103">
        <f>IFERROR(BIO!AH172/BIO!AH291,0)</f>
        <v>0.22378302606713457</v>
      </c>
      <c r="AA103">
        <f>IFERROR(BIO!AI172/BIO!AI291,0)</f>
        <v>0.17806914657679482</v>
      </c>
      <c r="AB103">
        <f>IFERROR(BIO!AJ172/BIO!AJ291,0)</f>
        <v>0.84766353132958649</v>
      </c>
      <c r="AC103">
        <f>IFERROR(BIO!AK172/BIO!AK291,0)</f>
        <v>0</v>
      </c>
      <c r="AD103">
        <f>IFERROR(BIO!AL172/BIO!AL291,0)</f>
        <v>0.50015110494839943</v>
      </c>
      <c r="AE103">
        <f>IFERROR(BIO!AM172/BIO!AM291,0)</f>
        <v>0.62083719959875416</v>
      </c>
      <c r="AF103">
        <f>IFERROR(BIO!AN172/BIO!AN291,0)</f>
        <v>0.79092955554458355</v>
      </c>
      <c r="AG103">
        <f>IFERROR(BIO!AO172/BIO!AO291,0)</f>
        <v>0.44855475391755883</v>
      </c>
      <c r="AH103">
        <f>IFERROR(BIO!AP172/BIO!AP291,0)</f>
        <v>0.74472385260673013</v>
      </c>
      <c r="AI103">
        <f>IFERROR(BIO!AQ172/BIO!AQ291,0)</f>
        <v>0.5909396938889645</v>
      </c>
      <c r="AJ103">
        <f>IFERROR(BIO!AR172/BIO!AR291,0)</f>
        <v>0.69148238122891348</v>
      </c>
      <c r="AK103">
        <f>IFERROR(BIO!AS172/BIO!AS291,0)</f>
        <v>0.44708722935083461</v>
      </c>
      <c r="AL103">
        <f>IFERROR(BIO!AT172/BIO!AT291,0)</f>
        <v>0.76246993012789954</v>
      </c>
      <c r="AM103">
        <f>IFERROR(BIO!AU172/BIO!AU291,0)</f>
        <v>0.82604443859368681</v>
      </c>
    </row>
    <row r="104" spans="2:39">
      <c r="B104" t="s">
        <v>67</v>
      </c>
      <c r="C104">
        <v>2010</v>
      </c>
      <c r="D104">
        <f>IFERROR(BIO!L173/BIO!L292,0)</f>
        <v>0.73688596056171418</v>
      </c>
      <c r="E104">
        <f>IFERROR(BIO!M173/BIO!M292,0)</f>
        <v>0.34278848324612327</v>
      </c>
      <c r="F104">
        <f>IFERROR(BIO!N173/BIO!N292,0)</f>
        <v>0.3961130940073162</v>
      </c>
      <c r="G104">
        <f>IFERROR(BIO!O173/BIO!O292,0)</f>
        <v>0.8377742628868069</v>
      </c>
      <c r="H104">
        <f>IFERROR(BIO!P173/BIO!P292,0)</f>
        <v>0.65742641492429377</v>
      </c>
      <c r="I104">
        <f>IFERROR(BIO!Q173/BIO!Q292,0)</f>
        <v>0.20366426368118484</v>
      </c>
      <c r="J104">
        <f>IFERROR(BIO!R173/BIO!R292,0)</f>
        <v>0</v>
      </c>
      <c r="K104">
        <f>IFERROR(BIO!S173/BIO!S292,0)</f>
        <v>0.8861353596215189</v>
      </c>
      <c r="L104">
        <f>IFERROR(BIO!T173/BIO!T292,0)</f>
        <v>0.50650701215411809</v>
      </c>
      <c r="M104">
        <f>IFERROR(BIO!U173/BIO!U292,0)</f>
        <v>0.79280245454500242</v>
      </c>
      <c r="N104">
        <f>IFERROR(BIO!V173/BIO!V292,0)</f>
        <v>0.22071084092164467</v>
      </c>
      <c r="O104">
        <f>IFERROR(BIO!W173/BIO!W292,0)</f>
        <v>0.89277420508250271</v>
      </c>
      <c r="P104">
        <f>IFERROR(BIO!X173/BIO!X292,0)</f>
        <v>0</v>
      </c>
      <c r="Q104">
        <f>IFERROR(BIO!Y173/BIO!Y292,0)</f>
        <v>0.82572752762703039</v>
      </c>
      <c r="R104">
        <f>IFERROR(BIO!Z173/BIO!Z292,0)</f>
        <v>0.95259804536645898</v>
      </c>
      <c r="S104">
        <f>IFERROR(BIO!AA173/BIO!AA292,0)</f>
        <v>0.52871406686098199</v>
      </c>
      <c r="T104">
        <f>IFERROR(BIO!AB173/BIO!AB292,0)</f>
        <v>0.98863140749376288</v>
      </c>
      <c r="U104">
        <f>IFERROR(BIO!AC173/BIO!AC292,0)</f>
        <v>0.94588451756047409</v>
      </c>
      <c r="V104">
        <f>IFERROR(BIO!AD173/BIO!AD292,0)</f>
        <v>0</v>
      </c>
      <c r="W104">
        <f>IFERROR(BIO!AE173/BIO!AE292,0)</f>
        <v>0.74790955658286096</v>
      </c>
      <c r="X104">
        <f>IFERROR(BIO!AF173/BIO!AF292,0)</f>
        <v>0.6459872072172389</v>
      </c>
      <c r="Y104">
        <f>IFERROR(BIO!AG173/BIO!AG292,0)</f>
        <v>0</v>
      </c>
      <c r="Z104">
        <f>IFERROR(BIO!AH173/BIO!AH292,0)</f>
        <v>0.22932217269895822</v>
      </c>
      <c r="AA104">
        <f>IFERROR(BIO!AI173/BIO!AI292,0)</f>
        <v>0.17325428948806615</v>
      </c>
      <c r="AB104">
        <f>IFERROR(BIO!AJ173/BIO!AJ292,0)</f>
        <v>0.84315674113728789</v>
      </c>
      <c r="AC104">
        <f>IFERROR(BIO!AK173/BIO!AK292,0)</f>
        <v>0</v>
      </c>
      <c r="AD104">
        <f>IFERROR(BIO!AL173/BIO!AL292,0)</f>
        <v>0.52369950804181364</v>
      </c>
      <c r="AE104">
        <f>IFERROR(BIO!AM173/BIO!AM292,0)</f>
        <v>0.61366827802857826</v>
      </c>
      <c r="AF104">
        <f>IFERROR(BIO!AN173/BIO!AN292,0)</f>
        <v>0.78242696989476346</v>
      </c>
      <c r="AG104">
        <f>IFERROR(BIO!AO173/BIO!AO292,0)</f>
        <v>0.46154016881391186</v>
      </c>
      <c r="AH104">
        <f>IFERROR(BIO!AP173/BIO!AP292,0)</f>
        <v>0.74378079220041537</v>
      </c>
      <c r="AI104">
        <f>IFERROR(BIO!AQ173/BIO!AQ292,0)</f>
        <v>0.58245793137518942</v>
      </c>
      <c r="AJ104">
        <f>IFERROR(BIO!AR173/BIO!AR292,0)</f>
        <v>0.4149306750717548</v>
      </c>
      <c r="AK104">
        <f>IFERROR(BIO!AS173/BIO!AS292,0)</f>
        <v>0.47178357626685635</v>
      </c>
      <c r="AL104">
        <f>IFERROR(BIO!AT173/BIO!AT292,0)</f>
        <v>0.76613395398605455</v>
      </c>
      <c r="AM104">
        <f>IFERROR(BIO!AU173/BIO!AU292,0)</f>
        <v>0.8291071912502882</v>
      </c>
    </row>
    <row r="105" spans="2:39">
      <c r="B105" t="s">
        <v>67</v>
      </c>
      <c r="C105">
        <v>2020</v>
      </c>
      <c r="D105">
        <f>IFERROR(BIO!L174/BIO!L293,0)</f>
        <v>0.58424061013557571</v>
      </c>
      <c r="E105">
        <f>IFERROR(BIO!M174/BIO!M293,0)</f>
        <v>0.21876750969336628</v>
      </c>
      <c r="F105">
        <f>IFERROR(BIO!N174/BIO!N293,0)</f>
        <v>0.54106574450594414</v>
      </c>
      <c r="G105">
        <f>IFERROR(BIO!O174/BIO!O293,0)</f>
        <v>0.74815771896591365</v>
      </c>
      <c r="H105">
        <f>IFERROR(BIO!P174/BIO!P293,0)</f>
        <v>0.4906535861806478</v>
      </c>
      <c r="I105">
        <f>IFERROR(BIO!Q174/BIO!Q293,0)</f>
        <v>0.14727824123863328</v>
      </c>
      <c r="J105">
        <f>IFERROR(BIO!R174/BIO!R293,0)</f>
        <v>0</v>
      </c>
      <c r="K105">
        <f>IFERROR(BIO!S174/BIO!S293,0)</f>
        <v>0.83450546674497095</v>
      </c>
      <c r="L105">
        <f>IFERROR(BIO!T174/BIO!T293,0)</f>
        <v>0.34789763177786304</v>
      </c>
      <c r="M105">
        <f>IFERROR(BIO!U174/BIO!U293,0)</f>
        <v>0.72822321932919098</v>
      </c>
      <c r="N105">
        <f>IFERROR(BIO!V174/BIO!V293,0)</f>
        <v>0.35782223137403757</v>
      </c>
      <c r="O105">
        <f>IFERROR(BIO!W174/BIO!W293,0)</f>
        <v>0.81216152033318056</v>
      </c>
      <c r="P105">
        <f>IFERROR(BIO!X174/BIO!X293,0)</f>
        <v>0</v>
      </c>
      <c r="Q105">
        <f>IFERROR(BIO!Y174/BIO!Y293,0)</f>
        <v>0.70808106063492071</v>
      </c>
      <c r="R105">
        <f>IFERROR(BIO!Z174/BIO!Z293,0)</f>
        <v>0.9266089589720149</v>
      </c>
      <c r="S105">
        <f>IFERROR(BIO!AA174/BIO!AA293,0)</f>
        <v>0.43669496109756994</v>
      </c>
      <c r="T105">
        <f>IFERROR(BIO!AB174/BIO!AB293,0)</f>
        <v>0.98203429294163302</v>
      </c>
      <c r="U105">
        <f>IFERROR(BIO!AC174/BIO!AC293,0)</f>
        <v>0.92134159770946744</v>
      </c>
      <c r="V105">
        <f>IFERROR(BIO!AD174/BIO!AD293,0)</f>
        <v>0</v>
      </c>
      <c r="W105">
        <f>IFERROR(BIO!AE174/BIO!AE293,0)</f>
        <v>0.64523612088413285</v>
      </c>
      <c r="X105">
        <f>IFERROR(BIO!AF174/BIO!AF293,0)</f>
        <v>0.55224001228511155</v>
      </c>
      <c r="Y105">
        <f>IFERROR(BIO!AG174/BIO!AG293,0)</f>
        <v>0</v>
      </c>
      <c r="Z105">
        <f>IFERROR(BIO!AH174/BIO!AH293,0)</f>
        <v>0.15408463613737405</v>
      </c>
      <c r="AA105">
        <f>IFERROR(BIO!AI174/BIO!AI293,0)</f>
        <v>9.5169012423642257E-2</v>
      </c>
      <c r="AB105">
        <f>IFERROR(BIO!AJ174/BIO!AJ293,0)</f>
        <v>0.73013861934010527</v>
      </c>
      <c r="AC105">
        <f>IFERROR(BIO!AK174/BIO!AK293,0)</f>
        <v>0</v>
      </c>
      <c r="AD105">
        <f>IFERROR(BIO!AL174/BIO!AL293,0)</f>
        <v>0.41150608841690839</v>
      </c>
      <c r="AE105">
        <f>IFERROR(BIO!AM174/BIO!AM293,0)</f>
        <v>0.48911886932930915</v>
      </c>
      <c r="AF105">
        <f>IFERROR(BIO!AN174/BIO!AN293,0)</f>
        <v>0.65269675172525787</v>
      </c>
      <c r="AG105">
        <f>IFERROR(BIO!AO174/BIO!AO293,0)</f>
        <v>0.36450397968546616</v>
      </c>
      <c r="AH105">
        <f>IFERROR(BIO!AP174/BIO!AP293,0)</f>
        <v>0.62374273050262763</v>
      </c>
      <c r="AI105">
        <f>IFERROR(BIO!AQ174/BIO!AQ293,0)</f>
        <v>0.41207694930583161</v>
      </c>
      <c r="AJ105">
        <f>IFERROR(BIO!AR174/BIO!AR293,0)</f>
        <v>0.23212284462817487</v>
      </c>
      <c r="AK105">
        <f>IFERROR(BIO!AS174/BIO!AS293,0)</f>
        <v>0.36474720675610034</v>
      </c>
      <c r="AL105">
        <f>IFERROR(BIO!AT174/BIO!AT293,0)</f>
        <v>0.65967347963350931</v>
      </c>
      <c r="AM105">
        <f>IFERROR(BIO!AU174/BIO!AU293,0)</f>
        <v>0.7439851787602243</v>
      </c>
    </row>
    <row r="106" spans="2:39">
      <c r="B106" t="s">
        <v>67</v>
      </c>
      <c r="C106">
        <v>2030</v>
      </c>
      <c r="D106">
        <f>IFERROR(BIO!L175/BIO!L294,0)</f>
        <v>0.56769769250920721</v>
      </c>
      <c r="E106">
        <f>IFERROR(BIO!M175/BIO!M294,0)</f>
        <v>0.21093025422078784</v>
      </c>
      <c r="F106">
        <f>IFERROR(BIO!N175/BIO!N294,0)</f>
        <v>0.48832059706967695</v>
      </c>
      <c r="G106">
        <f>IFERROR(BIO!O175/BIO!O294,0)</f>
        <v>0.76450687610032286</v>
      </c>
      <c r="H106">
        <f>IFERROR(BIO!P175/BIO!P294,0)</f>
        <v>0.47560990917270268</v>
      </c>
      <c r="I106">
        <f>IFERROR(BIO!Q175/BIO!Q294,0)</f>
        <v>0.16978058744610444</v>
      </c>
      <c r="J106">
        <f>IFERROR(BIO!R175/BIO!R294,0)</f>
        <v>0</v>
      </c>
      <c r="K106">
        <f>IFERROR(BIO!S175/BIO!S294,0)</f>
        <v>0.84173253525796987</v>
      </c>
      <c r="L106">
        <f>IFERROR(BIO!T175/BIO!T294,0)</f>
        <v>0.34855812385789836</v>
      </c>
      <c r="M106">
        <f>IFERROR(BIO!U175/BIO!U294,0)</f>
        <v>0.76915446051423364</v>
      </c>
      <c r="N106">
        <f>IFERROR(BIO!V175/BIO!V294,0)</f>
        <v>0.20714799425753147</v>
      </c>
      <c r="O106">
        <f>IFERROR(BIO!W175/BIO!W294,0)</f>
        <v>0.80557281249264034</v>
      </c>
      <c r="P106">
        <f>IFERROR(BIO!X175/BIO!X294,0)</f>
        <v>0</v>
      </c>
      <c r="Q106">
        <f>IFERROR(BIO!Y175/BIO!Y294,0)</f>
        <v>0.70763290638040188</v>
      </c>
      <c r="R106">
        <f>IFERROR(BIO!Z175/BIO!Z294,0)</f>
        <v>0.93558137167873667</v>
      </c>
      <c r="S106">
        <f>IFERROR(BIO!AA175/BIO!AA294,0)</f>
        <v>0.50309272420878981</v>
      </c>
      <c r="T106">
        <f>IFERROR(BIO!AB175/BIO!AB294,0)</f>
        <v>0.98292310790528825</v>
      </c>
      <c r="U106">
        <f>IFERROR(BIO!AC175/BIO!AC294,0)</f>
        <v>0.92606456964492778</v>
      </c>
      <c r="V106">
        <f>IFERROR(BIO!AD175/BIO!AD294,0)</f>
        <v>0</v>
      </c>
      <c r="W106">
        <f>IFERROR(BIO!AE175/BIO!AE294,0)</f>
        <v>0.66947392498919644</v>
      </c>
      <c r="X106">
        <f>IFERROR(BIO!AF175/BIO!AF294,0)</f>
        <v>0.59401262471385963</v>
      </c>
      <c r="Y106">
        <f>IFERROR(BIO!AG175/BIO!AG294,0)</f>
        <v>0.12670576466052941</v>
      </c>
      <c r="Z106">
        <f>IFERROR(BIO!AH175/BIO!AH294,0)</f>
        <v>0.17040285387504039</v>
      </c>
      <c r="AA106">
        <f>IFERROR(BIO!AI175/BIO!AI294,0)</f>
        <v>8.9937826557975109E-2</v>
      </c>
      <c r="AB106">
        <f>IFERROR(BIO!AJ175/BIO!AJ294,0)</f>
        <v>0.71768153393355893</v>
      </c>
      <c r="AC106">
        <f>IFERROR(BIO!AK175/BIO!AK294,0)</f>
        <v>1</v>
      </c>
      <c r="AD106">
        <f>IFERROR(BIO!AL175/BIO!AL294,0)</f>
        <v>0.50209426021817616</v>
      </c>
      <c r="AE106">
        <f>IFERROR(BIO!AM175/BIO!AM294,0)</f>
        <v>0.5263214782308514</v>
      </c>
      <c r="AF106">
        <f>IFERROR(BIO!AN175/BIO!AN294,0)</f>
        <v>0.64146761565032551</v>
      </c>
      <c r="AG106">
        <f>IFERROR(BIO!AO175/BIO!AO294,0)</f>
        <v>0.38110137110104708</v>
      </c>
      <c r="AH106">
        <f>IFERROR(BIO!AP175/BIO!AP294,0)</f>
        <v>0.62633014064851644</v>
      </c>
      <c r="AI106">
        <f>IFERROR(BIO!AQ175/BIO!AQ294,0)</f>
        <v>0.39707981400196363</v>
      </c>
      <c r="AJ106">
        <f>IFERROR(BIO!AR175/BIO!AR294,0)</f>
        <v>0.22250707855513902</v>
      </c>
      <c r="AK106">
        <f>IFERROR(BIO!AS175/BIO!AS294,0)</f>
        <v>0.44763283049508668</v>
      </c>
      <c r="AL106">
        <f>IFERROR(BIO!AT175/BIO!AT294,0)</f>
        <v>0.68715901194915474</v>
      </c>
      <c r="AM106">
        <f>IFERROR(BIO!AU175/BIO!AU294,0)</f>
        <v>0.75540436501456654</v>
      </c>
    </row>
    <row r="107" spans="2:39">
      <c r="B107" t="s">
        <v>67</v>
      </c>
      <c r="C107">
        <v>2040</v>
      </c>
      <c r="D107">
        <f>IFERROR(BIO!L176/BIO!L295,0)</f>
        <v>0.47343886408669278</v>
      </c>
      <c r="E107">
        <f>IFERROR(BIO!M176/BIO!M295,0)</f>
        <v>0.13793055987074559</v>
      </c>
      <c r="F107">
        <f>IFERROR(BIO!N176/BIO!N295,0)</f>
        <v>0.49508931572171383</v>
      </c>
      <c r="G107">
        <f>IFERROR(BIO!O176/BIO!O295,0)</f>
        <v>0.71017412738426755</v>
      </c>
      <c r="H107">
        <f>IFERROR(BIO!P176/BIO!P295,0)</f>
        <v>0.38232459489140225</v>
      </c>
      <c r="I107">
        <f>IFERROR(BIO!Q176/BIO!Q295,0)</f>
        <v>8.3733258945509384E-2</v>
      </c>
      <c r="J107">
        <f>IFERROR(BIO!R176/BIO!R295,0)</f>
        <v>0</v>
      </c>
      <c r="K107">
        <f>IFERROR(BIO!S176/BIO!S295,0)</f>
        <v>0.80128194336469938</v>
      </c>
      <c r="L107">
        <f>IFERROR(BIO!T176/BIO!T295,0)</f>
        <v>0.2522902074017731</v>
      </c>
      <c r="M107">
        <f>IFERROR(BIO!U176/BIO!U295,0)</f>
        <v>0.81795071087213245</v>
      </c>
      <c r="N107">
        <f>IFERROR(BIO!V176/BIO!V295,0)</f>
        <v>0</v>
      </c>
      <c r="O107">
        <f>IFERROR(BIO!W176/BIO!W295,0)</f>
        <v>0.79398854472021207</v>
      </c>
      <c r="P107">
        <f>IFERROR(BIO!X176/BIO!X295,0)</f>
        <v>0</v>
      </c>
      <c r="Q107">
        <f>IFERROR(BIO!Y176/BIO!Y295,0)</f>
        <v>0.69095817330085807</v>
      </c>
      <c r="R107">
        <f>IFERROR(BIO!Z176/BIO!Z295,0)</f>
        <v>0.94406725788280543</v>
      </c>
      <c r="S107">
        <f>IFERROR(BIO!AA176/BIO!AA295,0)</f>
        <v>0.5748568019198137</v>
      </c>
      <c r="T107">
        <f>IFERROR(BIO!AB176/BIO!AB295,0)</f>
        <v>0.98460450639645813</v>
      </c>
      <c r="U107">
        <f>IFERROR(BIO!AC176/BIO!AC295,0)</f>
        <v>0.93595026762027789</v>
      </c>
      <c r="V107">
        <f>IFERROR(BIO!AD176/BIO!AD295,0)</f>
        <v>0</v>
      </c>
      <c r="W107">
        <f>IFERROR(BIO!AE176/BIO!AE295,0)</f>
        <v>0.68837824201217379</v>
      </c>
      <c r="X107">
        <f>IFERROR(BIO!AF176/BIO!AF295,0)</f>
        <v>0.65534185052576033</v>
      </c>
      <c r="Y107">
        <f>IFERROR(BIO!AG176/BIO!AG295,0)</f>
        <v>0.1107325856690547</v>
      </c>
      <c r="Z107">
        <f>IFERROR(BIO!AH176/BIO!AH295,0)</f>
        <v>0.19285570462158244</v>
      </c>
      <c r="AA107">
        <f>IFERROR(BIO!AI176/BIO!AI295,0)</f>
        <v>6.323728264289219E-2</v>
      </c>
      <c r="AB107">
        <f>IFERROR(BIO!AJ176/BIO!AJ295,0)</f>
        <v>0.63459302666314821</v>
      </c>
      <c r="AC107">
        <f>IFERROR(BIO!AK176/BIO!AK295,0)</f>
        <v>1</v>
      </c>
      <c r="AD107">
        <f>IFERROR(BIO!AL176/BIO!AL295,0)</f>
        <v>0.6089733480954147</v>
      </c>
      <c r="AE107">
        <f>IFERROR(BIO!AM176/BIO!AM295,0)</f>
        <v>0.44580480660841498</v>
      </c>
      <c r="AF107">
        <f>IFERROR(BIO!AN176/BIO!AN295,0)</f>
        <v>0.62378482907016741</v>
      </c>
      <c r="AG107">
        <f>IFERROR(BIO!AO176/BIO!AO295,0)</f>
        <v>0.42337278070276091</v>
      </c>
      <c r="AH107">
        <f>IFERROR(BIO!AP176/BIO!AP295,0)</f>
        <v>0.62542353455413768</v>
      </c>
      <c r="AI107">
        <f>IFERROR(BIO!AQ176/BIO!AQ295,0)</f>
        <v>0.31049790149588252</v>
      </c>
      <c r="AJ107">
        <f>IFERROR(BIO!AR176/BIO!AR295,0)</f>
        <v>0.20899374630734355</v>
      </c>
      <c r="AK107">
        <f>IFERROR(BIO!AS176/BIO!AS295,0)</f>
        <v>0.56802941703369225</v>
      </c>
      <c r="AL107">
        <f>IFERROR(BIO!AT176/BIO!AT295,0)</f>
        <v>0.69677577765793741</v>
      </c>
      <c r="AM107">
        <f>IFERROR(BIO!AU176/BIO!AU295,0)</f>
        <v>0.76415327613725992</v>
      </c>
    </row>
    <row r="108" spans="2:39">
      <c r="B108" t="s">
        <v>67</v>
      </c>
      <c r="C108">
        <v>2050</v>
      </c>
      <c r="D108">
        <f>IFERROR(BIO!L177/BIO!L296,0)</f>
        <v>0.46046168940039411</v>
      </c>
      <c r="E108">
        <f>IFERROR(BIO!M177/BIO!M296,0)</f>
        <v>0.1292714930624653</v>
      </c>
      <c r="F108">
        <f>IFERROR(BIO!N177/BIO!N296,0)</f>
        <v>0.50028116185674742</v>
      </c>
      <c r="G108">
        <f>IFERROR(BIO!O177/BIO!O296,0)</f>
        <v>0.72318361637808559</v>
      </c>
      <c r="H108">
        <f>IFERROR(BIO!P177/BIO!P296,0)</f>
        <v>0.36947906404862313</v>
      </c>
      <c r="I108">
        <f>IFERROR(BIO!Q177/BIO!Q296,0)</f>
        <v>7.287986132055832E-2</v>
      </c>
      <c r="J108">
        <f>IFERROR(BIO!R177/BIO!R296,0)</f>
        <v>0</v>
      </c>
      <c r="K108">
        <f>IFERROR(BIO!S177/BIO!S296,0)</f>
        <v>0.81790613881038166</v>
      </c>
      <c r="L108">
        <f>IFERROR(BIO!T177/BIO!T296,0)</f>
        <v>0.24155098620737481</v>
      </c>
      <c r="M108">
        <f>IFERROR(BIO!U177/BIO!U296,0)</f>
        <v>0.86318882172333311</v>
      </c>
      <c r="N108">
        <f>IFERROR(BIO!V177/BIO!V296,0)</f>
        <v>0</v>
      </c>
      <c r="O108">
        <f>IFERROR(BIO!W177/BIO!W296,0)</f>
        <v>0.78249157249425694</v>
      </c>
      <c r="P108">
        <f>IFERROR(BIO!X177/BIO!X296,0)</f>
        <v>0</v>
      </c>
      <c r="Q108">
        <f>IFERROR(BIO!Y177/BIO!Y296,0)</f>
        <v>0.67675245622345381</v>
      </c>
      <c r="R108">
        <f>IFERROR(BIO!Z177/BIO!Z296,0)</f>
        <v>0.94981055614192711</v>
      </c>
      <c r="S108">
        <f>IFERROR(BIO!AA177/BIO!AA296,0)</f>
        <v>0.66366193526831307</v>
      </c>
      <c r="T108">
        <f>IFERROR(BIO!AB177/BIO!AB296,0)</f>
        <v>0.98460450639645813</v>
      </c>
      <c r="U108">
        <f>IFERROR(BIO!AC177/BIO!AC296,0)</f>
        <v>0.94604930171913337</v>
      </c>
      <c r="V108">
        <f>IFERROR(BIO!AD177/BIO!AD296,0)</f>
        <v>0</v>
      </c>
      <c r="W108">
        <f>IFERROR(BIO!AE177/BIO!AE296,0)</f>
        <v>0.70545276080832575</v>
      </c>
      <c r="X108">
        <f>IFERROR(BIO!AF177/BIO!AF296,0)</f>
        <v>0.7270325795587913</v>
      </c>
      <c r="Y108">
        <f>IFERROR(BIO!AG177/BIO!AG296,0)</f>
        <v>0.10109073655069881</v>
      </c>
      <c r="Z108">
        <f>IFERROR(BIO!AH177/BIO!AH296,0)</f>
        <v>0.20867001133499713</v>
      </c>
      <c r="AA108">
        <f>IFERROR(BIO!AI177/BIO!AI296,0)</f>
        <v>6.007079686513022E-2</v>
      </c>
      <c r="AB108">
        <f>IFERROR(BIO!AJ177/BIO!AJ296,0)</f>
        <v>0.62205866072270333</v>
      </c>
      <c r="AC108">
        <f>IFERROR(BIO!AK177/BIO!AK296,0)</f>
        <v>1</v>
      </c>
      <c r="AD108">
        <f>IFERROR(BIO!AL177/BIO!AL296,0)</f>
        <v>0.76689678111378135</v>
      </c>
      <c r="AE108">
        <f>IFERROR(BIO!AM177/BIO!AM296,0)</f>
        <v>0.43304864553434375</v>
      </c>
      <c r="AF108">
        <f>IFERROR(BIO!AN177/BIO!AN296,0)</f>
        <v>0.60668089072677245</v>
      </c>
      <c r="AG108">
        <f>IFERROR(BIO!AO177/BIO!AO296,0)</f>
        <v>0.46545280442218068</v>
      </c>
      <c r="AH108">
        <f>IFERROR(BIO!AP177/BIO!AP296,0)</f>
        <v>0.62305412127110382</v>
      </c>
      <c r="AI108">
        <f>IFERROR(BIO!AQ177/BIO!AQ296,0)</f>
        <v>0.29875338635578502</v>
      </c>
      <c r="AJ108">
        <f>IFERROR(BIO!AR177/BIO!AR296,0)</f>
        <v>0.20431158195566515</v>
      </c>
      <c r="AK108">
        <f>IFERROR(BIO!AS177/BIO!AS296,0)</f>
        <v>0.72829931884639232</v>
      </c>
      <c r="AL108">
        <f>IFERROR(BIO!AT177/BIO!AT296,0)</f>
        <v>0.70499779333629387</v>
      </c>
      <c r="AM108">
        <f>IFERROR(BIO!AU177/BIO!AU296,0)</f>
        <v>0.77228456112074662</v>
      </c>
    </row>
    <row r="110" spans="2:39">
      <c r="C110">
        <v>2005</v>
      </c>
      <c r="D110">
        <f>SUMIFS(D$85:D$108,$C$85:$C$108,$C110)</f>
        <v>1</v>
      </c>
      <c r="E110">
        <f t="shared" ref="E110:AM115" si="3">SUMIFS(E$85:E$108,$C$85:$C$108,$C110)</f>
        <v>1</v>
      </c>
      <c r="F110">
        <f t="shared" si="3"/>
        <v>1</v>
      </c>
      <c r="G110">
        <f t="shared" si="3"/>
        <v>1</v>
      </c>
      <c r="H110">
        <f t="shared" si="3"/>
        <v>1</v>
      </c>
      <c r="I110">
        <f t="shared" si="3"/>
        <v>1</v>
      </c>
      <c r="J110">
        <f t="shared" si="3"/>
        <v>0</v>
      </c>
      <c r="K110">
        <f t="shared" si="3"/>
        <v>1</v>
      </c>
      <c r="L110">
        <f t="shared" si="3"/>
        <v>1</v>
      </c>
      <c r="M110">
        <f t="shared" si="3"/>
        <v>1</v>
      </c>
      <c r="N110">
        <f t="shared" si="3"/>
        <v>1</v>
      </c>
      <c r="O110">
        <f t="shared" si="3"/>
        <v>1</v>
      </c>
      <c r="P110">
        <f t="shared" si="3"/>
        <v>1</v>
      </c>
      <c r="Q110">
        <f t="shared" si="3"/>
        <v>1</v>
      </c>
      <c r="R110">
        <f t="shared" si="3"/>
        <v>0.99999999999999989</v>
      </c>
      <c r="S110">
        <f t="shared" si="3"/>
        <v>1</v>
      </c>
      <c r="T110">
        <f t="shared" si="3"/>
        <v>1</v>
      </c>
      <c r="U110">
        <f t="shared" si="3"/>
        <v>1</v>
      </c>
      <c r="V110">
        <f t="shared" si="3"/>
        <v>0</v>
      </c>
      <c r="W110">
        <f t="shared" si="3"/>
        <v>0.99999999999999989</v>
      </c>
      <c r="X110">
        <f t="shared" si="3"/>
        <v>1</v>
      </c>
      <c r="Y110">
        <f t="shared" si="3"/>
        <v>1</v>
      </c>
      <c r="Z110">
        <f t="shared" si="3"/>
        <v>1</v>
      </c>
      <c r="AA110">
        <f t="shared" si="3"/>
        <v>0.99999999999999989</v>
      </c>
      <c r="AB110">
        <f t="shared" si="3"/>
        <v>1</v>
      </c>
      <c r="AC110">
        <f t="shared" si="3"/>
        <v>0</v>
      </c>
      <c r="AD110">
        <f t="shared" si="3"/>
        <v>1</v>
      </c>
      <c r="AE110">
        <f t="shared" si="3"/>
        <v>0.99999999999999989</v>
      </c>
      <c r="AF110">
        <f t="shared" si="3"/>
        <v>1</v>
      </c>
      <c r="AG110">
        <f t="shared" si="3"/>
        <v>0.99999999999999989</v>
      </c>
      <c r="AH110">
        <f t="shared" si="3"/>
        <v>1</v>
      </c>
      <c r="AI110">
        <f t="shared" si="3"/>
        <v>1.0000000000000002</v>
      </c>
      <c r="AJ110">
        <f t="shared" si="3"/>
        <v>1</v>
      </c>
      <c r="AK110">
        <f t="shared" si="3"/>
        <v>1</v>
      </c>
      <c r="AL110">
        <f t="shared" si="3"/>
        <v>1</v>
      </c>
      <c r="AM110">
        <f t="shared" si="3"/>
        <v>1</v>
      </c>
    </row>
    <row r="111" spans="2:39">
      <c r="C111">
        <v>2010</v>
      </c>
      <c r="D111">
        <f t="shared" ref="D111:S115" si="4">SUMIFS(D$85:D$108,$C$85:$C$108,$C111)</f>
        <v>1</v>
      </c>
      <c r="E111">
        <f t="shared" si="4"/>
        <v>1</v>
      </c>
      <c r="F111">
        <f t="shared" si="4"/>
        <v>0.99999999999999989</v>
      </c>
      <c r="G111">
        <f t="shared" si="4"/>
        <v>0.99999999999999989</v>
      </c>
      <c r="H111">
        <f t="shared" si="4"/>
        <v>1</v>
      </c>
      <c r="I111">
        <f t="shared" si="4"/>
        <v>0.99999999999999989</v>
      </c>
      <c r="J111">
        <f t="shared" si="4"/>
        <v>0</v>
      </c>
      <c r="K111">
        <f t="shared" si="4"/>
        <v>0.99999999999999989</v>
      </c>
      <c r="L111">
        <f t="shared" si="4"/>
        <v>0.99999999999999989</v>
      </c>
      <c r="M111">
        <f t="shared" si="4"/>
        <v>1</v>
      </c>
      <c r="N111">
        <f t="shared" si="4"/>
        <v>1</v>
      </c>
      <c r="O111">
        <f t="shared" si="4"/>
        <v>1</v>
      </c>
      <c r="P111">
        <f t="shared" si="4"/>
        <v>1</v>
      </c>
      <c r="Q111">
        <f t="shared" si="4"/>
        <v>1</v>
      </c>
      <c r="R111">
        <f t="shared" si="4"/>
        <v>1</v>
      </c>
      <c r="S111">
        <f t="shared" si="4"/>
        <v>0.99999999999999989</v>
      </c>
      <c r="T111">
        <f t="shared" si="3"/>
        <v>1</v>
      </c>
      <c r="U111">
        <f t="shared" si="3"/>
        <v>1</v>
      </c>
      <c r="V111">
        <f t="shared" si="3"/>
        <v>0</v>
      </c>
      <c r="W111">
        <f t="shared" si="3"/>
        <v>1</v>
      </c>
      <c r="X111">
        <f t="shared" si="3"/>
        <v>1</v>
      </c>
      <c r="Y111">
        <f t="shared" si="3"/>
        <v>1</v>
      </c>
      <c r="Z111">
        <f t="shared" si="3"/>
        <v>1</v>
      </c>
      <c r="AA111">
        <f t="shared" si="3"/>
        <v>1.0000000000000002</v>
      </c>
      <c r="AB111">
        <f t="shared" si="3"/>
        <v>1</v>
      </c>
      <c r="AC111">
        <f t="shared" si="3"/>
        <v>0</v>
      </c>
      <c r="AD111">
        <f t="shared" si="3"/>
        <v>1</v>
      </c>
      <c r="AE111">
        <f t="shared" si="3"/>
        <v>1</v>
      </c>
      <c r="AF111">
        <f t="shared" si="3"/>
        <v>1</v>
      </c>
      <c r="AG111">
        <f t="shared" si="3"/>
        <v>0.99999999999999978</v>
      </c>
      <c r="AH111">
        <f t="shared" si="3"/>
        <v>1</v>
      </c>
      <c r="AI111">
        <f t="shared" si="3"/>
        <v>1</v>
      </c>
      <c r="AJ111">
        <f t="shared" si="3"/>
        <v>1</v>
      </c>
      <c r="AK111">
        <f t="shared" si="3"/>
        <v>1</v>
      </c>
      <c r="AL111">
        <f t="shared" si="3"/>
        <v>1</v>
      </c>
      <c r="AM111">
        <f t="shared" si="3"/>
        <v>1</v>
      </c>
    </row>
    <row r="112" spans="2:39">
      <c r="C112">
        <v>2020</v>
      </c>
      <c r="D112">
        <f t="shared" si="4"/>
        <v>1</v>
      </c>
      <c r="E112">
        <f t="shared" si="3"/>
        <v>1.0000000000000002</v>
      </c>
      <c r="F112">
        <f t="shared" si="3"/>
        <v>0.99999999999999989</v>
      </c>
      <c r="G112">
        <f t="shared" si="3"/>
        <v>0.99999999999999989</v>
      </c>
      <c r="H112">
        <f t="shared" si="3"/>
        <v>1.0000000000000002</v>
      </c>
      <c r="I112">
        <f t="shared" si="3"/>
        <v>1</v>
      </c>
      <c r="J112">
        <f t="shared" si="3"/>
        <v>0</v>
      </c>
      <c r="K112">
        <f t="shared" si="3"/>
        <v>1</v>
      </c>
      <c r="L112">
        <f t="shared" si="3"/>
        <v>1</v>
      </c>
      <c r="M112">
        <f t="shared" si="3"/>
        <v>1</v>
      </c>
      <c r="N112">
        <f t="shared" si="3"/>
        <v>1</v>
      </c>
      <c r="O112">
        <f t="shared" si="3"/>
        <v>1</v>
      </c>
      <c r="P112">
        <f t="shared" si="3"/>
        <v>1</v>
      </c>
      <c r="Q112">
        <f t="shared" si="3"/>
        <v>1</v>
      </c>
      <c r="R112">
        <f t="shared" si="3"/>
        <v>1</v>
      </c>
      <c r="S112">
        <f t="shared" si="3"/>
        <v>1.0000000000000002</v>
      </c>
      <c r="T112">
        <f t="shared" si="3"/>
        <v>1</v>
      </c>
      <c r="U112">
        <f t="shared" si="3"/>
        <v>1.0000000000000002</v>
      </c>
      <c r="V112">
        <f t="shared" si="3"/>
        <v>0</v>
      </c>
      <c r="W112">
        <f t="shared" si="3"/>
        <v>1</v>
      </c>
      <c r="X112">
        <f t="shared" si="3"/>
        <v>1</v>
      </c>
      <c r="Y112">
        <f t="shared" si="3"/>
        <v>1</v>
      </c>
      <c r="Z112">
        <f t="shared" si="3"/>
        <v>1</v>
      </c>
      <c r="AA112">
        <f t="shared" si="3"/>
        <v>1</v>
      </c>
      <c r="AB112">
        <f t="shared" si="3"/>
        <v>1</v>
      </c>
      <c r="AC112">
        <f t="shared" si="3"/>
        <v>0</v>
      </c>
      <c r="AD112">
        <f t="shared" si="3"/>
        <v>1</v>
      </c>
      <c r="AE112">
        <f t="shared" si="3"/>
        <v>1</v>
      </c>
      <c r="AF112">
        <f t="shared" si="3"/>
        <v>1</v>
      </c>
      <c r="AG112">
        <f t="shared" si="3"/>
        <v>1</v>
      </c>
      <c r="AH112">
        <f t="shared" si="3"/>
        <v>1</v>
      </c>
      <c r="AI112">
        <f t="shared" si="3"/>
        <v>1</v>
      </c>
      <c r="AJ112">
        <f t="shared" si="3"/>
        <v>1</v>
      </c>
      <c r="AK112">
        <f t="shared" si="3"/>
        <v>1</v>
      </c>
      <c r="AL112">
        <f t="shared" si="3"/>
        <v>0.99999999999999989</v>
      </c>
      <c r="AM112">
        <f t="shared" si="3"/>
        <v>1</v>
      </c>
    </row>
    <row r="113" spans="2:39">
      <c r="C113">
        <v>2030</v>
      </c>
      <c r="D113">
        <f t="shared" si="4"/>
        <v>1</v>
      </c>
      <c r="E113">
        <f t="shared" si="3"/>
        <v>1</v>
      </c>
      <c r="F113">
        <f t="shared" si="3"/>
        <v>1</v>
      </c>
      <c r="G113">
        <f t="shared" si="3"/>
        <v>1</v>
      </c>
      <c r="H113">
        <f t="shared" si="3"/>
        <v>1</v>
      </c>
      <c r="I113">
        <f t="shared" si="3"/>
        <v>1</v>
      </c>
      <c r="J113">
        <f t="shared" si="3"/>
        <v>0</v>
      </c>
      <c r="K113">
        <f t="shared" si="3"/>
        <v>1</v>
      </c>
      <c r="L113">
        <f t="shared" si="3"/>
        <v>1</v>
      </c>
      <c r="M113">
        <f t="shared" si="3"/>
        <v>1</v>
      </c>
      <c r="N113">
        <f t="shared" si="3"/>
        <v>1</v>
      </c>
      <c r="O113">
        <f t="shared" si="3"/>
        <v>0.99999999999999989</v>
      </c>
      <c r="P113">
        <f t="shared" si="3"/>
        <v>1</v>
      </c>
      <c r="Q113">
        <f t="shared" si="3"/>
        <v>1</v>
      </c>
      <c r="R113">
        <f t="shared" si="3"/>
        <v>1</v>
      </c>
      <c r="S113">
        <f t="shared" si="3"/>
        <v>1</v>
      </c>
      <c r="T113">
        <f t="shared" si="3"/>
        <v>1</v>
      </c>
      <c r="U113">
        <f t="shared" si="3"/>
        <v>1</v>
      </c>
      <c r="V113">
        <f t="shared" si="3"/>
        <v>0</v>
      </c>
      <c r="W113">
        <f t="shared" si="3"/>
        <v>1</v>
      </c>
      <c r="X113">
        <f t="shared" si="3"/>
        <v>1</v>
      </c>
      <c r="Y113">
        <f t="shared" si="3"/>
        <v>0.99999999999999989</v>
      </c>
      <c r="Z113">
        <f t="shared" si="3"/>
        <v>1</v>
      </c>
      <c r="AA113">
        <f t="shared" si="3"/>
        <v>0.99999999999999989</v>
      </c>
      <c r="AB113">
        <f t="shared" si="3"/>
        <v>1</v>
      </c>
      <c r="AC113">
        <f t="shared" si="3"/>
        <v>1</v>
      </c>
      <c r="AD113">
        <f t="shared" si="3"/>
        <v>1</v>
      </c>
      <c r="AE113">
        <f t="shared" si="3"/>
        <v>1</v>
      </c>
      <c r="AF113">
        <f t="shared" si="3"/>
        <v>1</v>
      </c>
      <c r="AG113">
        <f t="shared" si="3"/>
        <v>1</v>
      </c>
      <c r="AH113">
        <f t="shared" si="3"/>
        <v>1</v>
      </c>
      <c r="AI113">
        <f t="shared" si="3"/>
        <v>1</v>
      </c>
      <c r="AJ113">
        <f t="shared" si="3"/>
        <v>1.0000000000000002</v>
      </c>
      <c r="AK113">
        <f t="shared" si="3"/>
        <v>1</v>
      </c>
      <c r="AL113">
        <f t="shared" si="3"/>
        <v>1</v>
      </c>
      <c r="AM113">
        <f t="shared" si="3"/>
        <v>1</v>
      </c>
    </row>
    <row r="114" spans="2:39">
      <c r="C114">
        <v>2040</v>
      </c>
      <c r="D114">
        <f t="shared" si="4"/>
        <v>1</v>
      </c>
      <c r="E114">
        <f t="shared" si="3"/>
        <v>1</v>
      </c>
      <c r="F114">
        <f t="shared" si="3"/>
        <v>1</v>
      </c>
      <c r="G114">
        <f t="shared" si="3"/>
        <v>1</v>
      </c>
      <c r="H114">
        <f t="shared" si="3"/>
        <v>1</v>
      </c>
      <c r="I114">
        <f t="shared" si="3"/>
        <v>1</v>
      </c>
      <c r="J114">
        <f t="shared" si="3"/>
        <v>0</v>
      </c>
      <c r="K114">
        <f t="shared" si="3"/>
        <v>1</v>
      </c>
      <c r="L114">
        <f t="shared" si="3"/>
        <v>0.99999999999999989</v>
      </c>
      <c r="M114">
        <f t="shared" si="3"/>
        <v>1</v>
      </c>
      <c r="N114">
        <f t="shared" si="3"/>
        <v>1</v>
      </c>
      <c r="O114">
        <f t="shared" si="3"/>
        <v>1</v>
      </c>
      <c r="P114">
        <f t="shared" si="3"/>
        <v>1</v>
      </c>
      <c r="Q114">
        <f t="shared" si="3"/>
        <v>1</v>
      </c>
      <c r="R114">
        <f t="shared" si="3"/>
        <v>1</v>
      </c>
      <c r="S114">
        <f t="shared" si="3"/>
        <v>1</v>
      </c>
      <c r="T114">
        <f t="shared" si="3"/>
        <v>1</v>
      </c>
      <c r="U114">
        <f t="shared" si="3"/>
        <v>1</v>
      </c>
      <c r="V114">
        <f t="shared" si="3"/>
        <v>0</v>
      </c>
      <c r="W114">
        <f t="shared" si="3"/>
        <v>1</v>
      </c>
      <c r="X114">
        <f t="shared" si="3"/>
        <v>1</v>
      </c>
      <c r="Y114">
        <f t="shared" si="3"/>
        <v>1</v>
      </c>
      <c r="Z114">
        <f t="shared" si="3"/>
        <v>0.99999999999999989</v>
      </c>
      <c r="AA114">
        <f t="shared" si="3"/>
        <v>1</v>
      </c>
      <c r="AB114">
        <f t="shared" si="3"/>
        <v>0.99999999999999989</v>
      </c>
      <c r="AC114">
        <f t="shared" si="3"/>
        <v>1</v>
      </c>
      <c r="AD114">
        <f t="shared" si="3"/>
        <v>1</v>
      </c>
      <c r="AE114">
        <f t="shared" si="3"/>
        <v>1</v>
      </c>
      <c r="AF114">
        <f t="shared" si="3"/>
        <v>0.99999999999999989</v>
      </c>
      <c r="AG114">
        <f t="shared" si="3"/>
        <v>1</v>
      </c>
      <c r="AH114">
        <f t="shared" si="3"/>
        <v>1</v>
      </c>
      <c r="AI114">
        <f t="shared" si="3"/>
        <v>1</v>
      </c>
      <c r="AJ114">
        <f t="shared" si="3"/>
        <v>1</v>
      </c>
      <c r="AK114">
        <f t="shared" si="3"/>
        <v>1</v>
      </c>
      <c r="AL114">
        <f t="shared" si="3"/>
        <v>1</v>
      </c>
      <c r="AM114">
        <f t="shared" si="3"/>
        <v>1</v>
      </c>
    </row>
    <row r="115" spans="2:39">
      <c r="C115">
        <v>2050</v>
      </c>
      <c r="D115">
        <f t="shared" si="4"/>
        <v>1</v>
      </c>
      <c r="E115">
        <f t="shared" si="3"/>
        <v>1</v>
      </c>
      <c r="F115">
        <f t="shared" si="3"/>
        <v>1</v>
      </c>
      <c r="G115">
        <f t="shared" si="3"/>
        <v>1</v>
      </c>
      <c r="H115">
        <f t="shared" si="3"/>
        <v>1</v>
      </c>
      <c r="I115">
        <f t="shared" si="3"/>
        <v>1</v>
      </c>
      <c r="J115">
        <f t="shared" si="3"/>
        <v>0</v>
      </c>
      <c r="K115">
        <f t="shared" si="3"/>
        <v>1</v>
      </c>
      <c r="L115">
        <f t="shared" si="3"/>
        <v>1</v>
      </c>
      <c r="M115">
        <f t="shared" si="3"/>
        <v>1</v>
      </c>
      <c r="N115">
        <f t="shared" si="3"/>
        <v>1</v>
      </c>
      <c r="O115">
        <f t="shared" si="3"/>
        <v>1</v>
      </c>
      <c r="P115">
        <f t="shared" si="3"/>
        <v>1</v>
      </c>
      <c r="Q115">
        <f t="shared" si="3"/>
        <v>0.99999999999999989</v>
      </c>
      <c r="R115">
        <f t="shared" si="3"/>
        <v>1</v>
      </c>
      <c r="S115">
        <f t="shared" si="3"/>
        <v>1</v>
      </c>
      <c r="T115">
        <f t="shared" si="3"/>
        <v>1</v>
      </c>
      <c r="U115">
        <f t="shared" si="3"/>
        <v>1</v>
      </c>
      <c r="V115">
        <f t="shared" si="3"/>
        <v>0</v>
      </c>
      <c r="W115">
        <f t="shared" si="3"/>
        <v>1</v>
      </c>
      <c r="X115">
        <f t="shared" si="3"/>
        <v>0.99999999999999989</v>
      </c>
      <c r="Y115">
        <f t="shared" si="3"/>
        <v>1</v>
      </c>
      <c r="Z115">
        <f t="shared" si="3"/>
        <v>1</v>
      </c>
      <c r="AA115">
        <f t="shared" si="3"/>
        <v>1</v>
      </c>
      <c r="AB115">
        <f t="shared" si="3"/>
        <v>1</v>
      </c>
      <c r="AC115">
        <f t="shared" si="3"/>
        <v>1</v>
      </c>
      <c r="AD115">
        <f t="shared" si="3"/>
        <v>1</v>
      </c>
      <c r="AE115">
        <f t="shared" si="3"/>
        <v>1</v>
      </c>
      <c r="AF115">
        <f t="shared" si="3"/>
        <v>1</v>
      </c>
      <c r="AG115">
        <f t="shared" si="3"/>
        <v>1</v>
      </c>
      <c r="AH115">
        <f t="shared" si="3"/>
        <v>0.99999999999999989</v>
      </c>
      <c r="AI115">
        <f t="shared" si="3"/>
        <v>1</v>
      </c>
      <c r="AJ115">
        <f t="shared" si="3"/>
        <v>0.99999999999999989</v>
      </c>
      <c r="AK115">
        <f t="shared" si="3"/>
        <v>1</v>
      </c>
      <c r="AL115">
        <f t="shared" si="3"/>
        <v>1</v>
      </c>
      <c r="AM115">
        <f t="shared" si="3"/>
        <v>1</v>
      </c>
    </row>
    <row r="118" spans="2:39">
      <c r="B118" t="s">
        <v>152</v>
      </c>
      <c r="C118" t="s">
        <v>153</v>
      </c>
      <c r="D118" t="s">
        <v>5</v>
      </c>
      <c r="E118" t="s">
        <v>6</v>
      </c>
      <c r="F118" t="s">
        <v>7</v>
      </c>
      <c r="G118" t="s">
        <v>8</v>
      </c>
      <c r="H118" t="s">
        <v>97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t="s">
        <v>16</v>
      </c>
      <c r="Q118" t="s">
        <v>17</v>
      </c>
      <c r="R118" t="s">
        <v>98</v>
      </c>
      <c r="S118" t="s">
        <v>18</v>
      </c>
      <c r="T118" t="s">
        <v>19</v>
      </c>
      <c r="U118" t="s">
        <v>20</v>
      </c>
      <c r="V118" t="s">
        <v>21</v>
      </c>
      <c r="W118" t="s">
        <v>22</v>
      </c>
      <c r="X118" t="s">
        <v>23</v>
      </c>
      <c r="Y118" t="s">
        <v>24</v>
      </c>
      <c r="Z118" t="s">
        <v>25</v>
      </c>
      <c r="AA118" t="s">
        <v>26</v>
      </c>
      <c r="AB118" t="s">
        <v>27</v>
      </c>
      <c r="AC118" t="s">
        <v>28</v>
      </c>
      <c r="AD118" t="s">
        <v>29</v>
      </c>
      <c r="AE118" t="s">
        <v>30</v>
      </c>
      <c r="AF118" t="s">
        <v>31</v>
      </c>
      <c r="AG118" t="s">
        <v>32</v>
      </c>
      <c r="AH118" t="s">
        <v>33</v>
      </c>
      <c r="AI118" t="s">
        <v>34</v>
      </c>
      <c r="AJ118" t="s">
        <v>35</v>
      </c>
      <c r="AK118" t="s">
        <v>36</v>
      </c>
      <c r="AL118" t="s">
        <v>37</v>
      </c>
      <c r="AM118" t="s">
        <v>38</v>
      </c>
    </row>
    <row r="119" spans="2:39">
      <c r="B119" t="s">
        <v>53</v>
      </c>
      <c r="C119">
        <v>2005</v>
      </c>
      <c r="D119">
        <f>IFERROR(BIO!L81/BIO!L263,0)</f>
        <v>0.62860962301251211</v>
      </c>
      <c r="E119">
        <f>IFERROR(BIO!M81/BIO!M263,0)</f>
        <v>0.37558296585476453</v>
      </c>
      <c r="F119">
        <f>IFERROR(BIO!N81/BIO!N263,0)</f>
        <v>0.55074923371047535</v>
      </c>
      <c r="G119">
        <f>IFERROR(BIO!O81/BIO!O263,0)</f>
        <v>0.76821507356457908</v>
      </c>
      <c r="H119">
        <f>IFERROR(BIO!P81/BIO!P263,0)</f>
        <v>1</v>
      </c>
      <c r="I119">
        <f>IFERROR(BIO!Q81/BIO!Q263,0)</f>
        <v>0.1992120775485525</v>
      </c>
      <c r="J119">
        <f>IFERROR(BIO!R81/BIO!R263,0)</f>
        <v>0.75173620917998429</v>
      </c>
      <c r="K119">
        <f>IFERROR(BIO!S81/BIO!S263,0)</f>
        <v>0.95965091627362575</v>
      </c>
      <c r="L119">
        <f>IFERROR(BIO!T81/BIO!T263,0)</f>
        <v>0.49030208232811889</v>
      </c>
      <c r="M119">
        <f>IFERROR(BIO!U81/BIO!U263,0)</f>
        <v>0.71134959632487949</v>
      </c>
      <c r="N119">
        <f>IFERROR(BIO!V81/BIO!V263,0)</f>
        <v>0.84727863954175442</v>
      </c>
      <c r="O119">
        <f>IFERROR(BIO!W81/BIO!W263,0)</f>
        <v>0.8057488314906025</v>
      </c>
      <c r="P119">
        <f>IFERROR(BIO!X81/BIO!X263,0)</f>
        <v>8.2568807339449546E-2</v>
      </c>
      <c r="Q119">
        <f>IFERROR(BIO!Y81/BIO!Y263,0)</f>
        <v>0.80787508101377115</v>
      </c>
      <c r="R119">
        <f>IFERROR(BIO!Z81/BIO!Z263,0)</f>
        <v>0.72284495816997296</v>
      </c>
      <c r="S119">
        <f>IFERROR(BIO!AA81/BIO!AA263,0)</f>
        <v>0.97896291076327258</v>
      </c>
      <c r="T119">
        <f>IFERROR(BIO!AB81/BIO!AB263,0)</f>
        <v>0.91281167642751837</v>
      </c>
      <c r="U119">
        <f>IFERROR(BIO!AC81/BIO!AC263,0)</f>
        <v>0.94862616251159981</v>
      </c>
      <c r="V119">
        <f>IFERROR(BIO!AD81/BIO!AD263,0)</f>
        <v>0</v>
      </c>
      <c r="W119">
        <f>IFERROR(BIO!AE81/BIO!AE263,0)</f>
        <v>0.82953219198300276</v>
      </c>
      <c r="X119">
        <f>IFERROR(BIO!AF81/BIO!AF263,0)</f>
        <v>0.93140514866682189</v>
      </c>
      <c r="Y119">
        <f>IFERROR(BIO!AG81/BIO!AG263,0)</f>
        <v>0.65378112945834399</v>
      </c>
      <c r="Z119">
        <f>IFERROR(BIO!AH81/BIO!AH263,0)</f>
        <v>0.94545106927422429</v>
      </c>
      <c r="AA119">
        <f>IFERROR(BIO!AI81/BIO!AI263,0)</f>
        <v>1</v>
      </c>
      <c r="AB119">
        <f>IFERROR(BIO!AJ81/BIO!AJ263,0)</f>
        <v>0.66927186159592444</v>
      </c>
      <c r="AC119">
        <f>IFERROR(BIO!AK81/BIO!AK263,0)</f>
        <v>0.71633155458890641</v>
      </c>
      <c r="AD119">
        <f>IFERROR(BIO!AL81/BIO!AL263,0)</f>
        <v>0.56208402775697086</v>
      </c>
      <c r="AE119">
        <f>IFERROR(BIO!AM81/BIO!AM263,0)</f>
        <v>0.32510808691727894</v>
      </c>
      <c r="AF119">
        <f>IFERROR(BIO!AN81/BIO!AN263,0)</f>
        <v>0.81496856074308699</v>
      </c>
      <c r="AG119">
        <f>IFERROR(BIO!AO81/BIO!AO263,0)</f>
        <v>0.68931973786444956</v>
      </c>
      <c r="AH119">
        <f>IFERROR(BIO!AP81/BIO!AP263,0)</f>
        <v>0.78900649005824031</v>
      </c>
      <c r="AI119">
        <f>IFERROR(BIO!AQ81/BIO!AQ263,0)</f>
        <v>0.69135631869961134</v>
      </c>
      <c r="AJ119">
        <f>IFERROR(BIO!AR81/BIO!AR263,0)</f>
        <v>0.44943478413563909</v>
      </c>
      <c r="AK119">
        <f>IFERROR(BIO!AS81/BIO!AS263,0)</f>
        <v>0.67128561643800211</v>
      </c>
      <c r="AL119">
        <f>IFERROR(BIO!AT81/BIO!AT263,0)</f>
        <v>0.87893071394677591</v>
      </c>
      <c r="AM119">
        <f>IFERROR(BIO!AU81/BIO!AU263,0)</f>
        <v>0.93255773343105486</v>
      </c>
    </row>
    <row r="120" spans="2:39">
      <c r="B120" t="s">
        <v>53</v>
      </c>
      <c r="C120">
        <v>2010</v>
      </c>
      <c r="D120">
        <f>IFERROR(BIO!L82/BIO!L264,0)</f>
        <v>0.62860962301251211</v>
      </c>
      <c r="E120">
        <f>IFERROR(BIO!M82/BIO!M264,0)</f>
        <v>0.37558296585476453</v>
      </c>
      <c r="F120">
        <f>IFERROR(BIO!N82/BIO!N264,0)</f>
        <v>0.55074923371047535</v>
      </c>
      <c r="G120">
        <f>IFERROR(BIO!O82/BIO!O264,0)</f>
        <v>0.76821507356457908</v>
      </c>
      <c r="H120">
        <f>IFERROR(BIO!P82/BIO!P264,0)</f>
        <v>1</v>
      </c>
      <c r="I120">
        <f>IFERROR(BIO!Q82/BIO!Q264,0)</f>
        <v>0.1992120775485525</v>
      </c>
      <c r="J120">
        <f>IFERROR(BIO!R82/BIO!R264,0)</f>
        <v>0.75173620917998429</v>
      </c>
      <c r="K120">
        <f>IFERROR(BIO!S82/BIO!S264,0)</f>
        <v>0.95965091627362575</v>
      </c>
      <c r="L120">
        <f>IFERROR(BIO!T82/BIO!T264,0)</f>
        <v>0.49030208232811889</v>
      </c>
      <c r="M120">
        <f>IFERROR(BIO!U82/BIO!U264,0)</f>
        <v>0.71134959632487949</v>
      </c>
      <c r="N120">
        <f>IFERROR(BIO!V82/BIO!V264,0)</f>
        <v>0.84727863954175442</v>
      </c>
      <c r="O120">
        <f>IFERROR(BIO!W82/BIO!W264,0)</f>
        <v>0.8057488314906025</v>
      </c>
      <c r="P120">
        <f>IFERROR(BIO!X82/BIO!X264,0)</f>
        <v>8.0357142857142863E-2</v>
      </c>
      <c r="Q120">
        <f>IFERROR(BIO!Y82/BIO!Y264,0)</f>
        <v>0.80787508101377115</v>
      </c>
      <c r="R120">
        <f>IFERROR(BIO!Z82/BIO!Z264,0)</f>
        <v>0.72284495816997296</v>
      </c>
      <c r="S120">
        <f>IFERROR(BIO!AA82/BIO!AA264,0)</f>
        <v>0.97896291076327258</v>
      </c>
      <c r="T120">
        <f>IFERROR(BIO!AB82/BIO!AB264,0)</f>
        <v>0.91281167642751837</v>
      </c>
      <c r="U120">
        <f>IFERROR(BIO!AC82/BIO!AC264,0)</f>
        <v>0.94862616251159981</v>
      </c>
      <c r="V120">
        <f>IFERROR(BIO!AD82/BIO!AD264,0)</f>
        <v>0</v>
      </c>
      <c r="W120">
        <f>IFERROR(BIO!AE82/BIO!AE264,0)</f>
        <v>0.82953219198300276</v>
      </c>
      <c r="X120">
        <f>IFERROR(BIO!AF82/BIO!AF264,0)</f>
        <v>0.93140514866682189</v>
      </c>
      <c r="Y120">
        <f>IFERROR(BIO!AG82/BIO!AG264,0)</f>
        <v>0.65378112945834399</v>
      </c>
      <c r="Z120">
        <f>IFERROR(BIO!AH82/BIO!AH264,0)</f>
        <v>0.94545106927422429</v>
      </c>
      <c r="AA120">
        <f>IFERROR(BIO!AI82/BIO!AI264,0)</f>
        <v>1</v>
      </c>
      <c r="AB120">
        <f>IFERROR(BIO!AJ82/BIO!AJ264,0)</f>
        <v>0.66927186159592444</v>
      </c>
      <c r="AC120">
        <f>IFERROR(BIO!AK82/BIO!AK264,0)</f>
        <v>0.71633155458890641</v>
      </c>
      <c r="AD120">
        <f>IFERROR(BIO!AL82/BIO!AL264,0)</f>
        <v>0.56208402775697086</v>
      </c>
      <c r="AE120">
        <f>IFERROR(BIO!AM82/BIO!AM264,0)</f>
        <v>0.32510808691727894</v>
      </c>
      <c r="AF120">
        <f>IFERROR(BIO!AN82/BIO!AN264,0)</f>
        <v>0.81496856074308699</v>
      </c>
      <c r="AG120">
        <f>IFERROR(BIO!AO82/BIO!AO264,0)</f>
        <v>0.68931973786444956</v>
      </c>
      <c r="AH120">
        <f>IFERROR(BIO!AP82/BIO!AP264,0)</f>
        <v>0.78900649005824031</v>
      </c>
      <c r="AI120">
        <f>IFERROR(BIO!AQ82/BIO!AQ264,0)</f>
        <v>0.69135631869961134</v>
      </c>
      <c r="AJ120">
        <f>IFERROR(BIO!AR82/BIO!AR264,0)</f>
        <v>0.44943478413563909</v>
      </c>
      <c r="AK120">
        <f>IFERROR(BIO!AS82/BIO!AS264,0)</f>
        <v>0.67128561643800211</v>
      </c>
      <c r="AL120">
        <f>IFERROR(BIO!AT82/BIO!AT264,0)</f>
        <v>0.87893071394677591</v>
      </c>
      <c r="AM120">
        <f>IFERROR(BIO!AU82/BIO!AU264,0)</f>
        <v>0.93255773343105486</v>
      </c>
    </row>
    <row r="121" spans="2:39">
      <c r="B121" t="s">
        <v>53</v>
      </c>
      <c r="C121">
        <v>2020</v>
      </c>
      <c r="D121">
        <f>IFERROR(BIO!L83/BIO!L265,0)</f>
        <v>0.59408377550643177</v>
      </c>
      <c r="E121">
        <f>IFERROR(BIO!M83/BIO!M265,0)</f>
        <v>0.34522912125845329</v>
      </c>
      <c r="F121">
        <f>IFERROR(BIO!N83/BIO!N265,0)</f>
        <v>0.51737801525605476</v>
      </c>
      <c r="G121">
        <f>IFERROR(BIO!O83/BIO!O265,0)</f>
        <v>0.6867026063669206</v>
      </c>
      <c r="H121">
        <f>IFERROR(BIO!P83/BIO!P265,0)</f>
        <v>1</v>
      </c>
      <c r="I121">
        <f>IFERROR(BIO!Q83/BIO!Q265,0)</f>
        <v>0.16874840343401054</v>
      </c>
      <c r="J121">
        <f>IFERROR(BIO!R83/BIO!R265,0)</f>
        <v>0.73151997755835563</v>
      </c>
      <c r="K121">
        <f>IFERROR(BIO!S83/BIO!S265,0)</f>
        <v>0.94435380660874324</v>
      </c>
      <c r="L121">
        <f>IFERROR(BIO!T83/BIO!T265,0)</f>
        <v>0.47766029801930915</v>
      </c>
      <c r="M121">
        <f>IFERROR(BIO!U83/BIO!U265,0)</f>
        <v>0.68854292547873142</v>
      </c>
      <c r="N121">
        <f>IFERROR(BIO!V83/BIO!V265,0)</f>
        <v>0.78891684956599117</v>
      </c>
      <c r="O121">
        <f>IFERROR(BIO!W83/BIO!W265,0)</f>
        <v>0.80766716324463361</v>
      </c>
      <c r="P121">
        <f>IFERROR(BIO!X83/BIO!X265,0)</f>
        <v>7.03125E-2</v>
      </c>
      <c r="Q121">
        <f>IFERROR(BIO!Y83/BIO!Y265,0)</f>
        <v>0.79120063682186093</v>
      </c>
      <c r="R121">
        <f>IFERROR(BIO!Z83/BIO!Z265,0)</f>
        <v>0.72030652116697991</v>
      </c>
      <c r="S121">
        <f>IFERROR(BIO!AA83/BIO!AA265,0)</f>
        <v>0.97441925414051156</v>
      </c>
      <c r="T121">
        <f>IFERROR(BIO!AB83/BIO!AB265,0)</f>
        <v>0.8949395553954842</v>
      </c>
      <c r="U121">
        <f>IFERROR(BIO!AC83/BIO!AC265,0)</f>
        <v>0.93831313103509684</v>
      </c>
      <c r="V121">
        <f>IFERROR(BIO!AD83/BIO!AD265,0)</f>
        <v>0</v>
      </c>
      <c r="W121">
        <f>IFERROR(BIO!AE83/BIO!AE265,0)</f>
        <v>0.82101842725606233</v>
      </c>
      <c r="X121">
        <f>IFERROR(BIO!AF83/BIO!AF265,0)</f>
        <v>0.92655915191910176</v>
      </c>
      <c r="Y121">
        <f>IFERROR(BIO!AG83/BIO!AG265,0)</f>
        <v>0.93869264811816588</v>
      </c>
      <c r="Z121">
        <f>IFERROR(BIO!AH83/BIO!AH265,0)</f>
        <v>0.93017861827421211</v>
      </c>
      <c r="AA121">
        <f>IFERROR(BIO!AI83/BIO!AI265,0)</f>
        <v>1</v>
      </c>
      <c r="AB121">
        <f>IFERROR(BIO!AJ83/BIO!AJ265,0)</f>
        <v>0.61319460049023367</v>
      </c>
      <c r="AC121">
        <f>IFERROR(BIO!AK83/BIO!AK265,0)</f>
        <v>0.10814189893888421</v>
      </c>
      <c r="AD121">
        <f>IFERROR(BIO!AL83/BIO!AL265,0)</f>
        <v>0.53471963265999622</v>
      </c>
      <c r="AE121">
        <f>IFERROR(BIO!AM83/BIO!AM265,0)</f>
        <v>0.2508190298203048</v>
      </c>
      <c r="AF121">
        <f>IFERROR(BIO!AN83/BIO!AN265,0)</f>
        <v>0.7780693582620527</v>
      </c>
      <c r="AG121">
        <f>IFERROR(BIO!AO83/BIO!AO265,0)</f>
        <v>0.68038917498014218</v>
      </c>
      <c r="AH121">
        <f>IFERROR(BIO!AP83/BIO!AP265,0)</f>
        <v>0.76157494672292336</v>
      </c>
      <c r="AI121">
        <f>IFERROR(BIO!AQ83/BIO!AQ265,0)</f>
        <v>0.6276510602905967</v>
      </c>
      <c r="AJ121">
        <f>IFERROR(BIO!AR83/BIO!AR265,0)</f>
        <v>0.41156846158516136</v>
      </c>
      <c r="AK121">
        <f>IFERROR(BIO!AS83/BIO!AS265,0)</f>
        <v>0.63922254674149515</v>
      </c>
      <c r="AL121">
        <f>IFERROR(BIO!AT83/BIO!AT265,0)</f>
        <v>0.8269553366773591</v>
      </c>
      <c r="AM121">
        <f>IFERROR(BIO!AU83/BIO!AU265,0)</f>
        <v>0.92024104865948864</v>
      </c>
    </row>
    <row r="122" spans="2:39">
      <c r="B122" t="s">
        <v>53</v>
      </c>
      <c r="C122">
        <v>2030</v>
      </c>
      <c r="D122">
        <f>IFERROR(BIO!L84/BIO!L266,0)</f>
        <v>0.5683808576386119</v>
      </c>
      <c r="E122">
        <f>IFERROR(BIO!M84/BIO!M266,0)</f>
        <v>0.30228039582823762</v>
      </c>
      <c r="F122">
        <f>IFERROR(BIO!N84/BIO!N266,0)</f>
        <v>0.45378344926160058</v>
      </c>
      <c r="G122">
        <f>IFERROR(BIO!O84/BIO!O266,0)</f>
        <v>0.67201396725374174</v>
      </c>
      <c r="H122">
        <f>IFERROR(BIO!P84/BIO!P266,0)</f>
        <v>1</v>
      </c>
      <c r="I122">
        <f>IFERROR(BIO!Q84/BIO!Q266,0)</f>
        <v>0.1410143261510878</v>
      </c>
      <c r="J122">
        <f>IFERROR(BIO!R84/BIO!R266,0)</f>
        <v>0.69659664004480437</v>
      </c>
      <c r="K122">
        <f>IFERROR(BIO!S84/BIO!S266,0)</f>
        <v>0.92786635287804342</v>
      </c>
      <c r="L122">
        <f>IFERROR(BIO!T84/BIO!T266,0)</f>
        <v>0.45638585165113904</v>
      </c>
      <c r="M122">
        <f>IFERROR(BIO!U84/BIO!U266,0)</f>
        <v>0.65896324854120414</v>
      </c>
      <c r="N122">
        <f>IFERROR(BIO!V84/BIO!V266,0)</f>
        <v>0.75405061796083339</v>
      </c>
      <c r="O122">
        <f>IFERROR(BIO!W84/BIO!W266,0)</f>
        <v>0.76848249041741234</v>
      </c>
      <c r="P122">
        <f>IFERROR(BIO!X84/BIO!X266,0)</f>
        <v>0.12426035502958581</v>
      </c>
      <c r="Q122">
        <f>IFERROR(BIO!Y84/BIO!Y266,0)</f>
        <v>0.75798926022874391</v>
      </c>
      <c r="R122">
        <f>IFERROR(BIO!Z84/BIO!Z266,0)</f>
        <v>0.69019542794681266</v>
      </c>
      <c r="S122">
        <f>IFERROR(BIO!AA84/BIO!AA266,0)</f>
        <v>0.9639535218259474</v>
      </c>
      <c r="T122">
        <f>IFERROR(BIO!AB84/BIO!AB266,0)</f>
        <v>0.86863200273947017</v>
      </c>
      <c r="U122">
        <f>IFERROR(BIO!AC84/BIO!AC266,0)</f>
        <v>0.91472922596261441</v>
      </c>
      <c r="V122">
        <f>IFERROR(BIO!AD84/BIO!AD266,0)</f>
        <v>0</v>
      </c>
      <c r="W122">
        <f>IFERROR(BIO!AE84/BIO!AE266,0)</f>
        <v>0.7853062891084146</v>
      </c>
      <c r="X122">
        <f>IFERROR(BIO!AF84/BIO!AF266,0)</f>
        <v>0.92028612846523594</v>
      </c>
      <c r="Y122">
        <f>IFERROR(BIO!AG84/BIO!AG266,0)</f>
        <v>0.92739148681121086</v>
      </c>
      <c r="Z122">
        <f>IFERROR(BIO!AH84/BIO!AH266,0)</f>
        <v>0.91923797344133096</v>
      </c>
      <c r="AA122">
        <f>IFERROR(BIO!AI84/BIO!AI266,0)</f>
        <v>1</v>
      </c>
      <c r="AB122">
        <f>IFERROR(BIO!AJ84/BIO!AJ266,0)</f>
        <v>0.52956327745848175</v>
      </c>
      <c r="AC122">
        <f>IFERROR(BIO!AK84/BIO!AK266,0)</f>
        <v>9.1281274061655177E-2</v>
      </c>
      <c r="AD122">
        <f>IFERROR(BIO!AL84/BIO!AL266,0)</f>
        <v>0.49120405676974999</v>
      </c>
      <c r="AE122">
        <f>IFERROR(BIO!AM84/BIO!AM266,0)</f>
        <v>0.19506303655388799</v>
      </c>
      <c r="AF122">
        <f>IFERROR(BIO!AN84/BIO!AN266,0)</f>
        <v>0.75526258562698623</v>
      </c>
      <c r="AG122">
        <f>IFERROR(BIO!AO84/BIO!AO266,0)</f>
        <v>0.62327781031192619</v>
      </c>
      <c r="AH122">
        <f>IFERROR(BIO!AP84/BIO!AP266,0)</f>
        <v>0.7413481416385479</v>
      </c>
      <c r="AI122">
        <f>IFERROR(BIO!AQ84/BIO!AQ266,0)</f>
        <v>0.5299425927329221</v>
      </c>
      <c r="AJ122">
        <f>IFERROR(BIO!AR84/BIO!AR266,0)</f>
        <v>0.3723314129288321</v>
      </c>
      <c r="AK122">
        <f>IFERROR(BIO!AS84/BIO!AS266,0)</f>
        <v>0.60169391812256323</v>
      </c>
      <c r="AL122">
        <f>IFERROR(BIO!AT84/BIO!AT266,0)</f>
        <v>0.77394784615027556</v>
      </c>
      <c r="AM122">
        <f>IFERROR(BIO!AU84/BIO!AU266,0)</f>
        <v>0.90561875586611618</v>
      </c>
    </row>
    <row r="123" spans="2:39">
      <c r="B123" t="s">
        <v>53</v>
      </c>
      <c r="C123">
        <v>2040</v>
      </c>
      <c r="D123">
        <f>IFERROR(BIO!L85/BIO!L267,0)</f>
        <v>0.54247037252849239</v>
      </c>
      <c r="E123">
        <f>IFERROR(BIO!M85/BIO!M267,0)</f>
        <v>0.27240353605477391</v>
      </c>
      <c r="F123">
        <f>IFERROR(BIO!N85/BIO!N267,0)</f>
        <v>0.39784267203652851</v>
      </c>
      <c r="G123">
        <f>IFERROR(BIO!O85/BIO!O267,0)</f>
        <v>0.63768192270888624</v>
      </c>
      <c r="H123">
        <f>IFERROR(BIO!P85/BIO!P267,0)</f>
        <v>1</v>
      </c>
      <c r="I123">
        <f>IFERROR(BIO!Q85/BIO!Q267,0)</f>
        <v>0.12626833360937093</v>
      </c>
      <c r="J123">
        <f>IFERROR(BIO!R85/BIO!R267,0)</f>
        <v>0.66175392893975193</v>
      </c>
      <c r="K123">
        <f>IFERROR(BIO!S85/BIO!S267,0)</f>
        <v>0.91473226179993494</v>
      </c>
      <c r="L123">
        <f>IFERROR(BIO!T85/BIO!T267,0)</f>
        <v>0.4402209045160772</v>
      </c>
      <c r="M123">
        <f>IFERROR(BIO!U85/BIO!U267,0)</f>
        <v>0.63015446323894664</v>
      </c>
      <c r="N123">
        <f>IFERROR(BIO!V85/BIO!V267,0)</f>
        <v>0.72804863710607881</v>
      </c>
      <c r="O123">
        <f>IFERROR(BIO!W85/BIO!W267,0)</f>
        <v>0.75060387163200415</v>
      </c>
      <c r="P123">
        <f>IFERROR(BIO!X85/BIO!X267,0)</f>
        <v>0.22978723404255322</v>
      </c>
      <c r="Q123">
        <f>IFERROR(BIO!Y85/BIO!Y267,0)</f>
        <v>0.72739931086436038</v>
      </c>
      <c r="R123">
        <f>IFERROR(BIO!Z85/BIO!Z267,0)</f>
        <v>0.66979127695837537</v>
      </c>
      <c r="S123">
        <f>IFERROR(BIO!AA85/BIO!AA267,0)</f>
        <v>0.95654200119530675</v>
      </c>
      <c r="T123">
        <f>IFERROR(BIO!AB85/BIO!AB267,0)</f>
        <v>0.85282075652459322</v>
      </c>
      <c r="U123">
        <f>IFERROR(BIO!AC85/BIO!AC267,0)</f>
        <v>0.89610733691403088</v>
      </c>
      <c r="V123">
        <f>IFERROR(BIO!AD85/BIO!AD267,0)</f>
        <v>0</v>
      </c>
      <c r="W123">
        <f>IFERROR(BIO!AE85/BIO!AE267,0)</f>
        <v>0.75782119234803658</v>
      </c>
      <c r="X123">
        <f>IFERROR(BIO!AF85/BIO!AF267,0)</f>
        <v>0.91553027411477517</v>
      </c>
      <c r="Y123">
        <f>IFERROR(BIO!AG85/BIO!AG267,0)</f>
        <v>0.91518022453728098</v>
      </c>
      <c r="Z123">
        <f>IFERROR(BIO!AH85/BIO!AH267,0)</f>
        <v>0.91337412376140814</v>
      </c>
      <c r="AA123">
        <f>IFERROR(BIO!AI85/BIO!AI267,0)</f>
        <v>1</v>
      </c>
      <c r="AB123">
        <f>IFERROR(BIO!AJ85/BIO!AJ267,0)</f>
        <v>0.44926672767322212</v>
      </c>
      <c r="AC123">
        <f>IFERROR(BIO!AK85/BIO!AK267,0)</f>
        <v>8.0385573964650014E-2</v>
      </c>
      <c r="AD123">
        <f>IFERROR(BIO!AL85/BIO!AL267,0)</f>
        <v>0.45317350466300982</v>
      </c>
      <c r="AE123">
        <f>IFERROR(BIO!AM85/BIO!AM267,0)</f>
        <v>0.15818093244828133</v>
      </c>
      <c r="AF123">
        <f>IFERROR(BIO!AN85/BIO!AN267,0)</f>
        <v>0.74503188686824062</v>
      </c>
      <c r="AG123">
        <f>IFERROR(BIO!AO85/BIO!AO267,0)</f>
        <v>0.59248511179753038</v>
      </c>
      <c r="AH123">
        <f>IFERROR(BIO!AP85/BIO!AP267,0)</f>
        <v>0.70938897319555438</v>
      </c>
      <c r="AI123">
        <f>IFERROR(BIO!AQ85/BIO!AQ267,0)</f>
        <v>0.42782517222910521</v>
      </c>
      <c r="AJ123">
        <f>IFERROR(BIO!AR85/BIO!AR267,0)</f>
        <v>0.34434722068771917</v>
      </c>
      <c r="AK123">
        <f>IFERROR(BIO!AS85/BIO!AS267,0)</f>
        <v>0.56876281836615772</v>
      </c>
      <c r="AL123">
        <f>IFERROR(BIO!AT85/BIO!AT267,0)</f>
        <v>0.74299919546990012</v>
      </c>
      <c r="AM123">
        <f>IFERROR(BIO!AU85/BIO!AU267,0)</f>
        <v>0.8893794878560729</v>
      </c>
    </row>
    <row r="124" spans="2:39">
      <c r="B124" t="s">
        <v>53</v>
      </c>
      <c r="C124">
        <v>2050</v>
      </c>
      <c r="D124">
        <f>IFERROR(BIO!L86/BIO!L268,0)</f>
        <v>0.643591568826966</v>
      </c>
      <c r="E124">
        <f>IFERROR(BIO!M86/BIO!M268,0)</f>
        <v>0.24460601547064381</v>
      </c>
      <c r="F124">
        <f>IFERROR(BIO!N86/BIO!N268,0)</f>
        <v>0.34538420970705092</v>
      </c>
      <c r="G124">
        <f>IFERROR(BIO!O86/BIO!O268,0)</f>
        <v>0.60174270148830344</v>
      </c>
      <c r="H124">
        <f>IFERROR(BIO!P86/BIO!P268,0)</f>
        <v>1</v>
      </c>
      <c r="I124">
        <f>IFERROR(BIO!Q86/BIO!Q268,0)</f>
        <v>0.11552422005331098</v>
      </c>
      <c r="J124">
        <f>IFERROR(BIO!R86/BIO!R268,0)</f>
        <v>0.62474551741477857</v>
      </c>
      <c r="K124">
        <f>IFERROR(BIO!S86/BIO!S268,0)</f>
        <v>0.89935448934548223</v>
      </c>
      <c r="L124">
        <f>IFERROR(BIO!T86/BIO!T268,0)</f>
        <v>0.42491204822357936</v>
      </c>
      <c r="M124">
        <f>IFERROR(BIO!U86/BIO!U268,0)</f>
        <v>0.59927769948486043</v>
      </c>
      <c r="N124">
        <f>IFERROR(BIO!V86/BIO!V268,0)</f>
        <v>0.70024517211161519</v>
      </c>
      <c r="O124">
        <f>IFERROR(BIO!W86/BIO!W268,0)</f>
        <v>0.73212627909146755</v>
      </c>
      <c r="P124">
        <f>IFERROR(BIO!X86/BIO!X268,0)</f>
        <v>0.23550724637681159</v>
      </c>
      <c r="Q124">
        <f>IFERROR(BIO!Y86/BIO!Y268,0)</f>
        <v>0.69487184224200171</v>
      </c>
      <c r="R124">
        <f>IFERROR(BIO!Z86/BIO!Z268,0)</f>
        <v>0.6485006387432134</v>
      </c>
      <c r="S124">
        <f>IFERROR(BIO!AA86/BIO!AA268,0)</f>
        <v>0.94795593492096342</v>
      </c>
      <c r="T124">
        <f>IFERROR(BIO!AB86/BIO!AB268,0)</f>
        <v>0.83556773607414525</v>
      </c>
      <c r="U124">
        <f>IFERROR(BIO!AC86/BIO!AC268,0)</f>
        <v>0.8740404902747918</v>
      </c>
      <c r="V124">
        <f>IFERROR(BIO!AD86/BIO!AD268,0)</f>
        <v>0</v>
      </c>
      <c r="W124">
        <f>IFERROR(BIO!AE86/BIO!AE268,0)</f>
        <v>0.72825929777068399</v>
      </c>
      <c r="X124">
        <f>IFERROR(BIO!AF86/BIO!AF268,0)</f>
        <v>0.90994242034592077</v>
      </c>
      <c r="Y124">
        <f>IFERROR(BIO!AG86/BIO!AG268,0)</f>
        <v>0.90114190418119533</v>
      </c>
      <c r="Z124">
        <f>IFERROR(BIO!AH86/BIO!AH268,0)</f>
        <v>0.90703714109532929</v>
      </c>
      <c r="AA124">
        <f>IFERROR(BIO!AI86/BIO!AI268,0)</f>
        <v>1</v>
      </c>
      <c r="AB124">
        <f>IFERROR(BIO!AJ86/BIO!AJ268,0)</f>
        <v>0.36662264752340917</v>
      </c>
      <c r="AC124">
        <f>IFERROR(BIO!AK86/BIO!AK268,0)</f>
        <v>7.0689255613386182E-2</v>
      </c>
      <c r="AD124">
        <f>IFERROR(BIO!AL86/BIO!AL268,0)</f>
        <v>0.41619137943080031</v>
      </c>
      <c r="AE124">
        <f>IFERROR(BIO!AM86/BIO!AM268,0)</f>
        <v>0.12457551938827999</v>
      </c>
      <c r="AF124">
        <f>IFERROR(BIO!AN86/BIO!AN268,0)</f>
        <v>0.73313628404928743</v>
      </c>
      <c r="AG124">
        <f>IFERROR(BIO!AO86/BIO!AO268,0)</f>
        <v>0.5608727850809111</v>
      </c>
      <c r="AH124">
        <f>IFERROR(BIO!AP86/BIO!AP268,0)</f>
        <v>0.67465672446288361</v>
      </c>
      <c r="AI124">
        <f>IFERROR(BIO!AQ86/BIO!AQ268,0)</f>
        <v>0.32867455849906974</v>
      </c>
      <c r="AJ124">
        <f>IFERROR(BIO!AR86/BIO!AR268,0)</f>
        <v>0.32071771003534572</v>
      </c>
      <c r="AK124">
        <f>IFERROR(BIO!AS86/BIO!AS268,0)</f>
        <v>0.53556102607927936</v>
      </c>
      <c r="AL124">
        <f>IFERROR(BIO!AT86/BIO!AT268,0)</f>
        <v>0.70950608091039569</v>
      </c>
      <c r="AM124">
        <f>IFERROR(BIO!AU86/BIO!AU268,0)</f>
        <v>0.87073994429329804</v>
      </c>
    </row>
    <row r="125" spans="2:39">
      <c r="B125" t="s">
        <v>65</v>
      </c>
      <c r="C125">
        <v>2005</v>
      </c>
      <c r="D125">
        <f>IFERROR(BIO!L185/BIO!L263,0)</f>
        <v>0.37055210374251479</v>
      </c>
      <c r="E125">
        <f>IFERROR(BIO!M185/BIO!M263,0)</f>
        <v>0.43561330863808173</v>
      </c>
      <c r="F125">
        <f>IFERROR(BIO!N185/BIO!N263,0)</f>
        <v>0.33541468348490505</v>
      </c>
      <c r="G125">
        <f>IFERROR(BIO!O185/BIO!O263,0)</f>
        <v>0.23177405981008817</v>
      </c>
      <c r="H125">
        <f>IFERROR(BIO!P185/BIO!P263,0)</f>
        <v>0</v>
      </c>
      <c r="I125">
        <f>IFERROR(BIO!Q185/BIO!Q263,0)</f>
        <v>0.76490189078293047</v>
      </c>
      <c r="J125">
        <f>IFERROR(BIO!R185/BIO!R263,0)</f>
        <v>0.24806437068324935</v>
      </c>
      <c r="K125">
        <f>IFERROR(BIO!S185/BIO!S263,0)</f>
        <v>3.6060803641914267E-2</v>
      </c>
      <c r="L125">
        <f>IFERROR(BIO!T185/BIO!T263,0)</f>
        <v>0.4803578702222136</v>
      </c>
      <c r="M125">
        <f>IFERROR(BIO!U185/BIO!U263,0)</f>
        <v>0.28609885988096501</v>
      </c>
      <c r="N125">
        <f>IFERROR(BIO!V185/BIO!V263,0)</f>
        <v>0.15271257219722684</v>
      </c>
      <c r="O125">
        <f>IFERROR(BIO!W185/BIO!W263,0)</f>
        <v>0.18749675498976701</v>
      </c>
      <c r="P125">
        <f>IFERROR(BIO!X185/BIO!X263,0)</f>
        <v>0.7339449541284403</v>
      </c>
      <c r="Q125">
        <f>IFERROR(BIO!Y185/BIO!Y263,0)</f>
        <v>0.19211181043358366</v>
      </c>
      <c r="R125">
        <f>IFERROR(BIO!Z185/BIO!Z263,0)</f>
        <v>0.23690209383874269</v>
      </c>
      <c r="S125">
        <f>IFERROR(BIO!AA185/BIO!AA263,0)</f>
        <v>1.4959647064500722E-2</v>
      </c>
      <c r="T125">
        <f>IFERROR(BIO!AB185/BIO!AB263,0)</f>
        <v>8.4962821836032779E-2</v>
      </c>
      <c r="U125">
        <f>IFERROR(BIO!AC185/BIO!AC263,0)</f>
        <v>5.1326426536155455E-2</v>
      </c>
      <c r="V125">
        <f>IFERROR(BIO!AD185/BIO!AD263,0)</f>
        <v>0.9551865972720226</v>
      </c>
      <c r="W125">
        <f>IFERROR(BIO!AE185/BIO!AE263,0)</f>
        <v>0.16933586867712713</v>
      </c>
      <c r="X125">
        <f>IFERROR(BIO!AF185/BIO!AF263,0)</f>
        <v>6.8579681089815658E-2</v>
      </c>
      <c r="Y125">
        <f>IFERROR(BIO!AG185/BIO!AG263,0)</f>
        <v>0.34614230175521354</v>
      </c>
      <c r="Z125">
        <f>IFERROR(BIO!AH185/BIO!AH263,0)</f>
        <v>5.4492584136399277E-2</v>
      </c>
      <c r="AA125">
        <f>IFERROR(BIO!AI185/BIO!AI263,0)</f>
        <v>0</v>
      </c>
      <c r="AB125">
        <f>IFERROR(BIO!AJ185/BIO!AJ263,0)</f>
        <v>0.32911008606912995</v>
      </c>
      <c r="AC125">
        <f>IFERROR(BIO!AK185/BIO!AK263,0)</f>
        <v>0.28366800034149697</v>
      </c>
      <c r="AD125">
        <f>IFERROR(BIO!AL185/BIO!AL263,0)</f>
        <v>0.43529287717278986</v>
      </c>
      <c r="AE125">
        <f>IFERROR(BIO!AM185/BIO!AM263,0)</f>
        <v>0.66045936912782877</v>
      </c>
      <c r="AF125">
        <f>IFERROR(BIO!AN185/BIO!AN263,0)</f>
        <v>0.17731327267952043</v>
      </c>
      <c r="AG125">
        <f>IFERROR(BIO!AO185/BIO!AO263,0)</f>
        <v>0.2989692912370559</v>
      </c>
      <c r="AH125">
        <f>IFERROR(BIO!AP185/BIO!AP263,0)</f>
        <v>0.21053625476393034</v>
      </c>
      <c r="AI125">
        <f>IFERROR(BIO!AQ185/BIO!AQ263,0)</f>
        <v>0.30854588324935439</v>
      </c>
      <c r="AJ125">
        <f>IFERROR(BIO!AR185/BIO!AR263,0)</f>
        <v>0.52589251511781554</v>
      </c>
      <c r="AK125">
        <f>IFERROR(BIO!AS185/BIO!AS263,0)</f>
        <v>0.31112013703033697</v>
      </c>
      <c r="AL125">
        <f>IFERROR(BIO!AT185/BIO!AT263,0)</f>
        <v>0.12102475808372706</v>
      </c>
      <c r="AM125">
        <f>IFERROR(BIO!AU185/BIO!AU263,0)</f>
        <v>6.7001574002825054E-2</v>
      </c>
    </row>
    <row r="126" spans="2:39">
      <c r="B126" t="s">
        <v>65</v>
      </c>
      <c r="C126">
        <v>2010</v>
      </c>
      <c r="D126">
        <f>IFERROR(BIO!L186/BIO!L264,0)</f>
        <v>0.37055210374251479</v>
      </c>
      <c r="E126">
        <f>IFERROR(BIO!M186/BIO!M264,0)</f>
        <v>0.43561330863808173</v>
      </c>
      <c r="F126">
        <f>IFERROR(BIO!N186/BIO!N264,0)</f>
        <v>0.33541468348490505</v>
      </c>
      <c r="G126">
        <f>IFERROR(BIO!O186/BIO!O264,0)</f>
        <v>0.23177405981008817</v>
      </c>
      <c r="H126">
        <f>IFERROR(BIO!P186/BIO!P264,0)</f>
        <v>0</v>
      </c>
      <c r="I126">
        <f>IFERROR(BIO!Q186/BIO!Q264,0)</f>
        <v>0.76490189078293047</v>
      </c>
      <c r="J126">
        <f>IFERROR(BIO!R186/BIO!R264,0)</f>
        <v>0.24806437068324935</v>
      </c>
      <c r="K126">
        <f>IFERROR(BIO!S186/BIO!S264,0)</f>
        <v>3.6060803641914267E-2</v>
      </c>
      <c r="L126">
        <f>IFERROR(BIO!T186/BIO!T264,0)</f>
        <v>0.4803578702222136</v>
      </c>
      <c r="M126">
        <f>IFERROR(BIO!U186/BIO!U264,0)</f>
        <v>0.28609885988096501</v>
      </c>
      <c r="N126">
        <f>IFERROR(BIO!V186/BIO!V264,0)</f>
        <v>0.15271257219722684</v>
      </c>
      <c r="O126">
        <f>IFERROR(BIO!W186/BIO!W264,0)</f>
        <v>0.18749675498976701</v>
      </c>
      <c r="P126">
        <f>IFERROR(BIO!X186/BIO!X264,0)</f>
        <v>0.7232142857142857</v>
      </c>
      <c r="Q126">
        <f>IFERROR(BIO!Y186/BIO!Y264,0)</f>
        <v>0.19211181043358366</v>
      </c>
      <c r="R126">
        <f>IFERROR(BIO!Z186/BIO!Z264,0)</f>
        <v>0.23690209383874269</v>
      </c>
      <c r="S126">
        <f>IFERROR(BIO!AA186/BIO!AA264,0)</f>
        <v>1.4959647064500722E-2</v>
      </c>
      <c r="T126">
        <f>IFERROR(BIO!AB186/BIO!AB264,0)</f>
        <v>8.4962821836032779E-2</v>
      </c>
      <c r="U126">
        <f>IFERROR(BIO!AC186/BIO!AC264,0)</f>
        <v>5.1326426536155455E-2</v>
      </c>
      <c r="V126">
        <f>IFERROR(BIO!AD186/BIO!AD264,0)</f>
        <v>0.9551865972720226</v>
      </c>
      <c r="W126">
        <f>IFERROR(BIO!AE186/BIO!AE264,0)</f>
        <v>0.16933586867712713</v>
      </c>
      <c r="X126">
        <f>IFERROR(BIO!AF186/BIO!AF264,0)</f>
        <v>6.8579681089815658E-2</v>
      </c>
      <c r="Y126">
        <f>IFERROR(BIO!AG186/BIO!AG264,0)</f>
        <v>0.34614230175521354</v>
      </c>
      <c r="Z126">
        <f>IFERROR(BIO!AH186/BIO!AH264,0)</f>
        <v>5.4492584136399277E-2</v>
      </c>
      <c r="AA126">
        <f>IFERROR(BIO!AI186/BIO!AI264,0)</f>
        <v>0</v>
      </c>
      <c r="AB126">
        <f>IFERROR(BIO!AJ186/BIO!AJ264,0)</f>
        <v>0.32911008606912995</v>
      </c>
      <c r="AC126">
        <f>IFERROR(BIO!AK186/BIO!AK264,0)</f>
        <v>0.28366800034149697</v>
      </c>
      <c r="AD126">
        <f>IFERROR(BIO!AL186/BIO!AL264,0)</f>
        <v>0.43529287717278986</v>
      </c>
      <c r="AE126">
        <f>IFERROR(BIO!AM186/BIO!AM264,0)</f>
        <v>0.66045936912782877</v>
      </c>
      <c r="AF126">
        <f>IFERROR(BIO!AN186/BIO!AN264,0)</f>
        <v>0.17731327267952043</v>
      </c>
      <c r="AG126">
        <f>IFERROR(BIO!AO186/BIO!AO264,0)</f>
        <v>0.2989692912370559</v>
      </c>
      <c r="AH126">
        <f>IFERROR(BIO!AP186/BIO!AP264,0)</f>
        <v>0.21053625476393034</v>
      </c>
      <c r="AI126">
        <f>IFERROR(BIO!AQ186/BIO!AQ264,0)</f>
        <v>0.30854588324935439</v>
      </c>
      <c r="AJ126">
        <f>IFERROR(BIO!AR186/BIO!AR264,0)</f>
        <v>0.52589251511781554</v>
      </c>
      <c r="AK126">
        <f>IFERROR(BIO!AS186/BIO!AS264,0)</f>
        <v>0.31112013703033697</v>
      </c>
      <c r="AL126">
        <f>IFERROR(BIO!AT186/BIO!AT264,0)</f>
        <v>0.12102475808372706</v>
      </c>
      <c r="AM126">
        <f>IFERROR(BIO!AU186/BIO!AU264,0)</f>
        <v>6.7001574002825054E-2</v>
      </c>
    </row>
    <row r="127" spans="2:39">
      <c r="B127" t="s">
        <v>65</v>
      </c>
      <c r="C127">
        <v>2020</v>
      </c>
      <c r="D127">
        <f>IFERROR(BIO!L187/BIO!L265,0)</f>
        <v>0.40483447183417937</v>
      </c>
      <c r="E127">
        <f>IFERROR(BIO!M187/BIO!M265,0)</f>
        <v>0.44919955739001338</v>
      </c>
      <c r="F127">
        <f>IFERROR(BIO!N187/BIO!N265,0)</f>
        <v>0.3588729114686538</v>
      </c>
      <c r="G127">
        <f>IFERROR(BIO!O187/BIO!O265,0)</f>
        <v>0.31328270517609669</v>
      </c>
      <c r="H127">
        <f>IFERROR(BIO!P187/BIO!P265,0)</f>
        <v>0</v>
      </c>
      <c r="I127">
        <f>IFERROR(BIO!Q187/BIO!Q265,0)</f>
        <v>0.79219326734416051</v>
      </c>
      <c r="J127">
        <f>IFERROR(BIO!R187/BIO!R265,0)</f>
        <v>0.2682643199189777</v>
      </c>
      <c r="K127">
        <f>IFERROR(BIO!S187/BIO!S265,0)</f>
        <v>4.9718778703127998E-2</v>
      </c>
      <c r="L127">
        <f>IFERROR(BIO!T187/BIO!T265,0)</f>
        <v>0.48963434939061079</v>
      </c>
      <c r="M127">
        <f>IFERROR(BIO!U187/BIO!U265,0)</f>
        <v>0.30860386134582624</v>
      </c>
      <c r="N127">
        <f>IFERROR(BIO!V187/BIO!V265,0)</f>
        <v>0.21107093269960206</v>
      </c>
      <c r="O127">
        <f>IFERROR(BIO!W187/BIO!W265,0)</f>
        <v>0.18521011146274652</v>
      </c>
      <c r="P127">
        <f>IFERROR(BIO!X187/BIO!X265,0)</f>
        <v>0.734375</v>
      </c>
      <c r="Q127">
        <f>IFERROR(BIO!Y187/BIO!Y265,0)</f>
        <v>0.20878425124053263</v>
      </c>
      <c r="R127">
        <f>IFERROR(BIO!Z187/BIO!Z265,0)</f>
        <v>0.23907189491826553</v>
      </c>
      <c r="S127">
        <f>IFERROR(BIO!AA187/BIO!AA265,0)</f>
        <v>1.8134148456048275E-2</v>
      </c>
      <c r="T127">
        <f>IFERROR(BIO!AB187/BIO!AB265,0)</f>
        <v>0.10230926470604798</v>
      </c>
      <c r="U127">
        <f>IFERROR(BIO!AC187/BIO!AC265,0)</f>
        <v>6.1629558208089012E-2</v>
      </c>
      <c r="V127">
        <f>IFERROR(BIO!AD187/BIO!AD265,0)</f>
        <v>0.95301262652224183</v>
      </c>
      <c r="W127">
        <f>IFERROR(BIO!AE187/BIO!AE265,0)</f>
        <v>0.17777439351239616</v>
      </c>
      <c r="X127">
        <f>IFERROR(BIO!AF187/BIO!AF265,0)</f>
        <v>7.3424331902171541E-2</v>
      </c>
      <c r="Y127">
        <f>IFERROR(BIO!AG187/BIO!AG265,0)</f>
        <v>6.1283071618522526E-2</v>
      </c>
      <c r="Z127">
        <f>IFERROR(BIO!AH187/BIO!AH265,0)</f>
        <v>6.975076898515209E-2</v>
      </c>
      <c r="AA127">
        <f>IFERROR(BIO!AI187/BIO!AI265,0)</f>
        <v>0</v>
      </c>
      <c r="AB127">
        <f>IFERROR(BIO!AJ187/BIO!AJ265,0)</f>
        <v>0.38461173610468746</v>
      </c>
      <c r="AC127">
        <f>IFERROR(BIO!AK187/BIO!AK265,0)</f>
        <v>0.89185670174265652</v>
      </c>
      <c r="AD127">
        <f>IFERROR(BIO!AL187/BIO!AL265,0)</f>
        <v>0.46232401850570859</v>
      </c>
      <c r="AE127">
        <f>IFERROR(BIO!AM187/BIO!AM265,0)</f>
        <v>0.73208097420182883</v>
      </c>
      <c r="AF127">
        <f>IFERROR(BIO!AN187/BIO!AN265,0)</f>
        <v>0.21351653196480747</v>
      </c>
      <c r="AG127">
        <f>IFERROR(BIO!AO187/BIO!AO265,0)</f>
        <v>0.3073973288810154</v>
      </c>
      <c r="AH127">
        <f>IFERROR(BIO!AP187/BIO!AP265,0)</f>
        <v>0.23788689893739046</v>
      </c>
      <c r="AI127">
        <f>IFERROR(BIO!AQ187/BIO!AQ265,0)</f>
        <v>0.37221756002917888</v>
      </c>
      <c r="AJ127">
        <f>IFERROR(BIO!AR187/BIO!AR265,0)</f>
        <v>0.56078268595324865</v>
      </c>
      <c r="AK127">
        <f>IFERROR(BIO!AS187/BIO!AS265,0)</f>
        <v>0.34084469638414089</v>
      </c>
      <c r="AL127">
        <f>IFERROR(BIO!AT187/BIO!AT265,0)</f>
        <v>0.17298000797221949</v>
      </c>
      <c r="AM127">
        <f>IFERROR(BIO!AU187/BIO!AU265,0)</f>
        <v>7.9234848306535086E-2</v>
      </c>
    </row>
    <row r="128" spans="2:39">
      <c r="B128" t="s">
        <v>65</v>
      </c>
      <c r="C128">
        <v>2030</v>
      </c>
      <c r="D128">
        <f>IFERROR(BIO!L188/BIO!L266,0)</f>
        <v>0.430380643628126</v>
      </c>
      <c r="E128">
        <f>IFERROR(BIO!M188/BIO!M266,0)</f>
        <v>0.4928992473178625</v>
      </c>
      <c r="F128">
        <f>IFERROR(BIO!N188/BIO!N266,0)</f>
        <v>0.40784217528461603</v>
      </c>
      <c r="G128">
        <f>IFERROR(BIO!O188/BIO!O266,0)</f>
        <v>0.3279678594158032</v>
      </c>
      <c r="H128">
        <f>IFERROR(BIO!P188/BIO!P266,0)</f>
        <v>0</v>
      </c>
      <c r="I128">
        <f>IFERROR(BIO!Q188/BIO!Q266,0)</f>
        <v>0.81423980886483671</v>
      </c>
      <c r="J128">
        <f>IFERROR(BIO!R188/BIO!R266,0)</f>
        <v>0.30311109069425479</v>
      </c>
      <c r="K128">
        <f>IFERROR(BIO!S188/BIO!S266,0)</f>
        <v>6.3096423680919902E-2</v>
      </c>
      <c r="L128">
        <f>IFERROR(BIO!T188/BIO!T266,0)</f>
        <v>0.50705000714212223</v>
      </c>
      <c r="M128">
        <f>IFERROR(BIO!U188/BIO!U266,0)</f>
        <v>0.33758700253975138</v>
      </c>
      <c r="N128">
        <f>IFERROR(BIO!V188/BIO!V266,0)</f>
        <v>0.24593225600248789</v>
      </c>
      <c r="O128">
        <f>IFERROR(BIO!W188/BIO!W266,0)</f>
        <v>0.22129684797312568</v>
      </c>
      <c r="P128">
        <f>IFERROR(BIO!X188/BIO!X266,0)</f>
        <v>0.69822485207100604</v>
      </c>
      <c r="Q128">
        <f>IFERROR(BIO!Y188/BIO!Y266,0)</f>
        <v>0.24198996736968756</v>
      </c>
      <c r="R128">
        <f>IFERROR(BIO!Z188/BIO!Z266,0)</f>
        <v>0.26219015892759501</v>
      </c>
      <c r="S128">
        <f>IFERROR(BIO!AA188/BIO!AA266,0)</f>
        <v>2.5480075962692778E-2</v>
      </c>
      <c r="T128">
        <f>IFERROR(BIO!AB188/BIO!AB266,0)</f>
        <v>0.12747028205952224</v>
      </c>
      <c r="U128">
        <f>IFERROR(BIO!AC188/BIO!AC266,0)</f>
        <v>8.5179654738244834E-2</v>
      </c>
      <c r="V128">
        <f>IFERROR(BIO!AD188/BIO!AD266,0)</f>
        <v>0.94790848515135318</v>
      </c>
      <c r="W128">
        <f>IFERROR(BIO!AE188/BIO!AE266,0)</f>
        <v>0.21307261585395595</v>
      </c>
      <c r="X128">
        <f>IFERROR(BIO!AF188/BIO!AF266,0)</f>
        <v>7.9692999027326322E-2</v>
      </c>
      <c r="Y128">
        <f>IFERROR(BIO!AG188/BIO!AG266,0)</f>
        <v>7.2574285165590571E-2</v>
      </c>
      <c r="Z128">
        <f>IFERROR(BIO!AH188/BIO!AH266,0)</f>
        <v>8.0665460528869221E-2</v>
      </c>
      <c r="AA128">
        <f>IFERROR(BIO!AI188/BIO!AI266,0)</f>
        <v>0</v>
      </c>
      <c r="AB128">
        <f>IFERROR(BIO!AJ188/BIO!AJ266,0)</f>
        <v>0.46706455198574381</v>
      </c>
      <c r="AC128">
        <f>IFERROR(BIO!AK188/BIO!AK266,0)</f>
        <v>0.90871701502761038</v>
      </c>
      <c r="AD128">
        <f>IFERROR(BIO!AL188/BIO!AL266,0)</f>
        <v>0.50517034750728562</v>
      </c>
      <c r="AE128">
        <f>IFERROR(BIO!AM188/BIO!AM266,0)</f>
        <v>0.7842260678273868</v>
      </c>
      <c r="AF128">
        <f>IFERROR(BIO!AN188/BIO!AN266,0)</f>
        <v>0.23488109347755831</v>
      </c>
      <c r="AG128">
        <f>IFERROR(BIO!AO188/BIO!AO266,0)</f>
        <v>0.36091294366432192</v>
      </c>
      <c r="AH128">
        <f>IFERROR(BIO!AP188/BIO!AP266,0)</f>
        <v>0.25796256013005614</v>
      </c>
      <c r="AI128">
        <f>IFERROR(BIO!AQ188/BIO!AQ266,0)</f>
        <v>0.4698599565286975</v>
      </c>
      <c r="AJ128">
        <f>IFERROR(BIO!AR188/BIO!AR266,0)</f>
        <v>0.59497237954772109</v>
      </c>
      <c r="AK128">
        <f>IFERROR(BIO!AS188/BIO!AS266,0)</f>
        <v>0.37232943912802319</v>
      </c>
      <c r="AL128">
        <f>IFERROR(BIO!AT188/BIO!AT266,0)</f>
        <v>0.22595960718307628</v>
      </c>
      <c r="AM128">
        <f>IFERROR(BIO!AU188/BIO!AU266,0)</f>
        <v>9.3641944231552837E-2</v>
      </c>
    </row>
    <row r="129" spans="2:39">
      <c r="B129" t="s">
        <v>65</v>
      </c>
      <c r="C129">
        <v>2040</v>
      </c>
      <c r="D129">
        <f>IFERROR(BIO!L189/BIO!L267,0)</f>
        <v>0.45612348097627375</v>
      </c>
      <c r="E129">
        <f>IFERROR(BIO!M189/BIO!M267,0)</f>
        <v>0.51601704380576285</v>
      </c>
      <c r="F129">
        <f>IFERROR(BIO!N189/BIO!N267,0)</f>
        <v>0.44573223528644779</v>
      </c>
      <c r="G129">
        <f>IFERROR(BIO!O189/BIO!O267,0)</f>
        <v>0.36229649190479413</v>
      </c>
      <c r="H129">
        <f>IFERROR(BIO!P189/BIO!P267,0)</f>
        <v>0</v>
      </c>
      <c r="I129">
        <f>IFERROR(BIO!Q189/BIO!Q267,0)</f>
        <v>0.82306135079571596</v>
      </c>
      <c r="J129">
        <f>IFERROR(BIO!R189/BIO!R267,0)</f>
        <v>0.33789298596417044</v>
      </c>
      <c r="K129">
        <f>IFERROR(BIO!S189/BIO!S267,0)</f>
        <v>7.3802820183910725E-2</v>
      </c>
      <c r="L129">
        <f>IFERROR(BIO!T189/BIO!T267,0)</f>
        <v>0.51900242714593536</v>
      </c>
      <c r="M129">
        <f>IFERROR(BIO!U189/BIO!U267,0)</f>
        <v>0.36562588822744774</v>
      </c>
      <c r="N129">
        <f>IFERROR(BIO!V189/BIO!V267,0)</f>
        <v>0.27193081202323077</v>
      </c>
      <c r="O129">
        <f>IFERROR(BIO!W189/BIO!W267,0)</f>
        <v>0.23749939829066677</v>
      </c>
      <c r="P129">
        <f>IFERROR(BIO!X189/BIO!X267,0)</f>
        <v>0.61702127659574468</v>
      </c>
      <c r="Q129">
        <f>IFERROR(BIO!Y189/BIO!Y267,0)</f>
        <v>0.27257536841911434</v>
      </c>
      <c r="R129">
        <f>IFERROR(BIO!Z189/BIO!Z267,0)</f>
        <v>0.27624603583376428</v>
      </c>
      <c r="S129">
        <f>IFERROR(BIO!AA189/BIO!AA267,0)</f>
        <v>3.0659992509676989E-2</v>
      </c>
      <c r="T129">
        <f>IFERROR(BIO!AB189/BIO!AB267,0)</f>
        <v>0.14258896467466642</v>
      </c>
      <c r="U129">
        <f>IFERROR(BIO!AC189/BIO!AC267,0)</f>
        <v>0.10377475824553183</v>
      </c>
      <c r="V129">
        <f>IFERROR(BIO!AD189/BIO!AD267,0)</f>
        <v>0.9420070056471328</v>
      </c>
      <c r="W129">
        <f>IFERROR(BIO!AE189/BIO!AE267,0)</f>
        <v>0.2402219165689044</v>
      </c>
      <c r="X129">
        <f>IFERROR(BIO!AF189/BIO!AF267,0)</f>
        <v>8.4446031966225896E-2</v>
      </c>
      <c r="Y129">
        <f>IFERROR(BIO!AG189/BIO!AG267,0)</f>
        <v>8.4776716476750641E-2</v>
      </c>
      <c r="Z129">
        <f>IFERROR(BIO!AH189/BIO!AH267,0)</f>
        <v>8.6514454320943859E-2</v>
      </c>
      <c r="AA129">
        <f>IFERROR(BIO!AI189/BIO!AI267,0)</f>
        <v>0</v>
      </c>
      <c r="AB129">
        <f>IFERROR(BIO!AJ189/BIO!AJ267,0)</f>
        <v>0.54613603642664776</v>
      </c>
      <c r="AC129">
        <f>IFERROR(BIO!AK189/BIO!AK267,0)</f>
        <v>0.91961255032648381</v>
      </c>
      <c r="AD129">
        <f>IFERROR(BIO!AL189/BIO!AL267,0)</f>
        <v>0.54270114418585047</v>
      </c>
      <c r="AE129">
        <f>IFERROR(BIO!AM189/BIO!AM267,0)</f>
        <v>0.8177823896807751</v>
      </c>
      <c r="AF129">
        <f>IFERROR(BIO!AN189/BIO!AN267,0)</f>
        <v>0.24476535784865644</v>
      </c>
      <c r="AG129">
        <f>IFERROR(BIO!AO189/BIO!AO267,0)</f>
        <v>0.38940275629260929</v>
      </c>
      <c r="AH129">
        <f>IFERROR(BIO!AP189/BIO!AP267,0)</f>
        <v>0.28977714027522417</v>
      </c>
      <c r="AI129">
        <f>IFERROR(BIO!AQ189/BIO!AQ267,0)</f>
        <v>0.57191867613586966</v>
      </c>
      <c r="AJ129">
        <f>IFERROR(BIO!AR189/BIO!AR267,0)</f>
        <v>0.61762951138418209</v>
      </c>
      <c r="AK129">
        <f>IFERROR(BIO!AS189/BIO!AS267,0)</f>
        <v>0.40123106458233082</v>
      </c>
      <c r="AL129">
        <f>IFERROR(BIO!AT189/BIO!AT267,0)</f>
        <v>0.2568915826456673</v>
      </c>
      <c r="AM129">
        <f>IFERROR(BIO!AU189/BIO!AU267,0)</f>
        <v>0.10968001182438197</v>
      </c>
    </row>
    <row r="130" spans="2:39">
      <c r="B130" t="s">
        <v>65</v>
      </c>
      <c r="C130">
        <v>2050</v>
      </c>
      <c r="D130">
        <f>IFERROR(BIO!L190/BIO!L268,0)</f>
        <v>8.6043575119269869E-3</v>
      </c>
      <c r="E130">
        <f>IFERROR(BIO!M190/BIO!M268,0)</f>
        <v>0.5376065202466499</v>
      </c>
      <c r="F130">
        <f>IFERROR(BIO!N190/BIO!N268,0)</f>
        <v>0.48073164954092396</v>
      </c>
      <c r="G130">
        <f>IFERROR(BIO!O190/BIO!O268,0)</f>
        <v>0.3982319372451355</v>
      </c>
      <c r="H130">
        <f>IFERROR(BIO!P190/BIO!P268,0)</f>
        <v>0</v>
      </c>
      <c r="I130">
        <f>IFERROR(BIO!Q190/BIO!Q268,0)</f>
        <v>0.82674097986334938</v>
      </c>
      <c r="J130">
        <f>IFERROR(BIO!R190/BIO!R268,0)</f>
        <v>0.37483250899060117</v>
      </c>
      <c r="K130">
        <f>IFERROR(BIO!S190/BIO!S268,0)</f>
        <v>8.6208915350911242E-2</v>
      </c>
      <c r="L130">
        <f>IFERROR(BIO!T190/BIO!T268,0)</f>
        <v>0.52989299871738338</v>
      </c>
      <c r="M130">
        <f>IFERROR(BIO!U190/BIO!U268,0)</f>
        <v>0.39562266551721154</v>
      </c>
      <c r="N130">
        <f>IFERROR(BIO!V190/BIO!V268,0)</f>
        <v>0.29973039626516695</v>
      </c>
      <c r="O130">
        <f>IFERROR(BIO!W190/BIO!W268,0)</f>
        <v>0.25411184953281563</v>
      </c>
      <c r="P130">
        <f>IFERROR(BIO!X190/BIO!X268,0)</f>
        <v>0.61594202898550721</v>
      </c>
      <c r="Q130">
        <f>IFERROR(BIO!Y190/BIO!Y268,0)</f>
        <v>0.30509761488264564</v>
      </c>
      <c r="R130">
        <f>IFERROR(BIO!Z190/BIO!Z268,0)</f>
        <v>0.29080681195766389</v>
      </c>
      <c r="S130">
        <f>IFERROR(BIO!AA190/BIO!AA268,0)</f>
        <v>3.6654858362044178E-2</v>
      </c>
      <c r="T130">
        <f>IFERROR(BIO!AB190/BIO!AB268,0)</f>
        <v>0.15906785438484669</v>
      </c>
      <c r="U130">
        <f>IFERROR(BIO!AC190/BIO!AC268,0)</f>
        <v>0.12580850882522276</v>
      </c>
      <c r="V130">
        <f>IFERROR(BIO!AD190/BIO!AD268,0)</f>
        <v>0.93472427239689992</v>
      </c>
      <c r="W130">
        <f>IFERROR(BIO!AE190/BIO!AE268,0)</f>
        <v>0.26940168202368059</v>
      </c>
      <c r="X130">
        <f>IFERROR(BIO!AF190/BIO!AF268,0)</f>
        <v>9.0030680053485371E-2</v>
      </c>
      <c r="Y130">
        <f>IFERROR(BIO!AG190/BIO!AG268,0)</f>
        <v>9.8804335753735123E-2</v>
      </c>
      <c r="Z130">
        <f>IFERROR(BIO!AH190/BIO!AH268,0)</f>
        <v>9.2834862387044886E-2</v>
      </c>
      <c r="AA130">
        <f>IFERROR(BIO!AI190/BIO!AI268,0)</f>
        <v>0</v>
      </c>
      <c r="AB130">
        <f>IFERROR(BIO!AJ190/BIO!AJ268,0)</f>
        <v>0.62738447688478716</v>
      </c>
      <c r="AC130">
        <f>IFERROR(BIO!AK190/BIO!AK268,0)</f>
        <v>0.92930870309544866</v>
      </c>
      <c r="AD130">
        <f>IFERROR(BIO!AL190/BIO!AL268,0)</f>
        <v>0.57916356233234312</v>
      </c>
      <c r="AE130">
        <f>IFERROR(BIO!AM190/BIO!AM268,0)</f>
        <v>0.84835633028515545</v>
      </c>
      <c r="AF130">
        <f>IFERROR(BIO!AN190/BIO!AN268,0)</f>
        <v>0.25624931334142598</v>
      </c>
      <c r="AG130">
        <f>IFERROR(BIO!AO190/BIO!AO268,0)</f>
        <v>0.4185643399874785</v>
      </c>
      <c r="AH130">
        <f>IFERROR(BIO!AP190/BIO!AP268,0)</f>
        <v>0.324343383335222</v>
      </c>
      <c r="AI130">
        <f>IFERROR(BIO!AQ190/BIO!AQ268,0)</f>
        <v>0.67101108653430241</v>
      </c>
      <c r="AJ130">
        <f>IFERROR(BIO!AR190/BIO!AR268,0)</f>
        <v>0.63494164423931143</v>
      </c>
      <c r="AK130">
        <f>IFERROR(BIO!AS190/BIO!AS268,0)</f>
        <v>0.43008448219461937</v>
      </c>
      <c r="AL130">
        <f>IFERROR(BIO!AT190/BIO!AT268,0)</f>
        <v>0.29036625980816794</v>
      </c>
      <c r="AM130">
        <f>IFERROR(BIO!AU190/BIO!AU268,0)</f>
        <v>0.128074237912079</v>
      </c>
    </row>
    <row r="131" spans="2:39">
      <c r="B131" t="s">
        <v>66</v>
      </c>
      <c r="C131">
        <v>2005</v>
      </c>
      <c r="D131">
        <f>IFERROR(BIO!L198/BIO!L263,0)</f>
        <v>8.3827324497320682E-4</v>
      </c>
      <c r="E131">
        <f>IFERROR(BIO!M198/BIO!M263,0)</f>
        <v>0.18880372550715369</v>
      </c>
      <c r="F131">
        <f>IFERROR(BIO!N198/BIO!N263,0)</f>
        <v>0.11383608280461954</v>
      </c>
      <c r="G131">
        <f>IFERROR(BIO!O198/BIO!O263,0)</f>
        <v>1.0866625332718984E-5</v>
      </c>
      <c r="H131">
        <f>IFERROR(BIO!P198/BIO!P263,0)</f>
        <v>0</v>
      </c>
      <c r="I131">
        <f>IFERROR(BIO!Q198/BIO!Q263,0)</f>
        <v>3.5886031668516991E-2</v>
      </c>
      <c r="J131">
        <f>IFERROR(BIO!R198/BIO!R263,0)</f>
        <v>1.9942013676630456E-4</v>
      </c>
      <c r="K131">
        <f>IFERROR(BIO!S198/BIO!S263,0)</f>
        <v>4.2882800844599124E-3</v>
      </c>
      <c r="L131">
        <f>IFERROR(BIO!T198/BIO!T263,0)</f>
        <v>2.9340047449667471E-2</v>
      </c>
      <c r="M131">
        <f>IFERROR(BIO!U198/BIO!U263,0)</f>
        <v>2.5515437941554834E-3</v>
      </c>
      <c r="N131">
        <f>IFERROR(BIO!V198/BIO!V263,0)</f>
        <v>8.7882610188436271E-6</v>
      </c>
      <c r="O131">
        <f>IFERROR(BIO!W198/BIO!W263,0)</f>
        <v>6.7544135196305069E-3</v>
      </c>
      <c r="P131">
        <f>IFERROR(BIO!X198/BIO!X263,0)</f>
        <v>0.18348623853211007</v>
      </c>
      <c r="Q131">
        <f>IFERROR(BIO!Y198/BIO!Y263,0)</f>
        <v>1.3108552645333629E-5</v>
      </c>
      <c r="R131">
        <f>IFERROR(BIO!Z198/BIO!Z263,0)</f>
        <v>4.0252947991284309E-2</v>
      </c>
      <c r="S131">
        <f>IFERROR(BIO!AA198/BIO!AA263,0)</f>
        <v>6.0774421722267821E-3</v>
      </c>
      <c r="T131">
        <f>IFERROR(BIO!AB198/BIO!AB263,0)</f>
        <v>2.2255017364489018E-3</v>
      </c>
      <c r="U131">
        <f>IFERROR(BIO!AC198/BIO!AC263,0)</f>
        <v>4.7410952244809245E-5</v>
      </c>
      <c r="V131">
        <f>IFERROR(BIO!AD198/BIO!AD263,0)</f>
        <v>4.4813402727977326E-2</v>
      </c>
      <c r="W131">
        <f>IFERROR(BIO!AE198/BIO!AE263,0)</f>
        <v>1.1319393398702411E-3</v>
      </c>
      <c r="X131">
        <f>IFERROR(BIO!AF198/BIO!AF263,0)</f>
        <v>1.5170243362402073E-5</v>
      </c>
      <c r="Y131">
        <f>IFERROR(BIO!AG198/BIO!AG263,0)</f>
        <v>7.6568786442321411E-5</v>
      </c>
      <c r="Z131">
        <f>IFERROR(BIO!AH198/BIO!AH263,0)</f>
        <v>5.6346589376476482E-5</v>
      </c>
      <c r="AA131">
        <f>IFERROR(BIO!AI198/BIO!AI263,0)</f>
        <v>0</v>
      </c>
      <c r="AB131">
        <f>IFERROR(BIO!AJ198/BIO!AJ263,0)</f>
        <v>1.6180523349456745E-3</v>
      </c>
      <c r="AC131">
        <f>IFERROR(BIO!AK198/BIO!AK263,0)</f>
        <v>4.4506959652879962E-7</v>
      </c>
      <c r="AD131">
        <f>IFERROR(BIO!AL198/BIO!AL263,0)</f>
        <v>2.6230950702393506E-3</v>
      </c>
      <c r="AE131">
        <f>IFERROR(BIO!AM198/BIO!AM263,0)</f>
        <v>1.4432543954892301E-2</v>
      </c>
      <c r="AF131">
        <f>IFERROR(BIO!AN198/BIO!AN263,0)</f>
        <v>7.7181665773925177E-3</v>
      </c>
      <c r="AG131">
        <f>IFERROR(BIO!AO198/BIO!AO263,0)</f>
        <v>1.17109708984945E-2</v>
      </c>
      <c r="AH131">
        <f>IFERROR(BIO!AP198/BIO!AP263,0)</f>
        <v>4.5725517782942593E-4</v>
      </c>
      <c r="AI131">
        <f>IFERROR(BIO!AQ198/BIO!AQ263,0)</f>
        <v>9.7798051034203096E-5</v>
      </c>
      <c r="AJ131">
        <f>IFERROR(BIO!AR198/BIO!AR263,0)</f>
        <v>2.4672700746545376E-2</v>
      </c>
      <c r="AK131">
        <f>IFERROR(BIO!AS198/BIO!AS263,0)</f>
        <v>1.7594246531660855E-2</v>
      </c>
      <c r="AL131">
        <f>IFERROR(BIO!AT198/BIO!AT263,0)</f>
        <v>4.4527969497134174E-5</v>
      </c>
      <c r="AM131">
        <f>IFERROR(BIO!AU198/BIO!AU263,0)</f>
        <v>4.4069256612012985E-4</v>
      </c>
    </row>
    <row r="132" spans="2:39">
      <c r="B132" t="s">
        <v>66</v>
      </c>
      <c r="C132">
        <v>2010</v>
      </c>
      <c r="D132">
        <f>IFERROR(BIO!L199/BIO!L264,0)</f>
        <v>8.3827324497320682E-4</v>
      </c>
      <c r="E132">
        <f>IFERROR(BIO!M199/BIO!M264,0)</f>
        <v>0.18880372550715369</v>
      </c>
      <c r="F132">
        <f>IFERROR(BIO!N199/BIO!N264,0)</f>
        <v>0.11383608280461954</v>
      </c>
      <c r="G132">
        <f>IFERROR(BIO!O199/BIO!O264,0)</f>
        <v>1.0866625332718984E-5</v>
      </c>
      <c r="H132">
        <f>IFERROR(BIO!P199/BIO!P264,0)</f>
        <v>0</v>
      </c>
      <c r="I132">
        <f>IFERROR(BIO!Q199/BIO!Q264,0)</f>
        <v>3.5886031668516991E-2</v>
      </c>
      <c r="J132">
        <f>IFERROR(BIO!R199/BIO!R264,0)</f>
        <v>1.9942013676630456E-4</v>
      </c>
      <c r="K132">
        <f>IFERROR(BIO!S199/BIO!S264,0)</f>
        <v>4.2882800844599124E-3</v>
      </c>
      <c r="L132">
        <f>IFERROR(BIO!T199/BIO!T264,0)</f>
        <v>2.9340047449667471E-2</v>
      </c>
      <c r="M132">
        <f>IFERROR(BIO!U199/BIO!U264,0)</f>
        <v>2.5515437941554834E-3</v>
      </c>
      <c r="N132">
        <f>IFERROR(BIO!V199/BIO!V264,0)</f>
        <v>8.7882610188436271E-6</v>
      </c>
      <c r="O132">
        <f>IFERROR(BIO!W199/BIO!W264,0)</f>
        <v>6.7544135196305069E-3</v>
      </c>
      <c r="P132">
        <f>IFERROR(BIO!X199/BIO!X264,0)</f>
        <v>0.19642857142857145</v>
      </c>
      <c r="Q132">
        <f>IFERROR(BIO!Y199/BIO!Y264,0)</f>
        <v>1.3108552645333629E-5</v>
      </c>
      <c r="R132">
        <f>IFERROR(BIO!Z199/BIO!Z264,0)</f>
        <v>4.0252947991284309E-2</v>
      </c>
      <c r="S132">
        <f>IFERROR(BIO!AA199/BIO!AA264,0)</f>
        <v>6.0774421722267821E-3</v>
      </c>
      <c r="T132">
        <f>IFERROR(BIO!AB199/BIO!AB264,0)</f>
        <v>2.2255017364489018E-3</v>
      </c>
      <c r="U132">
        <f>IFERROR(BIO!AC199/BIO!AC264,0)</f>
        <v>4.7410952244809245E-5</v>
      </c>
      <c r="V132">
        <f>IFERROR(BIO!AD199/BIO!AD264,0)</f>
        <v>4.4813402727977326E-2</v>
      </c>
      <c r="W132">
        <f>IFERROR(BIO!AE199/BIO!AE264,0)</f>
        <v>1.1319393398702411E-3</v>
      </c>
      <c r="X132">
        <f>IFERROR(BIO!AF199/BIO!AF264,0)</f>
        <v>1.5170243362402073E-5</v>
      </c>
      <c r="Y132">
        <f>IFERROR(BIO!AG199/BIO!AG264,0)</f>
        <v>7.6568786442321411E-5</v>
      </c>
      <c r="Z132">
        <f>IFERROR(BIO!AH199/BIO!AH264,0)</f>
        <v>5.6346589376476482E-5</v>
      </c>
      <c r="AA132">
        <f>IFERROR(BIO!AI199/BIO!AI264,0)</f>
        <v>0</v>
      </c>
      <c r="AB132">
        <f>IFERROR(BIO!AJ199/BIO!AJ264,0)</f>
        <v>1.6180523349456745E-3</v>
      </c>
      <c r="AC132">
        <f>IFERROR(BIO!AK199/BIO!AK264,0)</f>
        <v>4.4506959652879962E-7</v>
      </c>
      <c r="AD132">
        <f>IFERROR(BIO!AL199/BIO!AL264,0)</f>
        <v>2.6230950702393506E-3</v>
      </c>
      <c r="AE132">
        <f>IFERROR(BIO!AM199/BIO!AM264,0)</f>
        <v>1.4432543954892301E-2</v>
      </c>
      <c r="AF132">
        <f>IFERROR(BIO!AN199/BIO!AN264,0)</f>
        <v>7.7181665773925177E-3</v>
      </c>
      <c r="AG132">
        <f>IFERROR(BIO!AO199/BIO!AO264,0)</f>
        <v>1.17109708984945E-2</v>
      </c>
      <c r="AH132">
        <f>IFERROR(BIO!AP199/BIO!AP264,0)</f>
        <v>4.5725517782942593E-4</v>
      </c>
      <c r="AI132">
        <f>IFERROR(BIO!AQ199/BIO!AQ264,0)</f>
        <v>9.7798051034203096E-5</v>
      </c>
      <c r="AJ132">
        <f>IFERROR(BIO!AR199/BIO!AR264,0)</f>
        <v>2.4672700746545376E-2</v>
      </c>
      <c r="AK132">
        <f>IFERROR(BIO!AS199/BIO!AS264,0)</f>
        <v>1.7594246531660855E-2</v>
      </c>
      <c r="AL132">
        <f>IFERROR(BIO!AT199/BIO!AT264,0)</f>
        <v>4.4527969497134174E-5</v>
      </c>
      <c r="AM132">
        <f>IFERROR(BIO!AU199/BIO!AU264,0)</f>
        <v>4.4069256612012985E-4</v>
      </c>
    </row>
    <row r="133" spans="2:39">
      <c r="B133" t="s">
        <v>66</v>
      </c>
      <c r="C133">
        <v>2020</v>
      </c>
      <c r="D133">
        <f>IFERROR(BIO!L200/BIO!L265,0)</f>
        <v>1.081752659388904E-3</v>
      </c>
      <c r="E133">
        <f>IFERROR(BIO!M200/BIO!M265,0)</f>
        <v>0.20557132135153328</v>
      </c>
      <c r="F133">
        <f>IFERROR(BIO!N200/BIO!N265,0)</f>
        <v>0.1237490732752916</v>
      </c>
      <c r="G133">
        <f>IFERROR(BIO!O200/BIO!O265,0)</f>
        <v>1.4688456982558078E-5</v>
      </c>
      <c r="H133">
        <f>IFERROR(BIO!P200/BIO!P265,0)</f>
        <v>0</v>
      </c>
      <c r="I133">
        <f>IFERROR(BIO!Q200/BIO!Q265,0)</f>
        <v>3.9058329221828912E-2</v>
      </c>
      <c r="J133">
        <f>IFERROR(BIO!R200/BIO!R265,0)</f>
        <v>2.1570252266666769E-4</v>
      </c>
      <c r="K133">
        <f>IFERROR(BIO!S200/BIO!S265,0)</f>
        <v>5.9274146881288159E-3</v>
      </c>
      <c r="L133">
        <f>IFERROR(BIO!T200/BIO!T265,0)</f>
        <v>3.2705352590079936E-2</v>
      </c>
      <c r="M133">
        <f>IFERROR(BIO!U200/BIO!U265,0)</f>
        <v>2.8532131754422626E-3</v>
      </c>
      <c r="N133">
        <f>IFERROR(BIO!V200/BIO!V265,0)</f>
        <v>1.2217734406709317E-5</v>
      </c>
      <c r="O133">
        <f>IFERROR(BIO!W200/BIO!W265,0)</f>
        <v>7.1227252926198623E-3</v>
      </c>
      <c r="P133">
        <f>IFERROR(BIO!X200/BIO!X265,0)</f>
        <v>0.1953125</v>
      </c>
      <c r="Q133">
        <f>IFERROR(BIO!Y200/BIO!Y265,0)</f>
        <v>1.5111937606605736E-5</v>
      </c>
      <c r="R133">
        <f>IFERROR(BIO!Z200/BIO!Z265,0)</f>
        <v>4.0621583914754469E-2</v>
      </c>
      <c r="S133">
        <f>IFERROR(BIO!AA200/BIO!AA265,0)</f>
        <v>7.4465974034401148E-3</v>
      </c>
      <c r="T133">
        <f>IFERROR(BIO!AB200/BIO!AB265,0)</f>
        <v>2.751179898467712E-3</v>
      </c>
      <c r="U133">
        <f>IFERROR(BIO!AC200/BIO!AC265,0)</f>
        <v>5.7310756814084619E-5</v>
      </c>
      <c r="V133">
        <f>IFERROR(BIO!AD200/BIO!AD265,0)</f>
        <v>4.6987373477758186E-2</v>
      </c>
      <c r="W133">
        <f>IFERROR(BIO!AE200/BIO!AE265,0)</f>
        <v>1.2071792315415761E-3</v>
      </c>
      <c r="X133">
        <f>IFERROR(BIO!AF200/BIO!AF265,0)</f>
        <v>1.6516178726649463E-5</v>
      </c>
      <c r="Y133">
        <f>IFERROR(BIO!AG200/BIO!AG265,0)</f>
        <v>2.428026331162229E-5</v>
      </c>
      <c r="Z133">
        <f>IFERROR(BIO!AH200/BIO!AH265,0)</f>
        <v>7.0612740635765358E-5</v>
      </c>
      <c r="AA133">
        <f>IFERROR(BIO!AI200/BIO!AI265,0)</f>
        <v>0</v>
      </c>
      <c r="AB133">
        <f>IFERROR(BIO!AJ200/BIO!AJ265,0)</f>
        <v>2.1936634050788622E-3</v>
      </c>
      <c r="AC133">
        <f>IFERROR(BIO!AK200/BIO!AK265,0)</f>
        <v>1.3993184593046943E-6</v>
      </c>
      <c r="AD133">
        <f>IFERROR(BIO!AL200/BIO!AL265,0)</f>
        <v>2.9563488342952242E-3</v>
      </c>
      <c r="AE133">
        <f>IFERROR(BIO!AM200/BIO!AM265,0)</f>
        <v>1.7099995977866291E-2</v>
      </c>
      <c r="AF133">
        <f>IFERROR(BIO!AN200/BIO!AN265,0)</f>
        <v>8.4141097731399873E-3</v>
      </c>
      <c r="AG133">
        <f>IFERROR(BIO!AO200/BIO!AO265,0)</f>
        <v>1.2213496138842463E-2</v>
      </c>
      <c r="AH133">
        <f>IFERROR(BIO!AP200/BIO!AP265,0)</f>
        <v>5.3815433968613046E-4</v>
      </c>
      <c r="AI133">
        <f>IFERROR(BIO!AQ200/BIO!AQ265,0)</f>
        <v>1.3137968022438113E-4</v>
      </c>
      <c r="AJ133">
        <f>IFERROR(BIO!AR200/BIO!AR265,0)</f>
        <v>2.7648852461589827E-2</v>
      </c>
      <c r="AK133">
        <f>IFERROR(BIO!AS200/BIO!AS265,0)</f>
        <v>1.9932756874364122E-2</v>
      </c>
      <c r="AL133">
        <f>IFERROR(BIO!AT200/BIO!AT265,0)</f>
        <v>6.4655350421314141E-5</v>
      </c>
      <c r="AM133">
        <f>IFERROR(BIO!AU200/BIO!AU265,0)</f>
        <v>5.2410303397632506E-4</v>
      </c>
    </row>
    <row r="134" spans="2:39">
      <c r="B134" t="s">
        <v>66</v>
      </c>
      <c r="C134">
        <v>2030</v>
      </c>
      <c r="D134">
        <f>IFERROR(BIO!L201/BIO!L266,0)</f>
        <v>1.2384987332619637E-3</v>
      </c>
      <c r="E134">
        <f>IFERROR(BIO!M201/BIO!M266,0)</f>
        <v>0.20482035685389996</v>
      </c>
      <c r="F134">
        <f>IFERROR(BIO!N201/BIO!N266,0)</f>
        <v>0.13837437545378345</v>
      </c>
      <c r="G134">
        <f>IFERROR(BIO!O201/BIO!O266,0)</f>
        <v>1.8173330455051811E-5</v>
      </c>
      <c r="H134">
        <f>IFERROR(BIO!P201/BIO!P266,0)</f>
        <v>0</v>
      </c>
      <c r="I134">
        <f>IFERROR(BIO!Q201/BIO!Q266,0)</f>
        <v>4.4745864984075498E-2</v>
      </c>
      <c r="J134">
        <f>IFERROR(BIO!R201/BIO!R266,0)</f>
        <v>2.9226926094088842E-4</v>
      </c>
      <c r="K134">
        <f>IFERROR(BIO!S201/BIO!S266,0)</f>
        <v>9.0372234410366625E-3</v>
      </c>
      <c r="L134">
        <f>IFERROR(BIO!T201/BIO!T266,0)</f>
        <v>3.6564141206738628E-2</v>
      </c>
      <c r="M134">
        <f>IFERROR(BIO!U201/BIO!U266,0)</f>
        <v>3.4497489190444125E-3</v>
      </c>
      <c r="N134">
        <f>IFERROR(BIO!V201/BIO!V266,0)</f>
        <v>1.7126036678748612E-5</v>
      </c>
      <c r="O134">
        <f>IFERROR(BIO!W201/BIO!W266,0)</f>
        <v>1.0220661609461985E-2</v>
      </c>
      <c r="P134">
        <f>IFERROR(BIO!X201/BIO!X266,0)</f>
        <v>0.1775147928994083</v>
      </c>
      <c r="Q134">
        <f>IFERROR(BIO!Y201/BIO!Y266,0)</f>
        <v>2.0772401568404018E-5</v>
      </c>
      <c r="R134">
        <f>IFERROR(BIO!Z201/BIO!Z266,0)</f>
        <v>4.7614413125592253E-2</v>
      </c>
      <c r="S134">
        <f>IFERROR(BIO!AA201/BIO!AA266,0)</f>
        <v>1.0566402211359804E-2</v>
      </c>
      <c r="T134">
        <f>IFERROR(BIO!AB201/BIO!AB266,0)</f>
        <v>3.8977152010076094E-3</v>
      </c>
      <c r="U134">
        <f>IFERROR(BIO!AC201/BIO!AC266,0)</f>
        <v>9.111929914080263E-5</v>
      </c>
      <c r="V134">
        <f>IFERROR(BIO!AD201/BIO!AD266,0)</f>
        <v>5.2091514848646804E-2</v>
      </c>
      <c r="W134">
        <f>IFERROR(BIO!AE201/BIO!AE266,0)</f>
        <v>1.6210950376292911E-3</v>
      </c>
      <c r="X134">
        <f>IFERROR(BIO!AF201/BIO!AF266,0)</f>
        <v>2.087250743759123E-5</v>
      </c>
      <c r="Y134">
        <f>IFERROR(BIO!AG201/BIO!AG266,0)</f>
        <v>3.4228023198590196E-5</v>
      </c>
      <c r="Z134">
        <f>IFERROR(BIO!AH201/BIO!AH266,0)</f>
        <v>9.656602979991595E-5</v>
      </c>
      <c r="AA134">
        <f>IFERROR(BIO!AI201/BIO!AI266,0)</f>
        <v>0</v>
      </c>
      <c r="AB134">
        <f>IFERROR(BIO!AJ201/BIO!AJ266,0)</f>
        <v>3.3721705557744545E-3</v>
      </c>
      <c r="AC134">
        <f>IFERROR(BIO!AK201/BIO!AK266,0)</f>
        <v>1.7109107342893043E-6</v>
      </c>
      <c r="AD134">
        <f>IFERROR(BIO!AL201/BIO!AL266,0)</f>
        <v>3.6255957229643712E-3</v>
      </c>
      <c r="AE134">
        <f>IFERROR(BIO!AM201/BIO!AM266,0)</f>
        <v>2.071089561872538E-2</v>
      </c>
      <c r="AF134">
        <f>IFERROR(BIO!AN201/BIO!AN266,0)</f>
        <v>9.8563208954554841E-3</v>
      </c>
      <c r="AG134">
        <f>IFERROR(BIO!AO201/BIO!AO266,0)</f>
        <v>1.5809246023751874E-2</v>
      </c>
      <c r="AH134">
        <f>IFERROR(BIO!AP201/BIO!AP266,0)</f>
        <v>6.8929823139606092E-4</v>
      </c>
      <c r="AI134">
        <f>IFERROR(BIO!AQ201/BIO!AQ266,0)</f>
        <v>1.9745073838028126E-4</v>
      </c>
      <c r="AJ134">
        <f>IFERROR(BIO!AR201/BIO!AR266,0)</f>
        <v>3.2696207523446909E-2</v>
      </c>
      <c r="AK134">
        <f>IFERROR(BIO!AS201/BIO!AS266,0)</f>
        <v>2.5976642749413626E-2</v>
      </c>
      <c r="AL134">
        <f>IFERROR(BIO!AT201/BIO!AT266,0)</f>
        <v>9.2546666648175307E-5</v>
      </c>
      <c r="AM134">
        <f>IFERROR(BIO!AU201/BIO!AU266,0)</f>
        <v>7.3929990233103954E-4</v>
      </c>
    </row>
    <row r="135" spans="2:39">
      <c r="B135" t="s">
        <v>66</v>
      </c>
      <c r="C135">
        <v>2040</v>
      </c>
      <c r="D135">
        <f>IFERROR(BIO!L202/BIO!L267,0)</f>
        <v>1.4061464952339409E-3</v>
      </c>
      <c r="E135">
        <f>IFERROR(BIO!M202/BIO!M267,0)</f>
        <v>0.21157942013946329</v>
      </c>
      <c r="F135">
        <f>IFERROR(BIO!N202/BIO!N267,0)</f>
        <v>0.15642509267702359</v>
      </c>
      <c r="G135">
        <f>IFERROR(BIO!O202/BIO!O267,0)</f>
        <v>2.1585386319529759E-5</v>
      </c>
      <c r="H135">
        <f>IFERROR(BIO!P202/BIO!P267,0)</f>
        <v>0</v>
      </c>
      <c r="I135">
        <f>IFERROR(BIO!Q202/BIO!Q267,0)</f>
        <v>5.0670315594913001E-2</v>
      </c>
      <c r="J135">
        <f>IFERROR(BIO!R202/BIO!R267,0)</f>
        <v>3.5308509607762079E-4</v>
      </c>
      <c r="K135">
        <f>IFERROR(BIO!S202/BIO!S267,0)</f>
        <v>1.1464918016154417E-2</v>
      </c>
      <c r="L135">
        <f>IFERROR(BIO!T202/BIO!T267,0)</f>
        <v>4.0776668337987321E-2</v>
      </c>
      <c r="M135">
        <f>IFERROR(BIO!U202/BIO!U267,0)</f>
        <v>4.2196485336055637E-3</v>
      </c>
      <c r="N135">
        <f>IFERROR(BIO!V202/BIO!V267,0)</f>
        <v>2.0550870690425793E-5</v>
      </c>
      <c r="O135">
        <f>IFERROR(BIO!W202/BIO!W267,0)</f>
        <v>1.189673007732904E-2</v>
      </c>
      <c r="P135">
        <f>IFERROR(BIO!X202/BIO!X267,0)</f>
        <v>0.15319148936170213</v>
      </c>
      <c r="Q135">
        <f>IFERROR(BIO!Y202/BIO!Y267,0)</f>
        <v>2.5320716525290518E-5</v>
      </c>
      <c r="R135">
        <f>IFERROR(BIO!Z202/BIO!Z267,0)</f>
        <v>5.3962687207860335E-2</v>
      </c>
      <c r="S135">
        <f>IFERROR(BIO!AA202/BIO!AA267,0)</f>
        <v>1.2798006295016271E-2</v>
      </c>
      <c r="T135">
        <f>IFERROR(BIO!AB202/BIO!AB267,0)</f>
        <v>4.5902788007404155E-3</v>
      </c>
      <c r="U135">
        <f>IFERROR(BIO!AC202/BIO!AC267,0)</f>
        <v>1.1790484043727762E-4</v>
      </c>
      <c r="V135">
        <f>IFERROR(BIO!AD202/BIO!AD267,0)</f>
        <v>5.7992994352867221E-2</v>
      </c>
      <c r="W135">
        <f>IFERROR(BIO!AE202/BIO!AE267,0)</f>
        <v>1.9568910830589144E-3</v>
      </c>
      <c r="X135">
        <f>IFERROR(BIO!AF202/BIO!AF267,0)</f>
        <v>2.3693918999128683E-5</v>
      </c>
      <c r="Y135">
        <f>IFERROR(BIO!AG202/BIO!AG267,0)</f>
        <v>4.3058985968369849E-5</v>
      </c>
      <c r="Z135">
        <f>IFERROR(BIO!AH202/BIO!AH267,0)</f>
        <v>1.1142191764809427E-4</v>
      </c>
      <c r="AA135">
        <f>IFERROR(BIO!AI202/BIO!AI267,0)</f>
        <v>0</v>
      </c>
      <c r="AB135">
        <f>IFERROR(BIO!AJ202/BIO!AJ267,0)</f>
        <v>4.5972359001301057E-3</v>
      </c>
      <c r="AC135">
        <f>IFERROR(BIO!AK202/BIO!AK267,0)</f>
        <v>1.8757088660166773E-6</v>
      </c>
      <c r="AD135">
        <f>IFERROR(BIO!AL202/BIO!AL267,0)</f>
        <v>4.1253511511395759E-3</v>
      </c>
      <c r="AE135">
        <f>IFERROR(BIO!AM202/BIO!AM267,0)</f>
        <v>2.4036677870943633E-2</v>
      </c>
      <c r="AF135">
        <f>IFERROR(BIO!AN202/BIO!AN267,0)</f>
        <v>1.0202755283103037E-2</v>
      </c>
      <c r="AG135">
        <f>IFERROR(BIO!AO202/BIO!AO267,0)</f>
        <v>1.811213190986025E-2</v>
      </c>
      <c r="AH135">
        <f>IFERROR(BIO!AP202/BIO!AP267,0)</f>
        <v>8.3388652922142151E-4</v>
      </c>
      <c r="AI135">
        <f>IFERROR(BIO!AQ202/BIO!AQ267,0)</f>
        <v>2.5615163502507244E-4</v>
      </c>
      <c r="AJ135">
        <f>IFERROR(BIO!AR202/BIO!AR267,0)</f>
        <v>3.8023267928098799E-2</v>
      </c>
      <c r="AK135">
        <f>IFERROR(BIO!AS202/BIO!AS267,0)</f>
        <v>3.0006117051511596E-2</v>
      </c>
      <c r="AL135">
        <f>IFERROR(BIO!AT202/BIO!AT267,0)</f>
        <v>1.0922188443249037E-4</v>
      </c>
      <c r="AM135">
        <f>IFERROR(BIO!AU202/BIO!AU267,0)</f>
        <v>9.4050031954509756E-4</v>
      </c>
    </row>
    <row r="136" spans="2:39">
      <c r="B136" t="s">
        <v>66</v>
      </c>
      <c r="C136">
        <v>2050</v>
      </c>
      <c r="D136">
        <f>IFERROR(BIO!L203/BIO!L268,0)</f>
        <v>0.34780407366110705</v>
      </c>
      <c r="E136">
        <f>IFERROR(BIO!M203/BIO!M268,0)</f>
        <v>0.21778746428270623</v>
      </c>
      <c r="F136">
        <f>IFERROR(BIO!N203/BIO!N268,0)</f>
        <v>0.17388414075202516</v>
      </c>
      <c r="G136">
        <f>IFERROR(BIO!O203/BIO!O268,0)</f>
        <v>2.5361266561008485E-5</v>
      </c>
      <c r="H136">
        <f>IFERROR(BIO!P203/BIO!P268,0)</f>
        <v>0</v>
      </c>
      <c r="I136">
        <f>IFERROR(BIO!Q203/BIO!Q268,0)</f>
        <v>5.7734800083339546E-2</v>
      </c>
      <c r="J136">
        <f>IFERROR(BIO!R203/BIO!R268,0)</f>
        <v>4.2197359462035547E-4</v>
      </c>
      <c r="K136">
        <f>IFERROR(BIO!S203/BIO!S268,0)</f>
        <v>1.4436595303606531E-2</v>
      </c>
      <c r="L136">
        <f>IFERROR(BIO!T203/BIO!T268,0)</f>
        <v>4.5194953059037195E-2</v>
      </c>
      <c r="M136">
        <f>IFERROR(BIO!U203/BIO!U268,0)</f>
        <v>5.0996349979280904E-3</v>
      </c>
      <c r="N136">
        <f>IFERROR(BIO!V203/BIO!V268,0)</f>
        <v>2.4431623217926E-5</v>
      </c>
      <c r="O136">
        <f>IFERROR(BIO!W203/BIO!W268,0)</f>
        <v>1.3761871375716673E-2</v>
      </c>
      <c r="P136">
        <f>IFERROR(BIO!X203/BIO!X268,0)</f>
        <v>0.14855072463768113</v>
      </c>
      <c r="Q136">
        <f>IFERROR(BIO!Y203/BIO!Y268,0)</f>
        <v>3.0542875352710178E-5</v>
      </c>
      <c r="R136">
        <f>IFERROR(BIO!Z203/BIO!Z268,0)</f>
        <v>6.0692549299122787E-2</v>
      </c>
      <c r="S136">
        <f>IFERROR(BIO!AA203/BIO!AA268,0)</f>
        <v>1.5389206716992298E-2</v>
      </c>
      <c r="T136">
        <f>IFERROR(BIO!AB203/BIO!AB268,0)</f>
        <v>5.3644095410080922E-3</v>
      </c>
      <c r="U136">
        <f>IFERROR(BIO!AC203/BIO!AC268,0)</f>
        <v>1.5100089998531984E-4</v>
      </c>
      <c r="V136">
        <f>IFERROR(BIO!AD203/BIO!AD268,0)</f>
        <v>6.5275727603100075E-2</v>
      </c>
      <c r="W136">
        <f>IFERROR(BIO!AE203/BIO!AE268,0)</f>
        <v>2.3390202056354338E-3</v>
      </c>
      <c r="X136">
        <f>IFERROR(BIO!AF203/BIO!AF268,0)</f>
        <v>2.6899600593958543E-5</v>
      </c>
      <c r="Y136">
        <f>IFERROR(BIO!AG203/BIO!AG268,0)</f>
        <v>5.3760065069456083E-5</v>
      </c>
      <c r="Z136">
        <f>IFERROR(BIO!AH203/BIO!AH268,0)</f>
        <v>1.2799651762580196E-4</v>
      </c>
      <c r="AA136">
        <f>IFERROR(BIO!AI203/BIO!AI268,0)</f>
        <v>0</v>
      </c>
      <c r="AB136">
        <f>IFERROR(BIO!AJ203/BIO!AJ268,0)</f>
        <v>5.9928755918036165E-3</v>
      </c>
      <c r="AC136">
        <f>IFERROR(BIO!AK203/BIO!AK268,0)</f>
        <v>2.0412911651563418E-6</v>
      </c>
      <c r="AD136">
        <f>IFERROR(BIO!AL203/BIO!AL268,0)</f>
        <v>4.6450582368565904E-3</v>
      </c>
      <c r="AE136">
        <f>IFERROR(BIO!AM203/BIO!AM268,0)</f>
        <v>2.7068150326564559E-2</v>
      </c>
      <c r="AF136">
        <f>IFERROR(BIO!AN203/BIO!AN268,0)</f>
        <v>1.0614402609286607E-2</v>
      </c>
      <c r="AG136">
        <f>IFERROR(BIO!AO203/BIO!AO268,0)</f>
        <v>2.056287493161028E-2</v>
      </c>
      <c r="AH136">
        <f>IFERROR(BIO!AP203/BIO!AP268,0)</f>
        <v>9.9989220189447927E-4</v>
      </c>
      <c r="AI136">
        <f>IFERROR(BIO!AQ203/BIO!AQ268,0)</f>
        <v>3.1435496662788904E-4</v>
      </c>
      <c r="AJ136">
        <f>IFERROR(BIO!AR203/BIO!AR268,0)</f>
        <v>4.4340645725342812E-2</v>
      </c>
      <c r="AK136">
        <f>IFERROR(BIO!AS203/BIO!AS268,0)</f>
        <v>3.4354491726101333E-2</v>
      </c>
      <c r="AL136">
        <f>IFERROR(BIO!AT203/BIO!AT268,0)</f>
        <v>1.2765928143641288E-4</v>
      </c>
      <c r="AM136">
        <f>IFERROR(BIO!AU203/BIO!AU268,0)</f>
        <v>1.1858177946229946E-3</v>
      </c>
    </row>
    <row r="138" spans="2:39">
      <c r="C138">
        <v>2005</v>
      </c>
      <c r="D138">
        <f>SUMIFS(D$119:D$136,$C$119:$C$136,$C138)</f>
        <v>1</v>
      </c>
      <c r="E138">
        <f t="shared" ref="E138:AM143" si="5">SUMIFS(E$119:E$136,$C$119:$C$136,$C138)</f>
        <v>1</v>
      </c>
      <c r="F138">
        <f t="shared" si="5"/>
        <v>0.99999999999999989</v>
      </c>
      <c r="G138">
        <f t="shared" si="5"/>
        <v>0.99999999999999989</v>
      </c>
      <c r="H138">
        <f t="shared" si="5"/>
        <v>1</v>
      </c>
      <c r="I138">
        <f t="shared" si="5"/>
        <v>1</v>
      </c>
      <c r="J138">
        <f t="shared" si="5"/>
        <v>1</v>
      </c>
      <c r="K138">
        <f t="shared" si="5"/>
        <v>0.99999999999999989</v>
      </c>
      <c r="L138">
        <f t="shared" si="5"/>
        <v>1</v>
      </c>
      <c r="M138">
        <f t="shared" si="5"/>
        <v>1</v>
      </c>
      <c r="N138">
        <f t="shared" si="5"/>
        <v>1.0000000000000002</v>
      </c>
      <c r="O138">
        <f t="shared" si="5"/>
        <v>1</v>
      </c>
      <c r="P138">
        <f t="shared" si="5"/>
        <v>1</v>
      </c>
      <c r="Q138">
        <f t="shared" si="5"/>
        <v>1.0000000000000002</v>
      </c>
      <c r="R138">
        <f t="shared" si="5"/>
        <v>1</v>
      </c>
      <c r="S138">
        <f t="shared" si="5"/>
        <v>1</v>
      </c>
      <c r="T138">
        <f t="shared" si="5"/>
        <v>1</v>
      </c>
      <c r="U138">
        <f t="shared" si="5"/>
        <v>1.0000000000000002</v>
      </c>
      <c r="V138">
        <f t="shared" si="5"/>
        <v>0.99999999999999989</v>
      </c>
      <c r="W138">
        <f t="shared" si="5"/>
        <v>1.0000000000000002</v>
      </c>
      <c r="X138">
        <f t="shared" si="5"/>
        <v>1</v>
      </c>
      <c r="Y138">
        <f t="shared" si="5"/>
        <v>0.99999999999999989</v>
      </c>
      <c r="Z138">
        <f t="shared" si="5"/>
        <v>1</v>
      </c>
      <c r="AA138">
        <f t="shared" si="5"/>
        <v>1</v>
      </c>
      <c r="AB138">
        <f t="shared" si="5"/>
        <v>1</v>
      </c>
      <c r="AC138">
        <f t="shared" si="5"/>
        <v>0.99999999999999989</v>
      </c>
      <c r="AD138">
        <f t="shared" si="5"/>
        <v>1</v>
      </c>
      <c r="AE138">
        <f t="shared" si="5"/>
        <v>1</v>
      </c>
      <c r="AF138">
        <f t="shared" si="5"/>
        <v>1</v>
      </c>
      <c r="AG138">
        <f t="shared" si="5"/>
        <v>0.99999999999999989</v>
      </c>
      <c r="AH138">
        <f t="shared" si="5"/>
        <v>1</v>
      </c>
      <c r="AI138">
        <f t="shared" si="5"/>
        <v>0.99999999999999989</v>
      </c>
      <c r="AJ138">
        <f t="shared" si="5"/>
        <v>1</v>
      </c>
      <c r="AK138">
        <f t="shared" si="5"/>
        <v>0.99999999999999989</v>
      </c>
      <c r="AL138">
        <f t="shared" si="5"/>
        <v>1</v>
      </c>
      <c r="AM138">
        <f t="shared" si="5"/>
        <v>1</v>
      </c>
    </row>
    <row r="139" spans="2:39">
      <c r="C139">
        <v>2010</v>
      </c>
      <c r="D139">
        <f t="shared" ref="D139:S143" si="6">SUMIFS(D$119:D$136,$C$119:$C$136,$C139)</f>
        <v>1</v>
      </c>
      <c r="E139">
        <f t="shared" si="6"/>
        <v>1</v>
      </c>
      <c r="F139">
        <f t="shared" si="6"/>
        <v>0.99999999999999989</v>
      </c>
      <c r="G139">
        <f t="shared" si="6"/>
        <v>0.99999999999999989</v>
      </c>
      <c r="H139">
        <f t="shared" si="6"/>
        <v>1</v>
      </c>
      <c r="I139">
        <f t="shared" si="6"/>
        <v>1</v>
      </c>
      <c r="J139">
        <f t="shared" si="6"/>
        <v>1</v>
      </c>
      <c r="K139">
        <f t="shared" si="6"/>
        <v>0.99999999999999989</v>
      </c>
      <c r="L139">
        <f t="shared" si="6"/>
        <v>1</v>
      </c>
      <c r="M139">
        <f t="shared" si="6"/>
        <v>1</v>
      </c>
      <c r="N139">
        <f t="shared" si="6"/>
        <v>1.0000000000000002</v>
      </c>
      <c r="O139">
        <f t="shared" si="6"/>
        <v>1</v>
      </c>
      <c r="P139">
        <f t="shared" si="6"/>
        <v>1</v>
      </c>
      <c r="Q139">
        <f t="shared" si="6"/>
        <v>1.0000000000000002</v>
      </c>
      <c r="R139">
        <f t="shared" si="6"/>
        <v>1</v>
      </c>
      <c r="S139">
        <f t="shared" si="6"/>
        <v>1</v>
      </c>
      <c r="T139">
        <f t="shared" si="5"/>
        <v>1</v>
      </c>
      <c r="U139">
        <f t="shared" si="5"/>
        <v>1.0000000000000002</v>
      </c>
      <c r="V139">
        <f t="shared" si="5"/>
        <v>0.99999999999999989</v>
      </c>
      <c r="W139">
        <f t="shared" si="5"/>
        <v>1.0000000000000002</v>
      </c>
      <c r="X139">
        <f t="shared" si="5"/>
        <v>1</v>
      </c>
      <c r="Y139">
        <f t="shared" si="5"/>
        <v>0.99999999999999989</v>
      </c>
      <c r="Z139">
        <f t="shared" si="5"/>
        <v>1</v>
      </c>
      <c r="AA139">
        <f t="shared" si="5"/>
        <v>1</v>
      </c>
      <c r="AB139">
        <f t="shared" si="5"/>
        <v>1</v>
      </c>
      <c r="AC139">
        <f t="shared" si="5"/>
        <v>0.99999999999999989</v>
      </c>
      <c r="AD139">
        <f t="shared" si="5"/>
        <v>1</v>
      </c>
      <c r="AE139">
        <f t="shared" si="5"/>
        <v>1</v>
      </c>
      <c r="AF139">
        <f t="shared" si="5"/>
        <v>1</v>
      </c>
      <c r="AG139">
        <f t="shared" si="5"/>
        <v>0.99999999999999989</v>
      </c>
      <c r="AH139">
        <f t="shared" si="5"/>
        <v>1</v>
      </c>
      <c r="AI139">
        <f t="shared" si="5"/>
        <v>0.99999999999999989</v>
      </c>
      <c r="AJ139">
        <f t="shared" si="5"/>
        <v>1</v>
      </c>
      <c r="AK139">
        <f t="shared" si="5"/>
        <v>0.99999999999999989</v>
      </c>
      <c r="AL139">
        <f t="shared" si="5"/>
        <v>1</v>
      </c>
      <c r="AM139">
        <f t="shared" si="5"/>
        <v>1</v>
      </c>
    </row>
    <row r="140" spans="2:39">
      <c r="C140">
        <v>2020</v>
      </c>
      <c r="D140">
        <f t="shared" si="6"/>
        <v>1</v>
      </c>
      <c r="E140">
        <f t="shared" si="5"/>
        <v>1</v>
      </c>
      <c r="F140">
        <f t="shared" si="5"/>
        <v>1</v>
      </c>
      <c r="G140">
        <f t="shared" si="5"/>
        <v>0.99999999999999989</v>
      </c>
      <c r="H140">
        <f t="shared" si="5"/>
        <v>1</v>
      </c>
      <c r="I140">
        <f t="shared" si="5"/>
        <v>1</v>
      </c>
      <c r="J140">
        <f t="shared" si="5"/>
        <v>1</v>
      </c>
      <c r="K140">
        <f t="shared" si="5"/>
        <v>1</v>
      </c>
      <c r="L140">
        <f t="shared" si="5"/>
        <v>0.99999999999999989</v>
      </c>
      <c r="M140">
        <f t="shared" si="5"/>
        <v>0.99999999999999989</v>
      </c>
      <c r="N140">
        <f t="shared" si="5"/>
        <v>1</v>
      </c>
      <c r="O140">
        <f t="shared" si="5"/>
        <v>1</v>
      </c>
      <c r="P140">
        <f t="shared" si="5"/>
        <v>1</v>
      </c>
      <c r="Q140">
        <f t="shared" si="5"/>
        <v>1.0000000000000002</v>
      </c>
      <c r="R140">
        <f t="shared" si="5"/>
        <v>0.99999999999999989</v>
      </c>
      <c r="S140">
        <f t="shared" si="5"/>
        <v>1</v>
      </c>
      <c r="T140">
        <f t="shared" si="5"/>
        <v>0.99999999999999989</v>
      </c>
      <c r="U140">
        <f t="shared" si="5"/>
        <v>0.99999999999999989</v>
      </c>
      <c r="V140">
        <f t="shared" si="5"/>
        <v>1</v>
      </c>
      <c r="W140">
        <f t="shared" si="5"/>
        <v>1</v>
      </c>
      <c r="X140">
        <f t="shared" si="5"/>
        <v>1</v>
      </c>
      <c r="Y140">
        <f t="shared" si="5"/>
        <v>1</v>
      </c>
      <c r="Z140">
        <f t="shared" si="5"/>
        <v>1</v>
      </c>
      <c r="AA140">
        <f t="shared" si="5"/>
        <v>1</v>
      </c>
      <c r="AB140">
        <f t="shared" si="5"/>
        <v>1</v>
      </c>
      <c r="AC140">
        <f t="shared" si="5"/>
        <v>1</v>
      </c>
      <c r="AD140">
        <f t="shared" si="5"/>
        <v>1</v>
      </c>
      <c r="AE140">
        <f t="shared" si="5"/>
        <v>0.99999999999999989</v>
      </c>
      <c r="AF140">
        <f t="shared" si="5"/>
        <v>1.0000000000000002</v>
      </c>
      <c r="AG140">
        <f t="shared" si="5"/>
        <v>1</v>
      </c>
      <c r="AH140">
        <f t="shared" si="5"/>
        <v>1</v>
      </c>
      <c r="AI140">
        <f t="shared" si="5"/>
        <v>0.99999999999999989</v>
      </c>
      <c r="AJ140">
        <f t="shared" si="5"/>
        <v>0.99999999999999989</v>
      </c>
      <c r="AK140">
        <f t="shared" si="5"/>
        <v>1.0000000000000002</v>
      </c>
      <c r="AL140">
        <f t="shared" si="5"/>
        <v>0.99999999999999989</v>
      </c>
      <c r="AM140">
        <f t="shared" si="5"/>
        <v>1</v>
      </c>
    </row>
    <row r="141" spans="2:39">
      <c r="C141">
        <v>2030</v>
      </c>
      <c r="D141">
        <f t="shared" si="6"/>
        <v>0.99999999999999989</v>
      </c>
      <c r="E141">
        <f t="shared" si="5"/>
        <v>1</v>
      </c>
      <c r="F141">
        <f t="shared" si="5"/>
        <v>1</v>
      </c>
      <c r="G141">
        <f t="shared" si="5"/>
        <v>1</v>
      </c>
      <c r="H141">
        <f t="shared" si="5"/>
        <v>1</v>
      </c>
      <c r="I141">
        <f t="shared" si="5"/>
        <v>1</v>
      </c>
      <c r="J141">
        <f t="shared" si="5"/>
        <v>1</v>
      </c>
      <c r="K141">
        <f t="shared" si="5"/>
        <v>1</v>
      </c>
      <c r="L141">
        <f t="shared" si="5"/>
        <v>0.99999999999999989</v>
      </c>
      <c r="M141">
        <f t="shared" si="5"/>
        <v>0.99999999999999989</v>
      </c>
      <c r="N141">
        <f t="shared" si="5"/>
        <v>1</v>
      </c>
      <c r="O141">
        <f t="shared" si="5"/>
        <v>1</v>
      </c>
      <c r="P141">
        <f t="shared" si="5"/>
        <v>1</v>
      </c>
      <c r="Q141">
        <f t="shared" si="5"/>
        <v>0.99999999999999989</v>
      </c>
      <c r="R141">
        <f t="shared" si="5"/>
        <v>0.99999999999999989</v>
      </c>
      <c r="S141">
        <f t="shared" si="5"/>
        <v>1</v>
      </c>
      <c r="T141">
        <f t="shared" si="5"/>
        <v>1</v>
      </c>
      <c r="U141">
        <f t="shared" si="5"/>
        <v>1</v>
      </c>
      <c r="V141">
        <f t="shared" si="5"/>
        <v>1</v>
      </c>
      <c r="W141">
        <f t="shared" si="5"/>
        <v>0.99999999999999989</v>
      </c>
      <c r="X141">
        <f t="shared" si="5"/>
        <v>0.99999999999999978</v>
      </c>
      <c r="Y141">
        <f t="shared" si="5"/>
        <v>1</v>
      </c>
      <c r="Z141">
        <f t="shared" si="5"/>
        <v>1.0000000000000002</v>
      </c>
      <c r="AA141">
        <f t="shared" si="5"/>
        <v>1</v>
      </c>
      <c r="AB141">
        <f t="shared" si="5"/>
        <v>1</v>
      </c>
      <c r="AC141">
        <f t="shared" si="5"/>
        <v>0.99999999999999989</v>
      </c>
      <c r="AD141">
        <f t="shared" si="5"/>
        <v>1</v>
      </c>
      <c r="AE141">
        <f t="shared" si="5"/>
        <v>1.0000000000000002</v>
      </c>
      <c r="AF141">
        <f t="shared" si="5"/>
        <v>1</v>
      </c>
      <c r="AG141">
        <f t="shared" si="5"/>
        <v>1</v>
      </c>
      <c r="AH141">
        <f t="shared" si="5"/>
        <v>1</v>
      </c>
      <c r="AI141">
        <f t="shared" si="5"/>
        <v>0.99999999999999989</v>
      </c>
      <c r="AJ141">
        <f t="shared" si="5"/>
        <v>1</v>
      </c>
      <c r="AK141">
        <f t="shared" si="5"/>
        <v>1</v>
      </c>
      <c r="AL141">
        <f t="shared" si="5"/>
        <v>1</v>
      </c>
      <c r="AM141">
        <f t="shared" si="5"/>
        <v>1</v>
      </c>
    </row>
    <row r="142" spans="2:39">
      <c r="C142">
        <v>2040</v>
      </c>
      <c r="D142">
        <f t="shared" si="6"/>
        <v>1</v>
      </c>
      <c r="E142">
        <f t="shared" si="5"/>
        <v>1</v>
      </c>
      <c r="F142">
        <f t="shared" si="5"/>
        <v>1</v>
      </c>
      <c r="G142">
        <f t="shared" si="5"/>
        <v>0.99999999999999989</v>
      </c>
      <c r="H142">
        <f t="shared" si="5"/>
        <v>1</v>
      </c>
      <c r="I142">
        <f t="shared" si="5"/>
        <v>0.99999999999999989</v>
      </c>
      <c r="J142">
        <f t="shared" si="5"/>
        <v>1</v>
      </c>
      <c r="K142">
        <f t="shared" si="5"/>
        <v>1</v>
      </c>
      <c r="L142">
        <f t="shared" si="5"/>
        <v>0.99999999999999989</v>
      </c>
      <c r="M142">
        <f t="shared" si="5"/>
        <v>0.99999999999999989</v>
      </c>
      <c r="N142">
        <f t="shared" si="5"/>
        <v>1</v>
      </c>
      <c r="O142">
        <f t="shared" si="5"/>
        <v>1</v>
      </c>
      <c r="P142">
        <f t="shared" si="5"/>
        <v>1</v>
      </c>
      <c r="Q142">
        <f t="shared" si="5"/>
        <v>1</v>
      </c>
      <c r="R142">
        <f t="shared" si="5"/>
        <v>1</v>
      </c>
      <c r="S142">
        <f t="shared" si="5"/>
        <v>1</v>
      </c>
      <c r="T142">
        <f t="shared" si="5"/>
        <v>1</v>
      </c>
      <c r="U142">
        <f t="shared" si="5"/>
        <v>1</v>
      </c>
      <c r="V142">
        <f t="shared" si="5"/>
        <v>1</v>
      </c>
      <c r="W142">
        <f t="shared" si="5"/>
        <v>1</v>
      </c>
      <c r="X142">
        <f t="shared" si="5"/>
        <v>1.0000000000000002</v>
      </c>
      <c r="Y142">
        <f t="shared" si="5"/>
        <v>1</v>
      </c>
      <c r="Z142">
        <f t="shared" si="5"/>
        <v>1</v>
      </c>
      <c r="AA142">
        <f t="shared" si="5"/>
        <v>1</v>
      </c>
      <c r="AB142">
        <f t="shared" si="5"/>
        <v>1</v>
      </c>
      <c r="AC142">
        <f t="shared" si="5"/>
        <v>0.99999999999999978</v>
      </c>
      <c r="AD142">
        <f t="shared" si="5"/>
        <v>0.99999999999999989</v>
      </c>
      <c r="AE142">
        <f t="shared" si="5"/>
        <v>1</v>
      </c>
      <c r="AF142">
        <f t="shared" si="5"/>
        <v>1</v>
      </c>
      <c r="AG142">
        <f t="shared" si="5"/>
        <v>1</v>
      </c>
      <c r="AH142">
        <f t="shared" si="5"/>
        <v>1</v>
      </c>
      <c r="AI142">
        <f t="shared" si="5"/>
        <v>1</v>
      </c>
      <c r="AJ142">
        <f t="shared" si="5"/>
        <v>1</v>
      </c>
      <c r="AK142">
        <f t="shared" si="5"/>
        <v>1.0000000000000002</v>
      </c>
      <c r="AL142">
        <f t="shared" si="5"/>
        <v>1</v>
      </c>
      <c r="AM142">
        <f t="shared" si="5"/>
        <v>1</v>
      </c>
    </row>
    <row r="143" spans="2:39">
      <c r="C143">
        <v>2050</v>
      </c>
      <c r="D143">
        <f t="shared" si="6"/>
        <v>1</v>
      </c>
      <c r="E143">
        <f t="shared" si="5"/>
        <v>1</v>
      </c>
      <c r="F143">
        <f t="shared" si="5"/>
        <v>1</v>
      </c>
      <c r="G143">
        <f t="shared" si="5"/>
        <v>1</v>
      </c>
      <c r="H143">
        <f t="shared" si="5"/>
        <v>1</v>
      </c>
      <c r="I143">
        <f t="shared" si="5"/>
        <v>0.99999999999999989</v>
      </c>
      <c r="J143">
        <f t="shared" si="5"/>
        <v>1</v>
      </c>
      <c r="K143">
        <f t="shared" si="5"/>
        <v>1</v>
      </c>
      <c r="L143">
        <f t="shared" si="5"/>
        <v>1</v>
      </c>
      <c r="M143">
        <f t="shared" si="5"/>
        <v>1</v>
      </c>
      <c r="N143">
        <f t="shared" si="5"/>
        <v>1</v>
      </c>
      <c r="O143">
        <f t="shared" si="5"/>
        <v>0.99999999999999989</v>
      </c>
      <c r="P143">
        <f t="shared" si="5"/>
        <v>1</v>
      </c>
      <c r="Q143">
        <f t="shared" si="5"/>
        <v>1</v>
      </c>
      <c r="R143">
        <f t="shared" si="5"/>
        <v>1</v>
      </c>
      <c r="S143">
        <f t="shared" si="5"/>
        <v>0.99999999999999989</v>
      </c>
      <c r="T143">
        <f t="shared" si="5"/>
        <v>1</v>
      </c>
      <c r="U143">
        <f t="shared" si="5"/>
        <v>0.99999999999999989</v>
      </c>
      <c r="V143">
        <f t="shared" si="5"/>
        <v>1</v>
      </c>
      <c r="W143">
        <f t="shared" si="5"/>
        <v>1</v>
      </c>
      <c r="X143">
        <f t="shared" si="5"/>
        <v>1</v>
      </c>
      <c r="Y143">
        <f t="shared" si="5"/>
        <v>0.99999999999999989</v>
      </c>
      <c r="Z143">
        <f t="shared" si="5"/>
        <v>1</v>
      </c>
      <c r="AA143">
        <f t="shared" si="5"/>
        <v>1</v>
      </c>
      <c r="AB143">
        <f t="shared" si="5"/>
        <v>0.99999999999999989</v>
      </c>
      <c r="AC143">
        <f t="shared" si="5"/>
        <v>1</v>
      </c>
      <c r="AD143">
        <f t="shared" si="5"/>
        <v>1</v>
      </c>
      <c r="AE143">
        <f t="shared" si="5"/>
        <v>0.99999999999999989</v>
      </c>
      <c r="AF143">
        <f t="shared" si="5"/>
        <v>1</v>
      </c>
      <c r="AG143">
        <f t="shared" si="5"/>
        <v>0.99999999999999978</v>
      </c>
      <c r="AH143">
        <f t="shared" si="5"/>
        <v>1.0000000000000002</v>
      </c>
      <c r="AI143">
        <f t="shared" si="5"/>
        <v>1</v>
      </c>
      <c r="AJ143">
        <f t="shared" si="5"/>
        <v>1</v>
      </c>
      <c r="AK143">
        <f t="shared" si="5"/>
        <v>1</v>
      </c>
      <c r="AL143">
        <f t="shared" si="5"/>
        <v>1</v>
      </c>
      <c r="AM143">
        <f t="shared" si="5"/>
        <v>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 tint="0.59999389629810485"/>
  </sheetPr>
  <dimension ref="A1:AM52"/>
  <sheetViews>
    <sheetView tabSelected="1" topLeftCell="A4" zoomScale="85" zoomScaleNormal="85" workbookViewId="0">
      <selection activeCell="M9" sqref="M9"/>
    </sheetView>
  </sheetViews>
  <sheetFormatPr defaultRowHeight="15"/>
  <cols>
    <col min="2" max="2" width="17.7109375" customWidth="1"/>
    <col min="3" max="3" width="14.28515625" bestFit="1" customWidth="1"/>
    <col min="4" max="4" width="10.28515625" bestFit="1" customWidth="1"/>
    <col min="5" max="5" width="12.42578125" bestFit="1" customWidth="1"/>
    <col min="6" max="6" width="17.42578125" bestFit="1" customWidth="1"/>
    <col min="7" max="7" width="23.140625" bestFit="1" customWidth="1"/>
    <col min="8" max="8" width="14.85546875" bestFit="1" customWidth="1"/>
    <col min="9" max="9" width="13" bestFit="1" customWidth="1"/>
    <col min="10" max="10" width="10.28515625" bestFit="1" customWidth="1"/>
    <col min="11" max="11" width="10.7109375" bestFit="1" customWidth="1"/>
    <col min="12" max="15" width="14.85546875" bestFit="1" customWidth="1"/>
    <col min="16" max="16" width="14.5703125" bestFit="1" customWidth="1"/>
    <col min="17" max="17" width="19.140625" bestFit="1" customWidth="1"/>
    <col min="22" max="22" width="17.42578125" customWidth="1"/>
    <col min="23" max="23" width="13.5703125" customWidth="1"/>
    <col min="30" max="30" width="11.7109375" bestFit="1" customWidth="1"/>
  </cols>
  <sheetData>
    <row r="1" spans="1:38">
      <c r="A1" s="20" t="s">
        <v>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33"/>
      <c r="M1" s="21"/>
      <c r="N1" s="21"/>
      <c r="O1" s="21"/>
      <c r="P1" s="21"/>
      <c r="Q1" s="21"/>
      <c r="R1" s="21"/>
      <c r="S1" s="22"/>
    </row>
    <row r="2" spans="1:38">
      <c r="A2" s="23"/>
      <c r="B2" s="89" t="s">
        <v>155</v>
      </c>
      <c r="C2" s="89"/>
      <c r="D2" s="89"/>
      <c r="E2" s="89"/>
      <c r="F2" s="89"/>
      <c r="G2" s="89"/>
      <c r="H2" s="89"/>
      <c r="L2" s="6"/>
      <c r="S2" s="24"/>
    </row>
    <row r="3" spans="1:38">
      <c r="A3" s="23"/>
      <c r="B3" s="89"/>
      <c r="C3" s="89"/>
      <c r="D3" s="89"/>
      <c r="E3" s="89"/>
      <c r="F3" s="89"/>
      <c r="G3" s="89"/>
      <c r="H3" s="89" t="s">
        <v>77</v>
      </c>
      <c r="L3" s="6"/>
    </row>
    <row r="4" spans="1:38" s="4" customFormat="1" ht="26.25" thickBot="1">
      <c r="A4" s="25"/>
      <c r="B4" s="34" t="s">
        <v>78</v>
      </c>
      <c r="C4" s="34" t="s">
        <v>39</v>
      </c>
      <c r="D4" s="34" t="s">
        <v>103</v>
      </c>
      <c r="E4" s="34" t="s">
        <v>102</v>
      </c>
      <c r="F4" s="34" t="s">
        <v>2</v>
      </c>
      <c r="G4" s="34" t="s">
        <v>3</v>
      </c>
      <c r="H4" s="34" t="s">
        <v>1</v>
      </c>
      <c r="I4" s="34" t="s">
        <v>79</v>
      </c>
      <c r="J4" s="34" t="s">
        <v>80</v>
      </c>
      <c r="K4" s="34" t="s">
        <v>81</v>
      </c>
      <c r="L4" s="34" t="s">
        <v>111</v>
      </c>
      <c r="M4" s="34" t="s">
        <v>164</v>
      </c>
      <c r="N4" s="34" t="s">
        <v>83</v>
      </c>
      <c r="O4" s="34" t="s">
        <v>84</v>
      </c>
      <c r="P4" s="34" t="s">
        <v>85</v>
      </c>
      <c r="Q4" s="34" t="s">
        <v>86</v>
      </c>
      <c r="R4" s="34" t="s">
        <v>112</v>
      </c>
      <c r="S4" s="34" t="s">
        <v>82</v>
      </c>
      <c r="T4" s="34"/>
      <c r="V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 s="23"/>
      <c r="B5" t="s">
        <v>88</v>
      </c>
      <c r="C5" t="s">
        <v>89</v>
      </c>
      <c r="G5" s="26" t="s">
        <v>87</v>
      </c>
      <c r="H5" t="s">
        <v>40</v>
      </c>
      <c r="K5">
        <v>1</v>
      </c>
      <c r="L5" s="6">
        <v>6573.7051792828679</v>
      </c>
      <c r="M5" s="6">
        <v>6573.7051792828679</v>
      </c>
      <c r="N5" s="6">
        <v>6573.7051792828679</v>
      </c>
      <c r="O5" s="6">
        <v>22788.844621513941</v>
      </c>
      <c r="P5" s="6">
        <v>22788.844621513941</v>
      </c>
      <c r="Q5" s="6">
        <v>22788.844621513941</v>
      </c>
      <c r="R5">
        <v>15</v>
      </c>
      <c r="S5" t="s">
        <v>88</v>
      </c>
      <c r="T5" s="24"/>
    </row>
    <row r="6" spans="1:38">
      <c r="A6" s="23"/>
      <c r="B6" t="s">
        <v>92</v>
      </c>
      <c r="C6" t="s">
        <v>93</v>
      </c>
      <c r="G6" s="26" t="s">
        <v>87</v>
      </c>
      <c r="H6" t="s">
        <v>40</v>
      </c>
      <c r="K6">
        <v>1</v>
      </c>
      <c r="L6" s="6">
        <v>7012.9870129870133</v>
      </c>
      <c r="M6" s="6">
        <v>7012.9870129870133</v>
      </c>
      <c r="N6" s="6">
        <v>7012.9870129870133</v>
      </c>
      <c r="O6" s="6">
        <v>12181.818181818182</v>
      </c>
      <c r="P6" s="6">
        <v>12181.818181818182</v>
      </c>
      <c r="Q6" s="6">
        <v>12181.818181818182</v>
      </c>
      <c r="R6">
        <v>15</v>
      </c>
      <c r="S6" t="s">
        <v>92</v>
      </c>
      <c r="T6" s="24"/>
    </row>
    <row r="7" spans="1:38" ht="15.75" thickBot="1">
      <c r="A7" s="27"/>
      <c r="B7" s="8" t="s">
        <v>90</v>
      </c>
      <c r="C7" s="8" t="s">
        <v>114</v>
      </c>
      <c r="D7" s="8"/>
      <c r="E7" s="8"/>
      <c r="F7" s="8"/>
      <c r="G7" s="28" t="s">
        <v>87</v>
      </c>
      <c r="H7" s="8" t="s">
        <v>40</v>
      </c>
      <c r="I7" s="8"/>
      <c r="J7" s="8"/>
      <c r="K7" s="8">
        <v>1</v>
      </c>
      <c r="L7" s="32">
        <v>283</v>
      </c>
      <c r="M7" s="32">
        <v>283</v>
      </c>
      <c r="N7" s="8">
        <v>283</v>
      </c>
      <c r="O7" s="8">
        <v>517</v>
      </c>
      <c r="P7" s="8">
        <v>517</v>
      </c>
      <c r="Q7" s="8">
        <v>517</v>
      </c>
      <c r="R7" s="8">
        <v>15</v>
      </c>
      <c r="S7" s="8" t="s">
        <v>90</v>
      </c>
      <c r="T7" s="29"/>
      <c r="W7" s="10"/>
      <c r="X7" s="10"/>
      <c r="Y7" s="10"/>
      <c r="Z7" s="10"/>
    </row>
    <row r="8" spans="1:38">
      <c r="G8" s="26"/>
      <c r="L8" s="6"/>
      <c r="W8" s="10"/>
      <c r="X8" s="10"/>
      <c r="Y8" s="10"/>
      <c r="Z8" s="10"/>
    </row>
    <row r="9" spans="1:38">
      <c r="B9" s="82" t="s">
        <v>106</v>
      </c>
    </row>
    <row r="10" spans="1:38" ht="15.75" thickBot="1">
      <c r="B10" s="34" t="s">
        <v>0</v>
      </c>
      <c r="C10" s="34" t="s">
        <v>104</v>
      </c>
      <c r="D10" s="34" t="s">
        <v>1</v>
      </c>
      <c r="E10" s="34" t="s">
        <v>2</v>
      </c>
      <c r="F10" s="34" t="s">
        <v>3</v>
      </c>
      <c r="G10" s="34" t="s">
        <v>39</v>
      </c>
      <c r="H10" s="34" t="s">
        <v>4</v>
      </c>
      <c r="K10" t="s">
        <v>101</v>
      </c>
      <c r="L10" s="78" t="s">
        <v>165</v>
      </c>
      <c r="M10" s="78" t="s">
        <v>101</v>
      </c>
      <c r="AE10" s="31"/>
      <c r="AF10" s="31"/>
      <c r="AG10" s="31"/>
      <c r="AH10" s="31"/>
      <c r="AI10" s="31"/>
    </row>
    <row r="11" spans="1:38">
      <c r="C11" t="s">
        <v>105</v>
      </c>
      <c r="E11" t="s">
        <v>45</v>
      </c>
      <c r="F11" s="39" t="s">
        <v>113</v>
      </c>
      <c r="G11" t="s">
        <v>89</v>
      </c>
      <c r="H11" s="38">
        <v>0.8826072727272728</v>
      </c>
      <c r="K11">
        <v>35.163636363636364</v>
      </c>
      <c r="L11" s="78">
        <v>26.8</v>
      </c>
      <c r="M11" s="97">
        <f>H11/L11*1000</f>
        <v>32.933107191316147</v>
      </c>
      <c r="AE11" s="31"/>
      <c r="AF11" s="31"/>
      <c r="AG11" s="31"/>
      <c r="AH11" s="31"/>
      <c r="AI11" s="31"/>
    </row>
    <row r="12" spans="1:38">
      <c r="C12" t="s">
        <v>105</v>
      </c>
      <c r="E12" t="s">
        <v>45</v>
      </c>
      <c r="F12" s="19" t="s">
        <v>91</v>
      </c>
      <c r="G12" t="s">
        <v>89</v>
      </c>
      <c r="H12" s="38">
        <v>0.67010856643356653</v>
      </c>
      <c r="K12">
        <v>92.551515151515162</v>
      </c>
      <c r="L12" s="78">
        <v>26.8</v>
      </c>
      <c r="M12" s="97">
        <f t="shared" ref="M12:M14" si="0">H12/L12*1000</f>
        <v>25.004050986327112</v>
      </c>
      <c r="AE12" s="31"/>
      <c r="AF12" s="31"/>
      <c r="AG12" s="31"/>
      <c r="AH12" s="31"/>
      <c r="AI12" s="31"/>
    </row>
    <row r="13" spans="1:38">
      <c r="C13" t="s">
        <v>105</v>
      </c>
      <c r="E13" t="s">
        <v>45</v>
      </c>
      <c r="F13" s="19" t="s">
        <v>113</v>
      </c>
      <c r="G13" t="s">
        <v>93</v>
      </c>
      <c r="H13" s="98">
        <f>0.531813333333333*1.2</f>
        <v>0.63817599999999963</v>
      </c>
      <c r="K13">
        <v>13.813333333333333</v>
      </c>
      <c r="L13" s="78">
        <v>37.4</v>
      </c>
      <c r="M13" s="97">
        <f t="shared" si="0"/>
        <v>17.063529411764698</v>
      </c>
    </row>
    <row r="14" spans="1:38">
      <c r="C14" t="s">
        <v>105</v>
      </c>
      <c r="E14" t="s">
        <v>45</v>
      </c>
      <c r="F14" s="19" t="s">
        <v>91</v>
      </c>
      <c r="G14" t="s">
        <v>93</v>
      </c>
      <c r="H14" s="98">
        <f>0.472146268656716*1.22</f>
        <v>0.57601844776119349</v>
      </c>
      <c r="K14">
        <v>21.302222222222223</v>
      </c>
      <c r="L14" s="78">
        <v>37.4</v>
      </c>
      <c r="M14" s="97">
        <f t="shared" si="0"/>
        <v>15.401562774363462</v>
      </c>
    </row>
    <row r="15" spans="1:38">
      <c r="C15" t="s">
        <v>105</v>
      </c>
      <c r="E15" t="s">
        <v>45</v>
      </c>
      <c r="F15" s="19" t="s">
        <v>113</v>
      </c>
      <c r="G15" t="s">
        <v>114</v>
      </c>
      <c r="H15" s="38">
        <v>7.0939929328621911</v>
      </c>
      <c r="K15">
        <v>7.0939929328621911</v>
      </c>
      <c r="AE15" s="31"/>
      <c r="AF15" s="31"/>
      <c r="AG15" s="31"/>
      <c r="AH15" s="31"/>
      <c r="AI15" s="31"/>
    </row>
    <row r="16" spans="1:38">
      <c r="C16" t="s">
        <v>105</v>
      </c>
      <c r="E16" t="s">
        <v>45</v>
      </c>
      <c r="F16" s="19" t="s">
        <v>91</v>
      </c>
      <c r="G16" t="s">
        <v>114</v>
      </c>
      <c r="H16" s="38">
        <v>7.0123791102514517</v>
      </c>
      <c r="K16">
        <v>12.81060070671378</v>
      </c>
      <c r="U16" s="30"/>
      <c r="V16" s="30"/>
      <c r="W16" s="30"/>
      <c r="X16" s="30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</row>
    <row r="17" spans="2:39">
      <c r="U17" s="30"/>
      <c r="V17" s="30"/>
      <c r="W17" s="30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</row>
    <row r="18" spans="2:39">
      <c r="W18" s="30"/>
      <c r="X18" s="30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</row>
    <row r="19" spans="2:39">
      <c r="B19" t="s">
        <v>123</v>
      </c>
      <c r="I19" s="78"/>
      <c r="J19" s="78"/>
      <c r="K19" s="78"/>
      <c r="L19" s="78"/>
      <c r="M19" s="78"/>
      <c r="N19" s="78"/>
      <c r="O19" s="78"/>
      <c r="P19" s="78"/>
      <c r="T19" s="79"/>
      <c r="U19" s="79"/>
      <c r="V19" s="79"/>
      <c r="W19" s="30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</row>
    <row r="20" spans="2:39">
      <c r="I20" s="80"/>
      <c r="J20" s="80"/>
      <c r="K20" s="80"/>
      <c r="L20" s="80"/>
      <c r="M20" s="80"/>
      <c r="N20" s="80"/>
      <c r="O20" s="80"/>
      <c r="P20" s="81"/>
      <c r="W20" s="30"/>
      <c r="X20" s="30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 spans="2:39">
      <c r="B21" s="75" t="s">
        <v>106</v>
      </c>
      <c r="C21" s="75"/>
      <c r="I21" s="80"/>
      <c r="J21" s="80"/>
      <c r="K21" s="80"/>
      <c r="L21" s="80"/>
      <c r="M21" s="80"/>
      <c r="N21" s="80"/>
      <c r="O21" s="80"/>
      <c r="P21" s="81"/>
      <c r="W21" s="30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</row>
    <row r="22" spans="2:39">
      <c r="B22" s="74" t="s">
        <v>2</v>
      </c>
      <c r="C22" s="74" t="s">
        <v>1</v>
      </c>
      <c r="D22" s="73" t="s">
        <v>3</v>
      </c>
      <c r="E22" s="72" t="s">
        <v>16</v>
      </c>
      <c r="F22" s="72" t="s">
        <v>35</v>
      </c>
      <c r="G22" s="76" t="s">
        <v>39</v>
      </c>
      <c r="H22" s="76" t="s">
        <v>110</v>
      </c>
      <c r="I22" s="80"/>
      <c r="J22" s="80">
        <f>J23/1000/1000</f>
        <v>4.6045230000000004</v>
      </c>
      <c r="K22" s="80"/>
      <c r="L22" s="80"/>
      <c r="M22" s="80"/>
      <c r="N22" s="80"/>
      <c r="O22" s="80"/>
      <c r="P22" s="81"/>
      <c r="W22" s="30"/>
      <c r="X22" s="30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 spans="2:39">
      <c r="B23" s="67" t="s">
        <v>41</v>
      </c>
      <c r="C23" s="68" t="s">
        <v>40</v>
      </c>
      <c r="D23" s="68">
        <v>2025</v>
      </c>
      <c r="E23" s="66">
        <v>15</v>
      </c>
      <c r="F23" s="68">
        <v>40</v>
      </c>
      <c r="G23" s="67" t="s">
        <v>122</v>
      </c>
      <c r="H23" s="67"/>
      <c r="I23" s="80"/>
      <c r="J23" s="80">
        <f>J25*J24</f>
        <v>4604523</v>
      </c>
      <c r="K23" s="80" t="s">
        <v>163</v>
      </c>
      <c r="L23" s="80"/>
      <c r="M23" s="80"/>
      <c r="N23" s="80"/>
      <c r="O23" s="80"/>
      <c r="P23" s="81"/>
      <c r="W23" s="30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</row>
    <row r="24" spans="2:39">
      <c r="B24" s="67" t="s">
        <v>41</v>
      </c>
      <c r="C24" s="68" t="s">
        <v>40</v>
      </c>
      <c r="D24" s="68">
        <v>2035</v>
      </c>
      <c r="E24" s="66">
        <v>10</v>
      </c>
      <c r="F24" s="68">
        <v>40</v>
      </c>
      <c r="G24" s="67" t="s">
        <v>122</v>
      </c>
      <c r="H24" s="67"/>
      <c r="J24" s="96">
        <v>42</v>
      </c>
      <c r="K24" t="s">
        <v>162</v>
      </c>
      <c r="U24" s="30"/>
      <c r="V24" s="30"/>
      <c r="W24" s="30"/>
      <c r="X24" s="30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 spans="2:39">
      <c r="B25" s="67" t="s">
        <v>41</v>
      </c>
      <c r="C25" s="68" t="s">
        <v>40</v>
      </c>
      <c r="D25" s="68">
        <v>0</v>
      </c>
      <c r="E25" s="66">
        <v>5</v>
      </c>
      <c r="F25" s="68">
        <v>40</v>
      </c>
      <c r="G25" s="67" t="s">
        <v>122</v>
      </c>
      <c r="H25" s="67"/>
      <c r="J25">
        <f>J26*J27</f>
        <v>109631.5</v>
      </c>
      <c r="K25" t="s">
        <v>161</v>
      </c>
      <c r="U25" s="30"/>
      <c r="V25" s="30"/>
      <c r="W25" s="30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</row>
    <row r="26" spans="2:39">
      <c r="B26" s="71"/>
      <c r="C26" s="70"/>
      <c r="D26" s="70"/>
      <c r="E26" s="69"/>
      <c r="F26" s="70"/>
      <c r="G26" s="71"/>
      <c r="H26" s="71"/>
      <c r="J26" s="96">
        <v>0.32150000000000001</v>
      </c>
      <c r="K26" t="s">
        <v>160</v>
      </c>
      <c r="U26" s="30"/>
      <c r="V26" s="30"/>
      <c r="W26" s="30"/>
      <c r="X26" s="30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spans="2:39">
      <c r="J27">
        <f>J28*1000</f>
        <v>341000</v>
      </c>
      <c r="K27" t="s">
        <v>159</v>
      </c>
      <c r="U27" s="30"/>
      <c r="V27" s="30"/>
      <c r="W27" s="30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spans="2:39">
      <c r="J28">
        <v>341</v>
      </c>
      <c r="K28" t="s">
        <v>158</v>
      </c>
      <c r="U28" s="30"/>
      <c r="V28" s="30"/>
      <c r="W28" s="30"/>
      <c r="X28" s="30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</row>
    <row r="29" spans="2:39">
      <c r="U29" s="30"/>
      <c r="V29" s="30"/>
      <c r="W29" s="30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</row>
    <row r="30" spans="2:39">
      <c r="B30" s="82" t="s">
        <v>106</v>
      </c>
    </row>
    <row r="31" spans="2:39" ht="15.75" thickBot="1">
      <c r="B31" s="1" t="s">
        <v>0</v>
      </c>
      <c r="C31" s="1" t="s">
        <v>104</v>
      </c>
      <c r="D31" s="1" t="s">
        <v>1</v>
      </c>
      <c r="E31" s="1" t="s">
        <v>2</v>
      </c>
      <c r="F31" s="1" t="s">
        <v>3</v>
      </c>
      <c r="G31" s="3" t="s">
        <v>39</v>
      </c>
      <c r="H31" s="2" t="s">
        <v>4</v>
      </c>
      <c r="I31" s="2" t="s">
        <v>6</v>
      </c>
      <c r="J31" s="2" t="s">
        <v>7</v>
      </c>
      <c r="K31" s="2" t="s">
        <v>8</v>
      </c>
      <c r="L31" s="2" t="s">
        <v>18</v>
      </c>
      <c r="M31" s="2" t="s">
        <v>10</v>
      </c>
      <c r="N31" s="2" t="s">
        <v>11</v>
      </c>
      <c r="O31" s="2" t="s">
        <v>13</v>
      </c>
      <c r="P31" s="2" t="s">
        <v>14</v>
      </c>
      <c r="Q31" s="2" t="s">
        <v>16</v>
      </c>
      <c r="R31" s="2" t="s">
        <v>17</v>
      </c>
      <c r="S31" s="2" t="s">
        <v>12</v>
      </c>
      <c r="T31" s="2" t="s">
        <v>98</v>
      </c>
      <c r="U31" s="2" t="s">
        <v>19</v>
      </c>
      <c r="V31" s="2" t="s">
        <v>20</v>
      </c>
      <c r="W31" s="2" t="s">
        <v>22</v>
      </c>
      <c r="X31" s="2" t="s">
        <v>25</v>
      </c>
      <c r="Y31" s="2" t="s">
        <v>23</v>
      </c>
      <c r="Z31" s="2" t="s">
        <v>24</v>
      </c>
      <c r="AA31" s="2" t="s">
        <v>28</v>
      </c>
      <c r="AB31" s="2" t="s">
        <v>29</v>
      </c>
      <c r="AC31" s="2" t="s">
        <v>31</v>
      </c>
      <c r="AD31" s="2" t="s">
        <v>32</v>
      </c>
      <c r="AE31" s="2" t="s">
        <v>33</v>
      </c>
      <c r="AF31" s="2" t="s">
        <v>37</v>
      </c>
      <c r="AG31" s="2" t="s">
        <v>36</v>
      </c>
      <c r="AH31" s="2" t="s">
        <v>15</v>
      </c>
      <c r="AI31" s="2" t="s">
        <v>35</v>
      </c>
      <c r="AJ31" s="2" t="s">
        <v>38</v>
      </c>
      <c r="AL31" s="47" t="s">
        <v>144</v>
      </c>
      <c r="AM31" s="47" t="s">
        <v>137</v>
      </c>
    </row>
    <row r="32" spans="2:39">
      <c r="B32" t="s">
        <v>42</v>
      </c>
      <c r="D32" t="s">
        <v>40</v>
      </c>
      <c r="E32" t="s">
        <v>41</v>
      </c>
      <c r="F32">
        <v>2010</v>
      </c>
      <c r="G32" t="str">
        <f>BioImport!$C$7</f>
        <v>IMPBIOWOO</v>
      </c>
      <c r="H32">
        <v>0</v>
      </c>
      <c r="I32" s="6">
        <v>0</v>
      </c>
      <c r="J32" s="6">
        <v>9.5</v>
      </c>
      <c r="K32" s="6">
        <v>0</v>
      </c>
      <c r="L32" s="6">
        <v>5</v>
      </c>
      <c r="M32" s="6">
        <v>0</v>
      </c>
      <c r="N32" s="6">
        <v>0</v>
      </c>
      <c r="O32" s="6">
        <v>30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30</v>
      </c>
      <c r="X32" s="6">
        <v>0</v>
      </c>
      <c r="Y32" s="6">
        <v>0</v>
      </c>
      <c r="Z32" s="6">
        <v>0</v>
      </c>
      <c r="AA32" s="6">
        <v>0</v>
      </c>
      <c r="AB32" s="6">
        <v>3</v>
      </c>
      <c r="AC32" s="6">
        <v>0</v>
      </c>
      <c r="AD32" s="6">
        <v>0</v>
      </c>
      <c r="AE32" s="6">
        <v>0</v>
      </c>
      <c r="AF32" s="6">
        <v>0</v>
      </c>
      <c r="AG32" s="6">
        <v>1</v>
      </c>
      <c r="AH32" s="6">
        <v>0</v>
      </c>
      <c r="AI32" s="6">
        <v>4</v>
      </c>
      <c r="AJ32" s="6">
        <v>73</v>
      </c>
      <c r="AL32" s="6">
        <f>SUM(I32:AJ32)</f>
        <v>156.5</v>
      </c>
      <c r="AM32" s="6">
        <f>AL32-AJ32</f>
        <v>83.5</v>
      </c>
    </row>
    <row r="33" spans="2:39">
      <c r="B33" t="s">
        <v>42</v>
      </c>
      <c r="D33" t="s">
        <v>40</v>
      </c>
      <c r="E33" t="s">
        <v>41</v>
      </c>
      <c r="F33">
        <v>2015</v>
      </c>
      <c r="G33" t="str">
        <f>BioImport!$C$7</f>
        <v>IMPBIOWOO</v>
      </c>
      <c r="H33">
        <v>0</v>
      </c>
      <c r="I33" s="6">
        <v>0</v>
      </c>
      <c r="J33" s="6">
        <v>9.5</v>
      </c>
      <c r="K33" s="6">
        <v>0</v>
      </c>
      <c r="L33" s="6">
        <v>5</v>
      </c>
      <c r="M33" s="6">
        <v>0</v>
      </c>
      <c r="N33" s="6">
        <v>0</v>
      </c>
      <c r="O33" s="6">
        <v>30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</v>
      </c>
      <c r="W33" s="6">
        <v>30</v>
      </c>
      <c r="X33" s="6">
        <v>0</v>
      </c>
      <c r="Y33" s="6">
        <v>0</v>
      </c>
      <c r="Z33" s="6">
        <v>0</v>
      </c>
      <c r="AA33" s="6">
        <v>0</v>
      </c>
      <c r="AB33" s="6">
        <v>3</v>
      </c>
      <c r="AC33" s="6">
        <v>0</v>
      </c>
      <c r="AD33" s="6">
        <v>0</v>
      </c>
      <c r="AE33" s="6">
        <v>0</v>
      </c>
      <c r="AF33" s="6">
        <v>0</v>
      </c>
      <c r="AG33" s="6">
        <v>1</v>
      </c>
      <c r="AH33" s="6">
        <v>0</v>
      </c>
      <c r="AI33" s="6">
        <v>4</v>
      </c>
      <c r="AJ33" s="6">
        <v>73</v>
      </c>
      <c r="AL33" s="6">
        <f>SUM(I33:AJ33)</f>
        <v>156.5</v>
      </c>
      <c r="AM33" s="6">
        <f>AL33-AJ33</f>
        <v>83.5</v>
      </c>
    </row>
    <row r="34" spans="2:39">
      <c r="B34" t="s">
        <v>42</v>
      </c>
      <c r="D34" t="s">
        <v>40</v>
      </c>
      <c r="E34" t="s">
        <v>41</v>
      </c>
      <c r="F34">
        <v>2020</v>
      </c>
      <c r="G34" t="str">
        <f>BioImport!$C$7</f>
        <v>IMPBIOWOO</v>
      </c>
      <c r="H34">
        <v>0</v>
      </c>
      <c r="I34" s="6">
        <v>0</v>
      </c>
      <c r="J34" s="6">
        <v>10</v>
      </c>
      <c r="K34" s="6">
        <v>0</v>
      </c>
      <c r="L34" s="6">
        <v>5</v>
      </c>
      <c r="M34" s="6">
        <v>0</v>
      </c>
      <c r="N34" s="6">
        <v>0</v>
      </c>
      <c r="O34" s="6">
        <v>32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1</v>
      </c>
      <c r="W34" s="6">
        <v>32</v>
      </c>
      <c r="X34" s="6">
        <v>0</v>
      </c>
      <c r="Y34" s="6">
        <v>0</v>
      </c>
      <c r="Z34" s="6">
        <v>0</v>
      </c>
      <c r="AA34" s="6">
        <v>0</v>
      </c>
      <c r="AB34" s="6">
        <v>3</v>
      </c>
      <c r="AC34" s="6">
        <v>0</v>
      </c>
      <c r="AD34" s="6">
        <v>0</v>
      </c>
      <c r="AE34" s="6">
        <v>0</v>
      </c>
      <c r="AF34" s="6">
        <v>0</v>
      </c>
      <c r="AG34" s="6">
        <v>1</v>
      </c>
      <c r="AH34" s="6">
        <v>0</v>
      </c>
      <c r="AI34" s="6">
        <v>4</v>
      </c>
      <c r="AJ34" s="6">
        <v>76</v>
      </c>
      <c r="AL34" s="6">
        <f t="shared" ref="AL34:AL36" si="1">SUM(I34:AJ34)</f>
        <v>164</v>
      </c>
      <c r="AM34" s="6">
        <f t="shared" ref="AM34:AM36" si="2">AL34-AJ34</f>
        <v>88</v>
      </c>
    </row>
    <row r="35" spans="2:39">
      <c r="B35" t="s">
        <v>42</v>
      </c>
      <c r="D35" t="s">
        <v>40</v>
      </c>
      <c r="E35" t="s">
        <v>41</v>
      </c>
      <c r="F35">
        <v>2025</v>
      </c>
      <c r="G35" t="str">
        <f>BioImport!$C$7</f>
        <v>IMPBIOWOO</v>
      </c>
      <c r="H35">
        <v>0</v>
      </c>
      <c r="I35" s="6">
        <v>0</v>
      </c>
      <c r="J35" s="6">
        <v>11</v>
      </c>
      <c r="K35" s="6">
        <v>0</v>
      </c>
      <c r="L35" s="6">
        <v>5</v>
      </c>
      <c r="M35" s="6">
        <v>0</v>
      </c>
      <c r="N35" s="6">
        <v>0</v>
      </c>
      <c r="O35" s="6">
        <v>34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34</v>
      </c>
      <c r="X35" s="6">
        <v>0</v>
      </c>
      <c r="Y35" s="6">
        <v>0</v>
      </c>
      <c r="Z35" s="6">
        <v>0</v>
      </c>
      <c r="AA35" s="6">
        <v>0</v>
      </c>
      <c r="AB35" s="6">
        <v>4</v>
      </c>
      <c r="AC35" s="6">
        <v>0</v>
      </c>
      <c r="AD35" s="6">
        <v>0</v>
      </c>
      <c r="AE35" s="6">
        <v>0</v>
      </c>
      <c r="AF35" s="6">
        <v>0</v>
      </c>
      <c r="AG35" s="6">
        <v>1</v>
      </c>
      <c r="AH35" s="6">
        <v>0</v>
      </c>
      <c r="AI35" s="6">
        <v>4</v>
      </c>
      <c r="AJ35" s="6">
        <v>79</v>
      </c>
      <c r="AL35" s="6">
        <f t="shared" si="1"/>
        <v>173</v>
      </c>
      <c r="AM35" s="6">
        <f t="shared" si="2"/>
        <v>94</v>
      </c>
    </row>
    <row r="36" spans="2:39">
      <c r="B36" t="s">
        <v>42</v>
      </c>
      <c r="D36" t="s">
        <v>40</v>
      </c>
      <c r="E36" t="s">
        <v>41</v>
      </c>
      <c r="F36">
        <v>2030</v>
      </c>
      <c r="G36" t="str">
        <f>BioImport!$C$7</f>
        <v>IMPBIOWOO</v>
      </c>
      <c r="H36">
        <v>0</v>
      </c>
      <c r="I36" s="6">
        <v>0</v>
      </c>
      <c r="J36" s="6">
        <v>12</v>
      </c>
      <c r="K36" s="6">
        <v>0</v>
      </c>
      <c r="L36" s="6">
        <v>5</v>
      </c>
      <c r="M36" s="6">
        <v>0</v>
      </c>
      <c r="N36" s="6">
        <v>0</v>
      </c>
      <c r="O36" s="6">
        <v>36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1</v>
      </c>
      <c r="W36" s="6">
        <v>36</v>
      </c>
      <c r="X36" s="6">
        <v>0</v>
      </c>
      <c r="Y36" s="6">
        <v>0</v>
      </c>
      <c r="Z36" s="6">
        <v>0</v>
      </c>
      <c r="AA36" s="6">
        <v>0</v>
      </c>
      <c r="AB36" s="6">
        <v>4</v>
      </c>
      <c r="AC36" s="6">
        <v>0</v>
      </c>
      <c r="AD36" s="6">
        <v>0</v>
      </c>
      <c r="AE36" s="6">
        <v>0</v>
      </c>
      <c r="AF36" s="6">
        <v>0</v>
      </c>
      <c r="AG36" s="6">
        <v>1</v>
      </c>
      <c r="AH36" s="6">
        <v>0</v>
      </c>
      <c r="AI36" s="6">
        <v>4</v>
      </c>
      <c r="AJ36" s="6">
        <v>83</v>
      </c>
      <c r="AL36" s="6">
        <f t="shared" si="1"/>
        <v>183</v>
      </c>
      <c r="AM36" s="6">
        <f t="shared" si="2"/>
        <v>100</v>
      </c>
    </row>
    <row r="37" spans="2:39">
      <c r="B37" t="s">
        <v>42</v>
      </c>
      <c r="D37" t="s">
        <v>40</v>
      </c>
      <c r="E37" t="s">
        <v>41</v>
      </c>
      <c r="F37">
        <v>0</v>
      </c>
      <c r="G37" t="s">
        <v>114</v>
      </c>
      <c r="H37">
        <v>5</v>
      </c>
    </row>
    <row r="39" spans="2:39">
      <c r="B39" s="82" t="s">
        <v>124</v>
      </c>
    </row>
    <row r="40" spans="2:39" ht="15.75" thickBot="1">
      <c r="B40" s="1" t="s">
        <v>2</v>
      </c>
      <c r="C40" s="1" t="s">
        <v>3</v>
      </c>
      <c r="D40" s="1" t="s">
        <v>125</v>
      </c>
      <c r="E40" s="2" t="s">
        <v>4</v>
      </c>
      <c r="F40" s="3" t="s">
        <v>39</v>
      </c>
      <c r="G40" s="3" t="s">
        <v>126</v>
      </c>
      <c r="H40" s="3" t="s">
        <v>127</v>
      </c>
      <c r="I40" s="3" t="s">
        <v>128</v>
      </c>
    </row>
    <row r="41" spans="2:39">
      <c r="B41" s="83" t="s">
        <v>45</v>
      </c>
      <c r="C41" s="84">
        <v>2015</v>
      </c>
      <c r="D41" s="83" t="s">
        <v>129</v>
      </c>
      <c r="E41" s="84" t="s">
        <v>130</v>
      </c>
      <c r="F41" s="83" t="s">
        <v>48</v>
      </c>
      <c r="G41" s="83" t="s">
        <v>131</v>
      </c>
      <c r="H41" s="83" t="s">
        <v>42</v>
      </c>
      <c r="I41" s="83" t="s">
        <v>132</v>
      </c>
    </row>
    <row r="42" spans="2:39">
      <c r="B42" s="83" t="s">
        <v>45</v>
      </c>
      <c r="C42" s="84">
        <v>2030</v>
      </c>
      <c r="D42" s="83" t="s">
        <v>129</v>
      </c>
      <c r="E42" s="84" t="s">
        <v>130</v>
      </c>
      <c r="F42" s="83" t="s">
        <v>48</v>
      </c>
      <c r="G42" s="83" t="s">
        <v>131</v>
      </c>
      <c r="H42" s="83" t="s">
        <v>42</v>
      </c>
      <c r="I42" s="83" t="s">
        <v>132</v>
      </c>
    </row>
    <row r="43" spans="2:39">
      <c r="B43" s="83" t="s">
        <v>45</v>
      </c>
      <c r="C43" s="84">
        <v>2040</v>
      </c>
      <c r="D43" s="83" t="s">
        <v>129</v>
      </c>
      <c r="E43" s="84" t="s">
        <v>130</v>
      </c>
      <c r="F43" s="83" t="s">
        <v>48</v>
      </c>
      <c r="G43" s="83" t="s">
        <v>131</v>
      </c>
      <c r="H43" s="83" t="s">
        <v>42</v>
      </c>
      <c r="I43" s="83" t="s">
        <v>132</v>
      </c>
    </row>
    <row r="44" spans="2:39">
      <c r="B44" s="83" t="s">
        <v>45</v>
      </c>
      <c r="C44" s="84">
        <v>2015</v>
      </c>
      <c r="D44" s="83" t="s">
        <v>129</v>
      </c>
      <c r="E44" s="84" t="s">
        <v>130</v>
      </c>
      <c r="F44" s="83" t="s">
        <v>47</v>
      </c>
      <c r="G44" s="83" t="s">
        <v>131</v>
      </c>
      <c r="H44" s="83" t="s">
        <v>42</v>
      </c>
      <c r="I44" s="83" t="s">
        <v>132</v>
      </c>
    </row>
    <row r="45" spans="2:39">
      <c r="B45" s="83" t="s">
        <v>45</v>
      </c>
      <c r="C45" s="84">
        <v>2030</v>
      </c>
      <c r="D45" s="83" t="s">
        <v>129</v>
      </c>
      <c r="E45" s="84" t="s">
        <v>130</v>
      </c>
      <c r="F45" s="83" t="s">
        <v>47</v>
      </c>
      <c r="G45" s="83" t="s">
        <v>131</v>
      </c>
      <c r="H45" s="83" t="s">
        <v>42</v>
      </c>
      <c r="I45" s="83" t="s">
        <v>132</v>
      </c>
    </row>
    <row r="46" spans="2:39">
      <c r="B46" s="83" t="s">
        <v>45</v>
      </c>
      <c r="C46" s="84">
        <v>2040</v>
      </c>
      <c r="D46" s="83" t="s">
        <v>129</v>
      </c>
      <c r="E46" s="84" t="s">
        <v>130</v>
      </c>
      <c r="F46" s="83" t="s">
        <v>47</v>
      </c>
      <c r="G46" s="83" t="s">
        <v>131</v>
      </c>
      <c r="H46" s="83" t="s">
        <v>42</v>
      </c>
      <c r="I46" s="83" t="s">
        <v>132</v>
      </c>
    </row>
    <row r="47" spans="2:39">
      <c r="B47" s="83" t="s">
        <v>45</v>
      </c>
      <c r="C47" s="84">
        <v>2015</v>
      </c>
      <c r="D47" s="83" t="s">
        <v>133</v>
      </c>
      <c r="E47" s="85">
        <v>7.77</v>
      </c>
      <c r="F47" s="83" t="s">
        <v>48</v>
      </c>
      <c r="G47" s="83" t="s">
        <v>131</v>
      </c>
      <c r="H47" s="83" t="s">
        <v>42</v>
      </c>
      <c r="I47" s="83" t="s">
        <v>132</v>
      </c>
    </row>
    <row r="48" spans="2:39">
      <c r="B48" s="83" t="s">
        <v>45</v>
      </c>
      <c r="C48" s="84">
        <v>2030</v>
      </c>
      <c r="D48" s="83" t="s">
        <v>133</v>
      </c>
      <c r="E48" s="85">
        <f>E47*1.15</f>
        <v>8.9354999999999993</v>
      </c>
      <c r="F48" s="83" t="s">
        <v>48</v>
      </c>
      <c r="G48" s="83" t="s">
        <v>131</v>
      </c>
      <c r="H48" s="83" t="s">
        <v>42</v>
      </c>
      <c r="I48" s="83" t="s">
        <v>132</v>
      </c>
    </row>
    <row r="49" spans="2:9">
      <c r="B49" s="83" t="s">
        <v>45</v>
      </c>
      <c r="C49" s="84">
        <v>2040</v>
      </c>
      <c r="D49" s="83" t="s">
        <v>133</v>
      </c>
      <c r="E49" s="85">
        <f>E48*1.12</f>
        <v>10.007759999999999</v>
      </c>
      <c r="F49" s="83" t="s">
        <v>48</v>
      </c>
      <c r="G49" s="83" t="s">
        <v>131</v>
      </c>
      <c r="H49" s="83" t="s">
        <v>42</v>
      </c>
      <c r="I49" s="83" t="s">
        <v>132</v>
      </c>
    </row>
    <row r="50" spans="2:9">
      <c r="B50" s="83" t="s">
        <v>45</v>
      </c>
      <c r="C50" s="84">
        <v>2015</v>
      </c>
      <c r="D50" s="83" t="s">
        <v>133</v>
      </c>
      <c r="E50" s="85">
        <f>E47*1.15</f>
        <v>8.9354999999999993</v>
      </c>
      <c r="F50" s="83" t="s">
        <v>47</v>
      </c>
      <c r="G50" s="83" t="s">
        <v>131</v>
      </c>
      <c r="H50" s="83" t="s">
        <v>42</v>
      </c>
      <c r="I50" s="83" t="s">
        <v>132</v>
      </c>
    </row>
    <row r="51" spans="2:9">
      <c r="B51" s="83" t="s">
        <v>45</v>
      </c>
      <c r="C51" s="84">
        <v>2030</v>
      </c>
      <c r="D51" s="83" t="s">
        <v>133</v>
      </c>
      <c r="E51" s="85">
        <f>E50*1.15</f>
        <v>10.275824999999999</v>
      </c>
      <c r="F51" s="83" t="s">
        <v>47</v>
      </c>
      <c r="G51" s="83" t="s">
        <v>131</v>
      </c>
      <c r="H51" s="83" t="s">
        <v>42</v>
      </c>
      <c r="I51" s="83" t="s">
        <v>132</v>
      </c>
    </row>
    <row r="52" spans="2:9">
      <c r="B52" s="83" t="s">
        <v>45</v>
      </c>
      <c r="C52" s="84">
        <v>2040</v>
      </c>
      <c r="D52" s="83" t="s">
        <v>133</v>
      </c>
      <c r="E52" s="85">
        <f>E51*1.12</f>
        <v>11.508924</v>
      </c>
      <c r="F52" s="83" t="s">
        <v>47</v>
      </c>
      <c r="G52" s="83" t="s">
        <v>131</v>
      </c>
      <c r="H52" s="83" t="s">
        <v>42</v>
      </c>
      <c r="I52" s="83" t="s">
        <v>132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</vt:lpstr>
      <vt:lpstr>shares</vt:lpstr>
      <vt:lpstr>BioImport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Kober, T. (Tom)</dc:creator>
  <cp:lastModifiedBy>Lehtilä Antti</cp:lastModifiedBy>
  <dcterms:created xsi:type="dcterms:W3CDTF">2014-05-23T06:10:37Z</dcterms:created>
  <dcterms:modified xsi:type="dcterms:W3CDTF">2025-09-26T09:14:37Z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391783237457275</vt:r8>
  </property>
</Properties>
</file>