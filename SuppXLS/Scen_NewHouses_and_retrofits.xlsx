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Default Extension="vml" ContentType="application/vnd.openxmlformats-officedocument.vmlDrawing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7932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bookViews>
    <workbookView xWindow="7464" yWindow="5952" windowWidth="23256" windowHeight="12408" firstSheet="3" activeTab="3"/>
  </bookViews>
  <sheets>
    <sheet name="Fill Data" sheetId="33" r:id="rId3"/>
    <sheet name="OldHouses" sheetId="34" r:id="rId4"/>
    <sheet name="Stock" sheetId="35" r:id="rId5"/>
    <sheet name="Input" sheetId="37" r:id="rId6"/>
    <sheet name="Retrofit control" sheetId="38" r:id="rId7"/>
    <sheet name="ServBldg" sheetId="40" r:id="rId8"/>
    <sheet name="ServBldg Projection" sheetId="39" r:id="rId9"/>
    <sheet name="Data EU Buildings Observatory" sheetId="41" r:id="rId10"/>
    <sheet name="Major refurbishment speed" sheetId="43" r:id="rId11"/>
    <sheet name="Demolition" sheetId="44" r:id="rId12"/>
  </sheets>
  <externalReferences>
    <externalReference r:id="rId14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1" l="1"/>
</calcChain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</authors>
  <commentList>
    <comment ref="F44" authorId="0" shapeId="0" xr:uid="{00000000-0006-0000-0300-000001000000}">
      <text>
        <r>
          <rPr>
            <b/>
            <sz val="9"/>
            <rFont val="Tahoma"/>
            <family val="2"/>
          </rPr>
          <t>ese-veda04:</t>
        </r>
        <r>
          <rPr>
            <sz val="9"/>
            <rFont val="Tahoma"/>
            <family val="2"/>
          </rPr>
          <t xml:space="preserve">
Standard is not real consumption</t>
        </r>
      </text>
    </comment>
    <comment ref="K44" authorId="0" shapeId="0" xr:uid="{00000000-0006-0000-0300-000002000000}">
      <text>
        <r>
          <rPr>
            <b/>
            <sz val="9"/>
            <rFont val="Tahoma"/>
            <family val="2"/>
          </rPr>
          <t>ese-veda04:</t>
        </r>
        <r>
          <rPr>
            <sz val="9"/>
            <rFont val="Tahoma"/>
            <family val="2"/>
          </rPr>
          <t xml:space="preserve">
rediculous to take as consumption</t>
        </r>
      </text>
    </comment>
  </commentList>
</comments>
</file>

<file path=xl/sharedStrings.xml><?xml version="1.0" encoding="utf-8"?>
<sst xmlns="http://schemas.openxmlformats.org/spreadsheetml/2006/main" count="2283" uniqueCount="263">
  <si>
    <t>Attribute</t>
  </si>
  <si>
    <t>LimType</t>
  </si>
  <si>
    <t>Year</t>
  </si>
  <si>
    <t>AllRegions</t>
  </si>
  <si>
    <t>TimeSlice</t>
  </si>
  <si>
    <t>Pset_CI</t>
  </si>
  <si>
    <t>Pset_PN</t>
  </si>
  <si>
    <t>Pset_CO</t>
  </si>
  <si>
    <t>Cset_CN</t>
  </si>
  <si>
    <t>INPUT</t>
  </si>
  <si>
    <t>~TFM_Fill-R: w=OldHouses; Hcol=Region</t>
  </si>
  <si>
    <t>PASTI</t>
  </si>
  <si>
    <t>AL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</si>
  <si>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</si>
  <si>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</si>
  <si>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</si>
  <si>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</si>
  <si>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</si>
  <si>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</si>
  <si>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</si>
  <si>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</si>
  <si>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</si>
  <si>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</si>
  <si>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</si>
  <si>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</si>
  <si>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</si>
  <si>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</si>
  <si>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</si>
  <si>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</si>
  <si>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</si>
  <si>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</si>
  <si>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</si>
  <si>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KS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</si>
  <si>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</si>
  <si>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</si>
  <si>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</si>
  <si>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</si>
  <si>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</si>
  <si>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</si>
  <si>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</si>
  <si>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</si>
  <si>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</si>
  <si>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</si>
  <si>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</si>
  <si>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</si>
  <si>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</si>
  <si>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</si>
  <si>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</si>
  <si>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</si>
  <si>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BASE</t>
  </si>
  <si>
    <t>Rdw_DetH</t>
  </si>
  <si>
    <t>R_ES-DH-Cook</t>
  </si>
  <si>
    <t>-</t>
  </si>
  <si>
    <t>R_ES-DH-SpCool</t>
  </si>
  <si>
    <t>year2</t>
  </si>
  <si>
    <t>R_ES-DH-WatHeat</t>
  </si>
  <si>
    <t>Rdw_Flat</t>
  </si>
  <si>
    <t>R_ES-FL-Cook</t>
  </si>
  <si>
    <t>R_ES-FL-SpCool</t>
  </si>
  <si>
    <t>R_ES-FL-SpHeat-I</t>
  </si>
  <si>
    <t>R_ES-FL-WatHeat</t>
  </si>
  <si>
    <t>Rdw_SDetH</t>
  </si>
  <si>
    <t>R_ES-SD-Cook</t>
  </si>
  <si>
    <t>R_ES-SD-SpCool</t>
  </si>
  <si>
    <t>R_ES-SD-SpHeat-I</t>
  </si>
  <si>
    <t>R_ES-SD-WatHeat</t>
  </si>
  <si>
    <t>DemolitionRate</t>
  </si>
  <si>
    <t>PSET_PN</t>
  </si>
  <si>
    <t>UC_CAP</t>
  </si>
  <si>
    <t>UC_N</t>
  </si>
  <si>
    <t>~UC_T: UC_RHSRT~FX</t>
  </si>
  <si>
    <t>~UC_Sets: R_E: AllRegions</t>
  </si>
  <si>
    <t>~TFM_INS</t>
  </si>
  <si>
    <t>RCAP_BND</t>
  </si>
  <si>
    <t>Rdw[_]*</t>
  </si>
  <si>
    <t>UP</t>
  </si>
  <si>
    <t>COM_PROJ</t>
  </si>
  <si>
    <t>CSET_CN</t>
  </si>
  <si>
    <t>R_DetH</t>
  </si>
  <si>
    <t>R_Flat</t>
  </si>
  <si>
    <t>R_SDetH</t>
  </si>
  <si>
    <t>AFA</t>
  </si>
  <si>
    <t>FX</t>
  </si>
  <si>
    <t>NCAP_BND</t>
  </si>
  <si>
    <t>Rdw[_]*,-*New</t>
  </si>
  <si>
    <t>45</t>
  </si>
  <si>
    <t>69</t>
  </si>
  <si>
    <t>79</t>
  </si>
  <si>
    <t>89</t>
  </si>
  <si>
    <t>99</t>
  </si>
  <si>
    <t>09</t>
  </si>
  <si>
    <t>FLO_EMIS</t>
  </si>
  <si>
    <t>Bldg_FLTPre*</t>
  </si>
  <si>
    <t>Bldg_DETPre*</t>
  </si>
  <si>
    <t>Bldg_SDEPre*</t>
  </si>
  <si>
    <t>1940,1957,1975,1985,1995,2004</t>
  </si>
  <si>
    <t>Other_Indexes</t>
  </si>
  <si>
    <t>~TFM_TOPINS</t>
  </si>
  <si>
    <t>OUT</t>
  </si>
  <si>
    <t>NR_HoRest</t>
  </si>
  <si>
    <t>NR_Hosp</t>
  </si>
  <si>
    <t>NR_Offic</t>
  </si>
  <si>
    <t>NR_ShopL</t>
  </si>
  <si>
    <t>NR_ShopS</t>
  </si>
  <si>
    <t>NR_SpoRecr</t>
  </si>
  <si>
    <t>NRBldg*</t>
  </si>
  <si>
    <t>~TFM_Fill-R: w=ServBldg; Hcol=Region</t>
  </si>
  <si>
    <t>NRbldg-HoRest</t>
  </si>
  <si>
    <t>NRbldg-Hosp</t>
  </si>
  <si>
    <t>NRbldg-Offic</t>
  </si>
  <si>
    <t>NRbldg-ShopL</t>
  </si>
  <si>
    <t>NRbldg-ShopS</t>
  </si>
  <si>
    <t>NRbldg-SpoRecr</t>
  </si>
  <si>
    <t>~TFM_DINS</t>
  </si>
  <si>
    <t>Assumption</t>
  </si>
  <si>
    <t>Growth - 2010 to 2060</t>
  </si>
  <si>
    <t>Total STOCK</t>
  </si>
  <si>
    <t>Unit</t>
  </si>
  <si>
    <t>000dwellings</t>
  </si>
  <si>
    <t>TOT Building stock</t>
  </si>
  <si>
    <t>N:\C.7\PSMM\03 Models and Data\01 JRC-EU-TIMES\02 Model Core\04 Demands\Demand projection\Demand update 2016\Projection 20160615.xlsx</t>
  </si>
  <si>
    <t xml:space="preserve">  Stock Component</t>
  </si>
  <si>
    <t>DEACTIVATED Growth over 50 years</t>
  </si>
  <si>
    <t>* Shell EFF improvement cooling over 50 years</t>
  </si>
  <si>
    <t>Annual share of residential buildings undergoing  major renovation</t>
  </si>
  <si>
    <t>ISO code</t>
  </si>
  <si>
    <t>Source</t>
  </si>
  <si>
    <t>Long source</t>
  </si>
  <si>
    <t>Link</t>
  </si>
  <si>
    <t>Data quality</t>
  </si>
  <si>
    <t>Comment</t>
  </si>
  <si>
    <t>Austria</t>
  </si>
  <si>
    <t>%</t>
  </si>
  <si>
    <t>ZEBRA2020</t>
  </si>
  <si>
    <t>Nearly Zero-Energy Building Strategy 2020</t>
  </si>
  <si>
    <t>http://www.zebra-monitoring.enerdata.eu/overall-building-activities/share-of-new-dwellings-in-residential-stock.html#equivalent-major-renovation-rate.html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</si>
  <si>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</si>
  <si>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</si>
  <si>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</si>
  <si>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</si>
  <si>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</si>
  <si>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</si>
  <si>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</si>
  <si>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</si>
  <si>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</si>
  <si>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</si>
  <si>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</si>
  <si>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</si>
  <si>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</si>
  <si>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</si>
  <si>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</si>
  <si>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</si>
  <si>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</si>
  <si>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</si>
  <si>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</si>
  <si>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ZEBRA</t>
  </si>
  <si>
    <t>Nearly Zero-Energy Building Strategy 2020 and Odyssee</t>
  </si>
  <si>
    <t>http://zebra2020.eu/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</si>
  <si>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</si>
  <si>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</si>
  <si>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</si>
  <si>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</si>
  <si>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</si>
  <si>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</si>
  <si>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</si>
  <si>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</si>
  <si>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EU28</t>
  </si>
  <si>
    <t>EU-28</t>
  </si>
  <si>
    <t>Maximum primary energy performance of NZEB for residential</t>
  </si>
  <si>
    <t>kWh/m²</t>
  </si>
  <si>
    <t>OIB</t>
  </si>
  <si>
    <t>https://www.oib.or.at/</t>
  </si>
  <si>
    <t>EPISCOPE</t>
  </si>
  <si>
    <t>Episcope/Tabula</t>
  </si>
  <si>
    <t>http://episcope.eu/welcome/</t>
  </si>
  <si>
    <t>Weighted average between building stock and performance for Brusself and Flanders&lt;br /&gt;
Brussels region:45 , Flanders region: &lt;=30</t>
  </si>
  <si>
    <t>Estimation</t>
  </si>
  <si>
    <t>EPBD</t>
  </si>
  <si>
    <t>http://www.epbd-ca.eu/wp-content/uploads/2016/01/Overview_of_NZEB_definitions.pdf</t>
  </si>
  <si>
    <t>http://www.zebra-monitoring.enerdata.eu/</t>
  </si>
  <si>
    <t>Schimschar et al.</t>
  </si>
  <si>
    <t>Schimschar et al. (Ecofys)</t>
  </si>
  <si>
    <t>http://www.sciencedirect.com/science/article/pii/S0301421511002096</t>
  </si>
  <si>
    <t>Schimschat et al. (2011), Gemany's path towards zero-energy buildings - Enabling the greenhouse gas mitigation potential in the building stock ~ KfW EH55 (EnEV 2009)</t>
  </si>
  <si>
    <t>EPBD and Odyssee</t>
  </si>
  <si>
    <t>CENED</t>
  </si>
  <si>
    <t>Certificazione Energetica degli EDifici and Odyssee</t>
  </si>
  <si>
    <t>http://www.cened.it/home</t>
  </si>
  <si>
    <t>Calculation with data from EPBD and Odyssee</t>
  </si>
  <si>
    <t>BZK</t>
  </si>
  <si>
    <t>Ministerie van Binnenlandse Zaken en Koninkrijksrelaties</t>
  </si>
  <si>
    <t>https://www.rijksoverheid.nl/ministeries/ministerie-van-binnenlandse-zaken-en-koninkrijksrelaties</t>
  </si>
  <si>
    <t>Weighted average</t>
  </si>
  <si>
    <t>MDRAP</t>
  </si>
  <si>
    <t>Ministerul Dezvoltarii Regionale si Administratiei Publice</t>
  </si>
  <si>
    <t>http://www.mdrap.ro/constructii/metodologia-de-calcul-al-performantei-energetice-a-cladirilor</t>
  </si>
  <si>
    <t>Weighted average new construction, electrical 27%, non electrical 73%, electric heated houses: 30 to 50, (40), non electric heated houses: 55 to 75 (65)</t>
  </si>
  <si>
    <t>Date of export: 2016-12-06</t>
  </si>
  <si>
    <t>Source: EU Buildings Observatory</t>
  </si>
  <si>
    <t>Copyright European Commission 2016</t>
  </si>
  <si>
    <t>* Shell EFF improvement heating</t>
  </si>
  <si>
    <t>kwh/m2</t>
  </si>
  <si>
    <t>Code</t>
  </si>
  <si>
    <t>SF Detached</t>
  </si>
  <si>
    <t>SF Semi-detached</t>
  </si>
  <si>
    <t>Multi-family</t>
  </si>
  <si>
    <t>m2</t>
  </si>
  <si>
    <t>PJ/building</t>
  </si>
  <si>
    <t>Bldg_FLTPre45*</t>
  </si>
  <si>
    <t>Bldg_FLTPre69*</t>
  </si>
  <si>
    <t>Bldg_FLTPre79*</t>
  </si>
  <si>
    <t>Bldg_FLTPre89*</t>
  </si>
  <si>
    <t>Bldg_FLTPre99*</t>
  </si>
  <si>
    <t>Bldg_FLTPre09*</t>
  </si>
  <si>
    <t>Bldg_DETPre45*</t>
  </si>
  <si>
    <t>Bldg_DETPre69*</t>
  </si>
  <si>
    <t>Bldg_DETPre79*</t>
  </si>
  <si>
    <t>Bldg_DETPre89*</t>
  </si>
  <si>
    <t>Bldg_DETPre99*</t>
  </si>
  <si>
    <t>Bldg_DETPre09*</t>
  </si>
  <si>
    <t>Bldg_SDEPre45*</t>
  </si>
  <si>
    <t>Bldg_SDEPre69*</t>
  </si>
  <si>
    <t>Bldg_SDEPre79*</t>
  </si>
  <si>
    <t>Bldg_SDEPre89*</t>
  </si>
  <si>
    <t>Bldg_SDEPre99*</t>
  </si>
  <si>
    <t>Bldg_SDEPre09*</t>
  </si>
  <si>
    <t>*MG3,*MW2,*MR3</t>
  </si>
  <si>
    <t>PSET_CI</t>
  </si>
  <si>
    <t>This formula works:</t>
  </si>
  <si>
    <t>Allregions</t>
  </si>
  <si>
    <t>LO</t>
  </si>
  <si>
    <t>CAP_BND</t>
  </si>
  <si>
    <t>GR</t>
  </si>
  <si>
    <t xml:space="preserve">New demolition rate based on BPIE assumption </t>
  </si>
  <si>
    <t>Average rate for the countries that used hard fact data</t>
  </si>
  <si>
    <t>Average</t>
  </si>
  <si>
    <t>DEACTIVATED</t>
  </si>
  <si>
    <t>TFM_INS</t>
  </si>
  <si>
    <t>Rdw_DetH-70</t>
  </si>
  <si>
    <t>R_ES-DH-70-SpHeat-I</t>
  </si>
  <si>
    <t>Bldg_DETPre45*,Bldg_DETPre69*</t>
  </si>
  <si>
    <t>Bldg_DETPre79*,Bldg_DETPre89*,Bldg_DETPre99*,Bldg_DETPre09*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</si>
  <si>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</si>
  <si>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</si>
  <si>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</si>
  <si>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</si>
  <si>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</si>
  <si>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</si>
  <si>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</si>
  <si>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</si>
  <si>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</si>
  <si>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</si>
  <si>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</si>
  <si>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threshold</t>
  </si>
  <si>
    <t>ANNUAL</t>
  </si>
  <si>
    <t>2010</t>
  </si>
  <si>
    <t>R_ES-DH-SpHeat-I</t>
  </si>
  <si>
    <t>1940</t>
  </si>
  <si>
    <t>1957</t>
  </si>
  <si>
    <t>1975</t>
  </si>
  <si>
    <t>1985</t>
  </si>
  <si>
    <t>1995</t>
  </si>
  <si>
    <t>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</si>
</sst>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(&quot;€&quot;* #,##0.00_);_(&quot;€&quot;* \(#,##0.00\);_(&quot;€&quot;* &quot;-&quot;??_);_(@_)"/>
    <numFmt numFmtId="165" formatCode="_(* #,##0_);_(* \(#,##0\);_(* &quot;-&quot;_);_(@_)"/>
    <numFmt numFmtId="166" formatCode="_(* #,##0.00_);_(* \(#,##0.00\);_(* &quot;-&quot;??_);_(@_)"/>
    <numFmt numFmtId="167" formatCode="&quot;$&quot;#,##0_);\(&quot;$&quot;#,##0\)"/>
    <numFmt numFmtId="168" formatCode="_(&quot;$&quot;* #,##0.00_);_(&quot;$&quot;* \(#,##0.00\);_(&quot;$&quot;* &quot;-&quot;??_);_(@_)"/>
    <numFmt numFmtId="169" formatCode="#,##0.0_i"/>
    <numFmt numFmtId="170" formatCode="_-&quot;€&quot;\ * #,##0.00_-;\-&quot;€&quot;\ * #,##0.00_-;_-&quot;€&quot;\ * &quot;-&quot;??_-;_-@_-"/>
    <numFmt numFmtId="171" formatCode="_-[$€-2]\ * #,##0.00_-;\-[$€-2]\ * #,##0.00_-;_-[$€-2]\ * &quot;-&quot;??_-"/>
    <numFmt numFmtId="172" formatCode="_([$€]* #,##0.00_);_([$€]* \(#,##0.00\);_([$€]* &quot;-&quot;??_);_(@_)"/>
    <numFmt numFmtId="173" formatCode="_([$€-2]* #,##0.00_);_([$€-2]* \(#,##0.00\);_([$€-2]* &quot;-&quot;??_)"/>
    <numFmt numFmtId="174" formatCode="\(##\);\(##\)"/>
    <numFmt numFmtId="175" formatCode="#,##0;\-\ #,##0;_-\ &quot;- &quot;"/>
    <numFmt numFmtId="176" formatCode="_ &quot;kr&quot;\ * #,##0_ ;_ &quot;kr&quot;\ * \-#,##0_ ;_ &quot;kr&quot;\ * &quot;-&quot;_ ;_ @_ "/>
    <numFmt numFmtId="177" formatCode="#,##0.0"/>
    <numFmt numFmtId="178" formatCode="0.0%"/>
    <numFmt numFmtId="179" formatCode="_ &quot;kr&quot;\ * #,##0.00_ ;_ &quot;kr&quot;\ * \-#,##0.00_ ;_ &quot;kr&quot;\ * &quot;-&quot;??_ ;_ @_ "/>
    <numFmt numFmtId="180" formatCode="0.0000"/>
    <numFmt numFmtId="181" formatCode="0.000"/>
    <numFmt numFmtId="182" formatCode="_-[$€]* #,##0.00_-;\-[$€]* #,##0.00_-;_-[$€]* &quot;-&quot;??_-;_-@_-"/>
    <numFmt numFmtId="183" formatCode="_-* #,##0.00\ _€_-;\-* #,##0.00\ _€_-;_-* &quot;-&quot;??\ _€_-;_-@_-"/>
    <numFmt numFmtId="184" formatCode="_-[$€-2]* #,##0.00_-;\-[$€-2]* #,##0.00_-;_-[$€-2]* &quot;-&quot;??_-"/>
    <numFmt numFmtId="186" formatCode="_-&quot;$&quot;* #,##0.00_-;\-&quot;$&quot;* #,##0.00_-;_-&quot;$&quot;* &quot;-&quot;??_-;_-@_-"/>
    <numFmt numFmtId="187" formatCode="General_)"/>
    <numFmt numFmtId="188" formatCode="0.0"/>
    <numFmt numFmtId="189" formatCode="0.000%"/>
    <numFmt numFmtId="190" formatCode="#,##0.00000"/>
    <numFmt numFmtId="191" formatCode="0.00000"/>
  </numFmts>
  <fonts count="7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9"/>
      <name val="Times New Roman"/>
      <family val="1"/>
    </font>
    <font>
      <sz val="10"/>
      <color indexed="56"/>
      <name val="Arial"/>
      <family val="2"/>
    </font>
    <font>
      <b/>
      <sz val="10"/>
      <name val="Arial"/>
      <family val="2"/>
    </font>
    <font>
      <i/>
      <sz val="8"/>
      <color indexed="3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 val="single"/>
      <sz val="8"/>
      <color indexed="12"/>
      <name val="Arial"/>
      <family val="2"/>
    </font>
    <font>
      <sz val="11"/>
      <color indexed="62"/>
      <name val="Calibri"/>
      <family val="2"/>
    </font>
    <font>
      <b/>
      <sz val="12"/>
      <name val="Times New Roman"/>
      <family val="1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Calibri"/>
      <family val="2"/>
      <scheme val="minor"/>
    </font>
    <font>
      <b/>
      <sz val="9"/>
      <name val="Times New Roman"/>
      <family val="1"/>
    </font>
    <font>
      <sz val="10"/>
      <name val="Courier"/>
      <family val="3"/>
    </font>
    <font>
      <b/>
      <vertAlign val="superscript"/>
      <sz val="12"/>
      <color indexed="54"/>
      <name val="Arial"/>
      <family val="2"/>
    </font>
    <font>
      <b/>
      <sz val="11"/>
      <color indexed="63"/>
      <name val="Calibri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 val="single"/>
      <sz val="12"/>
      <color indexed="20"/>
      <name val="宋体"/>
      <family val="2"/>
      <charset val="134"/>
    </font>
    <font>
      <b/>
      <sz val="11"/>
      <color rgb="FF9C0006"/>
      <name val="Calibri"/>
      <family val="2"/>
      <scheme val="minor"/>
    </font>
    <font>
      <b/>
      <sz val="11"/>
      <color rgb="FF0033CC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 val="single"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8"/>
      <name val="Arial"/>
      <family val="2"/>
      <charset val="161"/>
    </font>
    <font>
      <sz val="10"/>
      <color indexed="8"/>
      <name val="Arial"/>
      <family val="2"/>
    </font>
    <font>
      <u val="single"/>
      <sz val="10"/>
      <color indexed="12"/>
      <name val="Arial"/>
      <family val="2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family val="2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 val="single"/>
      <sz val="10"/>
      <color indexed="12"/>
      <name val="Times New Roman"/>
      <family val="1"/>
    </font>
    <font>
      <u val="single"/>
      <sz val="12"/>
      <color indexed="20"/>
      <name val="??"/>
      <family val="2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b/>
      <sz val="18"/>
      <color indexed="62"/>
      <name val="Cambria"/>
      <family val="2"/>
    </font>
    <font>
      <u val="single"/>
      <sz val="11"/>
      <color theme="10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</fonts>
  <fills count="4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5999600291252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3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theme="9" tint="0.799950003623962"/>
        <bgColor indexed="64"/>
      </patternFill>
    </fill>
    <fill>
      <patternFill patternType="solid">
        <fgColor rgb="FFFFEB9C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</fills>
  <borders count="3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indexed="62"/>
      </top>
      <bottom style="double">
        <color indexed="62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/>
      <right/>
      <top/>
      <bottom style="thick">
        <color indexed="56"/>
      </bottom>
    </border>
    <border>
      <left/>
      <right/>
      <top/>
      <bottom style="thick">
        <color indexed="27"/>
      </bottom>
    </border>
    <border>
      <left/>
      <right/>
      <top/>
      <bottom style="medium">
        <color indexed="27"/>
      </bottom>
    </border>
    <border>
      <left/>
      <right/>
      <top/>
      <bottom style="double">
        <color indexed="10"/>
      </bottom>
    </border>
    <border>
      <left/>
      <right/>
      <top style="thin">
        <color indexed="56"/>
      </top>
      <bottom style="double">
        <color indexed="56"/>
      </bottom>
    </border>
    <border>
      <left/>
      <right/>
      <top/>
      <bottom style="double">
        <color rgb="FFFF8001"/>
      </bottom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/>
      <right/>
      <top style="thin">
        <color auto="1"/>
      </top>
      <bottom style="medium">
        <color auto="1"/>
      </bottom>
    </border>
  </borders>
  <cellStyleXfs count="2250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5" fillId="4" borderId="1" applyNumberFormat="0" applyAlignment="0" applyProtection="0"/>
    <xf numFmtId="0" fontId="8" fillId="0" borderId="0" applyFill="0" applyProtection="0">
      <alignment/>
    </xf>
    <xf numFmtId="0" fontId="10" fillId="0" borderId="0">
      <alignment/>
      <protection/>
    </xf>
    <xf numFmtId="0" fontId="11" fillId="0" borderId="0" applyNumberFormat="0" applyFill="0" applyBorder="0" applyAlignment="0" applyProtection="0"/>
    <xf numFmtId="169" fontId="11" fillId="0" borderId="0" applyFill="0" applyBorder="0" applyProtection="0">
      <alignment horizontal="right"/>
    </xf>
    <xf numFmtId="170" fontId="0" fillId="0" borderId="0" applyFont="0" applyFill="0" applyBorder="0" applyAlignment="0" applyProtection="0"/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0" fillId="13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9" fillId="0" borderId="0" applyNumberFormat="0" applyFont="0" applyFill="0" applyBorder="0" applyProtection="0">
      <alignment horizontal="left" vertical="center" indent="5"/>
    </xf>
    <xf numFmtId="0" fontId="9" fillId="0" borderId="0" applyNumberFormat="0" applyFont="0" applyFill="0" applyBorder="0" applyProtection="0">
      <alignment horizontal="left" vertical="center" indent="5"/>
    </xf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49" fontId="9" fillId="9" borderId="4">
      <alignment vertical="top" wrapText="1"/>
      <protection/>
    </xf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7" fillId="0" borderId="5">
      <alignment horizontal="left" vertical="center" wrapText="1" indent="2"/>
      <protection/>
    </xf>
    <xf numFmtId="3" fontId="18" fillId="0" borderId="4">
      <alignment horizontal="right" vertical="top"/>
      <protection/>
    </xf>
    <xf numFmtId="0" fontId="19" fillId="18" borderId="6">
      <alignment horizontal="centerContinuous" vertical="top" wrapText="1"/>
      <protection/>
    </xf>
    <xf numFmtId="0" fontId="20" fillId="0" borderId="0">
      <alignment vertical="top" wrapText="1"/>
      <protection/>
    </xf>
    <xf numFmtId="171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1" fontId="9" fillId="0" borderId="0" applyFont="0" applyFill="0" applyBorder="0" applyAlignment="0" applyProtection="0"/>
    <xf numFmtId="11" fontId="9" fillId="0" borderId="0" applyFont="0" applyFill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" fillId="2" borderId="0" applyNumberFormat="0" applyBorder="0" applyAlignment="0" applyProtection="0"/>
    <xf numFmtId="0" fontId="22" fillId="7" borderId="0" applyNumberFormat="0" applyBorder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>
      <alignment/>
      <protection locked="0"/>
    </xf>
    <xf numFmtId="0" fontId="27" fillId="10" borderId="2" applyNumberFormat="0" applyAlignment="0" applyProtection="0"/>
    <xf numFmtId="0" fontId="5" fillId="4" borderId="1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4" fontId="17" fillId="0" borderId="0" applyBorder="0">
      <alignment horizontal="right" vertical="center"/>
      <protection/>
    </xf>
    <xf numFmtId="0" fontId="28" fillId="0" borderId="0">
      <alignment/>
      <protection/>
    </xf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11" fillId="0" borderId="0" applyNumberFormat="0" applyFill="0" applyBorder="0" applyAlignment="0" applyProtection="0"/>
    <xf numFmtId="0" fontId="9" fillId="0" borderId="0">
      <alignment/>
      <protection/>
    </xf>
    <xf numFmtId="0" fontId="9" fillId="0" borderId="0">
      <alignment/>
      <protection/>
    </xf>
    <xf numFmtId="0" fontId="8" fillId="0" borderId="0" applyFill="0" applyProtection="0">
      <alignment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31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4" fontId="17" fillId="0" borderId="6" applyFill="0" applyBorder="0" applyProtection="0">
      <alignment horizontal="right" vertical="center"/>
    </xf>
    <xf numFmtId="0" fontId="32" fillId="0" borderId="0" applyNumberFormat="0" applyFill="0" applyBorder="0" applyProtection="0">
      <alignment horizontal="left" vertical="center"/>
    </xf>
    <xf numFmtId="0" fontId="9" fillId="25" borderId="0" applyNumberFormat="0" applyFont="0" applyBorder="0" applyAlignment="0" applyProtection="0"/>
    <xf numFmtId="0" fontId="9" fillId="25" borderId="0" applyNumberFormat="0" applyFont="0" applyBorder="0" applyAlignment="0" applyProtection="0"/>
    <xf numFmtId="0" fontId="33" fillId="0" borderId="0">
      <alignment/>
      <protection/>
    </xf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174" fontId="34" fillId="0" borderId="0">
      <alignment horizontal="right"/>
      <protection/>
    </xf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0" fillId="0" borderId="0" applyFont="0" applyFill="0" applyBorder="0" applyAlignment="0" applyProtection="0"/>
    <xf numFmtId="166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0" fontId="20" fillId="0" borderId="0">
      <alignment vertical="top" wrapText="1"/>
      <protection/>
    </xf>
    <xf numFmtId="0" fontId="20" fillId="0" borderId="0">
      <alignment vertical="top" wrapText="1"/>
      <protection/>
    </xf>
    <xf numFmtId="0" fontId="20" fillId="0" borderId="0">
      <alignment vertical="top" wrapText="1"/>
      <protection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177" fontId="39" fillId="29" borderId="13">
      <alignment vertical="center"/>
      <protection/>
    </xf>
    <xf numFmtId="178" fontId="40" fillId="29" borderId="13">
      <alignment vertical="center"/>
      <protection/>
    </xf>
    <xf numFmtId="177" fontId="41" fillId="30" borderId="13">
      <alignment vertical="center"/>
      <protection/>
    </xf>
    <xf numFmtId="0" fontId="9" fillId="22" borderId="14" applyBorder="0">
      <alignment horizontal="left" vertical="center"/>
      <protection/>
    </xf>
    <xf numFmtId="49" fontId="9" fillId="31" borderId="6">
      <alignment vertical="center" wrapText="1"/>
      <protection/>
    </xf>
    <xf numFmtId="0" fontId="9" fillId="32" borderId="15">
      <alignment horizontal="left" vertical="center" wrapText="1"/>
      <protection/>
    </xf>
    <xf numFmtId="0" fontId="42" fillId="33" borderId="6">
      <alignment horizontal="left" vertical="center" wrapText="1"/>
      <protection/>
    </xf>
    <xf numFmtId="0" fontId="9" fillId="19" borderId="6">
      <alignment horizontal="left" vertical="center" wrapText="1"/>
      <protection/>
    </xf>
    <xf numFmtId="0" fontId="9" fillId="34" borderId="6">
      <alignment horizontal="left" vertical="center" wrapText="1"/>
      <protection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179" fontId="36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Protection="0">
      <alignment/>
    </xf>
    <xf numFmtId="0" fontId="9" fillId="0" borderId="0">
      <alignment/>
      <protection/>
    </xf>
    <xf numFmtId="9" fontId="9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9" fillId="0" borderId="0" applyNumberFormat="0" applyFont="0" applyFill="0" applyBorder="0" applyAlignment="0" applyProtection="0"/>
    <xf numFmtId="0" fontId="0" fillId="0" borderId="0">
      <alignment/>
      <protection/>
    </xf>
    <xf numFmtId="0" fontId="9" fillId="27" borderId="11" applyNumberFormat="0" applyFont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27" borderId="11" applyNumberFormat="0" applyFont="0" applyAlignment="0" applyProtection="0"/>
    <xf numFmtId="175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62" fillId="0" borderId="0" applyNumberFormat="0" applyFill="0" applyBorder="0" applyProtection="0">
      <alignment/>
    </xf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0" fillId="35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17" fillId="0" borderId="6" applyNumberFormat="0" applyFont="0" applyFill="0" applyBorder="0" applyProtection="0">
      <alignment horizontal="left" vertical="center" indent="2"/>
    </xf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7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32" fillId="9" borderId="0" applyBorder="0" applyAlignment="0">
      <protection/>
    </xf>
    <xf numFmtId="0" fontId="17" fillId="9" borderId="0" applyBorder="0">
      <alignment horizontal="right" vertical="center"/>
      <protection/>
    </xf>
    <xf numFmtId="0" fontId="17" fillId="7" borderId="0" applyBorder="0">
      <alignment horizontal="right" vertical="center"/>
      <protection/>
    </xf>
    <xf numFmtId="0" fontId="17" fillId="7" borderId="0" applyBorder="0">
      <alignment horizontal="right" vertical="center"/>
      <protection/>
    </xf>
    <xf numFmtId="0" fontId="13" fillId="7" borderId="6">
      <alignment horizontal="right" vertical="center"/>
      <protection/>
    </xf>
    <xf numFmtId="0" fontId="55" fillId="7" borderId="6">
      <alignment horizontal="right" vertical="center"/>
      <protection/>
    </xf>
    <xf numFmtId="0" fontId="13" fillId="10" borderId="6">
      <alignment horizontal="right" vertical="center"/>
      <protection/>
    </xf>
    <xf numFmtId="0" fontId="13" fillId="10" borderId="6">
      <alignment horizontal="right" vertical="center"/>
      <protection/>
    </xf>
    <xf numFmtId="0" fontId="13" fillId="10" borderId="17">
      <alignment horizontal="right" vertical="center"/>
      <protection/>
    </xf>
    <xf numFmtId="0" fontId="13" fillId="10" borderId="18">
      <alignment horizontal="right" vertical="center"/>
      <protection/>
    </xf>
    <xf numFmtId="0" fontId="13" fillId="10" borderId="19">
      <alignment horizontal="right" vertical="center"/>
      <protection/>
    </xf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35" fillId="24" borderId="12" applyNumberFormat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3" fillId="3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24" borderId="2" applyNumberFormat="0" applyAlignment="0" applyProtection="0"/>
    <xf numFmtId="4" fontId="32" fillId="0" borderId="20" applyFill="0" applyBorder="0" applyProtection="0">
      <alignment horizontal="right" vertical="center"/>
    </xf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18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0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3" fillId="0" borderId="0" applyNumberFormat="0">
      <alignment horizontal="right"/>
      <protection/>
    </xf>
    <xf numFmtId="168" fontId="9" fillId="0" borderId="0" applyFont="0" applyFill="0" applyBorder="0" applyAlignment="0" applyProtection="0"/>
    <xf numFmtId="0" fontId="17" fillId="10" borderId="5">
      <alignment horizontal="left" vertical="center" wrapText="1" indent="2"/>
      <protection/>
    </xf>
    <xf numFmtId="0" fontId="17" fillId="7" borderId="18">
      <alignment horizontal="left" vertical="center"/>
      <protection/>
    </xf>
    <xf numFmtId="0" fontId="13" fillId="0" borderId="21">
      <alignment horizontal="left" vertical="top" wrapText="1"/>
      <protection/>
    </xf>
    <xf numFmtId="0" fontId="27" fillId="10" borderId="2" applyNumberFormat="0" applyAlignment="0" applyProtection="0"/>
    <xf numFmtId="0" fontId="57" fillId="0" borderId="22">
      <alignment/>
      <protection/>
    </xf>
    <xf numFmtId="0" fontId="44" fillId="0" borderId="16" applyNumberFormat="0" applyFill="0" applyAlignment="0" applyProtection="0"/>
    <xf numFmtId="0" fontId="21" fillId="0" borderId="0" applyNumberFormat="0" applyFill="0" applyBorder="0" applyAlignment="0" applyProtection="0"/>
    <xf numFmtId="0" fontId="53" fillId="0" borderId="0">
      <alignment vertical="top"/>
      <protection/>
    </xf>
    <xf numFmtId="184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1" fontId="9" fillId="0" borderId="0" applyFont="0" applyFill="0" applyBorder="0" applyAlignment="0" applyProtection="0"/>
    <xf numFmtId="11" fontId="9" fillId="0" borderId="0" applyFont="0" applyFill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" fillId="2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" fillId="2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54" fillId="0" borderId="0" applyNumberFormat="0" applyFill="0" applyBorder="0">
      <alignment/>
      <protection locked="0"/>
    </xf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5" fillId="4" borderId="1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27" fillId="10" borderId="2" applyNumberFormat="0" applyAlignment="0" applyProtection="0"/>
    <xf numFmtId="0" fontId="17" fillId="0" borderId="6">
      <alignment horizontal="right" vertical="center"/>
      <protection/>
    </xf>
    <xf numFmtId="1" fontId="58" fillId="7" borderId="0" applyBorder="0">
      <alignment horizontal="right" vertical="center"/>
      <protection/>
    </xf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4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0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10" fillId="0" borderId="0">
      <alignment/>
      <protection/>
    </xf>
    <xf numFmtId="0" fontId="9" fillId="0" borderId="0">
      <alignment/>
      <protection/>
    </xf>
    <xf numFmtId="0" fontId="9" fillId="0" borderId="0">
      <alignment vertical="top"/>
      <protection/>
    </xf>
    <xf numFmtId="0" fontId="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 vertical="top"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5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5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60" fillId="0" borderId="0">
      <alignment/>
      <protection/>
    </xf>
    <xf numFmtId="0" fontId="8" fillId="0" borderId="0">
      <alignment/>
      <protection/>
    </xf>
    <xf numFmtId="0" fontId="60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10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10" fillId="0" borderId="0">
      <alignment/>
      <protection/>
    </xf>
    <xf numFmtId="0" fontId="1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56" fillId="0" borderId="0">
      <alignment/>
      <protection/>
    </xf>
    <xf numFmtId="0" fontId="56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10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10" fillId="0" borderId="0">
      <alignment/>
      <protection/>
    </xf>
    <xf numFmtId="0" fontId="10" fillId="0" borderId="0">
      <alignment/>
      <protection/>
    </xf>
    <xf numFmtId="0" fontId="1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64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1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6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60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8" fillId="0" borderId="0">
      <alignment/>
      <protection/>
    </xf>
    <xf numFmtId="0" fontId="17" fillId="0" borderId="6" applyNumberFormat="0" applyFill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0" fontId="8" fillId="27" borderId="11" applyNumberFormat="0" applyFont="0" applyAlignment="0" applyProtection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17" fillId="37" borderId="6" applyNumberFormat="0" applyFont="0" applyBorder="0" applyProtection="0">
      <alignment/>
    </xf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14" fillId="6" borderId="0" applyNumberFormat="0" applyBorder="0" applyAlignment="0" applyProtection="0"/>
    <xf numFmtId="0" fontId="17" fillId="25" borderId="6">
      <alignment/>
      <protection/>
    </xf>
    <xf numFmtId="0" fontId="63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53" fillId="0" borderId="0">
      <alignment vertical="top"/>
      <protection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9" fillId="0" borderId="6" applyNumberFormat="0" applyFill="0" applyProtection="0">
      <alignment horizontal="right"/>
    </xf>
    <xf numFmtId="49" fontId="9" fillId="0" borderId="6" applyFill="0" applyProtection="0">
      <alignment horizontal="right"/>
    </xf>
    <xf numFmtId="0" fontId="9" fillId="0" borderId="6" applyNumberFormat="0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49" fontId="9" fillId="0" borderId="6" applyFill="0" applyProtection="0">
      <alignment horizontal="right"/>
    </xf>
    <xf numFmtId="0" fontId="19" fillId="28" borderId="6" applyNumberFormat="0" applyProtection="0">
      <alignment horizontal="right"/>
    </xf>
    <xf numFmtId="0" fontId="19" fillId="28" borderId="6" applyNumberFormat="0" applyProtection="0">
      <alignment horizontal="right"/>
    </xf>
    <xf numFmtId="0" fontId="37" fillId="28" borderId="0" applyNumberFormat="0" applyBorder="0" applyProtection="0">
      <alignment horizontal="left"/>
    </xf>
    <xf numFmtId="0" fontId="37" fillId="28" borderId="0" applyNumberFormat="0" applyBorder="0" applyProtection="0">
      <alignment horizontal="left"/>
    </xf>
    <xf numFmtId="0" fontId="19" fillId="28" borderId="6" applyNumberFormat="0" applyProtection="0">
      <alignment horizontal="left"/>
    </xf>
    <xf numFmtId="0" fontId="19" fillId="28" borderId="6" applyNumberFormat="0" applyProtection="0">
      <alignment horizontal="lef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38" fillId="20" borderId="0" applyNumberFormat="0" applyBorder="0" applyProtection="0">
      <alignment horizontal="left"/>
    </xf>
    <xf numFmtId="0" fontId="38" fillId="20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52" fillId="38" borderId="0" applyNumberFormat="0" applyBorder="0" applyProtection="0">
      <alignment horizontal="left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3" fillId="0" borderId="0" applyNumberFormat="0" applyFill="0" applyBorder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9" fillId="0" borderId="10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6" fillId="25" borderId="3" applyNumberFormat="0" applyAlignment="0" applyProtection="0"/>
    <xf numFmtId="0" fontId="61" fillId="0" borderId="0" applyNumberFormat="0" applyFill="0" applyBorder="0" applyAlignment="0" applyProtection="0"/>
    <xf numFmtId="0" fontId="17" fillId="0" borderId="0">
      <alignment/>
      <protection/>
    </xf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65" fillId="41" borderId="2" applyNumberFormat="0" applyAlignment="0" applyProtection="0"/>
    <xf numFmtId="0" fontId="65" fillId="41" borderId="2" applyNumberFormat="0" applyAlignment="0" applyProtection="0"/>
    <xf numFmtId="0" fontId="65" fillId="41" borderId="2" applyNumberFormat="0" applyAlignment="0" applyProtection="0"/>
    <xf numFmtId="0" fontId="65" fillId="41" borderId="2" applyNumberFormat="0" applyAlignment="0" applyProtection="0"/>
    <xf numFmtId="0" fontId="65" fillId="41" borderId="2" applyNumberFormat="0" applyAlignment="0" applyProtection="0"/>
    <xf numFmtId="0" fontId="65" fillId="41" borderId="2" applyNumberFormat="0" applyAlignment="0" applyProtection="0"/>
    <xf numFmtId="0" fontId="65" fillId="41" borderId="2" applyNumberFormat="0" applyAlignment="0" applyProtection="0"/>
    <xf numFmtId="0" fontId="65" fillId="41" borderId="2" applyNumberFormat="0" applyAlignment="0" applyProtection="0"/>
    <xf numFmtId="0" fontId="65" fillId="41" borderId="2" applyNumberFormat="0" applyAlignment="0" applyProtection="0"/>
    <xf numFmtId="0" fontId="65" fillId="41" borderId="2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0" fontId="5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40" fontId="5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86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1" fontId="9" fillId="0" borderId="0" applyFont="0" applyFill="0" applyBorder="0" applyAlignment="0" applyProtection="0"/>
    <xf numFmtId="11" fontId="9" fillId="0" borderId="0" applyFont="0" applyFill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6" fillId="0" borderId="23" applyNumberFormat="0" applyFill="0" applyAlignment="0" applyProtection="0"/>
    <xf numFmtId="0" fontId="67" fillId="0" borderId="24" applyNumberFormat="0" applyFill="0" applyAlignment="0" applyProtection="0"/>
    <xf numFmtId="0" fontId="67" fillId="0" borderId="24" applyNumberFormat="0" applyFill="0" applyAlignment="0" applyProtection="0"/>
    <xf numFmtId="0" fontId="67" fillId="0" borderId="24" applyNumberFormat="0" applyFill="0" applyAlignment="0" applyProtection="0"/>
    <xf numFmtId="0" fontId="67" fillId="0" borderId="24" applyNumberFormat="0" applyFill="0" applyAlignment="0" applyProtection="0"/>
    <xf numFmtId="0" fontId="67" fillId="0" borderId="24" applyNumberFormat="0" applyFill="0" applyAlignment="0" applyProtection="0"/>
    <xf numFmtId="0" fontId="67" fillId="0" borderId="24" applyNumberFormat="0" applyFill="0" applyAlignment="0" applyProtection="0"/>
    <xf numFmtId="0" fontId="67" fillId="0" borderId="24" applyNumberFormat="0" applyFill="0" applyAlignment="0" applyProtection="0"/>
    <xf numFmtId="0" fontId="67" fillId="0" borderId="24" applyNumberFormat="0" applyFill="0" applyAlignment="0" applyProtection="0"/>
    <xf numFmtId="0" fontId="67" fillId="0" borderId="24" applyNumberFormat="0" applyFill="0" applyAlignment="0" applyProtection="0"/>
    <xf numFmtId="0" fontId="67" fillId="0" borderId="24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25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27" fillId="26" borderId="2" applyNumberFormat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0" fontId="45" fillId="0" borderId="26" applyNumberFormat="0" applyFill="0" applyAlignment="0" applyProtection="0"/>
    <xf numFmtId="183" fontId="9" fillId="0" borderId="0" applyFont="0" applyFill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167" fontId="70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167" fontId="70" fillId="0" borderId="0">
      <alignment vertical="center"/>
      <protection/>
    </xf>
    <xf numFmtId="167" fontId="70" fillId="0" borderId="0">
      <alignment vertical="center"/>
      <protection/>
    </xf>
    <xf numFmtId="167" fontId="70" fillId="0" borderId="0">
      <alignment vertical="center"/>
      <protection/>
    </xf>
    <xf numFmtId="167" fontId="70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167" fontId="70" fillId="0" borderId="0">
      <alignment vertical="center"/>
      <protection/>
    </xf>
    <xf numFmtId="167" fontId="70" fillId="0" borderId="0">
      <alignment vertical="center"/>
      <protection/>
    </xf>
    <xf numFmtId="167" fontId="70" fillId="0" borderId="0">
      <alignment vertical="center"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167" fontId="70" fillId="0" borderId="0">
      <alignment vertical="center"/>
      <protection/>
    </xf>
    <xf numFmtId="167" fontId="70" fillId="0" borderId="0">
      <alignment vertical="center"/>
      <protection/>
    </xf>
    <xf numFmtId="167" fontId="70" fillId="0" borderId="0">
      <alignment vertical="center"/>
      <protection/>
    </xf>
    <xf numFmtId="167" fontId="70" fillId="0" borderId="0">
      <alignment vertical="center"/>
      <protection/>
    </xf>
    <xf numFmtId="0" fontId="0" fillId="0" borderId="0">
      <alignment/>
      <protection/>
    </xf>
    <xf numFmtId="178" fontId="70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178" fontId="70" fillId="0" borderId="0">
      <alignment vertical="center"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187" fontId="70" fillId="0" borderId="0">
      <alignment vertical="center"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35" fillId="41" borderId="12" applyNumberFormat="0" applyAlignment="0" applyProtection="0"/>
    <xf numFmtId="0" fontId="35" fillId="41" borderId="12" applyNumberFormat="0" applyAlignment="0" applyProtection="0"/>
    <xf numFmtId="0" fontId="35" fillId="41" borderId="12" applyNumberFormat="0" applyAlignment="0" applyProtection="0"/>
    <xf numFmtId="0" fontId="35" fillId="41" borderId="12" applyNumberFormat="0" applyAlignment="0" applyProtection="0"/>
    <xf numFmtId="0" fontId="35" fillId="41" borderId="12" applyNumberFormat="0" applyAlignment="0" applyProtection="0"/>
    <xf numFmtId="0" fontId="35" fillId="41" borderId="12" applyNumberFormat="0" applyAlignment="0" applyProtection="0"/>
    <xf numFmtId="0" fontId="35" fillId="41" borderId="12" applyNumberFormat="0" applyAlignment="0" applyProtection="0"/>
    <xf numFmtId="0" fontId="35" fillId="41" borderId="12" applyNumberFormat="0" applyAlignment="0" applyProtection="0"/>
    <xf numFmtId="0" fontId="35" fillId="41" borderId="12" applyNumberFormat="0" applyAlignment="0" applyProtection="0"/>
    <xf numFmtId="0" fontId="35" fillId="41" borderId="12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9" fillId="0" borderId="6" applyNumberFormat="0" applyFill="0" applyProtection="0">
      <alignment horizontal="right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4" fillId="0" borderId="27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0" fillId="0" borderId="0">
      <alignment/>
      <protection/>
    </xf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11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12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2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0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27" borderId="0" applyNumberFormat="0" applyBorder="0" applyAlignment="0" applyProtection="0"/>
    <xf numFmtId="0" fontId="0" fillId="35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26" borderId="0" applyNumberFormat="0" applyBorder="0" applyAlignment="0" applyProtection="0"/>
    <xf numFmtId="0" fontId="8" fillId="14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27" borderId="0" applyNumberFormat="0" applyBorder="0" applyAlignment="0" applyProtection="0"/>
    <xf numFmtId="0" fontId="8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9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2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3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3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5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40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1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24" borderId="2" applyNumberFormat="0" applyAlignment="0" applyProtection="0"/>
    <xf numFmtId="0" fontId="65" fillId="41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5" fillId="24" borderId="2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0" fontId="16" fillId="25" borderId="3" applyNumberFormat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3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172" fontId="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7" borderId="0" applyNumberFormat="0" applyBorder="0" applyAlignment="0" applyProtection="0"/>
    <xf numFmtId="0" fontId="2" fillId="2" borderId="0" applyNumberFormat="0" applyBorder="0" applyAlignment="0" applyProtection="0"/>
    <xf numFmtId="0" fontId="22" fillId="7" borderId="0" applyNumberFormat="0" applyBorder="0" applyAlignment="0" applyProtection="0"/>
    <xf numFmtId="0" fontId="22" fillId="9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0" borderId="7" applyNumberFormat="0" applyFill="0" applyAlignment="0" applyProtection="0"/>
    <xf numFmtId="0" fontId="66" fillId="0" borderId="23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67" fillId="0" borderId="24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68" fillId="0" borderId="25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7" fillId="10" borderId="2" applyNumberFormat="0" applyAlignment="0" applyProtection="0"/>
    <xf numFmtId="0" fontId="5" fillId="4" borderId="1" applyNumberFormat="0" applyAlignment="0" applyProtection="0"/>
    <xf numFmtId="0" fontId="27" fillId="10" borderId="2" applyNumberFormat="0" applyAlignment="0" applyProtection="0"/>
    <xf numFmtId="0" fontId="27" fillId="26" borderId="2" applyNumberFormat="0" applyAlignment="0" applyProtection="0"/>
    <xf numFmtId="0" fontId="27" fillId="10" borderId="2" applyNumberFormat="0" applyAlignment="0" applyProtection="0"/>
    <xf numFmtId="0" fontId="29" fillId="0" borderId="10" applyNumberFormat="0" applyFill="0" applyAlignment="0" applyProtection="0"/>
    <xf numFmtId="0" fontId="45" fillId="0" borderId="26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0" fillId="26" borderId="0" applyNumberFormat="0" applyBorder="0" applyAlignment="0" applyProtection="0"/>
    <xf numFmtId="0" fontId="69" fillId="26" borderId="0" applyNumberFormat="0" applyBorder="0" applyAlignment="0" applyProtection="0"/>
    <xf numFmtId="0" fontId="4" fillId="36" borderId="0" applyNumberFormat="0" applyBorder="0" applyAlignment="0" applyProtection="0"/>
    <xf numFmtId="0" fontId="4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56" fillId="0" borderId="0">
      <alignment/>
      <protection/>
    </xf>
    <xf numFmtId="0" fontId="56" fillId="0" borderId="0">
      <alignment/>
      <protection/>
    </xf>
    <xf numFmtId="0" fontId="0" fillId="0" borderId="0">
      <alignment/>
      <protection/>
    </xf>
    <xf numFmtId="0" fontId="56" fillId="0" borderId="0">
      <alignment/>
      <protection/>
    </xf>
    <xf numFmtId="0" fontId="0" fillId="0" borderId="0">
      <alignment/>
      <protection/>
    </xf>
    <xf numFmtId="0" fontId="56" fillId="0" borderId="0">
      <alignment/>
      <protection/>
    </xf>
    <xf numFmtId="0" fontId="56" fillId="0" borderId="0">
      <alignment/>
      <protection/>
    </xf>
    <xf numFmtId="0" fontId="56" fillId="0" borderId="0">
      <alignment/>
      <protection/>
    </xf>
    <xf numFmtId="0" fontId="56" fillId="0" borderId="0">
      <alignment/>
      <protection/>
    </xf>
    <xf numFmtId="0" fontId="56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8" fillId="0" borderId="0">
      <alignment/>
      <protection/>
    </xf>
    <xf numFmtId="0" fontId="9" fillId="0" borderId="0">
      <alignment/>
      <protection/>
    </xf>
    <xf numFmtId="0" fontId="9" fillId="0" borderId="0" applyNumberFormat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 applyNumberFormat="0" applyFont="0" applyFill="0" applyBorder="0" applyAlignment="0" applyProtection="0"/>
    <xf numFmtId="0" fontId="9" fillId="0" borderId="0">
      <alignment/>
      <protection/>
    </xf>
    <xf numFmtId="0" fontId="9" fillId="0" borderId="0" applyNumberFormat="0" applyFont="0" applyFill="0" applyBorder="0" applyAlignment="0" applyProtection="0"/>
    <xf numFmtId="0" fontId="9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0" fillId="0" borderId="0">
      <alignment/>
      <protection/>
    </xf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9" fillId="27" borderId="11" applyNumberFormat="0" applyFont="0" applyAlignment="0" applyProtection="0"/>
    <xf numFmtId="0" fontId="8" fillId="27" borderId="11" applyNumberFormat="0" applyFont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35" fillId="24" borderId="12" applyNumberFormat="0" applyAlignment="0" applyProtection="0"/>
    <xf numFmtId="0" fontId="35" fillId="41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0" fontId="35" fillId="24" borderId="12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9" fontId="9" fillId="0" borderId="0" applyFont="0" applyFill="0" applyBorder="0" applyAlignment="0" applyProtection="0"/>
    <xf numFmtId="0" fontId="9" fillId="0" borderId="0">
      <alignment/>
      <protection/>
    </xf>
  </cellStyleXfs>
  <cellXfs count="48">
    <xf numFmtId="0" fontId="0" fillId="0" borderId="0" xfId="0"/>
    <xf numFmtId="0" fontId="9" fillId="0" borderId="0" xfId="30" applyFont="1">
      <alignment/>
      <protection/>
    </xf>
    <xf numFmtId="0" fontId="9" fillId="0" borderId="0" xfId="30">
      <alignment/>
      <protection/>
    </xf>
    <xf numFmtId="0" fontId="9" fillId="0" borderId="0" xfId="30" applyFill="1">
      <alignment/>
      <protection/>
    </xf>
    <xf numFmtId="0" fontId="9" fillId="0" borderId="0" xfId="30" applyFont="1" applyFill="1">
      <alignment/>
      <protection/>
    </xf>
    <xf numFmtId="2" fontId="0" fillId="0" borderId="0" xfId="0" applyNumberFormat="1"/>
    <xf numFmtId="0" fontId="5" fillId="4" borderId="1" xfId="22"/>
    <xf numFmtId="0" fontId="7" fillId="0" borderId="0" xfId="0" applyFont="1"/>
    <xf numFmtId="0" fontId="47" fillId="3" borderId="28" xfId="21" applyFont="1" applyBorder="1"/>
    <xf numFmtId="0" fontId="48" fillId="0" borderId="0" xfId="0" applyFont="1"/>
    <xf numFmtId="0" fontId="49" fillId="0" borderId="0" xfId="0" applyFont="1"/>
    <xf numFmtId="180" fontId="0" fillId="0" borderId="0" xfId="0" applyNumberFormat="1"/>
    <xf numFmtId="0" fontId="3" fillId="3" borderId="0" xfId="21"/>
    <xf numFmtId="9" fontId="5" fillId="4" borderId="1" xfId="15" applyFont="1" applyFill="1" applyBorder="1"/>
    <xf numFmtId="0" fontId="50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9" fontId="0" fillId="0" borderId="0" xfId="15" applyFont="1"/>
    <xf numFmtId="0" fontId="0" fillId="0" borderId="0" xfId="0"/>
    <xf numFmtId="0" fontId="6" fillId="42" borderId="29" xfId="0" applyFont="1" applyFill="1" applyBorder="1" applyAlignment="1">
      <alignment horizontal="center" vertical="center"/>
    </xf>
    <xf numFmtId="0" fontId="6" fillId="42" borderId="30" xfId="0" applyFont="1" applyFill="1" applyBorder="1" applyAlignment="1">
      <alignment horizontal="center" vertical="center"/>
    </xf>
    <xf numFmtId="0" fontId="6" fillId="42" borderId="14" xfId="0" applyFont="1" applyFill="1" applyBorder="1" applyAlignment="1">
      <alignment vertical="center"/>
    </xf>
    <xf numFmtId="0" fontId="6" fillId="42" borderId="30" xfId="0" applyFont="1" applyFill="1" applyBorder="1" applyAlignment="1">
      <alignment vertical="center"/>
    </xf>
    <xf numFmtId="1" fontId="0" fillId="0" borderId="0" xfId="0" applyNumberFormat="1"/>
    <xf numFmtId="0" fontId="0" fillId="0" borderId="0" xfId="0"/>
    <xf numFmtId="0" fontId="0" fillId="0" borderId="0" xfId="0" applyAlignment="1">
      <alignment/>
    </xf>
    <xf numFmtId="0" fontId="0" fillId="0" borderId="0" xfId="0"/>
    <xf numFmtId="1" fontId="0" fillId="0" borderId="0" xfId="0" applyNumberFormat="1"/>
    <xf numFmtId="0" fontId="51" fillId="2" borderId="0" xfId="20" applyFont="1"/>
    <xf numFmtId="180" fontId="0" fillId="0" borderId="0" xfId="0" applyNumberFormat="1"/>
    <xf numFmtId="181" fontId="0" fillId="0" borderId="0" xfId="0" applyNumberFormat="1"/>
    <xf numFmtId="188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/>
    <xf numFmtId="190" fontId="0" fillId="0" borderId="0" xfId="0" applyNumberFormat="1"/>
    <xf numFmtId="0" fontId="0" fillId="0" borderId="0" xfId="0"/>
    <xf numFmtId="0" fontId="19" fillId="15" borderId="31" xfId="0" applyFont="1" applyFill="1" applyBorder="1" applyAlignment="1">
      <alignment horizontal="center"/>
    </xf>
    <xf numFmtId="0" fontId="19" fillId="15" borderId="32" xfId="0" applyFont="1" applyFill="1" applyBorder="1" applyAlignment="1">
      <alignment horizontal="center"/>
    </xf>
    <xf numFmtId="189" fontId="0" fillId="0" borderId="0" xfId="15" applyNumberFormat="1" applyFont="1"/>
    <xf numFmtId="1" fontId="0" fillId="0" borderId="0" xfId="0" applyNumberFormat="1"/>
    <xf numFmtId="189" fontId="0" fillId="0" borderId="0" xfId="0" applyNumberFormat="1"/>
    <xf numFmtId="10" fontId="0" fillId="43" borderId="0" xfId="0" applyNumberFormat="1" applyFill="1"/>
    <xf numFmtId="0" fontId="0" fillId="43" borderId="0" xfId="0" applyFill="1"/>
    <xf numFmtId="180" fontId="0" fillId="44" borderId="0" xfId="0" applyNumberFormat="1" applyFill="1"/>
    <xf numFmtId="0" fontId="0" fillId="44" borderId="0" xfId="0" applyFill="1"/>
    <xf numFmtId="191" fontId="0" fillId="0" borderId="0" xfId="0" applyNumberFormat="1"/>
    <xf numFmtId="191" fontId="0" fillId="44" borderId="0" xfId="0" applyNumberFormat="1" applyFill="1"/>
    <xf numFmtId="0" fontId="49" fillId="44" borderId="0" xfId="0" applyFont="1" applyFill="1"/>
  </cellXfs>
  <cellStyles count="22494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Good" xfId="20" builtinId="26"/>
    <cellStyle name="Bad" xfId="21" builtinId="27"/>
    <cellStyle name="Input" xfId="22" builtinId="20"/>
    <cellStyle name="Normal 2" xfId="23"/>
    <cellStyle name="Normal 2 2" xfId="24"/>
    <cellStyle name="Normal 3" xfId="25"/>
    <cellStyle name="NumberCellStyle" xfId="26"/>
    <cellStyle name="Currency 2" xfId="27"/>
    <cellStyle name="Normale 2" xfId="28"/>
    <cellStyle name="Normal 4" xfId="29"/>
    <cellStyle name="Normal 5" xfId="30"/>
    <cellStyle name="20% - Accent1 2" xfId="31"/>
    <cellStyle name="20% - Accent1 3" xfId="32"/>
    <cellStyle name="20% - Accent1 4" xfId="33"/>
    <cellStyle name="20% - Accent1 5" xfId="34"/>
    <cellStyle name="20% - Accent2 2" xfId="35"/>
    <cellStyle name="20% - Accent2 3" xfId="36"/>
    <cellStyle name="20% - Accent2 4" xfId="37"/>
    <cellStyle name="20% - Accent2 5" xfId="38"/>
    <cellStyle name="20% - Accent3 2" xfId="39"/>
    <cellStyle name="20% - Accent3 3" xfId="40"/>
    <cellStyle name="20% - Accent3 4" xfId="41"/>
    <cellStyle name="20% - Accent3 5" xfId="42"/>
    <cellStyle name="20% - Accent4 2" xfId="43"/>
    <cellStyle name="20% - Accent4 3" xfId="44"/>
    <cellStyle name="20% - Accent4 4" xfId="45"/>
    <cellStyle name="20% - Accent4 5" xfId="46"/>
    <cellStyle name="20% - Accent5 2" xfId="47"/>
    <cellStyle name="20% - Accent5 3" xfId="48"/>
    <cellStyle name="20% - Accent5 4" xfId="49"/>
    <cellStyle name="20% - Accent5 5" xfId="50"/>
    <cellStyle name="20% - Accent6 2" xfId="51"/>
    <cellStyle name="20% - Accent6 3" xfId="52"/>
    <cellStyle name="20% - Accent6 4" xfId="53"/>
    <cellStyle name="20% - Accent6 5" xfId="54"/>
    <cellStyle name="40% - Accent1 2" xfId="55"/>
    <cellStyle name="40% - Accent1 3" xfId="56"/>
    <cellStyle name="40% - Accent1 4" xfId="57"/>
    <cellStyle name="40% - Accent1 5" xfId="58"/>
    <cellStyle name="40% - Accent2 2" xfId="59"/>
    <cellStyle name="40% - Accent2 2 2" xfId="60"/>
    <cellStyle name="40% - Accent2 3" xfId="61"/>
    <cellStyle name="40% - Accent2 4" xfId="62"/>
    <cellStyle name="40% - Accent2 5" xfId="63"/>
    <cellStyle name="40% - Accent3 2" xfId="64"/>
    <cellStyle name="40% - Accent3 3" xfId="65"/>
    <cellStyle name="40% - Accent3 4" xfId="66"/>
    <cellStyle name="40% - Accent3 5" xfId="67"/>
    <cellStyle name="40% - Accent4 2" xfId="68"/>
    <cellStyle name="40% - Accent4 3" xfId="69"/>
    <cellStyle name="40% - Accent4 4" xfId="70"/>
    <cellStyle name="40% - Accent4 5" xfId="71"/>
    <cellStyle name="40% - Accent5 2" xfId="72"/>
    <cellStyle name="40% - Accent5 3" xfId="73"/>
    <cellStyle name="40% - Accent5 4" xfId="74"/>
    <cellStyle name="40% - Accent5 5" xfId="75"/>
    <cellStyle name="40% - Accent6 2" xfId="76"/>
    <cellStyle name="40% - Accent6 3" xfId="77"/>
    <cellStyle name="40% - Accent6 4" xfId="78"/>
    <cellStyle name="40% - Accent6 5" xfId="79"/>
    <cellStyle name="5x indented GHG Textfiels" xfId="80"/>
    <cellStyle name="5x indented GHG Textfiels 2" xfId="81"/>
    <cellStyle name="60% - Accent1 2" xfId="82"/>
    <cellStyle name="60% - Accent1 3" xfId="83"/>
    <cellStyle name="60% - Accent1 4" xfId="84"/>
    <cellStyle name="60% - Accent1 5" xfId="85"/>
    <cellStyle name="60% - Accent2 2" xfId="86"/>
    <cellStyle name="60% - Accent2 3" xfId="87"/>
    <cellStyle name="60% - Accent2 4" xfId="88"/>
    <cellStyle name="60% - Accent2 5" xfId="89"/>
    <cellStyle name="60% - Accent3 2" xfId="90"/>
    <cellStyle name="60% - Accent3 3" xfId="91"/>
    <cellStyle name="60% - Accent3 4" xfId="92"/>
    <cellStyle name="60% - Accent3 5" xfId="93"/>
    <cellStyle name="60% - Accent4 2" xfId="94"/>
    <cellStyle name="60% - Accent4 3" xfId="95"/>
    <cellStyle name="60% - Accent4 4" xfId="96"/>
    <cellStyle name="60% - Accent4 5" xfId="97"/>
    <cellStyle name="60% - Accent5 2" xfId="98"/>
    <cellStyle name="60% - Accent5 3" xfId="99"/>
    <cellStyle name="60% - Accent5 4" xfId="100"/>
    <cellStyle name="60% - Accent5 5" xfId="101"/>
    <cellStyle name="60% - Accent6 2" xfId="102"/>
    <cellStyle name="60% - Accent6 3" xfId="103"/>
    <cellStyle name="60% - Accent6 4" xfId="104"/>
    <cellStyle name="60% - Accent6 5" xfId="105"/>
    <cellStyle name="Accent1 2" xfId="106"/>
    <cellStyle name="Accent1 3" xfId="107"/>
    <cellStyle name="Accent1 4" xfId="108"/>
    <cellStyle name="Accent1 5" xfId="109"/>
    <cellStyle name="Accent2 2" xfId="110"/>
    <cellStyle name="Accent2 3" xfId="111"/>
    <cellStyle name="Accent2 4" xfId="112"/>
    <cellStyle name="Accent2 5" xfId="113"/>
    <cellStyle name="Accent3 2" xfId="114"/>
    <cellStyle name="Accent3 3" xfId="115"/>
    <cellStyle name="Accent3 4" xfId="116"/>
    <cellStyle name="Accent3 5" xfId="117"/>
    <cellStyle name="Accent4 2" xfId="118"/>
    <cellStyle name="Accent4 3" xfId="119"/>
    <cellStyle name="Accent4 4" xfId="120"/>
    <cellStyle name="Accent4 5" xfId="121"/>
    <cellStyle name="Accent5 2" xfId="122"/>
    <cellStyle name="Accent5 3" xfId="123"/>
    <cellStyle name="Accent5 4" xfId="124"/>
    <cellStyle name="Accent5 5" xfId="125"/>
    <cellStyle name="Accent6 2" xfId="126"/>
    <cellStyle name="Accent6 3" xfId="127"/>
    <cellStyle name="Accent6 4" xfId="128"/>
    <cellStyle name="Accent6 5" xfId="129"/>
    <cellStyle name="Bad 2" xfId="130"/>
    <cellStyle name="Bad 3" xfId="131"/>
    <cellStyle name="Bad 4" xfId="132"/>
    <cellStyle name="Bad 5" xfId="133"/>
    <cellStyle name="Calculation 2" xfId="134"/>
    <cellStyle name="Calculation 3" xfId="135"/>
    <cellStyle name="Calculation 4" xfId="136"/>
    <cellStyle name="Calculation 5" xfId="137"/>
    <cellStyle name="Check Cell 2" xfId="138"/>
    <cellStyle name="Check Cell 3" xfId="139"/>
    <cellStyle name="Check Cell 4" xfId="140"/>
    <cellStyle name="Check Cell 5" xfId="141"/>
    <cellStyle name="coin" xfId="142"/>
    <cellStyle name="Comma 2" xfId="143"/>
    <cellStyle name="Comma 2 2" xfId="144"/>
    <cellStyle name="Comma 2 3" xfId="145"/>
    <cellStyle name="Comma 2 3 2" xfId="146"/>
    <cellStyle name="Comma 2 4" xfId="147"/>
    <cellStyle name="Comma 2 4 2" xfId="148"/>
    <cellStyle name="Comma 2 4 3" xfId="149"/>
    <cellStyle name="CustomizationCells" xfId="150"/>
    <cellStyle name="donn_normal" xfId="151"/>
    <cellStyle name="ent_col_ser" xfId="152"/>
    <cellStyle name="entete_source" xfId="153"/>
    <cellStyle name="Euro" xfId="154"/>
    <cellStyle name="Euro 2" xfId="155"/>
    <cellStyle name="Euro 2 2" xfId="156"/>
    <cellStyle name="Euro 2 2 2" xfId="157"/>
    <cellStyle name="Euro 3" xfId="158"/>
    <cellStyle name="Euro 4" xfId="159"/>
    <cellStyle name="Euro 5" xfId="160"/>
    <cellStyle name="Euro 5 2" xfId="161"/>
    <cellStyle name="Euro 5 3" xfId="162"/>
    <cellStyle name="Euro 6" xfId="163"/>
    <cellStyle name="Euro 7" xfId="164"/>
    <cellStyle name="Explanatory Text 2" xfId="165"/>
    <cellStyle name="Explanatory Text 3" xfId="166"/>
    <cellStyle name="Explanatory Text 4" xfId="167"/>
    <cellStyle name="Explanatory Text 5" xfId="168"/>
    <cellStyle name="Float" xfId="169"/>
    <cellStyle name="Float 2" xfId="170"/>
    <cellStyle name="Good 2" xfId="171"/>
    <cellStyle name="Good 3" xfId="172"/>
    <cellStyle name="Good 4" xfId="173"/>
    <cellStyle name="Good 5" xfId="174"/>
    <cellStyle name="Good 6" xfId="175"/>
    <cellStyle name="Heading 1 2" xfId="176"/>
    <cellStyle name="Heading 1 3" xfId="177"/>
    <cellStyle name="Heading 1 4" xfId="178"/>
    <cellStyle name="Heading 1 5" xfId="179"/>
    <cellStyle name="Heading 2 2" xfId="180"/>
    <cellStyle name="Heading 2 3" xfId="181"/>
    <cellStyle name="Heading 2 4" xfId="182"/>
    <cellStyle name="Heading 2 5" xfId="183"/>
    <cellStyle name="Heading 3 2" xfId="184"/>
    <cellStyle name="Heading 3 3" xfId="185"/>
    <cellStyle name="Heading 3 4" xfId="186"/>
    <cellStyle name="Heading 3 5" xfId="187"/>
    <cellStyle name="Heading 4 2" xfId="188"/>
    <cellStyle name="Heading 4 3" xfId="189"/>
    <cellStyle name="Heading 4 4" xfId="190"/>
    <cellStyle name="Heading 4 5" xfId="191"/>
    <cellStyle name="Hyperlink 2" xfId="192"/>
    <cellStyle name="Input 2" xfId="193"/>
    <cellStyle name="Input 3" xfId="194"/>
    <cellStyle name="Input 3 2" xfId="195"/>
    <cellStyle name="Input 4" xfId="196"/>
    <cellStyle name="Input 5" xfId="197"/>
    <cellStyle name="InputCells" xfId="198"/>
    <cellStyle name="ligne_titre_0" xfId="199"/>
    <cellStyle name="Linked Cell 2" xfId="200"/>
    <cellStyle name="Linked Cell 3" xfId="201"/>
    <cellStyle name="Linked Cell 4" xfId="202"/>
    <cellStyle name="Linked Cell 5" xfId="203"/>
    <cellStyle name="Neutral 2" xfId="204"/>
    <cellStyle name="Neutral 3" xfId="205"/>
    <cellStyle name="Neutral 4" xfId="206"/>
    <cellStyle name="Neutral 5" xfId="207"/>
    <cellStyle name="Normal 10" xfId="208"/>
    <cellStyle name="Normal 10 2" xfId="209"/>
    <cellStyle name="Normal 11" xfId="210"/>
    <cellStyle name="Normal 12" xfId="211"/>
    <cellStyle name="Normal 13 10" xfId="212"/>
    <cellStyle name="Normal 2 2 2" xfId="213"/>
    <cellStyle name="Normal 2 2 3" xfId="214"/>
    <cellStyle name="Normal 2 2 4" xfId="215"/>
    <cellStyle name="Normal 2 3" xfId="216"/>
    <cellStyle name="Normal 2 3 2" xfId="217"/>
    <cellStyle name="Normal 2 3 3" xfId="218"/>
    <cellStyle name="Normal 2 3 4" xfId="219"/>
    <cellStyle name="Normal 2 3 5" xfId="220"/>
    <cellStyle name="Normal 2 4" xfId="221"/>
    <cellStyle name="Normal 2 5" xfId="222"/>
    <cellStyle name="Normal 2 6" xfId="223"/>
    <cellStyle name="Normal 2 7" xfId="224"/>
    <cellStyle name="Normal 3 2" xfId="225"/>
    <cellStyle name="Normal 3 2 2" xfId="226"/>
    <cellStyle name="Normal 3 2 3" xfId="227"/>
    <cellStyle name="Normal 3 2 4" xfId="228"/>
    <cellStyle name="Normal 3 3" xfId="229"/>
    <cellStyle name="Normal 3 3 2" xfId="230"/>
    <cellStyle name="Normal 3 3 3" xfId="231"/>
    <cellStyle name="Normal 3 3 4" xfId="232"/>
    <cellStyle name="Normal 3 4" xfId="233"/>
    <cellStyle name="Normal 3 4 2" xfId="234"/>
    <cellStyle name="Normal 3 5" xfId="235"/>
    <cellStyle name="Normal 3 6" xfId="236"/>
    <cellStyle name="Normal 3 7" xfId="237"/>
    <cellStyle name="Normal 4 2" xfId="238"/>
    <cellStyle name="Normal 4 2 2" xfId="239"/>
    <cellStyle name="Normal 4 2 3" xfId="240"/>
    <cellStyle name="Normal 4 2 4" xfId="241"/>
    <cellStyle name="Normal 4 3" xfId="242"/>
    <cellStyle name="Normal 4 3 2" xfId="243"/>
    <cellStyle name="Normal 4 4" xfId="244"/>
    <cellStyle name="Normal 4 5" xfId="245"/>
    <cellStyle name="Normal 4 6" xfId="246"/>
    <cellStyle name="Normal 4 7" xfId="247"/>
    <cellStyle name="Normal 5 2" xfId="248"/>
    <cellStyle name="Normal 5 3" xfId="249"/>
    <cellStyle name="Normal 5 4" xfId="250"/>
    <cellStyle name="Normal 5 5" xfId="251"/>
    <cellStyle name="Normal 5 6" xfId="252"/>
    <cellStyle name="Normal 5 7" xfId="253"/>
    <cellStyle name="Normal 6" xfId="254"/>
    <cellStyle name="Normal 6 2" xfId="255"/>
    <cellStyle name="Normal 6 2 2" xfId="256"/>
    <cellStyle name="Normal 6 2 3" xfId="257"/>
    <cellStyle name="Normal 6 3" xfId="258"/>
    <cellStyle name="Normal 6 3 2" xfId="259"/>
    <cellStyle name="Normal 6 4" xfId="260"/>
    <cellStyle name="Normal 6 5" xfId="261"/>
    <cellStyle name="Normal 7" xfId="262"/>
    <cellStyle name="Normal 7 2" xfId="263"/>
    <cellStyle name="Normal 7 3" xfId="264"/>
    <cellStyle name="Normal 7 4" xfId="265"/>
    <cellStyle name="Normal 8" xfId="266"/>
    <cellStyle name="Normal 8 2" xfId="267"/>
    <cellStyle name="Normal 9" xfId="268"/>
    <cellStyle name="Normal GHG Numbers (0.00)" xfId="269"/>
    <cellStyle name="Normal GHG Textfiels Bold" xfId="270"/>
    <cellStyle name="Normal GHG-Shade" xfId="271"/>
    <cellStyle name="Normal GHG-Shade 2" xfId="272"/>
    <cellStyle name="Normale_B2020" xfId="273"/>
    <cellStyle name="Note 2" xfId="274"/>
    <cellStyle name="Note 2 2" xfId="275"/>
    <cellStyle name="Note 3" xfId="276"/>
    <cellStyle name="Note 3 2" xfId="277"/>
    <cellStyle name="Note 4" xfId="278"/>
    <cellStyle name="Note 4 2" xfId="279"/>
    <cellStyle name="Note 4 3" xfId="280"/>
    <cellStyle name="Note 5" xfId="281"/>
    <cellStyle name="Note 6" xfId="282"/>
    <cellStyle name="num_note" xfId="283"/>
    <cellStyle name="Nuovo" xfId="284"/>
    <cellStyle name="Nuovo 2" xfId="285"/>
    <cellStyle name="Nuovo 2 2" xfId="286"/>
    <cellStyle name="Nuovo 2 3" xfId="287"/>
    <cellStyle name="Nuovo 3" xfId="288"/>
    <cellStyle name="Output 2" xfId="289"/>
    <cellStyle name="Output 3" xfId="290"/>
    <cellStyle name="Output 4" xfId="291"/>
    <cellStyle name="Output 5" xfId="292"/>
    <cellStyle name="Percent 2" xfId="293"/>
    <cellStyle name="Percent 2 2" xfId="294"/>
    <cellStyle name="Percent 2 2 2" xfId="295"/>
    <cellStyle name="Percent 2 2 3" xfId="296"/>
    <cellStyle name="Percent 2 2 3 2" xfId="297"/>
    <cellStyle name="Percent 2 3" xfId="298"/>
    <cellStyle name="Percent 2 3 2" xfId="299"/>
    <cellStyle name="Percent 2 3 3" xfId="300"/>
    <cellStyle name="Percent 2 3 3 2" xfId="301"/>
    <cellStyle name="Percent 2 4" xfId="302"/>
    <cellStyle name="Percent 2 5" xfId="303"/>
    <cellStyle name="Percent 2 5 2" xfId="304"/>
    <cellStyle name="Percent 2 5 3" xfId="305"/>
    <cellStyle name="Percent 2 6" xfId="306"/>
    <cellStyle name="Percent 3" xfId="307"/>
    <cellStyle name="Percent 3 2" xfId="308"/>
    <cellStyle name="Percent 3 2 2" xfId="309"/>
    <cellStyle name="Percent 3 2 3" xfId="310"/>
    <cellStyle name="Percent 3 3" xfId="311"/>
    <cellStyle name="Percent 3 3 2" xfId="312"/>
    <cellStyle name="Percent 3 3 3" xfId="313"/>
    <cellStyle name="Percent 3 3 3 2" xfId="314"/>
    <cellStyle name="Percent 3 4" xfId="315"/>
    <cellStyle name="Percent 3 4 2" xfId="316"/>
    <cellStyle name="Percent 3 5" xfId="317"/>
    <cellStyle name="Percent 3 6" xfId="318"/>
    <cellStyle name="Percent 3 6 2" xfId="319"/>
    <cellStyle name="Percent 3 6 3" xfId="320"/>
    <cellStyle name="Percent 3 7" xfId="321"/>
    <cellStyle name="Percent 4" xfId="322"/>
    <cellStyle name="Percent 4 2" xfId="323"/>
    <cellStyle name="Percent 4 2 2" xfId="324"/>
    <cellStyle name="Percent 4 3" xfId="325"/>
    <cellStyle name="Percent 4 4" xfId="326"/>
    <cellStyle name="Percent 4 5" xfId="327"/>
    <cellStyle name="Percent 4 5 2" xfId="328"/>
    <cellStyle name="Percent 5" xfId="329"/>
    <cellStyle name="Percent 5 2" xfId="330"/>
    <cellStyle name="Percent 6" xfId="331"/>
    <cellStyle name="Pilkku_Layo9704" xfId="332"/>
    <cellStyle name="Pyör. luku_Layo9704" xfId="333"/>
    <cellStyle name="Pyör. valuutta_Layo9704" xfId="334"/>
    <cellStyle name="source" xfId="335"/>
    <cellStyle name="source 2" xfId="336"/>
    <cellStyle name="source 3" xfId="337"/>
    <cellStyle name="Style 21" xfId="338"/>
    <cellStyle name="Style 21 2" xfId="339"/>
    <cellStyle name="Style 22" xfId="340"/>
    <cellStyle name="Style 23" xfId="341"/>
    <cellStyle name="Style 24" xfId="342"/>
    <cellStyle name="Style 25" xfId="343"/>
    <cellStyle name="Style 25 2" xfId="344"/>
    <cellStyle name="Style 26" xfId="345"/>
    <cellStyle name="tableau | cellule | normal | decimal 1" xfId="346"/>
    <cellStyle name="tableau | cellule | normal | pourcentage | decimal 1" xfId="347"/>
    <cellStyle name="tableau | cellule | total | decimal 1" xfId="348"/>
    <cellStyle name="tableau | coin superieur gauche" xfId="349"/>
    <cellStyle name="tableau | entete-colonne | series" xfId="350"/>
    <cellStyle name="tableau | entete-ligne | normal" xfId="351"/>
    <cellStyle name="tableau | entete-ligne | total" xfId="352"/>
    <cellStyle name="tableau | ligne-titre | niveau1" xfId="353"/>
    <cellStyle name="tableau | ligne-titre | niveau2" xfId="354"/>
    <cellStyle name="Title 2" xfId="355"/>
    <cellStyle name="Title 3" xfId="356"/>
    <cellStyle name="Title 4" xfId="357"/>
    <cellStyle name="Title 5" xfId="358"/>
    <cellStyle name="Total 2" xfId="359"/>
    <cellStyle name="Total 3" xfId="360"/>
    <cellStyle name="Total 4" xfId="361"/>
    <cellStyle name="Total 5" xfId="362"/>
    <cellStyle name="Valuutta_Layo9704" xfId="363"/>
    <cellStyle name="Warning Text 2" xfId="364"/>
    <cellStyle name="Warning Text 3" xfId="365"/>
    <cellStyle name="Warning Text 4" xfId="366"/>
    <cellStyle name="Warning Text 5" xfId="367"/>
    <cellStyle name="已访问的超链接" xfId="368"/>
    <cellStyle name="Normal 39" xfId="369"/>
    <cellStyle name="Percent 28" xfId="370"/>
    <cellStyle name="Normal 2 47" xfId="371"/>
    <cellStyle name="Normal 3 37" xfId="372"/>
    <cellStyle name="Comma 2 22" xfId="373"/>
    <cellStyle name="Comma 2 2 9" xfId="374"/>
    <cellStyle name="Comma 2 2 2" xfId="375"/>
    <cellStyle name="Comma 2 2 2 2" xfId="376"/>
    <cellStyle name="Comma 2 2 2 3" xfId="377"/>
    <cellStyle name="Comma 2 2 3" xfId="378"/>
    <cellStyle name="Comma 2 2 3 2" xfId="379"/>
    <cellStyle name="Comma 2 2 3 3" xfId="380"/>
    <cellStyle name="Comma 2 2 4" xfId="381"/>
    <cellStyle name="Comma 2 2 5" xfId="382"/>
    <cellStyle name="Comma 2 3 8" xfId="383"/>
    <cellStyle name="Comma 2 3 2 7" xfId="384"/>
    <cellStyle name="Comma 2 3 2 2" xfId="385"/>
    <cellStyle name="Comma 2 3 2 3" xfId="386"/>
    <cellStyle name="Comma 2 3 3" xfId="387"/>
    <cellStyle name="Comma 2 3 3 2" xfId="388"/>
    <cellStyle name="Comma 2 3 3 3" xfId="389"/>
    <cellStyle name="Comma 2 3 4" xfId="390"/>
    <cellStyle name="Comma 2 3 5" xfId="391"/>
    <cellStyle name="Comma 2 4 7" xfId="392"/>
    <cellStyle name="Comma 2 4 2 3" xfId="393"/>
    <cellStyle name="Comma 2 4 3 3" xfId="394"/>
    <cellStyle name="Comma 2 5" xfId="395"/>
    <cellStyle name="Comma 2 5 2" xfId="396"/>
    <cellStyle name="Comma 2 5 3" xfId="397"/>
    <cellStyle name="Comma 2 6" xfId="398"/>
    <cellStyle name="Comma 2 7" xfId="399"/>
    <cellStyle name="Euro 2 2 3" xfId="400"/>
    <cellStyle name="Euro 3 10" xfId="401"/>
    <cellStyle name="Euro 3 2" xfId="402"/>
    <cellStyle name="Euro 3 3" xfId="403"/>
    <cellStyle name="Euro 3 3 2" xfId="404"/>
    <cellStyle name="Euro 3 3 3" xfId="405"/>
    <cellStyle name="Euro 3 4" xfId="406"/>
    <cellStyle name="Euro 4 6" xfId="407"/>
    <cellStyle name="Euro 4 2" xfId="408"/>
    <cellStyle name="Euro 4 3" xfId="409"/>
    <cellStyle name="Euro 4 3 2" xfId="410"/>
    <cellStyle name="Euro 4 3 3" xfId="411"/>
    <cellStyle name="Euro 4 4" xfId="412"/>
    <cellStyle name="Euro 6 5" xfId="413"/>
    <cellStyle name="Normal 10 2 6" xfId="414"/>
    <cellStyle name="Normal 11 2" xfId="415"/>
    <cellStyle name="Normal 11 3" xfId="416"/>
    <cellStyle name="Normal 2 2 16" xfId="417"/>
    <cellStyle name="Normal 2 2 2 2" xfId="418"/>
    <cellStyle name="Normal 2 2 5" xfId="419"/>
    <cellStyle name="Normal 2 4 14" xfId="420"/>
    <cellStyle name="Normal 2 4 2" xfId="421"/>
    <cellStyle name="Normal 2 4 3" xfId="422"/>
    <cellStyle name="Normal 2 5 2" xfId="423"/>
    <cellStyle name="Normal 2 7 3" xfId="424"/>
    <cellStyle name="Normal 2 8" xfId="425"/>
    <cellStyle name="Normal 2 8 2" xfId="426"/>
    <cellStyle name="Normal 2 8 3" xfId="427"/>
    <cellStyle name="Normal 3 3 2 3" xfId="428"/>
    <cellStyle name="Normal 3 4 3" xfId="429"/>
    <cellStyle name="Normal 3 6 4" xfId="430"/>
    <cellStyle name="Normal 4 14" xfId="431"/>
    <cellStyle name="Normal 4 3 2 3" xfId="432"/>
    <cellStyle name="Normal 4 5 10" xfId="433"/>
    <cellStyle name="Normal 5 2 2" xfId="434"/>
    <cellStyle name="Normal 5 6 3" xfId="435"/>
    <cellStyle name="Normal 9 2" xfId="436"/>
    <cellStyle name="Note 3 3" xfId="437"/>
    <cellStyle name="Percent 2 2 3 3" xfId="438"/>
    <cellStyle name="Percent 2 2 4" xfId="439"/>
    <cellStyle name="Percent 2 3 3 3" xfId="440"/>
    <cellStyle name="Percent 2 3 3 3 2" xfId="441"/>
    <cellStyle name="Percent 2 3 3 3 3" xfId="442"/>
    <cellStyle name="Percent 2 3 4" xfId="443"/>
    <cellStyle name="Percent 3 2 4" xfId="444"/>
    <cellStyle name="Percent 3 3 3 3" xfId="445"/>
    <cellStyle name="Percent 3 3 3 3 2" xfId="446"/>
    <cellStyle name="Percent 3 3 3 3 3" xfId="447"/>
    <cellStyle name="Percent 3 3 4" xfId="448"/>
    <cellStyle name="Percent 3 3 5" xfId="449"/>
    <cellStyle name="Percent 3 4 3" xfId="450"/>
    <cellStyle name="Percent 4 2 3" xfId="451"/>
    <cellStyle name="Percent 5 3" xfId="452"/>
    <cellStyle name="Normal 2 9" xfId="453"/>
    <cellStyle name="Normal 10 3" xfId="454"/>
    <cellStyle name="Normal 2 10" xfId="455"/>
    <cellStyle name="Normal 13" xfId="456"/>
    <cellStyle name="Normal 14" xfId="457"/>
    <cellStyle name="Percent 7" xfId="458"/>
    <cellStyle name="Comma 2 8" xfId="459"/>
    <cellStyle name="Comma 2 2 6" xfId="460"/>
    <cellStyle name="Comma 2 2 3 4" xfId="461"/>
    <cellStyle name="Comma 2 3 6" xfId="462"/>
    <cellStyle name="Comma 2 3 2 4" xfId="463"/>
    <cellStyle name="Comma 2 3 3 4" xfId="464"/>
    <cellStyle name="Comma 2 4 4" xfId="465"/>
    <cellStyle name="Comma 2 5 4" xfId="466"/>
    <cellStyle name="Comma 2 6 2" xfId="467"/>
    <cellStyle name="Comma 2 7 2" xfId="468"/>
    <cellStyle name="Euro 2 2 4" xfId="469"/>
    <cellStyle name="Euro 3 3 4" xfId="470"/>
    <cellStyle name="Euro 4 3 4" xfId="471"/>
    <cellStyle name="Euro 5 4" xfId="472"/>
    <cellStyle name="Normal 10 2 2" xfId="473"/>
    <cellStyle name="Normal 11 4" xfId="474"/>
    <cellStyle name="Normal 2 3 6" xfId="475"/>
    <cellStyle name="Normal 2 3 2 3" xfId="476"/>
    <cellStyle name="Normal 2 3 2 2" xfId="477"/>
    <cellStyle name="Normal 2 3 4 2" xfId="478"/>
    <cellStyle name="Normal 2 5 2 2" xfId="479"/>
    <cellStyle name="Normal 2 6 3" xfId="480"/>
    <cellStyle name="Normal 2 6 2" xfId="481"/>
    <cellStyle name="Normal 2 8 4" xfId="482"/>
    <cellStyle name="Normal 2 9 2" xfId="483"/>
    <cellStyle name="Normal 3 4 4" xfId="484"/>
    <cellStyle name="Normal 4 8" xfId="485"/>
    <cellStyle name="Normal 4 3 4" xfId="486"/>
    <cellStyle name="Normal 4 3 3" xfId="487"/>
    <cellStyle name="Normal 4 5 2" xfId="488"/>
    <cellStyle name="Normal 4 6 2" xfId="489"/>
    <cellStyle name="Normal 5 5 3" xfId="490"/>
    <cellStyle name="Normal 5 5 2" xfId="491"/>
    <cellStyle name="Normal 6 2 4" xfId="492"/>
    <cellStyle name="Normal 9 3" xfId="493"/>
    <cellStyle name="Normal 9 2 2" xfId="494"/>
    <cellStyle name="Note 3 4" xfId="495"/>
    <cellStyle name="Nuovo 4" xfId="496"/>
    <cellStyle name="Percent 2 2 3 4" xfId="497"/>
    <cellStyle name="Percent 2 3 5" xfId="498"/>
    <cellStyle name="Percent 2 3 3 3 4" xfId="499"/>
    <cellStyle name="Percent 3 3 6" xfId="500"/>
    <cellStyle name="Percent 3 3 3 3 4" xfId="501"/>
    <cellStyle name="Percent 3 4 4" xfId="502"/>
    <cellStyle name="Percent 4 2 4" xfId="503"/>
    <cellStyle name="Percent 5 4" xfId="504"/>
    <cellStyle name="???????" xfId="505"/>
    <cellStyle name="20% - Accent1 10" xfId="506"/>
    <cellStyle name="20% - Accent1 11" xfId="507"/>
    <cellStyle name="20% - Accent1 12" xfId="508"/>
    <cellStyle name="20% - Accent1 13" xfId="509"/>
    <cellStyle name="20% - Accent1 14" xfId="510"/>
    <cellStyle name="20% - Accent1 15" xfId="511"/>
    <cellStyle name="20% - Accent1 16" xfId="512"/>
    <cellStyle name="20% - Accent1 17" xfId="513"/>
    <cellStyle name="20% - Accent1 18" xfId="514"/>
    <cellStyle name="20% - Accent1 19" xfId="515"/>
    <cellStyle name="20% - Accent1 20" xfId="516"/>
    <cellStyle name="20% - Accent1 21" xfId="517"/>
    <cellStyle name="20% - Accent1 22" xfId="518"/>
    <cellStyle name="20% - Accent1 23" xfId="519"/>
    <cellStyle name="20% - Accent1 24" xfId="520"/>
    <cellStyle name="20% - Accent1 25" xfId="521"/>
    <cellStyle name="20% - Accent1 26" xfId="522"/>
    <cellStyle name="20% - Accent1 27" xfId="523"/>
    <cellStyle name="20% - Accent1 28" xfId="524"/>
    <cellStyle name="20% - Accent1 29" xfId="525"/>
    <cellStyle name="20% - Accent1 3 2" xfId="526"/>
    <cellStyle name="20% - Accent1 30" xfId="527"/>
    <cellStyle name="20% - Accent1 31" xfId="528"/>
    <cellStyle name="20% - Accent1 32" xfId="529"/>
    <cellStyle name="20% - Accent1 33" xfId="530"/>
    <cellStyle name="20% - Accent1 34" xfId="531"/>
    <cellStyle name="20% - Accent1 35" xfId="532"/>
    <cellStyle name="20% - Accent1 36" xfId="533"/>
    <cellStyle name="20% - Accent1 37" xfId="534"/>
    <cellStyle name="20% - Accent1 38" xfId="535"/>
    <cellStyle name="20% - Accent1 39" xfId="536"/>
    <cellStyle name="20% - Accent1 40" xfId="537"/>
    <cellStyle name="20% - Accent1 41" xfId="538"/>
    <cellStyle name="20% - Accent1 42" xfId="539"/>
    <cellStyle name="20% - Accent1 43" xfId="540"/>
    <cellStyle name="20% - Accent1 6" xfId="541"/>
    <cellStyle name="20% - Accent1 7" xfId="542"/>
    <cellStyle name="20% - Accent1 8" xfId="543"/>
    <cellStyle name="20% - Accent1 9" xfId="544"/>
    <cellStyle name="20% - Accent2 10" xfId="545"/>
    <cellStyle name="20% - Accent2 11" xfId="546"/>
    <cellStyle name="20% - Accent2 12" xfId="547"/>
    <cellStyle name="20% - Accent2 13" xfId="548"/>
    <cellStyle name="20% - Accent2 14" xfId="549"/>
    <cellStyle name="20% - Accent2 15" xfId="550"/>
    <cellStyle name="20% - Accent2 16" xfId="551"/>
    <cellStyle name="20% - Accent2 17" xfId="552"/>
    <cellStyle name="20% - Accent2 18" xfId="553"/>
    <cellStyle name="20% - Accent2 19" xfId="554"/>
    <cellStyle name="20% - Accent2 20" xfId="555"/>
    <cellStyle name="20% - Accent2 21" xfId="556"/>
    <cellStyle name="20% - Accent2 22" xfId="557"/>
    <cellStyle name="20% - Accent2 23" xfId="558"/>
    <cellStyle name="20% - Accent2 24" xfId="559"/>
    <cellStyle name="20% - Accent2 25" xfId="560"/>
    <cellStyle name="20% - Accent2 26" xfId="561"/>
    <cellStyle name="20% - Accent2 27" xfId="562"/>
    <cellStyle name="20% - Accent2 28" xfId="563"/>
    <cellStyle name="20% - Accent2 29" xfId="564"/>
    <cellStyle name="20% - Accent2 3 2" xfId="565"/>
    <cellStyle name="20% - Accent2 30" xfId="566"/>
    <cellStyle name="20% - Accent2 31" xfId="567"/>
    <cellStyle name="20% - Accent2 32" xfId="568"/>
    <cellStyle name="20% - Accent2 33" xfId="569"/>
    <cellStyle name="20% - Accent2 34" xfId="570"/>
    <cellStyle name="20% - Accent2 35" xfId="571"/>
    <cellStyle name="20% - Accent2 36" xfId="572"/>
    <cellStyle name="20% - Accent2 37" xfId="573"/>
    <cellStyle name="20% - Accent2 38" xfId="574"/>
    <cellStyle name="20% - Accent2 39" xfId="575"/>
    <cellStyle name="20% - Accent2 40" xfId="576"/>
    <cellStyle name="20% - Accent2 41" xfId="577"/>
    <cellStyle name="20% - Accent2 42" xfId="578"/>
    <cellStyle name="20% - Accent2 43" xfId="579"/>
    <cellStyle name="20% - Accent2 6" xfId="580"/>
    <cellStyle name="20% - Accent2 7" xfId="581"/>
    <cellStyle name="20% - Accent2 8" xfId="582"/>
    <cellStyle name="20% - Accent2 9" xfId="583"/>
    <cellStyle name="20% - Accent3 10" xfId="584"/>
    <cellStyle name="20% - Accent3 11" xfId="585"/>
    <cellStyle name="20% - Accent3 12" xfId="586"/>
    <cellStyle name="20% - Accent3 13" xfId="587"/>
    <cellStyle name="20% - Accent3 14" xfId="588"/>
    <cellStyle name="20% - Accent3 15" xfId="589"/>
    <cellStyle name="20% - Accent3 16" xfId="590"/>
    <cellStyle name="20% - Accent3 17" xfId="591"/>
    <cellStyle name="20% - Accent3 18" xfId="592"/>
    <cellStyle name="20% - Accent3 19" xfId="593"/>
    <cellStyle name="20% - Accent3 20" xfId="594"/>
    <cellStyle name="20% - Accent3 21" xfId="595"/>
    <cellStyle name="20% - Accent3 22" xfId="596"/>
    <cellStyle name="20% - Accent3 23" xfId="597"/>
    <cellStyle name="20% - Accent3 24" xfId="598"/>
    <cellStyle name="20% - Accent3 25" xfId="599"/>
    <cellStyle name="20% - Accent3 26" xfId="600"/>
    <cellStyle name="20% - Accent3 27" xfId="601"/>
    <cellStyle name="20% - Accent3 28" xfId="602"/>
    <cellStyle name="20% - Accent3 29" xfId="603"/>
    <cellStyle name="20% - Accent3 3 2" xfId="604"/>
    <cellStyle name="20% - Accent3 30" xfId="605"/>
    <cellStyle name="20% - Accent3 31" xfId="606"/>
    <cellStyle name="20% - Accent3 32" xfId="607"/>
    <cellStyle name="20% - Accent3 33" xfId="608"/>
    <cellStyle name="20% - Accent3 34" xfId="609"/>
    <cellStyle name="20% - Accent3 35" xfId="610"/>
    <cellStyle name="20% - Accent3 36" xfId="611"/>
    <cellStyle name="20% - Accent3 37" xfId="612"/>
    <cellStyle name="20% - Accent3 38" xfId="613"/>
    <cellStyle name="20% - Accent3 39" xfId="614"/>
    <cellStyle name="20% - Accent3 40" xfId="615"/>
    <cellStyle name="20% - Accent3 41" xfId="616"/>
    <cellStyle name="20% - Accent3 42" xfId="617"/>
    <cellStyle name="20% - Accent3 43" xfId="618"/>
    <cellStyle name="20% - Accent3 6" xfId="619"/>
    <cellStyle name="20% - Accent3 7" xfId="620"/>
    <cellStyle name="20% - Accent3 8" xfId="621"/>
    <cellStyle name="20% - Accent3 9" xfId="622"/>
    <cellStyle name="20% - Accent4 10" xfId="623"/>
    <cellStyle name="20% - Accent4 11" xfId="624"/>
    <cellStyle name="20% - Accent4 12" xfId="625"/>
    <cellStyle name="20% - Accent4 13" xfId="626"/>
    <cellStyle name="20% - Accent4 14" xfId="627"/>
    <cellStyle name="20% - Accent4 15" xfId="628"/>
    <cellStyle name="20% - Accent4 16" xfId="629"/>
    <cellStyle name="20% - Accent4 17" xfId="630"/>
    <cellStyle name="20% - Accent4 18" xfId="631"/>
    <cellStyle name="20% - Accent4 19" xfId="632"/>
    <cellStyle name="20% - Accent4 20" xfId="633"/>
    <cellStyle name="20% - Accent4 21" xfId="634"/>
    <cellStyle name="20% - Accent4 22" xfId="635"/>
    <cellStyle name="20% - Accent4 23" xfId="636"/>
    <cellStyle name="20% - Accent4 24" xfId="637"/>
    <cellStyle name="20% - Accent4 25" xfId="638"/>
    <cellStyle name="20% - Accent4 26" xfId="639"/>
    <cellStyle name="20% - Accent4 27" xfId="640"/>
    <cellStyle name="20% - Accent4 28" xfId="641"/>
    <cellStyle name="20% - Accent4 29" xfId="642"/>
    <cellStyle name="20% - Accent4 3 2" xfId="643"/>
    <cellStyle name="20% - Accent4 30" xfId="644"/>
    <cellStyle name="20% - Accent4 31" xfId="645"/>
    <cellStyle name="20% - Accent4 32" xfId="646"/>
    <cellStyle name="20% - Accent4 33" xfId="647"/>
    <cellStyle name="20% - Accent4 34" xfId="648"/>
    <cellStyle name="20% - Accent4 35" xfId="649"/>
    <cellStyle name="20% - Accent4 36" xfId="650"/>
    <cellStyle name="20% - Accent4 37" xfId="651"/>
    <cellStyle name="20% - Accent4 38" xfId="652"/>
    <cellStyle name="20% - Accent4 39" xfId="653"/>
    <cellStyle name="20% - Accent4 40" xfId="654"/>
    <cellStyle name="20% - Accent4 41" xfId="655"/>
    <cellStyle name="20% - Accent4 42" xfId="656"/>
    <cellStyle name="20% - Accent4 43" xfId="657"/>
    <cellStyle name="20% - Accent4 6" xfId="658"/>
    <cellStyle name="20% - Accent4 7" xfId="659"/>
    <cellStyle name="20% - Accent4 8" xfId="660"/>
    <cellStyle name="20% - Accent4 9" xfId="661"/>
    <cellStyle name="20% - Accent5 10" xfId="662"/>
    <cellStyle name="20% - Accent5 11" xfId="663"/>
    <cellStyle name="20% - Accent5 12" xfId="664"/>
    <cellStyle name="20% - Accent5 13" xfId="665"/>
    <cellStyle name="20% - Accent5 14" xfId="666"/>
    <cellStyle name="20% - Accent5 15" xfId="667"/>
    <cellStyle name="20% - Accent5 16" xfId="668"/>
    <cellStyle name="20% - Accent5 17" xfId="669"/>
    <cellStyle name="20% - Accent5 18" xfId="670"/>
    <cellStyle name="20% - Accent5 19" xfId="671"/>
    <cellStyle name="20% - Accent5 20" xfId="672"/>
    <cellStyle name="20% - Accent5 21" xfId="673"/>
    <cellStyle name="20% - Accent5 22" xfId="674"/>
    <cellStyle name="20% - Accent5 23" xfId="675"/>
    <cellStyle name="20% - Accent5 24" xfId="676"/>
    <cellStyle name="20% - Accent5 25" xfId="677"/>
    <cellStyle name="20% - Accent5 26" xfId="678"/>
    <cellStyle name="20% - Accent5 27" xfId="679"/>
    <cellStyle name="20% - Accent5 28" xfId="680"/>
    <cellStyle name="20% - Accent5 29" xfId="681"/>
    <cellStyle name="20% - Accent5 3 2" xfId="682"/>
    <cellStyle name="20% - Accent5 30" xfId="683"/>
    <cellStyle name="20% - Accent5 31" xfId="684"/>
    <cellStyle name="20% - Accent5 32" xfId="685"/>
    <cellStyle name="20% - Accent5 33" xfId="686"/>
    <cellStyle name="20% - Accent5 34" xfId="687"/>
    <cellStyle name="20% - Accent5 35" xfId="688"/>
    <cellStyle name="20% - Accent5 36" xfId="689"/>
    <cellStyle name="20% - Accent5 37" xfId="690"/>
    <cellStyle name="20% - Accent5 38" xfId="691"/>
    <cellStyle name="20% - Accent5 39" xfId="692"/>
    <cellStyle name="20% - Accent5 40" xfId="693"/>
    <cellStyle name="20% - Accent5 41" xfId="694"/>
    <cellStyle name="20% - Accent5 42" xfId="695"/>
    <cellStyle name="20% - Accent5 43" xfId="696"/>
    <cellStyle name="20% - Accent5 6" xfId="697"/>
    <cellStyle name="20% - Accent5 7" xfId="698"/>
    <cellStyle name="20% - Accent5 8" xfId="699"/>
    <cellStyle name="20% - Accent5 9" xfId="700"/>
    <cellStyle name="20% - Accent6 10" xfId="701"/>
    <cellStyle name="20% - Accent6 11" xfId="702"/>
    <cellStyle name="20% - Accent6 12" xfId="703"/>
    <cellStyle name="20% - Accent6 13" xfId="704"/>
    <cellStyle name="20% - Accent6 14" xfId="705"/>
    <cellStyle name="20% - Accent6 15" xfId="706"/>
    <cellStyle name="20% - Accent6 16" xfId="707"/>
    <cellStyle name="20% - Accent6 17" xfId="708"/>
    <cellStyle name="20% - Accent6 18" xfId="709"/>
    <cellStyle name="20% - Accent6 19" xfId="710"/>
    <cellStyle name="20% - Accent6 20" xfId="711"/>
    <cellStyle name="20% - Accent6 21" xfId="712"/>
    <cellStyle name="20% - Accent6 22" xfId="713"/>
    <cellStyle name="20% - Accent6 23" xfId="714"/>
    <cellStyle name="20% - Accent6 24" xfId="715"/>
    <cellStyle name="20% - Accent6 25" xfId="716"/>
    <cellStyle name="20% - Accent6 26" xfId="717"/>
    <cellStyle name="20% - Accent6 27" xfId="718"/>
    <cellStyle name="20% - Accent6 28" xfId="719"/>
    <cellStyle name="20% - Accent6 29" xfId="720"/>
    <cellStyle name="20% - Accent6 3 2" xfId="721"/>
    <cellStyle name="20% - Accent6 30" xfId="722"/>
    <cellStyle name="20% - Accent6 31" xfId="723"/>
    <cellStyle name="20% - Accent6 32" xfId="724"/>
    <cellStyle name="20% - Accent6 33" xfId="725"/>
    <cellStyle name="20% - Accent6 34" xfId="726"/>
    <cellStyle name="20% - Accent6 35" xfId="727"/>
    <cellStyle name="20% - Accent6 36" xfId="728"/>
    <cellStyle name="20% - Accent6 37" xfId="729"/>
    <cellStyle name="20% - Accent6 38" xfId="730"/>
    <cellStyle name="20% - Accent6 39" xfId="731"/>
    <cellStyle name="20% - Accent6 40" xfId="732"/>
    <cellStyle name="20% - Accent6 41" xfId="733"/>
    <cellStyle name="20% - Accent6 42" xfId="734"/>
    <cellStyle name="20% - Accent6 43" xfId="735"/>
    <cellStyle name="20% - Accent6 44" xfId="736"/>
    <cellStyle name="20% - Accent6 6" xfId="737"/>
    <cellStyle name="20% - Accent6 7" xfId="738"/>
    <cellStyle name="20% - Accent6 8" xfId="739"/>
    <cellStyle name="20% - Accent6 9" xfId="740"/>
    <cellStyle name="20% - Akzent1" xfId="741"/>
    <cellStyle name="20% - Akzent2" xfId="742"/>
    <cellStyle name="20% - Akzent3" xfId="743"/>
    <cellStyle name="20% - Akzent4" xfId="744"/>
    <cellStyle name="20% - Akzent5" xfId="745"/>
    <cellStyle name="20% - Akzent6" xfId="746"/>
    <cellStyle name="2x indented GHG Textfiels" xfId="747"/>
    <cellStyle name="40% - Accent1 10" xfId="748"/>
    <cellStyle name="40% - Accent1 11" xfId="749"/>
    <cellStyle name="40% - Accent1 12" xfId="750"/>
    <cellStyle name="40% - Accent1 13" xfId="751"/>
    <cellStyle name="40% - Accent1 14" xfId="752"/>
    <cellStyle name="40% - Accent1 15" xfId="753"/>
    <cellStyle name="40% - Accent1 16" xfId="754"/>
    <cellStyle name="40% - Accent1 17" xfId="755"/>
    <cellStyle name="40% - Accent1 18" xfId="756"/>
    <cellStyle name="40% - Accent1 19" xfId="757"/>
    <cellStyle name="40% - Accent1 20" xfId="758"/>
    <cellStyle name="40% - Accent1 21" xfId="759"/>
    <cellStyle name="40% - Accent1 22" xfId="760"/>
    <cellStyle name="40% - Accent1 23" xfId="761"/>
    <cellStyle name="40% - Accent1 24" xfId="762"/>
    <cellStyle name="40% - Accent1 25" xfId="763"/>
    <cellStyle name="40% - Accent1 26" xfId="764"/>
    <cellStyle name="40% - Accent1 27" xfId="765"/>
    <cellStyle name="40% - Accent1 28" xfId="766"/>
    <cellStyle name="40% - Accent1 29" xfId="767"/>
    <cellStyle name="40% - Accent1 3 2" xfId="768"/>
    <cellStyle name="40% - Accent1 30" xfId="769"/>
    <cellStyle name="40% - Accent1 31" xfId="770"/>
    <cellStyle name="40% - Accent1 32" xfId="771"/>
    <cellStyle name="40% - Accent1 33" xfId="772"/>
    <cellStyle name="40% - Accent1 34" xfId="773"/>
    <cellStyle name="40% - Accent1 35" xfId="774"/>
    <cellStyle name="40% - Accent1 36" xfId="775"/>
    <cellStyle name="40% - Accent1 37" xfId="776"/>
    <cellStyle name="40% - Accent1 38" xfId="777"/>
    <cellStyle name="40% - Accent1 39" xfId="778"/>
    <cellStyle name="40% - Accent1 40" xfId="779"/>
    <cellStyle name="40% - Accent1 41" xfId="780"/>
    <cellStyle name="40% - Accent1 42" xfId="781"/>
    <cellStyle name="40% - Accent1 43" xfId="782"/>
    <cellStyle name="40% - Accent1 6" xfId="783"/>
    <cellStyle name="40% - Accent1 7" xfId="784"/>
    <cellStyle name="40% - Accent1 8" xfId="785"/>
    <cellStyle name="40% - Accent1 9" xfId="786"/>
    <cellStyle name="40% - Accent2 10" xfId="787"/>
    <cellStyle name="40% - Accent2 11" xfId="788"/>
    <cellStyle name="40% - Accent2 12" xfId="789"/>
    <cellStyle name="40% - Accent2 13" xfId="790"/>
    <cellStyle name="40% - Accent2 14" xfId="791"/>
    <cellStyle name="40% - Accent2 15" xfId="792"/>
    <cellStyle name="40% - Accent2 16" xfId="793"/>
    <cellStyle name="40% - Accent2 17" xfId="794"/>
    <cellStyle name="40% - Accent2 18" xfId="795"/>
    <cellStyle name="40% - Accent2 19" xfId="796"/>
    <cellStyle name="40% - Accent2 20" xfId="797"/>
    <cellStyle name="40% - Accent2 21" xfId="798"/>
    <cellStyle name="40% - Accent2 22" xfId="799"/>
    <cellStyle name="40% - Accent2 23" xfId="800"/>
    <cellStyle name="40% - Accent2 24" xfId="801"/>
    <cellStyle name="40% - Accent2 25" xfId="802"/>
    <cellStyle name="40% - Accent2 26" xfId="803"/>
    <cellStyle name="40% - Accent2 27" xfId="804"/>
    <cellStyle name="40% - Accent2 28" xfId="805"/>
    <cellStyle name="40% - Accent2 29" xfId="806"/>
    <cellStyle name="40% - Accent2 3 2" xfId="807"/>
    <cellStyle name="40% - Accent2 30" xfId="808"/>
    <cellStyle name="40% - Accent2 31" xfId="809"/>
    <cellStyle name="40% - Accent2 32" xfId="810"/>
    <cellStyle name="40% - Accent2 33" xfId="811"/>
    <cellStyle name="40% - Accent2 34" xfId="812"/>
    <cellStyle name="40% - Accent2 35" xfId="813"/>
    <cellStyle name="40% - Accent2 36" xfId="814"/>
    <cellStyle name="40% - Accent2 37" xfId="815"/>
    <cellStyle name="40% - Accent2 38" xfId="816"/>
    <cellStyle name="40% - Accent2 39" xfId="817"/>
    <cellStyle name="40% - Accent2 40" xfId="818"/>
    <cellStyle name="40% - Accent2 41" xfId="819"/>
    <cellStyle name="40% - Accent2 42" xfId="820"/>
    <cellStyle name="40% - Accent2 43" xfId="821"/>
    <cellStyle name="40% - Accent2 6" xfId="822"/>
    <cellStyle name="40% - Accent2 7" xfId="823"/>
    <cellStyle name="40% - Accent2 8" xfId="824"/>
    <cellStyle name="40% - Accent2 9" xfId="825"/>
    <cellStyle name="40% - Accent3 10" xfId="826"/>
    <cellStyle name="40% - Accent3 11" xfId="827"/>
    <cellStyle name="40% - Accent3 12" xfId="828"/>
    <cellStyle name="40% - Accent3 13" xfId="829"/>
    <cellStyle name="40% - Accent3 14" xfId="830"/>
    <cellStyle name="40% - Accent3 15" xfId="831"/>
    <cellStyle name="40% - Accent3 16" xfId="832"/>
    <cellStyle name="40% - Accent3 17" xfId="833"/>
    <cellStyle name="40% - Accent3 18" xfId="834"/>
    <cellStyle name="40% - Accent3 19" xfId="835"/>
    <cellStyle name="40% - Accent3 20" xfId="836"/>
    <cellStyle name="40% - Accent3 21" xfId="837"/>
    <cellStyle name="40% - Accent3 22" xfId="838"/>
    <cellStyle name="40% - Accent3 23" xfId="839"/>
    <cellStyle name="40% - Accent3 24" xfId="840"/>
    <cellStyle name="40% - Accent3 25" xfId="841"/>
    <cellStyle name="40% - Accent3 26" xfId="842"/>
    <cellStyle name="40% - Accent3 27" xfId="843"/>
    <cellStyle name="40% - Accent3 28" xfId="844"/>
    <cellStyle name="40% - Accent3 29" xfId="845"/>
    <cellStyle name="40% - Accent3 3 2" xfId="846"/>
    <cellStyle name="40% - Accent3 30" xfId="847"/>
    <cellStyle name="40% - Accent3 31" xfId="848"/>
    <cellStyle name="40% - Accent3 32" xfId="849"/>
    <cellStyle name="40% - Accent3 33" xfId="850"/>
    <cellStyle name="40% - Accent3 34" xfId="851"/>
    <cellStyle name="40% - Accent3 35" xfId="852"/>
    <cellStyle name="40% - Accent3 36" xfId="853"/>
    <cellStyle name="40% - Accent3 37" xfId="854"/>
    <cellStyle name="40% - Accent3 38" xfId="855"/>
    <cellStyle name="40% - Accent3 39" xfId="856"/>
    <cellStyle name="40% - Accent3 40" xfId="857"/>
    <cellStyle name="40% - Accent3 41" xfId="858"/>
    <cellStyle name="40% - Accent3 42" xfId="859"/>
    <cellStyle name="40% - Accent3 43" xfId="860"/>
    <cellStyle name="40% - Accent3 6" xfId="861"/>
    <cellStyle name="40% - Accent3 7" xfId="862"/>
    <cellStyle name="40% - Accent3 8" xfId="863"/>
    <cellStyle name="40% - Accent3 9" xfId="864"/>
    <cellStyle name="40% - Accent4 10" xfId="865"/>
    <cellStyle name="40% - Accent4 11" xfId="866"/>
    <cellStyle name="40% - Accent4 12" xfId="867"/>
    <cellStyle name="40% - Accent4 13" xfId="868"/>
    <cellStyle name="40% - Accent4 14" xfId="869"/>
    <cellStyle name="40% - Accent4 15" xfId="870"/>
    <cellStyle name="40% - Accent4 16" xfId="871"/>
    <cellStyle name="40% - Accent4 17" xfId="872"/>
    <cellStyle name="40% - Accent4 18" xfId="873"/>
    <cellStyle name="40% - Accent4 19" xfId="874"/>
    <cellStyle name="40% - Accent4 20" xfId="875"/>
    <cellStyle name="40% - Accent4 21" xfId="876"/>
    <cellStyle name="40% - Accent4 22" xfId="877"/>
    <cellStyle name="40% - Accent4 23" xfId="878"/>
    <cellStyle name="40% - Accent4 24" xfId="879"/>
    <cellStyle name="40% - Accent4 25" xfId="880"/>
    <cellStyle name="40% - Accent4 26" xfId="881"/>
    <cellStyle name="40% - Accent4 27" xfId="882"/>
    <cellStyle name="40% - Accent4 28" xfId="883"/>
    <cellStyle name="40% - Accent4 29" xfId="884"/>
    <cellStyle name="40% - Accent4 3 2" xfId="885"/>
    <cellStyle name="40% - Accent4 30" xfId="886"/>
    <cellStyle name="40% - Accent4 31" xfId="887"/>
    <cellStyle name="40% - Accent4 32" xfId="888"/>
    <cellStyle name="40% - Accent4 33" xfId="889"/>
    <cellStyle name="40% - Accent4 34" xfId="890"/>
    <cellStyle name="40% - Accent4 35" xfId="891"/>
    <cellStyle name="40% - Accent4 36" xfId="892"/>
    <cellStyle name="40% - Accent4 37" xfId="893"/>
    <cellStyle name="40% - Accent4 38" xfId="894"/>
    <cellStyle name="40% - Accent4 39" xfId="895"/>
    <cellStyle name="40% - Accent4 40" xfId="896"/>
    <cellStyle name="40% - Accent4 41" xfId="897"/>
    <cellStyle name="40% - Accent4 42" xfId="898"/>
    <cellStyle name="40% - Accent4 43" xfId="899"/>
    <cellStyle name="40% - Accent4 6" xfId="900"/>
    <cellStyle name="40% - Accent4 7" xfId="901"/>
    <cellStyle name="40% - Accent4 8" xfId="902"/>
    <cellStyle name="40% - Accent4 9" xfId="903"/>
    <cellStyle name="40% - Accent5 10" xfId="904"/>
    <cellStyle name="40% - Accent5 11" xfId="905"/>
    <cellStyle name="40% - Accent5 12" xfId="906"/>
    <cellStyle name="40% - Accent5 13" xfId="907"/>
    <cellStyle name="40% - Accent5 14" xfId="908"/>
    <cellStyle name="40% - Accent5 15" xfId="909"/>
    <cellStyle name="40% - Accent5 16" xfId="910"/>
    <cellStyle name="40% - Accent5 17" xfId="911"/>
    <cellStyle name="40% - Accent5 18" xfId="912"/>
    <cellStyle name="40% - Accent5 19" xfId="913"/>
    <cellStyle name="40% - Accent5 20" xfId="914"/>
    <cellStyle name="40% - Accent5 21" xfId="915"/>
    <cellStyle name="40% - Accent5 22" xfId="916"/>
    <cellStyle name="40% - Accent5 23" xfId="917"/>
    <cellStyle name="40% - Accent5 24" xfId="918"/>
    <cellStyle name="40% - Accent5 25" xfId="919"/>
    <cellStyle name="40% - Accent5 26" xfId="920"/>
    <cellStyle name="40% - Accent5 27" xfId="921"/>
    <cellStyle name="40% - Accent5 28" xfId="922"/>
    <cellStyle name="40% - Accent5 29" xfId="923"/>
    <cellStyle name="40% - Accent5 3 2" xfId="924"/>
    <cellStyle name="40% - Accent5 30" xfId="925"/>
    <cellStyle name="40% - Accent5 31" xfId="926"/>
    <cellStyle name="40% - Accent5 32" xfId="927"/>
    <cellStyle name="40% - Accent5 33" xfId="928"/>
    <cellStyle name="40% - Accent5 34" xfId="929"/>
    <cellStyle name="40% - Accent5 35" xfId="930"/>
    <cellStyle name="40% - Accent5 36" xfId="931"/>
    <cellStyle name="40% - Accent5 37" xfId="932"/>
    <cellStyle name="40% - Accent5 38" xfId="933"/>
    <cellStyle name="40% - Accent5 39" xfId="934"/>
    <cellStyle name="40% - Accent5 40" xfId="935"/>
    <cellStyle name="40% - Accent5 41" xfId="936"/>
    <cellStyle name="40% - Accent5 42" xfId="937"/>
    <cellStyle name="40% - Accent5 43" xfId="938"/>
    <cellStyle name="40% - Accent5 6" xfId="939"/>
    <cellStyle name="40% - Accent5 7" xfId="940"/>
    <cellStyle name="40% - Accent5 8" xfId="941"/>
    <cellStyle name="40% - Accent5 9" xfId="942"/>
    <cellStyle name="40% - Accent6 10" xfId="943"/>
    <cellStyle name="40% - Accent6 11" xfId="944"/>
    <cellStyle name="40% - Accent6 12" xfId="945"/>
    <cellStyle name="40% - Accent6 13" xfId="946"/>
    <cellStyle name="40% - Accent6 14" xfId="947"/>
    <cellStyle name="40% - Accent6 15" xfId="948"/>
    <cellStyle name="40% - Accent6 16" xfId="949"/>
    <cellStyle name="40% - Accent6 17" xfId="950"/>
    <cellStyle name="40% - Accent6 18" xfId="951"/>
    <cellStyle name="40% - Accent6 19" xfId="952"/>
    <cellStyle name="40% - Accent6 20" xfId="953"/>
    <cellStyle name="40% - Accent6 21" xfId="954"/>
    <cellStyle name="40% - Accent6 22" xfId="955"/>
    <cellStyle name="40% - Accent6 23" xfId="956"/>
    <cellStyle name="40% - Accent6 24" xfId="957"/>
    <cellStyle name="40% - Accent6 25" xfId="958"/>
    <cellStyle name="40% - Accent6 26" xfId="959"/>
    <cellStyle name="40% - Accent6 27" xfId="960"/>
    <cellStyle name="40% - Accent6 28" xfId="961"/>
    <cellStyle name="40% - Accent6 29" xfId="962"/>
    <cellStyle name="40% - Accent6 3 2" xfId="963"/>
    <cellStyle name="40% - Accent6 30" xfId="964"/>
    <cellStyle name="40% - Accent6 31" xfId="965"/>
    <cellStyle name="40% - Accent6 32" xfId="966"/>
    <cellStyle name="40% - Accent6 33" xfId="967"/>
    <cellStyle name="40% - Accent6 34" xfId="968"/>
    <cellStyle name="40% - Accent6 35" xfId="969"/>
    <cellStyle name="40% - Accent6 36" xfId="970"/>
    <cellStyle name="40% - Accent6 37" xfId="971"/>
    <cellStyle name="40% - Accent6 38" xfId="972"/>
    <cellStyle name="40% - Accent6 39" xfId="973"/>
    <cellStyle name="40% - Accent6 40" xfId="974"/>
    <cellStyle name="40% - Accent6 41" xfId="975"/>
    <cellStyle name="40% - Accent6 42" xfId="976"/>
    <cellStyle name="40% - Accent6 43" xfId="977"/>
    <cellStyle name="40% - Accent6 6" xfId="978"/>
    <cellStyle name="40% - Accent6 7" xfId="979"/>
    <cellStyle name="40% - Accent6 8" xfId="980"/>
    <cellStyle name="40% - Accent6 9" xfId="981"/>
    <cellStyle name="40% - Akzent1" xfId="982"/>
    <cellStyle name="40% - Akzent2" xfId="983"/>
    <cellStyle name="40% - Akzent3" xfId="984"/>
    <cellStyle name="40% - Akzent4" xfId="985"/>
    <cellStyle name="40% - Akzent5" xfId="986"/>
    <cellStyle name="40% - Akzent6" xfId="987"/>
    <cellStyle name="60% - Accent1 10" xfId="988"/>
    <cellStyle name="60% - Accent1 11" xfId="989"/>
    <cellStyle name="60% - Accent1 12" xfId="990"/>
    <cellStyle name="60% - Accent1 13" xfId="991"/>
    <cellStyle name="60% - Accent1 14" xfId="992"/>
    <cellStyle name="60% - Accent1 15" xfId="993"/>
    <cellStyle name="60% - Accent1 16" xfId="994"/>
    <cellStyle name="60% - Accent1 17" xfId="995"/>
    <cellStyle name="60% - Accent1 18" xfId="996"/>
    <cellStyle name="60% - Accent1 19" xfId="997"/>
    <cellStyle name="60% - Accent1 20" xfId="998"/>
    <cellStyle name="60% - Accent1 21" xfId="999"/>
    <cellStyle name="60% - Accent1 22" xfId="1000"/>
    <cellStyle name="60% - Accent1 23" xfId="1001"/>
    <cellStyle name="60% - Accent1 24" xfId="1002"/>
    <cellStyle name="60% - Accent1 25" xfId="1003"/>
    <cellStyle name="60% - Accent1 26" xfId="1004"/>
    <cellStyle name="60% - Accent1 27" xfId="1005"/>
    <cellStyle name="60% - Accent1 28" xfId="1006"/>
    <cellStyle name="60% - Accent1 29" xfId="1007"/>
    <cellStyle name="60% - Accent1 3 2" xfId="1008"/>
    <cellStyle name="60% - Accent1 30" xfId="1009"/>
    <cellStyle name="60% - Accent1 31" xfId="1010"/>
    <cellStyle name="60% - Accent1 32" xfId="1011"/>
    <cellStyle name="60% - Accent1 33" xfId="1012"/>
    <cellStyle name="60% - Accent1 34" xfId="1013"/>
    <cellStyle name="60% - Accent1 35" xfId="1014"/>
    <cellStyle name="60% - Accent1 36" xfId="1015"/>
    <cellStyle name="60% - Accent1 37" xfId="1016"/>
    <cellStyle name="60% - Accent1 38" xfId="1017"/>
    <cellStyle name="60% - Accent1 39" xfId="1018"/>
    <cellStyle name="60% - Accent1 40" xfId="1019"/>
    <cellStyle name="60% - Accent1 41" xfId="1020"/>
    <cellStyle name="60% - Accent1 42" xfId="1021"/>
    <cellStyle name="60% - Accent1 43" xfId="1022"/>
    <cellStyle name="60% - Accent1 6" xfId="1023"/>
    <cellStyle name="60% - Accent1 7" xfId="1024"/>
    <cellStyle name="60% - Accent1 8" xfId="1025"/>
    <cellStyle name="60% - Accent1 9" xfId="1026"/>
    <cellStyle name="60% - Accent2 10" xfId="1027"/>
    <cellStyle name="60% - Accent2 11" xfId="1028"/>
    <cellStyle name="60% - Accent2 12" xfId="1029"/>
    <cellStyle name="60% - Accent2 13" xfId="1030"/>
    <cellStyle name="60% - Accent2 14" xfId="1031"/>
    <cellStyle name="60% - Accent2 15" xfId="1032"/>
    <cellStyle name="60% - Accent2 16" xfId="1033"/>
    <cellStyle name="60% - Accent2 17" xfId="1034"/>
    <cellStyle name="60% - Accent2 18" xfId="1035"/>
    <cellStyle name="60% - Accent2 19" xfId="1036"/>
    <cellStyle name="60% - Accent2 20" xfId="1037"/>
    <cellStyle name="60% - Accent2 21" xfId="1038"/>
    <cellStyle name="60% - Accent2 22" xfId="1039"/>
    <cellStyle name="60% - Accent2 23" xfId="1040"/>
    <cellStyle name="60% - Accent2 24" xfId="1041"/>
    <cellStyle name="60% - Accent2 25" xfId="1042"/>
    <cellStyle name="60% - Accent2 26" xfId="1043"/>
    <cellStyle name="60% - Accent2 27" xfId="1044"/>
    <cellStyle name="60% - Accent2 28" xfId="1045"/>
    <cellStyle name="60% - Accent2 29" xfId="1046"/>
    <cellStyle name="60% - Accent2 3 2" xfId="1047"/>
    <cellStyle name="60% - Accent2 30" xfId="1048"/>
    <cellStyle name="60% - Accent2 31" xfId="1049"/>
    <cellStyle name="60% - Accent2 32" xfId="1050"/>
    <cellStyle name="60% - Accent2 33" xfId="1051"/>
    <cellStyle name="60% - Accent2 34" xfId="1052"/>
    <cellStyle name="60% - Accent2 35" xfId="1053"/>
    <cellStyle name="60% - Accent2 36" xfId="1054"/>
    <cellStyle name="60% - Accent2 37" xfId="1055"/>
    <cellStyle name="60% - Accent2 38" xfId="1056"/>
    <cellStyle name="60% - Accent2 39" xfId="1057"/>
    <cellStyle name="60% - Accent2 40" xfId="1058"/>
    <cellStyle name="60% - Accent2 41" xfId="1059"/>
    <cellStyle name="60% - Accent2 42" xfId="1060"/>
    <cellStyle name="60% - Accent2 43" xfId="1061"/>
    <cellStyle name="60% - Accent2 6" xfId="1062"/>
    <cellStyle name="60% - Accent2 7" xfId="1063"/>
    <cellStyle name="60% - Accent2 8" xfId="1064"/>
    <cellStyle name="60% - Accent2 9" xfId="1065"/>
    <cellStyle name="60% - Accent3 10" xfId="1066"/>
    <cellStyle name="60% - Accent3 11" xfId="1067"/>
    <cellStyle name="60% - Accent3 12" xfId="1068"/>
    <cellStyle name="60% - Accent3 13" xfId="1069"/>
    <cellStyle name="60% - Accent3 14" xfId="1070"/>
    <cellStyle name="60% - Accent3 15" xfId="1071"/>
    <cellStyle name="60% - Accent3 16" xfId="1072"/>
    <cellStyle name="60% - Accent3 17" xfId="1073"/>
    <cellStyle name="60% - Accent3 18" xfId="1074"/>
    <cellStyle name="60% - Accent3 19" xfId="1075"/>
    <cellStyle name="60% - Accent3 20" xfId="1076"/>
    <cellStyle name="60% - Accent3 21" xfId="1077"/>
    <cellStyle name="60% - Accent3 22" xfId="1078"/>
    <cellStyle name="60% - Accent3 23" xfId="1079"/>
    <cellStyle name="60% - Accent3 24" xfId="1080"/>
    <cellStyle name="60% - Accent3 25" xfId="1081"/>
    <cellStyle name="60% - Accent3 26" xfId="1082"/>
    <cellStyle name="60% - Accent3 27" xfId="1083"/>
    <cellStyle name="60% - Accent3 28" xfId="1084"/>
    <cellStyle name="60% - Accent3 29" xfId="1085"/>
    <cellStyle name="60% - Accent3 3 2" xfId="1086"/>
    <cellStyle name="60% - Accent3 30" xfId="1087"/>
    <cellStyle name="60% - Accent3 31" xfId="1088"/>
    <cellStyle name="60% - Accent3 32" xfId="1089"/>
    <cellStyle name="60% - Accent3 33" xfId="1090"/>
    <cellStyle name="60% - Accent3 34" xfId="1091"/>
    <cellStyle name="60% - Accent3 35" xfId="1092"/>
    <cellStyle name="60% - Accent3 36" xfId="1093"/>
    <cellStyle name="60% - Accent3 37" xfId="1094"/>
    <cellStyle name="60% - Accent3 38" xfId="1095"/>
    <cellStyle name="60% - Accent3 39" xfId="1096"/>
    <cellStyle name="60% - Accent3 40" xfId="1097"/>
    <cellStyle name="60% - Accent3 41" xfId="1098"/>
    <cellStyle name="60% - Accent3 42" xfId="1099"/>
    <cellStyle name="60% - Accent3 43" xfId="1100"/>
    <cellStyle name="60% - Accent3 6" xfId="1101"/>
    <cellStyle name="60% - Accent3 7" xfId="1102"/>
    <cellStyle name="60% - Accent3 8" xfId="1103"/>
    <cellStyle name="60% - Accent3 9" xfId="1104"/>
    <cellStyle name="60% - Accent4 10" xfId="1105"/>
    <cellStyle name="60% - Accent4 11" xfId="1106"/>
    <cellStyle name="60% - Accent4 12" xfId="1107"/>
    <cellStyle name="60% - Accent4 13" xfId="1108"/>
    <cellStyle name="60% - Accent4 14" xfId="1109"/>
    <cellStyle name="60% - Accent4 15" xfId="1110"/>
    <cellStyle name="60% - Accent4 16" xfId="1111"/>
    <cellStyle name="60% - Accent4 17" xfId="1112"/>
    <cellStyle name="60% - Accent4 18" xfId="1113"/>
    <cellStyle name="60% - Accent4 19" xfId="1114"/>
    <cellStyle name="60% - Accent4 20" xfId="1115"/>
    <cellStyle name="60% - Accent4 21" xfId="1116"/>
    <cellStyle name="60% - Accent4 22" xfId="1117"/>
    <cellStyle name="60% - Accent4 23" xfId="1118"/>
    <cellStyle name="60% - Accent4 24" xfId="1119"/>
    <cellStyle name="60% - Accent4 25" xfId="1120"/>
    <cellStyle name="60% - Accent4 26" xfId="1121"/>
    <cellStyle name="60% - Accent4 27" xfId="1122"/>
    <cellStyle name="60% - Accent4 28" xfId="1123"/>
    <cellStyle name="60% - Accent4 29" xfId="1124"/>
    <cellStyle name="60% - Accent4 3 2" xfId="1125"/>
    <cellStyle name="60% - Accent4 30" xfId="1126"/>
    <cellStyle name="60% - Accent4 31" xfId="1127"/>
    <cellStyle name="60% - Accent4 32" xfId="1128"/>
    <cellStyle name="60% - Accent4 33" xfId="1129"/>
    <cellStyle name="60% - Accent4 34" xfId="1130"/>
    <cellStyle name="60% - Accent4 35" xfId="1131"/>
    <cellStyle name="60% - Accent4 36" xfId="1132"/>
    <cellStyle name="60% - Accent4 37" xfId="1133"/>
    <cellStyle name="60% - Accent4 38" xfId="1134"/>
    <cellStyle name="60% - Accent4 39" xfId="1135"/>
    <cellStyle name="60% - Accent4 40" xfId="1136"/>
    <cellStyle name="60% - Accent4 41" xfId="1137"/>
    <cellStyle name="60% - Accent4 42" xfId="1138"/>
    <cellStyle name="60% - Accent4 43" xfId="1139"/>
    <cellStyle name="60% - Accent4 6" xfId="1140"/>
    <cellStyle name="60% - Accent4 7" xfId="1141"/>
    <cellStyle name="60% - Accent4 8" xfId="1142"/>
    <cellStyle name="60% - Accent4 9" xfId="1143"/>
    <cellStyle name="60% - Accent5 10" xfId="1144"/>
    <cellStyle name="60% - Accent5 11" xfId="1145"/>
    <cellStyle name="60% - Accent5 12" xfId="1146"/>
    <cellStyle name="60% - Accent5 13" xfId="1147"/>
    <cellStyle name="60% - Accent5 14" xfId="1148"/>
    <cellStyle name="60% - Accent5 15" xfId="1149"/>
    <cellStyle name="60% - Accent5 16" xfId="1150"/>
    <cellStyle name="60% - Accent5 17" xfId="1151"/>
    <cellStyle name="60% - Accent5 18" xfId="1152"/>
    <cellStyle name="60% - Accent5 19" xfId="1153"/>
    <cellStyle name="60% - Accent5 20" xfId="1154"/>
    <cellStyle name="60% - Accent5 21" xfId="1155"/>
    <cellStyle name="60% - Accent5 22" xfId="1156"/>
    <cellStyle name="60% - Accent5 23" xfId="1157"/>
    <cellStyle name="60% - Accent5 24" xfId="1158"/>
    <cellStyle name="60% - Accent5 25" xfId="1159"/>
    <cellStyle name="60% - Accent5 26" xfId="1160"/>
    <cellStyle name="60% - Accent5 27" xfId="1161"/>
    <cellStyle name="60% - Accent5 28" xfId="1162"/>
    <cellStyle name="60% - Accent5 29" xfId="1163"/>
    <cellStyle name="60% - Accent5 3 2" xfId="1164"/>
    <cellStyle name="60% - Accent5 30" xfId="1165"/>
    <cellStyle name="60% - Accent5 31" xfId="1166"/>
    <cellStyle name="60% - Accent5 32" xfId="1167"/>
    <cellStyle name="60% - Accent5 33" xfId="1168"/>
    <cellStyle name="60% - Accent5 34" xfId="1169"/>
    <cellStyle name="60% - Accent5 35" xfId="1170"/>
    <cellStyle name="60% - Accent5 36" xfId="1171"/>
    <cellStyle name="60% - Accent5 37" xfId="1172"/>
    <cellStyle name="60% - Accent5 38" xfId="1173"/>
    <cellStyle name="60% - Accent5 39" xfId="1174"/>
    <cellStyle name="60% - Accent5 40" xfId="1175"/>
    <cellStyle name="60% - Accent5 41" xfId="1176"/>
    <cellStyle name="60% - Accent5 42" xfId="1177"/>
    <cellStyle name="60% - Accent5 43" xfId="1178"/>
    <cellStyle name="60% - Accent5 6" xfId="1179"/>
    <cellStyle name="60% - Accent5 7" xfId="1180"/>
    <cellStyle name="60% - Accent5 8" xfId="1181"/>
    <cellStyle name="60% - Accent5 9" xfId="1182"/>
    <cellStyle name="60% - Accent6 10" xfId="1183"/>
    <cellStyle name="60% - Accent6 11" xfId="1184"/>
    <cellStyle name="60% - Accent6 12" xfId="1185"/>
    <cellStyle name="60% - Accent6 13" xfId="1186"/>
    <cellStyle name="60% - Accent6 14" xfId="1187"/>
    <cellStyle name="60% - Accent6 15" xfId="1188"/>
    <cellStyle name="60% - Accent6 16" xfId="1189"/>
    <cellStyle name="60% - Accent6 17" xfId="1190"/>
    <cellStyle name="60% - Accent6 18" xfId="1191"/>
    <cellStyle name="60% - Accent6 19" xfId="1192"/>
    <cellStyle name="60% - Accent6 20" xfId="1193"/>
    <cellStyle name="60% - Accent6 21" xfId="1194"/>
    <cellStyle name="60% - Accent6 22" xfId="1195"/>
    <cellStyle name="60% - Accent6 23" xfId="1196"/>
    <cellStyle name="60% - Accent6 24" xfId="1197"/>
    <cellStyle name="60% - Accent6 25" xfId="1198"/>
    <cellStyle name="60% - Accent6 26" xfId="1199"/>
    <cellStyle name="60% - Accent6 27" xfId="1200"/>
    <cellStyle name="60% - Accent6 28" xfId="1201"/>
    <cellStyle name="60% - Accent6 29" xfId="1202"/>
    <cellStyle name="60% - Accent6 3 2" xfId="1203"/>
    <cellStyle name="60% - Accent6 30" xfId="1204"/>
    <cellStyle name="60% - Accent6 31" xfId="1205"/>
    <cellStyle name="60% - Accent6 32" xfId="1206"/>
    <cellStyle name="60% - Accent6 33" xfId="1207"/>
    <cellStyle name="60% - Accent6 34" xfId="1208"/>
    <cellStyle name="60% - Accent6 35" xfId="1209"/>
    <cellStyle name="60% - Accent6 36" xfId="1210"/>
    <cellStyle name="60% - Accent6 37" xfId="1211"/>
    <cellStyle name="60% - Accent6 38" xfId="1212"/>
    <cellStyle name="60% - Accent6 39" xfId="1213"/>
    <cellStyle name="60% - Accent6 40" xfId="1214"/>
    <cellStyle name="60% - Accent6 41" xfId="1215"/>
    <cellStyle name="60% - Accent6 42" xfId="1216"/>
    <cellStyle name="60% - Accent6 43" xfId="1217"/>
    <cellStyle name="60% - Accent6 6" xfId="1218"/>
    <cellStyle name="60% - Accent6 7" xfId="1219"/>
    <cellStyle name="60% - Accent6 8" xfId="1220"/>
    <cellStyle name="60% - Accent6 9" xfId="1221"/>
    <cellStyle name="60% - Akzent1" xfId="1222"/>
    <cellStyle name="60% - Akzent2" xfId="1223"/>
    <cellStyle name="60% - Akzent3" xfId="1224"/>
    <cellStyle name="60% - Akzent4" xfId="1225"/>
    <cellStyle name="60% - Akzent5" xfId="1226"/>
    <cellStyle name="60% - Akzent6" xfId="1227"/>
    <cellStyle name="60% - Cor4 2" xfId="1228"/>
    <cellStyle name="Accent1 10" xfId="1229"/>
    <cellStyle name="Accent1 11" xfId="1230"/>
    <cellStyle name="Accent1 12" xfId="1231"/>
    <cellStyle name="Accent1 13" xfId="1232"/>
    <cellStyle name="Accent1 14" xfId="1233"/>
    <cellStyle name="Accent1 15" xfId="1234"/>
    <cellStyle name="Accent1 16" xfId="1235"/>
    <cellStyle name="Accent1 17" xfId="1236"/>
    <cellStyle name="Accent1 18" xfId="1237"/>
    <cellStyle name="Accent1 19" xfId="1238"/>
    <cellStyle name="Accent1 20" xfId="1239"/>
    <cellStyle name="Accent1 21" xfId="1240"/>
    <cellStyle name="Accent1 22" xfId="1241"/>
    <cellStyle name="Accent1 23" xfId="1242"/>
    <cellStyle name="Accent1 24" xfId="1243"/>
    <cellStyle name="Accent1 25" xfId="1244"/>
    <cellStyle name="Accent1 26" xfId="1245"/>
    <cellStyle name="Accent1 27" xfId="1246"/>
    <cellStyle name="Accent1 28" xfId="1247"/>
    <cellStyle name="Accent1 29" xfId="1248"/>
    <cellStyle name="Accent1 3 2" xfId="1249"/>
    <cellStyle name="Accent1 30" xfId="1250"/>
    <cellStyle name="Accent1 31" xfId="1251"/>
    <cellStyle name="Accent1 32" xfId="1252"/>
    <cellStyle name="Accent1 33" xfId="1253"/>
    <cellStyle name="Accent1 34" xfId="1254"/>
    <cellStyle name="Accent1 35" xfId="1255"/>
    <cellStyle name="Accent1 36" xfId="1256"/>
    <cellStyle name="Accent1 37" xfId="1257"/>
    <cellStyle name="Accent1 38" xfId="1258"/>
    <cellStyle name="Accent1 39" xfId="1259"/>
    <cellStyle name="Accent1 40" xfId="1260"/>
    <cellStyle name="Accent1 41" xfId="1261"/>
    <cellStyle name="Accent1 42" xfId="1262"/>
    <cellStyle name="Accent1 43" xfId="1263"/>
    <cellStyle name="Accent1 6" xfId="1264"/>
    <cellStyle name="Accent1 7" xfId="1265"/>
    <cellStyle name="Accent1 8" xfId="1266"/>
    <cellStyle name="Accent1 9" xfId="1267"/>
    <cellStyle name="Accent2 10" xfId="1268"/>
    <cellStyle name="Accent2 11" xfId="1269"/>
    <cellStyle name="Accent2 12" xfId="1270"/>
    <cellStyle name="Accent2 13" xfId="1271"/>
    <cellStyle name="Accent2 14" xfId="1272"/>
    <cellStyle name="Accent2 15" xfId="1273"/>
    <cellStyle name="Accent2 16" xfId="1274"/>
    <cellStyle name="Accent2 17" xfId="1275"/>
    <cellStyle name="Accent2 18" xfId="1276"/>
    <cellStyle name="Accent2 19" xfId="1277"/>
    <cellStyle name="Accent2 20" xfId="1278"/>
    <cellStyle name="Accent2 21" xfId="1279"/>
    <cellStyle name="Accent2 22" xfId="1280"/>
    <cellStyle name="Accent2 23" xfId="1281"/>
    <cellStyle name="Accent2 24" xfId="1282"/>
    <cellStyle name="Accent2 25" xfId="1283"/>
    <cellStyle name="Accent2 26" xfId="1284"/>
    <cellStyle name="Accent2 27" xfId="1285"/>
    <cellStyle name="Accent2 28" xfId="1286"/>
    <cellStyle name="Accent2 29" xfId="1287"/>
    <cellStyle name="Accent2 3 2" xfId="1288"/>
    <cellStyle name="Accent2 30" xfId="1289"/>
    <cellStyle name="Accent2 31" xfId="1290"/>
    <cellStyle name="Accent2 32" xfId="1291"/>
    <cellStyle name="Accent2 33" xfId="1292"/>
    <cellStyle name="Accent2 34" xfId="1293"/>
    <cellStyle name="Accent2 35" xfId="1294"/>
    <cellStyle name="Accent2 36" xfId="1295"/>
    <cellStyle name="Accent2 37" xfId="1296"/>
    <cellStyle name="Accent2 38" xfId="1297"/>
    <cellStyle name="Accent2 39" xfId="1298"/>
    <cellStyle name="Accent2 40" xfId="1299"/>
    <cellStyle name="Accent2 41" xfId="1300"/>
    <cellStyle name="Accent2 42" xfId="1301"/>
    <cellStyle name="Accent2 43" xfId="1302"/>
    <cellStyle name="Accent2 6" xfId="1303"/>
    <cellStyle name="Accent2 7" xfId="1304"/>
    <cellStyle name="Accent2 8" xfId="1305"/>
    <cellStyle name="Accent2 9" xfId="1306"/>
    <cellStyle name="Accent3 10" xfId="1307"/>
    <cellStyle name="Accent3 11" xfId="1308"/>
    <cellStyle name="Accent3 12" xfId="1309"/>
    <cellStyle name="Accent3 13" xfId="1310"/>
    <cellStyle name="Accent3 14" xfId="1311"/>
    <cellStyle name="Accent3 15" xfId="1312"/>
    <cellStyle name="Accent3 16" xfId="1313"/>
    <cellStyle name="Accent3 17" xfId="1314"/>
    <cellStyle name="Accent3 18" xfId="1315"/>
    <cellStyle name="Accent3 19" xfId="1316"/>
    <cellStyle name="Accent3 20" xfId="1317"/>
    <cellStyle name="Accent3 21" xfId="1318"/>
    <cellStyle name="Accent3 22" xfId="1319"/>
    <cellStyle name="Accent3 23" xfId="1320"/>
    <cellStyle name="Accent3 24" xfId="1321"/>
    <cellStyle name="Accent3 25" xfId="1322"/>
    <cellStyle name="Accent3 26" xfId="1323"/>
    <cellStyle name="Accent3 27" xfId="1324"/>
    <cellStyle name="Accent3 28" xfId="1325"/>
    <cellStyle name="Accent3 29" xfId="1326"/>
    <cellStyle name="Accent3 3 2" xfId="1327"/>
    <cellStyle name="Accent3 30" xfId="1328"/>
    <cellStyle name="Accent3 31" xfId="1329"/>
    <cellStyle name="Accent3 32" xfId="1330"/>
    <cellStyle name="Accent3 33" xfId="1331"/>
    <cellStyle name="Accent3 34" xfId="1332"/>
    <cellStyle name="Accent3 35" xfId="1333"/>
    <cellStyle name="Accent3 36" xfId="1334"/>
    <cellStyle name="Accent3 37" xfId="1335"/>
    <cellStyle name="Accent3 38" xfId="1336"/>
    <cellStyle name="Accent3 39" xfId="1337"/>
    <cellStyle name="Accent3 40" xfId="1338"/>
    <cellStyle name="Accent3 41" xfId="1339"/>
    <cellStyle name="Accent3 42" xfId="1340"/>
    <cellStyle name="Accent3 43" xfId="1341"/>
    <cellStyle name="Accent3 6" xfId="1342"/>
    <cellStyle name="Accent3 7" xfId="1343"/>
    <cellStyle name="Accent3 8" xfId="1344"/>
    <cellStyle name="Accent3 9" xfId="1345"/>
    <cellStyle name="Accent4 10" xfId="1346"/>
    <cellStyle name="Accent4 11" xfId="1347"/>
    <cellStyle name="Accent4 12" xfId="1348"/>
    <cellStyle name="Accent4 13" xfId="1349"/>
    <cellStyle name="Accent4 14" xfId="1350"/>
    <cellStyle name="Accent4 15" xfId="1351"/>
    <cellStyle name="Accent4 16" xfId="1352"/>
    <cellStyle name="Accent4 17" xfId="1353"/>
    <cellStyle name="Accent4 18" xfId="1354"/>
    <cellStyle name="Accent4 19" xfId="1355"/>
    <cellStyle name="Accent4 20" xfId="1356"/>
    <cellStyle name="Accent4 21" xfId="1357"/>
    <cellStyle name="Accent4 22" xfId="1358"/>
    <cellStyle name="Accent4 23" xfId="1359"/>
    <cellStyle name="Accent4 24" xfId="1360"/>
    <cellStyle name="Accent4 25" xfId="1361"/>
    <cellStyle name="Accent4 26" xfId="1362"/>
    <cellStyle name="Accent4 27" xfId="1363"/>
    <cellStyle name="Accent4 28" xfId="1364"/>
    <cellStyle name="Accent4 29" xfId="1365"/>
    <cellStyle name="Accent4 3 2" xfId="1366"/>
    <cellStyle name="Accent4 30" xfId="1367"/>
    <cellStyle name="Accent4 31" xfId="1368"/>
    <cellStyle name="Accent4 32" xfId="1369"/>
    <cellStyle name="Accent4 33" xfId="1370"/>
    <cellStyle name="Accent4 34" xfId="1371"/>
    <cellStyle name="Accent4 35" xfId="1372"/>
    <cellStyle name="Accent4 36" xfId="1373"/>
    <cellStyle name="Accent4 37" xfId="1374"/>
    <cellStyle name="Accent4 38" xfId="1375"/>
    <cellStyle name="Accent4 39" xfId="1376"/>
    <cellStyle name="Accent4 40" xfId="1377"/>
    <cellStyle name="Accent4 41" xfId="1378"/>
    <cellStyle name="Accent4 42" xfId="1379"/>
    <cellStyle name="Accent4 43" xfId="1380"/>
    <cellStyle name="Accent4 6" xfId="1381"/>
    <cellStyle name="Accent4 7" xfId="1382"/>
    <cellStyle name="Accent4 8" xfId="1383"/>
    <cellStyle name="Accent4 9" xfId="1384"/>
    <cellStyle name="Accent5 10" xfId="1385"/>
    <cellStyle name="Accent5 11" xfId="1386"/>
    <cellStyle name="Accent5 12" xfId="1387"/>
    <cellStyle name="Accent5 13" xfId="1388"/>
    <cellStyle name="Accent5 14" xfId="1389"/>
    <cellStyle name="Accent5 15" xfId="1390"/>
    <cellStyle name="Accent5 16" xfId="1391"/>
    <cellStyle name="Accent5 17" xfId="1392"/>
    <cellStyle name="Accent5 18" xfId="1393"/>
    <cellStyle name="Accent5 19" xfId="1394"/>
    <cellStyle name="Accent5 20" xfId="1395"/>
    <cellStyle name="Accent5 21" xfId="1396"/>
    <cellStyle name="Accent5 22" xfId="1397"/>
    <cellStyle name="Accent5 23" xfId="1398"/>
    <cellStyle name="Accent5 24" xfId="1399"/>
    <cellStyle name="Accent5 25" xfId="1400"/>
    <cellStyle name="Accent5 26" xfId="1401"/>
    <cellStyle name="Accent5 27" xfId="1402"/>
    <cellStyle name="Accent5 28" xfId="1403"/>
    <cellStyle name="Accent5 29" xfId="1404"/>
    <cellStyle name="Accent5 3 2" xfId="1405"/>
    <cellStyle name="Accent5 30" xfId="1406"/>
    <cellStyle name="Accent5 31" xfId="1407"/>
    <cellStyle name="Accent5 32" xfId="1408"/>
    <cellStyle name="Accent5 33" xfId="1409"/>
    <cellStyle name="Accent5 34" xfId="1410"/>
    <cellStyle name="Accent5 35" xfId="1411"/>
    <cellStyle name="Accent5 36" xfId="1412"/>
    <cellStyle name="Accent5 37" xfId="1413"/>
    <cellStyle name="Accent5 38" xfId="1414"/>
    <cellStyle name="Accent5 39" xfId="1415"/>
    <cellStyle name="Accent5 40" xfId="1416"/>
    <cellStyle name="Accent5 41" xfId="1417"/>
    <cellStyle name="Accent5 42" xfId="1418"/>
    <cellStyle name="Accent5 43" xfId="1419"/>
    <cellStyle name="Accent5 6" xfId="1420"/>
    <cellStyle name="Accent5 7" xfId="1421"/>
    <cellStyle name="Accent5 8" xfId="1422"/>
    <cellStyle name="Accent5 9" xfId="1423"/>
    <cellStyle name="Accent6 10" xfId="1424"/>
    <cellStyle name="Accent6 11" xfId="1425"/>
    <cellStyle name="Accent6 12" xfId="1426"/>
    <cellStyle name="Accent6 13" xfId="1427"/>
    <cellStyle name="Accent6 14" xfId="1428"/>
    <cellStyle name="Accent6 15" xfId="1429"/>
    <cellStyle name="Accent6 16" xfId="1430"/>
    <cellStyle name="Accent6 17" xfId="1431"/>
    <cellStyle name="Accent6 18" xfId="1432"/>
    <cellStyle name="Accent6 19" xfId="1433"/>
    <cellStyle name="Accent6 20" xfId="1434"/>
    <cellStyle name="Accent6 21" xfId="1435"/>
    <cellStyle name="Accent6 22" xfId="1436"/>
    <cellStyle name="Accent6 23" xfId="1437"/>
    <cellStyle name="Accent6 24" xfId="1438"/>
    <cellStyle name="Accent6 25" xfId="1439"/>
    <cellStyle name="Accent6 26" xfId="1440"/>
    <cellStyle name="Accent6 27" xfId="1441"/>
    <cellStyle name="Accent6 28" xfId="1442"/>
    <cellStyle name="Accent6 29" xfId="1443"/>
    <cellStyle name="Accent6 3 2" xfId="1444"/>
    <cellStyle name="Accent6 30" xfId="1445"/>
    <cellStyle name="Accent6 31" xfId="1446"/>
    <cellStyle name="Accent6 32" xfId="1447"/>
    <cellStyle name="Accent6 33" xfId="1448"/>
    <cellStyle name="Accent6 34" xfId="1449"/>
    <cellStyle name="Accent6 35" xfId="1450"/>
    <cellStyle name="Accent6 36" xfId="1451"/>
    <cellStyle name="Accent6 37" xfId="1452"/>
    <cellStyle name="Accent6 38" xfId="1453"/>
    <cellStyle name="Accent6 39" xfId="1454"/>
    <cellStyle name="Accent6 40" xfId="1455"/>
    <cellStyle name="Accent6 41" xfId="1456"/>
    <cellStyle name="Accent6 42" xfId="1457"/>
    <cellStyle name="Accent6 43" xfId="1458"/>
    <cellStyle name="Accent6 6" xfId="1459"/>
    <cellStyle name="Accent6 7" xfId="1460"/>
    <cellStyle name="Accent6 8" xfId="1461"/>
    <cellStyle name="Accent6 9" xfId="1462"/>
    <cellStyle name="AggblueBoldCels" xfId="1463"/>
    <cellStyle name="AggblueCels" xfId="1464"/>
    <cellStyle name="AggBoldCells" xfId="1465"/>
    <cellStyle name="AggCels" xfId="1466"/>
    <cellStyle name="AggGreen" xfId="1467"/>
    <cellStyle name="AggGreen12" xfId="1468"/>
    <cellStyle name="AggOrange" xfId="1469"/>
    <cellStyle name="AggOrange9" xfId="1470"/>
    <cellStyle name="AggOrangeLB_2x" xfId="1471"/>
    <cellStyle name="AggOrangeLBorder" xfId="1472"/>
    <cellStyle name="AggOrangeRBorder" xfId="1473"/>
    <cellStyle name="Akzent1" xfId="1474"/>
    <cellStyle name="Akzent2" xfId="1475"/>
    <cellStyle name="Akzent3" xfId="1476"/>
    <cellStyle name="Akzent4" xfId="1477"/>
    <cellStyle name="Akzent5" xfId="1478"/>
    <cellStyle name="Akzent6" xfId="1479"/>
    <cellStyle name="Ausgabe" xfId="1480"/>
    <cellStyle name="Bad 10" xfId="1481"/>
    <cellStyle name="Bad 11" xfId="1482"/>
    <cellStyle name="Bad 12" xfId="1483"/>
    <cellStyle name="Bad 13" xfId="1484"/>
    <cellStyle name="Bad 14" xfId="1485"/>
    <cellStyle name="Bad 15" xfId="1486"/>
    <cellStyle name="Bad 16" xfId="1487"/>
    <cellStyle name="Bad 17" xfId="1488"/>
    <cellStyle name="Bad 18" xfId="1489"/>
    <cellStyle name="Bad 19" xfId="1490"/>
    <cellStyle name="Bad 20" xfId="1491"/>
    <cellStyle name="Bad 21" xfId="1492"/>
    <cellStyle name="Bad 22" xfId="1493"/>
    <cellStyle name="Bad 23" xfId="1494"/>
    <cellStyle name="Bad 24" xfId="1495"/>
    <cellStyle name="Bad 25" xfId="1496"/>
    <cellStyle name="Bad 26" xfId="1497"/>
    <cellStyle name="Bad 27" xfId="1498"/>
    <cellStyle name="Bad 28" xfId="1499"/>
    <cellStyle name="Bad 29" xfId="1500"/>
    <cellStyle name="Bad 3 2" xfId="1501"/>
    <cellStyle name="Bad 30" xfId="1502"/>
    <cellStyle name="Bad 31" xfId="1503"/>
    <cellStyle name="Bad 32" xfId="1504"/>
    <cellStyle name="Bad 33" xfId="1505"/>
    <cellStyle name="Bad 34" xfId="1506"/>
    <cellStyle name="Bad 35" xfId="1507"/>
    <cellStyle name="Bad 36" xfId="1508"/>
    <cellStyle name="Bad 37" xfId="1509"/>
    <cellStyle name="Bad 38" xfId="1510"/>
    <cellStyle name="Bad 39" xfId="1511"/>
    <cellStyle name="Bad 40" xfId="1512"/>
    <cellStyle name="Bad 41" xfId="1513"/>
    <cellStyle name="Bad 42" xfId="1514"/>
    <cellStyle name="Bad 43" xfId="1515"/>
    <cellStyle name="Bad 44" xfId="1516"/>
    <cellStyle name="Bad 6" xfId="1517"/>
    <cellStyle name="Bad 7" xfId="1518"/>
    <cellStyle name="Bad 8" xfId="1519"/>
    <cellStyle name="Bad 9" xfId="1520"/>
    <cellStyle name="Berechnung" xfId="1521"/>
    <cellStyle name="Bold GHG Numbers (0.00)" xfId="1522"/>
    <cellStyle name="Calculation 10" xfId="1523"/>
    <cellStyle name="Calculation 11" xfId="1524"/>
    <cellStyle name="Calculation 12" xfId="1525"/>
    <cellStyle name="Calculation 13" xfId="1526"/>
    <cellStyle name="Calculation 14" xfId="1527"/>
    <cellStyle name="Calculation 15" xfId="1528"/>
    <cellStyle name="Calculation 16" xfId="1529"/>
    <cellStyle name="Calculation 17" xfId="1530"/>
    <cellStyle name="Calculation 18" xfId="1531"/>
    <cellStyle name="Calculation 19" xfId="1532"/>
    <cellStyle name="Calculation 20" xfId="1533"/>
    <cellStyle name="Calculation 21" xfId="1534"/>
    <cellStyle name="Calculation 22" xfId="1535"/>
    <cellStyle name="Calculation 23" xfId="1536"/>
    <cellStyle name="Calculation 24" xfId="1537"/>
    <cellStyle name="Calculation 25" xfId="1538"/>
    <cellStyle name="Calculation 26" xfId="1539"/>
    <cellStyle name="Calculation 27" xfId="1540"/>
    <cellStyle name="Calculation 28" xfId="1541"/>
    <cellStyle name="Calculation 29" xfId="1542"/>
    <cellStyle name="Calculation 3 2" xfId="1543"/>
    <cellStyle name="Calculation 30" xfId="1544"/>
    <cellStyle name="Calculation 31" xfId="1545"/>
    <cellStyle name="Calculation 32" xfId="1546"/>
    <cellStyle name="Calculation 33" xfId="1547"/>
    <cellStyle name="Calculation 34" xfId="1548"/>
    <cellStyle name="Calculation 35" xfId="1549"/>
    <cellStyle name="Calculation 36" xfId="1550"/>
    <cellStyle name="Calculation 37" xfId="1551"/>
    <cellStyle name="Calculation 38" xfId="1552"/>
    <cellStyle name="Calculation 39" xfId="1553"/>
    <cellStyle name="Calculation 40" xfId="1554"/>
    <cellStyle name="Calculation 41" xfId="1555"/>
    <cellStyle name="Calculation 42" xfId="1556"/>
    <cellStyle name="Calculation 43" xfId="1557"/>
    <cellStyle name="Calculation 6" xfId="1558"/>
    <cellStyle name="Calculation 7" xfId="1559"/>
    <cellStyle name="Calculation 8" xfId="1560"/>
    <cellStyle name="Calculation 9" xfId="1561"/>
    <cellStyle name="Check Cell 10" xfId="1562"/>
    <cellStyle name="Check Cell 11" xfId="1563"/>
    <cellStyle name="Check Cell 12" xfId="1564"/>
    <cellStyle name="Check Cell 13" xfId="1565"/>
    <cellStyle name="Check Cell 14" xfId="1566"/>
    <cellStyle name="Check Cell 15" xfId="1567"/>
    <cellStyle name="Check Cell 16" xfId="1568"/>
    <cellStyle name="Check Cell 17" xfId="1569"/>
    <cellStyle name="Check Cell 18" xfId="1570"/>
    <cellStyle name="Check Cell 19" xfId="1571"/>
    <cellStyle name="Check Cell 20" xfId="1572"/>
    <cellStyle name="Check Cell 21" xfId="1573"/>
    <cellStyle name="Check Cell 22" xfId="1574"/>
    <cellStyle name="Check Cell 23" xfId="1575"/>
    <cellStyle name="Check Cell 24" xfId="1576"/>
    <cellStyle name="Check Cell 25" xfId="1577"/>
    <cellStyle name="Check Cell 26" xfId="1578"/>
    <cellStyle name="Check Cell 27" xfId="1579"/>
    <cellStyle name="Check Cell 28" xfId="1580"/>
    <cellStyle name="Check Cell 29" xfId="1581"/>
    <cellStyle name="Check Cell 3 2" xfId="1582"/>
    <cellStyle name="Check Cell 30" xfId="1583"/>
    <cellStyle name="Check Cell 31" xfId="1584"/>
    <cellStyle name="Check Cell 32" xfId="1585"/>
    <cellStyle name="Check Cell 33" xfId="1586"/>
    <cellStyle name="Check Cell 34" xfId="1587"/>
    <cellStyle name="Check Cell 35" xfId="1588"/>
    <cellStyle name="Check Cell 36" xfId="1589"/>
    <cellStyle name="Check Cell 37" xfId="1590"/>
    <cellStyle name="Check Cell 38" xfId="1591"/>
    <cellStyle name="Check Cell 39" xfId="1592"/>
    <cellStyle name="Check Cell 40" xfId="1593"/>
    <cellStyle name="Check Cell 41" xfId="1594"/>
    <cellStyle name="Check Cell 42" xfId="1595"/>
    <cellStyle name="Check Cell 43" xfId="1596"/>
    <cellStyle name="Check Cell 6" xfId="1597"/>
    <cellStyle name="Check Cell 7" xfId="1598"/>
    <cellStyle name="Check Cell 8" xfId="1599"/>
    <cellStyle name="Check Cell 9" xfId="1600"/>
    <cellStyle name="Comma 14" xfId="1601"/>
    <cellStyle name="Comma 2 10" xfId="1602"/>
    <cellStyle name="Comma 2 11" xfId="1603"/>
    <cellStyle name="Comma 2 12" xfId="1604"/>
    <cellStyle name="Comma 2 13" xfId="1605"/>
    <cellStyle name="Comma 2 2 2 4" xfId="1606"/>
    <cellStyle name="Comma 2 2 2 4 2" xfId="1607"/>
    <cellStyle name="Comma 2 2 2 4 3" xfId="1608"/>
    <cellStyle name="Comma 2 2 2 5" xfId="1609"/>
    <cellStyle name="Comma 2 2 3 4 2" xfId="1610"/>
    <cellStyle name="Comma 2 2 4 2" xfId="1611"/>
    <cellStyle name="Comma 2 2 6 2" xfId="1612"/>
    <cellStyle name="Comma 2 2 6 3" xfId="1613"/>
    <cellStyle name="Comma 2 2 7" xfId="1614"/>
    <cellStyle name="Comma 2 3 2 4 4" xfId="1615"/>
    <cellStyle name="Comma 2 3 2 4 2" xfId="1616"/>
    <cellStyle name="Comma 2 3 2 4 3" xfId="1617"/>
    <cellStyle name="Comma 2 3 2 5" xfId="1618"/>
    <cellStyle name="Comma 2 3 3 4 2" xfId="1619"/>
    <cellStyle name="Comma 2 3 4 2" xfId="1620"/>
    <cellStyle name="Comma 2 3 6 2" xfId="1621"/>
    <cellStyle name="Comma 2 4 4 4" xfId="1622"/>
    <cellStyle name="Comma 2 4 4 2" xfId="1623"/>
    <cellStyle name="Comma 2 4 4 3" xfId="1624"/>
    <cellStyle name="Comma 2 4 5" xfId="1625"/>
    <cellStyle name="Comma 2 5 4 2" xfId="1626"/>
    <cellStyle name="Comma 2 6 2 2" xfId="1627"/>
    <cellStyle name="Comma 2 7 2 2" xfId="1628"/>
    <cellStyle name="Comma 2 8 4" xfId="1629"/>
    <cellStyle name="Comma 2 8 2" xfId="1630"/>
    <cellStyle name="Comma 2 8 3" xfId="1631"/>
    <cellStyle name="Comma 2 9" xfId="1632"/>
    <cellStyle name="Comma 3" xfId="1633"/>
    <cellStyle name="Comma 3 2" xfId="1634"/>
    <cellStyle name="Comma 3 2 2" xfId="1635"/>
    <cellStyle name="Comma 3 3" xfId="1636"/>
    <cellStyle name="Comma 3 4" xfId="1637"/>
    <cellStyle name="Comma 4" xfId="1638"/>
    <cellStyle name="Comma 4 2" xfId="1639"/>
    <cellStyle name="Comma 5 2" xfId="1640"/>
    <cellStyle name="Comma 5 3" xfId="1641"/>
    <cellStyle name="Comma 5 3 2" xfId="1642"/>
    <cellStyle name="Comma 8 2" xfId="1643"/>
    <cellStyle name="Comma 8 2 2" xfId="1644"/>
    <cellStyle name="Constants" xfId="1645"/>
    <cellStyle name="Currency 2 4" xfId="1646"/>
    <cellStyle name="CustomCellsOrange" xfId="1647"/>
    <cellStyle name="CustomizationGreenCells" xfId="1648"/>
    <cellStyle name="DocBox_EmptyRow" xfId="1649"/>
    <cellStyle name="Eingabe" xfId="1650"/>
    <cellStyle name="Empty_B_border" xfId="1651"/>
    <cellStyle name="Ergebnis" xfId="1652"/>
    <cellStyle name="Erklärender Text" xfId="1653"/>
    <cellStyle name="Estilo 1" xfId="1654"/>
    <cellStyle name="Euro 60" xfId="1655"/>
    <cellStyle name="Euro 10" xfId="1656"/>
    <cellStyle name="Euro 10 2" xfId="1657"/>
    <cellStyle name="Euro 11" xfId="1658"/>
    <cellStyle name="Euro 11 2" xfId="1659"/>
    <cellStyle name="Euro 12" xfId="1660"/>
    <cellStyle name="Euro 13" xfId="1661"/>
    <cellStyle name="Euro 14" xfId="1662"/>
    <cellStyle name="Euro 15" xfId="1663"/>
    <cellStyle name="Euro 16" xfId="1664"/>
    <cellStyle name="Euro 17" xfId="1665"/>
    <cellStyle name="Euro 18" xfId="1666"/>
    <cellStyle name="Euro 19" xfId="1667"/>
    <cellStyle name="Euro 2 7" xfId="1668"/>
    <cellStyle name="Euro 2 2 6" xfId="1669"/>
    <cellStyle name="Euro 2 2 4 2" xfId="1670"/>
    <cellStyle name="Euro 2 2 5" xfId="1671"/>
    <cellStyle name="Euro 2 3" xfId="1672"/>
    <cellStyle name="Euro 2 4" xfId="1673"/>
    <cellStyle name="Euro 2 5" xfId="1674"/>
    <cellStyle name="Euro 2 6" xfId="1675"/>
    <cellStyle name="Euro 20" xfId="1676"/>
    <cellStyle name="Euro 21" xfId="1677"/>
    <cellStyle name="Euro 22" xfId="1678"/>
    <cellStyle name="Euro 23" xfId="1679"/>
    <cellStyle name="Euro 24" xfId="1680"/>
    <cellStyle name="Euro 25" xfId="1681"/>
    <cellStyle name="Euro 26" xfId="1682"/>
    <cellStyle name="Euro 27" xfId="1683"/>
    <cellStyle name="Euro 28" xfId="1684"/>
    <cellStyle name="Euro 29" xfId="1685"/>
    <cellStyle name="Euro 3 8" xfId="1686"/>
    <cellStyle name="Euro 3 2 2" xfId="1687"/>
    <cellStyle name="Euro 3 3 4 2" xfId="1688"/>
    <cellStyle name="Euro 3 5" xfId="1689"/>
    <cellStyle name="Euro 3 6" xfId="1690"/>
    <cellStyle name="Euro 3 7" xfId="1691"/>
    <cellStyle name="Euro 3_PrimaryEnergyPrices_TIMES" xfId="1692"/>
    <cellStyle name="Euro 30" xfId="1693"/>
    <cellStyle name="Euro 31" xfId="1694"/>
    <cellStyle name="Euro 32" xfId="1695"/>
    <cellStyle name="Euro 33" xfId="1696"/>
    <cellStyle name="Euro 34" xfId="1697"/>
    <cellStyle name="Euro 35" xfId="1698"/>
    <cellStyle name="Euro 36" xfId="1699"/>
    <cellStyle name="Euro 37" xfId="1700"/>
    <cellStyle name="Euro 38" xfId="1701"/>
    <cellStyle name="Euro 39" xfId="1702"/>
    <cellStyle name="Euro 4 2 2" xfId="1703"/>
    <cellStyle name="Euro 4 3 4 2" xfId="1704"/>
    <cellStyle name="Euro 4 5" xfId="1705"/>
    <cellStyle name="Euro 40" xfId="1706"/>
    <cellStyle name="Euro 41" xfId="1707"/>
    <cellStyle name="Euro 42" xfId="1708"/>
    <cellStyle name="Euro 43" xfId="1709"/>
    <cellStyle name="Euro 44" xfId="1710"/>
    <cellStyle name="Euro 45" xfId="1711"/>
    <cellStyle name="Euro 46" xfId="1712"/>
    <cellStyle name="Euro 47" xfId="1713"/>
    <cellStyle name="Euro 48" xfId="1714"/>
    <cellStyle name="Euro 48 2" xfId="1715"/>
    <cellStyle name="Euro 49" xfId="1716"/>
    <cellStyle name="Euro 49 2" xfId="1717"/>
    <cellStyle name="Euro 5 4 2" xfId="1718"/>
    <cellStyle name="Euro 50" xfId="1719"/>
    <cellStyle name="Euro 50 2" xfId="1720"/>
    <cellStyle name="Euro 51" xfId="1721"/>
    <cellStyle name="Euro 51 2" xfId="1722"/>
    <cellStyle name="Euro 52" xfId="1723"/>
    <cellStyle name="Euro 52 2" xfId="1724"/>
    <cellStyle name="Euro 53" xfId="1725"/>
    <cellStyle name="Euro 53 2" xfId="1726"/>
    <cellStyle name="Euro 54" xfId="1727"/>
    <cellStyle name="Euro 54 2" xfId="1728"/>
    <cellStyle name="Euro 55" xfId="1729"/>
    <cellStyle name="Euro 55 2" xfId="1730"/>
    <cellStyle name="Euro 56" xfId="1731"/>
    <cellStyle name="Euro 56 2" xfId="1732"/>
    <cellStyle name="Euro 57" xfId="1733"/>
    <cellStyle name="Euro 58" xfId="1734"/>
    <cellStyle name="Euro 59" xfId="1735"/>
    <cellStyle name="Euro 6 2" xfId="1736"/>
    <cellStyle name="Euro 6 3" xfId="1737"/>
    <cellStyle name="Euro 7 2" xfId="1738"/>
    <cellStyle name="Euro 7 3" xfId="1739"/>
    <cellStyle name="Euro 8" xfId="1740"/>
    <cellStyle name="Euro 8 2" xfId="1741"/>
    <cellStyle name="Euro 9" xfId="1742"/>
    <cellStyle name="Euro 9 2" xfId="1743"/>
    <cellStyle name="Euro_Potentials in TIMES" xfId="1744"/>
    <cellStyle name="Explanatory Text 10" xfId="1745"/>
    <cellStyle name="Explanatory Text 11" xfId="1746"/>
    <cellStyle name="Explanatory Text 12" xfId="1747"/>
    <cellStyle name="Explanatory Text 13" xfId="1748"/>
    <cellStyle name="Explanatory Text 14" xfId="1749"/>
    <cellStyle name="Explanatory Text 15" xfId="1750"/>
    <cellStyle name="Explanatory Text 16" xfId="1751"/>
    <cellStyle name="Explanatory Text 17" xfId="1752"/>
    <cellStyle name="Explanatory Text 18" xfId="1753"/>
    <cellStyle name="Explanatory Text 19" xfId="1754"/>
    <cellStyle name="Explanatory Text 20" xfId="1755"/>
    <cellStyle name="Explanatory Text 21" xfId="1756"/>
    <cellStyle name="Explanatory Text 22" xfId="1757"/>
    <cellStyle name="Explanatory Text 23" xfId="1758"/>
    <cellStyle name="Explanatory Text 24" xfId="1759"/>
    <cellStyle name="Explanatory Text 25" xfId="1760"/>
    <cellStyle name="Explanatory Text 26" xfId="1761"/>
    <cellStyle name="Explanatory Text 27" xfId="1762"/>
    <cellStyle name="Explanatory Text 28" xfId="1763"/>
    <cellStyle name="Explanatory Text 29" xfId="1764"/>
    <cellStyle name="Explanatory Text 3 2" xfId="1765"/>
    <cellStyle name="Explanatory Text 30" xfId="1766"/>
    <cellStyle name="Explanatory Text 31" xfId="1767"/>
    <cellStyle name="Explanatory Text 32" xfId="1768"/>
    <cellStyle name="Explanatory Text 33" xfId="1769"/>
    <cellStyle name="Explanatory Text 34" xfId="1770"/>
    <cellStyle name="Explanatory Text 35" xfId="1771"/>
    <cellStyle name="Explanatory Text 36" xfId="1772"/>
    <cellStyle name="Explanatory Text 37" xfId="1773"/>
    <cellStyle name="Explanatory Text 38" xfId="1774"/>
    <cellStyle name="Explanatory Text 39" xfId="1775"/>
    <cellStyle name="Explanatory Text 40" xfId="1776"/>
    <cellStyle name="Explanatory Text 41" xfId="1777"/>
    <cellStyle name="Explanatory Text 42" xfId="1778"/>
    <cellStyle name="Explanatory Text 43" xfId="1779"/>
    <cellStyle name="Explanatory Text 6" xfId="1780"/>
    <cellStyle name="Explanatory Text 7" xfId="1781"/>
    <cellStyle name="Explanatory Text 8" xfId="1782"/>
    <cellStyle name="Explanatory Text 9" xfId="1783"/>
    <cellStyle name="Float 4" xfId="1784"/>
    <cellStyle name="Float 3" xfId="1785"/>
    <cellStyle name="Good 10" xfId="1786"/>
    <cellStyle name="Good 11" xfId="1787"/>
    <cellStyle name="Good 12" xfId="1788"/>
    <cellStyle name="Good 13" xfId="1789"/>
    <cellStyle name="Good 14" xfId="1790"/>
    <cellStyle name="Good 15" xfId="1791"/>
    <cellStyle name="Good 16" xfId="1792"/>
    <cellStyle name="Good 17" xfId="1793"/>
    <cellStyle name="Good 18" xfId="1794"/>
    <cellStyle name="Good 19" xfId="1795"/>
    <cellStyle name="Good 2 2" xfId="1796"/>
    <cellStyle name="Good 2 3" xfId="1797"/>
    <cellStyle name="Good 20" xfId="1798"/>
    <cellStyle name="Good 21" xfId="1799"/>
    <cellStyle name="Good 22" xfId="1800"/>
    <cellStyle name="Good 23" xfId="1801"/>
    <cellStyle name="Good 24" xfId="1802"/>
    <cellStyle name="Good 25" xfId="1803"/>
    <cellStyle name="Good 26" xfId="1804"/>
    <cellStyle name="Good 27" xfId="1805"/>
    <cellStyle name="Good 28" xfId="1806"/>
    <cellStyle name="Good 29" xfId="1807"/>
    <cellStyle name="Good 3 2" xfId="1808"/>
    <cellStyle name="Good 30" xfId="1809"/>
    <cellStyle name="Good 31" xfId="1810"/>
    <cellStyle name="Good 32" xfId="1811"/>
    <cellStyle name="Good 33" xfId="1812"/>
    <cellStyle name="Good 34" xfId="1813"/>
    <cellStyle name="Good 35" xfId="1814"/>
    <cellStyle name="Good 36" xfId="1815"/>
    <cellStyle name="Good 37" xfId="1816"/>
    <cellStyle name="Good 38" xfId="1817"/>
    <cellStyle name="Good 39" xfId="1818"/>
    <cellStyle name="Good 40" xfId="1819"/>
    <cellStyle name="Good 41" xfId="1820"/>
    <cellStyle name="Good 42" xfId="1821"/>
    <cellStyle name="Good 5 3" xfId="1822"/>
    <cellStyle name="Good 7" xfId="1823"/>
    <cellStyle name="Good 8" xfId="1824"/>
    <cellStyle name="Good 9" xfId="1825"/>
    <cellStyle name="Gut" xfId="1826"/>
    <cellStyle name="Heading 1 10" xfId="1827"/>
    <cellStyle name="Heading 1 11" xfId="1828"/>
    <cellStyle name="Heading 1 12" xfId="1829"/>
    <cellStyle name="Heading 1 13" xfId="1830"/>
    <cellStyle name="Heading 1 14" xfId="1831"/>
    <cellStyle name="Heading 1 15" xfId="1832"/>
    <cellStyle name="Heading 1 16" xfId="1833"/>
    <cellStyle name="Heading 1 17" xfId="1834"/>
    <cellStyle name="Heading 1 18" xfId="1835"/>
    <cellStyle name="Heading 1 19" xfId="1836"/>
    <cellStyle name="Heading 1 20" xfId="1837"/>
    <cellStyle name="Heading 1 21" xfId="1838"/>
    <cellStyle name="Heading 1 22" xfId="1839"/>
    <cellStyle name="Heading 1 23" xfId="1840"/>
    <cellStyle name="Heading 1 24" xfId="1841"/>
    <cellStyle name="Heading 1 25" xfId="1842"/>
    <cellStyle name="Heading 1 26" xfId="1843"/>
    <cellStyle name="Heading 1 27" xfId="1844"/>
    <cellStyle name="Heading 1 28" xfId="1845"/>
    <cellStyle name="Heading 1 29" xfId="1846"/>
    <cellStyle name="Heading 1 3 2" xfId="1847"/>
    <cellStyle name="Heading 1 30" xfId="1848"/>
    <cellStyle name="Heading 1 31" xfId="1849"/>
    <cellStyle name="Heading 1 32" xfId="1850"/>
    <cellStyle name="Heading 1 33" xfId="1851"/>
    <cellStyle name="Heading 1 34" xfId="1852"/>
    <cellStyle name="Heading 1 35" xfId="1853"/>
    <cellStyle name="Heading 1 36" xfId="1854"/>
    <cellStyle name="Heading 1 37" xfId="1855"/>
    <cellStyle name="Heading 1 38" xfId="1856"/>
    <cellStyle name="Heading 1 39" xfId="1857"/>
    <cellStyle name="Heading 1 40" xfId="1858"/>
    <cellStyle name="Heading 1 41" xfId="1859"/>
    <cellStyle name="Heading 1 6" xfId="1860"/>
    <cellStyle name="Heading 1 7" xfId="1861"/>
    <cellStyle name="Heading 1 8" xfId="1862"/>
    <cellStyle name="Heading 1 9" xfId="1863"/>
    <cellStyle name="Heading 2 10" xfId="1864"/>
    <cellStyle name="Heading 2 11" xfId="1865"/>
    <cellStyle name="Heading 2 12" xfId="1866"/>
    <cellStyle name="Heading 2 13" xfId="1867"/>
    <cellStyle name="Heading 2 14" xfId="1868"/>
    <cellStyle name="Heading 2 15" xfId="1869"/>
    <cellStyle name="Heading 2 16" xfId="1870"/>
    <cellStyle name="Heading 2 17" xfId="1871"/>
    <cellStyle name="Heading 2 18" xfId="1872"/>
    <cellStyle name="Heading 2 19" xfId="1873"/>
    <cellStyle name="Heading 2 20" xfId="1874"/>
    <cellStyle name="Heading 2 21" xfId="1875"/>
    <cellStyle name="Heading 2 22" xfId="1876"/>
    <cellStyle name="Heading 2 23" xfId="1877"/>
    <cellStyle name="Heading 2 24" xfId="1878"/>
    <cellStyle name="Heading 2 25" xfId="1879"/>
    <cellStyle name="Heading 2 26" xfId="1880"/>
    <cellStyle name="Heading 2 27" xfId="1881"/>
    <cellStyle name="Heading 2 28" xfId="1882"/>
    <cellStyle name="Heading 2 29" xfId="1883"/>
    <cellStyle name="Heading 2 3 2" xfId="1884"/>
    <cellStyle name="Heading 2 30" xfId="1885"/>
    <cellStyle name="Heading 2 31" xfId="1886"/>
    <cellStyle name="Heading 2 32" xfId="1887"/>
    <cellStyle name="Heading 2 33" xfId="1888"/>
    <cellStyle name="Heading 2 34" xfId="1889"/>
    <cellStyle name="Heading 2 35" xfId="1890"/>
    <cellStyle name="Heading 2 36" xfId="1891"/>
    <cellStyle name="Heading 2 37" xfId="1892"/>
    <cellStyle name="Heading 2 38" xfId="1893"/>
    <cellStyle name="Heading 2 39" xfId="1894"/>
    <cellStyle name="Heading 2 40" xfId="1895"/>
    <cellStyle name="Heading 2 41" xfId="1896"/>
    <cellStyle name="Heading 2 6" xfId="1897"/>
    <cellStyle name="Heading 2 7" xfId="1898"/>
    <cellStyle name="Heading 2 8" xfId="1899"/>
    <cellStyle name="Heading 2 9" xfId="1900"/>
    <cellStyle name="Heading 3 10" xfId="1901"/>
    <cellStyle name="Heading 3 11" xfId="1902"/>
    <cellStyle name="Heading 3 12" xfId="1903"/>
    <cellStyle name="Heading 3 13" xfId="1904"/>
    <cellStyle name="Heading 3 14" xfId="1905"/>
    <cellStyle name="Heading 3 15" xfId="1906"/>
    <cellStyle name="Heading 3 16" xfId="1907"/>
    <cellStyle name="Heading 3 17" xfId="1908"/>
    <cellStyle name="Heading 3 18" xfId="1909"/>
    <cellStyle name="Heading 3 19" xfId="1910"/>
    <cellStyle name="Heading 3 20" xfId="1911"/>
    <cellStyle name="Heading 3 21" xfId="1912"/>
    <cellStyle name="Heading 3 22" xfId="1913"/>
    <cellStyle name="Heading 3 23" xfId="1914"/>
    <cellStyle name="Heading 3 24" xfId="1915"/>
    <cellStyle name="Heading 3 25" xfId="1916"/>
    <cellStyle name="Heading 3 26" xfId="1917"/>
    <cellStyle name="Heading 3 27" xfId="1918"/>
    <cellStyle name="Heading 3 28" xfId="1919"/>
    <cellStyle name="Heading 3 29" xfId="1920"/>
    <cellStyle name="Heading 3 3 2" xfId="1921"/>
    <cellStyle name="Heading 3 30" xfId="1922"/>
    <cellStyle name="Heading 3 31" xfId="1923"/>
    <cellStyle name="Heading 3 32" xfId="1924"/>
    <cellStyle name="Heading 3 33" xfId="1925"/>
    <cellStyle name="Heading 3 34" xfId="1926"/>
    <cellStyle name="Heading 3 35" xfId="1927"/>
    <cellStyle name="Heading 3 36" xfId="1928"/>
    <cellStyle name="Heading 3 37" xfId="1929"/>
    <cellStyle name="Heading 3 38" xfId="1930"/>
    <cellStyle name="Heading 3 39" xfId="1931"/>
    <cellStyle name="Heading 3 40" xfId="1932"/>
    <cellStyle name="Heading 3 41" xfId="1933"/>
    <cellStyle name="Heading 3 6" xfId="1934"/>
    <cellStyle name="Heading 3 7" xfId="1935"/>
    <cellStyle name="Heading 3 8" xfId="1936"/>
    <cellStyle name="Heading 3 9" xfId="1937"/>
    <cellStyle name="Heading 4 10" xfId="1938"/>
    <cellStyle name="Heading 4 11" xfId="1939"/>
    <cellStyle name="Heading 4 12" xfId="1940"/>
    <cellStyle name="Heading 4 13" xfId="1941"/>
    <cellStyle name="Heading 4 14" xfId="1942"/>
    <cellStyle name="Heading 4 15" xfId="1943"/>
    <cellStyle name="Heading 4 16" xfId="1944"/>
    <cellStyle name="Heading 4 17" xfId="1945"/>
    <cellStyle name="Heading 4 18" xfId="1946"/>
    <cellStyle name="Heading 4 19" xfId="1947"/>
    <cellStyle name="Heading 4 20" xfId="1948"/>
    <cellStyle name="Heading 4 21" xfId="1949"/>
    <cellStyle name="Heading 4 22" xfId="1950"/>
    <cellStyle name="Heading 4 23" xfId="1951"/>
    <cellStyle name="Heading 4 24" xfId="1952"/>
    <cellStyle name="Heading 4 25" xfId="1953"/>
    <cellStyle name="Heading 4 26" xfId="1954"/>
    <cellStyle name="Heading 4 27" xfId="1955"/>
    <cellStyle name="Heading 4 28" xfId="1956"/>
    <cellStyle name="Heading 4 29" xfId="1957"/>
    <cellStyle name="Heading 4 3 2" xfId="1958"/>
    <cellStyle name="Heading 4 30" xfId="1959"/>
    <cellStyle name="Heading 4 31" xfId="1960"/>
    <cellStyle name="Heading 4 32" xfId="1961"/>
    <cellStyle name="Heading 4 33" xfId="1962"/>
    <cellStyle name="Heading 4 34" xfId="1963"/>
    <cellStyle name="Heading 4 35" xfId="1964"/>
    <cellStyle name="Heading 4 36" xfId="1965"/>
    <cellStyle name="Heading 4 37" xfId="1966"/>
    <cellStyle name="Heading 4 38" xfId="1967"/>
    <cellStyle name="Heading 4 39" xfId="1968"/>
    <cellStyle name="Heading 4 40" xfId="1969"/>
    <cellStyle name="Heading 4 41" xfId="1970"/>
    <cellStyle name="Heading 4 6" xfId="1971"/>
    <cellStyle name="Heading 4 7" xfId="1972"/>
    <cellStyle name="Heading 4 8" xfId="1973"/>
    <cellStyle name="Heading 4 9" xfId="1974"/>
    <cellStyle name="Headline" xfId="1975"/>
    <cellStyle name="Hyperlink 2 2" xfId="1976"/>
    <cellStyle name="Input 10 2" xfId="1977"/>
    <cellStyle name="Input 11 2" xfId="1978"/>
    <cellStyle name="Input 12 2" xfId="1979"/>
    <cellStyle name="Input 13 2" xfId="1980"/>
    <cellStyle name="Input 14 2" xfId="1981"/>
    <cellStyle name="Input 15 2" xfId="1982"/>
    <cellStyle name="Input 16 2" xfId="1983"/>
    <cellStyle name="Input 17 2" xfId="1984"/>
    <cellStyle name="Input 18 2" xfId="1985"/>
    <cellStyle name="Input 19 2" xfId="1986"/>
    <cellStyle name="Input 2 2" xfId="1987"/>
    <cellStyle name="Input 2 3" xfId="1988"/>
    <cellStyle name="Input 2_PrimaryEnergyPrices_TIMES" xfId="1989"/>
    <cellStyle name="Input 20 2" xfId="1990"/>
    <cellStyle name="Input 21 2" xfId="1991"/>
    <cellStyle name="Input 22 2" xfId="1992"/>
    <cellStyle name="Input 23 2" xfId="1993"/>
    <cellStyle name="Input 24 2" xfId="1994"/>
    <cellStyle name="Input 25 2" xfId="1995"/>
    <cellStyle name="Input 26 2" xfId="1996"/>
    <cellStyle name="Input 27 2" xfId="1997"/>
    <cellStyle name="Input 28 2" xfId="1998"/>
    <cellStyle name="Input 29 2" xfId="1999"/>
    <cellStyle name="Input 3 3" xfId="2000"/>
    <cellStyle name="Input 30 2" xfId="2001"/>
    <cellStyle name="Input 31 2" xfId="2002"/>
    <cellStyle name="Input 32 2" xfId="2003"/>
    <cellStyle name="Input 33 2" xfId="2004"/>
    <cellStyle name="Input 34" xfId="2005"/>
    <cellStyle name="Input 34 2" xfId="2006"/>
    <cellStyle name="Input 34_ELC_final" xfId="2007"/>
    <cellStyle name="Input 35" xfId="2008"/>
    <cellStyle name="Input 36" xfId="2009"/>
    <cellStyle name="Input 37" xfId="2010"/>
    <cellStyle name="Input 38" xfId="2011"/>
    <cellStyle name="Input 39" xfId="2012"/>
    <cellStyle name="Input 4 2" xfId="2013"/>
    <cellStyle name="Input 40" xfId="2014"/>
    <cellStyle name="Input 5 2" xfId="2015"/>
    <cellStyle name="Input 6 2" xfId="2016"/>
    <cellStyle name="Input 7 2" xfId="2017"/>
    <cellStyle name="Input 8 2" xfId="2018"/>
    <cellStyle name="Input 9 2" xfId="2019"/>
    <cellStyle name="InputCells12" xfId="2020"/>
    <cellStyle name="IntCells" xfId="2021"/>
    <cellStyle name="Linked Cell 10" xfId="2022"/>
    <cellStyle name="Linked Cell 11" xfId="2023"/>
    <cellStyle name="Linked Cell 12" xfId="2024"/>
    <cellStyle name="Linked Cell 13" xfId="2025"/>
    <cellStyle name="Linked Cell 14" xfId="2026"/>
    <cellStyle name="Linked Cell 15" xfId="2027"/>
    <cellStyle name="Linked Cell 16" xfId="2028"/>
    <cellStyle name="Linked Cell 17" xfId="2029"/>
    <cellStyle name="Linked Cell 18" xfId="2030"/>
    <cellStyle name="Linked Cell 19" xfId="2031"/>
    <cellStyle name="Linked Cell 20" xfId="2032"/>
    <cellStyle name="Linked Cell 21" xfId="2033"/>
    <cellStyle name="Linked Cell 22" xfId="2034"/>
    <cellStyle name="Linked Cell 23" xfId="2035"/>
    <cellStyle name="Linked Cell 24" xfId="2036"/>
    <cellStyle name="Linked Cell 25" xfId="2037"/>
    <cellStyle name="Linked Cell 26" xfId="2038"/>
    <cellStyle name="Linked Cell 27" xfId="2039"/>
    <cellStyle name="Linked Cell 28" xfId="2040"/>
    <cellStyle name="Linked Cell 29" xfId="2041"/>
    <cellStyle name="Linked Cell 3 2" xfId="2042"/>
    <cellStyle name="Linked Cell 30" xfId="2043"/>
    <cellStyle name="Linked Cell 31" xfId="2044"/>
    <cellStyle name="Linked Cell 32" xfId="2045"/>
    <cellStyle name="Linked Cell 33" xfId="2046"/>
    <cellStyle name="Linked Cell 34" xfId="2047"/>
    <cellStyle name="Linked Cell 35" xfId="2048"/>
    <cellStyle name="Linked Cell 36" xfId="2049"/>
    <cellStyle name="Linked Cell 37" xfId="2050"/>
    <cellStyle name="Linked Cell 38" xfId="2051"/>
    <cellStyle name="Linked Cell 39" xfId="2052"/>
    <cellStyle name="Linked Cell 40" xfId="2053"/>
    <cellStyle name="Linked Cell 41" xfId="2054"/>
    <cellStyle name="Linked Cell 6" xfId="2055"/>
    <cellStyle name="Linked Cell 7" xfId="2056"/>
    <cellStyle name="Linked Cell 8" xfId="2057"/>
    <cellStyle name="Linked Cell 9" xfId="2058"/>
    <cellStyle name="Neutral 10" xfId="2059"/>
    <cellStyle name="Neutral 11" xfId="2060"/>
    <cellStyle name="Neutral 12" xfId="2061"/>
    <cellStyle name="Neutral 13" xfId="2062"/>
    <cellStyle name="Neutral 14" xfId="2063"/>
    <cellStyle name="Neutral 15" xfId="2064"/>
    <cellStyle name="Neutral 16" xfId="2065"/>
    <cellStyle name="Neutral 17" xfId="2066"/>
    <cellStyle name="Neutral 18" xfId="2067"/>
    <cellStyle name="Neutral 19" xfId="2068"/>
    <cellStyle name="Neutral 20" xfId="2069"/>
    <cellStyle name="Neutral 21" xfId="2070"/>
    <cellStyle name="Neutral 22" xfId="2071"/>
    <cellStyle name="Neutral 23" xfId="2072"/>
    <cellStyle name="Neutral 24" xfId="2073"/>
    <cellStyle name="Neutral 25" xfId="2074"/>
    <cellStyle name="Neutral 26" xfId="2075"/>
    <cellStyle name="Neutral 27" xfId="2076"/>
    <cellStyle name="Neutral 28" xfId="2077"/>
    <cellStyle name="Neutral 29" xfId="2078"/>
    <cellStyle name="Neutral 3 5" xfId="2079"/>
    <cellStyle name="Neutral 3 2" xfId="2080"/>
    <cellStyle name="Neutral 3 3" xfId="2081"/>
    <cellStyle name="Neutral 3 4" xfId="2082"/>
    <cellStyle name="Neutral 30" xfId="2083"/>
    <cellStyle name="Neutral 31" xfId="2084"/>
    <cellStyle name="Neutral 32" xfId="2085"/>
    <cellStyle name="Neutral 33" xfId="2086"/>
    <cellStyle name="Neutral 34" xfId="2087"/>
    <cellStyle name="Neutral 35" xfId="2088"/>
    <cellStyle name="Neutral 36" xfId="2089"/>
    <cellStyle name="Neutral 37" xfId="2090"/>
    <cellStyle name="Neutral 38" xfId="2091"/>
    <cellStyle name="Neutral 39" xfId="2092"/>
    <cellStyle name="Neutral 4 4" xfId="2093"/>
    <cellStyle name="Neutral 4 2" xfId="2094"/>
    <cellStyle name="Neutral 40" xfId="2095"/>
    <cellStyle name="Neutral 41" xfId="2096"/>
    <cellStyle name="Neutral 42" xfId="2097"/>
    <cellStyle name="Neutral 43" xfId="2098"/>
    <cellStyle name="Neutral 6" xfId="2099"/>
    <cellStyle name="Neutral 7" xfId="2100"/>
    <cellStyle name="Neutral 8" xfId="2101"/>
    <cellStyle name="Neutral 9" xfId="2102"/>
    <cellStyle name="Normal 10 2 3" xfId="2103"/>
    <cellStyle name="Normal 10 2 2 2" xfId="2104"/>
    <cellStyle name="Normal 11 2 2" xfId="2105"/>
    <cellStyle name="Normal 11 4 2" xfId="2106"/>
    <cellStyle name="Normal 11 5" xfId="2107"/>
    <cellStyle name="Normal 13 4" xfId="2108"/>
    <cellStyle name="Normal 13 2" xfId="2109"/>
    <cellStyle name="Normal 13 3" xfId="2110"/>
    <cellStyle name="Normal 14 3" xfId="2111"/>
    <cellStyle name="Normal 14 2" xfId="2112"/>
    <cellStyle name="Normal 15" xfId="2113"/>
    <cellStyle name="Normal 15 2" xfId="2114"/>
    <cellStyle name="Normal 16" xfId="2115"/>
    <cellStyle name="Normal 16 2" xfId="2116"/>
    <cellStyle name="Normal 17" xfId="2117"/>
    <cellStyle name="Normal 17 2" xfId="2118"/>
    <cellStyle name="Normal 18" xfId="2119"/>
    <cellStyle name="Normal 18 2" xfId="2120"/>
    <cellStyle name="Normal 19" xfId="2121"/>
    <cellStyle name="Normal 2 46" xfId="2122"/>
    <cellStyle name="Normal 2 10 2" xfId="2123"/>
    <cellStyle name="Normal 2 11" xfId="2124"/>
    <cellStyle name="Normal 2 12" xfId="2125"/>
    <cellStyle name="Normal 2 13" xfId="2126"/>
    <cellStyle name="Normal 2 14" xfId="2127"/>
    <cellStyle name="Normal 2 15" xfId="2128"/>
    <cellStyle name="Normal 2 16" xfId="2129"/>
    <cellStyle name="Normal 2 17" xfId="2130"/>
    <cellStyle name="Normal 2 18" xfId="2131"/>
    <cellStyle name="Normal 2 19" xfId="2132"/>
    <cellStyle name="Normal 2 2 2 5" xfId="2133"/>
    <cellStyle name="Normal 2 2 2 2 2" xfId="2134"/>
    <cellStyle name="Normal 2 2 2 3" xfId="2135"/>
    <cellStyle name="Normal 2 2 2 4" xfId="2136"/>
    <cellStyle name="Normal 2 2 4 2" xfId="2137"/>
    <cellStyle name="Normal 2 2 5 2" xfId="2138"/>
    <cellStyle name="Normal 2 2 6" xfId="2139"/>
    <cellStyle name="Normal 2 2 7" xfId="2140"/>
    <cellStyle name="Normal 2 2 8" xfId="2141"/>
    <cellStyle name="Normal 2 2_ELC" xfId="2142"/>
    <cellStyle name="Normal 2 20" xfId="2143"/>
    <cellStyle name="Normal 2 21" xfId="2144"/>
    <cellStyle name="Normal 2 22" xfId="2145"/>
    <cellStyle name="Normal 2 23" xfId="2146"/>
    <cellStyle name="Normal 2 24" xfId="2147"/>
    <cellStyle name="Normal 2 25" xfId="2148"/>
    <cellStyle name="Normal 2 26" xfId="2149"/>
    <cellStyle name="Normal 2 27" xfId="2150"/>
    <cellStyle name="Normal 2 28" xfId="2151"/>
    <cellStyle name="Normal 2 29" xfId="2152"/>
    <cellStyle name="Normal 2 3 2 4" xfId="2153"/>
    <cellStyle name="Normal 2 3 2 2 2" xfId="2154"/>
    <cellStyle name="Normal 2 3 4 3" xfId="2155"/>
    <cellStyle name="Normal 2 3 5 2" xfId="2156"/>
    <cellStyle name="Normal 2 3 6 2" xfId="2157"/>
    <cellStyle name="Normal 2 30" xfId="2158"/>
    <cellStyle name="Normal 2 31" xfId="2159"/>
    <cellStyle name="Normal 2 32" xfId="2160"/>
    <cellStyle name="Normal 2 33" xfId="2161"/>
    <cellStyle name="Normal 2 34" xfId="2162"/>
    <cellStyle name="Normal 2 35" xfId="2163"/>
    <cellStyle name="Normal 2 36" xfId="2164"/>
    <cellStyle name="Normal 2 37" xfId="2165"/>
    <cellStyle name="Normal 2 38" xfId="2166"/>
    <cellStyle name="Normal 2 39" xfId="2167"/>
    <cellStyle name="Normal 2 4 4" xfId="2168"/>
    <cellStyle name="Normal 2 4 5" xfId="2169"/>
    <cellStyle name="Normal 2 40" xfId="2170"/>
    <cellStyle name="Normal 2 41" xfId="2171"/>
    <cellStyle name="Normal 2 42" xfId="2172"/>
    <cellStyle name="Normal 2 43" xfId="2173"/>
    <cellStyle name="Normal 2 44" xfId="2174"/>
    <cellStyle name="Normal 2 45" xfId="2175"/>
    <cellStyle name="Normal 2 5 10" xfId="2176"/>
    <cellStyle name="Normal 2 5 11" xfId="2177"/>
    <cellStyle name="Normal 2 5 12" xfId="2178"/>
    <cellStyle name="Normal 2 5 13" xfId="2179"/>
    <cellStyle name="Normal 2 5 14" xfId="2180"/>
    <cellStyle name="Normal 2 5 15" xfId="2181"/>
    <cellStyle name="Normal 2 5 16" xfId="2182"/>
    <cellStyle name="Normal 2 5 2 3" xfId="2183"/>
    <cellStyle name="Normal 2 5 2 2 2" xfId="2184"/>
    <cellStyle name="Normal 2 5 3" xfId="2185"/>
    <cellStyle name="Normal 2 5 4" xfId="2186"/>
    <cellStyle name="Normal 2 5 5" xfId="2187"/>
    <cellStyle name="Normal 2 5 6" xfId="2188"/>
    <cellStyle name="Normal 2 5 7" xfId="2189"/>
    <cellStyle name="Normal 2 5 8" xfId="2190"/>
    <cellStyle name="Normal 2 5 9" xfId="2191"/>
    <cellStyle name="Normal 2 6 17" xfId="2192"/>
    <cellStyle name="Normal 2 6 10" xfId="2193"/>
    <cellStyle name="Normal 2 6 11" xfId="2194"/>
    <cellStyle name="Normal 2 6 12" xfId="2195"/>
    <cellStyle name="Normal 2 6 13" xfId="2196"/>
    <cellStyle name="Normal 2 6 14" xfId="2197"/>
    <cellStyle name="Normal 2 6 15" xfId="2198"/>
    <cellStyle name="Normal 2 6 16" xfId="2199"/>
    <cellStyle name="Normal 2 6 2 3" xfId="2200"/>
    <cellStyle name="Normal 2 6 2 2" xfId="2201"/>
    <cellStyle name="Normal 2 6 3 2" xfId="2202"/>
    <cellStyle name="Normal 2 6 4" xfId="2203"/>
    <cellStyle name="Normal 2 6 5" xfId="2204"/>
    <cellStyle name="Normal 2 6 6" xfId="2205"/>
    <cellStyle name="Normal 2 6 7" xfId="2206"/>
    <cellStyle name="Normal 2 6 8" xfId="2207"/>
    <cellStyle name="Normal 2 6 9" xfId="2208"/>
    <cellStyle name="Normal 2 8 4 2" xfId="2209"/>
    <cellStyle name="Normal 2 9 3" xfId="2210"/>
    <cellStyle name="Normal 2 9 2 2" xfId="2211"/>
    <cellStyle name="Normal 20" xfId="2212"/>
    <cellStyle name="Normal 20 2" xfId="2213"/>
    <cellStyle name="Normal 21" xfId="2214"/>
    <cellStyle name="Normal 21 2" xfId="2215"/>
    <cellStyle name="Normal 21_Scen_XBase" xfId="2216"/>
    <cellStyle name="Normal 22" xfId="2217"/>
    <cellStyle name="Normal 23" xfId="2218"/>
    <cellStyle name="Normal 23 2" xfId="2219"/>
    <cellStyle name="Normal 23 3" xfId="2220"/>
    <cellStyle name="Normal 24" xfId="2221"/>
    <cellStyle name="Normal 24 10" xfId="2222"/>
    <cellStyle name="Normal 24 11" xfId="2223"/>
    <cellStyle name="Normal 24 12" xfId="2224"/>
    <cellStyle name="Normal 24 13" xfId="2225"/>
    <cellStyle name="Normal 24 14" xfId="2226"/>
    <cellStyle name="Normal 24 15" xfId="2227"/>
    <cellStyle name="Normal 24 16" xfId="2228"/>
    <cellStyle name="Normal 24 17" xfId="2229"/>
    <cellStyle name="Normal 24 18" xfId="2230"/>
    <cellStyle name="Normal 24 19" xfId="2231"/>
    <cellStyle name="Normal 24 2" xfId="2232"/>
    <cellStyle name="Normal 24 20" xfId="2233"/>
    <cellStyle name="Normal 24 3" xfId="2234"/>
    <cellStyle name="Normal 24 4" xfId="2235"/>
    <cellStyle name="Normal 24 5" xfId="2236"/>
    <cellStyle name="Normal 24 6" xfId="2237"/>
    <cellStyle name="Normal 24 7" xfId="2238"/>
    <cellStyle name="Normal 24 8" xfId="2239"/>
    <cellStyle name="Normal 24 9" xfId="2240"/>
    <cellStyle name="Normal 25" xfId="2241"/>
    <cellStyle name="Normal 26" xfId="2242"/>
    <cellStyle name="Normal 26 2" xfId="2243"/>
    <cellStyle name="Normal 27" xfId="2244"/>
    <cellStyle name="Normal 27 2" xfId="2245"/>
    <cellStyle name="Normal 28" xfId="2246"/>
    <cellStyle name="Normal 29" xfId="2247"/>
    <cellStyle name="Normal 3 10" xfId="2248"/>
    <cellStyle name="Normal 3 11" xfId="2249"/>
    <cellStyle name="Normal 3 12" xfId="2250"/>
    <cellStyle name="Normal 3 13" xfId="2251"/>
    <cellStyle name="Normal 3 14" xfId="2252"/>
    <cellStyle name="Normal 3 15" xfId="2253"/>
    <cellStyle name="Normal 3 16" xfId="2254"/>
    <cellStyle name="Normal 3 17" xfId="2255"/>
    <cellStyle name="Normal 3 18" xfId="2256"/>
    <cellStyle name="Normal 3 19" xfId="2257"/>
    <cellStyle name="Normal 3 2 2 4" xfId="2258"/>
    <cellStyle name="Normal 3 2 2 2" xfId="2259"/>
    <cellStyle name="Normal 3 2 2 3" xfId="2260"/>
    <cellStyle name="Normal 3 2 3 4" xfId="2261"/>
    <cellStyle name="Normal 3 2 4 3" xfId="2262"/>
    <cellStyle name="Normal 3 2_ELC" xfId="2263"/>
    <cellStyle name="Normal 3 20" xfId="2264"/>
    <cellStyle name="Normal 3 21" xfId="2265"/>
    <cellStyle name="Normal 3 22" xfId="2266"/>
    <cellStyle name="Normal 3 23" xfId="2267"/>
    <cellStyle name="Normal 3 24" xfId="2268"/>
    <cellStyle name="Normal 3 25" xfId="2269"/>
    <cellStyle name="Normal 3 26" xfId="2270"/>
    <cellStyle name="Normal 3 27" xfId="2271"/>
    <cellStyle name="Normal 3 28" xfId="2272"/>
    <cellStyle name="Normal 3 29" xfId="2273"/>
    <cellStyle name="Normal 3 4 4 2" xfId="2274"/>
    <cellStyle name="Normal 3 5 4" xfId="2275"/>
    <cellStyle name="Normal 3 5 2" xfId="2276"/>
    <cellStyle name="Normal 3 5 3" xfId="2277"/>
    <cellStyle name="Normal 3 6 3" xfId="2278"/>
    <cellStyle name="Normal 3 6 2" xfId="2279"/>
    <cellStyle name="Normal 3 7 5" xfId="2280"/>
    <cellStyle name="Normal 3 7 2" xfId="2281"/>
    <cellStyle name="Normal 3 8" xfId="2282"/>
    <cellStyle name="Normal 3 9" xfId="2283"/>
    <cellStyle name="Normal 30" xfId="2284"/>
    <cellStyle name="Normal 31" xfId="2285"/>
    <cellStyle name="Normal 31 2" xfId="2286"/>
    <cellStyle name="Normal 32" xfId="2287"/>
    <cellStyle name="Normal 32 2" xfId="2288"/>
    <cellStyle name="Normal 33" xfId="2289"/>
    <cellStyle name="Normal 33 10" xfId="2290"/>
    <cellStyle name="Normal 33 11" xfId="2291"/>
    <cellStyle name="Normal 33 12" xfId="2292"/>
    <cellStyle name="Normal 33 13" xfId="2293"/>
    <cellStyle name="Normal 33 2" xfId="2294"/>
    <cellStyle name="Normal 33 3" xfId="2295"/>
    <cellStyle name="Normal 33 4" xfId="2296"/>
    <cellStyle name="Normal 33 5" xfId="2297"/>
    <cellStyle name="Normal 33 6" xfId="2298"/>
    <cellStyle name="Normal 33 7" xfId="2299"/>
    <cellStyle name="Normal 33 8" xfId="2300"/>
    <cellStyle name="Normal 33 9" xfId="2301"/>
    <cellStyle name="Normal 33_Scen_XBase" xfId="2302"/>
    <cellStyle name="Normal 34" xfId="2303"/>
    <cellStyle name="Normal 4 11" xfId="2304"/>
    <cellStyle name="Normal 4 10" xfId="2305"/>
    <cellStyle name="Normal 4 2 4 2" xfId="2306"/>
    <cellStyle name="Normal 4 2 2 14" xfId="2307"/>
    <cellStyle name="Normal 4 2 2 2" xfId="2308"/>
    <cellStyle name="Normal 4 2 3 5" xfId="2309"/>
    <cellStyle name="Normal 4 2 3 2" xfId="2310"/>
    <cellStyle name="Normal 4 2_Scen_XBase" xfId="2311"/>
    <cellStyle name="Normal 4 3 6" xfId="2312"/>
    <cellStyle name="Normal 4 3 2 2" xfId="2313"/>
    <cellStyle name="Normal 4 3 3 2" xfId="2314"/>
    <cellStyle name="Normal 4 3 4 2" xfId="2315"/>
    <cellStyle name="Normal 4 3 5" xfId="2316"/>
    <cellStyle name="Normal 4 3_Scen_XBase" xfId="2317"/>
    <cellStyle name="Normal 4 4 4" xfId="2318"/>
    <cellStyle name="Normal 4 4 2" xfId="2319"/>
    <cellStyle name="Normal 4 4 3" xfId="2320"/>
    <cellStyle name="Normal 4 5 3" xfId="2321"/>
    <cellStyle name="Normal 4 5 2 2" xfId="2322"/>
    <cellStyle name="Normal 4 6 4" xfId="2323"/>
    <cellStyle name="Normal 4 6 2 2" xfId="2324"/>
    <cellStyle name="Normal 4 6 3" xfId="2325"/>
    <cellStyle name="Normal 4 7 2" xfId="2326"/>
    <cellStyle name="Normal 4 8 2" xfId="2327"/>
    <cellStyle name="Normal 4 9" xfId="2328"/>
    <cellStyle name="Normal 40" xfId="2329"/>
    <cellStyle name="Normal 5 13" xfId="2330"/>
    <cellStyle name="Normal 5 10" xfId="2331"/>
    <cellStyle name="Normal 5 11" xfId="2332"/>
    <cellStyle name="Normal 5 12" xfId="2333"/>
    <cellStyle name="Normal 5 2 2 3" xfId="2334"/>
    <cellStyle name="Normal 5 2 2 2" xfId="2335"/>
    <cellStyle name="Normal 5 2 3" xfId="2336"/>
    <cellStyle name="Normal 5 3 2" xfId="2337"/>
    <cellStyle name="Normal 5 3 3" xfId="2338"/>
    <cellStyle name="Normal 5 5 4" xfId="2339"/>
    <cellStyle name="Normal 5 5 2 2" xfId="2340"/>
    <cellStyle name="Normal 5 5 3 2" xfId="2341"/>
    <cellStyle name="Normal 5 6 2" xfId="2342"/>
    <cellStyle name="Normal 5 8" xfId="2343"/>
    <cellStyle name="Normal 5 9" xfId="2344"/>
    <cellStyle name="Normal 50" xfId="2345"/>
    <cellStyle name="Normal 51" xfId="2346"/>
    <cellStyle name="Normal 52" xfId="2347"/>
    <cellStyle name="Normal 53" xfId="2348"/>
    <cellStyle name="Normal 54" xfId="2349"/>
    <cellStyle name="Normal 55" xfId="2350"/>
    <cellStyle name="Normal 6 10" xfId="2351"/>
    <cellStyle name="Normal 6 11" xfId="2352"/>
    <cellStyle name="Normal 6 12" xfId="2353"/>
    <cellStyle name="Normal 6 2 10" xfId="2354"/>
    <cellStyle name="Normal 6 2 11" xfId="2355"/>
    <cellStyle name="Normal 6 2 12" xfId="2356"/>
    <cellStyle name="Normal 6 2 13" xfId="2357"/>
    <cellStyle name="Normal 6 2 14" xfId="2358"/>
    <cellStyle name="Normal 6 2 4 2" xfId="2359"/>
    <cellStyle name="Normal 6 2 5" xfId="2360"/>
    <cellStyle name="Normal 6 2 6" xfId="2361"/>
    <cellStyle name="Normal 6 2 7" xfId="2362"/>
    <cellStyle name="Normal 6 2 8" xfId="2363"/>
    <cellStyle name="Normal 6 2 9" xfId="2364"/>
    <cellStyle name="Normal 6 3 17" xfId="2365"/>
    <cellStyle name="Normal 6 3 10" xfId="2366"/>
    <cellStyle name="Normal 6 3 11" xfId="2367"/>
    <cellStyle name="Normal 6 3 12" xfId="2368"/>
    <cellStyle name="Normal 6 3 13" xfId="2369"/>
    <cellStyle name="Normal 6 3 14" xfId="2370"/>
    <cellStyle name="Normal 6 3 15" xfId="2371"/>
    <cellStyle name="Normal 6 3 16" xfId="2372"/>
    <cellStyle name="Normal 6 3 3" xfId="2373"/>
    <cellStyle name="Normal 6 3 4" xfId="2374"/>
    <cellStyle name="Normal 6 3 5" xfId="2375"/>
    <cellStyle name="Normal 6 3 6" xfId="2376"/>
    <cellStyle name="Normal 6 3 7" xfId="2377"/>
    <cellStyle name="Normal 6 3 8" xfId="2378"/>
    <cellStyle name="Normal 6 3 9" xfId="2379"/>
    <cellStyle name="Normal 6 6" xfId="2380"/>
    <cellStyle name="Normal 6 7" xfId="2381"/>
    <cellStyle name="Normal 6 8" xfId="2382"/>
    <cellStyle name="Normal 6 9" xfId="2383"/>
    <cellStyle name="Normal 6_ELC" xfId="2384"/>
    <cellStyle name="Normal 7 2 2" xfId="2385"/>
    <cellStyle name="Normal 7 2 3" xfId="2386"/>
    <cellStyle name="Normal 7 2_Scen_XBase" xfId="2387"/>
    <cellStyle name="Normal 7 4 11" xfId="2388"/>
    <cellStyle name="Normal 8 10" xfId="2389"/>
    <cellStyle name="Normal 8 11" xfId="2390"/>
    <cellStyle name="Normal 8 3" xfId="2391"/>
    <cellStyle name="Normal 8 4" xfId="2392"/>
    <cellStyle name="Normal 8 5" xfId="2393"/>
    <cellStyle name="Normal 8 6" xfId="2394"/>
    <cellStyle name="Normal 8 7" xfId="2395"/>
    <cellStyle name="Normal 8 8" xfId="2396"/>
    <cellStyle name="Normal 8 9" xfId="2397"/>
    <cellStyle name="Normal 9 10" xfId="2398"/>
    <cellStyle name="Normal 9 2 3" xfId="2399"/>
    <cellStyle name="Normal 9 2 2 2" xfId="2400"/>
    <cellStyle name="Normal 9 3 2" xfId="2401"/>
    <cellStyle name="Normal 9 4" xfId="2402"/>
    <cellStyle name="Normal 9 5" xfId="2403"/>
    <cellStyle name="Normal 9 6" xfId="2404"/>
    <cellStyle name="Normal 9 7" xfId="2405"/>
    <cellStyle name="Normal 9 8" xfId="2406"/>
    <cellStyle name="Normal 9 9" xfId="2407"/>
    <cellStyle name="Normal GHG whole table" xfId="2408"/>
    <cellStyle name="Note 10" xfId="2409"/>
    <cellStyle name="Note 10 2" xfId="2410"/>
    <cellStyle name="Note 10 3" xfId="2411"/>
    <cellStyle name="Note 10 3 2" xfId="2412"/>
    <cellStyle name="Note 10 3_ELC_final" xfId="2413"/>
    <cellStyle name="Note 10_ELC_final" xfId="2414"/>
    <cellStyle name="Note 11" xfId="2415"/>
    <cellStyle name="Note 11 2" xfId="2416"/>
    <cellStyle name="Note 11_ELC_final" xfId="2417"/>
    <cellStyle name="Note 12" xfId="2418"/>
    <cellStyle name="Note 12 2" xfId="2419"/>
    <cellStyle name="Note 12_ELC_final" xfId="2420"/>
    <cellStyle name="Note 13" xfId="2421"/>
    <cellStyle name="Note 13 2" xfId="2422"/>
    <cellStyle name="Note 13_ELC_final" xfId="2423"/>
    <cellStyle name="Note 14" xfId="2424"/>
    <cellStyle name="Note 14 2" xfId="2425"/>
    <cellStyle name="Note 14_ELC_final" xfId="2426"/>
    <cellStyle name="Note 15" xfId="2427"/>
    <cellStyle name="Note 15 2" xfId="2428"/>
    <cellStyle name="Note 15_ELC_final" xfId="2429"/>
    <cellStyle name="Note 16" xfId="2430"/>
    <cellStyle name="Note 16 2" xfId="2431"/>
    <cellStyle name="Note 16_ELC_final" xfId="2432"/>
    <cellStyle name="Note 17" xfId="2433"/>
    <cellStyle name="Note 17 2" xfId="2434"/>
    <cellStyle name="Note 17_ELC_final" xfId="2435"/>
    <cellStyle name="Note 18" xfId="2436"/>
    <cellStyle name="Note 18 2" xfId="2437"/>
    <cellStyle name="Note 18_ELC_final" xfId="2438"/>
    <cellStyle name="Note 19" xfId="2439"/>
    <cellStyle name="Note 2 2 2" xfId="2440"/>
    <cellStyle name="Note 2 3" xfId="2441"/>
    <cellStyle name="Note 2 4" xfId="2442"/>
    <cellStyle name="Note 2_PrimaryEnergyPrices_TIMES" xfId="2443"/>
    <cellStyle name="Note 20" xfId="2444"/>
    <cellStyle name="Note 21" xfId="2445"/>
    <cellStyle name="Note 22" xfId="2446"/>
    <cellStyle name="Note 23" xfId="2447"/>
    <cellStyle name="Note 24" xfId="2448"/>
    <cellStyle name="Note 25" xfId="2449"/>
    <cellStyle name="Note 26" xfId="2450"/>
    <cellStyle name="Note 27" xfId="2451"/>
    <cellStyle name="Note 28" xfId="2452"/>
    <cellStyle name="Note 29" xfId="2453"/>
    <cellStyle name="Note 3 7" xfId="2454"/>
    <cellStyle name="Note 3 2 2" xfId="2455"/>
    <cellStyle name="Note 3 4 2" xfId="2456"/>
    <cellStyle name="Note 3 5" xfId="2457"/>
    <cellStyle name="Note 3 6" xfId="2458"/>
    <cellStyle name="Note 30" xfId="2459"/>
    <cellStyle name="Note 31" xfId="2460"/>
    <cellStyle name="Note 32" xfId="2461"/>
    <cellStyle name="Note 33" xfId="2462"/>
    <cellStyle name="Note 34" xfId="2463"/>
    <cellStyle name="Note 35" xfId="2464"/>
    <cellStyle name="Note 36" xfId="2465"/>
    <cellStyle name="Note 37" xfId="2466"/>
    <cellStyle name="Note 38" xfId="2467"/>
    <cellStyle name="Note 39" xfId="2468"/>
    <cellStyle name="Note 4 3 2" xfId="2469"/>
    <cellStyle name="Note 4 3_ELC_final" xfId="2470"/>
    <cellStyle name="Note 4 4" xfId="2471"/>
    <cellStyle name="Note 4_ELC_final" xfId="2472"/>
    <cellStyle name="Note 40" xfId="2473"/>
    <cellStyle name="Note 41" xfId="2474"/>
    <cellStyle name="Note 5 2" xfId="2475"/>
    <cellStyle name="Note 5 3" xfId="2476"/>
    <cellStyle name="Note 5 3 2" xfId="2477"/>
    <cellStyle name="Note 5 3_ELC_final" xfId="2478"/>
    <cellStyle name="Note 5 4" xfId="2479"/>
    <cellStyle name="Note 5_ELC_final" xfId="2480"/>
    <cellStyle name="Note 6 2" xfId="2481"/>
    <cellStyle name="Note 6 3" xfId="2482"/>
    <cellStyle name="Note 6 3 2" xfId="2483"/>
    <cellStyle name="Note 6 3_ELC_final" xfId="2484"/>
    <cellStyle name="Note 6 4" xfId="2485"/>
    <cellStyle name="Note 6_ELC_final" xfId="2486"/>
    <cellStyle name="Note 7" xfId="2487"/>
    <cellStyle name="Note 7 2" xfId="2488"/>
    <cellStyle name="Note 7 3" xfId="2489"/>
    <cellStyle name="Note 7 3 2" xfId="2490"/>
    <cellStyle name="Note 7 3_ELC_final" xfId="2491"/>
    <cellStyle name="Note 7 4" xfId="2492"/>
    <cellStyle name="Note 7_ELC_final" xfId="2493"/>
    <cellStyle name="Note 8" xfId="2494"/>
    <cellStyle name="Note 8 2" xfId="2495"/>
    <cellStyle name="Note 8 3" xfId="2496"/>
    <cellStyle name="Note 8 3 2" xfId="2497"/>
    <cellStyle name="Note 8 3_ELC_final" xfId="2498"/>
    <cellStyle name="Note 8 4" xfId="2499"/>
    <cellStyle name="Note 8_ELC_final" xfId="2500"/>
    <cellStyle name="Note 9" xfId="2501"/>
    <cellStyle name="Note 9 2" xfId="2502"/>
    <cellStyle name="Note 9 3" xfId="2503"/>
    <cellStyle name="Note 9 3 2" xfId="2504"/>
    <cellStyle name="Note 9 3_ELC_final" xfId="2505"/>
    <cellStyle name="Note 9 4" xfId="2506"/>
    <cellStyle name="Note 9_ELC_final" xfId="2507"/>
    <cellStyle name="Notiz" xfId="2508"/>
    <cellStyle name="Notiz 2" xfId="2509"/>
    <cellStyle name="Notiz 3" xfId="2510"/>
    <cellStyle name="Nuovo 10" xfId="2511"/>
    <cellStyle name="Nuovo 11" xfId="2512"/>
    <cellStyle name="Nuovo 12" xfId="2513"/>
    <cellStyle name="Nuovo 13" xfId="2514"/>
    <cellStyle name="Nuovo 14" xfId="2515"/>
    <cellStyle name="Nuovo 15" xfId="2516"/>
    <cellStyle name="Nuovo 16" xfId="2517"/>
    <cellStyle name="Nuovo 17" xfId="2518"/>
    <cellStyle name="Nuovo 18" xfId="2519"/>
    <cellStyle name="Nuovo 19" xfId="2520"/>
    <cellStyle name="Nuovo 20" xfId="2521"/>
    <cellStyle name="Nuovo 21" xfId="2522"/>
    <cellStyle name="Nuovo 22" xfId="2523"/>
    <cellStyle name="Nuovo 23" xfId="2524"/>
    <cellStyle name="Nuovo 24" xfId="2525"/>
    <cellStyle name="Nuovo 25" xfId="2526"/>
    <cellStyle name="Nuovo 26" xfId="2527"/>
    <cellStyle name="Nuovo 27" xfId="2528"/>
    <cellStyle name="Nuovo 28" xfId="2529"/>
    <cellStyle name="Nuovo 29" xfId="2530"/>
    <cellStyle name="Nuovo 30" xfId="2531"/>
    <cellStyle name="Nuovo 31" xfId="2532"/>
    <cellStyle name="Nuovo 32" xfId="2533"/>
    <cellStyle name="Nuovo 33" xfId="2534"/>
    <cellStyle name="Nuovo 34" xfId="2535"/>
    <cellStyle name="Nuovo 35" xfId="2536"/>
    <cellStyle name="Nuovo 36" xfId="2537"/>
    <cellStyle name="Nuovo 37" xfId="2538"/>
    <cellStyle name="Nuovo 38" xfId="2539"/>
    <cellStyle name="Nuovo 4 2" xfId="2540"/>
    <cellStyle name="Nuovo 5" xfId="2541"/>
    <cellStyle name="Nuovo 6" xfId="2542"/>
    <cellStyle name="Nuovo 7" xfId="2543"/>
    <cellStyle name="Nuovo 8" xfId="2544"/>
    <cellStyle name="Nuovo 9" xfId="2545"/>
    <cellStyle name="Output 10" xfId="2546"/>
    <cellStyle name="Output 11" xfId="2547"/>
    <cellStyle name="Output 12" xfId="2548"/>
    <cellStyle name="Output 13" xfId="2549"/>
    <cellStyle name="Output 14" xfId="2550"/>
    <cellStyle name="Output 15" xfId="2551"/>
    <cellStyle name="Output 16" xfId="2552"/>
    <cellStyle name="Output 17" xfId="2553"/>
    <cellStyle name="Output 18" xfId="2554"/>
    <cellStyle name="Output 19" xfId="2555"/>
    <cellStyle name="Output 20" xfId="2556"/>
    <cellStyle name="Output 21" xfId="2557"/>
    <cellStyle name="Output 22" xfId="2558"/>
    <cellStyle name="Output 23" xfId="2559"/>
    <cellStyle name="Output 24" xfId="2560"/>
    <cellStyle name="Output 25" xfId="2561"/>
    <cellStyle name="Output 26" xfId="2562"/>
    <cellStyle name="Output 27" xfId="2563"/>
    <cellStyle name="Output 28" xfId="2564"/>
    <cellStyle name="Output 29" xfId="2565"/>
    <cellStyle name="Output 3 2" xfId="2566"/>
    <cellStyle name="Output 30" xfId="2567"/>
    <cellStyle name="Output 31" xfId="2568"/>
    <cellStyle name="Output 32" xfId="2569"/>
    <cellStyle name="Output 33" xfId="2570"/>
    <cellStyle name="Output 34" xfId="2571"/>
    <cellStyle name="Output 35" xfId="2572"/>
    <cellStyle name="Output 36" xfId="2573"/>
    <cellStyle name="Output 37" xfId="2574"/>
    <cellStyle name="Output 38" xfId="2575"/>
    <cellStyle name="Output 39" xfId="2576"/>
    <cellStyle name="Output 40" xfId="2577"/>
    <cellStyle name="Output 41" xfId="2578"/>
    <cellStyle name="Output 42" xfId="2579"/>
    <cellStyle name="Output 43" xfId="2580"/>
    <cellStyle name="Output 6" xfId="2581"/>
    <cellStyle name="Output 7" xfId="2582"/>
    <cellStyle name="Output 8" xfId="2583"/>
    <cellStyle name="Output 9" xfId="2584"/>
    <cellStyle name="Pattern" xfId="2585"/>
    <cellStyle name="Percent 9" xfId="2586"/>
    <cellStyle name="Percent 10 10" xfId="2587"/>
    <cellStyle name="Percent 10 11" xfId="2588"/>
    <cellStyle name="Percent 10 12" xfId="2589"/>
    <cellStyle name="Percent 10 13" xfId="2590"/>
    <cellStyle name="Percent 10 14" xfId="2591"/>
    <cellStyle name="Percent 10 15" xfId="2592"/>
    <cellStyle name="Percent 10 16" xfId="2593"/>
    <cellStyle name="Percent 10 17" xfId="2594"/>
    <cellStyle name="Percent 10 18" xfId="2595"/>
    <cellStyle name="Percent 10 19" xfId="2596"/>
    <cellStyle name="Percent 10 2" xfId="2597"/>
    <cellStyle name="Percent 10 20" xfId="2598"/>
    <cellStyle name="Percent 10 3" xfId="2599"/>
    <cellStyle name="Percent 10 4" xfId="2600"/>
    <cellStyle name="Percent 10 5" xfId="2601"/>
    <cellStyle name="Percent 10 6" xfId="2602"/>
    <cellStyle name="Percent 10 7" xfId="2603"/>
    <cellStyle name="Percent 10 7 2" xfId="2604"/>
    <cellStyle name="Percent 10 7 3" xfId="2605"/>
    <cellStyle name="Percent 10 8" xfId="2606"/>
    <cellStyle name="Percent 10 9" xfId="2607"/>
    <cellStyle name="Percent 11 10" xfId="2608"/>
    <cellStyle name="Percent 11 2" xfId="2609"/>
    <cellStyle name="Percent 11 3" xfId="2610"/>
    <cellStyle name="Percent 11 4" xfId="2611"/>
    <cellStyle name="Percent 11 5" xfId="2612"/>
    <cellStyle name="Percent 11 6" xfId="2613"/>
    <cellStyle name="Percent 11 7" xfId="2614"/>
    <cellStyle name="Percent 11 7 2" xfId="2615"/>
    <cellStyle name="Percent 11 7 3" xfId="2616"/>
    <cellStyle name="Percent 11 8" xfId="2617"/>
    <cellStyle name="Percent 11 9" xfId="2618"/>
    <cellStyle name="Percent 12 10" xfId="2619"/>
    <cellStyle name="Percent 12 2" xfId="2620"/>
    <cellStyle name="Percent 12 3" xfId="2621"/>
    <cellStyle name="Percent 12 4" xfId="2622"/>
    <cellStyle name="Percent 12 5" xfId="2623"/>
    <cellStyle name="Percent 12 6" xfId="2624"/>
    <cellStyle name="Percent 12 7" xfId="2625"/>
    <cellStyle name="Percent 12 7 2" xfId="2626"/>
    <cellStyle name="Percent 12 7 3" xfId="2627"/>
    <cellStyle name="Percent 12 8" xfId="2628"/>
    <cellStyle name="Percent 12 9" xfId="2629"/>
    <cellStyle name="Percent 13 10" xfId="2630"/>
    <cellStyle name="Percent 13 2" xfId="2631"/>
    <cellStyle name="Percent 13 3" xfId="2632"/>
    <cellStyle name="Percent 13 4" xfId="2633"/>
    <cellStyle name="Percent 13 5" xfId="2634"/>
    <cellStyle name="Percent 13 6" xfId="2635"/>
    <cellStyle name="Percent 13 7" xfId="2636"/>
    <cellStyle name="Percent 13 7 2" xfId="2637"/>
    <cellStyle name="Percent 13 7 3" xfId="2638"/>
    <cellStyle name="Percent 13 8" xfId="2639"/>
    <cellStyle name="Percent 13 9" xfId="2640"/>
    <cellStyle name="Percent 14 10" xfId="2641"/>
    <cellStyle name="Percent 14 2" xfId="2642"/>
    <cellStyle name="Percent 14 3" xfId="2643"/>
    <cellStyle name="Percent 14 4" xfId="2644"/>
    <cellStyle name="Percent 14 5" xfId="2645"/>
    <cellStyle name="Percent 14 6" xfId="2646"/>
    <cellStyle name="Percent 14 7" xfId="2647"/>
    <cellStyle name="Percent 14 7 2" xfId="2648"/>
    <cellStyle name="Percent 14 7 3" xfId="2649"/>
    <cellStyle name="Percent 14 8" xfId="2650"/>
    <cellStyle name="Percent 14 9" xfId="2651"/>
    <cellStyle name="Percent 15" xfId="2652"/>
    <cellStyle name="Percent 15 2" xfId="2653"/>
    <cellStyle name="Percent 15 3" xfId="2654"/>
    <cellStyle name="Percent 15 4" xfId="2655"/>
    <cellStyle name="Percent 15 5" xfId="2656"/>
    <cellStyle name="Percent 15 6" xfId="2657"/>
    <cellStyle name="Percent 15 7" xfId="2658"/>
    <cellStyle name="Percent 15 7 2" xfId="2659"/>
    <cellStyle name="Percent 15 7 3" xfId="2660"/>
    <cellStyle name="Percent 16 2" xfId="2661"/>
    <cellStyle name="Percent 16 3" xfId="2662"/>
    <cellStyle name="Percent 16 4" xfId="2663"/>
    <cellStyle name="Percent 16 5" xfId="2664"/>
    <cellStyle name="Percent 16 6" xfId="2665"/>
    <cellStyle name="Percent 16 7" xfId="2666"/>
    <cellStyle name="Percent 16 7 2" xfId="2667"/>
    <cellStyle name="Percent 16 7 3" xfId="2668"/>
    <cellStyle name="Percent 17" xfId="2669"/>
    <cellStyle name="Percent 17 2" xfId="2670"/>
    <cellStyle name="Percent 17 3" xfId="2671"/>
    <cellStyle name="Percent 17 4" xfId="2672"/>
    <cellStyle name="Percent 17 5" xfId="2673"/>
    <cellStyle name="Percent 17 6" xfId="2674"/>
    <cellStyle name="Percent 17 7" xfId="2675"/>
    <cellStyle name="Percent 17 7 2" xfId="2676"/>
    <cellStyle name="Percent 17 7 3" xfId="2677"/>
    <cellStyle name="Percent 17 8" xfId="2678"/>
    <cellStyle name="Percent 17 8 2" xfId="2679"/>
    <cellStyle name="Percent 2 10" xfId="2680"/>
    <cellStyle name="Percent 2 10 2" xfId="2681"/>
    <cellStyle name="Percent 2 11" xfId="2682"/>
    <cellStyle name="Percent 2 11 2" xfId="2683"/>
    <cellStyle name="Percent 2 12" xfId="2684"/>
    <cellStyle name="Percent 2 13" xfId="2685"/>
    <cellStyle name="Percent 2 14" xfId="2686"/>
    <cellStyle name="Percent 2 15" xfId="2687"/>
    <cellStyle name="Percent 2 16" xfId="2688"/>
    <cellStyle name="Percent 2 17" xfId="2689"/>
    <cellStyle name="Percent 2 18" xfId="2690"/>
    <cellStyle name="Percent 2 19" xfId="2691"/>
    <cellStyle name="Percent 2 2 7" xfId="2692"/>
    <cellStyle name="Percent 2 2 4 2" xfId="2693"/>
    <cellStyle name="Percent 2 2 5" xfId="2694"/>
    <cellStyle name="Percent 2 2 6" xfId="2695"/>
    <cellStyle name="Percent 2 20" xfId="2696"/>
    <cellStyle name="Percent 2 21" xfId="2697"/>
    <cellStyle name="Percent 2 22" xfId="2698"/>
    <cellStyle name="Percent 2 23" xfId="2699"/>
    <cellStyle name="Percent 2 24" xfId="2700"/>
    <cellStyle name="Percent 2 25" xfId="2701"/>
    <cellStyle name="Percent 2 26" xfId="2702"/>
    <cellStyle name="Percent 2 27" xfId="2703"/>
    <cellStyle name="Percent 2 28" xfId="2704"/>
    <cellStyle name="Percent 2 29" xfId="2705"/>
    <cellStyle name="Percent 2 3 10" xfId="2706"/>
    <cellStyle name="Percent 2 3 11" xfId="2707"/>
    <cellStyle name="Percent 2 3 12" xfId="2708"/>
    <cellStyle name="Percent 2 3 13" xfId="2709"/>
    <cellStyle name="Percent 2 3 14" xfId="2710"/>
    <cellStyle name="Percent 2 3 15" xfId="2711"/>
    <cellStyle name="Percent 2 3 16" xfId="2712"/>
    <cellStyle name="Percent 2 3 3 3 4 2" xfId="2713"/>
    <cellStyle name="Percent 2 3 5 2" xfId="2714"/>
    <cellStyle name="Percent 2 3 6" xfId="2715"/>
    <cellStyle name="Percent 2 3 7" xfId="2716"/>
    <cellStyle name="Percent 2 3 8" xfId="2717"/>
    <cellStyle name="Percent 2 3 9" xfId="2718"/>
    <cellStyle name="Percent 2 30" xfId="2719"/>
    <cellStyle name="Percent 2 31" xfId="2720"/>
    <cellStyle name="Percent 2 32" xfId="2721"/>
    <cellStyle name="Percent 2 33" xfId="2722"/>
    <cellStyle name="Percent 2 34" xfId="2723"/>
    <cellStyle name="Percent 2 35" xfId="2724"/>
    <cellStyle name="Percent 2 36" xfId="2725"/>
    <cellStyle name="Percent 2 37" xfId="2726"/>
    <cellStyle name="Percent 2 38" xfId="2727"/>
    <cellStyle name="Percent 2 39" xfId="2728"/>
    <cellStyle name="Percent 2 4 10" xfId="2729"/>
    <cellStyle name="Percent 2 4 11" xfId="2730"/>
    <cellStyle name="Percent 2 4 12" xfId="2731"/>
    <cellStyle name="Percent 2 4 13" xfId="2732"/>
    <cellStyle name="Percent 2 4 14" xfId="2733"/>
    <cellStyle name="Percent 2 4 15" xfId="2734"/>
    <cellStyle name="Percent 2 4 16" xfId="2735"/>
    <cellStyle name="Percent 2 4 2" xfId="2736"/>
    <cellStyle name="Percent 2 4 3" xfId="2737"/>
    <cellStyle name="Percent 2 4 4" xfId="2738"/>
    <cellStyle name="Percent 2 4 5" xfId="2739"/>
    <cellStyle name="Percent 2 4 6" xfId="2740"/>
    <cellStyle name="Percent 2 4 7" xfId="2741"/>
    <cellStyle name="Percent 2 4 8" xfId="2742"/>
    <cellStyle name="Percent 2 4 9" xfId="2743"/>
    <cellStyle name="Percent 2 40" xfId="2744"/>
    <cellStyle name="Percent 2 41" xfId="2745"/>
    <cellStyle name="Percent 2 42" xfId="2746"/>
    <cellStyle name="Percent 2 43" xfId="2747"/>
    <cellStyle name="Percent 2 44" xfId="2748"/>
    <cellStyle name="Percent 2 45" xfId="2749"/>
    <cellStyle name="Percent 2 46" xfId="2750"/>
    <cellStyle name="Percent 2 47" xfId="2751"/>
    <cellStyle name="Percent 2 48" xfId="2752"/>
    <cellStyle name="Percent 2 48 2" xfId="2753"/>
    <cellStyle name="Percent 2 49" xfId="2754"/>
    <cellStyle name="Percent 2 5 10" xfId="2755"/>
    <cellStyle name="Percent 2 5 11" xfId="2756"/>
    <cellStyle name="Percent 2 5 12" xfId="2757"/>
    <cellStyle name="Percent 2 5 13" xfId="2758"/>
    <cellStyle name="Percent 2 5 14" xfId="2759"/>
    <cellStyle name="Percent 2 5 15" xfId="2760"/>
    <cellStyle name="Percent 2 5 4" xfId="2761"/>
    <cellStyle name="Percent 2 5 5" xfId="2762"/>
    <cellStyle name="Percent 2 5 6" xfId="2763"/>
    <cellStyle name="Percent 2 5 7" xfId="2764"/>
    <cellStyle name="Percent 2 5 8" xfId="2765"/>
    <cellStyle name="Percent 2 5 9" xfId="2766"/>
    <cellStyle name="Percent 2 6 10" xfId="2767"/>
    <cellStyle name="Percent 2 6 11" xfId="2768"/>
    <cellStyle name="Percent 2 6 12" xfId="2769"/>
    <cellStyle name="Percent 2 6 13" xfId="2770"/>
    <cellStyle name="Percent 2 6 14" xfId="2771"/>
    <cellStyle name="Percent 2 6 15" xfId="2772"/>
    <cellStyle name="Percent 2 6 2" xfId="2773"/>
    <cellStyle name="Percent 2 6 3" xfId="2774"/>
    <cellStyle name="Percent 2 6 4" xfId="2775"/>
    <cellStyle name="Percent 2 6 5" xfId="2776"/>
    <cellStyle name="Percent 2 6 6" xfId="2777"/>
    <cellStyle name="Percent 2 6 7" xfId="2778"/>
    <cellStyle name="Percent 2 6 8" xfId="2779"/>
    <cellStyle name="Percent 2 6 9" xfId="2780"/>
    <cellStyle name="Percent 2 7" xfId="2781"/>
    <cellStyle name="Percent 2 7 2" xfId="2782"/>
    <cellStyle name="Percent 2 8" xfId="2783"/>
    <cellStyle name="Percent 2 8 2" xfId="2784"/>
    <cellStyle name="Percent 2 9" xfId="2785"/>
    <cellStyle name="Percent 2 9 2" xfId="2786"/>
    <cellStyle name="Percent 20" xfId="2787"/>
    <cellStyle name="Percent 20 2" xfId="2788"/>
    <cellStyle name="Percent 20 3" xfId="2789"/>
    <cellStyle name="Percent 20 4" xfId="2790"/>
    <cellStyle name="Percent 20 5" xfId="2791"/>
    <cellStyle name="Percent 20 6" xfId="2792"/>
    <cellStyle name="Percent 20 7" xfId="2793"/>
    <cellStyle name="Percent 20 7 2" xfId="2794"/>
    <cellStyle name="Percent 20 7 3" xfId="2795"/>
    <cellStyle name="Percent 21" xfId="2796"/>
    <cellStyle name="Percent 21 2" xfId="2797"/>
    <cellStyle name="Percent 21 3" xfId="2798"/>
    <cellStyle name="Percent 21 4" xfId="2799"/>
    <cellStyle name="Percent 21 5" xfId="2800"/>
    <cellStyle name="Percent 21 6" xfId="2801"/>
    <cellStyle name="Percent 21 7" xfId="2802"/>
    <cellStyle name="Percent 21 7 2" xfId="2803"/>
    <cellStyle name="Percent 21 7 3" xfId="2804"/>
    <cellStyle name="Percent 22" xfId="2805"/>
    <cellStyle name="Percent 22 2" xfId="2806"/>
    <cellStyle name="Percent 22 3" xfId="2807"/>
    <cellStyle name="Percent 22 4" xfId="2808"/>
    <cellStyle name="Percent 22 5" xfId="2809"/>
    <cellStyle name="Percent 22 6" xfId="2810"/>
    <cellStyle name="Percent 22 7" xfId="2811"/>
    <cellStyle name="Percent 22 7 2" xfId="2812"/>
    <cellStyle name="Percent 22 7 3" xfId="2813"/>
    <cellStyle name="Percent 23" xfId="2814"/>
    <cellStyle name="Percent 23 2" xfId="2815"/>
    <cellStyle name="Percent 23 3" xfId="2816"/>
    <cellStyle name="Percent 23 4" xfId="2817"/>
    <cellStyle name="Percent 23 5" xfId="2818"/>
    <cellStyle name="Percent 23 6" xfId="2819"/>
    <cellStyle name="Percent 23 7" xfId="2820"/>
    <cellStyle name="Percent 23 7 2" xfId="2821"/>
    <cellStyle name="Percent 23 7 3" xfId="2822"/>
    <cellStyle name="Percent 24 2" xfId="2823"/>
    <cellStyle name="Percent 24 3" xfId="2824"/>
    <cellStyle name="Percent 24 4" xfId="2825"/>
    <cellStyle name="Percent 24 5" xfId="2826"/>
    <cellStyle name="Percent 24 6" xfId="2827"/>
    <cellStyle name="Percent 24 7" xfId="2828"/>
    <cellStyle name="Percent 24 7 2" xfId="2829"/>
    <cellStyle name="Percent 24 7 3" xfId="2830"/>
    <cellStyle name="Percent 25" xfId="2831"/>
    <cellStyle name="Percent 25 2" xfId="2832"/>
    <cellStyle name="Percent 25 3" xfId="2833"/>
    <cellStyle name="Percent 25 4" xfId="2834"/>
    <cellStyle name="Percent 25 5" xfId="2835"/>
    <cellStyle name="Percent 25 6" xfId="2836"/>
    <cellStyle name="Percent 25 7" xfId="2837"/>
    <cellStyle name="Percent 25 7 2" xfId="2838"/>
    <cellStyle name="Percent 25 7 3" xfId="2839"/>
    <cellStyle name="Percent 26" xfId="2840"/>
    <cellStyle name="Percent 26 2" xfId="2841"/>
    <cellStyle name="Percent 26 3" xfId="2842"/>
    <cellStyle name="Percent 26 4" xfId="2843"/>
    <cellStyle name="Percent 26 5" xfId="2844"/>
    <cellStyle name="Percent 26 6" xfId="2845"/>
    <cellStyle name="Percent 26 7" xfId="2846"/>
    <cellStyle name="Percent 26 7 2" xfId="2847"/>
    <cellStyle name="Percent 26 7 3" xfId="2848"/>
    <cellStyle name="Percent 27" xfId="2849"/>
    <cellStyle name="Percent 3 30" xfId="2850"/>
    <cellStyle name="Percent 3 10" xfId="2851"/>
    <cellStyle name="Percent 3 10 10" xfId="2852"/>
    <cellStyle name="Percent 3 10 11" xfId="2853"/>
    <cellStyle name="Percent 3 10 12" xfId="2854"/>
    <cellStyle name="Percent 3 10 13" xfId="2855"/>
    <cellStyle name="Percent 3 10 14" xfId="2856"/>
    <cellStyle name="Percent 3 10 15" xfId="2857"/>
    <cellStyle name="Percent 3 10 2" xfId="2858"/>
    <cellStyle name="Percent 3 10 3" xfId="2859"/>
    <cellStyle name="Percent 3 10 4" xfId="2860"/>
    <cellStyle name="Percent 3 10 5" xfId="2861"/>
    <cellStyle name="Percent 3 10 6" xfId="2862"/>
    <cellStyle name="Percent 3 10 7" xfId="2863"/>
    <cellStyle name="Percent 3 10 8" xfId="2864"/>
    <cellStyle name="Percent 3 10 9" xfId="2865"/>
    <cellStyle name="Percent 3 11" xfId="2866"/>
    <cellStyle name="Percent 3 12" xfId="2867"/>
    <cellStyle name="Percent 3 13" xfId="2868"/>
    <cellStyle name="Percent 3 14" xfId="2869"/>
    <cellStyle name="Percent 3 15" xfId="2870"/>
    <cellStyle name="Percent 3 16" xfId="2871"/>
    <cellStyle name="Percent 3 17" xfId="2872"/>
    <cellStyle name="Percent 3 18" xfId="2873"/>
    <cellStyle name="Percent 3 19" xfId="2874"/>
    <cellStyle name="Percent 3 2 17" xfId="2875"/>
    <cellStyle name="Percent 3 2 10" xfId="2876"/>
    <cellStyle name="Percent 3 2 11" xfId="2877"/>
    <cellStyle name="Percent 3 2 12" xfId="2878"/>
    <cellStyle name="Percent 3 2 13" xfId="2879"/>
    <cellStyle name="Percent 3 2 14" xfId="2880"/>
    <cellStyle name="Percent 3 2 15" xfId="2881"/>
    <cellStyle name="Percent 3 2 16" xfId="2882"/>
    <cellStyle name="Percent 3 2 2 3" xfId="2883"/>
    <cellStyle name="Percent 3 2 2 2" xfId="2884"/>
    <cellStyle name="Percent 3 2 3 2" xfId="2885"/>
    <cellStyle name="Percent 3 2 5" xfId="2886"/>
    <cellStyle name="Percent 3 2 6" xfId="2887"/>
    <cellStyle name="Percent 3 2 7" xfId="2888"/>
    <cellStyle name="Percent 3 2 8" xfId="2889"/>
    <cellStyle name="Percent 3 2 9" xfId="2890"/>
    <cellStyle name="Percent 3 20" xfId="2891"/>
    <cellStyle name="Percent 3 21" xfId="2892"/>
    <cellStyle name="Percent 3 22" xfId="2893"/>
    <cellStyle name="Percent 3 23" xfId="2894"/>
    <cellStyle name="Percent 3 24" xfId="2895"/>
    <cellStyle name="Percent 3 25" xfId="2896"/>
    <cellStyle name="Percent 3 26" xfId="2897"/>
    <cellStyle name="Percent 3 27" xfId="2898"/>
    <cellStyle name="Percent 3 28" xfId="2899"/>
    <cellStyle name="Percent 3 29" xfId="2900"/>
    <cellStyle name="Percent 3 3 10" xfId="2901"/>
    <cellStyle name="Percent 3 3 11" xfId="2902"/>
    <cellStyle name="Percent 3 3 12" xfId="2903"/>
    <cellStyle name="Percent 3 3 13" xfId="2904"/>
    <cellStyle name="Percent 3 3 14" xfId="2905"/>
    <cellStyle name="Percent 3 3 15" xfId="2906"/>
    <cellStyle name="Percent 3 3 3 3 4 2" xfId="2907"/>
    <cellStyle name="Percent 3 3 4 2" xfId="2908"/>
    <cellStyle name="Percent 3 3 6 2" xfId="2909"/>
    <cellStyle name="Percent 3 3 7" xfId="2910"/>
    <cellStyle name="Percent 3 3 8" xfId="2911"/>
    <cellStyle name="Percent 3 3 9" xfId="2912"/>
    <cellStyle name="Percent 3 4 10" xfId="2913"/>
    <cellStyle name="Percent 3 4 11" xfId="2914"/>
    <cellStyle name="Percent 3 4 12" xfId="2915"/>
    <cellStyle name="Percent 3 4 13" xfId="2916"/>
    <cellStyle name="Percent 3 4 14" xfId="2917"/>
    <cellStyle name="Percent 3 4 15" xfId="2918"/>
    <cellStyle name="Percent 3 4 4 2" xfId="2919"/>
    <cellStyle name="Percent 3 4 5" xfId="2920"/>
    <cellStyle name="Percent 3 4 6" xfId="2921"/>
    <cellStyle name="Percent 3 4 7" xfId="2922"/>
    <cellStyle name="Percent 3 4 8" xfId="2923"/>
    <cellStyle name="Percent 3 4 9" xfId="2924"/>
    <cellStyle name="Percent 3 5 10" xfId="2925"/>
    <cellStyle name="Percent 3 5 11" xfId="2926"/>
    <cellStyle name="Percent 3 5 12" xfId="2927"/>
    <cellStyle name="Percent 3 5 13" xfId="2928"/>
    <cellStyle name="Percent 3 5 14" xfId="2929"/>
    <cellStyle name="Percent 3 5 15" xfId="2930"/>
    <cellStyle name="Percent 3 5 16" xfId="2931"/>
    <cellStyle name="Percent 3 5 2" xfId="2932"/>
    <cellStyle name="Percent 3 5 3" xfId="2933"/>
    <cellStyle name="Percent 3 5 4" xfId="2934"/>
    <cellStyle name="Percent 3 5 5" xfId="2935"/>
    <cellStyle name="Percent 3 5 6" xfId="2936"/>
    <cellStyle name="Percent 3 5 7" xfId="2937"/>
    <cellStyle name="Percent 3 5 8" xfId="2938"/>
    <cellStyle name="Percent 3 5 9" xfId="2939"/>
    <cellStyle name="Percent 3 6 10" xfId="2940"/>
    <cellStyle name="Percent 3 6 11" xfId="2941"/>
    <cellStyle name="Percent 3 6 12" xfId="2942"/>
    <cellStyle name="Percent 3 6 13" xfId="2943"/>
    <cellStyle name="Percent 3 6 14" xfId="2944"/>
    <cellStyle name="Percent 3 6 15" xfId="2945"/>
    <cellStyle name="Percent 3 6 4" xfId="2946"/>
    <cellStyle name="Percent 3 6 5" xfId="2947"/>
    <cellStyle name="Percent 3 6 6" xfId="2948"/>
    <cellStyle name="Percent 3 6 7" xfId="2949"/>
    <cellStyle name="Percent 3 6 8" xfId="2950"/>
    <cellStyle name="Percent 3 6 9" xfId="2951"/>
    <cellStyle name="Percent 3 7 10" xfId="2952"/>
    <cellStyle name="Percent 3 7 11" xfId="2953"/>
    <cellStyle name="Percent 3 7 12" xfId="2954"/>
    <cellStyle name="Percent 3 7 13" xfId="2955"/>
    <cellStyle name="Percent 3 7 14" xfId="2956"/>
    <cellStyle name="Percent 3 7 15" xfId="2957"/>
    <cellStyle name="Percent 3 7 2" xfId="2958"/>
    <cellStyle name="Percent 3 7 3" xfId="2959"/>
    <cellStyle name="Percent 3 7 4" xfId="2960"/>
    <cellStyle name="Percent 3 7 5" xfId="2961"/>
    <cellStyle name="Percent 3 7 6" xfId="2962"/>
    <cellStyle name="Percent 3 7 7" xfId="2963"/>
    <cellStyle name="Percent 3 7 8" xfId="2964"/>
    <cellStyle name="Percent 3 7 9" xfId="2965"/>
    <cellStyle name="Percent 3 8" xfId="2966"/>
    <cellStyle name="Percent 3 8 10" xfId="2967"/>
    <cellStyle name="Percent 3 8 11" xfId="2968"/>
    <cellStyle name="Percent 3 8 12" xfId="2969"/>
    <cellStyle name="Percent 3 8 13" xfId="2970"/>
    <cellStyle name="Percent 3 8 14" xfId="2971"/>
    <cellStyle name="Percent 3 8 15" xfId="2972"/>
    <cellStyle name="Percent 3 8 2" xfId="2973"/>
    <cellStyle name="Percent 3 8 3" xfId="2974"/>
    <cellStyle name="Percent 3 8 4" xfId="2975"/>
    <cellStyle name="Percent 3 8 5" xfId="2976"/>
    <cellStyle name="Percent 3 8 6" xfId="2977"/>
    <cellStyle name="Percent 3 8 7" xfId="2978"/>
    <cellStyle name="Percent 3 8 8" xfId="2979"/>
    <cellStyle name="Percent 3 8 9" xfId="2980"/>
    <cellStyle name="Percent 3 9" xfId="2981"/>
    <cellStyle name="Percent 3 9 10" xfId="2982"/>
    <cellStyle name="Percent 3 9 11" xfId="2983"/>
    <cellStyle name="Percent 3 9 12" xfId="2984"/>
    <cellStyle name="Percent 3 9 13" xfId="2985"/>
    <cellStyle name="Percent 3 9 14" xfId="2986"/>
    <cellStyle name="Percent 3 9 15" xfId="2987"/>
    <cellStyle name="Percent 3 9 2" xfId="2988"/>
    <cellStyle name="Percent 3 9 3" xfId="2989"/>
    <cellStyle name="Percent 3 9 4" xfId="2990"/>
    <cellStyle name="Percent 3 9 5" xfId="2991"/>
    <cellStyle name="Percent 3 9 6" xfId="2992"/>
    <cellStyle name="Percent 3 9 7" xfId="2993"/>
    <cellStyle name="Percent 3 9 8" xfId="2994"/>
    <cellStyle name="Percent 3 9 9" xfId="2995"/>
    <cellStyle name="Percent 31" xfId="2996"/>
    <cellStyle name="Percent 4 30" xfId="2997"/>
    <cellStyle name="Percent 4 10" xfId="2998"/>
    <cellStyle name="Percent 4 11" xfId="2999"/>
    <cellStyle name="Percent 4 12" xfId="3000"/>
    <cellStyle name="Percent 4 13" xfId="3001"/>
    <cellStyle name="Percent 4 14" xfId="3002"/>
    <cellStyle name="Percent 4 15" xfId="3003"/>
    <cellStyle name="Percent 4 16" xfId="3004"/>
    <cellStyle name="Percent 4 17" xfId="3005"/>
    <cellStyle name="Percent 4 18" xfId="3006"/>
    <cellStyle name="Percent 4 19" xfId="3007"/>
    <cellStyle name="Percent 4 2 6" xfId="3008"/>
    <cellStyle name="Percent 4 2 4 2" xfId="3009"/>
    <cellStyle name="Percent 4 2 5" xfId="3010"/>
    <cellStyle name="Percent 4 20" xfId="3011"/>
    <cellStyle name="Percent 4 21" xfId="3012"/>
    <cellStyle name="Percent 4 22" xfId="3013"/>
    <cellStyle name="Percent 4 23" xfId="3014"/>
    <cellStyle name="Percent 4 24" xfId="3015"/>
    <cellStyle name="Percent 4 25" xfId="3016"/>
    <cellStyle name="Percent 4 26" xfId="3017"/>
    <cellStyle name="Percent 4 27" xfId="3018"/>
    <cellStyle name="Percent 4 28" xfId="3019"/>
    <cellStyle name="Percent 4 29" xfId="3020"/>
    <cellStyle name="Percent 4 29 2" xfId="3021"/>
    <cellStyle name="Percent 4 4 2" xfId="3022"/>
    <cellStyle name="Percent 4 5 20" xfId="3023"/>
    <cellStyle name="Percent 4 6" xfId="3024"/>
    <cellStyle name="Percent 4 7" xfId="3025"/>
    <cellStyle name="Percent 4 8" xfId="3026"/>
    <cellStyle name="Percent 4 9" xfId="3027"/>
    <cellStyle name="Percent 5 5" xfId="3028"/>
    <cellStyle name="Percent 5 3 2" xfId="3029"/>
    <cellStyle name="Percent 5 4 2" xfId="3030"/>
    <cellStyle name="Percent 6 3" xfId="3031"/>
    <cellStyle name="Percent 6 2" xfId="3032"/>
    <cellStyle name="Percent 7 2" xfId="3033"/>
    <cellStyle name="Percent 8" xfId="3034"/>
    <cellStyle name="Percent 9 10" xfId="3035"/>
    <cellStyle name="Percent 9 11" xfId="3036"/>
    <cellStyle name="Percent 9 12" xfId="3037"/>
    <cellStyle name="Percent 9 13" xfId="3038"/>
    <cellStyle name="Percent 9 14" xfId="3039"/>
    <cellStyle name="Percent 9 15" xfId="3040"/>
    <cellStyle name="Percent 9 16" xfId="3041"/>
    <cellStyle name="Percent 9 17" xfId="3042"/>
    <cellStyle name="Percent 9 18" xfId="3043"/>
    <cellStyle name="Percent 9 19" xfId="3044"/>
    <cellStyle name="Percent 9 2" xfId="3045"/>
    <cellStyle name="Percent 9 20" xfId="3046"/>
    <cellStyle name="Percent 9 3" xfId="3047"/>
    <cellStyle name="Percent 9 4" xfId="3048"/>
    <cellStyle name="Percent 9 5" xfId="3049"/>
    <cellStyle name="Percent 9 6" xfId="3050"/>
    <cellStyle name="Percent 9 7" xfId="3051"/>
    <cellStyle name="Percent 9 7 2" xfId="3052"/>
    <cellStyle name="Percent 9 7 3" xfId="3053"/>
    <cellStyle name="Percent 9 8" xfId="3054"/>
    <cellStyle name="Percent 9 9" xfId="3055"/>
    <cellStyle name="Percentagem 2 2" xfId="3056"/>
    <cellStyle name="Percentagem 2 3" xfId="3057"/>
    <cellStyle name="Schlecht" xfId="3058"/>
    <cellStyle name="Shade" xfId="3059"/>
    <cellStyle name="Standaard_Blad1" xfId="3060"/>
    <cellStyle name="Standard 2" xfId="3061"/>
    <cellStyle name="Standard 3" xfId="3062"/>
    <cellStyle name="Standard_Sce_D_Extraction" xfId="3063"/>
    <cellStyle name="Style 1" xfId="3064"/>
    <cellStyle name="Style 103" xfId="3065"/>
    <cellStyle name="Style 103 2" xfId="3066"/>
    <cellStyle name="Style 103 3" xfId="3067"/>
    <cellStyle name="Style 104" xfId="3068"/>
    <cellStyle name="Style 104 2" xfId="3069"/>
    <cellStyle name="Style 104 3" xfId="3070"/>
    <cellStyle name="Style 105" xfId="3071"/>
    <cellStyle name="Style 105 2" xfId="3072"/>
    <cellStyle name="Style 106" xfId="3073"/>
    <cellStyle name="Style 106 2" xfId="3074"/>
    <cellStyle name="Style 107" xfId="3075"/>
    <cellStyle name="Style 107 2" xfId="3076"/>
    <cellStyle name="Style 108" xfId="3077"/>
    <cellStyle name="Style 108 2" xfId="3078"/>
    <cellStyle name="Style 108 3" xfId="3079"/>
    <cellStyle name="Style 109" xfId="3080"/>
    <cellStyle name="Style 109 2" xfId="3081"/>
    <cellStyle name="Style 110" xfId="3082"/>
    <cellStyle name="Style 110 2" xfId="3083"/>
    <cellStyle name="Style 114" xfId="3084"/>
    <cellStyle name="Style 114 2" xfId="3085"/>
    <cellStyle name="Style 114 3" xfId="3086"/>
    <cellStyle name="Style 115" xfId="3087"/>
    <cellStyle name="Style 115 2" xfId="3088"/>
    <cellStyle name="Style 115 3" xfId="3089"/>
    <cellStyle name="Style 116" xfId="3090"/>
    <cellStyle name="Style 116 2" xfId="3091"/>
    <cellStyle name="Style 117" xfId="3092"/>
    <cellStyle name="Style 117 2" xfId="3093"/>
    <cellStyle name="Style 118" xfId="3094"/>
    <cellStyle name="Style 118 2" xfId="3095"/>
    <cellStyle name="Style 119" xfId="3096"/>
    <cellStyle name="Style 119 2" xfId="3097"/>
    <cellStyle name="Style 119 3" xfId="3098"/>
    <cellStyle name="Style 120" xfId="3099"/>
    <cellStyle name="Style 120 2" xfId="3100"/>
    <cellStyle name="Style 121" xfId="3101"/>
    <cellStyle name="Style 121 2" xfId="3102"/>
    <cellStyle name="Style 126" xfId="3103"/>
    <cellStyle name="Style 126 2" xfId="3104"/>
    <cellStyle name="Style 126 3" xfId="3105"/>
    <cellStyle name="Style 127" xfId="3106"/>
    <cellStyle name="Style 127 2" xfId="3107"/>
    <cellStyle name="Style 128" xfId="3108"/>
    <cellStyle name="Style 128 2" xfId="3109"/>
    <cellStyle name="Style 129" xfId="3110"/>
    <cellStyle name="Style 129 2" xfId="3111"/>
    <cellStyle name="Style 130" xfId="3112"/>
    <cellStyle name="Style 130 2" xfId="3113"/>
    <cellStyle name="Style 130 3" xfId="3114"/>
    <cellStyle name="Style 131" xfId="3115"/>
    <cellStyle name="Style 131 2" xfId="3116"/>
    <cellStyle name="Style 132" xfId="3117"/>
    <cellStyle name="Style 132 2" xfId="3118"/>
    <cellStyle name="Style 137" xfId="3119"/>
    <cellStyle name="Style 137 2" xfId="3120"/>
    <cellStyle name="Style 137 3" xfId="3121"/>
    <cellStyle name="Style 138" xfId="3122"/>
    <cellStyle name="Style 138 2" xfId="3123"/>
    <cellStyle name="Style 139" xfId="3124"/>
    <cellStyle name="Style 139 2" xfId="3125"/>
    <cellStyle name="Style 140" xfId="3126"/>
    <cellStyle name="Style 140 2" xfId="3127"/>
    <cellStyle name="Style 141" xfId="3128"/>
    <cellStyle name="Style 141 2" xfId="3129"/>
    <cellStyle name="Style 141 3" xfId="3130"/>
    <cellStyle name="Style 142" xfId="3131"/>
    <cellStyle name="Style 142 2" xfId="3132"/>
    <cellStyle name="Style 143" xfId="3133"/>
    <cellStyle name="Style 143 2" xfId="3134"/>
    <cellStyle name="Style 148" xfId="3135"/>
    <cellStyle name="Style 148 2" xfId="3136"/>
    <cellStyle name="Style 148 3" xfId="3137"/>
    <cellStyle name="Style 149" xfId="3138"/>
    <cellStyle name="Style 149 2" xfId="3139"/>
    <cellStyle name="Style 150" xfId="3140"/>
    <cellStyle name="Style 150 2" xfId="3141"/>
    <cellStyle name="Style 151" xfId="3142"/>
    <cellStyle name="Style 151 2" xfId="3143"/>
    <cellStyle name="Style 152" xfId="3144"/>
    <cellStyle name="Style 152 2" xfId="3145"/>
    <cellStyle name="Style 152 3" xfId="3146"/>
    <cellStyle name="Style 153" xfId="3147"/>
    <cellStyle name="Style 153 2" xfId="3148"/>
    <cellStyle name="Style 154" xfId="3149"/>
    <cellStyle name="Style 154 2" xfId="3150"/>
    <cellStyle name="Style 159" xfId="3151"/>
    <cellStyle name="Style 159 2" xfId="3152"/>
    <cellStyle name="Style 159 3" xfId="3153"/>
    <cellStyle name="Style 160" xfId="3154"/>
    <cellStyle name="Style 160 2" xfId="3155"/>
    <cellStyle name="Style 161" xfId="3156"/>
    <cellStyle name="Style 161 2" xfId="3157"/>
    <cellStyle name="Style 162" xfId="3158"/>
    <cellStyle name="Style 162 2" xfId="3159"/>
    <cellStyle name="Style 163" xfId="3160"/>
    <cellStyle name="Style 163 2" xfId="3161"/>
    <cellStyle name="Style 163 3" xfId="3162"/>
    <cellStyle name="Style 164" xfId="3163"/>
    <cellStyle name="Style 164 2" xfId="3164"/>
    <cellStyle name="Style 165" xfId="3165"/>
    <cellStyle name="Style 165 2" xfId="3166"/>
    <cellStyle name="Style 21 5" xfId="3167"/>
    <cellStyle name="Style 21 2 3" xfId="3168"/>
    <cellStyle name="Style 21 2 2" xfId="3169"/>
    <cellStyle name="Style 21 3" xfId="3170"/>
    <cellStyle name="Style 21 4" xfId="3171"/>
    <cellStyle name="Style 22 3" xfId="3172"/>
    <cellStyle name="Style 22 2" xfId="3173"/>
    <cellStyle name="Style 23 3" xfId="3174"/>
    <cellStyle name="Style 23 2" xfId="3175"/>
    <cellStyle name="Style 24 3" xfId="3176"/>
    <cellStyle name="Style 24 2" xfId="3177"/>
    <cellStyle name="Style 25 4" xfId="3178"/>
    <cellStyle name="Style 25 3" xfId="3179"/>
    <cellStyle name="Style 26 3" xfId="3180"/>
    <cellStyle name="Style 26 2" xfId="3181"/>
    <cellStyle name="Style 27" xfId="3182"/>
    <cellStyle name="Style 27 2" xfId="3183"/>
    <cellStyle name="Style 35" xfId="3184"/>
    <cellStyle name="Style 35 2" xfId="3185"/>
    <cellStyle name="Style 35 3" xfId="3186"/>
    <cellStyle name="Style 36" xfId="3187"/>
    <cellStyle name="Style 36 2" xfId="3188"/>
    <cellStyle name="Style 37" xfId="3189"/>
    <cellStyle name="Style 37 2" xfId="3190"/>
    <cellStyle name="Style 38" xfId="3191"/>
    <cellStyle name="Style 38 2" xfId="3192"/>
    <cellStyle name="Style 39" xfId="3193"/>
    <cellStyle name="Style 39 2" xfId="3194"/>
    <cellStyle name="Style 39 3" xfId="3195"/>
    <cellStyle name="Style 40" xfId="3196"/>
    <cellStyle name="Style 40 2" xfId="3197"/>
    <cellStyle name="Style 41" xfId="3198"/>
    <cellStyle name="Style 41 2" xfId="3199"/>
    <cellStyle name="Style 46" xfId="3200"/>
    <cellStyle name="Style 46 2" xfId="3201"/>
    <cellStyle name="Style 46 3" xfId="3202"/>
    <cellStyle name="Style 47" xfId="3203"/>
    <cellStyle name="Style 47 2" xfId="3204"/>
    <cellStyle name="Style 48" xfId="3205"/>
    <cellStyle name="Style 48 2" xfId="3206"/>
    <cellStyle name="Style 49" xfId="3207"/>
    <cellStyle name="Style 49 2" xfId="3208"/>
    <cellStyle name="Style 50" xfId="3209"/>
    <cellStyle name="Style 50 2" xfId="3210"/>
    <cellStyle name="Style 50 3" xfId="3211"/>
    <cellStyle name="Style 51" xfId="3212"/>
    <cellStyle name="Style 51 2" xfId="3213"/>
    <cellStyle name="Style 52" xfId="3214"/>
    <cellStyle name="Style 52 2" xfId="3215"/>
    <cellStyle name="Style 58" xfId="3216"/>
    <cellStyle name="Style 58 2" xfId="3217"/>
    <cellStyle name="Style 58 3" xfId="3218"/>
    <cellStyle name="Style 59" xfId="3219"/>
    <cellStyle name="Style 59 2" xfId="3220"/>
    <cellStyle name="Style 60" xfId="3221"/>
    <cellStyle name="Style 60 2" xfId="3222"/>
    <cellStyle name="Style 61" xfId="3223"/>
    <cellStyle name="Style 61 2" xfId="3224"/>
    <cellStyle name="Style 62" xfId="3225"/>
    <cellStyle name="Style 62 2" xfId="3226"/>
    <cellStyle name="Style 62 3" xfId="3227"/>
    <cellStyle name="Style 63" xfId="3228"/>
    <cellStyle name="Style 63 2" xfId="3229"/>
    <cellStyle name="Style 64" xfId="3230"/>
    <cellStyle name="Style 64 2" xfId="3231"/>
    <cellStyle name="Style 69" xfId="3232"/>
    <cellStyle name="Style 69 2" xfId="3233"/>
    <cellStyle name="Style 69 3" xfId="3234"/>
    <cellStyle name="Style 70" xfId="3235"/>
    <cellStyle name="Style 70 2" xfId="3236"/>
    <cellStyle name="Style 71" xfId="3237"/>
    <cellStyle name="Style 71 2" xfId="3238"/>
    <cellStyle name="Style 72" xfId="3239"/>
    <cellStyle name="Style 72 2" xfId="3240"/>
    <cellStyle name="Style 73" xfId="3241"/>
    <cellStyle name="Style 73 2" xfId="3242"/>
    <cellStyle name="Style 73 3" xfId="3243"/>
    <cellStyle name="Style 74" xfId="3244"/>
    <cellStyle name="Style 74 2" xfId="3245"/>
    <cellStyle name="Style 75" xfId="3246"/>
    <cellStyle name="Style 75 2" xfId="3247"/>
    <cellStyle name="Style 80" xfId="3248"/>
    <cellStyle name="Style 80 2" xfId="3249"/>
    <cellStyle name="Style 80 3" xfId="3250"/>
    <cellStyle name="Style 81" xfId="3251"/>
    <cellStyle name="Style 81 2" xfId="3252"/>
    <cellStyle name="Style 81 3" xfId="3253"/>
    <cellStyle name="Style 82" xfId="3254"/>
    <cellStyle name="Style 82 2" xfId="3255"/>
    <cellStyle name="Style 83" xfId="3256"/>
    <cellStyle name="Style 83 2" xfId="3257"/>
    <cellStyle name="Style 84" xfId="3258"/>
    <cellStyle name="Style 84 2" xfId="3259"/>
    <cellStyle name="Style 85" xfId="3260"/>
    <cellStyle name="Style 85 2" xfId="3261"/>
    <cellStyle name="Style 85 3" xfId="3262"/>
    <cellStyle name="Style 86" xfId="3263"/>
    <cellStyle name="Style 86 2" xfId="3264"/>
    <cellStyle name="Style 87" xfId="3265"/>
    <cellStyle name="Style 87 2" xfId="3266"/>
    <cellStyle name="Style 93" xfId="3267"/>
    <cellStyle name="Style 93 2" xfId="3268"/>
    <cellStyle name="Style 93 3" xfId="3269"/>
    <cellStyle name="Style 94" xfId="3270"/>
    <cellStyle name="Style 94 2" xfId="3271"/>
    <cellStyle name="Style 95" xfId="3272"/>
    <cellStyle name="Style 95 2" xfId="3273"/>
    <cellStyle name="Style 96" xfId="3274"/>
    <cellStyle name="Style 96 2" xfId="3275"/>
    <cellStyle name="Style 97" xfId="3276"/>
    <cellStyle name="Style 97 2" xfId="3277"/>
    <cellStyle name="Style 97 3" xfId="3278"/>
    <cellStyle name="Style 98" xfId="3279"/>
    <cellStyle name="Style 98 2" xfId="3280"/>
    <cellStyle name="Style 99" xfId="3281"/>
    <cellStyle name="Style 99 2" xfId="3282"/>
    <cellStyle name="Title 10" xfId="3283"/>
    <cellStyle name="Title 11" xfId="3284"/>
    <cellStyle name="Title 12" xfId="3285"/>
    <cellStyle name="Title 13" xfId="3286"/>
    <cellStyle name="Title 14" xfId="3287"/>
    <cellStyle name="Title 15" xfId="3288"/>
    <cellStyle name="Title 16" xfId="3289"/>
    <cellStyle name="Title 17" xfId="3290"/>
    <cellStyle name="Title 18" xfId="3291"/>
    <cellStyle name="Title 19" xfId="3292"/>
    <cellStyle name="Title 20" xfId="3293"/>
    <cellStyle name="Title 21" xfId="3294"/>
    <cellStyle name="Title 22" xfId="3295"/>
    <cellStyle name="Title 23" xfId="3296"/>
    <cellStyle name="Title 24" xfId="3297"/>
    <cellStyle name="Title 25" xfId="3298"/>
    <cellStyle name="Title 26" xfId="3299"/>
    <cellStyle name="Title 27" xfId="3300"/>
    <cellStyle name="Title 28" xfId="3301"/>
    <cellStyle name="Title 29" xfId="3302"/>
    <cellStyle name="Title 3 2" xfId="3303"/>
    <cellStyle name="Title 30" xfId="3304"/>
    <cellStyle name="Title 31" xfId="3305"/>
    <cellStyle name="Title 32" xfId="3306"/>
    <cellStyle name="Title 33" xfId="3307"/>
    <cellStyle name="Title 34" xfId="3308"/>
    <cellStyle name="Title 35" xfId="3309"/>
    <cellStyle name="Title 36" xfId="3310"/>
    <cellStyle name="Title 37" xfId="3311"/>
    <cellStyle name="Title 38" xfId="3312"/>
    <cellStyle name="Title 39" xfId="3313"/>
    <cellStyle name="Title 40" xfId="3314"/>
    <cellStyle name="Title 41" xfId="3315"/>
    <cellStyle name="Title 42" xfId="3316"/>
    <cellStyle name="Title 43" xfId="3317"/>
    <cellStyle name="Title 6" xfId="3318"/>
    <cellStyle name="Title 7" xfId="3319"/>
    <cellStyle name="Title 8" xfId="3320"/>
    <cellStyle name="Title 9" xfId="3321"/>
    <cellStyle name="Total 10" xfId="3322"/>
    <cellStyle name="Total 11" xfId="3323"/>
    <cellStyle name="Total 12" xfId="3324"/>
    <cellStyle name="Total 13" xfId="3325"/>
    <cellStyle name="Total 14" xfId="3326"/>
    <cellStyle name="Total 15" xfId="3327"/>
    <cellStyle name="Total 16" xfId="3328"/>
    <cellStyle name="Total 17" xfId="3329"/>
    <cellStyle name="Total 18" xfId="3330"/>
    <cellStyle name="Total 19" xfId="3331"/>
    <cellStyle name="Total 20" xfId="3332"/>
    <cellStyle name="Total 21" xfId="3333"/>
    <cellStyle name="Total 22" xfId="3334"/>
    <cellStyle name="Total 23" xfId="3335"/>
    <cellStyle name="Total 24" xfId="3336"/>
    <cellStyle name="Total 25" xfId="3337"/>
    <cellStyle name="Total 26" xfId="3338"/>
    <cellStyle name="Total 27" xfId="3339"/>
    <cellStyle name="Total 28" xfId="3340"/>
    <cellStyle name="Total 29" xfId="3341"/>
    <cellStyle name="Total 3 2" xfId="3342"/>
    <cellStyle name="Total 30" xfId="3343"/>
    <cellStyle name="Total 31" xfId="3344"/>
    <cellStyle name="Total 32" xfId="3345"/>
    <cellStyle name="Total 33" xfId="3346"/>
    <cellStyle name="Total 34" xfId="3347"/>
    <cellStyle name="Total 35" xfId="3348"/>
    <cellStyle name="Total 36" xfId="3349"/>
    <cellStyle name="Total 37" xfId="3350"/>
    <cellStyle name="Total 38" xfId="3351"/>
    <cellStyle name="Total 39" xfId="3352"/>
    <cellStyle name="Total 40" xfId="3353"/>
    <cellStyle name="Total 41" xfId="3354"/>
    <cellStyle name="Total 42" xfId="3355"/>
    <cellStyle name="Total 6" xfId="3356"/>
    <cellStyle name="Total 7" xfId="3357"/>
    <cellStyle name="Total 8" xfId="3358"/>
    <cellStyle name="Total 9" xfId="3359"/>
    <cellStyle name="Überschrift" xfId="3360"/>
    <cellStyle name="Überschrift 1" xfId="3361"/>
    <cellStyle name="Überschrift 2" xfId="3362"/>
    <cellStyle name="Überschrift 3" xfId="3363"/>
    <cellStyle name="Überschrift 4" xfId="3364"/>
    <cellStyle name="Verknüpfte Zelle" xfId="3365"/>
    <cellStyle name="Warnender Text" xfId="3366"/>
    <cellStyle name="Warning Text 10" xfId="3367"/>
    <cellStyle name="Warning Text 11" xfId="3368"/>
    <cellStyle name="Warning Text 12" xfId="3369"/>
    <cellStyle name="Warning Text 13" xfId="3370"/>
    <cellStyle name="Warning Text 14" xfId="3371"/>
    <cellStyle name="Warning Text 15" xfId="3372"/>
    <cellStyle name="Warning Text 16" xfId="3373"/>
    <cellStyle name="Warning Text 17" xfId="3374"/>
    <cellStyle name="Warning Text 18" xfId="3375"/>
    <cellStyle name="Warning Text 19" xfId="3376"/>
    <cellStyle name="Warning Text 20" xfId="3377"/>
    <cellStyle name="Warning Text 21" xfId="3378"/>
    <cellStyle name="Warning Text 22" xfId="3379"/>
    <cellStyle name="Warning Text 23" xfId="3380"/>
    <cellStyle name="Warning Text 24" xfId="3381"/>
    <cellStyle name="Warning Text 25" xfId="3382"/>
    <cellStyle name="Warning Text 26" xfId="3383"/>
    <cellStyle name="Warning Text 27" xfId="3384"/>
    <cellStyle name="Warning Text 28" xfId="3385"/>
    <cellStyle name="Warning Text 29" xfId="3386"/>
    <cellStyle name="Warning Text 3 2" xfId="3387"/>
    <cellStyle name="Warning Text 30" xfId="3388"/>
    <cellStyle name="Warning Text 31" xfId="3389"/>
    <cellStyle name="Warning Text 32" xfId="3390"/>
    <cellStyle name="Warning Text 33" xfId="3391"/>
    <cellStyle name="Warning Text 34" xfId="3392"/>
    <cellStyle name="Warning Text 35" xfId="3393"/>
    <cellStyle name="Warning Text 36" xfId="3394"/>
    <cellStyle name="Warning Text 37" xfId="3395"/>
    <cellStyle name="Warning Text 38" xfId="3396"/>
    <cellStyle name="Warning Text 39" xfId="3397"/>
    <cellStyle name="Warning Text 40" xfId="3398"/>
    <cellStyle name="Warning Text 41" xfId="3399"/>
    <cellStyle name="Warning Text 6" xfId="3400"/>
    <cellStyle name="Warning Text 7" xfId="3401"/>
    <cellStyle name="Warning Text 8" xfId="3402"/>
    <cellStyle name="Warning Text 9" xfId="3403"/>
    <cellStyle name="Zelle überprüfen" xfId="3404"/>
    <cellStyle name="Гиперссылка" xfId="3405"/>
    <cellStyle name="Обычный_2++" xfId="3406"/>
    <cellStyle name="20% - Accent1 2 10" xfId="3407"/>
    <cellStyle name="20% - Accent1 2 11" xfId="3408"/>
    <cellStyle name="20% - Accent1 2 12" xfId="3409"/>
    <cellStyle name="20% - Accent1 2 13" xfId="3410"/>
    <cellStyle name="20% - Accent1 2 14" xfId="3411"/>
    <cellStyle name="20% - Accent1 2 15" xfId="3412"/>
    <cellStyle name="20% - Accent1 2 2" xfId="3413"/>
    <cellStyle name="20% - Accent1 2 3" xfId="3414"/>
    <cellStyle name="20% - Accent1 2 4" xfId="3415"/>
    <cellStyle name="20% - Accent1 2 5" xfId="3416"/>
    <cellStyle name="20% - Accent1 2 6" xfId="3417"/>
    <cellStyle name="20% - Accent1 2 7" xfId="3418"/>
    <cellStyle name="20% - Accent1 2 8" xfId="3419"/>
    <cellStyle name="20% - Accent1 2 9" xfId="3420"/>
    <cellStyle name="20% - Accent1 3 3" xfId="3421"/>
    <cellStyle name="20% - Accent1 4 2" xfId="3422"/>
    <cellStyle name="20% - Accent1 5 2" xfId="3423"/>
    <cellStyle name="20% - Accent1 6 2" xfId="3424"/>
    <cellStyle name="20% - Accent1 7 2" xfId="3425"/>
    <cellStyle name="20% - Accent1 8 2" xfId="3426"/>
    <cellStyle name="20% - Accent2 2 10" xfId="3427"/>
    <cellStyle name="20% - Accent2 2 11" xfId="3428"/>
    <cellStyle name="20% - Accent2 2 12" xfId="3429"/>
    <cellStyle name="20% - Accent2 2 13" xfId="3430"/>
    <cellStyle name="20% - Accent2 2 14" xfId="3431"/>
    <cellStyle name="20% - Accent2 2 15" xfId="3432"/>
    <cellStyle name="20% - Accent2 2 2" xfId="3433"/>
    <cellStyle name="20% - Accent2 2 3" xfId="3434"/>
    <cellStyle name="20% - Accent2 2 4" xfId="3435"/>
    <cellStyle name="20% - Accent2 2 5" xfId="3436"/>
    <cellStyle name="20% - Accent2 2 6" xfId="3437"/>
    <cellStyle name="20% - Accent2 2 7" xfId="3438"/>
    <cellStyle name="20% - Accent2 2 8" xfId="3439"/>
    <cellStyle name="20% - Accent2 2 9" xfId="3440"/>
    <cellStyle name="20% - Accent2 3 3" xfId="3441"/>
    <cellStyle name="20% - Accent2 4 2" xfId="3442"/>
    <cellStyle name="20% - Accent2 5 2" xfId="3443"/>
    <cellStyle name="20% - Accent2 6 2" xfId="3444"/>
    <cellStyle name="20% - Accent2 7 2" xfId="3445"/>
    <cellStyle name="20% - Accent2 8 2" xfId="3446"/>
    <cellStyle name="20% - Accent3 2 10" xfId="3447"/>
    <cellStyle name="20% - Accent3 2 11" xfId="3448"/>
    <cellStyle name="20% - Accent3 2 12" xfId="3449"/>
    <cellStyle name="20% - Accent3 2 13" xfId="3450"/>
    <cellStyle name="20% - Accent3 2 14" xfId="3451"/>
    <cellStyle name="20% - Accent3 2 15" xfId="3452"/>
    <cellStyle name="20% - Accent3 2 2" xfId="3453"/>
    <cellStyle name="20% - Accent3 2 3" xfId="3454"/>
    <cellStyle name="20% - Accent3 2 4" xfId="3455"/>
    <cellStyle name="20% - Accent3 2 5" xfId="3456"/>
    <cellStyle name="20% - Accent3 2 6" xfId="3457"/>
    <cellStyle name="20% - Accent3 2 7" xfId="3458"/>
    <cellStyle name="20% - Accent3 2 8" xfId="3459"/>
    <cellStyle name="20% - Accent3 2 9" xfId="3460"/>
    <cellStyle name="20% - Accent3 3 3" xfId="3461"/>
    <cellStyle name="20% - Accent3 4 2" xfId="3462"/>
    <cellStyle name="20% - Accent3 5 2" xfId="3463"/>
    <cellStyle name="20% - Accent3 6 2" xfId="3464"/>
    <cellStyle name="20% - Accent3 7 2" xfId="3465"/>
    <cellStyle name="20% - Accent3 8 2" xfId="3466"/>
    <cellStyle name="20% - Accent4 2 10" xfId="3467"/>
    <cellStyle name="20% - Accent4 2 11" xfId="3468"/>
    <cellStyle name="20% - Accent4 2 12" xfId="3469"/>
    <cellStyle name="20% - Accent4 2 13" xfId="3470"/>
    <cellStyle name="20% - Accent4 2 14" xfId="3471"/>
    <cellStyle name="20% - Accent4 2 15" xfId="3472"/>
    <cellStyle name="20% - Accent4 2 2" xfId="3473"/>
    <cellStyle name="20% - Accent4 2 3" xfId="3474"/>
    <cellStyle name="20% - Accent4 2 4" xfId="3475"/>
    <cellStyle name="20% - Accent4 2 5" xfId="3476"/>
    <cellStyle name="20% - Accent4 2 6" xfId="3477"/>
    <cellStyle name="20% - Accent4 2 7" xfId="3478"/>
    <cellStyle name="20% - Accent4 2 8" xfId="3479"/>
    <cellStyle name="20% - Accent4 2 9" xfId="3480"/>
    <cellStyle name="20% - Accent4 3 3" xfId="3481"/>
    <cellStyle name="20% - Accent4 4 2" xfId="3482"/>
    <cellStyle name="20% - Accent4 5 2" xfId="3483"/>
    <cellStyle name="20% - Accent4 6 2" xfId="3484"/>
    <cellStyle name="20% - Accent4 7 2" xfId="3485"/>
    <cellStyle name="20% - Accent4 8 2" xfId="3486"/>
    <cellStyle name="20% - Accent5 2 10" xfId="3487"/>
    <cellStyle name="20% - Accent5 2 11" xfId="3488"/>
    <cellStyle name="20% - Accent5 2 12" xfId="3489"/>
    <cellStyle name="20% - Accent5 2 13" xfId="3490"/>
    <cellStyle name="20% - Accent5 2 14" xfId="3491"/>
    <cellStyle name="20% - Accent5 2 15" xfId="3492"/>
    <cellStyle name="20% - Accent5 2 2" xfId="3493"/>
    <cellStyle name="20% - Accent5 2 3" xfId="3494"/>
    <cellStyle name="20% - Accent5 2 4" xfId="3495"/>
    <cellStyle name="20% - Accent5 2 5" xfId="3496"/>
    <cellStyle name="20% - Accent5 2 6" xfId="3497"/>
    <cellStyle name="20% - Accent5 2 7" xfId="3498"/>
    <cellStyle name="20% - Accent5 2 8" xfId="3499"/>
    <cellStyle name="20% - Accent5 2 9" xfId="3500"/>
    <cellStyle name="20% - Accent6 2 10" xfId="3501"/>
    <cellStyle name="20% - Accent6 2 11" xfId="3502"/>
    <cellStyle name="20% - Accent6 2 12" xfId="3503"/>
    <cellStyle name="20% - Accent6 2 13" xfId="3504"/>
    <cellStyle name="20% - Accent6 2 14" xfId="3505"/>
    <cellStyle name="20% - Accent6 2 15" xfId="3506"/>
    <cellStyle name="20% - Accent6 2 2" xfId="3507"/>
    <cellStyle name="20% - Accent6 2 3" xfId="3508"/>
    <cellStyle name="20% - Accent6 2 4" xfId="3509"/>
    <cellStyle name="20% - Accent6 2 5" xfId="3510"/>
    <cellStyle name="20% - Accent6 2 6" xfId="3511"/>
    <cellStyle name="20% - Accent6 2 7" xfId="3512"/>
    <cellStyle name="20% - Accent6 2 8" xfId="3513"/>
    <cellStyle name="20% - Accent6 2 9" xfId="3514"/>
    <cellStyle name="20% - Accent6 3 3" xfId="3515"/>
    <cellStyle name="20% - Accent6 4 2" xfId="3516"/>
    <cellStyle name="20% - Accent6 5 2" xfId="3517"/>
    <cellStyle name="20% - Accent6 6 2" xfId="3518"/>
    <cellStyle name="20% - Accent6 7 2" xfId="3519"/>
    <cellStyle name="20% - Accent6 8 2" xfId="3520"/>
    <cellStyle name="40% - Accent1 2 10" xfId="3521"/>
    <cellStyle name="40% - Accent1 2 11" xfId="3522"/>
    <cellStyle name="40% - Accent1 2 12" xfId="3523"/>
    <cellStyle name="40% - Accent1 2 13" xfId="3524"/>
    <cellStyle name="40% - Accent1 2 14" xfId="3525"/>
    <cellStyle name="40% - Accent1 2 15" xfId="3526"/>
    <cellStyle name="40% - Accent1 2 2" xfId="3527"/>
    <cellStyle name="40% - Accent1 2 3" xfId="3528"/>
    <cellStyle name="40% - Accent1 2 4" xfId="3529"/>
    <cellStyle name="40% - Accent1 2 5" xfId="3530"/>
    <cellStyle name="40% - Accent1 2 6" xfId="3531"/>
    <cellStyle name="40% - Accent1 2 7" xfId="3532"/>
    <cellStyle name="40% - Accent1 2 8" xfId="3533"/>
    <cellStyle name="40% - Accent1 2 9" xfId="3534"/>
    <cellStyle name="40% - Accent1 3 3" xfId="3535"/>
    <cellStyle name="40% - Accent1 4 2" xfId="3536"/>
    <cellStyle name="40% - Accent1 5 2" xfId="3537"/>
    <cellStyle name="40% - Accent1 6 2" xfId="3538"/>
    <cellStyle name="40% - Accent1 7 2" xfId="3539"/>
    <cellStyle name="40% - Accent1 8 2" xfId="3540"/>
    <cellStyle name="40% - Accent2 2 10" xfId="3541"/>
    <cellStyle name="40% - Accent2 2 11" xfId="3542"/>
    <cellStyle name="40% - Accent2 2 12" xfId="3543"/>
    <cellStyle name="40% - Accent2 2 13" xfId="3544"/>
    <cellStyle name="40% - Accent2 2 14" xfId="3545"/>
    <cellStyle name="40% - Accent2 2 15" xfId="3546"/>
    <cellStyle name="40% - Accent2 2 2 2" xfId="3547"/>
    <cellStyle name="40% - Accent2 2 3" xfId="3548"/>
    <cellStyle name="40% - Accent2 2 4" xfId="3549"/>
    <cellStyle name="40% - Accent2 2 5" xfId="3550"/>
    <cellStyle name="40% - Accent2 2 6" xfId="3551"/>
    <cellStyle name="40% - Accent2 2 7" xfId="3552"/>
    <cellStyle name="40% - Accent2 2 8" xfId="3553"/>
    <cellStyle name="40% - Accent2 2 9" xfId="3554"/>
    <cellStyle name="40% - Accent3 2 10" xfId="3555"/>
    <cellStyle name="40% - Accent3 2 11" xfId="3556"/>
    <cellStyle name="40% - Accent3 2 12" xfId="3557"/>
    <cellStyle name="40% - Accent3 2 13" xfId="3558"/>
    <cellStyle name="40% - Accent3 2 14" xfId="3559"/>
    <cellStyle name="40% - Accent3 2 15" xfId="3560"/>
    <cellStyle name="40% - Accent3 2 2" xfId="3561"/>
    <cellStyle name="40% - Accent3 2 3" xfId="3562"/>
    <cellStyle name="40% - Accent3 2 4" xfId="3563"/>
    <cellStyle name="40% - Accent3 2 5" xfId="3564"/>
    <cellStyle name="40% - Accent3 2 6" xfId="3565"/>
    <cellStyle name="40% - Accent3 2 7" xfId="3566"/>
    <cellStyle name="40% - Accent3 2 8" xfId="3567"/>
    <cellStyle name="40% - Accent3 2 9" xfId="3568"/>
    <cellStyle name="40% - Accent3 3 3" xfId="3569"/>
    <cellStyle name="40% - Accent3 4 2" xfId="3570"/>
    <cellStyle name="40% - Accent3 5 2" xfId="3571"/>
    <cellStyle name="40% - Accent3 6 2" xfId="3572"/>
    <cellStyle name="40% - Accent3 7 2" xfId="3573"/>
    <cellStyle name="40% - Accent3 8 2" xfId="3574"/>
    <cellStyle name="40% - Accent4 2 10" xfId="3575"/>
    <cellStyle name="40% - Accent4 2 11" xfId="3576"/>
    <cellStyle name="40% - Accent4 2 12" xfId="3577"/>
    <cellStyle name="40% - Accent4 2 13" xfId="3578"/>
    <cellStyle name="40% - Accent4 2 14" xfId="3579"/>
    <cellStyle name="40% - Accent4 2 15" xfId="3580"/>
    <cellStyle name="40% - Accent4 2 2" xfId="3581"/>
    <cellStyle name="40% - Accent4 2 3" xfId="3582"/>
    <cellStyle name="40% - Accent4 2 4" xfId="3583"/>
    <cellStyle name="40% - Accent4 2 5" xfId="3584"/>
    <cellStyle name="40% - Accent4 2 6" xfId="3585"/>
    <cellStyle name="40% - Accent4 2 7" xfId="3586"/>
    <cellStyle name="40% - Accent4 2 8" xfId="3587"/>
    <cellStyle name="40% - Accent4 2 9" xfId="3588"/>
    <cellStyle name="40% - Accent4 3 3" xfId="3589"/>
    <cellStyle name="40% - Accent4 4 2" xfId="3590"/>
    <cellStyle name="40% - Accent4 5 2" xfId="3591"/>
    <cellStyle name="40% - Accent4 6 2" xfId="3592"/>
    <cellStyle name="40% - Accent4 7 2" xfId="3593"/>
    <cellStyle name="40% - Accent4 8 2" xfId="3594"/>
    <cellStyle name="40% - Accent5 2 10" xfId="3595"/>
    <cellStyle name="40% - Accent5 2 11" xfId="3596"/>
    <cellStyle name="40% - Accent5 2 12" xfId="3597"/>
    <cellStyle name="40% - Accent5 2 13" xfId="3598"/>
    <cellStyle name="40% - Accent5 2 14" xfId="3599"/>
    <cellStyle name="40% - Accent5 2 15" xfId="3600"/>
    <cellStyle name="40% - Accent5 2 2" xfId="3601"/>
    <cellStyle name="40% - Accent5 2 3" xfId="3602"/>
    <cellStyle name="40% - Accent5 2 4" xfId="3603"/>
    <cellStyle name="40% - Accent5 2 5" xfId="3604"/>
    <cellStyle name="40% - Accent5 2 6" xfId="3605"/>
    <cellStyle name="40% - Accent5 2 7" xfId="3606"/>
    <cellStyle name="40% - Accent5 2 8" xfId="3607"/>
    <cellStyle name="40% - Accent5 2 9" xfId="3608"/>
    <cellStyle name="40% - Accent5 3 3" xfId="3609"/>
    <cellStyle name="40% - Accent5 4 2" xfId="3610"/>
    <cellStyle name="40% - Accent5 5 2" xfId="3611"/>
    <cellStyle name="40% - Accent5 6 2" xfId="3612"/>
    <cellStyle name="40% - Accent5 7 2" xfId="3613"/>
    <cellStyle name="40% - Accent5 8 2" xfId="3614"/>
    <cellStyle name="40% - Accent6 2 10" xfId="3615"/>
    <cellStyle name="40% - Accent6 2 11" xfId="3616"/>
    <cellStyle name="40% - Accent6 2 12" xfId="3617"/>
    <cellStyle name="40% - Accent6 2 13" xfId="3618"/>
    <cellStyle name="40% - Accent6 2 14" xfId="3619"/>
    <cellStyle name="40% - Accent6 2 15" xfId="3620"/>
    <cellStyle name="40% - Accent6 2 2" xfId="3621"/>
    <cellStyle name="40% - Accent6 2 3" xfId="3622"/>
    <cellStyle name="40% - Accent6 2 4" xfId="3623"/>
    <cellStyle name="40% - Accent6 2 5" xfId="3624"/>
    <cellStyle name="40% - Accent6 2 6" xfId="3625"/>
    <cellStyle name="40% - Accent6 2 7" xfId="3626"/>
    <cellStyle name="40% - Accent6 2 8" xfId="3627"/>
    <cellStyle name="40% - Accent6 2 9" xfId="3628"/>
    <cellStyle name="40% - Accent6 3 3" xfId="3629"/>
    <cellStyle name="40% - Accent6 4 2" xfId="3630"/>
    <cellStyle name="40% - Accent6 5 2" xfId="3631"/>
    <cellStyle name="40% - Accent6 6 2" xfId="3632"/>
    <cellStyle name="40% - Accent6 7 2" xfId="3633"/>
    <cellStyle name="40% - Accent6 8 2" xfId="3634"/>
    <cellStyle name="60% - Accent1 2 10" xfId="3635"/>
    <cellStyle name="60% - Accent1 2 2" xfId="3636"/>
    <cellStyle name="60% - Accent1 2 3" xfId="3637"/>
    <cellStyle name="60% - Accent1 2 4" xfId="3638"/>
    <cellStyle name="60% - Accent1 2 5" xfId="3639"/>
    <cellStyle name="60% - Accent1 2 6" xfId="3640"/>
    <cellStyle name="60% - Accent1 2 7" xfId="3641"/>
    <cellStyle name="60% - Accent1 2 8" xfId="3642"/>
    <cellStyle name="60% - Accent1 2 9" xfId="3643"/>
    <cellStyle name="60% - Accent1 3 3" xfId="3644"/>
    <cellStyle name="60% - Accent2 2 10" xfId="3645"/>
    <cellStyle name="60% - Accent2 2 2" xfId="3646"/>
    <cellStyle name="60% - Accent2 2 3" xfId="3647"/>
    <cellStyle name="60% - Accent2 2 4" xfId="3648"/>
    <cellStyle name="60% - Accent2 2 5" xfId="3649"/>
    <cellStyle name="60% - Accent2 2 6" xfId="3650"/>
    <cellStyle name="60% - Accent2 2 7" xfId="3651"/>
    <cellStyle name="60% - Accent2 2 8" xfId="3652"/>
    <cellStyle name="60% - Accent2 2 9" xfId="3653"/>
    <cellStyle name="60% - Accent2 3 3" xfId="3654"/>
    <cellStyle name="60% - Accent3 2 10" xfId="3655"/>
    <cellStyle name="60% - Accent3 2 2" xfId="3656"/>
    <cellStyle name="60% - Accent3 2 3" xfId="3657"/>
    <cellStyle name="60% - Accent3 2 4" xfId="3658"/>
    <cellStyle name="60% - Accent3 2 5" xfId="3659"/>
    <cellStyle name="60% - Accent3 2 6" xfId="3660"/>
    <cellStyle name="60% - Accent3 2 7" xfId="3661"/>
    <cellStyle name="60% - Accent3 2 8" xfId="3662"/>
    <cellStyle name="60% - Accent3 2 9" xfId="3663"/>
    <cellStyle name="60% - Accent3 3 3" xfId="3664"/>
    <cellStyle name="60% - Accent4 2 10" xfId="3665"/>
    <cellStyle name="60% - Accent4 2 2" xfId="3666"/>
    <cellStyle name="60% - Accent4 2 3" xfId="3667"/>
    <cellStyle name="60% - Accent4 2 4" xfId="3668"/>
    <cellStyle name="60% - Accent4 2 5" xfId="3669"/>
    <cellStyle name="60% - Accent4 2 6" xfId="3670"/>
    <cellStyle name="60% - Accent4 2 7" xfId="3671"/>
    <cellStyle name="60% - Accent4 2 8" xfId="3672"/>
    <cellStyle name="60% - Accent4 2 9" xfId="3673"/>
    <cellStyle name="60% - Accent4 3 3" xfId="3674"/>
    <cellStyle name="60% - Accent5 2 10" xfId="3675"/>
    <cellStyle name="60% - Accent5 2 2" xfId="3676"/>
    <cellStyle name="60% - Accent5 2 3" xfId="3677"/>
    <cellStyle name="60% - Accent5 2 4" xfId="3678"/>
    <cellStyle name="60% - Accent5 2 5" xfId="3679"/>
    <cellStyle name="60% - Accent5 2 6" xfId="3680"/>
    <cellStyle name="60% - Accent5 2 7" xfId="3681"/>
    <cellStyle name="60% - Accent5 2 8" xfId="3682"/>
    <cellStyle name="60% - Accent5 2 9" xfId="3683"/>
    <cellStyle name="60% - Accent5 3 3" xfId="3684"/>
    <cellStyle name="60% - Accent6 2 10" xfId="3685"/>
    <cellStyle name="60% - Accent6 2 2" xfId="3686"/>
    <cellStyle name="60% - Accent6 2 3" xfId="3687"/>
    <cellStyle name="60% - Accent6 2 4" xfId="3688"/>
    <cellStyle name="60% - Accent6 2 5" xfId="3689"/>
    <cellStyle name="60% - Accent6 2 6" xfId="3690"/>
    <cellStyle name="60% - Accent6 2 7" xfId="3691"/>
    <cellStyle name="60% - Accent6 2 8" xfId="3692"/>
    <cellStyle name="60% - Accent6 2 9" xfId="3693"/>
    <cellStyle name="60% - Accent6 3 3" xfId="3694"/>
    <cellStyle name="Accent1 2 10" xfId="3695"/>
    <cellStyle name="Accent1 2 2" xfId="3696"/>
    <cellStyle name="Accent1 2 3" xfId="3697"/>
    <cellStyle name="Accent1 2 4" xfId="3698"/>
    <cellStyle name="Accent1 2 5" xfId="3699"/>
    <cellStyle name="Accent1 2 6" xfId="3700"/>
    <cellStyle name="Accent1 2 7" xfId="3701"/>
    <cellStyle name="Accent1 2 8" xfId="3702"/>
    <cellStyle name="Accent1 2 9" xfId="3703"/>
    <cellStyle name="Accent1 3 3" xfId="3704"/>
    <cellStyle name="Accent2 2 10" xfId="3705"/>
    <cellStyle name="Accent2 2 2" xfId="3706"/>
    <cellStyle name="Accent2 2 3" xfId="3707"/>
    <cellStyle name="Accent2 2 4" xfId="3708"/>
    <cellStyle name="Accent2 2 5" xfId="3709"/>
    <cellStyle name="Accent2 2 6" xfId="3710"/>
    <cellStyle name="Accent2 2 7" xfId="3711"/>
    <cellStyle name="Accent2 2 8" xfId="3712"/>
    <cellStyle name="Accent2 2 9" xfId="3713"/>
    <cellStyle name="Accent2 3 3" xfId="3714"/>
    <cellStyle name="Accent3 2 10" xfId="3715"/>
    <cellStyle name="Accent3 2 2" xfId="3716"/>
    <cellStyle name="Accent3 2 3" xfId="3717"/>
    <cellStyle name="Accent3 2 4" xfId="3718"/>
    <cellStyle name="Accent3 2 5" xfId="3719"/>
    <cellStyle name="Accent3 2 6" xfId="3720"/>
    <cellStyle name="Accent3 2 7" xfId="3721"/>
    <cellStyle name="Accent3 2 8" xfId="3722"/>
    <cellStyle name="Accent3 2 9" xfId="3723"/>
    <cellStyle name="Accent3 3 3" xfId="3724"/>
    <cellStyle name="Accent4 2 10" xfId="3725"/>
    <cellStyle name="Accent4 2 2" xfId="3726"/>
    <cellStyle name="Accent4 2 3" xfId="3727"/>
    <cellStyle name="Accent4 2 4" xfId="3728"/>
    <cellStyle name="Accent4 2 5" xfId="3729"/>
    <cellStyle name="Accent4 2 6" xfId="3730"/>
    <cellStyle name="Accent4 2 7" xfId="3731"/>
    <cellStyle name="Accent4 2 8" xfId="3732"/>
    <cellStyle name="Accent4 2 9" xfId="3733"/>
    <cellStyle name="Accent4 3 3" xfId="3734"/>
    <cellStyle name="Accent5 2 10" xfId="3735"/>
    <cellStyle name="Accent5 2 2" xfId="3736"/>
    <cellStyle name="Accent5 2 3" xfId="3737"/>
    <cellStyle name="Accent5 2 4" xfId="3738"/>
    <cellStyle name="Accent5 2 5" xfId="3739"/>
    <cellStyle name="Accent5 2 6" xfId="3740"/>
    <cellStyle name="Accent5 2 7" xfId="3741"/>
    <cellStyle name="Accent5 2 8" xfId="3742"/>
    <cellStyle name="Accent5 2 9" xfId="3743"/>
    <cellStyle name="Accent6 2 10" xfId="3744"/>
    <cellStyle name="Accent6 2 2" xfId="3745"/>
    <cellStyle name="Accent6 2 3" xfId="3746"/>
    <cellStyle name="Accent6 2 4" xfId="3747"/>
    <cellStyle name="Accent6 2 5" xfId="3748"/>
    <cellStyle name="Accent6 2 6" xfId="3749"/>
    <cellStyle name="Accent6 2 7" xfId="3750"/>
    <cellStyle name="Accent6 2 8" xfId="3751"/>
    <cellStyle name="Accent6 2 9" xfId="3752"/>
    <cellStyle name="Accent6 3 3" xfId="3753"/>
    <cellStyle name="Bad 2 10" xfId="3754"/>
    <cellStyle name="Bad 2 2" xfId="3755"/>
    <cellStyle name="Bad 2 3" xfId="3756"/>
    <cellStyle name="Bad 2 4" xfId="3757"/>
    <cellStyle name="Bad 2 5" xfId="3758"/>
    <cellStyle name="Bad 2 6" xfId="3759"/>
    <cellStyle name="Bad 2 7" xfId="3760"/>
    <cellStyle name="Bad 2 8" xfId="3761"/>
    <cellStyle name="Bad 2 9" xfId="3762"/>
    <cellStyle name="Bad 3 3" xfId="3763"/>
    <cellStyle name="Calculation 2 10" xfId="3764"/>
    <cellStyle name="Calculation 2 2" xfId="3765"/>
    <cellStyle name="Calculation 2 3" xfId="3766"/>
    <cellStyle name="Calculation 2 4" xfId="3767"/>
    <cellStyle name="Calculation 2 5" xfId="3768"/>
    <cellStyle name="Calculation 2 6" xfId="3769"/>
    <cellStyle name="Calculation 2 7" xfId="3770"/>
    <cellStyle name="Calculation 2 8" xfId="3771"/>
    <cellStyle name="Calculation 2 9" xfId="3772"/>
    <cellStyle name="Calculation 3 3" xfId="3773"/>
    <cellStyle name="Check Cell 2 10" xfId="3774"/>
    <cellStyle name="Check Cell 2 2" xfId="3775"/>
    <cellStyle name="Check Cell 2 3" xfId="3776"/>
    <cellStyle name="Check Cell 2 4" xfId="3777"/>
    <cellStyle name="Check Cell 2 5" xfId="3778"/>
    <cellStyle name="Check Cell 2 6" xfId="3779"/>
    <cellStyle name="Check Cell 2 7" xfId="3780"/>
    <cellStyle name="Check Cell 2 8" xfId="3781"/>
    <cellStyle name="Check Cell 2 9" xfId="3782"/>
    <cellStyle name="Comma [0] 2 10" xfId="3783"/>
    <cellStyle name="Comma [0] 2 2" xfId="3784"/>
    <cellStyle name="Comma [0] 2 3" xfId="3785"/>
    <cellStyle name="Comma [0] 2 4" xfId="3786"/>
    <cellStyle name="Comma [0] 2 5" xfId="3787"/>
    <cellStyle name="Comma [0] 2 6" xfId="3788"/>
    <cellStyle name="Comma [0] 2 7" xfId="3789"/>
    <cellStyle name="Comma [0] 2 8" xfId="3790"/>
    <cellStyle name="Comma [0] 2 9" xfId="3791"/>
    <cellStyle name="Comma 10" xfId="3792"/>
    <cellStyle name="Comma 10 2" xfId="3793"/>
    <cellStyle name="Comma 10 2 10" xfId="3794"/>
    <cellStyle name="Comma 10 2 11" xfId="3795"/>
    <cellStyle name="Comma 10 2 12" xfId="3796"/>
    <cellStyle name="Comma 10 2 13" xfId="3797"/>
    <cellStyle name="Comma 10 2 14" xfId="3798"/>
    <cellStyle name="Comma 10 2 15" xfId="3799"/>
    <cellStyle name="Comma 10 2 16" xfId="3800"/>
    <cellStyle name="Comma 10 2 17" xfId="3801"/>
    <cellStyle name="Comma 10 2 2" xfId="3802"/>
    <cellStyle name="Comma 10 2 3" xfId="3803"/>
    <cellStyle name="Comma 10 2 4" xfId="3804"/>
    <cellStyle name="Comma 10 2 5" xfId="3805"/>
    <cellStyle name="Comma 10 2 6" xfId="3806"/>
    <cellStyle name="Comma 10 2 7" xfId="3807"/>
    <cellStyle name="Comma 10 2 8" xfId="3808"/>
    <cellStyle name="Comma 10 2 9" xfId="3809"/>
    <cellStyle name="Comma 10 3" xfId="3810"/>
    <cellStyle name="Comma 10 3 10" xfId="3811"/>
    <cellStyle name="Comma 10 3 11" xfId="3812"/>
    <cellStyle name="Comma 10 3 12" xfId="3813"/>
    <cellStyle name="Comma 10 3 13" xfId="3814"/>
    <cellStyle name="Comma 10 3 14" xfId="3815"/>
    <cellStyle name="Comma 10 3 15" xfId="3816"/>
    <cellStyle name="Comma 10 3 16" xfId="3817"/>
    <cellStyle name="Comma 10 3 17" xfId="3818"/>
    <cellStyle name="Comma 10 3 2" xfId="3819"/>
    <cellStyle name="Comma 10 3 3" xfId="3820"/>
    <cellStyle name="Comma 10 3 4" xfId="3821"/>
    <cellStyle name="Comma 10 3 5" xfId="3822"/>
    <cellStyle name="Comma 10 3 6" xfId="3823"/>
    <cellStyle name="Comma 10 3 7" xfId="3824"/>
    <cellStyle name="Comma 10 3 8" xfId="3825"/>
    <cellStyle name="Comma 10 3 9" xfId="3826"/>
    <cellStyle name="Comma 10 4" xfId="3827"/>
    <cellStyle name="Comma 10 4 10" xfId="3828"/>
    <cellStyle name="Comma 10 4 11" xfId="3829"/>
    <cellStyle name="Comma 10 4 12" xfId="3830"/>
    <cellStyle name="Comma 10 4 13" xfId="3831"/>
    <cellStyle name="Comma 10 4 14" xfId="3832"/>
    <cellStyle name="Comma 10 4 15" xfId="3833"/>
    <cellStyle name="Comma 10 4 16" xfId="3834"/>
    <cellStyle name="Comma 10 4 17" xfId="3835"/>
    <cellStyle name="Comma 10 4 2" xfId="3836"/>
    <cellStyle name="Comma 10 4 3" xfId="3837"/>
    <cellStyle name="Comma 10 4 4" xfId="3838"/>
    <cellStyle name="Comma 10 4 5" xfId="3839"/>
    <cellStyle name="Comma 10 4 6" xfId="3840"/>
    <cellStyle name="Comma 10 4 7" xfId="3841"/>
    <cellStyle name="Comma 10 4 8" xfId="3842"/>
    <cellStyle name="Comma 10 4 9" xfId="3843"/>
    <cellStyle name="Comma 10 5" xfId="3844"/>
    <cellStyle name="Comma 10 5 10" xfId="3845"/>
    <cellStyle name="Comma 10 5 11" xfId="3846"/>
    <cellStyle name="Comma 10 5 12" xfId="3847"/>
    <cellStyle name="Comma 10 5 13" xfId="3848"/>
    <cellStyle name="Comma 10 5 14" xfId="3849"/>
    <cellStyle name="Comma 10 5 15" xfId="3850"/>
    <cellStyle name="Comma 10 5 16" xfId="3851"/>
    <cellStyle name="Comma 10 5 17" xfId="3852"/>
    <cellStyle name="Comma 10 5 2" xfId="3853"/>
    <cellStyle name="Comma 10 5 3" xfId="3854"/>
    <cellStyle name="Comma 10 5 4" xfId="3855"/>
    <cellStyle name="Comma 10 5 5" xfId="3856"/>
    <cellStyle name="Comma 10 5 6" xfId="3857"/>
    <cellStyle name="Comma 10 5 7" xfId="3858"/>
    <cellStyle name="Comma 10 5 8" xfId="3859"/>
    <cellStyle name="Comma 10 5 9" xfId="3860"/>
    <cellStyle name="Comma 10 6" xfId="3861"/>
    <cellStyle name="Comma 10 6 10" xfId="3862"/>
    <cellStyle name="Comma 10 6 11" xfId="3863"/>
    <cellStyle name="Comma 10 6 12" xfId="3864"/>
    <cellStyle name="Comma 10 6 13" xfId="3865"/>
    <cellStyle name="Comma 10 6 14" xfId="3866"/>
    <cellStyle name="Comma 10 6 15" xfId="3867"/>
    <cellStyle name="Comma 10 6 16" xfId="3868"/>
    <cellStyle name="Comma 10 6 17" xfId="3869"/>
    <cellStyle name="Comma 10 6 2" xfId="3870"/>
    <cellStyle name="Comma 10 6 3" xfId="3871"/>
    <cellStyle name="Comma 10 6 4" xfId="3872"/>
    <cellStyle name="Comma 10 6 5" xfId="3873"/>
    <cellStyle name="Comma 10 6 6" xfId="3874"/>
    <cellStyle name="Comma 10 6 7" xfId="3875"/>
    <cellStyle name="Comma 10 6 8" xfId="3876"/>
    <cellStyle name="Comma 10 6 9" xfId="3877"/>
    <cellStyle name="Comma 10 7" xfId="3878"/>
    <cellStyle name="Comma 10 7 10" xfId="3879"/>
    <cellStyle name="Comma 10 7 11" xfId="3880"/>
    <cellStyle name="Comma 10 7 12" xfId="3881"/>
    <cellStyle name="Comma 10 7 13" xfId="3882"/>
    <cellStyle name="Comma 10 7 14" xfId="3883"/>
    <cellStyle name="Comma 10 7 15" xfId="3884"/>
    <cellStyle name="Comma 10 7 16" xfId="3885"/>
    <cellStyle name="Comma 10 7 17" xfId="3886"/>
    <cellStyle name="Comma 10 7 2" xfId="3887"/>
    <cellStyle name="Comma 10 7 3" xfId="3888"/>
    <cellStyle name="Comma 10 7 4" xfId="3889"/>
    <cellStyle name="Comma 10 7 5" xfId="3890"/>
    <cellStyle name="Comma 10 7 6" xfId="3891"/>
    <cellStyle name="Comma 10 7 7" xfId="3892"/>
    <cellStyle name="Comma 10 7 8" xfId="3893"/>
    <cellStyle name="Comma 10 7 9" xfId="3894"/>
    <cellStyle name="Comma 10 8" xfId="3895"/>
    <cellStyle name="Comma 10 8 10" xfId="3896"/>
    <cellStyle name="Comma 10 8 11" xfId="3897"/>
    <cellStyle name="Comma 10 8 12" xfId="3898"/>
    <cellStyle name="Comma 10 8 13" xfId="3899"/>
    <cellStyle name="Comma 10 8 14" xfId="3900"/>
    <cellStyle name="Comma 10 8 15" xfId="3901"/>
    <cellStyle name="Comma 10 8 16" xfId="3902"/>
    <cellStyle name="Comma 10 8 17" xfId="3903"/>
    <cellStyle name="Comma 10 8 2" xfId="3904"/>
    <cellStyle name="Comma 10 8 3" xfId="3905"/>
    <cellStyle name="Comma 10 8 4" xfId="3906"/>
    <cellStyle name="Comma 10 8 5" xfId="3907"/>
    <cellStyle name="Comma 10 8 6" xfId="3908"/>
    <cellStyle name="Comma 10 8 7" xfId="3909"/>
    <cellStyle name="Comma 10 8 8" xfId="3910"/>
    <cellStyle name="Comma 10 8 9" xfId="3911"/>
    <cellStyle name="Comma 11" xfId="3912"/>
    <cellStyle name="Comma 12" xfId="3913"/>
    <cellStyle name="Comma 13" xfId="3914"/>
    <cellStyle name="Comma 14 2" xfId="3915"/>
    <cellStyle name="Comma 15" xfId="3916"/>
    <cellStyle name="Comma 16" xfId="3917"/>
    <cellStyle name="Comma 17" xfId="3918"/>
    <cellStyle name="Comma 18" xfId="3919"/>
    <cellStyle name="Comma 19" xfId="3920"/>
    <cellStyle name="Comma 2 10 2" xfId="3921"/>
    <cellStyle name="Comma 2 11 2" xfId="3922"/>
    <cellStyle name="Comma 2 12 2" xfId="3923"/>
    <cellStyle name="Comma 2 13 2" xfId="3924"/>
    <cellStyle name="Comma 2 14" xfId="3925"/>
    <cellStyle name="Comma 2 15" xfId="3926"/>
    <cellStyle name="Comma 2 16" xfId="3927"/>
    <cellStyle name="Comma 2 17" xfId="3928"/>
    <cellStyle name="Comma 2 18" xfId="3929"/>
    <cellStyle name="Comma 2 19" xfId="3930"/>
    <cellStyle name="Comma 2 19 2" xfId="3931"/>
    <cellStyle name="Comma 2 2 8" xfId="3932"/>
    <cellStyle name="Comma 2 2 2 6" xfId="3933"/>
    <cellStyle name="Comma 2 2 3 5" xfId="3934"/>
    <cellStyle name="Comma 2 20" xfId="3935"/>
    <cellStyle name="Comma 2 21" xfId="3936"/>
    <cellStyle name="Comma 2 3 7" xfId="3937"/>
    <cellStyle name="Comma 2 4 6" xfId="3938"/>
    <cellStyle name="Comma 2 5 5" xfId="3939"/>
    <cellStyle name="Comma 2 6 3" xfId="3940"/>
    <cellStyle name="Comma 2 7 3" xfId="3941"/>
    <cellStyle name="Comma 2 8 5" xfId="3942"/>
    <cellStyle name="Comma 2 9 2" xfId="3943"/>
    <cellStyle name="Comma 3 11" xfId="3944"/>
    <cellStyle name="Comma 3 10" xfId="3945"/>
    <cellStyle name="Comma 3 2 3" xfId="3946"/>
    <cellStyle name="Comma 3 3 2" xfId="3947"/>
    <cellStyle name="Comma 3 4 2" xfId="3948"/>
    <cellStyle name="Comma 3 5" xfId="3949"/>
    <cellStyle name="Comma 3 6" xfId="3950"/>
    <cellStyle name="Comma 3 7" xfId="3951"/>
    <cellStyle name="Comma 3 8" xfId="3952"/>
    <cellStyle name="Comma 3 9" xfId="3953"/>
    <cellStyle name="Comma 4 9" xfId="3954"/>
    <cellStyle name="Comma 4 2 2" xfId="3955"/>
    <cellStyle name="Comma 4 3" xfId="3956"/>
    <cellStyle name="Comma 4 4" xfId="3957"/>
    <cellStyle name="Comma 4 5" xfId="3958"/>
    <cellStyle name="Comma 4 6" xfId="3959"/>
    <cellStyle name="Comma 4 7" xfId="3960"/>
    <cellStyle name="Comma 4 8" xfId="3961"/>
    <cellStyle name="Comma 5" xfId="3962"/>
    <cellStyle name="Comma 5 4" xfId="3963"/>
    <cellStyle name="Comma 5 5" xfId="3964"/>
    <cellStyle name="Comma 5 6" xfId="3965"/>
    <cellStyle name="Comma 5 7" xfId="3966"/>
    <cellStyle name="Comma 5 8" xfId="3967"/>
    <cellStyle name="Comma 6" xfId="3968"/>
    <cellStyle name="Comma 6 2" xfId="3969"/>
    <cellStyle name="Comma 6 3" xfId="3970"/>
    <cellStyle name="Comma 6 4" xfId="3971"/>
    <cellStyle name="Comma 6 5" xfId="3972"/>
    <cellStyle name="Comma 6 6" xfId="3973"/>
    <cellStyle name="Comma 6 7" xfId="3974"/>
    <cellStyle name="Comma 6 8" xfId="3975"/>
    <cellStyle name="Comma 7" xfId="3976"/>
    <cellStyle name="Comma 7 10" xfId="3977"/>
    <cellStyle name="Comma 7 11" xfId="3978"/>
    <cellStyle name="Comma 7 12" xfId="3979"/>
    <cellStyle name="Comma 7 13" xfId="3980"/>
    <cellStyle name="Comma 7 14" xfId="3981"/>
    <cellStyle name="Comma 7 15" xfId="3982"/>
    <cellStyle name="Comma 7 16" xfId="3983"/>
    <cellStyle name="Comma 7 17" xfId="3984"/>
    <cellStyle name="Comma 7 18" xfId="3985"/>
    <cellStyle name="Comma 7 19" xfId="3986"/>
    <cellStyle name="Comma 7 2" xfId="3987"/>
    <cellStyle name="Comma 7 20" xfId="3988"/>
    <cellStyle name="Comma 7 21" xfId="3989"/>
    <cellStyle name="Comma 7 3" xfId="3990"/>
    <cellStyle name="Comma 7 3 10" xfId="3991"/>
    <cellStyle name="Comma 7 3 11" xfId="3992"/>
    <cellStyle name="Comma 7 3 12" xfId="3993"/>
    <cellStyle name="Comma 7 3 13" xfId="3994"/>
    <cellStyle name="Comma 7 3 14" xfId="3995"/>
    <cellStyle name="Comma 7 3 15" xfId="3996"/>
    <cellStyle name="Comma 7 3 2" xfId="3997"/>
    <cellStyle name="Comma 7 3 3" xfId="3998"/>
    <cellStyle name="Comma 7 3 4" xfId="3999"/>
    <cellStyle name="Comma 7 3 5" xfId="4000"/>
    <cellStyle name="Comma 7 3 6" xfId="4001"/>
    <cellStyle name="Comma 7 3 7" xfId="4002"/>
    <cellStyle name="Comma 7 3 8" xfId="4003"/>
    <cellStyle name="Comma 7 3 9" xfId="4004"/>
    <cellStyle name="Comma 7 4" xfId="4005"/>
    <cellStyle name="Comma 7 5" xfId="4006"/>
    <cellStyle name="Comma 7 6" xfId="4007"/>
    <cellStyle name="Comma 7 7" xfId="4008"/>
    <cellStyle name="Comma 7 8" xfId="4009"/>
    <cellStyle name="Comma 7 9" xfId="4010"/>
    <cellStyle name="Comma 8" xfId="4011"/>
    <cellStyle name="Comma 8 3" xfId="4012"/>
    <cellStyle name="Comma 8 4" xfId="4013"/>
    <cellStyle name="Comma 8 5" xfId="4014"/>
    <cellStyle name="Comma 8 6" xfId="4015"/>
    <cellStyle name="Comma 8 7" xfId="4016"/>
    <cellStyle name="Comma 8 8" xfId="4017"/>
    <cellStyle name="Comma 9" xfId="4018"/>
    <cellStyle name="Comma 9 2" xfId="4019"/>
    <cellStyle name="Comma 9 3" xfId="4020"/>
    <cellStyle name="Comma 9 4" xfId="4021"/>
    <cellStyle name="Comma 9 5" xfId="4022"/>
    <cellStyle name="Comma 9 6" xfId="4023"/>
    <cellStyle name="Comma 9 7" xfId="4024"/>
    <cellStyle name="Comma 9 8" xfId="4025"/>
    <cellStyle name="Comma 9 9" xfId="4026"/>
    <cellStyle name="Currency 2 2" xfId="4027"/>
    <cellStyle name="Euro 3 9" xfId="4028"/>
    <cellStyle name="Euro 4 4 2" xfId="4029"/>
    <cellStyle name="Euro 6 4" xfId="4030"/>
    <cellStyle name="Explanatory Text 2 10" xfId="4031"/>
    <cellStyle name="Explanatory Text 2 2" xfId="4032"/>
    <cellStyle name="Explanatory Text 2 3" xfId="4033"/>
    <cellStyle name="Explanatory Text 2 4" xfId="4034"/>
    <cellStyle name="Explanatory Text 2 5" xfId="4035"/>
    <cellStyle name="Explanatory Text 2 6" xfId="4036"/>
    <cellStyle name="Explanatory Text 2 7" xfId="4037"/>
    <cellStyle name="Explanatory Text 2 8" xfId="4038"/>
    <cellStyle name="Explanatory Text 2 9" xfId="4039"/>
    <cellStyle name="Float 2 2" xfId="4040"/>
    <cellStyle name="Float 3 2" xfId="4041"/>
    <cellStyle name="Good 2 10" xfId="4042"/>
    <cellStyle name="Good 2 2 2" xfId="4043"/>
    <cellStyle name="Good 2 3 2" xfId="4044"/>
    <cellStyle name="Good 2 4" xfId="4045"/>
    <cellStyle name="Good 2 5" xfId="4046"/>
    <cellStyle name="Good 2 6" xfId="4047"/>
    <cellStyle name="Good 2 7" xfId="4048"/>
    <cellStyle name="Good 2 8" xfId="4049"/>
    <cellStyle name="Good 2 9" xfId="4050"/>
    <cellStyle name="Good 3 3" xfId="4051"/>
    <cellStyle name="Heading 1 2 10" xfId="4052"/>
    <cellStyle name="Heading 1 2 2" xfId="4053"/>
    <cellStyle name="Heading 1 2 3" xfId="4054"/>
    <cellStyle name="Heading 1 2 4" xfId="4055"/>
    <cellStyle name="Heading 1 2 5" xfId="4056"/>
    <cellStyle name="Heading 1 2 6" xfId="4057"/>
    <cellStyle name="Heading 1 2 7" xfId="4058"/>
    <cellStyle name="Heading 1 2 8" xfId="4059"/>
    <cellStyle name="Heading 1 2 9" xfId="4060"/>
    <cellStyle name="Heading 1 3 3" xfId="4061"/>
    <cellStyle name="Heading 2 2 10" xfId="4062"/>
    <cellStyle name="Heading 2 2 2" xfId="4063"/>
    <cellStyle name="Heading 2 2 3" xfId="4064"/>
    <cellStyle name="Heading 2 2 4" xfId="4065"/>
    <cellStyle name="Heading 2 2 5" xfId="4066"/>
    <cellStyle name="Heading 2 2 6" xfId="4067"/>
    <cellStyle name="Heading 2 2 7" xfId="4068"/>
    <cellStyle name="Heading 2 2 8" xfId="4069"/>
    <cellStyle name="Heading 2 2 9" xfId="4070"/>
    <cellStyle name="Heading 2 3 3" xfId="4071"/>
    <cellStyle name="Heading 3 2 10" xfId="4072"/>
    <cellStyle name="Heading 3 2 2" xfId="4073"/>
    <cellStyle name="Heading 3 2 3" xfId="4074"/>
    <cellStyle name="Heading 3 2 4" xfId="4075"/>
    <cellStyle name="Heading 3 2 5" xfId="4076"/>
    <cellStyle name="Heading 3 2 6" xfId="4077"/>
    <cellStyle name="Heading 3 2 7" xfId="4078"/>
    <cellStyle name="Heading 3 2 8" xfId="4079"/>
    <cellStyle name="Heading 3 2 9" xfId="4080"/>
    <cellStyle name="Heading 3 3 3" xfId="4081"/>
    <cellStyle name="Heading 4 2 10" xfId="4082"/>
    <cellStyle name="Heading 4 2 2" xfId="4083"/>
    <cellStyle name="Heading 4 2 3" xfId="4084"/>
    <cellStyle name="Heading 4 2 4" xfId="4085"/>
    <cellStyle name="Heading 4 2 5" xfId="4086"/>
    <cellStyle name="Heading 4 2 6" xfId="4087"/>
    <cellStyle name="Heading 4 2 7" xfId="4088"/>
    <cellStyle name="Heading 4 2 8" xfId="4089"/>
    <cellStyle name="Heading 4 2 9" xfId="4090"/>
    <cellStyle name="Heading 4 3 3" xfId="4091"/>
    <cellStyle name="Input 2 10" xfId="4092"/>
    <cellStyle name="Input 2 2 2" xfId="4093"/>
    <cellStyle name="Input 2 3 2" xfId="4094"/>
    <cellStyle name="Input 2 4" xfId="4095"/>
    <cellStyle name="Input 2 5" xfId="4096"/>
    <cellStyle name="Input 2 6" xfId="4097"/>
    <cellStyle name="Input 2 7" xfId="4098"/>
    <cellStyle name="Input 2 8" xfId="4099"/>
    <cellStyle name="Input 2 9" xfId="4100"/>
    <cellStyle name="Input 3 4" xfId="4101"/>
    <cellStyle name="Linked Cell 2 10" xfId="4102"/>
    <cellStyle name="Linked Cell 2 2" xfId="4103"/>
    <cellStyle name="Linked Cell 2 3" xfId="4104"/>
    <cellStyle name="Linked Cell 2 4" xfId="4105"/>
    <cellStyle name="Linked Cell 2 5" xfId="4106"/>
    <cellStyle name="Linked Cell 2 6" xfId="4107"/>
    <cellStyle name="Linked Cell 2 7" xfId="4108"/>
    <cellStyle name="Linked Cell 2 8" xfId="4109"/>
    <cellStyle name="Linked Cell 2 9" xfId="4110"/>
    <cellStyle name="Linked Cell 3 3" xfId="4111"/>
    <cellStyle name="Migliaia_Oil&amp;Gas IFE ARC POLITO" xfId="4112"/>
    <cellStyle name="Neutral 2 10" xfId="4113"/>
    <cellStyle name="Neutral 2 2" xfId="4114"/>
    <cellStyle name="Neutral 2 3" xfId="4115"/>
    <cellStyle name="Neutral 2 4" xfId="4116"/>
    <cellStyle name="Neutral 2 5" xfId="4117"/>
    <cellStyle name="Neutral 2 6" xfId="4118"/>
    <cellStyle name="Neutral 2 7" xfId="4119"/>
    <cellStyle name="Neutral 2 8" xfId="4120"/>
    <cellStyle name="Neutral 2 9" xfId="4121"/>
    <cellStyle name="Neutral 3 6" xfId="4122"/>
    <cellStyle name="Normal 10 2 4" xfId="4123"/>
    <cellStyle name="Normal 10 4" xfId="4124"/>
    <cellStyle name="Normal 10 5" xfId="4125"/>
    <cellStyle name="Normal 10 6" xfId="4126"/>
    <cellStyle name="Normal 10 7" xfId="4127"/>
    <cellStyle name="Normal 10 8" xfId="4128"/>
    <cellStyle name="Normal 10 9" xfId="4129"/>
    <cellStyle name="Normal 11 5 2" xfId="4130"/>
    <cellStyle name="Normal 11 6" xfId="4131"/>
    <cellStyle name="Normal 11 7" xfId="4132"/>
    <cellStyle name="Normal 11 8" xfId="4133"/>
    <cellStyle name="Normal 12 2" xfId="4134"/>
    <cellStyle name="Normal 12 3" xfId="4135"/>
    <cellStyle name="Normal 12 4" xfId="4136"/>
    <cellStyle name="Normal 12 5" xfId="4137"/>
    <cellStyle name="Normal 12 6" xfId="4138"/>
    <cellStyle name="Normal 12 7" xfId="4139"/>
    <cellStyle name="Normal 12 8" xfId="4140"/>
    <cellStyle name="Normal 13 11" xfId="4141"/>
    <cellStyle name="Normal 13 12" xfId="4142"/>
    <cellStyle name="Normal 13 13" xfId="4143"/>
    <cellStyle name="Normal 13 14" xfId="4144"/>
    <cellStyle name="Normal 13 15" xfId="4145"/>
    <cellStyle name="Normal 13 16" xfId="4146"/>
    <cellStyle name="Normal 13 17" xfId="4147"/>
    <cellStyle name="Normal 13 18" xfId="4148"/>
    <cellStyle name="Normal 13 19" xfId="4149"/>
    <cellStyle name="Normal 13 2 9" xfId="4150"/>
    <cellStyle name="Normal 13 2 2" xfId="4151"/>
    <cellStyle name="Normal 13 2 3" xfId="4152"/>
    <cellStyle name="Normal 13 2 4" xfId="4153"/>
    <cellStyle name="Normal 13 2 5" xfId="4154"/>
    <cellStyle name="Normal 13 2 6" xfId="4155"/>
    <cellStyle name="Normal 13 2 7" xfId="4156"/>
    <cellStyle name="Normal 13 2 8" xfId="4157"/>
    <cellStyle name="Normal 13 20" xfId="4158"/>
    <cellStyle name="Normal 13 21" xfId="4159"/>
    <cellStyle name="Normal 13 22" xfId="4160"/>
    <cellStyle name="Normal 13 23" xfId="4161"/>
    <cellStyle name="Normal 13 24" xfId="4162"/>
    <cellStyle name="Normal 13 25" xfId="4163"/>
    <cellStyle name="Normal 13 26" xfId="4164"/>
    <cellStyle name="Normal 13 27" xfId="4165"/>
    <cellStyle name="Normal 13 28" xfId="4166"/>
    <cellStyle name="Normal 13 29" xfId="4167"/>
    <cellStyle name="Normal 13 3 2" xfId="4168"/>
    <cellStyle name="Normal 13 30" xfId="4169"/>
    <cellStyle name="Normal 13 31" xfId="4170"/>
    <cellStyle name="Normal 13 32" xfId="4171"/>
    <cellStyle name="Normal 13 33" xfId="4172"/>
    <cellStyle name="Normal 13 34" xfId="4173"/>
    <cellStyle name="Normal 13 35" xfId="4174"/>
    <cellStyle name="Normal 13 36" xfId="4175"/>
    <cellStyle name="Normal 13 37" xfId="4176"/>
    <cellStyle name="Normal 13 38" xfId="4177"/>
    <cellStyle name="Normal 13 4 2" xfId="4178"/>
    <cellStyle name="Normal 13 5" xfId="4179"/>
    <cellStyle name="Normal 13 6" xfId="4180"/>
    <cellStyle name="Normal 13 7" xfId="4181"/>
    <cellStyle name="Normal 13 8" xfId="4182"/>
    <cellStyle name="Normal 13 9" xfId="4183"/>
    <cellStyle name="Normal 14 16" xfId="4184"/>
    <cellStyle name="Normal 14 10" xfId="4185"/>
    <cellStyle name="Normal 14 11" xfId="4186"/>
    <cellStyle name="Normal 14 12" xfId="4187"/>
    <cellStyle name="Normal 14 13" xfId="4188"/>
    <cellStyle name="Normal 14 14" xfId="4189"/>
    <cellStyle name="Normal 14 15" xfId="4190"/>
    <cellStyle name="Normal 14 2 8" xfId="4191"/>
    <cellStyle name="Normal 14 2 2" xfId="4192"/>
    <cellStyle name="Normal 14 2 3" xfId="4193"/>
    <cellStyle name="Normal 14 2 4" xfId="4194"/>
    <cellStyle name="Normal 14 2 5" xfId="4195"/>
    <cellStyle name="Normal 14 2 6" xfId="4196"/>
    <cellStyle name="Normal 14 2 7" xfId="4197"/>
    <cellStyle name="Normal 14 4" xfId="4198"/>
    <cellStyle name="Normal 14 5" xfId="4199"/>
    <cellStyle name="Normal 14 6" xfId="4200"/>
    <cellStyle name="Normal 14 7" xfId="4201"/>
    <cellStyle name="Normal 14 8" xfId="4202"/>
    <cellStyle name="Normal 14 9" xfId="4203"/>
    <cellStyle name="Normal 15 7" xfId="4204"/>
    <cellStyle name="Normal 15 2 2" xfId="4205"/>
    <cellStyle name="Normal 15 3" xfId="4206"/>
    <cellStyle name="Normal 15 4" xfId="4207"/>
    <cellStyle name="Normal 15 5" xfId="4208"/>
    <cellStyle name="Normal 15 6" xfId="4209"/>
    <cellStyle name="Normal 16 7" xfId="4210"/>
    <cellStyle name="Normal 16 2 2" xfId="4211"/>
    <cellStyle name="Normal 16 3" xfId="4212"/>
    <cellStyle name="Normal 16 4" xfId="4213"/>
    <cellStyle name="Normal 16 5" xfId="4214"/>
    <cellStyle name="Normal 16 6" xfId="4215"/>
    <cellStyle name="Normal 17 14" xfId="4216"/>
    <cellStyle name="Normal 17 10" xfId="4217"/>
    <cellStyle name="Normal 17 11" xfId="4218"/>
    <cellStyle name="Normal 17 12" xfId="4219"/>
    <cellStyle name="Normal 17 13" xfId="4220"/>
    <cellStyle name="Normal 17 2 2" xfId="4221"/>
    <cellStyle name="Normal 17 3" xfId="4222"/>
    <cellStyle name="Normal 17 4" xfId="4223"/>
    <cellStyle name="Normal 17 5" xfId="4224"/>
    <cellStyle name="Normal 17 6" xfId="4225"/>
    <cellStyle name="Normal 17 7" xfId="4226"/>
    <cellStyle name="Normal 17 8" xfId="4227"/>
    <cellStyle name="Normal 17 9" xfId="4228"/>
    <cellStyle name="Normal 18 3" xfId="4229"/>
    <cellStyle name="Normal 2 18 2" xfId="4230"/>
    <cellStyle name="Normal 2 2 15" xfId="4231"/>
    <cellStyle name="Normal 2 2 10" xfId="4232"/>
    <cellStyle name="Normal 2 2 11" xfId="4233"/>
    <cellStyle name="Normal 2 2 12" xfId="4234"/>
    <cellStyle name="Normal 2 2 13" xfId="4235"/>
    <cellStyle name="Normal 2 2 14" xfId="4236"/>
    <cellStyle name="Normal 2 2 2 6" xfId="4237"/>
    <cellStyle name="Normal 2 2 3 2" xfId="4238"/>
    <cellStyle name="Normal 2 2 4 3" xfId="4239"/>
    <cellStyle name="Normal 2 2 5 3" xfId="4240"/>
    <cellStyle name="Normal 2 2 6 2" xfId="4241"/>
    <cellStyle name="Normal 2 2 7 2" xfId="4242"/>
    <cellStyle name="Normal 2 2 8 2" xfId="4243"/>
    <cellStyle name="Normal 2 2 9" xfId="4244"/>
    <cellStyle name="Normal 2 3 10" xfId="4245"/>
    <cellStyle name="Normal 2 3 11" xfId="4246"/>
    <cellStyle name="Normal 2 3 12" xfId="4247"/>
    <cellStyle name="Normal 2 3 13" xfId="4248"/>
    <cellStyle name="Normal 2 3 14" xfId="4249"/>
    <cellStyle name="Normal 2 3 2 5" xfId="4250"/>
    <cellStyle name="Normal 2 3 2 2 3" xfId="4251"/>
    <cellStyle name="Normal 2 3 3 2" xfId="4252"/>
    <cellStyle name="Normal 2 3 4 4" xfId="4253"/>
    <cellStyle name="Normal 2 3 4 2 2" xfId="4254"/>
    <cellStyle name="Normal 2 3 5 3" xfId="4255"/>
    <cellStyle name="Normal 2 3 6 3" xfId="4256"/>
    <cellStyle name="Normal 2 3 7" xfId="4257"/>
    <cellStyle name="Normal 2 3 8" xfId="4258"/>
    <cellStyle name="Normal 2 3 9" xfId="4259"/>
    <cellStyle name="Normal 2 4 10" xfId="4260"/>
    <cellStyle name="Normal 2 4 11" xfId="4261"/>
    <cellStyle name="Normal 2 4 12" xfId="4262"/>
    <cellStyle name="Normal 2 4 13" xfId="4263"/>
    <cellStyle name="Normal 2 4 2 2" xfId="4264"/>
    <cellStyle name="Normal 2 4 3 2" xfId="4265"/>
    <cellStyle name="Normal 2 4 4 2" xfId="4266"/>
    <cellStyle name="Normal 2 4 5 2" xfId="4267"/>
    <cellStyle name="Normal 2 4 6" xfId="4268"/>
    <cellStyle name="Normal 2 4 7" xfId="4269"/>
    <cellStyle name="Normal 2 4 8" xfId="4270"/>
    <cellStyle name="Normal 2 4 9" xfId="4271"/>
    <cellStyle name="Normal 2 5 2 4" xfId="4272"/>
    <cellStyle name="Normal 2 6 2 4" xfId="4273"/>
    <cellStyle name="Normal 2 7 2" xfId="4274"/>
    <cellStyle name="Normal 20 3" xfId="4275"/>
    <cellStyle name="Normal 21 3" xfId="4276"/>
    <cellStyle name="Normal 3 2 11" xfId="4277"/>
    <cellStyle name="Normal 3 2 10" xfId="4278"/>
    <cellStyle name="Normal 3 2 3 2" xfId="4279"/>
    <cellStyle name="Normal 3 2 4 2" xfId="4280"/>
    <cellStyle name="Normal 3 2 5" xfId="4281"/>
    <cellStyle name="Normal 3 2 6" xfId="4282"/>
    <cellStyle name="Normal 3 2 7" xfId="4283"/>
    <cellStyle name="Normal 3 2 8" xfId="4284"/>
    <cellStyle name="Normal 3 2 9" xfId="4285"/>
    <cellStyle name="Normal 3 2 9 2" xfId="4286"/>
    <cellStyle name="Normal 3 3 2 2" xfId="4287"/>
    <cellStyle name="Normal 3 3 3 2" xfId="4288"/>
    <cellStyle name="Normal 3 3 4 2" xfId="4289"/>
    <cellStyle name="Normal 3 3 5" xfId="4290"/>
    <cellStyle name="Normal 3 3 6" xfId="4291"/>
    <cellStyle name="Normal 3 3 7" xfId="4292"/>
    <cellStyle name="Normal 3 3 8" xfId="4293"/>
    <cellStyle name="Normal 3 3 9" xfId="4294"/>
    <cellStyle name="Normal 3 4 4 3" xfId="4295"/>
    <cellStyle name="Normal 3 4 5" xfId="4296"/>
    <cellStyle name="Normal 3 4 6" xfId="4297"/>
    <cellStyle name="Normal 3 4 7" xfId="4298"/>
    <cellStyle name="Normal 3 4 8" xfId="4299"/>
    <cellStyle name="Normal 3 5 3 2" xfId="4300"/>
    <cellStyle name="Normal 3 5 4 2" xfId="4301"/>
    <cellStyle name="Normal 3 5 5" xfId="4302"/>
    <cellStyle name="Normal 3 5 6" xfId="4303"/>
    <cellStyle name="Normal 3 5 7" xfId="4304"/>
    <cellStyle name="Normal 3 5 8" xfId="4305"/>
    <cellStyle name="Normal 4 10 2" xfId="4306"/>
    <cellStyle name="Normal 4 11 2" xfId="4307"/>
    <cellStyle name="Normal 4 12" xfId="4308"/>
    <cellStyle name="Normal 4 2 10" xfId="4309"/>
    <cellStyle name="Normal 4 2 2 10" xfId="4310"/>
    <cellStyle name="Normal 4 2 2 11" xfId="4311"/>
    <cellStyle name="Normal 4 2 2 12" xfId="4312"/>
    <cellStyle name="Normal 4 2 2 13" xfId="4313"/>
    <cellStyle name="Normal 4 2 2 2 14" xfId="4314"/>
    <cellStyle name="Normal 4 2 2 2 10" xfId="4315"/>
    <cellStyle name="Normal 4 2 2 2 11" xfId="4316"/>
    <cellStyle name="Normal 4 2 2 2 12" xfId="4317"/>
    <cellStyle name="Normal 4 2 2 2 13" xfId="4318"/>
    <cellStyle name="Normal 4 2 2 2 2" xfId="4319"/>
    <cellStyle name="Normal 4 2 2 2 3" xfId="4320"/>
    <cellStyle name="Normal 4 2 2 2 4" xfId="4321"/>
    <cellStyle name="Normal 4 2 2 2 5" xfId="4322"/>
    <cellStyle name="Normal 4 2 2 2 6" xfId="4323"/>
    <cellStyle name="Normal 4 2 2 2 7" xfId="4324"/>
    <cellStyle name="Normal 4 2 2 2 8" xfId="4325"/>
    <cellStyle name="Normal 4 2 2 2 9" xfId="4326"/>
    <cellStyle name="Normal 4 2 2 3" xfId="4327"/>
    <cellStyle name="Normal 4 2 2 4" xfId="4328"/>
    <cellStyle name="Normal 4 2 2 5" xfId="4329"/>
    <cellStyle name="Normal 4 2 2 6" xfId="4330"/>
    <cellStyle name="Normal 4 2 2 7" xfId="4331"/>
    <cellStyle name="Normal 4 2 2 8" xfId="4332"/>
    <cellStyle name="Normal 4 2 2 9" xfId="4333"/>
    <cellStyle name="Normal 4 2 3 3" xfId="4334"/>
    <cellStyle name="Normal 4 2 5" xfId="4335"/>
    <cellStyle name="Normal 4 2 6" xfId="4336"/>
    <cellStyle name="Normal 4 2 7" xfId="4337"/>
    <cellStyle name="Normal 4 2 8" xfId="4338"/>
    <cellStyle name="Normal 4 2 9" xfId="4339"/>
    <cellStyle name="Normal 4 3 3 3" xfId="4340"/>
    <cellStyle name="Normal 4 3 4 3" xfId="4341"/>
    <cellStyle name="Normal 4 3 5 2" xfId="4342"/>
    <cellStyle name="Normal 4 3 7" xfId="4343"/>
    <cellStyle name="Normal 4 3 8" xfId="4344"/>
    <cellStyle name="Normal 4 4 3 2" xfId="4345"/>
    <cellStyle name="Normal 4 4 5" xfId="4346"/>
    <cellStyle name="Normal 4 4 6" xfId="4347"/>
    <cellStyle name="Normal 4 4 7" xfId="4348"/>
    <cellStyle name="Normal 4 4 8" xfId="4349"/>
    <cellStyle name="Normal 4 5 3 2" xfId="4350"/>
    <cellStyle name="Normal 4 5 4" xfId="4351"/>
    <cellStyle name="Normal 4 5 5" xfId="4352"/>
    <cellStyle name="Normal 4 5 6" xfId="4353"/>
    <cellStyle name="Normal 4 5 7" xfId="4354"/>
    <cellStyle name="Normal 4 5 8" xfId="4355"/>
    <cellStyle name="Normal 4 7 3" xfId="4356"/>
    <cellStyle name="Normal 4 8 3" xfId="4357"/>
    <cellStyle name="Normal 4 9 2" xfId="4358"/>
    <cellStyle name="Normal 5 10 2" xfId="4359"/>
    <cellStyle name="Normal 5 11 2" xfId="4360"/>
    <cellStyle name="Normal 5 12 2" xfId="4361"/>
    <cellStyle name="Normal 5 2 2 14" xfId="4362"/>
    <cellStyle name="Normal 5 2 2 10" xfId="4363"/>
    <cellStyle name="Normal 5 2 2 11" xfId="4364"/>
    <cellStyle name="Normal 5 2 2 12" xfId="4365"/>
    <cellStyle name="Normal 5 2 2 13" xfId="4366"/>
    <cellStyle name="Normal 5 2 2 2 14" xfId="4367"/>
    <cellStyle name="Normal 5 2 2 2 10" xfId="4368"/>
    <cellStyle name="Normal 5 2 2 2 11" xfId="4369"/>
    <cellStyle name="Normal 5 2 2 2 12" xfId="4370"/>
    <cellStyle name="Normal 5 2 2 2 13" xfId="4371"/>
    <cellStyle name="Normal 5 2 2 2 2" xfId="4372"/>
    <cellStyle name="Normal 5 2 2 2 3" xfId="4373"/>
    <cellStyle name="Normal 5 2 2 2 4" xfId="4374"/>
    <cellStyle name="Normal 5 2 2 2 5" xfId="4375"/>
    <cellStyle name="Normal 5 2 2 2 6" xfId="4376"/>
    <cellStyle name="Normal 5 2 2 2 7" xfId="4377"/>
    <cellStyle name="Normal 5 2 2 2 8" xfId="4378"/>
    <cellStyle name="Normal 5 2 2 2 9" xfId="4379"/>
    <cellStyle name="Normal 5 2 2 3 2" xfId="4380"/>
    <cellStyle name="Normal 5 2 2 4" xfId="4381"/>
    <cellStyle name="Normal 5 2 2 5" xfId="4382"/>
    <cellStyle name="Normal 5 2 2 6" xfId="4383"/>
    <cellStyle name="Normal 5 2 2 7" xfId="4384"/>
    <cellStyle name="Normal 5 2 2 8" xfId="4385"/>
    <cellStyle name="Normal 5 2 2 9" xfId="4386"/>
    <cellStyle name="Normal 5 2 3 2" xfId="4387"/>
    <cellStyle name="Normal 5 2 4" xfId="4388"/>
    <cellStyle name="Normal 5 2 5" xfId="4389"/>
    <cellStyle name="Normal 5 2 6" xfId="4390"/>
    <cellStyle name="Normal 5 2 7" xfId="4391"/>
    <cellStyle name="Normal 5 2 8" xfId="4392"/>
    <cellStyle name="Normal 5 3 9" xfId="4393"/>
    <cellStyle name="Normal 5 3 2 2" xfId="4394"/>
    <cellStyle name="Normal 5 3 3 2" xfId="4395"/>
    <cellStyle name="Normal 5 3 4" xfId="4396"/>
    <cellStyle name="Normal 5 3 5" xfId="4397"/>
    <cellStyle name="Normal 5 3 6" xfId="4398"/>
    <cellStyle name="Normal 5 3 7" xfId="4399"/>
    <cellStyle name="Normal 5 3 8" xfId="4400"/>
    <cellStyle name="Normal 5 4 2" xfId="4401"/>
    <cellStyle name="Normal 5 4 3" xfId="4402"/>
    <cellStyle name="Normal 5 4 4" xfId="4403"/>
    <cellStyle name="Normal 5 4 5" xfId="4404"/>
    <cellStyle name="Normal 5 4 6" xfId="4405"/>
    <cellStyle name="Normal 5 4 7" xfId="4406"/>
    <cellStyle name="Normal 5 4 8" xfId="4407"/>
    <cellStyle name="Normal 5 5 2 3" xfId="4408"/>
    <cellStyle name="Normal 5 5 4 2" xfId="4409"/>
    <cellStyle name="Normal 5 5 5" xfId="4410"/>
    <cellStyle name="Normal 5 5 6" xfId="4411"/>
    <cellStyle name="Normal 5 5 7" xfId="4412"/>
    <cellStyle name="Normal 5 5 8" xfId="4413"/>
    <cellStyle name="Normal 6 10 2" xfId="4414"/>
    <cellStyle name="Normal 6 12 2" xfId="4415"/>
    <cellStyle name="Normal 6 2 2 10" xfId="4416"/>
    <cellStyle name="Normal 6 2 2 11" xfId="4417"/>
    <cellStyle name="Normal 6 2 2 12" xfId="4418"/>
    <cellStyle name="Normal 6 2 2 13" xfId="4419"/>
    <cellStyle name="Normal 6 2 2 2" xfId="4420"/>
    <cellStyle name="Normal 6 2 2 3" xfId="4421"/>
    <cellStyle name="Normal 6 2 2 4" xfId="4422"/>
    <cellStyle name="Normal 6 2 2 5" xfId="4423"/>
    <cellStyle name="Normal 6 2 2 6" xfId="4424"/>
    <cellStyle name="Normal 6 2 2 7" xfId="4425"/>
    <cellStyle name="Normal 6 2 2 8" xfId="4426"/>
    <cellStyle name="Normal 6 2 2 9" xfId="4427"/>
    <cellStyle name="Normal 6 4 2" xfId="4428"/>
    <cellStyle name="Normal 6 4 3" xfId="4429"/>
    <cellStyle name="Normal 6 4 4" xfId="4430"/>
    <cellStyle name="Normal 6 4 5" xfId="4431"/>
    <cellStyle name="Normal 6 4 6" xfId="4432"/>
    <cellStyle name="Normal 6 4 7" xfId="4433"/>
    <cellStyle name="Normal 6 4 8" xfId="4434"/>
    <cellStyle name="Normal 6 5 2" xfId="4435"/>
    <cellStyle name="Normal 6 5 3" xfId="4436"/>
    <cellStyle name="Normal 6 5 4" xfId="4437"/>
    <cellStyle name="Normal 6 5 5" xfId="4438"/>
    <cellStyle name="Normal 6 5 6" xfId="4439"/>
    <cellStyle name="Normal 6 5 7" xfId="4440"/>
    <cellStyle name="Normal 6 5 8" xfId="4441"/>
    <cellStyle name="Normal 7 10" xfId="4442"/>
    <cellStyle name="Normal 7 11" xfId="4443"/>
    <cellStyle name="Normal 7 12" xfId="4444"/>
    <cellStyle name="Normal 7 13" xfId="4445"/>
    <cellStyle name="Normal 7 2 3 2" xfId="4446"/>
    <cellStyle name="Normal 7 2 4" xfId="4447"/>
    <cellStyle name="Normal 7 2 5" xfId="4448"/>
    <cellStyle name="Normal 7 2 6" xfId="4449"/>
    <cellStyle name="Normal 7 2 7" xfId="4450"/>
    <cellStyle name="Normal 7 2 8" xfId="4451"/>
    <cellStyle name="Normal 7 2 9" xfId="4452"/>
    <cellStyle name="Normal 7 3 9" xfId="4453"/>
    <cellStyle name="Normal 7 3 2" xfId="4454"/>
    <cellStyle name="Normal 7 3 3" xfId="4455"/>
    <cellStyle name="Normal 7 3 4" xfId="4456"/>
    <cellStyle name="Normal 7 3 5" xfId="4457"/>
    <cellStyle name="Normal 7 3 6" xfId="4458"/>
    <cellStyle name="Normal 7 3 7" xfId="4459"/>
    <cellStyle name="Normal 7 3 8" xfId="4460"/>
    <cellStyle name="Normal 7 4 2" xfId="4461"/>
    <cellStyle name="Normal 7 4 3" xfId="4462"/>
    <cellStyle name="Normal 7 4 4" xfId="4463"/>
    <cellStyle name="Normal 7 4 5" xfId="4464"/>
    <cellStyle name="Normal 7 4 6" xfId="4465"/>
    <cellStyle name="Normal 7 4 7" xfId="4466"/>
    <cellStyle name="Normal 7 4 8" xfId="4467"/>
    <cellStyle name="Normal 7 5" xfId="4468"/>
    <cellStyle name="Normal 7 5 2" xfId="4469"/>
    <cellStyle name="Normal 7 5 3" xfId="4470"/>
    <cellStyle name="Normal 7 5 4" xfId="4471"/>
    <cellStyle name="Normal 7 5 5" xfId="4472"/>
    <cellStyle name="Normal 7 5 6" xfId="4473"/>
    <cellStyle name="Normal 7 5 7" xfId="4474"/>
    <cellStyle name="Normal 7 5 8" xfId="4475"/>
    <cellStyle name="Normal 7 6" xfId="4476"/>
    <cellStyle name="Normal 7 7" xfId="4477"/>
    <cellStyle name="Normal 7 8" xfId="4478"/>
    <cellStyle name="Normal 7 9" xfId="4479"/>
    <cellStyle name="Normal 8 10 2" xfId="4480"/>
    <cellStyle name="Normal 8 11 2" xfId="4481"/>
    <cellStyle name="Normal 8 12" xfId="4482"/>
    <cellStyle name="Normal 8 13" xfId="4483"/>
    <cellStyle name="Normal 8 2 2" xfId="4484"/>
    <cellStyle name="Normal 8 2 3" xfId="4485"/>
    <cellStyle name="Normal 8 2 4" xfId="4486"/>
    <cellStyle name="Normal 8 2 5" xfId="4487"/>
    <cellStyle name="Normal 8 2 6" xfId="4488"/>
    <cellStyle name="Normal 8 2 7" xfId="4489"/>
    <cellStyle name="Normal 8 2 8" xfId="4490"/>
    <cellStyle name="Normal 8 2 9" xfId="4491"/>
    <cellStyle name="Normal 8 3 2" xfId="4492"/>
    <cellStyle name="Normal 8 3 3" xfId="4493"/>
    <cellStyle name="Normal 8 3 4" xfId="4494"/>
    <cellStyle name="Normal 8 3 5" xfId="4495"/>
    <cellStyle name="Normal 8 3 6" xfId="4496"/>
    <cellStyle name="Normal 8 3 7" xfId="4497"/>
    <cellStyle name="Normal 8 3 8" xfId="4498"/>
    <cellStyle name="Normal 8 4 2" xfId="4499"/>
    <cellStyle name="Normal 8 4 3" xfId="4500"/>
    <cellStyle name="Normal 8 4 4" xfId="4501"/>
    <cellStyle name="Normal 8 4 5" xfId="4502"/>
    <cellStyle name="Normal 8 4 6" xfId="4503"/>
    <cellStyle name="Normal 8 4 7" xfId="4504"/>
    <cellStyle name="Normal 8 4 8" xfId="4505"/>
    <cellStyle name="Normal 8 5 2" xfId="4506"/>
    <cellStyle name="Normal 8 5 3" xfId="4507"/>
    <cellStyle name="Normal 8 5 4" xfId="4508"/>
    <cellStyle name="Normal 8 5 5" xfId="4509"/>
    <cellStyle name="Normal 8 5 6" xfId="4510"/>
    <cellStyle name="Normal 8 5 7" xfId="4511"/>
    <cellStyle name="Normal 8 5 8" xfId="4512"/>
    <cellStyle name="Note 2 10" xfId="4513"/>
    <cellStyle name="Note 2 11" xfId="4514"/>
    <cellStyle name="Note 2 12" xfId="4515"/>
    <cellStyle name="Note 2 13" xfId="4516"/>
    <cellStyle name="Note 2 14" xfId="4517"/>
    <cellStyle name="Note 2 15" xfId="4518"/>
    <cellStyle name="Note 2 5" xfId="4519"/>
    <cellStyle name="Note 2 6" xfId="4520"/>
    <cellStyle name="Note 2 7" xfId="4521"/>
    <cellStyle name="Note 2 8" xfId="4522"/>
    <cellStyle name="Note 2 9" xfId="4523"/>
    <cellStyle name="Output 2 10" xfId="4524"/>
    <cellStyle name="Output 2 2" xfId="4525"/>
    <cellStyle name="Output 2 3" xfId="4526"/>
    <cellStyle name="Output 2 4" xfId="4527"/>
    <cellStyle name="Output 2 5" xfId="4528"/>
    <cellStyle name="Output 2 6" xfId="4529"/>
    <cellStyle name="Output 2 7" xfId="4530"/>
    <cellStyle name="Output 2 8" xfId="4531"/>
    <cellStyle name="Output 2 9" xfId="4532"/>
    <cellStyle name="Output 3 3" xfId="4533"/>
    <cellStyle name="Percent 19" xfId="4534"/>
    <cellStyle name="Percent 10" xfId="4535"/>
    <cellStyle name="Percent 10 2 2" xfId="4536"/>
    <cellStyle name="Percent 10 3 2" xfId="4537"/>
    <cellStyle name="Percent 10 4 2" xfId="4538"/>
    <cellStyle name="Percent 10 5 2" xfId="4539"/>
    <cellStyle name="Percent 10 6 2" xfId="4540"/>
    <cellStyle name="Percent 10 7 4" xfId="4541"/>
    <cellStyle name="Percent 10 8 2" xfId="4542"/>
    <cellStyle name="Percent 11" xfId="4543"/>
    <cellStyle name="Percent 11 2 2" xfId="4544"/>
    <cellStyle name="Percent 11 3 2" xfId="4545"/>
    <cellStyle name="Percent 11 4 2" xfId="4546"/>
    <cellStyle name="Percent 11 5 2" xfId="4547"/>
    <cellStyle name="Percent 11 6 2" xfId="4548"/>
    <cellStyle name="Percent 11 7 4" xfId="4549"/>
    <cellStyle name="Percent 11 8 2" xfId="4550"/>
    <cellStyle name="Percent 12" xfId="4551"/>
    <cellStyle name="Percent 12 2 2" xfId="4552"/>
    <cellStyle name="Percent 12 3 2" xfId="4553"/>
    <cellStyle name="Percent 12 4 2" xfId="4554"/>
    <cellStyle name="Percent 12 5 2" xfId="4555"/>
    <cellStyle name="Percent 12 6 2" xfId="4556"/>
    <cellStyle name="Percent 12 7 4" xfId="4557"/>
    <cellStyle name="Percent 12 8 2" xfId="4558"/>
    <cellStyle name="Percent 13" xfId="4559"/>
    <cellStyle name="Percent 13 2 2" xfId="4560"/>
    <cellStyle name="Percent 13 3 2" xfId="4561"/>
    <cellStyle name="Percent 13 4 2" xfId="4562"/>
    <cellStyle name="Percent 13 5 2" xfId="4563"/>
    <cellStyle name="Percent 13 6 2" xfId="4564"/>
    <cellStyle name="Percent 13 7 4" xfId="4565"/>
    <cellStyle name="Percent 13 8 2" xfId="4566"/>
    <cellStyle name="Percent 14" xfId="4567"/>
    <cellStyle name="Percent 14 2 2" xfId="4568"/>
    <cellStyle name="Percent 14 3 2" xfId="4569"/>
    <cellStyle name="Percent 14 4 2" xfId="4570"/>
    <cellStyle name="Percent 14 5 2" xfId="4571"/>
    <cellStyle name="Percent 14 6 2" xfId="4572"/>
    <cellStyle name="Percent 14 7 4" xfId="4573"/>
    <cellStyle name="Percent 14 8 2" xfId="4574"/>
    <cellStyle name="Percent 15 15" xfId="4575"/>
    <cellStyle name="Percent 15 10" xfId="4576"/>
    <cellStyle name="Percent 15 11" xfId="4577"/>
    <cellStyle name="Percent 15 12" xfId="4578"/>
    <cellStyle name="Percent 15 13" xfId="4579"/>
    <cellStyle name="Percent 15 14" xfId="4580"/>
    <cellStyle name="Percent 15 2 8" xfId="4581"/>
    <cellStyle name="Percent 15 2 2" xfId="4582"/>
    <cellStyle name="Percent 15 2 3" xfId="4583"/>
    <cellStyle name="Percent 15 2 4" xfId="4584"/>
    <cellStyle name="Percent 15 2 5" xfId="4585"/>
    <cellStyle name="Percent 15 2 6" xfId="4586"/>
    <cellStyle name="Percent 15 2 7" xfId="4587"/>
    <cellStyle name="Percent 15 4 2" xfId="4588"/>
    <cellStyle name="Percent 15 8" xfId="4589"/>
    <cellStyle name="Percent 15 9" xfId="4590"/>
    <cellStyle name="Percent 16" xfId="4591"/>
    <cellStyle name="Percent 16 2 2" xfId="4592"/>
    <cellStyle name="Percent 16 3 18" xfId="4593"/>
    <cellStyle name="Percent 16 3 10" xfId="4594"/>
    <cellStyle name="Percent 16 3 11" xfId="4595"/>
    <cellStyle name="Percent 16 3 12" xfId="4596"/>
    <cellStyle name="Percent 16 3 13" xfId="4597"/>
    <cellStyle name="Percent 16 3 14" xfId="4598"/>
    <cellStyle name="Percent 16 3 15" xfId="4599"/>
    <cellStyle name="Percent 16 3 16" xfId="4600"/>
    <cellStyle name="Percent 16 3 17" xfId="4601"/>
    <cellStyle name="Percent 16 3 2" xfId="4602"/>
    <cellStyle name="Percent 16 3 3" xfId="4603"/>
    <cellStyle name="Percent 16 3 4" xfId="4604"/>
    <cellStyle name="Percent 16 3 5" xfId="4605"/>
    <cellStyle name="Percent 16 3 6" xfId="4606"/>
    <cellStyle name="Percent 16 3 7" xfId="4607"/>
    <cellStyle name="Percent 16 3 8" xfId="4608"/>
    <cellStyle name="Percent 16 3 9" xfId="4609"/>
    <cellStyle name="Percent 16 4 18" xfId="4610"/>
    <cellStyle name="Percent 16 4 10" xfId="4611"/>
    <cellStyle name="Percent 16 4 11" xfId="4612"/>
    <cellStyle name="Percent 16 4 12" xfId="4613"/>
    <cellStyle name="Percent 16 4 13" xfId="4614"/>
    <cellStyle name="Percent 16 4 14" xfId="4615"/>
    <cellStyle name="Percent 16 4 15" xfId="4616"/>
    <cellStyle name="Percent 16 4 16" xfId="4617"/>
    <cellStyle name="Percent 16 4 17" xfId="4618"/>
    <cellStyle name="Percent 16 4 2" xfId="4619"/>
    <cellStyle name="Percent 16 4 3" xfId="4620"/>
    <cellStyle name="Percent 16 4 4" xfId="4621"/>
    <cellStyle name="Percent 16 4 5" xfId="4622"/>
    <cellStyle name="Percent 16 4 6" xfId="4623"/>
    <cellStyle name="Percent 16 4 7" xfId="4624"/>
    <cellStyle name="Percent 16 4 8" xfId="4625"/>
    <cellStyle name="Percent 16 4 9" xfId="4626"/>
    <cellStyle name="Percent 16 5 18" xfId="4627"/>
    <cellStyle name="Percent 16 5 10" xfId="4628"/>
    <cellStyle name="Percent 16 5 11" xfId="4629"/>
    <cellStyle name="Percent 16 5 12" xfId="4630"/>
    <cellStyle name="Percent 16 5 13" xfId="4631"/>
    <cellStyle name="Percent 16 5 14" xfId="4632"/>
    <cellStyle name="Percent 16 5 15" xfId="4633"/>
    <cellStyle name="Percent 16 5 16" xfId="4634"/>
    <cellStyle name="Percent 16 5 17" xfId="4635"/>
    <cellStyle name="Percent 16 5 2" xfId="4636"/>
    <cellStyle name="Percent 16 5 3" xfId="4637"/>
    <cellStyle name="Percent 16 5 4" xfId="4638"/>
    <cellStyle name="Percent 16 5 5" xfId="4639"/>
    <cellStyle name="Percent 16 5 6" xfId="4640"/>
    <cellStyle name="Percent 16 5 7" xfId="4641"/>
    <cellStyle name="Percent 16 5 8" xfId="4642"/>
    <cellStyle name="Percent 16 5 9" xfId="4643"/>
    <cellStyle name="Percent 16 6 18" xfId="4644"/>
    <cellStyle name="Percent 16 6 10" xfId="4645"/>
    <cellStyle name="Percent 16 6 11" xfId="4646"/>
    <cellStyle name="Percent 16 6 12" xfId="4647"/>
    <cellStyle name="Percent 16 6 13" xfId="4648"/>
    <cellStyle name="Percent 16 6 14" xfId="4649"/>
    <cellStyle name="Percent 16 6 15" xfId="4650"/>
    <cellStyle name="Percent 16 6 16" xfId="4651"/>
    <cellStyle name="Percent 16 6 17" xfId="4652"/>
    <cellStyle name="Percent 16 6 2" xfId="4653"/>
    <cellStyle name="Percent 16 6 3" xfId="4654"/>
    <cellStyle name="Percent 16 6 4" xfId="4655"/>
    <cellStyle name="Percent 16 6 5" xfId="4656"/>
    <cellStyle name="Percent 16 6 6" xfId="4657"/>
    <cellStyle name="Percent 16 6 7" xfId="4658"/>
    <cellStyle name="Percent 16 6 8" xfId="4659"/>
    <cellStyle name="Percent 16 6 9" xfId="4660"/>
    <cellStyle name="Percent 16 7 18" xfId="4661"/>
    <cellStyle name="Percent 16 7 10" xfId="4662"/>
    <cellStyle name="Percent 16 7 11" xfId="4663"/>
    <cellStyle name="Percent 16 7 12" xfId="4664"/>
    <cellStyle name="Percent 16 7 13" xfId="4665"/>
    <cellStyle name="Percent 16 7 14" xfId="4666"/>
    <cellStyle name="Percent 16 7 15" xfId="4667"/>
    <cellStyle name="Percent 16 7 16" xfId="4668"/>
    <cellStyle name="Percent 16 7 17" xfId="4669"/>
    <cellStyle name="Percent 16 7 2 2" xfId="4670"/>
    <cellStyle name="Percent 16 7 3 2" xfId="4671"/>
    <cellStyle name="Percent 16 7 4" xfId="4672"/>
    <cellStyle name="Percent 16 7 5" xfId="4673"/>
    <cellStyle name="Percent 16 7 6" xfId="4674"/>
    <cellStyle name="Percent 16 7 7" xfId="4675"/>
    <cellStyle name="Percent 16 7 8" xfId="4676"/>
    <cellStyle name="Percent 16 7 9" xfId="4677"/>
    <cellStyle name="Percent 16 8" xfId="4678"/>
    <cellStyle name="Percent 16 8 10" xfId="4679"/>
    <cellStyle name="Percent 16 8 11" xfId="4680"/>
    <cellStyle name="Percent 16 8 12" xfId="4681"/>
    <cellStyle name="Percent 16 8 13" xfId="4682"/>
    <cellStyle name="Percent 16 8 14" xfId="4683"/>
    <cellStyle name="Percent 16 8 15" xfId="4684"/>
    <cellStyle name="Percent 16 8 16" xfId="4685"/>
    <cellStyle name="Percent 16 8 17" xfId="4686"/>
    <cellStyle name="Percent 16 8 2" xfId="4687"/>
    <cellStyle name="Percent 16 8 3" xfId="4688"/>
    <cellStyle name="Percent 16 8 4" xfId="4689"/>
    <cellStyle name="Percent 16 8 5" xfId="4690"/>
    <cellStyle name="Percent 16 8 6" xfId="4691"/>
    <cellStyle name="Percent 16 8 7" xfId="4692"/>
    <cellStyle name="Percent 16 8 8" xfId="4693"/>
    <cellStyle name="Percent 16 8 9" xfId="4694"/>
    <cellStyle name="Percent 16 9" xfId="4695"/>
    <cellStyle name="Percent 16 9 10" xfId="4696"/>
    <cellStyle name="Percent 16 9 11" xfId="4697"/>
    <cellStyle name="Percent 16 9 12" xfId="4698"/>
    <cellStyle name="Percent 16 9 13" xfId="4699"/>
    <cellStyle name="Percent 16 9 14" xfId="4700"/>
    <cellStyle name="Percent 16 9 15" xfId="4701"/>
    <cellStyle name="Percent 16 9 16" xfId="4702"/>
    <cellStyle name="Percent 16 9 17" xfId="4703"/>
    <cellStyle name="Percent 16 9 2" xfId="4704"/>
    <cellStyle name="Percent 16 9 3" xfId="4705"/>
    <cellStyle name="Percent 16 9 4" xfId="4706"/>
    <cellStyle name="Percent 16 9 5" xfId="4707"/>
    <cellStyle name="Percent 16 9 6" xfId="4708"/>
    <cellStyle name="Percent 16 9 7" xfId="4709"/>
    <cellStyle name="Percent 16 9 8" xfId="4710"/>
    <cellStyle name="Percent 16 9 9" xfId="4711"/>
    <cellStyle name="Percent 18" xfId="4712"/>
    <cellStyle name="Percent 2 10 3" xfId="4713"/>
    <cellStyle name="Percent 2 10 4" xfId="4714"/>
    <cellStyle name="Percent 2 10 5" xfId="4715"/>
    <cellStyle name="Percent 2 10 6" xfId="4716"/>
    <cellStyle name="Percent 2 10 7" xfId="4717"/>
    <cellStyle name="Percent 2 10 8" xfId="4718"/>
    <cellStyle name="Percent 2 11 3" xfId="4719"/>
    <cellStyle name="Percent 2 11 4" xfId="4720"/>
    <cellStyle name="Percent 2 11 5" xfId="4721"/>
    <cellStyle name="Percent 2 11 6" xfId="4722"/>
    <cellStyle name="Percent 2 11 7" xfId="4723"/>
    <cellStyle name="Percent 2 11 8" xfId="4724"/>
    <cellStyle name="Percent 2 2 6 2" xfId="4725"/>
    <cellStyle name="Percent 2 2 7 2" xfId="4726"/>
    <cellStyle name="Percent 2 2 8" xfId="4727"/>
    <cellStyle name="Percent 2 2 9" xfId="4728"/>
    <cellStyle name="Percent 2 7 3" xfId="4729"/>
    <cellStyle name="Percent 2 7 4" xfId="4730"/>
    <cellStyle name="Percent 2 7 5" xfId="4731"/>
    <cellStyle name="Percent 2 7 6" xfId="4732"/>
    <cellStyle name="Percent 2 7 7" xfId="4733"/>
    <cellStyle name="Percent 2 7 8" xfId="4734"/>
    <cellStyle name="Percent 2 8 3" xfId="4735"/>
    <cellStyle name="Percent 2 8 4" xfId="4736"/>
    <cellStyle name="Percent 2 8 5" xfId="4737"/>
    <cellStyle name="Percent 2 8 6" xfId="4738"/>
    <cellStyle name="Percent 2 8 7" xfId="4739"/>
    <cellStyle name="Percent 2 8 8" xfId="4740"/>
    <cellStyle name="Percent 2 9 3" xfId="4741"/>
    <cellStyle name="Percent 2 9 4" xfId="4742"/>
    <cellStyle name="Percent 2 9 5" xfId="4743"/>
    <cellStyle name="Percent 2 9 6" xfId="4744"/>
    <cellStyle name="Percent 2 9 7" xfId="4745"/>
    <cellStyle name="Percent 2 9 8" xfId="4746"/>
    <cellStyle name="Percent 3 2 2 2 2" xfId="4747"/>
    <cellStyle name="Percent 4 16 2" xfId="4748"/>
    <cellStyle name="Percent 4 2 4 3" xfId="4749"/>
    <cellStyle name="Percent 4 2 6 2" xfId="4750"/>
    <cellStyle name="Percent 4 2 7" xfId="4751"/>
    <cellStyle name="Percent 4 2 8" xfId="4752"/>
    <cellStyle name="Percent 4 2 9" xfId="4753"/>
    <cellStyle name="Percent 4 3 2" xfId="4754"/>
    <cellStyle name="Percent 4 3 3" xfId="4755"/>
    <cellStyle name="Percent 4 3 4" xfId="4756"/>
    <cellStyle name="Percent 4 3 5" xfId="4757"/>
    <cellStyle name="Percent 4 3 6" xfId="4758"/>
    <cellStyle name="Percent 4 3 7" xfId="4759"/>
    <cellStyle name="Percent 4 3 8" xfId="4760"/>
    <cellStyle name="Percent 4 4 3" xfId="4761"/>
    <cellStyle name="Percent 4 4 4" xfId="4762"/>
    <cellStyle name="Percent 4 4 5" xfId="4763"/>
    <cellStyle name="Percent 4 4 6" xfId="4764"/>
    <cellStyle name="Percent 4 4 7" xfId="4765"/>
    <cellStyle name="Percent 4 4 8" xfId="4766"/>
    <cellStyle name="Percent 4 5 3" xfId="4767"/>
    <cellStyle name="Percent 4 5 4" xfId="4768"/>
    <cellStyle name="Percent 4 5 5" xfId="4769"/>
    <cellStyle name="Percent 4 5 6" xfId="4770"/>
    <cellStyle name="Percent 4 5 7" xfId="4771"/>
    <cellStyle name="Percent 4 5 8" xfId="4772"/>
    <cellStyle name="Percent 4 6 2" xfId="4773"/>
    <cellStyle name="Percent 4 6 3" xfId="4774"/>
    <cellStyle name="Percent 4 6 4" xfId="4775"/>
    <cellStyle name="Percent 4 6 5" xfId="4776"/>
    <cellStyle name="Percent 4 6 6" xfId="4777"/>
    <cellStyle name="Percent 4 6 7" xfId="4778"/>
    <cellStyle name="Percent 4 6 8" xfId="4779"/>
    <cellStyle name="Percent 5 10" xfId="4780"/>
    <cellStyle name="Percent 5 11" xfId="4781"/>
    <cellStyle name="Percent 5 5 2" xfId="4782"/>
    <cellStyle name="Percent 5 6" xfId="4783"/>
    <cellStyle name="Percent 5 7" xfId="4784"/>
    <cellStyle name="Percent 5 8" xfId="4785"/>
    <cellStyle name="Percent 5 9" xfId="4786"/>
    <cellStyle name="Percent 5 9 2" xfId="4787"/>
    <cellStyle name="Percent 6 3 2" xfId="4788"/>
    <cellStyle name="Percent 6 4" xfId="4789"/>
    <cellStyle name="Percent 6 5" xfId="4790"/>
    <cellStyle name="Percent 6 6" xfId="4791"/>
    <cellStyle name="Percent 6 7" xfId="4792"/>
    <cellStyle name="Percent 6 8" xfId="4793"/>
    <cellStyle name="Percent 7 3" xfId="4794"/>
    <cellStyle name="Percent 7 4" xfId="4795"/>
    <cellStyle name="Percent 7 5" xfId="4796"/>
    <cellStyle name="Percent 7 6" xfId="4797"/>
    <cellStyle name="Percent 7 7" xfId="4798"/>
    <cellStyle name="Percent 7 8" xfId="4799"/>
    <cellStyle name="Percent 8 2" xfId="4800"/>
    <cellStyle name="Percent 8 3" xfId="4801"/>
    <cellStyle name="Percent 8 4" xfId="4802"/>
    <cellStyle name="Percent 8 5" xfId="4803"/>
    <cellStyle name="Percent 8 6" xfId="4804"/>
    <cellStyle name="Percent 8 7" xfId="4805"/>
    <cellStyle name="Percent 8 8" xfId="4806"/>
    <cellStyle name="Percent 9 21" xfId="4807"/>
    <cellStyle name="Percent 9 2 2" xfId="4808"/>
    <cellStyle name="Percent 9 3 2" xfId="4809"/>
    <cellStyle name="Percent 9 4 2" xfId="4810"/>
    <cellStyle name="Percent 9 5 2" xfId="4811"/>
    <cellStyle name="Percent 9 6 2" xfId="4812"/>
    <cellStyle name="Percent 9 7 4" xfId="4813"/>
    <cellStyle name="Percent 9 8 2" xfId="4814"/>
    <cellStyle name="Style 21 3 2" xfId="4815"/>
    <cellStyle name="Style 25 2 2" xfId="4816"/>
    <cellStyle name="Style 25 3 2" xfId="4817"/>
    <cellStyle name="Title 2 10" xfId="4818"/>
    <cellStyle name="Title 2 2" xfId="4819"/>
    <cellStyle name="Title 2 3" xfId="4820"/>
    <cellStyle name="Title 2 4" xfId="4821"/>
    <cellStyle name="Title 2 5" xfId="4822"/>
    <cellStyle name="Title 2 6" xfId="4823"/>
    <cellStyle name="Title 2 7" xfId="4824"/>
    <cellStyle name="Title 2 8" xfId="4825"/>
    <cellStyle name="Title 2 9" xfId="4826"/>
    <cellStyle name="Title 3 3" xfId="4827"/>
    <cellStyle name="Total 2 10" xfId="4828"/>
    <cellStyle name="Total 2 2" xfId="4829"/>
    <cellStyle name="Total 2 3" xfId="4830"/>
    <cellStyle name="Total 2 4" xfId="4831"/>
    <cellStyle name="Total 2 5" xfId="4832"/>
    <cellStyle name="Total 2 6" xfId="4833"/>
    <cellStyle name="Total 2 7" xfId="4834"/>
    <cellStyle name="Total 2 8" xfId="4835"/>
    <cellStyle name="Total 2 9" xfId="4836"/>
    <cellStyle name="Total 3 3" xfId="4837"/>
    <cellStyle name="Warning Text 2 10" xfId="4838"/>
    <cellStyle name="Warning Text 2 2" xfId="4839"/>
    <cellStyle name="Warning Text 2 3" xfId="4840"/>
    <cellStyle name="Warning Text 2 4" xfId="4841"/>
    <cellStyle name="Warning Text 2 5" xfId="4842"/>
    <cellStyle name="Warning Text 2 6" xfId="4843"/>
    <cellStyle name="Warning Text 2 7" xfId="4844"/>
    <cellStyle name="Warning Text 2 8" xfId="4845"/>
    <cellStyle name="Warning Text 2 9" xfId="4846"/>
    <cellStyle name="Normal 38" xfId="4847"/>
    <cellStyle name="20% - Accent1 10 2" xfId="4848"/>
    <cellStyle name="20% - Accent1 11 2" xfId="4849"/>
    <cellStyle name="20% - Accent1 2 16" xfId="4850"/>
    <cellStyle name="20% - Accent1 3 2 2" xfId="4851"/>
    <cellStyle name="20% - Accent1 9 2" xfId="4852"/>
    <cellStyle name="20% - Accent2 10 2" xfId="4853"/>
    <cellStyle name="20% - Accent2 11 2" xfId="4854"/>
    <cellStyle name="20% - Accent2 2 16" xfId="4855"/>
    <cellStyle name="20% - Accent2 3 2 2" xfId="4856"/>
    <cellStyle name="20% - Accent2 9 2" xfId="4857"/>
    <cellStyle name="20% - Accent3 10 2" xfId="4858"/>
    <cellStyle name="20% - Accent3 11 2" xfId="4859"/>
    <cellStyle name="20% - Accent3 2 16" xfId="4860"/>
    <cellStyle name="20% - Accent3 3 2 2" xfId="4861"/>
    <cellStyle name="20% - Accent3 9 2" xfId="4862"/>
    <cellStyle name="20% - Accent4 10 2" xfId="4863"/>
    <cellStyle name="20% - Accent4 11 2" xfId="4864"/>
    <cellStyle name="20% - Accent4 2 16" xfId="4865"/>
    <cellStyle name="20% - Accent4 3 2 2" xfId="4866"/>
    <cellStyle name="20% - Accent4 9 2" xfId="4867"/>
    <cellStyle name="20% - Accent5 10 2" xfId="4868"/>
    <cellStyle name="20% - Accent5 11 2" xfId="4869"/>
    <cellStyle name="20% - Accent5 9 2" xfId="4870"/>
    <cellStyle name="20% - Accent6 10 2" xfId="4871"/>
    <cellStyle name="20% - Accent6 11 2" xfId="4872"/>
    <cellStyle name="20% - Accent6 2 16" xfId="4873"/>
    <cellStyle name="20% - Accent6 3 2 2" xfId="4874"/>
    <cellStyle name="20% - Accent6 44 2" xfId="4875"/>
    <cellStyle name="20% - Accent6 9 2" xfId="4876"/>
    <cellStyle name="40% - Accent1 10 2" xfId="4877"/>
    <cellStyle name="40% - Accent1 11 2" xfId="4878"/>
    <cellStyle name="40% - Accent1 2 16" xfId="4879"/>
    <cellStyle name="40% - Accent1 3 2 2" xfId="4880"/>
    <cellStyle name="40% - Accent1 9 2" xfId="4881"/>
    <cellStyle name="40% - Accent2 10 2" xfId="4882"/>
    <cellStyle name="40% - Accent2 11 2" xfId="4883"/>
    <cellStyle name="40% - Accent2 9 2" xfId="4884"/>
    <cellStyle name="40% - Accent3 10 2" xfId="4885"/>
    <cellStyle name="40% - Accent3 11 2" xfId="4886"/>
    <cellStyle name="40% - Accent3 2 16" xfId="4887"/>
    <cellStyle name="40% - Accent3 3 2 2" xfId="4888"/>
    <cellStyle name="40% - Accent3 9 2" xfId="4889"/>
    <cellStyle name="40% - Accent4 10 2" xfId="4890"/>
    <cellStyle name="40% - Accent4 11 2" xfId="4891"/>
    <cellStyle name="40% - Accent4 2 16" xfId="4892"/>
    <cellStyle name="40% - Accent4 3 2 2" xfId="4893"/>
    <cellStyle name="40% - Accent4 9 2" xfId="4894"/>
    <cellStyle name="40% - Accent5 10 2" xfId="4895"/>
    <cellStyle name="40% - Accent5 11 2" xfId="4896"/>
    <cellStyle name="40% - Accent5 2 16" xfId="4897"/>
    <cellStyle name="40% - Accent5 3 2 2" xfId="4898"/>
    <cellStyle name="40% - Accent5 9 2" xfId="4899"/>
    <cellStyle name="40% - Accent6 10 2" xfId="4900"/>
    <cellStyle name="40% - Accent6 11 2" xfId="4901"/>
    <cellStyle name="40% - Accent6 2 16" xfId="4902"/>
    <cellStyle name="40% - Accent6 3 2 2" xfId="4903"/>
    <cellStyle name="40% - Accent6 9 2" xfId="4904"/>
    <cellStyle name="60% - Accent1 2 11" xfId="4905"/>
    <cellStyle name="60% - Accent1 3 2 2" xfId="4906"/>
    <cellStyle name="60% - Accent1 4 2" xfId="4907"/>
    <cellStyle name="60% - Accent1 5 2" xfId="4908"/>
    <cellStyle name="60% - Accent1 6 2" xfId="4909"/>
    <cellStyle name="60% - Accent2 2 11" xfId="4910"/>
    <cellStyle name="60% - Accent2 3 2 2" xfId="4911"/>
    <cellStyle name="60% - Accent2 4 2" xfId="4912"/>
    <cellStyle name="60% - Accent2 5 2" xfId="4913"/>
    <cellStyle name="60% - Accent2 6 2" xfId="4914"/>
    <cellStyle name="60% - Accent3 2 11" xfId="4915"/>
    <cellStyle name="60% - Accent3 3 2 2" xfId="4916"/>
    <cellStyle name="60% - Accent3 4 2" xfId="4917"/>
    <cellStyle name="60% - Accent3 5 2" xfId="4918"/>
    <cellStyle name="60% - Accent3 6 2" xfId="4919"/>
    <cellStyle name="60% - Accent4 2 11" xfId="4920"/>
    <cellStyle name="60% - Accent4 3 2 2" xfId="4921"/>
    <cellStyle name="60% - Accent4 4 2" xfId="4922"/>
    <cellStyle name="60% - Accent4 5 2" xfId="4923"/>
    <cellStyle name="60% - Accent4 6 2" xfId="4924"/>
    <cellStyle name="60% - Accent5 2 11" xfId="4925"/>
    <cellStyle name="60% - Accent5 3 2 2" xfId="4926"/>
    <cellStyle name="60% - Accent5 4 2" xfId="4927"/>
    <cellStyle name="60% - Accent5 5 2" xfId="4928"/>
    <cellStyle name="60% - Accent5 6 2" xfId="4929"/>
    <cellStyle name="60% - Accent6 2 11" xfId="4930"/>
    <cellStyle name="60% - Accent6 3 2 2" xfId="4931"/>
    <cellStyle name="60% - Accent6 4 2" xfId="4932"/>
    <cellStyle name="60% - Accent6 5 2" xfId="4933"/>
    <cellStyle name="60% - Accent6 6 2" xfId="4934"/>
    <cellStyle name="Accent1 2 11" xfId="4935"/>
    <cellStyle name="Accent1 3 2 2" xfId="4936"/>
    <cellStyle name="Accent1 4 2" xfId="4937"/>
    <cellStyle name="Accent1 5 2" xfId="4938"/>
    <cellStyle name="Accent1 6 2" xfId="4939"/>
    <cellStyle name="Accent2 2 11" xfId="4940"/>
    <cellStyle name="Accent2 3 2 2" xfId="4941"/>
    <cellStyle name="Accent2 4 2" xfId="4942"/>
    <cellStyle name="Accent2 5 2" xfId="4943"/>
    <cellStyle name="Accent2 6 2" xfId="4944"/>
    <cellStyle name="Accent3 2 11" xfId="4945"/>
    <cellStyle name="Accent3 3 2 2" xfId="4946"/>
    <cellStyle name="Accent3 4 2" xfId="4947"/>
    <cellStyle name="Accent3 5 2" xfId="4948"/>
    <cellStyle name="Accent3 6 2" xfId="4949"/>
    <cellStyle name="Accent4 2 11" xfId="4950"/>
    <cellStyle name="Accent4 3 2 2" xfId="4951"/>
    <cellStyle name="Accent4 4 2" xfId="4952"/>
    <cellStyle name="Accent4 5 2" xfId="4953"/>
    <cellStyle name="Accent4 6 2" xfId="4954"/>
    <cellStyle name="Accent5 4 2" xfId="4955"/>
    <cellStyle name="Accent5 5 2" xfId="4956"/>
    <cellStyle name="Accent5 6 2" xfId="4957"/>
    <cellStyle name="Accent6 2 11" xfId="4958"/>
    <cellStyle name="Accent6 3 2 2" xfId="4959"/>
    <cellStyle name="Accent6 4 2" xfId="4960"/>
    <cellStyle name="Accent6 5 2" xfId="4961"/>
    <cellStyle name="Accent6 6 2" xfId="4962"/>
    <cellStyle name="Bad 2 11" xfId="4963"/>
    <cellStyle name="Bad 3 2 2" xfId="4964"/>
    <cellStyle name="Bad 4 2" xfId="4965"/>
    <cellStyle name="Bad 5 2" xfId="4966"/>
    <cellStyle name="Bad 6 2" xfId="4967"/>
    <cellStyle name="Calculation 2 11" xfId="4968"/>
    <cellStyle name="Calculation 3 2 2" xfId="4969"/>
    <cellStyle name="Calculation 4 2" xfId="4970"/>
    <cellStyle name="Calculation 5 2" xfId="4971"/>
    <cellStyle name="Calculation 6 2" xfId="4972"/>
    <cellStyle name="Check Cell 4 2" xfId="4973"/>
    <cellStyle name="Check Cell 5 2" xfId="4974"/>
    <cellStyle name="Check Cell 6 2" xfId="4975"/>
    <cellStyle name="Comma 10 10" xfId="4976"/>
    <cellStyle name="Comma 10 10 2" xfId="4977"/>
    <cellStyle name="Comma 10 10 3" xfId="4978"/>
    <cellStyle name="Comma 10 11" xfId="4979"/>
    <cellStyle name="Comma 10 12" xfId="4980"/>
    <cellStyle name="Comma 10 9" xfId="4981"/>
    <cellStyle name="Comma 2 19 3" xfId="4982"/>
    <cellStyle name="Comma 2 19 3 2" xfId="4983"/>
    <cellStyle name="Comma 2 19 3 3" xfId="4984"/>
    <cellStyle name="Comma 2 19 4" xfId="4985"/>
    <cellStyle name="Comma 2 19 5" xfId="4986"/>
    <cellStyle name="Comma 2 3 2 6" xfId="4987"/>
    <cellStyle name="Comma 2 4 2 2" xfId="4988"/>
    <cellStyle name="Comma 2 4 3 2" xfId="4989"/>
    <cellStyle name="Comma 2 4 6 2" xfId="4990"/>
    <cellStyle name="Comma 2 8 4 2" xfId="4991"/>
    <cellStyle name="Comma 2 9 4" xfId="4992"/>
    <cellStyle name="Comma 2 9 2 2" xfId="4993"/>
    <cellStyle name="Comma 2 9 3" xfId="4994"/>
    <cellStyle name="Comma 2_PrimaryEnergyPrices_TIMES" xfId="4995"/>
    <cellStyle name="Comma 3 2 2 2" xfId="4996"/>
    <cellStyle name="Comma 3 3 4" xfId="4997"/>
    <cellStyle name="Comma 3 3 2 2" xfId="4998"/>
    <cellStyle name="Comma 3 3 3" xfId="4999"/>
    <cellStyle name="Comma 9 10" xfId="5000"/>
    <cellStyle name="Currency 2 3" xfId="5001"/>
    <cellStyle name="Euro 2 2 2 2" xfId="5002"/>
    <cellStyle name="Euro 2 3 2" xfId="5003"/>
    <cellStyle name="Euro 2 4 2" xfId="5004"/>
    <cellStyle name="Euro 2 4 2 2" xfId="5005"/>
    <cellStyle name="Euro 2 4 3" xfId="5006"/>
    <cellStyle name="Euro 2 4 3 2" xfId="5007"/>
    <cellStyle name="Euro 2 4 3 3" xfId="5008"/>
    <cellStyle name="Euro 2 4 4" xfId="5009"/>
    <cellStyle name="Euro 3 2 2 2" xfId="5010"/>
    <cellStyle name="Euro 3 3 5" xfId="5011"/>
    <cellStyle name="Euro 3 4 2" xfId="5012"/>
    <cellStyle name="Euro 3 5 3" xfId="5013"/>
    <cellStyle name="Euro 3 5 2" xfId="5014"/>
    <cellStyle name="Euro 4 2 2 2" xfId="5015"/>
    <cellStyle name="Euro 4 3 5" xfId="5016"/>
    <cellStyle name="Euro 4 4 2 2" xfId="5017"/>
    <cellStyle name="Euro 5 2 2" xfId="5018"/>
    <cellStyle name="Euro 5 3 2" xfId="5019"/>
    <cellStyle name="Euro 58 2" xfId="5020"/>
    <cellStyle name="Euro 58 2 2" xfId="5021"/>
    <cellStyle name="Euro 58 3" xfId="5022"/>
    <cellStyle name="Euro 58 3 2" xfId="5023"/>
    <cellStyle name="Euro 58 3 3" xfId="5024"/>
    <cellStyle name="Euro 58 4" xfId="5025"/>
    <cellStyle name="Euro 58 5" xfId="5026"/>
    <cellStyle name="Euro 6 2 2" xfId="5027"/>
    <cellStyle name="Euro 6 3 2" xfId="5028"/>
    <cellStyle name="Euro 7 3 2" xfId="5029"/>
    <cellStyle name="Euro 7 4" xfId="5030"/>
    <cellStyle name="Explanatory Text 4 2" xfId="5031"/>
    <cellStyle name="Explanatory Text 5 2" xfId="5032"/>
    <cellStyle name="Explanatory Text 6 2" xfId="5033"/>
    <cellStyle name="Good 2 11" xfId="5034"/>
    <cellStyle name="Good 2 12" xfId="5035"/>
    <cellStyle name="Good 2 2 2 2" xfId="5036"/>
    <cellStyle name="Good 3 2 2" xfId="5037"/>
    <cellStyle name="Good 4 2" xfId="5038"/>
    <cellStyle name="Good 5 2" xfId="5039"/>
    <cellStyle name="Good 6 2" xfId="5040"/>
    <cellStyle name="Heading 1 2 11" xfId="5041"/>
    <cellStyle name="Heading 1 3 2 2" xfId="5042"/>
    <cellStyle name="Heading 1 4 2" xfId="5043"/>
    <cellStyle name="Heading 1 5 2" xfId="5044"/>
    <cellStyle name="Heading 1 6 2" xfId="5045"/>
    <cellStyle name="Heading 2 2 11" xfId="5046"/>
    <cellStyle name="Heading 2 3 2 2" xfId="5047"/>
    <cellStyle name="Heading 2 4 2" xfId="5048"/>
    <cellStyle name="Heading 2 5 2" xfId="5049"/>
    <cellStyle name="Heading 2 6 2" xfId="5050"/>
    <cellStyle name="Heading 3 2 11" xfId="5051"/>
    <cellStyle name="Heading 3 3 2 2" xfId="5052"/>
    <cellStyle name="Heading 3 4 2" xfId="5053"/>
    <cellStyle name="Heading 3 5 2" xfId="5054"/>
    <cellStyle name="Heading 3 6 2" xfId="5055"/>
    <cellStyle name="Heading 4 2 11" xfId="5056"/>
    <cellStyle name="Heading 4 3 2 2" xfId="5057"/>
    <cellStyle name="Heading 4 4 2" xfId="5058"/>
    <cellStyle name="Heading 4 5 2" xfId="5059"/>
    <cellStyle name="Heading 4 6 2" xfId="5060"/>
    <cellStyle name="Hyperlink 3" xfId="5061"/>
    <cellStyle name="Input 2 11" xfId="5062"/>
    <cellStyle name="Input 2 12" xfId="5063"/>
    <cellStyle name="Input 2 3 2 2" xfId="5064"/>
    <cellStyle name="Input 3 3 2" xfId="5065"/>
    <cellStyle name="Input 6" xfId="5066"/>
    <cellStyle name="Linked Cell 2 11" xfId="5067"/>
    <cellStyle name="Linked Cell 3 2 2" xfId="5068"/>
    <cellStyle name="Linked Cell 4 2" xfId="5069"/>
    <cellStyle name="Linked Cell 5 2" xfId="5070"/>
    <cellStyle name="Linked Cell 6 2" xfId="5071"/>
    <cellStyle name="Neutral 2 11" xfId="5072"/>
    <cellStyle name="Neutral 3 2 2" xfId="5073"/>
    <cellStyle name="Neutral 3 3 2" xfId="5074"/>
    <cellStyle name="Neutral 4 3" xfId="5075"/>
    <cellStyle name="Neutral 5 2" xfId="5076"/>
    <cellStyle name="Neutral 6 2" xfId="5077"/>
    <cellStyle name="Normal 10 2 5" xfId="5078"/>
    <cellStyle name="Normal 10 2 2 2 2" xfId="5079"/>
    <cellStyle name="Normal 11 2 2 2" xfId="5080"/>
    <cellStyle name="Normal 11 5 3" xfId="5081"/>
    <cellStyle name="Normal 13 10 2" xfId="5082"/>
    <cellStyle name="Normal 13 11 2" xfId="5083"/>
    <cellStyle name="Normal 13 13 2" xfId="5084"/>
    <cellStyle name="Normal 13 14 2" xfId="5085"/>
    <cellStyle name="Normal 13 15 2" xfId="5086"/>
    <cellStyle name="Normal 13 16 2" xfId="5087"/>
    <cellStyle name="Normal 13 2 2 2" xfId="5088"/>
    <cellStyle name="Normal 13 2 3 2" xfId="5089"/>
    <cellStyle name="Normal 13 2 4 2" xfId="5090"/>
    <cellStyle name="Normal 13 2 5 2" xfId="5091"/>
    <cellStyle name="Normal 13 2 6 2" xfId="5092"/>
    <cellStyle name="Normal 13 2 7 2" xfId="5093"/>
    <cellStyle name="Normal 13 2 8 2" xfId="5094"/>
    <cellStyle name="Normal 13 3 2 2" xfId="5095"/>
    <cellStyle name="Normal 13 4 3" xfId="5096"/>
    <cellStyle name="Normal 13 9 2" xfId="5097"/>
    <cellStyle name="Normal 14 10 2" xfId="5098"/>
    <cellStyle name="Normal 14 11 2" xfId="5099"/>
    <cellStyle name="Normal 14 12 2" xfId="5100"/>
    <cellStyle name="Normal 14 13 2" xfId="5101"/>
    <cellStyle name="Normal 14 14 2" xfId="5102"/>
    <cellStyle name="Normal 14 15 2" xfId="5103"/>
    <cellStyle name="Normal 14 2 8 2" xfId="5104"/>
    <cellStyle name="Normal 14 4 2" xfId="5105"/>
    <cellStyle name="Normal 14 5 2" xfId="5106"/>
    <cellStyle name="Normal 16 7 2" xfId="5107"/>
    <cellStyle name="Normal 17 14 2" xfId="5108"/>
    <cellStyle name="Normal 18 3 2" xfId="5109"/>
    <cellStyle name="Normal 19 2" xfId="5110"/>
    <cellStyle name="Normal 2 18 2 2" xfId="5111"/>
    <cellStyle name="Normal 2 18 3" xfId="5112"/>
    <cellStyle name="Normal 2 19 2" xfId="5113"/>
    <cellStyle name="Normal 2 2 10 2" xfId="5114"/>
    <cellStyle name="Normal 2 2 11 2" xfId="5115"/>
    <cellStyle name="Normal 2 2 12 2" xfId="5116"/>
    <cellStyle name="Normal 2 2 13 2" xfId="5117"/>
    <cellStyle name="Normal 2 2 2 3 2" xfId="5118"/>
    <cellStyle name="Normal 2 2 3 2 2" xfId="5119"/>
    <cellStyle name="Normal 2 2 4 2 2" xfId="5120"/>
    <cellStyle name="Normal 2 2 5 2 2" xfId="5121"/>
    <cellStyle name="Normal 2 2 6 3" xfId="5122"/>
    <cellStyle name="Normal 2 2 6 2 2" xfId="5123"/>
    <cellStyle name="Normal 2 2 7 3" xfId="5124"/>
    <cellStyle name="Normal 2 2 8 3" xfId="5125"/>
    <cellStyle name="Normal 2 2 9 2" xfId="5126"/>
    <cellStyle name="Normal 2 3 10 2" xfId="5127"/>
    <cellStyle name="Normal 2 3 11 2" xfId="5128"/>
    <cellStyle name="Normal 2 3 12 2" xfId="5129"/>
    <cellStyle name="Normal 2 3 13 2" xfId="5130"/>
    <cellStyle name="Normal 2 3 2 6" xfId="5131"/>
    <cellStyle name="Normal 2 3 2 2 4" xfId="5132"/>
    <cellStyle name="Normal 2 3 3 2 2" xfId="5133"/>
    <cellStyle name="Normal 2 3 4 5" xfId="5134"/>
    <cellStyle name="Normal 2 3 5 4" xfId="5135"/>
    <cellStyle name="Normal 2 3 6 2 2" xfId="5136"/>
    <cellStyle name="Normal 2 3 7 2" xfId="5137"/>
    <cellStyle name="Normal 2 3 8 2" xfId="5138"/>
    <cellStyle name="Normal 2 3 9 2" xfId="5139"/>
    <cellStyle name="Normal 2 4 10 2" xfId="5140"/>
    <cellStyle name="Normal 2 4 11 2" xfId="5141"/>
    <cellStyle name="Normal 2 4 12 2" xfId="5142"/>
    <cellStyle name="Normal 2 4 13 2" xfId="5143"/>
    <cellStyle name="Normal 2 4 2 2 2" xfId="5144"/>
    <cellStyle name="Normal 2 4 3 2 2" xfId="5145"/>
    <cellStyle name="Normal 2 4 4 2 2" xfId="5146"/>
    <cellStyle name="Normal 2 4 5 3" xfId="5147"/>
    <cellStyle name="Normal 2 4 6 2" xfId="5148"/>
    <cellStyle name="Normal 2 4 7 2" xfId="5149"/>
    <cellStyle name="Normal 2 4 8 2" xfId="5150"/>
    <cellStyle name="Normal 2 4 9 2" xfId="5151"/>
    <cellStyle name="Normal 2 45 2" xfId="5152"/>
    <cellStyle name="Normal 2 5 2 5" xfId="5153"/>
    <cellStyle name="Normal 2 6 18" xfId="5154"/>
    <cellStyle name="Normal 2 6 2 5" xfId="5155"/>
    <cellStyle name="Normal 2 9 4" xfId="5156"/>
    <cellStyle name="Normal 2_ELC" xfId="5157"/>
    <cellStyle name="Normal 21 2 2" xfId="5158"/>
    <cellStyle name="Normal 22 2" xfId="5159"/>
    <cellStyle name="Normal 24 21" xfId="5160"/>
    <cellStyle name="Normal 24 22" xfId="5161"/>
    <cellStyle name="Normal 25 4" xfId="5162"/>
    <cellStyle name="Normal 25 2" xfId="5163"/>
    <cellStyle name="Normal 25 3" xfId="5164"/>
    <cellStyle name="Normal 3 2 2 2 2" xfId="5165"/>
    <cellStyle name="Normal 3 2 3 3" xfId="5166"/>
    <cellStyle name="Normal 3 2 9 2 2" xfId="5167"/>
    <cellStyle name="Normal 3 29 2" xfId="5168"/>
    <cellStyle name="Normal 3 30" xfId="5169"/>
    <cellStyle name="Normal 3 30 2" xfId="5170"/>
    <cellStyle name="Normal 3 31" xfId="5171"/>
    <cellStyle name="Normal 3 31 2" xfId="5172"/>
    <cellStyle name="Normal 3 32" xfId="5173"/>
    <cellStyle name="Normal 3 33" xfId="5174"/>
    <cellStyle name="Normal 3 34" xfId="5175"/>
    <cellStyle name="Normal 3 35" xfId="5176"/>
    <cellStyle name="Normal 3 36" xfId="5177"/>
    <cellStyle name="Normal 3 4 4 2 2" xfId="5178"/>
    <cellStyle name="Normal 3 7 4" xfId="5179"/>
    <cellStyle name="Normal 3 7 3" xfId="5180"/>
    <cellStyle name="Normal 3_PrimaryEnergyPrices_TIMES" xfId="5181"/>
    <cellStyle name="Normal 31 6" xfId="5182"/>
    <cellStyle name="Normal 31 3" xfId="5183"/>
    <cellStyle name="Normal 31 4" xfId="5184"/>
    <cellStyle name="Normal 31 5" xfId="5185"/>
    <cellStyle name="Normal 34 2" xfId="5186"/>
    <cellStyle name="Normal 35" xfId="5187"/>
    <cellStyle name="Normal 36" xfId="5188"/>
    <cellStyle name="Normal 37" xfId="5189"/>
    <cellStyle name="Normal 4 13" xfId="5190"/>
    <cellStyle name="Normal 4 13 2" xfId="5191"/>
    <cellStyle name="Normal 4 13 2 2" xfId="5192"/>
    <cellStyle name="Normal 4 13 2 3" xfId="5193"/>
    <cellStyle name="Normal 4 13 2 3 2" xfId="5194"/>
    <cellStyle name="Normal 4 13 2 3 3" xfId="5195"/>
    <cellStyle name="Normal 4 13 2 4" xfId="5196"/>
    <cellStyle name="Normal 4 13 2 5" xfId="5197"/>
    <cellStyle name="Normal 4 2 2 10 2" xfId="5198"/>
    <cellStyle name="Normal 4 2 2 11 2" xfId="5199"/>
    <cellStyle name="Normal 4 2 2 12 2" xfId="5200"/>
    <cellStyle name="Normal 4 2 2 13 2" xfId="5201"/>
    <cellStyle name="Normal 4 2 2 2 15" xfId="5202"/>
    <cellStyle name="Normal 4 2 2 3 2" xfId="5203"/>
    <cellStyle name="Normal 4 2 2 4 2" xfId="5204"/>
    <cellStyle name="Normal 4 2 2 5 2" xfId="5205"/>
    <cellStyle name="Normal 4 2 2 6 2" xfId="5206"/>
    <cellStyle name="Normal 4 2 2 7 2" xfId="5207"/>
    <cellStyle name="Normal 4 2 2 8 2" xfId="5208"/>
    <cellStyle name="Normal 4 2 2 9 2" xfId="5209"/>
    <cellStyle name="Normal 4 2 3 4" xfId="5210"/>
    <cellStyle name="Normal 4 2 3 2 2" xfId="5211"/>
    <cellStyle name="Normal 4 3 9" xfId="5212"/>
    <cellStyle name="Normal 4 3 3 4" xfId="5213"/>
    <cellStyle name="Normal 4 3 3 2 2" xfId="5214"/>
    <cellStyle name="Normal 4 3 4 2 2" xfId="5215"/>
    <cellStyle name="Normal 4 5 9" xfId="5216"/>
    <cellStyle name="Normal 4 6 5" xfId="5217"/>
    <cellStyle name="Normal 4 7 4" xfId="5218"/>
    <cellStyle name="Normal 4 7 2 2" xfId="5219"/>
    <cellStyle name="Normal 4 8 4" xfId="5220"/>
    <cellStyle name="Normal 4 8 2 2" xfId="5221"/>
    <cellStyle name="Normal 4 9 3" xfId="5222"/>
    <cellStyle name="Normal 4_ELC" xfId="5223"/>
    <cellStyle name="Normal 5 13 2" xfId="5224"/>
    <cellStyle name="Normal 5 14" xfId="5225"/>
    <cellStyle name="Normal 5 2 10" xfId="5226"/>
    <cellStyle name="Normal 5 2 2 10 2" xfId="5227"/>
    <cellStyle name="Normal 5 2 2 11 2" xfId="5228"/>
    <cellStyle name="Normal 5 2 2 12 2" xfId="5229"/>
    <cellStyle name="Normal 5 2 2 13 2" xfId="5230"/>
    <cellStyle name="Normal 5 2 2 2 15" xfId="5231"/>
    <cellStyle name="Normal 5 2 2 3 3" xfId="5232"/>
    <cellStyle name="Normal 5 2 2 4 2" xfId="5233"/>
    <cellStyle name="Normal 5 2 2 5 2" xfId="5234"/>
    <cellStyle name="Normal 5 2 2 6 2" xfId="5235"/>
    <cellStyle name="Normal 5 2 2 7 2" xfId="5236"/>
    <cellStyle name="Normal 5 2 2 8 2" xfId="5237"/>
    <cellStyle name="Normal 5 2 2 9 2" xfId="5238"/>
    <cellStyle name="Normal 5 2 3 3" xfId="5239"/>
    <cellStyle name="Normal 5 2 9" xfId="5240"/>
    <cellStyle name="Normal 5 3 10" xfId="5241"/>
    <cellStyle name="Normal 5 3 3 3" xfId="5242"/>
    <cellStyle name="Normal 5 5 9" xfId="5243"/>
    <cellStyle name="Normal 5 5 2 4" xfId="5244"/>
    <cellStyle name="Normal 5 5 2 2 2" xfId="5245"/>
    <cellStyle name="Normal 5_ELC" xfId="5246"/>
    <cellStyle name="Normal 6 2 2 10 2" xfId="5247"/>
    <cellStyle name="Normal 6 2 2 11 2" xfId="5248"/>
    <cellStyle name="Normal 6 2 2 12 2" xfId="5249"/>
    <cellStyle name="Normal 6 2 2 13 2" xfId="5250"/>
    <cellStyle name="Normal 6 2 2 2 2" xfId="5251"/>
    <cellStyle name="Normal 6 2 2 3 2" xfId="5252"/>
    <cellStyle name="Normal 6 2 2 4 2" xfId="5253"/>
    <cellStyle name="Normal 6 2 2 5 2" xfId="5254"/>
    <cellStyle name="Normal 6 2 2 6 2" xfId="5255"/>
    <cellStyle name="Normal 6 2 2 7 2" xfId="5256"/>
    <cellStyle name="Normal 6 2 2 8 2" xfId="5257"/>
    <cellStyle name="Normal 6 2 2 9 2" xfId="5258"/>
    <cellStyle name="Normal 7 3 10" xfId="5259"/>
    <cellStyle name="Normal 7 4 10" xfId="5260"/>
    <cellStyle name="Normal 7 4 9" xfId="5261"/>
    <cellStyle name="Normal 7 5 10" xfId="5262"/>
    <cellStyle name="Normal 7 5 9" xfId="5263"/>
    <cellStyle name="Normal 8 11 3" xfId="5264"/>
    <cellStyle name="Normal 9 11" xfId="5265"/>
    <cellStyle name="Normal 9 10 2" xfId="5266"/>
    <cellStyle name="Normal 9 2 4" xfId="5267"/>
    <cellStyle name="Note 2 16" xfId="5268"/>
    <cellStyle name="Note 2 2 2 2" xfId="5269"/>
    <cellStyle name="Note 3_PrimaryEnergyPrices_TIMES" xfId="5270"/>
    <cellStyle name="Note 42" xfId="5271"/>
    <cellStyle name="Nuovo 38 2" xfId="5272"/>
    <cellStyle name="Nuovo 38 2 2" xfId="5273"/>
    <cellStyle name="Nuovo 38 3" xfId="5274"/>
    <cellStyle name="Nuovo 38 3 2" xfId="5275"/>
    <cellStyle name="Nuovo 38 3 3" xfId="5276"/>
    <cellStyle name="Nuovo 38 4" xfId="5277"/>
    <cellStyle name="Output 2 11" xfId="5278"/>
    <cellStyle name="Output 3 2 2" xfId="5279"/>
    <cellStyle name="Output 4 2" xfId="5280"/>
    <cellStyle name="Output 5 2" xfId="5281"/>
    <cellStyle name="Output 6 2" xfId="5282"/>
    <cellStyle name="Percent 15 2 2 2" xfId="5283"/>
    <cellStyle name="Percent 15 2 3 2" xfId="5284"/>
    <cellStyle name="Percent 15 2 4 2" xfId="5285"/>
    <cellStyle name="Percent 15 2 5 2" xfId="5286"/>
    <cellStyle name="Percent 15 2 6 2" xfId="5287"/>
    <cellStyle name="Percent 15 2 7 2" xfId="5288"/>
    <cellStyle name="Percent 15 3 2" xfId="5289"/>
    <cellStyle name="Percent 15 3 3" xfId="5290"/>
    <cellStyle name="Percent 15 3 3 2" xfId="5291"/>
    <cellStyle name="Percent 15 5 2" xfId="5292"/>
    <cellStyle name="Percent 15 5 3" xfId="5293"/>
    <cellStyle name="Percent 15 5 3 2" xfId="5294"/>
    <cellStyle name="Percent 15 6 2" xfId="5295"/>
    <cellStyle name="Percent 15 6 3" xfId="5296"/>
    <cellStyle name="Percent 15 6 3 2" xfId="5297"/>
    <cellStyle name="Percent 15 7 4" xfId="5298"/>
    <cellStyle name="Percent 15 7 4 2" xfId="5299"/>
    <cellStyle name="Percent 15 8 2" xfId="5300"/>
    <cellStyle name="Percent 17 2 2" xfId="5301"/>
    <cellStyle name="Percent 17 9" xfId="5302"/>
    <cellStyle name="Percent 17 9 2" xfId="5303"/>
    <cellStyle name="Percent 17 9 3" xfId="5304"/>
    <cellStyle name="Percent 17 9 3 2" xfId="5305"/>
    <cellStyle name="Percent 17 9 3 3" xfId="5306"/>
    <cellStyle name="Percent 17 9 4" xfId="5307"/>
    <cellStyle name="Percent 17 9 5" xfId="5308"/>
    <cellStyle name="Percent 18 3" xfId="5309"/>
    <cellStyle name="Percent 18 2" xfId="5310"/>
    <cellStyle name="Percent 2 20 2" xfId="5311"/>
    <cellStyle name="Percent 2 20 2 2" xfId="5312"/>
    <cellStyle name="Percent 2 20 2 3" xfId="5313"/>
    <cellStyle name="Percent 2 20 2 3 2" xfId="5314"/>
    <cellStyle name="Percent 2 20 2 3 3" xfId="5315"/>
    <cellStyle name="Percent 2 20 2 4" xfId="5316"/>
    <cellStyle name="Percent 2 20 2 5" xfId="5317"/>
    <cellStyle name="Percent 2 33 2" xfId="5318"/>
    <cellStyle name="Percent 2 34 2" xfId="5319"/>
    <cellStyle name="Percent 2 35 2" xfId="5320"/>
    <cellStyle name="Percent 2 36 2" xfId="5321"/>
    <cellStyle name="Percent 2 37 2" xfId="5322"/>
    <cellStyle name="Percent 2 38 2" xfId="5323"/>
    <cellStyle name="Percent 2 39 2" xfId="5324"/>
    <cellStyle name="Percent 2 4 17" xfId="5325"/>
    <cellStyle name="Percent 2 4 10 2" xfId="5326"/>
    <cellStyle name="Percent 2 4 11 2" xfId="5327"/>
    <cellStyle name="Percent 2 4 12 2" xfId="5328"/>
    <cellStyle name="Percent 2 4 13 2" xfId="5329"/>
    <cellStyle name="Percent 2 4 14 2" xfId="5330"/>
    <cellStyle name="Percent 2 4 15 2" xfId="5331"/>
    <cellStyle name="Percent 2 4 16 2" xfId="5332"/>
    <cellStyle name="Percent 2 4 2 2" xfId="5333"/>
    <cellStyle name="Percent 2 4 3 2" xfId="5334"/>
    <cellStyle name="Percent 2 4 4 2" xfId="5335"/>
    <cellStyle name="Percent 2 4 5 2" xfId="5336"/>
    <cellStyle name="Percent 2 4 6 2" xfId="5337"/>
    <cellStyle name="Percent 2 4 7 2" xfId="5338"/>
    <cellStyle name="Percent 2 4 8 2" xfId="5339"/>
    <cellStyle name="Percent 2 4 9 2" xfId="5340"/>
    <cellStyle name="Percent 2 40 2" xfId="5341"/>
    <cellStyle name="Percent 2 41 2" xfId="5342"/>
    <cellStyle name="Percent 2 42 2" xfId="5343"/>
    <cellStyle name="Percent 2 43 2" xfId="5344"/>
    <cellStyle name="Percent 2 44 2" xfId="5345"/>
    <cellStyle name="Percent 2 45 2" xfId="5346"/>
    <cellStyle name="Percent 2 46 2" xfId="5347"/>
    <cellStyle name="Percent 2 47 2" xfId="5348"/>
    <cellStyle name="Percent 2 48 4" xfId="5349"/>
    <cellStyle name="Percent 2 48 2 2" xfId="5350"/>
    <cellStyle name="Percent 2 48 3" xfId="5351"/>
    <cellStyle name="Percent 2 49 3" xfId="5352"/>
    <cellStyle name="Percent 2 49 2" xfId="5353"/>
    <cellStyle name="Percent 2 5 16" xfId="5354"/>
    <cellStyle name="Percent 2 5 10 2" xfId="5355"/>
    <cellStyle name="Percent 2 5 11 2" xfId="5356"/>
    <cellStyle name="Percent 2 5 12 2" xfId="5357"/>
    <cellStyle name="Percent 2 5 13 2" xfId="5358"/>
    <cellStyle name="Percent 2 5 14 2" xfId="5359"/>
    <cellStyle name="Percent 2 5 15 2" xfId="5360"/>
    <cellStyle name="Percent 2 5 2 2" xfId="5361"/>
    <cellStyle name="Percent 2 5 3 2" xfId="5362"/>
    <cellStyle name="Percent 2 5 4 2" xfId="5363"/>
    <cellStyle name="Percent 2 5 5 2" xfId="5364"/>
    <cellStyle name="Percent 2 5 6 2" xfId="5365"/>
    <cellStyle name="Percent 2 5 7 2" xfId="5366"/>
    <cellStyle name="Percent 2 5 8 2" xfId="5367"/>
    <cellStyle name="Percent 2 5 9 2" xfId="5368"/>
    <cellStyle name="Percent 2 6 16" xfId="5369"/>
    <cellStyle name="Percent 2 6 10 2" xfId="5370"/>
    <cellStyle name="Percent 2 6 11 2" xfId="5371"/>
    <cellStyle name="Percent 2 6 12 2" xfId="5372"/>
    <cellStyle name="Percent 2 6 13 2" xfId="5373"/>
    <cellStyle name="Percent 2 6 14 2" xfId="5374"/>
    <cellStyle name="Percent 2 6 15 2" xfId="5375"/>
    <cellStyle name="Percent 2 6 2 2" xfId="5376"/>
    <cellStyle name="Percent 2 6 3 2" xfId="5377"/>
    <cellStyle name="Percent 2 6 4 2" xfId="5378"/>
    <cellStyle name="Percent 2 6 5 2" xfId="5379"/>
    <cellStyle name="Percent 2 6 6 2" xfId="5380"/>
    <cellStyle name="Percent 2 6 7 2" xfId="5381"/>
    <cellStyle name="Percent 2 6 8 2" xfId="5382"/>
    <cellStyle name="Percent 2 6 9 2" xfId="5383"/>
    <cellStyle name="Percent 2 7 9" xfId="5384"/>
    <cellStyle name="Percent 2 7 2 2" xfId="5385"/>
    <cellStyle name="Percent 2 7 3 2" xfId="5386"/>
    <cellStyle name="Percent 2 7 4 2" xfId="5387"/>
    <cellStyle name="Percent 2 7 5 2" xfId="5388"/>
    <cellStyle name="Percent 2 7 6 2" xfId="5389"/>
    <cellStyle name="Percent 2 7 7 2" xfId="5390"/>
    <cellStyle name="Percent 2 7 8 2" xfId="5391"/>
    <cellStyle name="Percent 2 8 10" xfId="5392"/>
    <cellStyle name="Percent 2 8 2 3" xfId="5393"/>
    <cellStyle name="Percent 2 8 2 2" xfId="5394"/>
    <cellStyle name="Percent 2 8 3 3" xfId="5395"/>
    <cellStyle name="Percent 2 8 3 2" xfId="5396"/>
    <cellStyle name="Percent 2 8 4 3" xfId="5397"/>
    <cellStyle name="Percent 2 8 4 2" xfId="5398"/>
    <cellStyle name="Percent 2 8 5 3" xfId="5399"/>
    <cellStyle name="Percent 2 8 5 2" xfId="5400"/>
    <cellStyle name="Percent 2 8 6 3" xfId="5401"/>
    <cellStyle name="Percent 2 8 6 2" xfId="5402"/>
    <cellStyle name="Percent 2 8 7 3" xfId="5403"/>
    <cellStyle name="Percent 2 8 7 2" xfId="5404"/>
    <cellStyle name="Percent 2 8 8 3" xfId="5405"/>
    <cellStyle name="Percent 2 8 8 2" xfId="5406"/>
    <cellStyle name="Percent 2 8 9" xfId="5407"/>
    <cellStyle name="Percent 2 9 10" xfId="5408"/>
    <cellStyle name="Percent 2 9 2 3" xfId="5409"/>
    <cellStyle name="Percent 2 9 2 2" xfId="5410"/>
    <cellStyle name="Percent 2 9 3 3" xfId="5411"/>
    <cellStyle name="Percent 2 9 3 2" xfId="5412"/>
    <cellStyle name="Percent 2 9 4 3" xfId="5413"/>
    <cellStyle name="Percent 2 9 4 2" xfId="5414"/>
    <cellStyle name="Percent 2 9 5 3" xfId="5415"/>
    <cellStyle name="Percent 2 9 5 2" xfId="5416"/>
    <cellStyle name="Percent 2 9 6 3" xfId="5417"/>
    <cellStyle name="Percent 2 9 6 2" xfId="5418"/>
    <cellStyle name="Percent 2 9 7 3" xfId="5419"/>
    <cellStyle name="Percent 2 9 7 2" xfId="5420"/>
    <cellStyle name="Percent 2 9 8 3" xfId="5421"/>
    <cellStyle name="Percent 2 9 8 2" xfId="5422"/>
    <cellStyle name="Percent 2 9 9" xfId="5423"/>
    <cellStyle name="Percent 20 10" xfId="5424"/>
    <cellStyle name="Percent 20 2 4" xfId="5425"/>
    <cellStyle name="Percent 20 2 2" xfId="5426"/>
    <cellStyle name="Percent 20 2 2 2" xfId="5427"/>
    <cellStyle name="Percent 20 2 3" xfId="5428"/>
    <cellStyle name="Percent 20 3 3" xfId="5429"/>
    <cellStyle name="Percent 20 3 2" xfId="5430"/>
    <cellStyle name="Percent 20 4 3" xfId="5431"/>
    <cellStyle name="Percent 20 4 2" xfId="5432"/>
    <cellStyle name="Percent 20 5 3" xfId="5433"/>
    <cellStyle name="Percent 20 5 2" xfId="5434"/>
    <cellStyle name="Percent 20 6 3" xfId="5435"/>
    <cellStyle name="Percent 20 6 2" xfId="5436"/>
    <cellStyle name="Percent 20 7 5" xfId="5437"/>
    <cellStyle name="Percent 20 7 2 3" xfId="5438"/>
    <cellStyle name="Percent 20 7 2 2" xfId="5439"/>
    <cellStyle name="Percent 20 7 3 3" xfId="5440"/>
    <cellStyle name="Percent 20 7 3 2" xfId="5441"/>
    <cellStyle name="Percent 20 7 4" xfId="5442"/>
    <cellStyle name="Percent 20 8" xfId="5443"/>
    <cellStyle name="Percent 20 8 2" xfId="5444"/>
    <cellStyle name="Percent 20 9" xfId="5445"/>
    <cellStyle name="Percent 21 9" xfId="5446"/>
    <cellStyle name="Percent 21 2 3" xfId="5447"/>
    <cellStyle name="Percent 21 2 2" xfId="5448"/>
    <cellStyle name="Percent 21 3 3" xfId="5449"/>
    <cellStyle name="Percent 21 3 2" xfId="5450"/>
    <cellStyle name="Percent 21 4 3" xfId="5451"/>
    <cellStyle name="Percent 21 4 2" xfId="5452"/>
    <cellStyle name="Percent 21 5 3" xfId="5453"/>
    <cellStyle name="Percent 21 5 2" xfId="5454"/>
    <cellStyle name="Percent 21 6 3" xfId="5455"/>
    <cellStyle name="Percent 21 6 2" xfId="5456"/>
    <cellStyle name="Percent 21 7 5" xfId="5457"/>
    <cellStyle name="Percent 21 7 2 3" xfId="5458"/>
    <cellStyle name="Percent 21 7 2 2" xfId="5459"/>
    <cellStyle name="Percent 21 7 3 3" xfId="5460"/>
    <cellStyle name="Percent 21 7 3 2" xfId="5461"/>
    <cellStyle name="Percent 21 7 4" xfId="5462"/>
    <cellStyle name="Percent 21 8" xfId="5463"/>
    <cellStyle name="Percent 22 9" xfId="5464"/>
    <cellStyle name="Percent 22 2 3" xfId="5465"/>
    <cellStyle name="Percent 22 2 2" xfId="5466"/>
    <cellStyle name="Percent 22 3 3" xfId="5467"/>
    <cellStyle name="Percent 22 3 2" xfId="5468"/>
    <cellStyle name="Percent 22 4 3" xfId="5469"/>
    <cellStyle name="Percent 22 4 2" xfId="5470"/>
    <cellStyle name="Percent 22 5 3" xfId="5471"/>
    <cellStyle name="Percent 22 5 2" xfId="5472"/>
    <cellStyle name="Percent 22 6 3" xfId="5473"/>
    <cellStyle name="Percent 22 6 2" xfId="5474"/>
    <cellStyle name="Percent 22 7 5" xfId="5475"/>
    <cellStyle name="Percent 22 7 2 3" xfId="5476"/>
    <cellStyle name="Percent 22 7 2 2" xfId="5477"/>
    <cellStyle name="Percent 22 7 3 3" xfId="5478"/>
    <cellStyle name="Percent 22 7 3 2" xfId="5479"/>
    <cellStyle name="Percent 22 7 4" xfId="5480"/>
    <cellStyle name="Percent 22 8" xfId="5481"/>
    <cellStyle name="Percent 23 9" xfId="5482"/>
    <cellStyle name="Percent 23 2 3" xfId="5483"/>
    <cellStyle name="Percent 23 2 2" xfId="5484"/>
    <cellStyle name="Percent 23 3 3" xfId="5485"/>
    <cellStyle name="Percent 23 3 2" xfId="5486"/>
    <cellStyle name="Percent 23 4 3" xfId="5487"/>
    <cellStyle name="Percent 23 4 2" xfId="5488"/>
    <cellStyle name="Percent 23 5 3" xfId="5489"/>
    <cellStyle name="Percent 23 5 2" xfId="5490"/>
    <cellStyle name="Percent 23 6 3" xfId="5491"/>
    <cellStyle name="Percent 23 6 2" xfId="5492"/>
    <cellStyle name="Percent 23 7 5" xfId="5493"/>
    <cellStyle name="Percent 23 7 2 3" xfId="5494"/>
    <cellStyle name="Percent 23 7 2 2" xfId="5495"/>
    <cellStyle name="Percent 23 7 3 3" xfId="5496"/>
    <cellStyle name="Percent 23 7 3 2" xfId="5497"/>
    <cellStyle name="Percent 23 7 4" xfId="5498"/>
    <cellStyle name="Percent 23 8" xfId="5499"/>
    <cellStyle name="Percent 24 2 3" xfId="5500"/>
    <cellStyle name="Percent 24 2 2" xfId="5501"/>
    <cellStyle name="Percent 24 3 3" xfId="5502"/>
    <cellStyle name="Percent 24 3 2" xfId="5503"/>
    <cellStyle name="Percent 24 4 3" xfId="5504"/>
    <cellStyle name="Percent 24 4 2" xfId="5505"/>
    <cellStyle name="Percent 24 5 3" xfId="5506"/>
    <cellStyle name="Percent 24 5 2" xfId="5507"/>
    <cellStyle name="Percent 24 6 3" xfId="5508"/>
    <cellStyle name="Percent 24 6 2" xfId="5509"/>
    <cellStyle name="Percent 24 7 5" xfId="5510"/>
    <cellStyle name="Percent 24 7 2 3" xfId="5511"/>
    <cellStyle name="Percent 24 7 2 2" xfId="5512"/>
    <cellStyle name="Percent 24 7 3 3" xfId="5513"/>
    <cellStyle name="Percent 24 7 3 2" xfId="5514"/>
    <cellStyle name="Percent 24 7 4" xfId="5515"/>
    <cellStyle name="Percent 25 9" xfId="5516"/>
    <cellStyle name="Percent 25 2 3" xfId="5517"/>
    <cellStyle name="Percent 25 2 2" xfId="5518"/>
    <cellStyle name="Percent 25 3 3" xfId="5519"/>
    <cellStyle name="Percent 25 3 2" xfId="5520"/>
    <cellStyle name="Percent 25 4 3" xfId="5521"/>
    <cellStyle name="Percent 25 4 2" xfId="5522"/>
    <cellStyle name="Percent 25 5 3" xfId="5523"/>
    <cellStyle name="Percent 25 5 2" xfId="5524"/>
    <cellStyle name="Percent 25 6 3" xfId="5525"/>
    <cellStyle name="Percent 25 6 2" xfId="5526"/>
    <cellStyle name="Percent 25 7 5" xfId="5527"/>
    <cellStyle name="Percent 25 7 2 3" xfId="5528"/>
    <cellStyle name="Percent 25 7 2 2" xfId="5529"/>
    <cellStyle name="Percent 25 7 3 3" xfId="5530"/>
    <cellStyle name="Percent 25 7 3 2" xfId="5531"/>
    <cellStyle name="Percent 25 7 4" xfId="5532"/>
    <cellStyle name="Percent 25 8" xfId="5533"/>
    <cellStyle name="Percent 26 9" xfId="5534"/>
    <cellStyle name="Percent 26 2 3" xfId="5535"/>
    <cellStyle name="Percent 26 2 2" xfId="5536"/>
    <cellStyle name="Percent 26 3 3" xfId="5537"/>
    <cellStyle name="Percent 26 3 2" xfId="5538"/>
    <cellStyle name="Percent 26 4 3" xfId="5539"/>
    <cellStyle name="Percent 26 4 2" xfId="5540"/>
    <cellStyle name="Percent 26 5 3" xfId="5541"/>
    <cellStyle name="Percent 26 5 2" xfId="5542"/>
    <cellStyle name="Percent 26 6 3" xfId="5543"/>
    <cellStyle name="Percent 26 6 2" xfId="5544"/>
    <cellStyle name="Percent 26 7 5" xfId="5545"/>
    <cellStyle name="Percent 26 7 2 3" xfId="5546"/>
    <cellStyle name="Percent 26 7 2 2" xfId="5547"/>
    <cellStyle name="Percent 26 7 3 3" xfId="5548"/>
    <cellStyle name="Percent 26 7 3 2" xfId="5549"/>
    <cellStyle name="Percent 26 7 4" xfId="5550"/>
    <cellStyle name="Percent 26 8" xfId="5551"/>
    <cellStyle name="Percent 27 3" xfId="5552"/>
    <cellStyle name="Percent 27 2" xfId="5553"/>
    <cellStyle name="Percent 3 31" xfId="5554"/>
    <cellStyle name="Percent 3 10 17" xfId="5555"/>
    <cellStyle name="Percent 3 10 10 3" xfId="5556"/>
    <cellStyle name="Percent 3 10 10 2" xfId="5557"/>
    <cellStyle name="Percent 3 10 11 3" xfId="5558"/>
    <cellStyle name="Percent 3 10 11 2" xfId="5559"/>
    <cellStyle name="Percent 3 10 12 3" xfId="5560"/>
    <cellStyle name="Percent 3 10 12 2" xfId="5561"/>
    <cellStyle name="Percent 3 10 13 3" xfId="5562"/>
    <cellStyle name="Percent 3 10 13 2" xfId="5563"/>
    <cellStyle name="Percent 3 10 14 3" xfId="5564"/>
    <cellStyle name="Percent 3 10 14 2" xfId="5565"/>
    <cellStyle name="Percent 3 10 15 3" xfId="5566"/>
    <cellStyle name="Percent 3 10 15 2" xfId="5567"/>
    <cellStyle name="Percent 3 10 16" xfId="5568"/>
    <cellStyle name="Percent 3 10 2 3" xfId="5569"/>
    <cellStyle name="Percent 3 10 2 2" xfId="5570"/>
    <cellStyle name="Percent 3 10 3 4" xfId="5571"/>
    <cellStyle name="Percent 3 10 3 2" xfId="5572"/>
    <cellStyle name="Percent 3 10 3 3" xfId="5573"/>
    <cellStyle name="Percent 3 10 4 4" xfId="5574"/>
    <cellStyle name="Percent 3 10 4 2" xfId="5575"/>
    <cellStyle name="Percent 3 10 4 3" xfId="5576"/>
    <cellStyle name="Percent 3 10 5 4" xfId="5577"/>
    <cellStyle name="Percent 3 10 5 2" xfId="5578"/>
    <cellStyle name="Percent 3 10 5 3" xfId="5579"/>
    <cellStyle name="Percent 3 10 6 4" xfId="5580"/>
    <cellStyle name="Percent 3 10 6 2" xfId="5581"/>
    <cellStyle name="Percent 3 10 6 3" xfId="5582"/>
    <cellStyle name="Percent 3 10 7 4" xfId="5583"/>
    <cellStyle name="Percent 3 10 7 2" xfId="5584"/>
    <cellStyle name="Percent 3 10 7 3" xfId="5585"/>
    <cellStyle name="Percent 3 10 8 4" xfId="5586"/>
    <cellStyle name="Percent 3 10 8 2" xfId="5587"/>
    <cellStyle name="Percent 3 10 8 3" xfId="5588"/>
    <cellStyle name="Percent 3 10 9 4" xfId="5589"/>
    <cellStyle name="Percent 3 10 9 2" xfId="5590"/>
    <cellStyle name="Percent 3 10 9 3" xfId="5591"/>
    <cellStyle name="Percent 3 11 4" xfId="5592"/>
    <cellStyle name="Percent 3 11 2" xfId="5593"/>
    <cellStyle name="Percent 3 11 3" xfId="5594"/>
    <cellStyle name="Percent 3 12 4" xfId="5595"/>
    <cellStyle name="Percent 3 12 2" xfId="5596"/>
    <cellStyle name="Percent 3 12 3" xfId="5597"/>
    <cellStyle name="Percent 3 13 4" xfId="5598"/>
    <cellStyle name="Percent 3 13 2" xfId="5599"/>
    <cellStyle name="Percent 3 13 3" xfId="5600"/>
    <cellStyle name="Percent 3 14 4" xfId="5601"/>
    <cellStyle name="Percent 3 14 2" xfId="5602"/>
    <cellStyle name="Percent 3 14 3" xfId="5603"/>
    <cellStyle name="Percent 3 15 4" xfId="5604"/>
    <cellStyle name="Percent 3 15 2" xfId="5605"/>
    <cellStyle name="Percent 3 15 3" xfId="5606"/>
    <cellStyle name="Percent 3 16 4" xfId="5607"/>
    <cellStyle name="Percent 3 16 2" xfId="5608"/>
    <cellStyle name="Percent 3 16 3" xfId="5609"/>
    <cellStyle name="Percent 3 17 4" xfId="5610"/>
    <cellStyle name="Percent 3 17 2" xfId="5611"/>
    <cellStyle name="Percent 3 17 3" xfId="5612"/>
    <cellStyle name="Percent 3 18 4" xfId="5613"/>
    <cellStyle name="Percent 3 18 2" xfId="5614"/>
    <cellStyle name="Percent 3 18 3" xfId="5615"/>
    <cellStyle name="Percent 3 19 5" xfId="5616"/>
    <cellStyle name="Percent 3 19 2" xfId="5617"/>
    <cellStyle name="Percent 3 19 2 2" xfId="5618"/>
    <cellStyle name="Percent 3 19 3" xfId="5619"/>
    <cellStyle name="Percent 3 19 4" xfId="5620"/>
    <cellStyle name="Percent 3 2 20" xfId="5621"/>
    <cellStyle name="Percent 3 2 10 6" xfId="5622"/>
    <cellStyle name="Percent 3 2 10 2" xfId="5623"/>
    <cellStyle name="Percent 3 2 10 2 2" xfId="5624"/>
    <cellStyle name="Percent 3 2 10 3" xfId="5625"/>
    <cellStyle name="Percent 3 2 10 3 2" xfId="5626"/>
    <cellStyle name="Percent 3 2 10 4" xfId="5627"/>
    <cellStyle name="Percent 3 2 10 5" xfId="5628"/>
    <cellStyle name="Percent 3 2 11 6" xfId="5629"/>
    <cellStyle name="Percent 3 2 11 2" xfId="5630"/>
    <cellStyle name="Percent 3 2 11 2 2" xfId="5631"/>
    <cellStyle name="Percent 3 2 11 3" xfId="5632"/>
    <cellStyle name="Percent 3 2 11 3 2" xfId="5633"/>
    <cellStyle name="Percent 3 2 11 4" xfId="5634"/>
    <cellStyle name="Percent 3 2 11 5" xfId="5635"/>
    <cellStyle name="Percent 3 2 12 6" xfId="5636"/>
    <cellStyle name="Percent 3 2 12 2" xfId="5637"/>
    <cellStyle name="Percent 3 2 12 2 2" xfId="5638"/>
    <cellStyle name="Percent 3 2 12 3" xfId="5639"/>
    <cellStyle name="Percent 3 2 12 3 2" xfId="5640"/>
    <cellStyle name="Percent 3 2 12 4" xfId="5641"/>
    <cellStyle name="Percent 3 2 12 5" xfId="5642"/>
    <cellStyle name="Percent 3 2 13 6" xfId="5643"/>
    <cellStyle name="Percent 3 2 13 2" xfId="5644"/>
    <cellStyle name="Percent 3 2 13 2 2" xfId="5645"/>
    <cellStyle name="Percent 3 2 13 3" xfId="5646"/>
    <cellStyle name="Percent 3 2 13 3 2" xfId="5647"/>
    <cellStyle name="Percent 3 2 13 4" xfId="5648"/>
    <cellStyle name="Percent 3 2 13 5" xfId="5649"/>
    <cellStyle name="Percent 3 2 14 6" xfId="5650"/>
    <cellStyle name="Percent 3 2 14 2" xfId="5651"/>
    <cellStyle name="Percent 3 2 14 2 2" xfId="5652"/>
    <cellStyle name="Percent 3 2 14 3" xfId="5653"/>
    <cellStyle name="Percent 3 2 14 3 2" xfId="5654"/>
    <cellStyle name="Percent 3 2 14 4" xfId="5655"/>
    <cellStyle name="Percent 3 2 14 5" xfId="5656"/>
    <cellStyle name="Percent 3 2 15 6" xfId="5657"/>
    <cellStyle name="Percent 3 2 15 2" xfId="5658"/>
    <cellStyle name="Percent 3 2 15 2 2" xfId="5659"/>
    <cellStyle name="Percent 3 2 15 3" xfId="5660"/>
    <cellStyle name="Percent 3 2 15 3 2" xfId="5661"/>
    <cellStyle name="Percent 3 2 15 4" xfId="5662"/>
    <cellStyle name="Percent 3 2 15 5" xfId="5663"/>
    <cellStyle name="Percent 3 2 16 6" xfId="5664"/>
    <cellStyle name="Percent 3 2 16 2" xfId="5665"/>
    <cellStyle name="Percent 3 2 16 2 2" xfId="5666"/>
    <cellStyle name="Percent 3 2 16 3" xfId="5667"/>
    <cellStyle name="Percent 3 2 16 3 2" xfId="5668"/>
    <cellStyle name="Percent 3 2 16 4" xfId="5669"/>
    <cellStyle name="Percent 3 2 16 5" xfId="5670"/>
    <cellStyle name="Percent 3 2 17 3" xfId="5671"/>
    <cellStyle name="Percent 3 2 17 2" xfId="5672"/>
    <cellStyle name="Percent 3 2 18" xfId="5673"/>
    <cellStyle name="Percent 3 2 19" xfId="5674"/>
    <cellStyle name="Percent 3 2 2 7" xfId="5675"/>
    <cellStyle name="Percent 3 2 2 2 6" xfId="5676"/>
    <cellStyle name="Percent 3 2 2 2 2 3" xfId="5677"/>
    <cellStyle name="Percent 3 2 2 2 2 2" xfId="5678"/>
    <cellStyle name="Percent 3 2 2 2 3" xfId="5679"/>
    <cellStyle name="Percent 3 2 2 2 3 2" xfId="5680"/>
    <cellStyle name="Percent 3 2 2 2 4" xfId="5681"/>
    <cellStyle name="Percent 3 2 2 2 5" xfId="5682"/>
    <cellStyle name="Percent 3 2 2 3 3" xfId="5683"/>
    <cellStyle name="Percent 3 2 2 3 2" xfId="5684"/>
    <cellStyle name="Percent 3 2 2 4" xfId="5685"/>
    <cellStyle name="Percent 3 2 2 4 2" xfId="5686"/>
    <cellStyle name="Percent 3 2 2 5" xfId="5687"/>
    <cellStyle name="Percent 3 2 2 6" xfId="5688"/>
    <cellStyle name="Percent 3 2 3 6" xfId="5689"/>
    <cellStyle name="Percent 3 2 3 2 4" xfId="5690"/>
    <cellStyle name="Percent 3 2 3 2 2" xfId="5691"/>
    <cellStyle name="Percent 3 2 3 2 3" xfId="5692"/>
    <cellStyle name="Percent 3 2 3 3" xfId="5693"/>
    <cellStyle name="Percent 3 2 3 3 2" xfId="5694"/>
    <cellStyle name="Percent 3 2 3 4" xfId="5695"/>
    <cellStyle name="Percent 3 2 3 5" xfId="5696"/>
    <cellStyle name="Percent 3 2 4 6" xfId="5697"/>
    <cellStyle name="Percent 3 2 4 2" xfId="5698"/>
    <cellStyle name="Percent 3 2 4 2 2" xfId="5699"/>
    <cellStyle name="Percent 3 2 4 3" xfId="5700"/>
    <cellStyle name="Percent 3 2 4 3 2" xfId="5701"/>
    <cellStyle name="Percent 3 2 4 4" xfId="5702"/>
    <cellStyle name="Percent 3 2 4 5" xfId="5703"/>
    <cellStyle name="Percent 3 2 5 6" xfId="5704"/>
    <cellStyle name="Percent 3 2 5 2" xfId="5705"/>
    <cellStyle name="Percent 3 2 5 2 2" xfId="5706"/>
    <cellStyle name="Percent 3 2 5 3" xfId="5707"/>
    <cellStyle name="Percent 3 2 5 3 2" xfId="5708"/>
    <cellStyle name="Percent 3 2 5 4" xfId="5709"/>
    <cellStyle name="Percent 3 2 5 5" xfId="5710"/>
    <cellStyle name="Percent 3 2 6 6" xfId="5711"/>
    <cellStyle name="Percent 3 2 6 2" xfId="5712"/>
    <cellStyle name="Percent 3 2 6 2 2" xfId="5713"/>
    <cellStyle name="Percent 3 2 6 3" xfId="5714"/>
    <cellStyle name="Percent 3 2 6 3 2" xfId="5715"/>
    <cellStyle name="Percent 3 2 6 4" xfId="5716"/>
    <cellStyle name="Percent 3 2 6 5" xfId="5717"/>
    <cellStyle name="Percent 3 2 7 6" xfId="5718"/>
    <cellStyle name="Percent 3 2 7 2" xfId="5719"/>
    <cellStyle name="Percent 3 2 7 2 2" xfId="5720"/>
    <cellStyle name="Percent 3 2 7 3" xfId="5721"/>
    <cellStyle name="Percent 3 2 7 3 2" xfId="5722"/>
    <cellStyle name="Percent 3 2 7 4" xfId="5723"/>
    <cellStyle name="Percent 3 2 7 5" xfId="5724"/>
    <cellStyle name="Percent 3 2 8 6" xfId="5725"/>
    <cellStyle name="Percent 3 2 8 2" xfId="5726"/>
    <cellStyle name="Percent 3 2 8 2 2" xfId="5727"/>
    <cellStyle name="Percent 3 2 8 3" xfId="5728"/>
    <cellStyle name="Percent 3 2 8 3 2" xfId="5729"/>
    <cellStyle name="Percent 3 2 8 4" xfId="5730"/>
    <cellStyle name="Percent 3 2 8 5" xfId="5731"/>
    <cellStyle name="Percent 3 2 9 6" xfId="5732"/>
    <cellStyle name="Percent 3 2 9 2" xfId="5733"/>
    <cellStyle name="Percent 3 2 9 2 2" xfId="5734"/>
    <cellStyle name="Percent 3 2 9 3" xfId="5735"/>
    <cellStyle name="Percent 3 2 9 3 2" xfId="5736"/>
    <cellStyle name="Percent 3 2 9 4" xfId="5737"/>
    <cellStyle name="Percent 3 2 9 5" xfId="5738"/>
    <cellStyle name="Percent 3 20 6" xfId="5739"/>
    <cellStyle name="Percent 3 20 2" xfId="5740"/>
    <cellStyle name="Percent 3 20 2 2" xfId="5741"/>
    <cellStyle name="Percent 3 20 3" xfId="5742"/>
    <cellStyle name="Percent 3 20 3 2" xfId="5743"/>
    <cellStyle name="Percent 3 20 4" xfId="5744"/>
    <cellStyle name="Percent 3 20 5" xfId="5745"/>
    <cellStyle name="Percent 3 21 6" xfId="5746"/>
    <cellStyle name="Percent 3 21 2" xfId="5747"/>
    <cellStyle name="Percent 3 21 2 2" xfId="5748"/>
    <cellStyle name="Percent 3 21 3" xfId="5749"/>
    <cellStyle name="Percent 3 21 3 2" xfId="5750"/>
    <cellStyle name="Percent 3 21 4" xfId="5751"/>
    <cellStyle name="Percent 3 21 5" xfId="5752"/>
    <cellStyle name="Percent 3 22 6" xfId="5753"/>
    <cellStyle name="Percent 3 22 2" xfId="5754"/>
    <cellStyle name="Percent 3 22 2 2" xfId="5755"/>
    <cellStyle name="Percent 3 22 3" xfId="5756"/>
    <cellStyle name="Percent 3 22 3 2" xfId="5757"/>
    <cellStyle name="Percent 3 22 4" xfId="5758"/>
    <cellStyle name="Percent 3 22 5" xfId="5759"/>
    <cellStyle name="Percent 3 23 6" xfId="5760"/>
    <cellStyle name="Percent 3 23 2" xfId="5761"/>
    <cellStyle name="Percent 3 23 2 2" xfId="5762"/>
    <cellStyle name="Percent 3 23 3" xfId="5763"/>
    <cellStyle name="Percent 3 23 3 2" xfId="5764"/>
    <cellStyle name="Percent 3 23 4" xfId="5765"/>
    <cellStyle name="Percent 3 23 5" xfId="5766"/>
    <cellStyle name="Percent 3 24 6" xfId="5767"/>
    <cellStyle name="Percent 3 24 2" xfId="5768"/>
    <cellStyle name="Percent 3 24 2 2" xfId="5769"/>
    <cellStyle name="Percent 3 24 3" xfId="5770"/>
    <cellStyle name="Percent 3 24 3 2" xfId="5771"/>
    <cellStyle name="Percent 3 24 4" xfId="5772"/>
    <cellStyle name="Percent 3 24 5" xfId="5773"/>
    <cellStyle name="Percent 3 25 6" xfId="5774"/>
    <cellStyle name="Percent 3 25 2" xfId="5775"/>
    <cellStyle name="Percent 3 25 2 2" xfId="5776"/>
    <cellStyle name="Percent 3 25 3" xfId="5777"/>
    <cellStyle name="Percent 3 25 3 2" xfId="5778"/>
    <cellStyle name="Percent 3 25 4" xfId="5779"/>
    <cellStyle name="Percent 3 25 5" xfId="5780"/>
    <cellStyle name="Percent 3 26 6" xfId="5781"/>
    <cellStyle name="Percent 3 26 2" xfId="5782"/>
    <cellStyle name="Percent 3 26 2 2" xfId="5783"/>
    <cellStyle name="Percent 3 26 3" xfId="5784"/>
    <cellStyle name="Percent 3 26 3 2" xfId="5785"/>
    <cellStyle name="Percent 3 26 4" xfId="5786"/>
    <cellStyle name="Percent 3 26 5" xfId="5787"/>
    <cellStyle name="Percent 3 27 6" xfId="5788"/>
    <cellStyle name="Percent 3 27 2" xfId="5789"/>
    <cellStyle name="Percent 3 27 2 2" xfId="5790"/>
    <cellStyle name="Percent 3 27 3" xfId="5791"/>
    <cellStyle name="Percent 3 27 3 2" xfId="5792"/>
    <cellStyle name="Percent 3 27 4" xfId="5793"/>
    <cellStyle name="Percent 3 27 5" xfId="5794"/>
    <cellStyle name="Percent 3 28 6" xfId="5795"/>
    <cellStyle name="Percent 3 28 2" xfId="5796"/>
    <cellStyle name="Percent 3 28 2 2" xfId="5797"/>
    <cellStyle name="Percent 3 28 3" xfId="5798"/>
    <cellStyle name="Percent 3 28 3 2" xfId="5799"/>
    <cellStyle name="Percent 3 28 4" xfId="5800"/>
    <cellStyle name="Percent 3 28 5" xfId="5801"/>
    <cellStyle name="Percent 3 29 2" xfId="5802"/>
    <cellStyle name="Percent 3 3 20" xfId="5803"/>
    <cellStyle name="Percent 3 3 10 6" xfId="5804"/>
    <cellStyle name="Percent 3 3 10 2" xfId="5805"/>
    <cellStyle name="Percent 3 3 10 2 2" xfId="5806"/>
    <cellStyle name="Percent 3 3 10 3" xfId="5807"/>
    <cellStyle name="Percent 3 3 10 3 2" xfId="5808"/>
    <cellStyle name="Percent 3 3 10 4" xfId="5809"/>
    <cellStyle name="Percent 3 3 10 5" xfId="5810"/>
    <cellStyle name="Percent 3 3 11 6" xfId="5811"/>
    <cellStyle name="Percent 3 3 11 2" xfId="5812"/>
    <cellStyle name="Percent 3 3 11 2 2" xfId="5813"/>
    <cellStyle name="Percent 3 3 11 3" xfId="5814"/>
    <cellStyle name="Percent 3 3 11 3 2" xfId="5815"/>
    <cellStyle name="Percent 3 3 11 4" xfId="5816"/>
    <cellStyle name="Percent 3 3 11 5" xfId="5817"/>
    <cellStyle name="Percent 3 3 12 6" xfId="5818"/>
    <cellStyle name="Percent 3 3 12 2" xfId="5819"/>
    <cellStyle name="Percent 3 3 12 2 2" xfId="5820"/>
    <cellStyle name="Percent 3 3 12 3" xfId="5821"/>
    <cellStyle name="Percent 3 3 12 3 2" xfId="5822"/>
    <cellStyle name="Percent 3 3 12 4" xfId="5823"/>
    <cellStyle name="Percent 3 3 12 5" xfId="5824"/>
    <cellStyle name="Percent 3 3 13 6" xfId="5825"/>
    <cellStyle name="Percent 3 3 13 2" xfId="5826"/>
    <cellStyle name="Percent 3 3 13 2 2" xfId="5827"/>
    <cellStyle name="Percent 3 3 13 3" xfId="5828"/>
    <cellStyle name="Percent 3 3 13 3 2" xfId="5829"/>
    <cellStyle name="Percent 3 3 13 4" xfId="5830"/>
    <cellStyle name="Percent 3 3 13 5" xfId="5831"/>
    <cellStyle name="Percent 3 3 14 6" xfId="5832"/>
    <cellStyle name="Percent 3 3 14 2" xfId="5833"/>
    <cellStyle name="Percent 3 3 14 2 2" xfId="5834"/>
    <cellStyle name="Percent 3 3 14 3" xfId="5835"/>
    <cellStyle name="Percent 3 3 14 3 2" xfId="5836"/>
    <cellStyle name="Percent 3 3 14 4" xfId="5837"/>
    <cellStyle name="Percent 3 3 14 5" xfId="5838"/>
    <cellStyle name="Percent 3 3 15 6" xfId="5839"/>
    <cellStyle name="Percent 3 3 15 2" xfId="5840"/>
    <cellStyle name="Percent 3 3 15 2 2" xfId="5841"/>
    <cellStyle name="Percent 3 3 15 3" xfId="5842"/>
    <cellStyle name="Percent 3 3 15 3 2" xfId="5843"/>
    <cellStyle name="Percent 3 3 15 4" xfId="5844"/>
    <cellStyle name="Percent 3 3 15 5" xfId="5845"/>
    <cellStyle name="Percent 3 3 16" xfId="5846"/>
    <cellStyle name="Percent 3 3 16 2" xfId="5847"/>
    <cellStyle name="Percent 3 3 17" xfId="5848"/>
    <cellStyle name="Percent 3 3 17 2" xfId="5849"/>
    <cellStyle name="Percent 3 3 18" xfId="5850"/>
    <cellStyle name="Percent 3 3 19" xfId="5851"/>
    <cellStyle name="Percent 3 3 2 6" xfId="5852"/>
    <cellStyle name="Percent 3 3 2 2" xfId="5853"/>
    <cellStyle name="Percent 3 3 2 2 2" xfId="5854"/>
    <cellStyle name="Percent 3 3 2 3" xfId="5855"/>
    <cellStyle name="Percent 3 3 2 3 2" xfId="5856"/>
    <cellStyle name="Percent 3 3 2 4" xfId="5857"/>
    <cellStyle name="Percent 3 3 2 5" xfId="5858"/>
    <cellStyle name="Percent 3 3 3 6" xfId="5859"/>
    <cellStyle name="Percent 3 3 3 2 4" xfId="5860"/>
    <cellStyle name="Percent 3 3 3 2 2" xfId="5861"/>
    <cellStyle name="Percent 3 3 3 2 3" xfId="5862"/>
    <cellStyle name="Percent 3 3 3 3 7" xfId="5863"/>
    <cellStyle name="Percent 3 3 3 3 2 2" xfId="5864"/>
    <cellStyle name="Percent 3 3 3 3 3 2" xfId="5865"/>
    <cellStyle name="Percent 3 3 3 3 4 3" xfId="5866"/>
    <cellStyle name="Percent 3 3 3 3 5" xfId="5867"/>
    <cellStyle name="Percent 3 3 3 3 6" xfId="5868"/>
    <cellStyle name="Percent 3 3 3 4" xfId="5869"/>
    <cellStyle name="Percent 3 3 3 5" xfId="5870"/>
    <cellStyle name="Percent 3 3 4 6" xfId="5871"/>
    <cellStyle name="Percent 3 3 4 2 4" xfId="5872"/>
    <cellStyle name="Percent 3 3 4 2 2" xfId="5873"/>
    <cellStyle name="Percent 3 3 4 2 3" xfId="5874"/>
    <cellStyle name="Percent 3 3 4 3" xfId="5875"/>
    <cellStyle name="Percent 3 3 4 3 2" xfId="5876"/>
    <cellStyle name="Percent 3 3 4 4" xfId="5877"/>
    <cellStyle name="Percent 3 3 4 5" xfId="5878"/>
    <cellStyle name="Percent 3 3 5 8" xfId="5879"/>
    <cellStyle name="Percent 3 3 5 2" xfId="5880"/>
    <cellStyle name="Percent 3 3 5 2 2" xfId="5881"/>
    <cellStyle name="Percent 3 3 5 2 2 2" xfId="5882"/>
    <cellStyle name="Percent 3 3 5 2 3" xfId="5883"/>
    <cellStyle name="Percent 3 3 5 2 3 2" xfId="5884"/>
    <cellStyle name="Percent 3 3 5 2 4" xfId="5885"/>
    <cellStyle name="Percent 3 3 5 3" xfId="5886"/>
    <cellStyle name="Percent 3 3 5 3 2" xfId="5887"/>
    <cellStyle name="Percent 3 3 5 3 2 2" xfId="5888"/>
    <cellStyle name="Percent 3 3 5 3 3" xfId="5889"/>
    <cellStyle name="Percent 3 3 5 3 3 2" xfId="5890"/>
    <cellStyle name="Percent 3 3 5 3 4" xfId="5891"/>
    <cellStyle name="Percent 3 3 5 4" xfId="5892"/>
    <cellStyle name="Percent 3 3 5 4 2" xfId="5893"/>
    <cellStyle name="Percent 3 3 5 5" xfId="5894"/>
    <cellStyle name="Percent 3 3 5 5 2" xfId="5895"/>
    <cellStyle name="Percent 3 3 5 6" xfId="5896"/>
    <cellStyle name="Percent 3 3 5 7" xfId="5897"/>
    <cellStyle name="Percent 3 3 6 8" xfId="5898"/>
    <cellStyle name="Percent 3 3 6 2 5" xfId="5899"/>
    <cellStyle name="Percent 3 3 6 2 2" xfId="5900"/>
    <cellStyle name="Percent 3 3 6 2 2 2" xfId="5901"/>
    <cellStyle name="Percent 3 3 6 2 3" xfId="5902"/>
    <cellStyle name="Percent 3 3 6 2 3 2" xfId="5903"/>
    <cellStyle name="Percent 3 3 6 2 4" xfId="5904"/>
    <cellStyle name="Percent 3 3 6 3" xfId="5905"/>
    <cellStyle name="Percent 3 3 6 3 2" xfId="5906"/>
    <cellStyle name="Percent 3 3 6 3 2 2" xfId="5907"/>
    <cellStyle name="Percent 3 3 6 3 3" xfId="5908"/>
    <cellStyle name="Percent 3 3 6 3 3 2" xfId="5909"/>
    <cellStyle name="Percent 3 3 6 3 4" xfId="5910"/>
    <cellStyle name="Percent 3 3 6 4" xfId="5911"/>
    <cellStyle name="Percent 3 3 6 4 2" xfId="5912"/>
    <cellStyle name="Percent 3 3 6 5" xfId="5913"/>
    <cellStyle name="Percent 3 3 6 5 2" xfId="5914"/>
    <cellStyle name="Percent 3 3 6 6" xfId="5915"/>
    <cellStyle name="Percent 3 3 6 7" xfId="5916"/>
    <cellStyle name="Percent 3 3 7 8" xfId="5917"/>
    <cellStyle name="Percent 3 3 7 2" xfId="5918"/>
    <cellStyle name="Percent 3 3 7 2 2" xfId="5919"/>
    <cellStyle name="Percent 3 3 7 2 2 2" xfId="5920"/>
    <cellStyle name="Percent 3 3 7 2 3" xfId="5921"/>
    <cellStyle name="Percent 3 3 7 2 3 2" xfId="5922"/>
    <cellStyle name="Percent 3 3 7 2 4" xfId="5923"/>
    <cellStyle name="Percent 3 3 7 3" xfId="5924"/>
    <cellStyle name="Percent 3 3 7 3 2" xfId="5925"/>
    <cellStyle name="Percent 3 3 7 3 2 2" xfId="5926"/>
    <cellStyle name="Percent 3 3 7 3 3" xfId="5927"/>
    <cellStyle name="Percent 3 3 7 3 3 2" xfId="5928"/>
    <cellStyle name="Percent 3 3 7 3 4" xfId="5929"/>
    <cellStyle name="Percent 3 3 7 4" xfId="5930"/>
    <cellStyle name="Percent 3 3 7 4 2" xfId="5931"/>
    <cellStyle name="Percent 3 3 7 5" xfId="5932"/>
    <cellStyle name="Percent 3 3 7 5 2" xfId="5933"/>
    <cellStyle name="Percent 3 3 7 6" xfId="5934"/>
    <cellStyle name="Percent 3 3 7 7" xfId="5935"/>
    <cellStyle name="Percent 3 3 8 8" xfId="5936"/>
    <cellStyle name="Percent 3 3 8 2" xfId="5937"/>
    <cellStyle name="Percent 3 3 8 2 2" xfId="5938"/>
    <cellStyle name="Percent 3 3 8 2 2 2" xfId="5939"/>
    <cellStyle name="Percent 3 3 8 2 3" xfId="5940"/>
    <cellStyle name="Percent 3 3 8 2 3 2" xfId="5941"/>
    <cellStyle name="Percent 3 3 8 2 4" xfId="5942"/>
    <cellStyle name="Percent 3 3 8 3" xfId="5943"/>
    <cellStyle name="Percent 3 3 8 3 2" xfId="5944"/>
    <cellStyle name="Percent 3 3 8 3 2 2" xfId="5945"/>
    <cellStyle name="Percent 3 3 8 3 3" xfId="5946"/>
    <cellStyle name="Percent 3 3 8 3 3 2" xfId="5947"/>
    <cellStyle name="Percent 3 3 8 3 4" xfId="5948"/>
    <cellStyle name="Percent 3 3 8 4" xfId="5949"/>
    <cellStyle name="Percent 3 3 8 4 2" xfId="5950"/>
    <cellStyle name="Percent 3 3 8 5" xfId="5951"/>
    <cellStyle name="Percent 3 3 8 5 2" xfId="5952"/>
    <cellStyle name="Percent 3 3 8 6" xfId="5953"/>
    <cellStyle name="Percent 3 3 8 7" xfId="5954"/>
    <cellStyle name="Percent 3 3 9 8" xfId="5955"/>
    <cellStyle name="Percent 3 3 9 2" xfId="5956"/>
    <cellStyle name="Percent 3 3 9 2 2" xfId="5957"/>
    <cellStyle name="Percent 3 3 9 2 2 2" xfId="5958"/>
    <cellStyle name="Percent 3 3 9 2 3" xfId="5959"/>
    <cellStyle name="Percent 3 3 9 2 3 2" xfId="5960"/>
    <cellStyle name="Percent 3 3 9 2 4" xfId="5961"/>
    <cellStyle name="Percent 3 3 9 3" xfId="5962"/>
    <cellStyle name="Percent 3 3 9 3 2" xfId="5963"/>
    <cellStyle name="Percent 3 3 9 3 2 2" xfId="5964"/>
    <cellStyle name="Percent 3 3 9 3 3" xfId="5965"/>
    <cellStyle name="Percent 3 3 9 3 3 2" xfId="5966"/>
    <cellStyle name="Percent 3 3 9 3 4" xfId="5967"/>
    <cellStyle name="Percent 3 3 9 4" xfId="5968"/>
    <cellStyle name="Percent 3 3 9 4 2" xfId="5969"/>
    <cellStyle name="Percent 3 3 9 5" xfId="5970"/>
    <cellStyle name="Percent 3 3 9 5 2" xfId="5971"/>
    <cellStyle name="Percent 3 3 9 6" xfId="5972"/>
    <cellStyle name="Percent 3 3 9 7" xfId="5973"/>
    <cellStyle name="Percent 3 4 22" xfId="5974"/>
    <cellStyle name="Percent 3 4 10 8" xfId="5975"/>
    <cellStyle name="Percent 3 4 10 2" xfId="5976"/>
    <cellStyle name="Percent 3 4 10 2 2" xfId="5977"/>
    <cellStyle name="Percent 3 4 10 2 2 2" xfId="5978"/>
    <cellStyle name="Percent 3 4 10 2 3" xfId="5979"/>
    <cellStyle name="Percent 3 4 10 2 3 2" xfId="5980"/>
    <cellStyle name="Percent 3 4 10 2 4" xfId="5981"/>
    <cellStyle name="Percent 3 4 10 2 5" xfId="5982"/>
    <cellStyle name="Percent 3 4 10 3" xfId="5983"/>
    <cellStyle name="Percent 3 4 10 3 2" xfId="5984"/>
    <cellStyle name="Percent 3 4 10 3 2 2" xfId="5985"/>
    <cellStyle name="Percent 3 4 10 3 3" xfId="5986"/>
    <cellStyle name="Percent 3 4 10 3 3 2" xfId="5987"/>
    <cellStyle name="Percent 3 4 10 3 4" xfId="5988"/>
    <cellStyle name="Percent 3 4 10 4" xfId="5989"/>
    <cellStyle name="Percent 3 4 10 4 2" xfId="5990"/>
    <cellStyle name="Percent 3 4 10 5" xfId="5991"/>
    <cellStyle name="Percent 3 4 10 5 2" xfId="5992"/>
    <cellStyle name="Percent 3 4 10 6" xfId="5993"/>
    <cellStyle name="Percent 3 4 10 7" xfId="5994"/>
    <cellStyle name="Percent 3 4 11 8" xfId="5995"/>
    <cellStyle name="Percent 3 4 11 2" xfId="5996"/>
    <cellStyle name="Percent 3 4 11 2 2" xfId="5997"/>
    <cellStyle name="Percent 3 4 11 2 2 2" xfId="5998"/>
    <cellStyle name="Percent 3 4 11 2 3" xfId="5999"/>
    <cellStyle name="Percent 3 4 11 2 3 2" xfId="6000"/>
    <cellStyle name="Percent 3 4 11 2 4" xfId="6001"/>
    <cellStyle name="Percent 3 4 11 2 5" xfId="6002"/>
    <cellStyle name="Percent 3 4 11 3" xfId="6003"/>
    <cellStyle name="Percent 3 4 11 3 2" xfId="6004"/>
    <cellStyle name="Percent 3 4 11 3 2 2" xfId="6005"/>
    <cellStyle name="Percent 3 4 11 3 3" xfId="6006"/>
    <cellStyle name="Percent 3 4 11 3 3 2" xfId="6007"/>
    <cellStyle name="Percent 3 4 11 3 4" xfId="6008"/>
    <cellStyle name="Percent 3 4 11 4" xfId="6009"/>
    <cellStyle name="Percent 3 4 11 4 2" xfId="6010"/>
    <cellStyle name="Percent 3 4 11 5" xfId="6011"/>
    <cellStyle name="Percent 3 4 11 5 2" xfId="6012"/>
    <cellStyle name="Percent 3 4 11 6" xfId="6013"/>
    <cellStyle name="Percent 3 4 11 7" xfId="6014"/>
    <cellStyle name="Percent 3 4 12 8" xfId="6015"/>
    <cellStyle name="Percent 3 4 12 2" xfId="6016"/>
    <cellStyle name="Percent 3 4 12 2 2" xfId="6017"/>
    <cellStyle name="Percent 3 4 12 2 2 2" xfId="6018"/>
    <cellStyle name="Percent 3 4 12 2 3" xfId="6019"/>
    <cellStyle name="Percent 3 4 12 2 3 2" xfId="6020"/>
    <cellStyle name="Percent 3 4 12 2 4" xfId="6021"/>
    <cellStyle name="Percent 3 4 12 2 5" xfId="6022"/>
    <cellStyle name="Percent 3 4 12 3" xfId="6023"/>
    <cellStyle name="Percent 3 4 12 3 2" xfId="6024"/>
    <cellStyle name="Percent 3 4 12 3 2 2" xfId="6025"/>
    <cellStyle name="Percent 3 4 12 3 3" xfId="6026"/>
    <cellStyle name="Percent 3 4 12 3 3 2" xfId="6027"/>
    <cellStyle name="Percent 3 4 12 3 4" xfId="6028"/>
    <cellStyle name="Percent 3 4 12 4" xfId="6029"/>
    <cellStyle name="Percent 3 4 12 4 2" xfId="6030"/>
    <cellStyle name="Percent 3 4 12 5" xfId="6031"/>
    <cellStyle name="Percent 3 4 12 5 2" xfId="6032"/>
    <cellStyle name="Percent 3 4 12 6" xfId="6033"/>
    <cellStyle name="Percent 3 4 12 7" xfId="6034"/>
    <cellStyle name="Percent 3 4 13 8" xfId="6035"/>
    <cellStyle name="Percent 3 4 13 2" xfId="6036"/>
    <cellStyle name="Percent 3 4 13 2 2" xfId="6037"/>
    <cellStyle name="Percent 3 4 13 2 2 2" xfId="6038"/>
    <cellStyle name="Percent 3 4 13 2 3" xfId="6039"/>
    <cellStyle name="Percent 3 4 13 2 3 2" xfId="6040"/>
    <cellStyle name="Percent 3 4 13 2 4" xfId="6041"/>
    <cellStyle name="Percent 3 4 13 2 5" xfId="6042"/>
    <cellStyle name="Percent 3 4 13 3" xfId="6043"/>
    <cellStyle name="Percent 3 4 13 3 2" xfId="6044"/>
    <cellStyle name="Percent 3 4 13 3 2 2" xfId="6045"/>
    <cellStyle name="Percent 3 4 13 3 3" xfId="6046"/>
    <cellStyle name="Percent 3 4 13 3 3 2" xfId="6047"/>
    <cellStyle name="Percent 3 4 13 3 4" xfId="6048"/>
    <cellStyle name="Percent 3 4 13 4" xfId="6049"/>
    <cellStyle name="Percent 3 4 13 4 2" xfId="6050"/>
    <cellStyle name="Percent 3 4 13 5" xfId="6051"/>
    <cellStyle name="Percent 3 4 13 5 2" xfId="6052"/>
    <cellStyle name="Percent 3 4 13 6" xfId="6053"/>
    <cellStyle name="Percent 3 4 13 7" xfId="6054"/>
    <cellStyle name="Percent 3 4 14 8" xfId="6055"/>
    <cellStyle name="Percent 3 4 14 2" xfId="6056"/>
    <cellStyle name="Percent 3 4 14 2 2" xfId="6057"/>
    <cellStyle name="Percent 3 4 14 2 2 2" xfId="6058"/>
    <cellStyle name="Percent 3 4 14 2 3" xfId="6059"/>
    <cellStyle name="Percent 3 4 14 2 3 2" xfId="6060"/>
    <cellStyle name="Percent 3 4 14 2 4" xfId="6061"/>
    <cellStyle name="Percent 3 4 14 2 5" xfId="6062"/>
    <cellStyle name="Percent 3 4 14 3" xfId="6063"/>
    <cellStyle name="Percent 3 4 14 3 2" xfId="6064"/>
    <cellStyle name="Percent 3 4 14 3 2 2" xfId="6065"/>
    <cellStyle name="Percent 3 4 14 3 3" xfId="6066"/>
    <cellStyle name="Percent 3 4 14 3 3 2" xfId="6067"/>
    <cellStyle name="Percent 3 4 14 3 4" xfId="6068"/>
    <cellStyle name="Percent 3 4 14 4" xfId="6069"/>
    <cellStyle name="Percent 3 4 14 4 2" xfId="6070"/>
    <cellStyle name="Percent 3 4 14 5" xfId="6071"/>
    <cellStyle name="Percent 3 4 14 5 2" xfId="6072"/>
    <cellStyle name="Percent 3 4 14 6" xfId="6073"/>
    <cellStyle name="Percent 3 4 14 7" xfId="6074"/>
    <cellStyle name="Percent 3 4 15 8" xfId="6075"/>
    <cellStyle name="Percent 3 4 15 2" xfId="6076"/>
    <cellStyle name="Percent 3 4 15 2 2" xfId="6077"/>
    <cellStyle name="Percent 3 4 15 2 2 2" xfId="6078"/>
    <cellStyle name="Percent 3 4 15 2 3" xfId="6079"/>
    <cellStyle name="Percent 3 4 15 2 3 2" xfId="6080"/>
    <cellStyle name="Percent 3 4 15 2 4" xfId="6081"/>
    <cellStyle name="Percent 3 4 15 2 5" xfId="6082"/>
    <cellStyle name="Percent 3 4 15 3" xfId="6083"/>
    <cellStyle name="Percent 3 4 15 3 2" xfId="6084"/>
    <cellStyle name="Percent 3 4 15 3 2 2" xfId="6085"/>
    <cellStyle name="Percent 3 4 15 3 3" xfId="6086"/>
    <cellStyle name="Percent 3 4 15 3 3 2" xfId="6087"/>
    <cellStyle name="Percent 3 4 15 3 4" xfId="6088"/>
    <cellStyle name="Percent 3 4 15 4" xfId="6089"/>
    <cellStyle name="Percent 3 4 15 4 2" xfId="6090"/>
    <cellStyle name="Percent 3 4 15 5" xfId="6091"/>
    <cellStyle name="Percent 3 4 15 5 2" xfId="6092"/>
    <cellStyle name="Percent 3 4 15 6" xfId="6093"/>
    <cellStyle name="Percent 3 4 15 7" xfId="6094"/>
    <cellStyle name="Percent 3 4 16" xfId="6095"/>
    <cellStyle name="Percent 3 4 16 2" xfId="6096"/>
    <cellStyle name="Percent 3 4 16 2 2" xfId="6097"/>
    <cellStyle name="Percent 3 4 16 3" xfId="6098"/>
    <cellStyle name="Percent 3 4 16 3 2" xfId="6099"/>
    <cellStyle name="Percent 3 4 16 4" xfId="6100"/>
    <cellStyle name="Percent 3 4 17" xfId="6101"/>
    <cellStyle name="Percent 3 4 17 2" xfId="6102"/>
    <cellStyle name="Percent 3 4 17 2 2" xfId="6103"/>
    <cellStyle name="Percent 3 4 17 3" xfId="6104"/>
    <cellStyle name="Percent 3 4 17 3 2" xfId="6105"/>
    <cellStyle name="Percent 3 4 17 4" xfId="6106"/>
    <cellStyle name="Percent 3 4 18" xfId="6107"/>
    <cellStyle name="Percent 3 4 18 2" xfId="6108"/>
    <cellStyle name="Percent 3 4 19" xfId="6109"/>
    <cellStyle name="Percent 3 4 19 2" xfId="6110"/>
    <cellStyle name="Percent 3 4 2 9" xfId="6111"/>
    <cellStyle name="Percent 3 4 2 2" xfId="6112"/>
    <cellStyle name="Percent 3 4 2 2 2" xfId="6113"/>
    <cellStyle name="Percent 3 4 2 2 2 2" xfId="6114"/>
    <cellStyle name="Percent 3 4 2 2 3" xfId="6115"/>
    <cellStyle name="Percent 3 4 2 2 3 2" xfId="6116"/>
    <cellStyle name="Percent 3 4 2 2 4" xfId="6117"/>
    <cellStyle name="Percent 3 4 2 2 5" xfId="6118"/>
    <cellStyle name="Percent 3 4 2 3" xfId="6119"/>
    <cellStyle name="Percent 3 4 2 3 2" xfId="6120"/>
    <cellStyle name="Percent 3 4 2 3 2 2" xfId="6121"/>
    <cellStyle name="Percent 3 4 2 3 3" xfId="6122"/>
    <cellStyle name="Percent 3 4 2 3 3 2" xfId="6123"/>
    <cellStyle name="Percent 3 4 2 3 4" xfId="6124"/>
    <cellStyle name="Percent 3 4 2 4" xfId="6125"/>
    <cellStyle name="Percent 3 4 2 4 2" xfId="6126"/>
    <cellStyle name="Percent 3 4 2 4 2 2" xfId="6127"/>
    <cellStyle name="Percent 3 4 2 4 3" xfId="6128"/>
    <cellStyle name="Percent 3 4 2 4 3 2" xfId="6129"/>
    <cellStyle name="Percent 3 4 2 4 4" xfId="6130"/>
    <cellStyle name="Percent 3 4 2 5" xfId="6131"/>
    <cellStyle name="Percent 3 4 2 5 2" xfId="6132"/>
    <cellStyle name="Percent 3 4 2 6" xfId="6133"/>
    <cellStyle name="Percent 3 4 2 6 2" xfId="6134"/>
    <cellStyle name="Percent 3 4 2 7" xfId="6135"/>
    <cellStyle name="Percent 3 4 2 8" xfId="6136"/>
    <cellStyle name="Percent 3 4 20" xfId="6137"/>
    <cellStyle name="Percent 3 4 21" xfId="6138"/>
    <cellStyle name="Percent 3 4 3 9" xfId="6139"/>
    <cellStyle name="Percent 3 4 3 2" xfId="6140"/>
    <cellStyle name="Percent 3 4 3 2 2" xfId="6141"/>
    <cellStyle name="Percent 3 4 3 2 2 2" xfId="6142"/>
    <cellStyle name="Percent 3 4 3 2 3" xfId="6143"/>
    <cellStyle name="Percent 3 4 3 2 3 2" xfId="6144"/>
    <cellStyle name="Percent 3 4 3 2 4" xfId="6145"/>
    <cellStyle name="Percent 3 4 3 2 5" xfId="6146"/>
    <cellStyle name="Percent 3 4 3 3" xfId="6147"/>
    <cellStyle name="Percent 3 4 3 3 2" xfId="6148"/>
    <cellStyle name="Percent 3 4 3 3 2 2" xfId="6149"/>
    <cellStyle name="Percent 3 4 3 3 3" xfId="6150"/>
    <cellStyle name="Percent 3 4 3 3 3 2" xfId="6151"/>
    <cellStyle name="Percent 3 4 3 3 4" xfId="6152"/>
    <cellStyle name="Percent 3 4 3 4" xfId="6153"/>
    <cellStyle name="Percent 3 4 3 4 2" xfId="6154"/>
    <cellStyle name="Percent 3 4 3 4 2 2" xfId="6155"/>
    <cellStyle name="Percent 3 4 3 4 3" xfId="6156"/>
    <cellStyle name="Percent 3 4 3 4 3 2" xfId="6157"/>
    <cellStyle name="Percent 3 4 3 4 4" xfId="6158"/>
    <cellStyle name="Percent 3 4 3 5" xfId="6159"/>
    <cellStyle name="Percent 3 4 3 5 2" xfId="6160"/>
    <cellStyle name="Percent 3 4 3 6" xfId="6161"/>
    <cellStyle name="Percent 3 4 3 6 2" xfId="6162"/>
    <cellStyle name="Percent 3 4 3 7" xfId="6163"/>
    <cellStyle name="Percent 3 4 3 8" xfId="6164"/>
    <cellStyle name="Percent 3 4 4 9" xfId="6165"/>
    <cellStyle name="Percent 3 4 4 2 6" xfId="6166"/>
    <cellStyle name="Percent 3 4 4 2 2" xfId="6167"/>
    <cellStyle name="Percent 3 4 4 2 2 2" xfId="6168"/>
    <cellStyle name="Percent 3 4 4 2 3" xfId="6169"/>
    <cellStyle name="Percent 3 4 4 2 3 2" xfId="6170"/>
    <cellStyle name="Percent 3 4 4 2 4" xfId="6171"/>
    <cellStyle name="Percent 3 4 4 2 5" xfId="6172"/>
    <cellStyle name="Percent 3 4 4 3" xfId="6173"/>
    <cellStyle name="Percent 3 4 4 3 2" xfId="6174"/>
    <cellStyle name="Percent 3 4 4 3 2 2" xfId="6175"/>
    <cellStyle name="Percent 3 4 4 3 3" xfId="6176"/>
    <cellStyle name="Percent 3 4 4 3 3 2" xfId="6177"/>
    <cellStyle name="Percent 3 4 4 3 4" xfId="6178"/>
    <cellStyle name="Percent 3 4 4 4" xfId="6179"/>
    <cellStyle name="Percent 3 4 4 4 2" xfId="6180"/>
    <cellStyle name="Percent 3 4 4 4 2 2" xfId="6181"/>
    <cellStyle name="Percent 3 4 4 4 3" xfId="6182"/>
    <cellStyle name="Percent 3 4 4 4 3 2" xfId="6183"/>
    <cellStyle name="Percent 3 4 4 4 4" xfId="6184"/>
    <cellStyle name="Percent 3 4 4 5" xfId="6185"/>
    <cellStyle name="Percent 3 4 4 5 2" xfId="6186"/>
    <cellStyle name="Percent 3 4 4 6" xfId="6187"/>
    <cellStyle name="Percent 3 4 4 6 2" xfId="6188"/>
    <cellStyle name="Percent 3 4 4 7" xfId="6189"/>
    <cellStyle name="Percent 3 4 4 8" xfId="6190"/>
    <cellStyle name="Percent 3 4 5 9" xfId="6191"/>
    <cellStyle name="Percent 3 4 5 2" xfId="6192"/>
    <cellStyle name="Percent 3 4 5 2 2" xfId="6193"/>
    <cellStyle name="Percent 3 4 5 2 2 2" xfId="6194"/>
    <cellStyle name="Percent 3 4 5 2 3" xfId="6195"/>
    <cellStyle name="Percent 3 4 5 2 3 2" xfId="6196"/>
    <cellStyle name="Percent 3 4 5 2 4" xfId="6197"/>
    <cellStyle name="Percent 3 4 5 2 5" xfId="6198"/>
    <cellStyle name="Percent 3 4 5 3" xfId="6199"/>
    <cellStyle name="Percent 3 4 5 3 2" xfId="6200"/>
    <cellStyle name="Percent 3 4 5 3 2 2" xfId="6201"/>
    <cellStyle name="Percent 3 4 5 3 3" xfId="6202"/>
    <cellStyle name="Percent 3 4 5 3 3 2" xfId="6203"/>
    <cellStyle name="Percent 3 4 5 3 4" xfId="6204"/>
    <cellStyle name="Percent 3 4 5 4" xfId="6205"/>
    <cellStyle name="Percent 3 4 5 4 2" xfId="6206"/>
    <cellStyle name="Percent 3 4 5 4 2 2" xfId="6207"/>
    <cellStyle name="Percent 3 4 5 4 3" xfId="6208"/>
    <cellStyle name="Percent 3 4 5 4 3 2" xfId="6209"/>
    <cellStyle name="Percent 3 4 5 4 4" xfId="6210"/>
    <cellStyle name="Percent 3 4 5 5" xfId="6211"/>
    <cellStyle name="Percent 3 4 5 5 2" xfId="6212"/>
    <cellStyle name="Percent 3 4 5 6" xfId="6213"/>
    <cellStyle name="Percent 3 4 5 6 2" xfId="6214"/>
    <cellStyle name="Percent 3 4 5 7" xfId="6215"/>
    <cellStyle name="Percent 3 4 5 8" xfId="6216"/>
    <cellStyle name="Percent 3 4 6 9" xfId="6217"/>
    <cellStyle name="Percent 3 4 6 2" xfId="6218"/>
    <cellStyle name="Percent 3 4 6 2 2" xfId="6219"/>
    <cellStyle name="Percent 3 4 6 2 2 2" xfId="6220"/>
    <cellStyle name="Percent 3 4 6 2 3" xfId="6221"/>
    <cellStyle name="Percent 3 4 6 2 3 2" xfId="6222"/>
    <cellStyle name="Percent 3 4 6 2 4" xfId="6223"/>
    <cellStyle name="Percent 3 4 6 2 5" xfId="6224"/>
    <cellStyle name="Percent 3 4 6 3" xfId="6225"/>
    <cellStyle name="Percent 3 4 6 3 2" xfId="6226"/>
    <cellStyle name="Percent 3 4 6 3 2 2" xfId="6227"/>
    <cellStyle name="Percent 3 4 6 3 3" xfId="6228"/>
    <cellStyle name="Percent 3 4 6 3 3 2" xfId="6229"/>
    <cellStyle name="Percent 3 4 6 3 4" xfId="6230"/>
    <cellStyle name="Percent 3 4 6 4" xfId="6231"/>
    <cellStyle name="Percent 3 4 6 4 2" xfId="6232"/>
    <cellStyle name="Percent 3 4 6 4 2 2" xfId="6233"/>
    <cellStyle name="Percent 3 4 6 4 3" xfId="6234"/>
    <cellStyle name="Percent 3 4 6 4 3 2" xfId="6235"/>
    <cellStyle name="Percent 3 4 6 4 4" xfId="6236"/>
    <cellStyle name="Percent 3 4 6 5" xfId="6237"/>
    <cellStyle name="Percent 3 4 6 5 2" xfId="6238"/>
    <cellStyle name="Percent 3 4 6 6" xfId="6239"/>
    <cellStyle name="Percent 3 4 6 6 2" xfId="6240"/>
    <cellStyle name="Percent 3 4 6 7" xfId="6241"/>
    <cellStyle name="Percent 3 4 6 8" xfId="6242"/>
    <cellStyle name="Percent 3 4 7 9" xfId="6243"/>
    <cellStyle name="Percent 3 4 7 2" xfId="6244"/>
    <cellStyle name="Percent 3 4 7 2 2" xfId="6245"/>
    <cellStyle name="Percent 3 4 7 2 2 2" xfId="6246"/>
    <cellStyle name="Percent 3 4 7 2 3" xfId="6247"/>
    <cellStyle name="Percent 3 4 7 2 3 2" xfId="6248"/>
    <cellStyle name="Percent 3 4 7 2 4" xfId="6249"/>
    <cellStyle name="Percent 3 4 7 2 5" xfId="6250"/>
    <cellStyle name="Percent 3 4 7 3" xfId="6251"/>
    <cellStyle name="Percent 3 4 7 3 2" xfId="6252"/>
    <cellStyle name="Percent 3 4 7 3 2 2" xfId="6253"/>
    <cellStyle name="Percent 3 4 7 3 3" xfId="6254"/>
    <cellStyle name="Percent 3 4 7 3 3 2" xfId="6255"/>
    <cellStyle name="Percent 3 4 7 3 4" xfId="6256"/>
    <cellStyle name="Percent 3 4 7 4" xfId="6257"/>
    <cellStyle name="Percent 3 4 7 4 2" xfId="6258"/>
    <cellStyle name="Percent 3 4 7 4 2 2" xfId="6259"/>
    <cellStyle name="Percent 3 4 7 4 3" xfId="6260"/>
    <cellStyle name="Percent 3 4 7 4 3 2" xfId="6261"/>
    <cellStyle name="Percent 3 4 7 4 4" xfId="6262"/>
    <cellStyle name="Percent 3 4 7 5" xfId="6263"/>
    <cellStyle name="Percent 3 4 7 5 2" xfId="6264"/>
    <cellStyle name="Percent 3 4 7 6" xfId="6265"/>
    <cellStyle name="Percent 3 4 7 6 2" xfId="6266"/>
    <cellStyle name="Percent 3 4 7 7" xfId="6267"/>
    <cellStyle name="Percent 3 4 7 8" xfId="6268"/>
    <cellStyle name="Percent 3 4 8 12" xfId="6269"/>
    <cellStyle name="Percent 3 4 8 10" xfId="6270"/>
    <cellStyle name="Percent 3 4 8 11" xfId="6271"/>
    <cellStyle name="Percent 3 4 8 2" xfId="6272"/>
    <cellStyle name="Percent 3 4 8 2 2" xfId="6273"/>
    <cellStyle name="Percent 3 4 8 2 2 2" xfId="6274"/>
    <cellStyle name="Percent 3 4 8 2 3" xfId="6275"/>
    <cellStyle name="Percent 3 4 8 2 3 2" xfId="6276"/>
    <cellStyle name="Percent 3 4 8 2 4" xfId="6277"/>
    <cellStyle name="Percent 3 4 8 2 5" xfId="6278"/>
    <cellStyle name="Percent 3 4 8 3" xfId="6279"/>
    <cellStyle name="Percent 3 4 8 3 2" xfId="6280"/>
    <cellStyle name="Percent 3 4 8 3 2 2" xfId="6281"/>
    <cellStyle name="Percent 3 4 8 3 3" xfId="6282"/>
    <cellStyle name="Percent 3 4 8 3 3 2" xfId="6283"/>
    <cellStyle name="Percent 3 4 8 3 4" xfId="6284"/>
    <cellStyle name="Percent 3 4 8 4" xfId="6285"/>
    <cellStyle name="Percent 3 4 8 4 2" xfId="6286"/>
    <cellStyle name="Percent 3 4 8 4 2 2" xfId="6287"/>
    <cellStyle name="Percent 3 4 8 4 3" xfId="6288"/>
    <cellStyle name="Percent 3 4 8 4 3 2" xfId="6289"/>
    <cellStyle name="Percent 3 4 8 4 4" xfId="6290"/>
    <cellStyle name="Percent 3 4 8 5" xfId="6291"/>
    <cellStyle name="Percent 3 4 8 5 2" xfId="6292"/>
    <cellStyle name="Percent 3 4 8 5 2 2" xfId="6293"/>
    <cellStyle name="Percent 3 4 8 5 3" xfId="6294"/>
    <cellStyle name="Percent 3 4 8 5 3 2" xfId="6295"/>
    <cellStyle name="Percent 3 4 8 5 4" xfId="6296"/>
    <cellStyle name="Percent 3 4 8 5 4 2" xfId="6297"/>
    <cellStyle name="Percent 3 4 8 5 5" xfId="6298"/>
    <cellStyle name="Percent 3 4 8 6" xfId="6299"/>
    <cellStyle name="Percent 3 4 8 6 2" xfId="6300"/>
    <cellStyle name="Percent 3 4 8 6 2 2" xfId="6301"/>
    <cellStyle name="Percent 3 4 8 6 3" xfId="6302"/>
    <cellStyle name="Percent 3 4 8 6 3 2" xfId="6303"/>
    <cellStyle name="Percent 3 4 8 6 4" xfId="6304"/>
    <cellStyle name="Percent 3 4 8 7" xfId="6305"/>
    <cellStyle name="Percent 3 4 8 7 2" xfId="6306"/>
    <cellStyle name="Percent 3 4 8 8" xfId="6307"/>
    <cellStyle name="Percent 3 4 8 8 2" xfId="6308"/>
    <cellStyle name="Percent 3 4 8 9" xfId="6309"/>
    <cellStyle name="Percent 3 4 8 9 2" xfId="6310"/>
    <cellStyle name="Percent 3 4 9 12" xfId="6311"/>
    <cellStyle name="Percent 3 4 9 10" xfId="6312"/>
    <cellStyle name="Percent 3 4 9 11" xfId="6313"/>
    <cellStyle name="Percent 3 4 9 2" xfId="6314"/>
    <cellStyle name="Percent 3 4 9 2 2" xfId="6315"/>
    <cellStyle name="Percent 3 4 9 2 2 2" xfId="6316"/>
    <cellStyle name="Percent 3 4 9 2 3" xfId="6317"/>
    <cellStyle name="Percent 3 4 9 2 3 2" xfId="6318"/>
    <cellStyle name="Percent 3 4 9 2 4" xfId="6319"/>
    <cellStyle name="Percent 3 4 9 2 5" xfId="6320"/>
    <cellStyle name="Percent 3 4 9 3" xfId="6321"/>
    <cellStyle name="Percent 3 4 9 3 2" xfId="6322"/>
    <cellStyle name="Percent 3 4 9 3 2 2" xfId="6323"/>
    <cellStyle name="Percent 3 4 9 3 3" xfId="6324"/>
    <cellStyle name="Percent 3 4 9 3 3 2" xfId="6325"/>
    <cellStyle name="Percent 3 4 9 3 4" xfId="6326"/>
    <cellStyle name="Percent 3 4 9 4" xfId="6327"/>
    <cellStyle name="Percent 3 4 9 4 2" xfId="6328"/>
    <cellStyle name="Percent 3 4 9 4 2 2" xfId="6329"/>
    <cellStyle name="Percent 3 4 9 4 3" xfId="6330"/>
    <cellStyle name="Percent 3 4 9 4 3 2" xfId="6331"/>
    <cellStyle name="Percent 3 4 9 4 4" xfId="6332"/>
    <cellStyle name="Percent 3 4 9 5" xfId="6333"/>
    <cellStyle name="Percent 3 4 9 5 2" xfId="6334"/>
    <cellStyle name="Percent 3 4 9 5 2 2" xfId="6335"/>
    <cellStyle name="Percent 3 4 9 5 3" xfId="6336"/>
    <cellStyle name="Percent 3 4 9 5 3 2" xfId="6337"/>
    <cellStyle name="Percent 3 4 9 5 4" xfId="6338"/>
    <cellStyle name="Percent 3 4 9 5 4 2" xfId="6339"/>
    <cellStyle name="Percent 3 4 9 5 5" xfId="6340"/>
    <cellStyle name="Percent 3 4 9 6" xfId="6341"/>
    <cellStyle name="Percent 3 4 9 6 2" xfId="6342"/>
    <cellStyle name="Percent 3 4 9 6 2 2" xfId="6343"/>
    <cellStyle name="Percent 3 4 9 6 3" xfId="6344"/>
    <cellStyle name="Percent 3 4 9 6 3 2" xfId="6345"/>
    <cellStyle name="Percent 3 4 9 6 4" xfId="6346"/>
    <cellStyle name="Percent 3 4 9 7" xfId="6347"/>
    <cellStyle name="Percent 3 4 9 7 2" xfId="6348"/>
    <cellStyle name="Percent 3 4 9 8" xfId="6349"/>
    <cellStyle name="Percent 3 4 9 8 2" xfId="6350"/>
    <cellStyle name="Percent 3 4 9 9" xfId="6351"/>
    <cellStyle name="Percent 3 4 9 9 2" xfId="6352"/>
    <cellStyle name="Percent 3 5 26" xfId="6353"/>
    <cellStyle name="Percent 3 5 10 12" xfId="6354"/>
    <cellStyle name="Percent 3 5 10 10" xfId="6355"/>
    <cellStyle name="Percent 3 5 10 11" xfId="6356"/>
    <cellStyle name="Percent 3 5 10 2" xfId="6357"/>
    <cellStyle name="Percent 3 5 10 2 2" xfId="6358"/>
    <cellStyle name="Percent 3 5 10 2 2 2" xfId="6359"/>
    <cellStyle name="Percent 3 5 10 2 3" xfId="6360"/>
    <cellStyle name="Percent 3 5 10 2 3 2" xfId="6361"/>
    <cellStyle name="Percent 3 5 10 2 4" xfId="6362"/>
    <cellStyle name="Percent 3 5 10 2 5" xfId="6363"/>
    <cellStyle name="Percent 3 5 10 3" xfId="6364"/>
    <cellStyle name="Percent 3 5 10 3 2" xfId="6365"/>
    <cellStyle name="Percent 3 5 10 3 2 2" xfId="6366"/>
    <cellStyle name="Percent 3 5 10 3 3" xfId="6367"/>
    <cellStyle name="Percent 3 5 10 3 3 2" xfId="6368"/>
    <cellStyle name="Percent 3 5 10 3 4" xfId="6369"/>
    <cellStyle name="Percent 3 5 10 4" xfId="6370"/>
    <cellStyle name="Percent 3 5 10 4 2" xfId="6371"/>
    <cellStyle name="Percent 3 5 10 4 2 2" xfId="6372"/>
    <cellStyle name="Percent 3 5 10 4 3" xfId="6373"/>
    <cellStyle name="Percent 3 5 10 4 3 2" xfId="6374"/>
    <cellStyle name="Percent 3 5 10 4 4" xfId="6375"/>
    <cellStyle name="Percent 3 5 10 5" xfId="6376"/>
    <cellStyle name="Percent 3 5 10 5 2" xfId="6377"/>
    <cellStyle name="Percent 3 5 10 5 2 2" xfId="6378"/>
    <cellStyle name="Percent 3 5 10 5 3" xfId="6379"/>
    <cellStyle name="Percent 3 5 10 5 3 2" xfId="6380"/>
    <cellStyle name="Percent 3 5 10 5 4" xfId="6381"/>
    <cellStyle name="Percent 3 5 10 5 4 2" xfId="6382"/>
    <cellStyle name="Percent 3 5 10 5 5" xfId="6383"/>
    <cellStyle name="Percent 3 5 10 6" xfId="6384"/>
    <cellStyle name="Percent 3 5 10 6 2" xfId="6385"/>
    <cellStyle name="Percent 3 5 10 6 2 2" xfId="6386"/>
    <cellStyle name="Percent 3 5 10 6 3" xfId="6387"/>
    <cellStyle name="Percent 3 5 10 6 3 2" xfId="6388"/>
    <cellStyle name="Percent 3 5 10 6 4" xfId="6389"/>
    <cellStyle name="Percent 3 5 10 7" xfId="6390"/>
    <cellStyle name="Percent 3 5 10 7 2" xfId="6391"/>
    <cellStyle name="Percent 3 5 10 8" xfId="6392"/>
    <cellStyle name="Percent 3 5 10 8 2" xfId="6393"/>
    <cellStyle name="Percent 3 5 10 9" xfId="6394"/>
    <cellStyle name="Percent 3 5 10 9 2" xfId="6395"/>
    <cellStyle name="Percent 3 5 11 12" xfId="6396"/>
    <cellStyle name="Percent 3 5 11 10" xfId="6397"/>
    <cellStyle name="Percent 3 5 11 11" xfId="6398"/>
    <cellStyle name="Percent 3 5 11 2" xfId="6399"/>
    <cellStyle name="Percent 3 5 11 2 2" xfId="6400"/>
    <cellStyle name="Percent 3 5 11 2 2 2" xfId="6401"/>
    <cellStyle name="Percent 3 5 11 2 3" xfId="6402"/>
    <cellStyle name="Percent 3 5 11 2 3 2" xfId="6403"/>
    <cellStyle name="Percent 3 5 11 2 4" xfId="6404"/>
    <cellStyle name="Percent 3 5 11 2 5" xfId="6405"/>
    <cellStyle name="Percent 3 5 11 3" xfId="6406"/>
    <cellStyle name="Percent 3 5 11 3 2" xfId="6407"/>
    <cellStyle name="Percent 3 5 11 3 2 2" xfId="6408"/>
    <cellStyle name="Percent 3 5 11 3 3" xfId="6409"/>
    <cellStyle name="Percent 3 5 11 3 3 2" xfId="6410"/>
    <cellStyle name="Percent 3 5 11 3 4" xfId="6411"/>
    <cellStyle name="Percent 3 5 11 4" xfId="6412"/>
    <cellStyle name="Percent 3 5 11 4 2" xfId="6413"/>
    <cellStyle name="Percent 3 5 11 4 2 2" xfId="6414"/>
    <cellStyle name="Percent 3 5 11 4 3" xfId="6415"/>
    <cellStyle name="Percent 3 5 11 4 3 2" xfId="6416"/>
    <cellStyle name="Percent 3 5 11 4 4" xfId="6417"/>
    <cellStyle name="Percent 3 5 11 5" xfId="6418"/>
    <cellStyle name="Percent 3 5 11 5 2" xfId="6419"/>
    <cellStyle name="Percent 3 5 11 5 2 2" xfId="6420"/>
    <cellStyle name="Percent 3 5 11 5 3" xfId="6421"/>
    <cellStyle name="Percent 3 5 11 5 3 2" xfId="6422"/>
    <cellStyle name="Percent 3 5 11 5 4" xfId="6423"/>
    <cellStyle name="Percent 3 5 11 5 4 2" xfId="6424"/>
    <cellStyle name="Percent 3 5 11 5 5" xfId="6425"/>
    <cellStyle name="Percent 3 5 11 6" xfId="6426"/>
    <cellStyle name="Percent 3 5 11 6 2" xfId="6427"/>
    <cellStyle name="Percent 3 5 11 6 2 2" xfId="6428"/>
    <cellStyle name="Percent 3 5 11 6 3" xfId="6429"/>
    <cellStyle name="Percent 3 5 11 6 3 2" xfId="6430"/>
    <cellStyle name="Percent 3 5 11 6 4" xfId="6431"/>
    <cellStyle name="Percent 3 5 11 7" xfId="6432"/>
    <cellStyle name="Percent 3 5 11 7 2" xfId="6433"/>
    <cellStyle name="Percent 3 5 11 8" xfId="6434"/>
    <cellStyle name="Percent 3 5 11 8 2" xfId="6435"/>
    <cellStyle name="Percent 3 5 11 9" xfId="6436"/>
    <cellStyle name="Percent 3 5 11 9 2" xfId="6437"/>
    <cellStyle name="Percent 3 5 12 12" xfId="6438"/>
    <cellStyle name="Percent 3 5 12 10" xfId="6439"/>
    <cellStyle name="Percent 3 5 12 11" xfId="6440"/>
    <cellStyle name="Percent 3 5 12 2" xfId="6441"/>
    <cellStyle name="Percent 3 5 12 2 2" xfId="6442"/>
    <cellStyle name="Percent 3 5 12 2 2 2" xfId="6443"/>
    <cellStyle name="Percent 3 5 12 2 3" xfId="6444"/>
    <cellStyle name="Percent 3 5 12 2 3 2" xfId="6445"/>
    <cellStyle name="Percent 3 5 12 2 4" xfId="6446"/>
    <cellStyle name="Percent 3 5 12 2 5" xfId="6447"/>
    <cellStyle name="Percent 3 5 12 3" xfId="6448"/>
    <cellStyle name="Percent 3 5 12 3 2" xfId="6449"/>
    <cellStyle name="Percent 3 5 12 3 2 2" xfId="6450"/>
    <cellStyle name="Percent 3 5 12 3 3" xfId="6451"/>
    <cellStyle name="Percent 3 5 12 3 3 2" xfId="6452"/>
    <cellStyle name="Percent 3 5 12 3 4" xfId="6453"/>
    <cellStyle name="Percent 3 5 12 4" xfId="6454"/>
    <cellStyle name="Percent 3 5 12 4 2" xfId="6455"/>
    <cellStyle name="Percent 3 5 12 4 2 2" xfId="6456"/>
    <cellStyle name="Percent 3 5 12 4 3" xfId="6457"/>
    <cellStyle name="Percent 3 5 12 4 3 2" xfId="6458"/>
    <cellStyle name="Percent 3 5 12 4 4" xfId="6459"/>
    <cellStyle name="Percent 3 5 12 5" xfId="6460"/>
    <cellStyle name="Percent 3 5 12 5 2" xfId="6461"/>
    <cellStyle name="Percent 3 5 12 5 2 2" xfId="6462"/>
    <cellStyle name="Percent 3 5 12 5 3" xfId="6463"/>
    <cellStyle name="Percent 3 5 12 5 3 2" xfId="6464"/>
    <cellStyle name="Percent 3 5 12 5 4" xfId="6465"/>
    <cellStyle name="Percent 3 5 12 5 4 2" xfId="6466"/>
    <cellStyle name="Percent 3 5 12 5 5" xfId="6467"/>
    <cellStyle name="Percent 3 5 12 6" xfId="6468"/>
    <cellStyle name="Percent 3 5 12 6 2" xfId="6469"/>
    <cellStyle name="Percent 3 5 12 6 2 2" xfId="6470"/>
    <cellStyle name="Percent 3 5 12 6 3" xfId="6471"/>
    <cellStyle name="Percent 3 5 12 6 3 2" xfId="6472"/>
    <cellStyle name="Percent 3 5 12 6 4" xfId="6473"/>
    <cellStyle name="Percent 3 5 12 7" xfId="6474"/>
    <cellStyle name="Percent 3 5 12 7 2" xfId="6475"/>
    <cellStyle name="Percent 3 5 12 8" xfId="6476"/>
    <cellStyle name="Percent 3 5 12 8 2" xfId="6477"/>
    <cellStyle name="Percent 3 5 12 9" xfId="6478"/>
    <cellStyle name="Percent 3 5 12 9 2" xfId="6479"/>
    <cellStyle name="Percent 3 5 13 12" xfId="6480"/>
    <cellStyle name="Percent 3 5 13 10" xfId="6481"/>
    <cellStyle name="Percent 3 5 13 11" xfId="6482"/>
    <cellStyle name="Percent 3 5 13 2" xfId="6483"/>
    <cellStyle name="Percent 3 5 13 2 2" xfId="6484"/>
    <cellStyle name="Percent 3 5 13 2 2 2" xfId="6485"/>
    <cellStyle name="Percent 3 5 13 2 3" xfId="6486"/>
    <cellStyle name="Percent 3 5 13 2 3 2" xfId="6487"/>
    <cellStyle name="Percent 3 5 13 2 4" xfId="6488"/>
    <cellStyle name="Percent 3 5 13 2 5" xfId="6489"/>
    <cellStyle name="Percent 3 5 13 3" xfId="6490"/>
    <cellStyle name="Percent 3 5 13 3 2" xfId="6491"/>
    <cellStyle name="Percent 3 5 13 3 2 2" xfId="6492"/>
    <cellStyle name="Percent 3 5 13 3 3" xfId="6493"/>
    <cellStyle name="Percent 3 5 13 3 3 2" xfId="6494"/>
    <cellStyle name="Percent 3 5 13 3 4" xfId="6495"/>
    <cellStyle name="Percent 3 5 13 4" xfId="6496"/>
    <cellStyle name="Percent 3 5 13 4 2" xfId="6497"/>
    <cellStyle name="Percent 3 5 13 4 2 2" xfId="6498"/>
    <cellStyle name="Percent 3 5 13 4 3" xfId="6499"/>
    <cellStyle name="Percent 3 5 13 4 3 2" xfId="6500"/>
    <cellStyle name="Percent 3 5 13 4 4" xfId="6501"/>
    <cellStyle name="Percent 3 5 13 5" xfId="6502"/>
    <cellStyle name="Percent 3 5 13 5 2" xfId="6503"/>
    <cellStyle name="Percent 3 5 13 5 2 2" xfId="6504"/>
    <cellStyle name="Percent 3 5 13 5 3" xfId="6505"/>
    <cellStyle name="Percent 3 5 13 5 3 2" xfId="6506"/>
    <cellStyle name="Percent 3 5 13 5 4" xfId="6507"/>
    <cellStyle name="Percent 3 5 13 5 4 2" xfId="6508"/>
    <cellStyle name="Percent 3 5 13 5 5" xfId="6509"/>
    <cellStyle name="Percent 3 5 13 6" xfId="6510"/>
    <cellStyle name="Percent 3 5 13 6 2" xfId="6511"/>
    <cellStyle name="Percent 3 5 13 6 2 2" xfId="6512"/>
    <cellStyle name="Percent 3 5 13 6 3" xfId="6513"/>
    <cellStyle name="Percent 3 5 13 6 3 2" xfId="6514"/>
    <cellStyle name="Percent 3 5 13 6 4" xfId="6515"/>
    <cellStyle name="Percent 3 5 13 7" xfId="6516"/>
    <cellStyle name="Percent 3 5 13 7 2" xfId="6517"/>
    <cellStyle name="Percent 3 5 13 8" xfId="6518"/>
    <cellStyle name="Percent 3 5 13 8 2" xfId="6519"/>
    <cellStyle name="Percent 3 5 13 9" xfId="6520"/>
    <cellStyle name="Percent 3 5 13 9 2" xfId="6521"/>
    <cellStyle name="Percent 3 5 14 12" xfId="6522"/>
    <cellStyle name="Percent 3 5 14 10" xfId="6523"/>
    <cellStyle name="Percent 3 5 14 11" xfId="6524"/>
    <cellStyle name="Percent 3 5 14 2" xfId="6525"/>
    <cellStyle name="Percent 3 5 14 2 2" xfId="6526"/>
    <cellStyle name="Percent 3 5 14 2 2 2" xfId="6527"/>
    <cellStyle name="Percent 3 5 14 2 3" xfId="6528"/>
    <cellStyle name="Percent 3 5 14 2 3 2" xfId="6529"/>
    <cellStyle name="Percent 3 5 14 2 4" xfId="6530"/>
    <cellStyle name="Percent 3 5 14 2 5" xfId="6531"/>
    <cellStyle name="Percent 3 5 14 3" xfId="6532"/>
    <cellStyle name="Percent 3 5 14 3 2" xfId="6533"/>
    <cellStyle name="Percent 3 5 14 3 2 2" xfId="6534"/>
    <cellStyle name="Percent 3 5 14 3 3" xfId="6535"/>
    <cellStyle name="Percent 3 5 14 3 3 2" xfId="6536"/>
    <cellStyle name="Percent 3 5 14 3 4" xfId="6537"/>
    <cellStyle name="Percent 3 5 14 4" xfId="6538"/>
    <cellStyle name="Percent 3 5 14 4 2" xfId="6539"/>
    <cellStyle name="Percent 3 5 14 4 2 2" xfId="6540"/>
    <cellStyle name="Percent 3 5 14 4 3" xfId="6541"/>
    <cellStyle name="Percent 3 5 14 4 3 2" xfId="6542"/>
    <cellStyle name="Percent 3 5 14 4 4" xfId="6543"/>
    <cellStyle name="Percent 3 5 14 5" xfId="6544"/>
    <cellStyle name="Percent 3 5 14 5 2" xfId="6545"/>
    <cellStyle name="Percent 3 5 14 5 2 2" xfId="6546"/>
    <cellStyle name="Percent 3 5 14 5 3" xfId="6547"/>
    <cellStyle name="Percent 3 5 14 5 3 2" xfId="6548"/>
    <cellStyle name="Percent 3 5 14 5 4" xfId="6549"/>
    <cellStyle name="Percent 3 5 14 5 4 2" xfId="6550"/>
    <cellStyle name="Percent 3 5 14 5 5" xfId="6551"/>
    <cellStyle name="Percent 3 5 14 6" xfId="6552"/>
    <cellStyle name="Percent 3 5 14 6 2" xfId="6553"/>
    <cellStyle name="Percent 3 5 14 6 2 2" xfId="6554"/>
    <cellStyle name="Percent 3 5 14 6 3" xfId="6555"/>
    <cellStyle name="Percent 3 5 14 6 3 2" xfId="6556"/>
    <cellStyle name="Percent 3 5 14 6 4" xfId="6557"/>
    <cellStyle name="Percent 3 5 14 7" xfId="6558"/>
    <cellStyle name="Percent 3 5 14 7 2" xfId="6559"/>
    <cellStyle name="Percent 3 5 14 8" xfId="6560"/>
    <cellStyle name="Percent 3 5 14 8 2" xfId="6561"/>
    <cellStyle name="Percent 3 5 14 9" xfId="6562"/>
    <cellStyle name="Percent 3 5 14 9 2" xfId="6563"/>
    <cellStyle name="Percent 3 5 15 12" xfId="6564"/>
    <cellStyle name="Percent 3 5 15 10" xfId="6565"/>
    <cellStyle name="Percent 3 5 15 11" xfId="6566"/>
    <cellStyle name="Percent 3 5 15 2" xfId="6567"/>
    <cellStyle name="Percent 3 5 15 2 2" xfId="6568"/>
    <cellStyle name="Percent 3 5 15 2 2 2" xfId="6569"/>
    <cellStyle name="Percent 3 5 15 2 3" xfId="6570"/>
    <cellStyle name="Percent 3 5 15 2 3 2" xfId="6571"/>
    <cellStyle name="Percent 3 5 15 2 4" xfId="6572"/>
    <cellStyle name="Percent 3 5 15 2 5" xfId="6573"/>
    <cellStyle name="Percent 3 5 15 3" xfId="6574"/>
    <cellStyle name="Percent 3 5 15 3 2" xfId="6575"/>
    <cellStyle name="Percent 3 5 15 3 2 2" xfId="6576"/>
    <cellStyle name="Percent 3 5 15 3 3" xfId="6577"/>
    <cellStyle name="Percent 3 5 15 3 3 2" xfId="6578"/>
    <cellStyle name="Percent 3 5 15 3 4" xfId="6579"/>
    <cellStyle name="Percent 3 5 15 4" xfId="6580"/>
    <cellStyle name="Percent 3 5 15 4 2" xfId="6581"/>
    <cellStyle name="Percent 3 5 15 4 2 2" xfId="6582"/>
    <cellStyle name="Percent 3 5 15 4 3" xfId="6583"/>
    <cellStyle name="Percent 3 5 15 4 3 2" xfId="6584"/>
    <cellStyle name="Percent 3 5 15 4 4" xfId="6585"/>
    <cellStyle name="Percent 3 5 15 5" xfId="6586"/>
    <cellStyle name="Percent 3 5 15 5 2" xfId="6587"/>
    <cellStyle name="Percent 3 5 15 5 2 2" xfId="6588"/>
    <cellStyle name="Percent 3 5 15 5 3" xfId="6589"/>
    <cellStyle name="Percent 3 5 15 5 3 2" xfId="6590"/>
    <cellStyle name="Percent 3 5 15 5 4" xfId="6591"/>
    <cellStyle name="Percent 3 5 15 5 4 2" xfId="6592"/>
    <cellStyle name="Percent 3 5 15 5 5" xfId="6593"/>
    <cellStyle name="Percent 3 5 15 6" xfId="6594"/>
    <cellStyle name="Percent 3 5 15 6 2" xfId="6595"/>
    <cellStyle name="Percent 3 5 15 6 2 2" xfId="6596"/>
    <cellStyle name="Percent 3 5 15 6 3" xfId="6597"/>
    <cellStyle name="Percent 3 5 15 6 3 2" xfId="6598"/>
    <cellStyle name="Percent 3 5 15 6 4" xfId="6599"/>
    <cellStyle name="Percent 3 5 15 7" xfId="6600"/>
    <cellStyle name="Percent 3 5 15 7 2" xfId="6601"/>
    <cellStyle name="Percent 3 5 15 8" xfId="6602"/>
    <cellStyle name="Percent 3 5 15 8 2" xfId="6603"/>
    <cellStyle name="Percent 3 5 15 9" xfId="6604"/>
    <cellStyle name="Percent 3 5 15 9 2" xfId="6605"/>
    <cellStyle name="Percent 3 5 16 6" xfId="6606"/>
    <cellStyle name="Percent 3 5 16 2" xfId="6607"/>
    <cellStyle name="Percent 3 5 16 2 2" xfId="6608"/>
    <cellStyle name="Percent 3 5 16 3" xfId="6609"/>
    <cellStyle name="Percent 3 5 16 3 2" xfId="6610"/>
    <cellStyle name="Percent 3 5 16 4" xfId="6611"/>
    <cellStyle name="Percent 3 5 16 5" xfId="6612"/>
    <cellStyle name="Percent 3 5 17" xfId="6613"/>
    <cellStyle name="Percent 3 5 17 2" xfId="6614"/>
    <cellStyle name="Percent 3 5 17 2 2" xfId="6615"/>
    <cellStyle name="Percent 3 5 17 3" xfId="6616"/>
    <cellStyle name="Percent 3 5 17 3 2" xfId="6617"/>
    <cellStyle name="Percent 3 5 17 4" xfId="6618"/>
    <cellStyle name="Percent 3 5 17 5" xfId="6619"/>
    <cellStyle name="Percent 3 5 18" xfId="6620"/>
    <cellStyle name="Percent 3 5 18 2" xfId="6621"/>
    <cellStyle name="Percent 3 5 18 2 2" xfId="6622"/>
    <cellStyle name="Percent 3 5 18 3" xfId="6623"/>
    <cellStyle name="Percent 3 5 18 3 2" xfId="6624"/>
    <cellStyle name="Percent 3 5 18 4" xfId="6625"/>
    <cellStyle name="Percent 3 5 19" xfId="6626"/>
    <cellStyle name="Percent 3 5 19 2" xfId="6627"/>
    <cellStyle name="Percent 3 5 19 2 2" xfId="6628"/>
    <cellStyle name="Percent 3 5 19 3" xfId="6629"/>
    <cellStyle name="Percent 3 5 19 3 2" xfId="6630"/>
    <cellStyle name="Percent 3 5 19 4" xfId="6631"/>
    <cellStyle name="Percent 3 5 19 4 2" xfId="6632"/>
    <cellStyle name="Percent 3 5 19 5" xfId="6633"/>
    <cellStyle name="Percent 3 5 2 12" xfId="6634"/>
    <cellStyle name="Percent 3 5 2 10" xfId="6635"/>
    <cellStyle name="Percent 3 5 2 11" xfId="6636"/>
    <cellStyle name="Percent 3 5 2 2" xfId="6637"/>
    <cellStyle name="Percent 3 5 2 2 2" xfId="6638"/>
    <cellStyle name="Percent 3 5 2 2 2 2" xfId="6639"/>
    <cellStyle name="Percent 3 5 2 2 3" xfId="6640"/>
    <cellStyle name="Percent 3 5 2 2 3 2" xfId="6641"/>
    <cellStyle name="Percent 3 5 2 2 4" xfId="6642"/>
    <cellStyle name="Percent 3 5 2 2 5" xfId="6643"/>
    <cellStyle name="Percent 3 5 2 3" xfId="6644"/>
    <cellStyle name="Percent 3 5 2 3 2" xfId="6645"/>
    <cellStyle name="Percent 3 5 2 3 2 2" xfId="6646"/>
    <cellStyle name="Percent 3 5 2 3 3" xfId="6647"/>
    <cellStyle name="Percent 3 5 2 3 3 2" xfId="6648"/>
    <cellStyle name="Percent 3 5 2 3 4" xfId="6649"/>
    <cellStyle name="Percent 3 5 2 4" xfId="6650"/>
    <cellStyle name="Percent 3 5 2 4 2" xfId="6651"/>
    <cellStyle name="Percent 3 5 2 4 2 2" xfId="6652"/>
    <cellStyle name="Percent 3 5 2 4 3" xfId="6653"/>
    <cellStyle name="Percent 3 5 2 4 3 2" xfId="6654"/>
    <cellStyle name="Percent 3 5 2 4 4" xfId="6655"/>
    <cellStyle name="Percent 3 5 2 5" xfId="6656"/>
    <cellStyle name="Percent 3 5 2 5 2" xfId="6657"/>
    <cellStyle name="Percent 3 5 2 5 2 2" xfId="6658"/>
    <cellStyle name="Percent 3 5 2 5 3" xfId="6659"/>
    <cellStyle name="Percent 3 5 2 5 3 2" xfId="6660"/>
    <cellStyle name="Percent 3 5 2 5 4" xfId="6661"/>
    <cellStyle name="Percent 3 5 2 5 4 2" xfId="6662"/>
    <cellStyle name="Percent 3 5 2 5 5" xfId="6663"/>
    <cellStyle name="Percent 3 5 2 6" xfId="6664"/>
    <cellStyle name="Percent 3 5 2 6 2" xfId="6665"/>
    <cellStyle name="Percent 3 5 2 6 2 2" xfId="6666"/>
    <cellStyle name="Percent 3 5 2 6 3" xfId="6667"/>
    <cellStyle name="Percent 3 5 2 6 3 2" xfId="6668"/>
    <cellStyle name="Percent 3 5 2 6 4" xfId="6669"/>
    <cellStyle name="Percent 3 5 2 7" xfId="6670"/>
    <cellStyle name="Percent 3 5 2 7 2" xfId="6671"/>
    <cellStyle name="Percent 3 5 2 8" xfId="6672"/>
    <cellStyle name="Percent 3 5 2 8 2" xfId="6673"/>
    <cellStyle name="Percent 3 5 2 9" xfId="6674"/>
    <cellStyle name="Percent 3 5 2 9 2" xfId="6675"/>
    <cellStyle name="Percent 3 5 20" xfId="6676"/>
    <cellStyle name="Percent 3 5 20 2" xfId="6677"/>
    <cellStyle name="Percent 3 5 20 2 2" xfId="6678"/>
    <cellStyle name="Percent 3 5 20 3" xfId="6679"/>
    <cellStyle name="Percent 3 5 20 3 2" xfId="6680"/>
    <cellStyle name="Percent 3 5 20 4" xfId="6681"/>
    <cellStyle name="Percent 3 5 21" xfId="6682"/>
    <cellStyle name="Percent 3 5 21 2" xfId="6683"/>
    <cellStyle name="Percent 3 5 22" xfId="6684"/>
    <cellStyle name="Percent 3 5 22 2" xfId="6685"/>
    <cellStyle name="Percent 3 5 23" xfId="6686"/>
    <cellStyle name="Percent 3 5 23 2" xfId="6687"/>
    <cellStyle name="Percent 3 5 24" xfId="6688"/>
    <cellStyle name="Percent 3 5 25" xfId="6689"/>
    <cellStyle name="Percent 3 5 3 12" xfId="6690"/>
    <cellStyle name="Percent 3 5 3 10" xfId="6691"/>
    <cellStyle name="Percent 3 5 3 11" xfId="6692"/>
    <cellStyle name="Percent 3 5 3 2" xfId="6693"/>
    <cellStyle name="Percent 3 5 3 2 2" xfId="6694"/>
    <cellStyle name="Percent 3 5 3 2 2 2" xfId="6695"/>
    <cellStyle name="Percent 3 5 3 2 3" xfId="6696"/>
    <cellStyle name="Percent 3 5 3 2 3 2" xfId="6697"/>
    <cellStyle name="Percent 3 5 3 2 4" xfId="6698"/>
    <cellStyle name="Percent 3 5 3 2 5" xfId="6699"/>
    <cellStyle name="Percent 3 5 3 3" xfId="6700"/>
    <cellStyle name="Percent 3 5 3 3 2" xfId="6701"/>
    <cellStyle name="Percent 3 5 3 3 2 2" xfId="6702"/>
    <cellStyle name="Percent 3 5 3 3 3" xfId="6703"/>
    <cellStyle name="Percent 3 5 3 3 3 2" xfId="6704"/>
    <cellStyle name="Percent 3 5 3 3 4" xfId="6705"/>
    <cellStyle name="Percent 3 5 3 4" xfId="6706"/>
    <cellStyle name="Percent 3 5 3 4 2" xfId="6707"/>
    <cellStyle name="Percent 3 5 3 4 2 2" xfId="6708"/>
    <cellStyle name="Percent 3 5 3 4 3" xfId="6709"/>
    <cellStyle name="Percent 3 5 3 4 3 2" xfId="6710"/>
    <cellStyle name="Percent 3 5 3 4 4" xfId="6711"/>
    <cellStyle name="Percent 3 5 3 5" xfId="6712"/>
    <cellStyle name="Percent 3 5 3 5 2" xfId="6713"/>
    <cellStyle name="Percent 3 5 3 5 2 2" xfId="6714"/>
    <cellStyle name="Percent 3 5 3 5 3" xfId="6715"/>
    <cellStyle name="Percent 3 5 3 5 3 2" xfId="6716"/>
    <cellStyle name="Percent 3 5 3 5 4" xfId="6717"/>
    <cellStyle name="Percent 3 5 3 5 4 2" xfId="6718"/>
    <cellStyle name="Percent 3 5 3 5 5" xfId="6719"/>
    <cellStyle name="Percent 3 5 3 6" xfId="6720"/>
    <cellStyle name="Percent 3 5 3 6 2" xfId="6721"/>
    <cellStyle name="Percent 3 5 3 6 2 2" xfId="6722"/>
    <cellStyle name="Percent 3 5 3 6 3" xfId="6723"/>
    <cellStyle name="Percent 3 5 3 6 3 2" xfId="6724"/>
    <cellStyle name="Percent 3 5 3 6 4" xfId="6725"/>
    <cellStyle name="Percent 3 5 3 7" xfId="6726"/>
    <cellStyle name="Percent 3 5 3 7 2" xfId="6727"/>
    <cellStyle name="Percent 3 5 3 8" xfId="6728"/>
    <cellStyle name="Percent 3 5 3 8 2" xfId="6729"/>
    <cellStyle name="Percent 3 5 3 9" xfId="6730"/>
    <cellStyle name="Percent 3 5 3 9 2" xfId="6731"/>
    <cellStyle name="Percent 3 5 4 12" xfId="6732"/>
    <cellStyle name="Percent 3 5 4 10" xfId="6733"/>
    <cellStyle name="Percent 3 5 4 11" xfId="6734"/>
    <cellStyle name="Percent 3 5 4 2" xfId="6735"/>
    <cellStyle name="Percent 3 5 4 2 2" xfId="6736"/>
    <cellStyle name="Percent 3 5 4 2 2 2" xfId="6737"/>
    <cellStyle name="Percent 3 5 4 2 3" xfId="6738"/>
    <cellStyle name="Percent 3 5 4 2 3 2" xfId="6739"/>
    <cellStyle name="Percent 3 5 4 2 4" xfId="6740"/>
    <cellStyle name="Percent 3 5 4 2 5" xfId="6741"/>
    <cellStyle name="Percent 3 5 4 3" xfId="6742"/>
    <cellStyle name="Percent 3 5 4 3 2" xfId="6743"/>
    <cellStyle name="Percent 3 5 4 3 2 2" xfId="6744"/>
    <cellStyle name="Percent 3 5 4 3 3" xfId="6745"/>
    <cellStyle name="Percent 3 5 4 3 3 2" xfId="6746"/>
    <cellStyle name="Percent 3 5 4 3 4" xfId="6747"/>
    <cellStyle name="Percent 3 5 4 4" xfId="6748"/>
    <cellStyle name="Percent 3 5 4 4 2" xfId="6749"/>
    <cellStyle name="Percent 3 5 4 4 2 2" xfId="6750"/>
    <cellStyle name="Percent 3 5 4 4 3" xfId="6751"/>
    <cellStyle name="Percent 3 5 4 4 3 2" xfId="6752"/>
    <cellStyle name="Percent 3 5 4 4 4" xfId="6753"/>
    <cellStyle name="Percent 3 5 4 5" xfId="6754"/>
    <cellStyle name="Percent 3 5 4 5 2" xfId="6755"/>
    <cellStyle name="Percent 3 5 4 5 2 2" xfId="6756"/>
    <cellStyle name="Percent 3 5 4 5 3" xfId="6757"/>
    <cellStyle name="Percent 3 5 4 5 3 2" xfId="6758"/>
    <cellStyle name="Percent 3 5 4 5 4" xfId="6759"/>
    <cellStyle name="Percent 3 5 4 5 4 2" xfId="6760"/>
    <cellStyle name="Percent 3 5 4 5 5" xfId="6761"/>
    <cellStyle name="Percent 3 5 4 6" xfId="6762"/>
    <cellStyle name="Percent 3 5 4 6 2" xfId="6763"/>
    <cellStyle name="Percent 3 5 4 6 2 2" xfId="6764"/>
    <cellStyle name="Percent 3 5 4 6 3" xfId="6765"/>
    <cellStyle name="Percent 3 5 4 6 3 2" xfId="6766"/>
    <cellStyle name="Percent 3 5 4 6 4" xfId="6767"/>
    <cellStyle name="Percent 3 5 4 7" xfId="6768"/>
    <cellStyle name="Percent 3 5 4 7 2" xfId="6769"/>
    <cellStyle name="Percent 3 5 4 8" xfId="6770"/>
    <cellStyle name="Percent 3 5 4 8 2" xfId="6771"/>
    <cellStyle name="Percent 3 5 4 9" xfId="6772"/>
    <cellStyle name="Percent 3 5 4 9 2" xfId="6773"/>
    <cellStyle name="Percent 3 5 5 12" xfId="6774"/>
    <cellStyle name="Percent 3 5 5 10" xfId="6775"/>
    <cellStyle name="Percent 3 5 5 11" xfId="6776"/>
    <cellStyle name="Percent 3 5 5 2" xfId="6777"/>
    <cellStyle name="Percent 3 5 5 2 2" xfId="6778"/>
    <cellStyle name="Percent 3 5 5 2 2 2" xfId="6779"/>
    <cellStyle name="Percent 3 5 5 2 3" xfId="6780"/>
    <cellStyle name="Percent 3 5 5 2 3 2" xfId="6781"/>
    <cellStyle name="Percent 3 5 5 2 4" xfId="6782"/>
    <cellStyle name="Percent 3 5 5 2 5" xfId="6783"/>
    <cellStyle name="Percent 3 5 5 3" xfId="6784"/>
    <cellStyle name="Percent 3 5 5 3 2" xfId="6785"/>
    <cellStyle name="Percent 3 5 5 3 2 2" xfId="6786"/>
    <cellStyle name="Percent 3 5 5 3 3" xfId="6787"/>
    <cellStyle name="Percent 3 5 5 3 3 2" xfId="6788"/>
    <cellStyle name="Percent 3 5 5 3 4" xfId="6789"/>
    <cellStyle name="Percent 3 5 5 4" xfId="6790"/>
    <cellStyle name="Percent 3 5 5 4 2" xfId="6791"/>
    <cellStyle name="Percent 3 5 5 4 2 2" xfId="6792"/>
    <cellStyle name="Percent 3 5 5 4 3" xfId="6793"/>
    <cellStyle name="Percent 3 5 5 4 3 2" xfId="6794"/>
    <cellStyle name="Percent 3 5 5 4 4" xfId="6795"/>
    <cellStyle name="Percent 3 5 5 5" xfId="6796"/>
    <cellStyle name="Percent 3 5 5 5 2" xfId="6797"/>
    <cellStyle name="Percent 3 5 5 5 2 2" xfId="6798"/>
    <cellStyle name="Percent 3 5 5 5 3" xfId="6799"/>
    <cellStyle name="Percent 3 5 5 5 3 2" xfId="6800"/>
    <cellStyle name="Percent 3 5 5 5 4" xfId="6801"/>
    <cellStyle name="Percent 3 5 5 5 4 2" xfId="6802"/>
    <cellStyle name="Percent 3 5 5 5 5" xfId="6803"/>
    <cellStyle name="Percent 3 5 5 6" xfId="6804"/>
    <cellStyle name="Percent 3 5 5 6 2" xfId="6805"/>
    <cellStyle name="Percent 3 5 5 6 2 2" xfId="6806"/>
    <cellStyle name="Percent 3 5 5 6 3" xfId="6807"/>
    <cellStyle name="Percent 3 5 5 6 3 2" xfId="6808"/>
    <cellStyle name="Percent 3 5 5 6 4" xfId="6809"/>
    <cellStyle name="Percent 3 5 5 7" xfId="6810"/>
    <cellStyle name="Percent 3 5 5 7 2" xfId="6811"/>
    <cellStyle name="Percent 3 5 5 8" xfId="6812"/>
    <cellStyle name="Percent 3 5 5 8 2" xfId="6813"/>
    <cellStyle name="Percent 3 5 5 9" xfId="6814"/>
    <cellStyle name="Percent 3 5 5 9 2" xfId="6815"/>
    <cellStyle name="Percent 3 5 6 12" xfId="6816"/>
    <cellStyle name="Percent 3 5 6 10" xfId="6817"/>
    <cellStyle name="Percent 3 5 6 11" xfId="6818"/>
    <cellStyle name="Percent 3 5 6 2" xfId="6819"/>
    <cellStyle name="Percent 3 5 6 2 2" xfId="6820"/>
    <cellStyle name="Percent 3 5 6 2 2 2" xfId="6821"/>
    <cellStyle name="Percent 3 5 6 2 3" xfId="6822"/>
    <cellStyle name="Percent 3 5 6 2 3 2" xfId="6823"/>
    <cellStyle name="Percent 3 5 6 2 4" xfId="6824"/>
    <cellStyle name="Percent 3 5 6 2 5" xfId="6825"/>
    <cellStyle name="Percent 3 5 6 3" xfId="6826"/>
    <cellStyle name="Percent 3 5 6 3 2" xfId="6827"/>
    <cellStyle name="Percent 3 5 6 3 2 2" xfId="6828"/>
    <cellStyle name="Percent 3 5 6 3 3" xfId="6829"/>
    <cellStyle name="Percent 3 5 6 3 3 2" xfId="6830"/>
    <cellStyle name="Percent 3 5 6 3 4" xfId="6831"/>
    <cellStyle name="Percent 3 5 6 4" xfId="6832"/>
    <cellStyle name="Percent 3 5 6 4 2" xfId="6833"/>
    <cellStyle name="Percent 3 5 6 4 2 2" xfId="6834"/>
    <cellStyle name="Percent 3 5 6 4 3" xfId="6835"/>
    <cellStyle name="Percent 3 5 6 4 3 2" xfId="6836"/>
    <cellStyle name="Percent 3 5 6 4 4" xfId="6837"/>
    <cellStyle name="Percent 3 5 6 5" xfId="6838"/>
    <cellStyle name="Percent 3 5 6 5 2" xfId="6839"/>
    <cellStyle name="Percent 3 5 6 5 2 2" xfId="6840"/>
    <cellStyle name="Percent 3 5 6 5 3" xfId="6841"/>
    <cellStyle name="Percent 3 5 6 5 3 2" xfId="6842"/>
    <cellStyle name="Percent 3 5 6 5 4" xfId="6843"/>
    <cellStyle name="Percent 3 5 6 5 4 2" xfId="6844"/>
    <cellStyle name="Percent 3 5 6 5 5" xfId="6845"/>
    <cellStyle name="Percent 3 5 6 6" xfId="6846"/>
    <cellStyle name="Percent 3 5 6 6 2" xfId="6847"/>
    <cellStyle name="Percent 3 5 6 6 2 2" xfId="6848"/>
    <cellStyle name="Percent 3 5 6 6 3" xfId="6849"/>
    <cellStyle name="Percent 3 5 6 6 3 2" xfId="6850"/>
    <cellStyle name="Percent 3 5 6 6 4" xfId="6851"/>
    <cellStyle name="Percent 3 5 6 7" xfId="6852"/>
    <cellStyle name="Percent 3 5 6 7 2" xfId="6853"/>
    <cellStyle name="Percent 3 5 6 8" xfId="6854"/>
    <cellStyle name="Percent 3 5 6 8 2" xfId="6855"/>
    <cellStyle name="Percent 3 5 6 9" xfId="6856"/>
    <cellStyle name="Percent 3 5 6 9 2" xfId="6857"/>
    <cellStyle name="Percent 3 5 7 12" xfId="6858"/>
    <cellStyle name="Percent 3 5 7 10" xfId="6859"/>
    <cellStyle name="Percent 3 5 7 11" xfId="6860"/>
    <cellStyle name="Percent 3 5 7 2" xfId="6861"/>
    <cellStyle name="Percent 3 5 7 2 2" xfId="6862"/>
    <cellStyle name="Percent 3 5 7 2 2 2" xfId="6863"/>
    <cellStyle name="Percent 3 5 7 2 3" xfId="6864"/>
    <cellStyle name="Percent 3 5 7 2 3 2" xfId="6865"/>
    <cellStyle name="Percent 3 5 7 2 4" xfId="6866"/>
    <cellStyle name="Percent 3 5 7 2 5" xfId="6867"/>
    <cellStyle name="Percent 3 5 7 3" xfId="6868"/>
    <cellStyle name="Percent 3 5 7 3 2" xfId="6869"/>
    <cellStyle name="Percent 3 5 7 3 2 2" xfId="6870"/>
    <cellStyle name="Percent 3 5 7 3 3" xfId="6871"/>
    <cellStyle name="Percent 3 5 7 3 3 2" xfId="6872"/>
    <cellStyle name="Percent 3 5 7 3 4" xfId="6873"/>
    <cellStyle name="Percent 3 5 7 4" xfId="6874"/>
    <cellStyle name="Percent 3 5 7 4 2" xfId="6875"/>
    <cellStyle name="Percent 3 5 7 4 2 2" xfId="6876"/>
    <cellStyle name="Percent 3 5 7 4 3" xfId="6877"/>
    <cellStyle name="Percent 3 5 7 4 3 2" xfId="6878"/>
    <cellStyle name="Percent 3 5 7 4 4" xfId="6879"/>
    <cellStyle name="Percent 3 5 7 5" xfId="6880"/>
    <cellStyle name="Percent 3 5 7 5 2" xfId="6881"/>
    <cellStyle name="Percent 3 5 7 5 2 2" xfId="6882"/>
    <cellStyle name="Percent 3 5 7 5 3" xfId="6883"/>
    <cellStyle name="Percent 3 5 7 5 3 2" xfId="6884"/>
    <cellStyle name="Percent 3 5 7 5 4" xfId="6885"/>
    <cellStyle name="Percent 3 5 7 5 4 2" xfId="6886"/>
    <cellStyle name="Percent 3 5 7 5 5" xfId="6887"/>
    <cellStyle name="Percent 3 5 7 6" xfId="6888"/>
    <cellStyle name="Percent 3 5 7 6 2" xfId="6889"/>
    <cellStyle name="Percent 3 5 7 6 2 2" xfId="6890"/>
    <cellStyle name="Percent 3 5 7 6 3" xfId="6891"/>
    <cellStyle name="Percent 3 5 7 6 3 2" xfId="6892"/>
    <cellStyle name="Percent 3 5 7 6 4" xfId="6893"/>
    <cellStyle name="Percent 3 5 7 7" xfId="6894"/>
    <cellStyle name="Percent 3 5 7 7 2" xfId="6895"/>
    <cellStyle name="Percent 3 5 7 8" xfId="6896"/>
    <cellStyle name="Percent 3 5 7 8 2" xfId="6897"/>
    <cellStyle name="Percent 3 5 7 9" xfId="6898"/>
    <cellStyle name="Percent 3 5 7 9 2" xfId="6899"/>
    <cellStyle name="Percent 3 5 8 12" xfId="6900"/>
    <cellStyle name="Percent 3 5 8 10" xfId="6901"/>
    <cellStyle name="Percent 3 5 8 11" xfId="6902"/>
    <cellStyle name="Percent 3 5 8 2" xfId="6903"/>
    <cellStyle name="Percent 3 5 8 2 2" xfId="6904"/>
    <cellStyle name="Percent 3 5 8 2 2 2" xfId="6905"/>
    <cellStyle name="Percent 3 5 8 2 3" xfId="6906"/>
    <cellStyle name="Percent 3 5 8 2 3 2" xfId="6907"/>
    <cellStyle name="Percent 3 5 8 2 4" xfId="6908"/>
    <cellStyle name="Percent 3 5 8 2 5" xfId="6909"/>
    <cellStyle name="Percent 3 5 8 3" xfId="6910"/>
    <cellStyle name="Percent 3 5 8 3 2" xfId="6911"/>
    <cellStyle name="Percent 3 5 8 3 2 2" xfId="6912"/>
    <cellStyle name="Percent 3 5 8 3 3" xfId="6913"/>
    <cellStyle name="Percent 3 5 8 3 3 2" xfId="6914"/>
    <cellStyle name="Percent 3 5 8 3 4" xfId="6915"/>
    <cellStyle name="Percent 3 5 8 4" xfId="6916"/>
    <cellStyle name="Percent 3 5 8 4 2" xfId="6917"/>
    <cellStyle name="Percent 3 5 8 4 2 2" xfId="6918"/>
    <cellStyle name="Percent 3 5 8 4 3" xfId="6919"/>
    <cellStyle name="Percent 3 5 8 4 3 2" xfId="6920"/>
    <cellStyle name="Percent 3 5 8 4 4" xfId="6921"/>
    <cellStyle name="Percent 3 5 8 5" xfId="6922"/>
    <cellStyle name="Percent 3 5 8 5 2" xfId="6923"/>
    <cellStyle name="Percent 3 5 8 5 2 2" xfId="6924"/>
    <cellStyle name="Percent 3 5 8 5 3" xfId="6925"/>
    <cellStyle name="Percent 3 5 8 5 3 2" xfId="6926"/>
    <cellStyle name="Percent 3 5 8 5 4" xfId="6927"/>
    <cellStyle name="Percent 3 5 8 5 4 2" xfId="6928"/>
    <cellStyle name="Percent 3 5 8 5 5" xfId="6929"/>
    <cellStyle name="Percent 3 5 8 6" xfId="6930"/>
    <cellStyle name="Percent 3 5 8 6 2" xfId="6931"/>
    <cellStyle name="Percent 3 5 8 6 2 2" xfId="6932"/>
    <cellStyle name="Percent 3 5 8 6 3" xfId="6933"/>
    <cellStyle name="Percent 3 5 8 6 3 2" xfId="6934"/>
    <cellStyle name="Percent 3 5 8 6 4" xfId="6935"/>
    <cellStyle name="Percent 3 5 8 7" xfId="6936"/>
    <cellStyle name="Percent 3 5 8 7 2" xfId="6937"/>
    <cellStyle name="Percent 3 5 8 8" xfId="6938"/>
    <cellStyle name="Percent 3 5 8 8 2" xfId="6939"/>
    <cellStyle name="Percent 3 5 8 9" xfId="6940"/>
    <cellStyle name="Percent 3 5 8 9 2" xfId="6941"/>
    <cellStyle name="Percent 3 5 9 12" xfId="6942"/>
    <cellStyle name="Percent 3 5 9 10" xfId="6943"/>
    <cellStyle name="Percent 3 5 9 11" xfId="6944"/>
    <cellStyle name="Percent 3 5 9 2" xfId="6945"/>
    <cellStyle name="Percent 3 5 9 2 2" xfId="6946"/>
    <cellStyle name="Percent 3 5 9 2 2 2" xfId="6947"/>
    <cellStyle name="Percent 3 5 9 2 3" xfId="6948"/>
    <cellStyle name="Percent 3 5 9 2 3 2" xfId="6949"/>
    <cellStyle name="Percent 3 5 9 2 4" xfId="6950"/>
    <cellStyle name="Percent 3 5 9 2 5" xfId="6951"/>
    <cellStyle name="Percent 3 5 9 3" xfId="6952"/>
    <cellStyle name="Percent 3 5 9 3 2" xfId="6953"/>
    <cellStyle name="Percent 3 5 9 3 2 2" xfId="6954"/>
    <cellStyle name="Percent 3 5 9 3 3" xfId="6955"/>
    <cellStyle name="Percent 3 5 9 3 3 2" xfId="6956"/>
    <cellStyle name="Percent 3 5 9 3 4" xfId="6957"/>
    <cellStyle name="Percent 3 5 9 4" xfId="6958"/>
    <cellStyle name="Percent 3 5 9 4 2" xfId="6959"/>
    <cellStyle name="Percent 3 5 9 4 2 2" xfId="6960"/>
    <cellStyle name="Percent 3 5 9 4 3" xfId="6961"/>
    <cellStyle name="Percent 3 5 9 4 3 2" xfId="6962"/>
    <cellStyle name="Percent 3 5 9 4 4" xfId="6963"/>
    <cellStyle name="Percent 3 5 9 5" xfId="6964"/>
    <cellStyle name="Percent 3 5 9 5 2" xfId="6965"/>
    <cellStyle name="Percent 3 5 9 5 2 2" xfId="6966"/>
    <cellStyle name="Percent 3 5 9 5 3" xfId="6967"/>
    <cellStyle name="Percent 3 5 9 5 3 2" xfId="6968"/>
    <cellStyle name="Percent 3 5 9 5 4" xfId="6969"/>
    <cellStyle name="Percent 3 5 9 5 4 2" xfId="6970"/>
    <cellStyle name="Percent 3 5 9 5 5" xfId="6971"/>
    <cellStyle name="Percent 3 5 9 6" xfId="6972"/>
    <cellStyle name="Percent 3 5 9 6 2" xfId="6973"/>
    <cellStyle name="Percent 3 5 9 6 2 2" xfId="6974"/>
    <cellStyle name="Percent 3 5 9 6 3" xfId="6975"/>
    <cellStyle name="Percent 3 5 9 6 3 2" xfId="6976"/>
    <cellStyle name="Percent 3 5 9 6 4" xfId="6977"/>
    <cellStyle name="Percent 3 5 9 7" xfId="6978"/>
    <cellStyle name="Percent 3 5 9 7 2" xfId="6979"/>
    <cellStyle name="Percent 3 5 9 8" xfId="6980"/>
    <cellStyle name="Percent 3 5 9 8 2" xfId="6981"/>
    <cellStyle name="Percent 3 5 9 9" xfId="6982"/>
    <cellStyle name="Percent 3 5 9 9 2" xfId="6983"/>
    <cellStyle name="Percent 3 6 26" xfId="6984"/>
    <cellStyle name="Percent 3 6 10 12" xfId="6985"/>
    <cellStyle name="Percent 3 6 10 10" xfId="6986"/>
    <cellStyle name="Percent 3 6 10 11" xfId="6987"/>
    <cellStyle name="Percent 3 6 10 2" xfId="6988"/>
    <cellStyle name="Percent 3 6 10 2 2" xfId="6989"/>
    <cellStyle name="Percent 3 6 10 2 2 2" xfId="6990"/>
    <cellStyle name="Percent 3 6 10 2 3" xfId="6991"/>
    <cellStyle name="Percent 3 6 10 2 3 2" xfId="6992"/>
    <cellStyle name="Percent 3 6 10 2 4" xfId="6993"/>
    <cellStyle name="Percent 3 6 10 2 5" xfId="6994"/>
    <cellStyle name="Percent 3 6 10 3" xfId="6995"/>
    <cellStyle name="Percent 3 6 10 3 2" xfId="6996"/>
    <cellStyle name="Percent 3 6 10 3 2 2" xfId="6997"/>
    <cellStyle name="Percent 3 6 10 3 3" xfId="6998"/>
    <cellStyle name="Percent 3 6 10 3 3 2" xfId="6999"/>
    <cellStyle name="Percent 3 6 10 3 4" xfId="7000"/>
    <cellStyle name="Percent 3 6 10 4" xfId="7001"/>
    <cellStyle name="Percent 3 6 10 4 2" xfId="7002"/>
    <cellStyle name="Percent 3 6 10 4 2 2" xfId="7003"/>
    <cellStyle name="Percent 3 6 10 4 3" xfId="7004"/>
    <cellStyle name="Percent 3 6 10 4 3 2" xfId="7005"/>
    <cellStyle name="Percent 3 6 10 4 4" xfId="7006"/>
    <cellStyle name="Percent 3 6 10 5" xfId="7007"/>
    <cellStyle name="Percent 3 6 10 5 2" xfId="7008"/>
    <cellStyle name="Percent 3 6 10 5 2 2" xfId="7009"/>
    <cellStyle name="Percent 3 6 10 5 3" xfId="7010"/>
    <cellStyle name="Percent 3 6 10 5 3 2" xfId="7011"/>
    <cellStyle name="Percent 3 6 10 5 4" xfId="7012"/>
    <cellStyle name="Percent 3 6 10 5 4 2" xfId="7013"/>
    <cellStyle name="Percent 3 6 10 5 5" xfId="7014"/>
    <cellStyle name="Percent 3 6 10 6" xfId="7015"/>
    <cellStyle name="Percent 3 6 10 6 2" xfId="7016"/>
    <cellStyle name="Percent 3 6 10 6 2 2" xfId="7017"/>
    <cellStyle name="Percent 3 6 10 6 3" xfId="7018"/>
    <cellStyle name="Percent 3 6 10 6 3 2" xfId="7019"/>
    <cellStyle name="Percent 3 6 10 6 4" xfId="7020"/>
    <cellStyle name="Percent 3 6 10 7" xfId="7021"/>
    <cellStyle name="Percent 3 6 10 7 2" xfId="7022"/>
    <cellStyle name="Percent 3 6 10 8" xfId="7023"/>
    <cellStyle name="Percent 3 6 10 8 2" xfId="7024"/>
    <cellStyle name="Percent 3 6 10 9" xfId="7025"/>
    <cellStyle name="Percent 3 6 10 9 2" xfId="7026"/>
    <cellStyle name="Percent 3 6 11 12" xfId="7027"/>
    <cellStyle name="Percent 3 6 11 10" xfId="7028"/>
    <cellStyle name="Percent 3 6 11 11" xfId="7029"/>
    <cellStyle name="Percent 3 6 11 2" xfId="7030"/>
    <cellStyle name="Percent 3 6 11 2 2" xfId="7031"/>
    <cellStyle name="Percent 3 6 11 2 2 2" xfId="7032"/>
    <cellStyle name="Percent 3 6 11 2 3" xfId="7033"/>
    <cellStyle name="Percent 3 6 11 2 3 2" xfId="7034"/>
    <cellStyle name="Percent 3 6 11 2 4" xfId="7035"/>
    <cellStyle name="Percent 3 6 11 2 5" xfId="7036"/>
    <cellStyle name="Percent 3 6 11 3" xfId="7037"/>
    <cellStyle name="Percent 3 6 11 3 2" xfId="7038"/>
    <cellStyle name="Percent 3 6 11 3 2 2" xfId="7039"/>
    <cellStyle name="Percent 3 6 11 3 3" xfId="7040"/>
    <cellStyle name="Percent 3 6 11 3 3 2" xfId="7041"/>
    <cellStyle name="Percent 3 6 11 3 4" xfId="7042"/>
    <cellStyle name="Percent 3 6 11 4" xfId="7043"/>
    <cellStyle name="Percent 3 6 11 4 2" xfId="7044"/>
    <cellStyle name="Percent 3 6 11 4 2 2" xfId="7045"/>
    <cellStyle name="Percent 3 6 11 4 3" xfId="7046"/>
    <cellStyle name="Percent 3 6 11 4 3 2" xfId="7047"/>
    <cellStyle name="Percent 3 6 11 4 4" xfId="7048"/>
    <cellStyle name="Percent 3 6 11 5" xfId="7049"/>
    <cellStyle name="Percent 3 6 11 5 2" xfId="7050"/>
    <cellStyle name="Percent 3 6 11 5 2 2" xfId="7051"/>
    <cellStyle name="Percent 3 6 11 5 3" xfId="7052"/>
    <cellStyle name="Percent 3 6 11 5 3 2" xfId="7053"/>
    <cellStyle name="Percent 3 6 11 5 4" xfId="7054"/>
    <cellStyle name="Percent 3 6 11 5 4 2" xfId="7055"/>
    <cellStyle name="Percent 3 6 11 5 5" xfId="7056"/>
    <cellStyle name="Percent 3 6 11 6" xfId="7057"/>
    <cellStyle name="Percent 3 6 11 6 2" xfId="7058"/>
    <cellStyle name="Percent 3 6 11 6 2 2" xfId="7059"/>
    <cellStyle name="Percent 3 6 11 6 3" xfId="7060"/>
    <cellStyle name="Percent 3 6 11 6 3 2" xfId="7061"/>
    <cellStyle name="Percent 3 6 11 6 4" xfId="7062"/>
    <cellStyle name="Percent 3 6 11 7" xfId="7063"/>
    <cellStyle name="Percent 3 6 11 7 2" xfId="7064"/>
    <cellStyle name="Percent 3 6 11 8" xfId="7065"/>
    <cellStyle name="Percent 3 6 11 8 2" xfId="7066"/>
    <cellStyle name="Percent 3 6 11 9" xfId="7067"/>
    <cellStyle name="Percent 3 6 11 9 2" xfId="7068"/>
    <cellStyle name="Percent 3 6 12 12" xfId="7069"/>
    <cellStyle name="Percent 3 6 12 10" xfId="7070"/>
    <cellStyle name="Percent 3 6 12 11" xfId="7071"/>
    <cellStyle name="Percent 3 6 12 2" xfId="7072"/>
    <cellStyle name="Percent 3 6 12 2 2" xfId="7073"/>
    <cellStyle name="Percent 3 6 12 2 2 2" xfId="7074"/>
    <cellStyle name="Percent 3 6 12 2 3" xfId="7075"/>
    <cellStyle name="Percent 3 6 12 2 3 2" xfId="7076"/>
    <cellStyle name="Percent 3 6 12 2 4" xfId="7077"/>
    <cellStyle name="Percent 3 6 12 2 5" xfId="7078"/>
    <cellStyle name="Percent 3 6 12 3" xfId="7079"/>
    <cellStyle name="Percent 3 6 12 3 2" xfId="7080"/>
    <cellStyle name="Percent 3 6 12 3 2 2" xfId="7081"/>
    <cellStyle name="Percent 3 6 12 3 3" xfId="7082"/>
    <cellStyle name="Percent 3 6 12 3 3 2" xfId="7083"/>
    <cellStyle name="Percent 3 6 12 3 4" xfId="7084"/>
    <cellStyle name="Percent 3 6 12 4" xfId="7085"/>
    <cellStyle name="Percent 3 6 12 4 2" xfId="7086"/>
    <cellStyle name="Percent 3 6 12 4 2 2" xfId="7087"/>
    <cellStyle name="Percent 3 6 12 4 3" xfId="7088"/>
    <cellStyle name="Percent 3 6 12 4 3 2" xfId="7089"/>
    <cellStyle name="Percent 3 6 12 4 4" xfId="7090"/>
    <cellStyle name="Percent 3 6 12 5" xfId="7091"/>
    <cellStyle name="Percent 3 6 12 5 2" xfId="7092"/>
    <cellStyle name="Percent 3 6 12 5 2 2" xfId="7093"/>
    <cellStyle name="Percent 3 6 12 5 3" xfId="7094"/>
    <cellStyle name="Percent 3 6 12 5 3 2" xfId="7095"/>
    <cellStyle name="Percent 3 6 12 5 4" xfId="7096"/>
    <cellStyle name="Percent 3 6 12 5 4 2" xfId="7097"/>
    <cellStyle name="Percent 3 6 12 5 5" xfId="7098"/>
    <cellStyle name="Percent 3 6 12 6" xfId="7099"/>
    <cellStyle name="Percent 3 6 12 6 2" xfId="7100"/>
    <cellStyle name="Percent 3 6 12 6 2 2" xfId="7101"/>
    <cellStyle name="Percent 3 6 12 6 3" xfId="7102"/>
    <cellStyle name="Percent 3 6 12 6 3 2" xfId="7103"/>
    <cellStyle name="Percent 3 6 12 6 4" xfId="7104"/>
    <cellStyle name="Percent 3 6 12 7" xfId="7105"/>
    <cellStyle name="Percent 3 6 12 7 2" xfId="7106"/>
    <cellStyle name="Percent 3 6 12 8" xfId="7107"/>
    <cellStyle name="Percent 3 6 12 8 2" xfId="7108"/>
    <cellStyle name="Percent 3 6 12 9" xfId="7109"/>
    <cellStyle name="Percent 3 6 12 9 2" xfId="7110"/>
    <cellStyle name="Percent 3 6 13 12" xfId="7111"/>
    <cellStyle name="Percent 3 6 13 10" xfId="7112"/>
    <cellStyle name="Percent 3 6 13 11" xfId="7113"/>
    <cellStyle name="Percent 3 6 13 2" xfId="7114"/>
    <cellStyle name="Percent 3 6 13 2 2" xfId="7115"/>
    <cellStyle name="Percent 3 6 13 2 2 2" xfId="7116"/>
    <cellStyle name="Percent 3 6 13 2 3" xfId="7117"/>
    <cellStyle name="Percent 3 6 13 2 3 2" xfId="7118"/>
    <cellStyle name="Percent 3 6 13 2 4" xfId="7119"/>
    <cellStyle name="Percent 3 6 13 2 5" xfId="7120"/>
    <cellStyle name="Percent 3 6 13 3" xfId="7121"/>
    <cellStyle name="Percent 3 6 13 3 2" xfId="7122"/>
    <cellStyle name="Percent 3 6 13 3 2 2" xfId="7123"/>
    <cellStyle name="Percent 3 6 13 3 3" xfId="7124"/>
    <cellStyle name="Percent 3 6 13 3 3 2" xfId="7125"/>
    <cellStyle name="Percent 3 6 13 3 4" xfId="7126"/>
    <cellStyle name="Percent 3 6 13 4" xfId="7127"/>
    <cellStyle name="Percent 3 6 13 4 2" xfId="7128"/>
    <cellStyle name="Percent 3 6 13 4 2 2" xfId="7129"/>
    <cellStyle name="Percent 3 6 13 4 3" xfId="7130"/>
    <cellStyle name="Percent 3 6 13 4 3 2" xfId="7131"/>
    <cellStyle name="Percent 3 6 13 4 4" xfId="7132"/>
    <cellStyle name="Percent 3 6 13 5" xfId="7133"/>
    <cellStyle name="Percent 3 6 13 5 2" xfId="7134"/>
    <cellStyle name="Percent 3 6 13 5 2 2" xfId="7135"/>
    <cellStyle name="Percent 3 6 13 5 3" xfId="7136"/>
    <cellStyle name="Percent 3 6 13 5 3 2" xfId="7137"/>
    <cellStyle name="Percent 3 6 13 5 4" xfId="7138"/>
    <cellStyle name="Percent 3 6 13 5 4 2" xfId="7139"/>
    <cellStyle name="Percent 3 6 13 5 5" xfId="7140"/>
    <cellStyle name="Percent 3 6 13 6" xfId="7141"/>
    <cellStyle name="Percent 3 6 13 6 2" xfId="7142"/>
    <cellStyle name="Percent 3 6 13 6 2 2" xfId="7143"/>
    <cellStyle name="Percent 3 6 13 6 3" xfId="7144"/>
    <cellStyle name="Percent 3 6 13 6 3 2" xfId="7145"/>
    <cellStyle name="Percent 3 6 13 6 4" xfId="7146"/>
    <cellStyle name="Percent 3 6 13 7" xfId="7147"/>
    <cellStyle name="Percent 3 6 13 7 2" xfId="7148"/>
    <cellStyle name="Percent 3 6 13 8" xfId="7149"/>
    <cellStyle name="Percent 3 6 13 8 2" xfId="7150"/>
    <cellStyle name="Percent 3 6 13 9" xfId="7151"/>
    <cellStyle name="Percent 3 6 13 9 2" xfId="7152"/>
    <cellStyle name="Percent 3 6 14 12" xfId="7153"/>
    <cellStyle name="Percent 3 6 14 10" xfId="7154"/>
    <cellStyle name="Percent 3 6 14 11" xfId="7155"/>
    <cellStyle name="Percent 3 6 14 2" xfId="7156"/>
    <cellStyle name="Percent 3 6 14 2 2" xfId="7157"/>
    <cellStyle name="Percent 3 6 14 2 2 2" xfId="7158"/>
    <cellStyle name="Percent 3 6 14 2 3" xfId="7159"/>
    <cellStyle name="Percent 3 6 14 2 3 2" xfId="7160"/>
    <cellStyle name="Percent 3 6 14 2 4" xfId="7161"/>
    <cellStyle name="Percent 3 6 14 2 5" xfId="7162"/>
    <cellStyle name="Percent 3 6 14 3" xfId="7163"/>
    <cellStyle name="Percent 3 6 14 3 2" xfId="7164"/>
    <cellStyle name="Percent 3 6 14 3 2 2" xfId="7165"/>
    <cellStyle name="Percent 3 6 14 3 3" xfId="7166"/>
    <cellStyle name="Percent 3 6 14 3 3 2" xfId="7167"/>
    <cellStyle name="Percent 3 6 14 3 4" xfId="7168"/>
    <cellStyle name="Percent 3 6 14 4" xfId="7169"/>
    <cellStyle name="Percent 3 6 14 4 2" xfId="7170"/>
    <cellStyle name="Percent 3 6 14 4 2 2" xfId="7171"/>
    <cellStyle name="Percent 3 6 14 4 3" xfId="7172"/>
    <cellStyle name="Percent 3 6 14 4 3 2" xfId="7173"/>
    <cellStyle name="Percent 3 6 14 4 4" xfId="7174"/>
    <cellStyle name="Percent 3 6 14 5" xfId="7175"/>
    <cellStyle name="Percent 3 6 14 5 2" xfId="7176"/>
    <cellStyle name="Percent 3 6 14 5 2 2" xfId="7177"/>
    <cellStyle name="Percent 3 6 14 5 3" xfId="7178"/>
    <cellStyle name="Percent 3 6 14 5 3 2" xfId="7179"/>
    <cellStyle name="Percent 3 6 14 5 4" xfId="7180"/>
    <cellStyle name="Percent 3 6 14 5 4 2" xfId="7181"/>
    <cellStyle name="Percent 3 6 14 5 5" xfId="7182"/>
    <cellStyle name="Percent 3 6 14 6" xfId="7183"/>
    <cellStyle name="Percent 3 6 14 6 2" xfId="7184"/>
    <cellStyle name="Percent 3 6 14 6 2 2" xfId="7185"/>
    <cellStyle name="Percent 3 6 14 6 3" xfId="7186"/>
    <cellStyle name="Percent 3 6 14 6 3 2" xfId="7187"/>
    <cellStyle name="Percent 3 6 14 6 4" xfId="7188"/>
    <cellStyle name="Percent 3 6 14 7" xfId="7189"/>
    <cellStyle name="Percent 3 6 14 7 2" xfId="7190"/>
    <cellStyle name="Percent 3 6 14 8" xfId="7191"/>
    <cellStyle name="Percent 3 6 14 8 2" xfId="7192"/>
    <cellStyle name="Percent 3 6 14 9" xfId="7193"/>
    <cellStyle name="Percent 3 6 14 9 2" xfId="7194"/>
    <cellStyle name="Percent 3 6 15 12" xfId="7195"/>
    <cellStyle name="Percent 3 6 15 10" xfId="7196"/>
    <cellStyle name="Percent 3 6 15 11" xfId="7197"/>
    <cellStyle name="Percent 3 6 15 2" xfId="7198"/>
    <cellStyle name="Percent 3 6 15 2 2" xfId="7199"/>
    <cellStyle name="Percent 3 6 15 2 2 2" xfId="7200"/>
    <cellStyle name="Percent 3 6 15 2 3" xfId="7201"/>
    <cellStyle name="Percent 3 6 15 2 3 2" xfId="7202"/>
    <cellStyle name="Percent 3 6 15 2 4" xfId="7203"/>
    <cellStyle name="Percent 3 6 15 2 5" xfId="7204"/>
    <cellStyle name="Percent 3 6 15 3" xfId="7205"/>
    <cellStyle name="Percent 3 6 15 3 2" xfId="7206"/>
    <cellStyle name="Percent 3 6 15 3 2 2" xfId="7207"/>
    <cellStyle name="Percent 3 6 15 3 3" xfId="7208"/>
    <cellStyle name="Percent 3 6 15 3 3 2" xfId="7209"/>
    <cellStyle name="Percent 3 6 15 3 4" xfId="7210"/>
    <cellStyle name="Percent 3 6 15 4" xfId="7211"/>
    <cellStyle name="Percent 3 6 15 4 2" xfId="7212"/>
    <cellStyle name="Percent 3 6 15 4 2 2" xfId="7213"/>
    <cellStyle name="Percent 3 6 15 4 3" xfId="7214"/>
    <cellStyle name="Percent 3 6 15 4 3 2" xfId="7215"/>
    <cellStyle name="Percent 3 6 15 4 4" xfId="7216"/>
    <cellStyle name="Percent 3 6 15 5" xfId="7217"/>
    <cellStyle name="Percent 3 6 15 5 2" xfId="7218"/>
    <cellStyle name="Percent 3 6 15 5 2 2" xfId="7219"/>
    <cellStyle name="Percent 3 6 15 5 3" xfId="7220"/>
    <cellStyle name="Percent 3 6 15 5 3 2" xfId="7221"/>
    <cellStyle name="Percent 3 6 15 5 4" xfId="7222"/>
    <cellStyle name="Percent 3 6 15 5 4 2" xfId="7223"/>
    <cellStyle name="Percent 3 6 15 5 5" xfId="7224"/>
    <cellStyle name="Percent 3 6 15 6" xfId="7225"/>
    <cellStyle name="Percent 3 6 15 6 2" xfId="7226"/>
    <cellStyle name="Percent 3 6 15 6 2 2" xfId="7227"/>
    <cellStyle name="Percent 3 6 15 6 3" xfId="7228"/>
    <cellStyle name="Percent 3 6 15 6 3 2" xfId="7229"/>
    <cellStyle name="Percent 3 6 15 6 4" xfId="7230"/>
    <cellStyle name="Percent 3 6 15 7" xfId="7231"/>
    <cellStyle name="Percent 3 6 15 7 2" xfId="7232"/>
    <cellStyle name="Percent 3 6 15 8" xfId="7233"/>
    <cellStyle name="Percent 3 6 15 8 2" xfId="7234"/>
    <cellStyle name="Percent 3 6 15 9" xfId="7235"/>
    <cellStyle name="Percent 3 6 15 9 2" xfId="7236"/>
    <cellStyle name="Percent 3 6 16" xfId="7237"/>
    <cellStyle name="Percent 3 6 16 2" xfId="7238"/>
    <cellStyle name="Percent 3 6 16 2 2" xfId="7239"/>
    <cellStyle name="Percent 3 6 16 3" xfId="7240"/>
    <cellStyle name="Percent 3 6 16 3 2" xfId="7241"/>
    <cellStyle name="Percent 3 6 16 4" xfId="7242"/>
    <cellStyle name="Percent 3 6 16 5" xfId="7243"/>
    <cellStyle name="Percent 3 6 17" xfId="7244"/>
    <cellStyle name="Percent 3 6 17 2" xfId="7245"/>
    <cellStyle name="Percent 3 6 17 2 2" xfId="7246"/>
    <cellStyle name="Percent 3 6 17 3" xfId="7247"/>
    <cellStyle name="Percent 3 6 17 3 2" xfId="7248"/>
    <cellStyle name="Percent 3 6 17 4" xfId="7249"/>
    <cellStyle name="Percent 3 6 18" xfId="7250"/>
    <cellStyle name="Percent 3 6 18 2" xfId="7251"/>
    <cellStyle name="Percent 3 6 18 2 2" xfId="7252"/>
    <cellStyle name="Percent 3 6 18 3" xfId="7253"/>
    <cellStyle name="Percent 3 6 18 3 2" xfId="7254"/>
    <cellStyle name="Percent 3 6 18 4" xfId="7255"/>
    <cellStyle name="Percent 3 6 19" xfId="7256"/>
    <cellStyle name="Percent 3 6 19 2" xfId="7257"/>
    <cellStyle name="Percent 3 6 19 2 2" xfId="7258"/>
    <cellStyle name="Percent 3 6 19 3" xfId="7259"/>
    <cellStyle name="Percent 3 6 19 3 2" xfId="7260"/>
    <cellStyle name="Percent 3 6 19 4" xfId="7261"/>
    <cellStyle name="Percent 3 6 19 4 2" xfId="7262"/>
    <cellStyle name="Percent 3 6 19 5" xfId="7263"/>
    <cellStyle name="Percent 3 6 2 12" xfId="7264"/>
    <cellStyle name="Percent 3 6 2 10" xfId="7265"/>
    <cellStyle name="Percent 3 6 2 11" xfId="7266"/>
    <cellStyle name="Percent 3 6 2 2" xfId="7267"/>
    <cellStyle name="Percent 3 6 2 2 2" xfId="7268"/>
    <cellStyle name="Percent 3 6 2 2 2 2" xfId="7269"/>
    <cellStyle name="Percent 3 6 2 2 3" xfId="7270"/>
    <cellStyle name="Percent 3 6 2 2 3 2" xfId="7271"/>
    <cellStyle name="Percent 3 6 2 2 4" xfId="7272"/>
    <cellStyle name="Percent 3 6 2 2 5" xfId="7273"/>
    <cellStyle name="Percent 3 6 2 3" xfId="7274"/>
    <cellStyle name="Percent 3 6 2 3 2" xfId="7275"/>
    <cellStyle name="Percent 3 6 2 3 2 2" xfId="7276"/>
    <cellStyle name="Percent 3 6 2 3 3" xfId="7277"/>
    <cellStyle name="Percent 3 6 2 3 3 2" xfId="7278"/>
    <cellStyle name="Percent 3 6 2 3 4" xfId="7279"/>
    <cellStyle name="Percent 3 6 2 4" xfId="7280"/>
    <cellStyle name="Percent 3 6 2 4 2" xfId="7281"/>
    <cellStyle name="Percent 3 6 2 4 2 2" xfId="7282"/>
    <cellStyle name="Percent 3 6 2 4 3" xfId="7283"/>
    <cellStyle name="Percent 3 6 2 4 3 2" xfId="7284"/>
    <cellStyle name="Percent 3 6 2 4 4" xfId="7285"/>
    <cellStyle name="Percent 3 6 2 5" xfId="7286"/>
    <cellStyle name="Percent 3 6 2 5 2" xfId="7287"/>
    <cellStyle name="Percent 3 6 2 5 2 2" xfId="7288"/>
    <cellStyle name="Percent 3 6 2 5 3" xfId="7289"/>
    <cellStyle name="Percent 3 6 2 5 3 2" xfId="7290"/>
    <cellStyle name="Percent 3 6 2 5 4" xfId="7291"/>
    <cellStyle name="Percent 3 6 2 5 4 2" xfId="7292"/>
    <cellStyle name="Percent 3 6 2 5 5" xfId="7293"/>
    <cellStyle name="Percent 3 6 2 6" xfId="7294"/>
    <cellStyle name="Percent 3 6 2 6 2" xfId="7295"/>
    <cellStyle name="Percent 3 6 2 6 2 2" xfId="7296"/>
    <cellStyle name="Percent 3 6 2 6 3" xfId="7297"/>
    <cellStyle name="Percent 3 6 2 6 3 2" xfId="7298"/>
    <cellStyle name="Percent 3 6 2 6 4" xfId="7299"/>
    <cellStyle name="Percent 3 6 2 7" xfId="7300"/>
    <cellStyle name="Percent 3 6 2 7 2" xfId="7301"/>
    <cellStyle name="Percent 3 6 2 8" xfId="7302"/>
    <cellStyle name="Percent 3 6 2 8 2" xfId="7303"/>
    <cellStyle name="Percent 3 6 2 9" xfId="7304"/>
    <cellStyle name="Percent 3 6 2 9 2" xfId="7305"/>
    <cellStyle name="Percent 3 6 20" xfId="7306"/>
    <cellStyle name="Percent 3 6 20 2" xfId="7307"/>
    <cellStyle name="Percent 3 6 20 2 2" xfId="7308"/>
    <cellStyle name="Percent 3 6 20 3" xfId="7309"/>
    <cellStyle name="Percent 3 6 20 3 2" xfId="7310"/>
    <cellStyle name="Percent 3 6 20 4" xfId="7311"/>
    <cellStyle name="Percent 3 6 21" xfId="7312"/>
    <cellStyle name="Percent 3 6 21 2" xfId="7313"/>
    <cellStyle name="Percent 3 6 22" xfId="7314"/>
    <cellStyle name="Percent 3 6 22 2" xfId="7315"/>
    <cellStyle name="Percent 3 6 23" xfId="7316"/>
    <cellStyle name="Percent 3 6 23 2" xfId="7317"/>
    <cellStyle name="Percent 3 6 24" xfId="7318"/>
    <cellStyle name="Percent 3 6 25" xfId="7319"/>
    <cellStyle name="Percent 3 6 3 12" xfId="7320"/>
    <cellStyle name="Percent 3 6 3 10" xfId="7321"/>
    <cellStyle name="Percent 3 6 3 11" xfId="7322"/>
    <cellStyle name="Percent 3 6 3 2" xfId="7323"/>
    <cellStyle name="Percent 3 6 3 2 2" xfId="7324"/>
    <cellStyle name="Percent 3 6 3 2 2 2" xfId="7325"/>
    <cellStyle name="Percent 3 6 3 2 3" xfId="7326"/>
    <cellStyle name="Percent 3 6 3 2 3 2" xfId="7327"/>
    <cellStyle name="Percent 3 6 3 2 4" xfId="7328"/>
    <cellStyle name="Percent 3 6 3 2 5" xfId="7329"/>
    <cellStyle name="Percent 3 6 3 3" xfId="7330"/>
    <cellStyle name="Percent 3 6 3 3 2" xfId="7331"/>
    <cellStyle name="Percent 3 6 3 3 2 2" xfId="7332"/>
    <cellStyle name="Percent 3 6 3 3 3" xfId="7333"/>
    <cellStyle name="Percent 3 6 3 3 3 2" xfId="7334"/>
    <cellStyle name="Percent 3 6 3 3 4" xfId="7335"/>
    <cellStyle name="Percent 3 6 3 4" xfId="7336"/>
    <cellStyle name="Percent 3 6 3 4 2" xfId="7337"/>
    <cellStyle name="Percent 3 6 3 4 2 2" xfId="7338"/>
    <cellStyle name="Percent 3 6 3 4 3" xfId="7339"/>
    <cellStyle name="Percent 3 6 3 4 3 2" xfId="7340"/>
    <cellStyle name="Percent 3 6 3 4 4" xfId="7341"/>
    <cellStyle name="Percent 3 6 3 5" xfId="7342"/>
    <cellStyle name="Percent 3 6 3 5 2" xfId="7343"/>
    <cellStyle name="Percent 3 6 3 5 2 2" xfId="7344"/>
    <cellStyle name="Percent 3 6 3 5 3" xfId="7345"/>
    <cellStyle name="Percent 3 6 3 5 3 2" xfId="7346"/>
    <cellStyle name="Percent 3 6 3 5 4" xfId="7347"/>
    <cellStyle name="Percent 3 6 3 5 4 2" xfId="7348"/>
    <cellStyle name="Percent 3 6 3 5 5" xfId="7349"/>
    <cellStyle name="Percent 3 6 3 6" xfId="7350"/>
    <cellStyle name="Percent 3 6 3 6 2" xfId="7351"/>
    <cellStyle name="Percent 3 6 3 6 2 2" xfId="7352"/>
    <cellStyle name="Percent 3 6 3 6 3" xfId="7353"/>
    <cellStyle name="Percent 3 6 3 6 3 2" xfId="7354"/>
    <cellStyle name="Percent 3 6 3 6 4" xfId="7355"/>
    <cellStyle name="Percent 3 6 3 7" xfId="7356"/>
    <cellStyle name="Percent 3 6 3 7 2" xfId="7357"/>
    <cellStyle name="Percent 3 6 3 8" xfId="7358"/>
    <cellStyle name="Percent 3 6 3 8 2" xfId="7359"/>
    <cellStyle name="Percent 3 6 3 9" xfId="7360"/>
    <cellStyle name="Percent 3 6 3 9 2" xfId="7361"/>
    <cellStyle name="Percent 3 6 4 12" xfId="7362"/>
    <cellStyle name="Percent 3 6 4 10" xfId="7363"/>
    <cellStyle name="Percent 3 6 4 11" xfId="7364"/>
    <cellStyle name="Percent 3 6 4 2" xfId="7365"/>
    <cellStyle name="Percent 3 6 4 2 2" xfId="7366"/>
    <cellStyle name="Percent 3 6 4 2 2 2" xfId="7367"/>
    <cellStyle name="Percent 3 6 4 2 3" xfId="7368"/>
    <cellStyle name="Percent 3 6 4 2 3 2" xfId="7369"/>
    <cellStyle name="Percent 3 6 4 2 4" xfId="7370"/>
    <cellStyle name="Percent 3 6 4 2 5" xfId="7371"/>
    <cellStyle name="Percent 3 6 4 3" xfId="7372"/>
    <cellStyle name="Percent 3 6 4 3 2" xfId="7373"/>
    <cellStyle name="Percent 3 6 4 3 2 2" xfId="7374"/>
    <cellStyle name="Percent 3 6 4 3 3" xfId="7375"/>
    <cellStyle name="Percent 3 6 4 3 3 2" xfId="7376"/>
    <cellStyle name="Percent 3 6 4 3 4" xfId="7377"/>
    <cellStyle name="Percent 3 6 4 4" xfId="7378"/>
    <cellStyle name="Percent 3 6 4 4 2" xfId="7379"/>
    <cellStyle name="Percent 3 6 4 4 2 2" xfId="7380"/>
    <cellStyle name="Percent 3 6 4 4 3" xfId="7381"/>
    <cellStyle name="Percent 3 6 4 4 3 2" xfId="7382"/>
    <cellStyle name="Percent 3 6 4 4 4" xfId="7383"/>
    <cellStyle name="Percent 3 6 4 5" xfId="7384"/>
    <cellStyle name="Percent 3 6 4 5 2" xfId="7385"/>
    <cellStyle name="Percent 3 6 4 5 2 2" xfId="7386"/>
    <cellStyle name="Percent 3 6 4 5 3" xfId="7387"/>
    <cellStyle name="Percent 3 6 4 5 3 2" xfId="7388"/>
    <cellStyle name="Percent 3 6 4 5 4" xfId="7389"/>
    <cellStyle name="Percent 3 6 4 5 4 2" xfId="7390"/>
    <cellStyle name="Percent 3 6 4 5 5" xfId="7391"/>
    <cellStyle name="Percent 3 6 4 6" xfId="7392"/>
    <cellStyle name="Percent 3 6 4 6 2" xfId="7393"/>
    <cellStyle name="Percent 3 6 4 6 2 2" xfId="7394"/>
    <cellStyle name="Percent 3 6 4 6 3" xfId="7395"/>
    <cellStyle name="Percent 3 6 4 6 3 2" xfId="7396"/>
    <cellStyle name="Percent 3 6 4 6 4" xfId="7397"/>
    <cellStyle name="Percent 3 6 4 7" xfId="7398"/>
    <cellStyle name="Percent 3 6 4 7 2" xfId="7399"/>
    <cellStyle name="Percent 3 6 4 8" xfId="7400"/>
    <cellStyle name="Percent 3 6 4 8 2" xfId="7401"/>
    <cellStyle name="Percent 3 6 4 9" xfId="7402"/>
    <cellStyle name="Percent 3 6 4 9 2" xfId="7403"/>
    <cellStyle name="Percent 3 6 5 12" xfId="7404"/>
    <cellStyle name="Percent 3 6 5 10" xfId="7405"/>
    <cellStyle name="Percent 3 6 5 11" xfId="7406"/>
    <cellStyle name="Percent 3 6 5 2" xfId="7407"/>
    <cellStyle name="Percent 3 6 5 2 2" xfId="7408"/>
    <cellStyle name="Percent 3 6 5 2 2 2" xfId="7409"/>
    <cellStyle name="Percent 3 6 5 2 3" xfId="7410"/>
    <cellStyle name="Percent 3 6 5 2 3 2" xfId="7411"/>
    <cellStyle name="Percent 3 6 5 2 4" xfId="7412"/>
    <cellStyle name="Percent 3 6 5 2 5" xfId="7413"/>
    <cellStyle name="Percent 3 6 5 3" xfId="7414"/>
    <cellStyle name="Percent 3 6 5 3 2" xfId="7415"/>
    <cellStyle name="Percent 3 6 5 3 2 2" xfId="7416"/>
    <cellStyle name="Percent 3 6 5 3 3" xfId="7417"/>
    <cellStyle name="Percent 3 6 5 3 3 2" xfId="7418"/>
    <cellStyle name="Percent 3 6 5 3 4" xfId="7419"/>
    <cellStyle name="Percent 3 6 5 4" xfId="7420"/>
    <cellStyle name="Percent 3 6 5 4 2" xfId="7421"/>
    <cellStyle name="Percent 3 6 5 4 2 2" xfId="7422"/>
    <cellStyle name="Percent 3 6 5 4 3" xfId="7423"/>
    <cellStyle name="Percent 3 6 5 4 3 2" xfId="7424"/>
    <cellStyle name="Percent 3 6 5 4 4" xfId="7425"/>
    <cellStyle name="Percent 3 6 5 5" xfId="7426"/>
    <cellStyle name="Percent 3 6 5 5 2" xfId="7427"/>
    <cellStyle name="Percent 3 6 5 5 2 2" xfId="7428"/>
    <cellStyle name="Percent 3 6 5 5 3" xfId="7429"/>
    <cellStyle name="Percent 3 6 5 5 3 2" xfId="7430"/>
    <cellStyle name="Percent 3 6 5 5 4" xfId="7431"/>
    <cellStyle name="Percent 3 6 5 5 4 2" xfId="7432"/>
    <cellStyle name="Percent 3 6 5 5 5" xfId="7433"/>
    <cellStyle name="Percent 3 6 5 6" xfId="7434"/>
    <cellStyle name="Percent 3 6 5 6 2" xfId="7435"/>
    <cellStyle name="Percent 3 6 5 6 2 2" xfId="7436"/>
    <cellStyle name="Percent 3 6 5 6 3" xfId="7437"/>
    <cellStyle name="Percent 3 6 5 6 3 2" xfId="7438"/>
    <cellStyle name="Percent 3 6 5 6 4" xfId="7439"/>
    <cellStyle name="Percent 3 6 5 7" xfId="7440"/>
    <cellStyle name="Percent 3 6 5 7 2" xfId="7441"/>
    <cellStyle name="Percent 3 6 5 8" xfId="7442"/>
    <cellStyle name="Percent 3 6 5 8 2" xfId="7443"/>
    <cellStyle name="Percent 3 6 5 9" xfId="7444"/>
    <cellStyle name="Percent 3 6 5 9 2" xfId="7445"/>
    <cellStyle name="Percent 3 6 6 12" xfId="7446"/>
    <cellStyle name="Percent 3 6 6 10" xfId="7447"/>
    <cellStyle name="Percent 3 6 6 11" xfId="7448"/>
    <cellStyle name="Percent 3 6 6 2" xfId="7449"/>
    <cellStyle name="Percent 3 6 6 2 2" xfId="7450"/>
    <cellStyle name="Percent 3 6 6 2 2 2" xfId="7451"/>
    <cellStyle name="Percent 3 6 6 2 3" xfId="7452"/>
    <cellStyle name="Percent 3 6 6 2 3 2" xfId="7453"/>
    <cellStyle name="Percent 3 6 6 2 4" xfId="7454"/>
    <cellStyle name="Percent 3 6 6 2 5" xfId="7455"/>
    <cellStyle name="Percent 3 6 6 3" xfId="7456"/>
    <cellStyle name="Percent 3 6 6 3 2" xfId="7457"/>
    <cellStyle name="Percent 3 6 6 3 2 2" xfId="7458"/>
    <cellStyle name="Percent 3 6 6 3 3" xfId="7459"/>
    <cellStyle name="Percent 3 6 6 3 3 2" xfId="7460"/>
    <cellStyle name="Percent 3 6 6 3 4" xfId="7461"/>
    <cellStyle name="Percent 3 6 6 4" xfId="7462"/>
    <cellStyle name="Percent 3 6 6 4 2" xfId="7463"/>
    <cellStyle name="Percent 3 6 6 4 2 2" xfId="7464"/>
    <cellStyle name="Percent 3 6 6 4 3" xfId="7465"/>
    <cellStyle name="Percent 3 6 6 4 3 2" xfId="7466"/>
    <cellStyle name="Percent 3 6 6 4 4" xfId="7467"/>
    <cellStyle name="Percent 3 6 6 5" xfId="7468"/>
    <cellStyle name="Percent 3 6 6 5 2" xfId="7469"/>
    <cellStyle name="Percent 3 6 6 5 2 2" xfId="7470"/>
    <cellStyle name="Percent 3 6 6 5 3" xfId="7471"/>
    <cellStyle name="Percent 3 6 6 5 3 2" xfId="7472"/>
    <cellStyle name="Percent 3 6 6 5 4" xfId="7473"/>
    <cellStyle name="Percent 3 6 6 5 4 2" xfId="7474"/>
    <cellStyle name="Percent 3 6 6 5 5" xfId="7475"/>
    <cellStyle name="Percent 3 6 6 6" xfId="7476"/>
    <cellStyle name="Percent 3 6 6 6 2" xfId="7477"/>
    <cellStyle name="Percent 3 6 6 6 2 2" xfId="7478"/>
    <cellStyle name="Percent 3 6 6 6 3" xfId="7479"/>
    <cellStyle name="Percent 3 6 6 6 3 2" xfId="7480"/>
    <cellStyle name="Percent 3 6 6 6 4" xfId="7481"/>
    <cellStyle name="Percent 3 6 6 7" xfId="7482"/>
    <cellStyle name="Percent 3 6 6 7 2" xfId="7483"/>
    <cellStyle name="Percent 3 6 6 8" xfId="7484"/>
    <cellStyle name="Percent 3 6 6 8 2" xfId="7485"/>
    <cellStyle name="Percent 3 6 6 9" xfId="7486"/>
    <cellStyle name="Percent 3 6 6 9 2" xfId="7487"/>
    <cellStyle name="Percent 3 6 7 12" xfId="7488"/>
    <cellStyle name="Percent 3 6 7 10" xfId="7489"/>
    <cellStyle name="Percent 3 6 7 11" xfId="7490"/>
    <cellStyle name="Percent 3 6 7 2" xfId="7491"/>
    <cellStyle name="Percent 3 6 7 2 2" xfId="7492"/>
    <cellStyle name="Percent 3 6 7 2 2 2" xfId="7493"/>
    <cellStyle name="Percent 3 6 7 2 3" xfId="7494"/>
    <cellStyle name="Percent 3 6 7 2 3 2" xfId="7495"/>
    <cellStyle name="Percent 3 6 7 2 4" xfId="7496"/>
    <cellStyle name="Percent 3 6 7 2 5" xfId="7497"/>
    <cellStyle name="Percent 3 6 7 3" xfId="7498"/>
    <cellStyle name="Percent 3 6 7 3 2" xfId="7499"/>
    <cellStyle name="Percent 3 6 7 3 2 2" xfId="7500"/>
    <cellStyle name="Percent 3 6 7 3 3" xfId="7501"/>
    <cellStyle name="Percent 3 6 7 3 3 2" xfId="7502"/>
    <cellStyle name="Percent 3 6 7 3 4" xfId="7503"/>
    <cellStyle name="Percent 3 6 7 4" xfId="7504"/>
    <cellStyle name="Percent 3 6 7 4 2" xfId="7505"/>
    <cellStyle name="Percent 3 6 7 4 2 2" xfId="7506"/>
    <cellStyle name="Percent 3 6 7 4 3" xfId="7507"/>
    <cellStyle name="Percent 3 6 7 4 3 2" xfId="7508"/>
    <cellStyle name="Percent 3 6 7 4 4" xfId="7509"/>
    <cellStyle name="Percent 3 6 7 5" xfId="7510"/>
    <cellStyle name="Percent 3 6 7 5 2" xfId="7511"/>
    <cellStyle name="Percent 3 6 7 5 2 2" xfId="7512"/>
    <cellStyle name="Percent 3 6 7 5 3" xfId="7513"/>
    <cellStyle name="Percent 3 6 7 5 3 2" xfId="7514"/>
    <cellStyle name="Percent 3 6 7 5 4" xfId="7515"/>
    <cellStyle name="Percent 3 6 7 5 4 2" xfId="7516"/>
    <cellStyle name="Percent 3 6 7 5 5" xfId="7517"/>
    <cellStyle name="Percent 3 6 7 6" xfId="7518"/>
    <cellStyle name="Percent 3 6 7 6 2" xfId="7519"/>
    <cellStyle name="Percent 3 6 7 6 2 2" xfId="7520"/>
    <cellStyle name="Percent 3 6 7 6 3" xfId="7521"/>
    <cellStyle name="Percent 3 6 7 6 3 2" xfId="7522"/>
    <cellStyle name="Percent 3 6 7 6 4" xfId="7523"/>
    <cellStyle name="Percent 3 6 7 7" xfId="7524"/>
    <cellStyle name="Percent 3 6 7 7 2" xfId="7525"/>
    <cellStyle name="Percent 3 6 7 8" xfId="7526"/>
    <cellStyle name="Percent 3 6 7 8 2" xfId="7527"/>
    <cellStyle name="Percent 3 6 7 9" xfId="7528"/>
    <cellStyle name="Percent 3 6 7 9 2" xfId="7529"/>
    <cellStyle name="Percent 3 6 8 12" xfId="7530"/>
    <cellStyle name="Percent 3 6 8 10" xfId="7531"/>
    <cellStyle name="Percent 3 6 8 11" xfId="7532"/>
    <cellStyle name="Percent 3 6 8 2" xfId="7533"/>
    <cellStyle name="Percent 3 6 8 2 2" xfId="7534"/>
    <cellStyle name="Percent 3 6 8 2 2 2" xfId="7535"/>
    <cellStyle name="Percent 3 6 8 2 3" xfId="7536"/>
    <cellStyle name="Percent 3 6 8 2 3 2" xfId="7537"/>
    <cellStyle name="Percent 3 6 8 2 4" xfId="7538"/>
    <cellStyle name="Percent 3 6 8 2 5" xfId="7539"/>
    <cellStyle name="Percent 3 6 8 3" xfId="7540"/>
    <cellStyle name="Percent 3 6 8 3 2" xfId="7541"/>
    <cellStyle name="Percent 3 6 8 3 2 2" xfId="7542"/>
    <cellStyle name="Percent 3 6 8 3 3" xfId="7543"/>
    <cellStyle name="Percent 3 6 8 3 3 2" xfId="7544"/>
    <cellStyle name="Percent 3 6 8 3 4" xfId="7545"/>
    <cellStyle name="Percent 3 6 8 4" xfId="7546"/>
    <cellStyle name="Percent 3 6 8 4 2" xfId="7547"/>
    <cellStyle name="Percent 3 6 8 4 2 2" xfId="7548"/>
    <cellStyle name="Percent 3 6 8 4 3" xfId="7549"/>
    <cellStyle name="Percent 3 6 8 4 3 2" xfId="7550"/>
    <cellStyle name="Percent 3 6 8 4 4" xfId="7551"/>
    <cellStyle name="Percent 3 6 8 5" xfId="7552"/>
    <cellStyle name="Percent 3 6 8 5 2" xfId="7553"/>
    <cellStyle name="Percent 3 6 8 5 2 2" xfId="7554"/>
    <cellStyle name="Percent 3 6 8 5 3" xfId="7555"/>
    <cellStyle name="Percent 3 6 8 5 3 2" xfId="7556"/>
    <cellStyle name="Percent 3 6 8 5 4" xfId="7557"/>
    <cellStyle name="Percent 3 6 8 5 4 2" xfId="7558"/>
    <cellStyle name="Percent 3 6 8 5 5" xfId="7559"/>
    <cellStyle name="Percent 3 6 8 6" xfId="7560"/>
    <cellStyle name="Percent 3 6 8 6 2" xfId="7561"/>
    <cellStyle name="Percent 3 6 8 6 2 2" xfId="7562"/>
    <cellStyle name="Percent 3 6 8 6 3" xfId="7563"/>
    <cellStyle name="Percent 3 6 8 6 3 2" xfId="7564"/>
    <cellStyle name="Percent 3 6 8 6 4" xfId="7565"/>
    <cellStyle name="Percent 3 6 8 7" xfId="7566"/>
    <cellStyle name="Percent 3 6 8 7 2" xfId="7567"/>
    <cellStyle name="Percent 3 6 8 8" xfId="7568"/>
    <cellStyle name="Percent 3 6 8 8 2" xfId="7569"/>
    <cellStyle name="Percent 3 6 8 9" xfId="7570"/>
    <cellStyle name="Percent 3 6 8 9 2" xfId="7571"/>
    <cellStyle name="Percent 3 6 9 12" xfId="7572"/>
    <cellStyle name="Percent 3 6 9 10" xfId="7573"/>
    <cellStyle name="Percent 3 6 9 11" xfId="7574"/>
    <cellStyle name="Percent 3 6 9 2" xfId="7575"/>
    <cellStyle name="Percent 3 6 9 2 2" xfId="7576"/>
    <cellStyle name="Percent 3 6 9 2 2 2" xfId="7577"/>
    <cellStyle name="Percent 3 6 9 2 3" xfId="7578"/>
    <cellStyle name="Percent 3 6 9 2 3 2" xfId="7579"/>
    <cellStyle name="Percent 3 6 9 2 4" xfId="7580"/>
    <cellStyle name="Percent 3 6 9 2 5" xfId="7581"/>
    <cellStyle name="Percent 3 6 9 3" xfId="7582"/>
    <cellStyle name="Percent 3 6 9 3 2" xfId="7583"/>
    <cellStyle name="Percent 3 6 9 3 2 2" xfId="7584"/>
    <cellStyle name="Percent 3 6 9 3 3" xfId="7585"/>
    <cellStyle name="Percent 3 6 9 3 3 2" xfId="7586"/>
    <cellStyle name="Percent 3 6 9 3 4" xfId="7587"/>
    <cellStyle name="Percent 3 6 9 4" xfId="7588"/>
    <cellStyle name="Percent 3 6 9 4 2" xfId="7589"/>
    <cellStyle name="Percent 3 6 9 4 2 2" xfId="7590"/>
    <cellStyle name="Percent 3 6 9 4 3" xfId="7591"/>
    <cellStyle name="Percent 3 6 9 4 3 2" xfId="7592"/>
    <cellStyle name="Percent 3 6 9 4 4" xfId="7593"/>
    <cellStyle name="Percent 3 6 9 5" xfId="7594"/>
    <cellStyle name="Percent 3 6 9 5 2" xfId="7595"/>
    <cellStyle name="Percent 3 6 9 5 2 2" xfId="7596"/>
    <cellStyle name="Percent 3 6 9 5 3" xfId="7597"/>
    <cellStyle name="Percent 3 6 9 5 3 2" xfId="7598"/>
    <cellStyle name="Percent 3 6 9 5 4" xfId="7599"/>
    <cellStyle name="Percent 3 6 9 5 4 2" xfId="7600"/>
    <cellStyle name="Percent 3 6 9 5 5" xfId="7601"/>
    <cellStyle name="Percent 3 6 9 6" xfId="7602"/>
    <cellStyle name="Percent 3 6 9 6 2" xfId="7603"/>
    <cellStyle name="Percent 3 6 9 6 2 2" xfId="7604"/>
    <cellStyle name="Percent 3 6 9 6 3" xfId="7605"/>
    <cellStyle name="Percent 3 6 9 6 3 2" xfId="7606"/>
    <cellStyle name="Percent 3 6 9 6 4" xfId="7607"/>
    <cellStyle name="Percent 3 6 9 7" xfId="7608"/>
    <cellStyle name="Percent 3 6 9 7 2" xfId="7609"/>
    <cellStyle name="Percent 3 6 9 8" xfId="7610"/>
    <cellStyle name="Percent 3 6 9 8 2" xfId="7611"/>
    <cellStyle name="Percent 3 6 9 9" xfId="7612"/>
    <cellStyle name="Percent 3 6 9 9 2" xfId="7613"/>
    <cellStyle name="Percent 3 7 26" xfId="7614"/>
    <cellStyle name="Percent 3 7 10 12" xfId="7615"/>
    <cellStyle name="Percent 3 7 10 10" xfId="7616"/>
    <cellStyle name="Percent 3 7 10 11" xfId="7617"/>
    <cellStyle name="Percent 3 7 10 2" xfId="7618"/>
    <cellStyle name="Percent 3 7 10 2 2" xfId="7619"/>
    <cellStyle name="Percent 3 7 10 2 2 2" xfId="7620"/>
    <cellStyle name="Percent 3 7 10 2 3" xfId="7621"/>
    <cellStyle name="Percent 3 7 10 2 3 2" xfId="7622"/>
    <cellStyle name="Percent 3 7 10 2 4" xfId="7623"/>
    <cellStyle name="Percent 3 7 10 2 5" xfId="7624"/>
    <cellStyle name="Percent 3 7 10 3" xfId="7625"/>
    <cellStyle name="Percent 3 7 10 3 2" xfId="7626"/>
    <cellStyle name="Percent 3 7 10 3 2 2" xfId="7627"/>
    <cellStyle name="Percent 3 7 10 3 3" xfId="7628"/>
    <cellStyle name="Percent 3 7 10 3 3 2" xfId="7629"/>
    <cellStyle name="Percent 3 7 10 3 4" xfId="7630"/>
    <cellStyle name="Percent 3 7 10 4" xfId="7631"/>
    <cellStyle name="Percent 3 7 10 4 2" xfId="7632"/>
    <cellStyle name="Percent 3 7 10 4 2 2" xfId="7633"/>
    <cellStyle name="Percent 3 7 10 4 3" xfId="7634"/>
    <cellStyle name="Percent 3 7 10 4 3 2" xfId="7635"/>
    <cellStyle name="Percent 3 7 10 4 4" xfId="7636"/>
    <cellStyle name="Percent 3 7 10 5" xfId="7637"/>
    <cellStyle name="Percent 3 7 10 5 2" xfId="7638"/>
    <cellStyle name="Percent 3 7 10 5 2 2" xfId="7639"/>
    <cellStyle name="Percent 3 7 10 5 3" xfId="7640"/>
    <cellStyle name="Percent 3 7 10 5 3 2" xfId="7641"/>
    <cellStyle name="Percent 3 7 10 5 4" xfId="7642"/>
    <cellStyle name="Percent 3 7 10 5 4 2" xfId="7643"/>
    <cellStyle name="Percent 3 7 10 5 5" xfId="7644"/>
    <cellStyle name="Percent 3 7 10 6" xfId="7645"/>
    <cellStyle name="Percent 3 7 10 6 2" xfId="7646"/>
    <cellStyle name="Percent 3 7 10 6 2 2" xfId="7647"/>
    <cellStyle name="Percent 3 7 10 6 3" xfId="7648"/>
    <cellStyle name="Percent 3 7 10 6 3 2" xfId="7649"/>
    <cellStyle name="Percent 3 7 10 6 4" xfId="7650"/>
    <cellStyle name="Percent 3 7 10 7" xfId="7651"/>
    <cellStyle name="Percent 3 7 10 7 2" xfId="7652"/>
    <cellStyle name="Percent 3 7 10 8" xfId="7653"/>
    <cellStyle name="Percent 3 7 10 8 2" xfId="7654"/>
    <cellStyle name="Percent 3 7 10 9" xfId="7655"/>
    <cellStyle name="Percent 3 7 10 9 2" xfId="7656"/>
    <cellStyle name="Percent 3 7 11 12" xfId="7657"/>
    <cellStyle name="Percent 3 7 11 10" xfId="7658"/>
    <cellStyle name="Percent 3 7 11 11" xfId="7659"/>
    <cellStyle name="Percent 3 7 11 2" xfId="7660"/>
    <cellStyle name="Percent 3 7 11 2 2" xfId="7661"/>
    <cellStyle name="Percent 3 7 11 2 2 2" xfId="7662"/>
    <cellStyle name="Percent 3 7 11 2 3" xfId="7663"/>
    <cellStyle name="Percent 3 7 11 2 3 2" xfId="7664"/>
    <cellStyle name="Percent 3 7 11 2 4" xfId="7665"/>
    <cellStyle name="Percent 3 7 11 2 5" xfId="7666"/>
    <cellStyle name="Percent 3 7 11 3" xfId="7667"/>
    <cellStyle name="Percent 3 7 11 3 2" xfId="7668"/>
    <cellStyle name="Percent 3 7 11 3 2 2" xfId="7669"/>
    <cellStyle name="Percent 3 7 11 3 3" xfId="7670"/>
    <cellStyle name="Percent 3 7 11 3 3 2" xfId="7671"/>
    <cellStyle name="Percent 3 7 11 3 4" xfId="7672"/>
    <cellStyle name="Percent 3 7 11 4" xfId="7673"/>
    <cellStyle name="Percent 3 7 11 4 2" xfId="7674"/>
    <cellStyle name="Percent 3 7 11 4 2 2" xfId="7675"/>
    <cellStyle name="Percent 3 7 11 4 3" xfId="7676"/>
    <cellStyle name="Percent 3 7 11 4 3 2" xfId="7677"/>
    <cellStyle name="Percent 3 7 11 4 4" xfId="7678"/>
    <cellStyle name="Percent 3 7 11 5" xfId="7679"/>
    <cellStyle name="Percent 3 7 11 5 2" xfId="7680"/>
    <cellStyle name="Percent 3 7 11 5 2 2" xfId="7681"/>
    <cellStyle name="Percent 3 7 11 5 3" xfId="7682"/>
    <cellStyle name="Percent 3 7 11 5 3 2" xfId="7683"/>
    <cellStyle name="Percent 3 7 11 5 4" xfId="7684"/>
    <cellStyle name="Percent 3 7 11 5 4 2" xfId="7685"/>
    <cellStyle name="Percent 3 7 11 5 5" xfId="7686"/>
    <cellStyle name="Percent 3 7 11 6" xfId="7687"/>
    <cellStyle name="Percent 3 7 11 6 2" xfId="7688"/>
    <cellStyle name="Percent 3 7 11 6 2 2" xfId="7689"/>
    <cellStyle name="Percent 3 7 11 6 3" xfId="7690"/>
    <cellStyle name="Percent 3 7 11 6 3 2" xfId="7691"/>
    <cellStyle name="Percent 3 7 11 6 4" xfId="7692"/>
    <cellStyle name="Percent 3 7 11 7" xfId="7693"/>
    <cellStyle name="Percent 3 7 11 7 2" xfId="7694"/>
    <cellStyle name="Percent 3 7 11 8" xfId="7695"/>
    <cellStyle name="Percent 3 7 11 8 2" xfId="7696"/>
    <cellStyle name="Percent 3 7 11 9" xfId="7697"/>
    <cellStyle name="Percent 3 7 11 9 2" xfId="7698"/>
    <cellStyle name="Percent 3 7 12 12" xfId="7699"/>
    <cellStyle name="Percent 3 7 12 10" xfId="7700"/>
    <cellStyle name="Percent 3 7 12 11" xfId="7701"/>
    <cellStyle name="Percent 3 7 12 2" xfId="7702"/>
    <cellStyle name="Percent 3 7 12 2 2" xfId="7703"/>
    <cellStyle name="Percent 3 7 12 2 2 2" xfId="7704"/>
    <cellStyle name="Percent 3 7 12 2 3" xfId="7705"/>
    <cellStyle name="Percent 3 7 12 2 3 2" xfId="7706"/>
    <cellStyle name="Percent 3 7 12 2 4" xfId="7707"/>
    <cellStyle name="Percent 3 7 12 2 5" xfId="7708"/>
    <cellStyle name="Percent 3 7 12 3" xfId="7709"/>
    <cellStyle name="Percent 3 7 12 3 2" xfId="7710"/>
    <cellStyle name="Percent 3 7 12 3 2 2" xfId="7711"/>
    <cellStyle name="Percent 3 7 12 3 3" xfId="7712"/>
    <cellStyle name="Percent 3 7 12 3 3 2" xfId="7713"/>
    <cellStyle name="Percent 3 7 12 3 4" xfId="7714"/>
    <cellStyle name="Percent 3 7 12 4" xfId="7715"/>
    <cellStyle name="Percent 3 7 12 4 2" xfId="7716"/>
    <cellStyle name="Percent 3 7 12 4 2 2" xfId="7717"/>
    <cellStyle name="Percent 3 7 12 4 3" xfId="7718"/>
    <cellStyle name="Percent 3 7 12 4 3 2" xfId="7719"/>
    <cellStyle name="Percent 3 7 12 4 4" xfId="7720"/>
    <cellStyle name="Percent 3 7 12 5" xfId="7721"/>
    <cellStyle name="Percent 3 7 12 5 2" xfId="7722"/>
    <cellStyle name="Percent 3 7 12 5 2 2" xfId="7723"/>
    <cellStyle name="Percent 3 7 12 5 3" xfId="7724"/>
    <cellStyle name="Percent 3 7 12 5 3 2" xfId="7725"/>
    <cellStyle name="Percent 3 7 12 5 4" xfId="7726"/>
    <cellStyle name="Percent 3 7 12 5 4 2" xfId="7727"/>
    <cellStyle name="Percent 3 7 12 5 5" xfId="7728"/>
    <cellStyle name="Percent 3 7 12 6" xfId="7729"/>
    <cellStyle name="Percent 3 7 12 6 2" xfId="7730"/>
    <cellStyle name="Percent 3 7 12 6 2 2" xfId="7731"/>
    <cellStyle name="Percent 3 7 12 6 3" xfId="7732"/>
    <cellStyle name="Percent 3 7 12 6 3 2" xfId="7733"/>
    <cellStyle name="Percent 3 7 12 6 4" xfId="7734"/>
    <cellStyle name="Percent 3 7 12 7" xfId="7735"/>
    <cellStyle name="Percent 3 7 12 7 2" xfId="7736"/>
    <cellStyle name="Percent 3 7 12 8" xfId="7737"/>
    <cellStyle name="Percent 3 7 12 8 2" xfId="7738"/>
    <cellStyle name="Percent 3 7 12 9" xfId="7739"/>
    <cellStyle name="Percent 3 7 12 9 2" xfId="7740"/>
    <cellStyle name="Percent 3 7 13 12" xfId="7741"/>
    <cellStyle name="Percent 3 7 13 10" xfId="7742"/>
    <cellStyle name="Percent 3 7 13 11" xfId="7743"/>
    <cellStyle name="Percent 3 7 13 2" xfId="7744"/>
    <cellStyle name="Percent 3 7 13 2 2" xfId="7745"/>
    <cellStyle name="Percent 3 7 13 2 2 2" xfId="7746"/>
    <cellStyle name="Percent 3 7 13 2 3" xfId="7747"/>
    <cellStyle name="Percent 3 7 13 2 3 2" xfId="7748"/>
    <cellStyle name="Percent 3 7 13 2 4" xfId="7749"/>
    <cellStyle name="Percent 3 7 13 2 5" xfId="7750"/>
    <cellStyle name="Percent 3 7 13 3" xfId="7751"/>
    <cellStyle name="Percent 3 7 13 3 2" xfId="7752"/>
    <cellStyle name="Percent 3 7 13 3 2 2" xfId="7753"/>
    <cellStyle name="Percent 3 7 13 3 3" xfId="7754"/>
    <cellStyle name="Percent 3 7 13 3 3 2" xfId="7755"/>
    <cellStyle name="Percent 3 7 13 3 4" xfId="7756"/>
    <cellStyle name="Percent 3 7 13 4" xfId="7757"/>
    <cellStyle name="Percent 3 7 13 4 2" xfId="7758"/>
    <cellStyle name="Percent 3 7 13 4 2 2" xfId="7759"/>
    <cellStyle name="Percent 3 7 13 4 3" xfId="7760"/>
    <cellStyle name="Percent 3 7 13 4 3 2" xfId="7761"/>
    <cellStyle name="Percent 3 7 13 4 4" xfId="7762"/>
    <cellStyle name="Percent 3 7 13 5" xfId="7763"/>
    <cellStyle name="Percent 3 7 13 5 2" xfId="7764"/>
    <cellStyle name="Percent 3 7 13 5 2 2" xfId="7765"/>
    <cellStyle name="Percent 3 7 13 5 3" xfId="7766"/>
    <cellStyle name="Percent 3 7 13 5 3 2" xfId="7767"/>
    <cellStyle name="Percent 3 7 13 5 4" xfId="7768"/>
    <cellStyle name="Percent 3 7 13 5 4 2" xfId="7769"/>
    <cellStyle name="Percent 3 7 13 5 5" xfId="7770"/>
    <cellStyle name="Percent 3 7 13 6" xfId="7771"/>
    <cellStyle name="Percent 3 7 13 6 2" xfId="7772"/>
    <cellStyle name="Percent 3 7 13 6 2 2" xfId="7773"/>
    <cellStyle name="Percent 3 7 13 6 3" xfId="7774"/>
    <cellStyle name="Percent 3 7 13 6 3 2" xfId="7775"/>
    <cellStyle name="Percent 3 7 13 6 4" xfId="7776"/>
    <cellStyle name="Percent 3 7 13 7" xfId="7777"/>
    <cellStyle name="Percent 3 7 13 7 2" xfId="7778"/>
    <cellStyle name="Percent 3 7 13 8" xfId="7779"/>
    <cellStyle name="Percent 3 7 13 8 2" xfId="7780"/>
    <cellStyle name="Percent 3 7 13 9" xfId="7781"/>
    <cellStyle name="Percent 3 7 13 9 2" xfId="7782"/>
    <cellStyle name="Percent 3 7 14 12" xfId="7783"/>
    <cellStyle name="Percent 3 7 14 10" xfId="7784"/>
    <cellStyle name="Percent 3 7 14 11" xfId="7785"/>
    <cellStyle name="Percent 3 7 14 2" xfId="7786"/>
    <cellStyle name="Percent 3 7 14 2 2" xfId="7787"/>
    <cellStyle name="Percent 3 7 14 2 2 2" xfId="7788"/>
    <cellStyle name="Percent 3 7 14 2 3" xfId="7789"/>
    <cellStyle name="Percent 3 7 14 2 3 2" xfId="7790"/>
    <cellStyle name="Percent 3 7 14 2 4" xfId="7791"/>
    <cellStyle name="Percent 3 7 14 2 5" xfId="7792"/>
    <cellStyle name="Percent 3 7 14 3" xfId="7793"/>
    <cellStyle name="Percent 3 7 14 3 2" xfId="7794"/>
    <cellStyle name="Percent 3 7 14 3 2 2" xfId="7795"/>
    <cellStyle name="Percent 3 7 14 3 3" xfId="7796"/>
    <cellStyle name="Percent 3 7 14 3 3 2" xfId="7797"/>
    <cellStyle name="Percent 3 7 14 3 4" xfId="7798"/>
    <cellStyle name="Percent 3 7 14 4" xfId="7799"/>
    <cellStyle name="Percent 3 7 14 4 2" xfId="7800"/>
    <cellStyle name="Percent 3 7 14 4 2 2" xfId="7801"/>
    <cellStyle name="Percent 3 7 14 4 3" xfId="7802"/>
    <cellStyle name="Percent 3 7 14 4 3 2" xfId="7803"/>
    <cellStyle name="Percent 3 7 14 4 4" xfId="7804"/>
    <cellStyle name="Percent 3 7 14 5" xfId="7805"/>
    <cellStyle name="Percent 3 7 14 5 2" xfId="7806"/>
    <cellStyle name="Percent 3 7 14 5 2 2" xfId="7807"/>
    <cellStyle name="Percent 3 7 14 5 3" xfId="7808"/>
    <cellStyle name="Percent 3 7 14 5 3 2" xfId="7809"/>
    <cellStyle name="Percent 3 7 14 5 4" xfId="7810"/>
    <cellStyle name="Percent 3 7 14 5 4 2" xfId="7811"/>
    <cellStyle name="Percent 3 7 14 5 5" xfId="7812"/>
    <cellStyle name="Percent 3 7 14 6" xfId="7813"/>
    <cellStyle name="Percent 3 7 14 6 2" xfId="7814"/>
    <cellStyle name="Percent 3 7 14 6 2 2" xfId="7815"/>
    <cellStyle name="Percent 3 7 14 6 3" xfId="7816"/>
    <cellStyle name="Percent 3 7 14 6 3 2" xfId="7817"/>
    <cellStyle name="Percent 3 7 14 6 4" xfId="7818"/>
    <cellStyle name="Percent 3 7 14 7" xfId="7819"/>
    <cellStyle name="Percent 3 7 14 7 2" xfId="7820"/>
    <cellStyle name="Percent 3 7 14 8" xfId="7821"/>
    <cellStyle name="Percent 3 7 14 8 2" xfId="7822"/>
    <cellStyle name="Percent 3 7 14 9" xfId="7823"/>
    <cellStyle name="Percent 3 7 14 9 2" xfId="7824"/>
    <cellStyle name="Percent 3 7 15 12" xfId="7825"/>
    <cellStyle name="Percent 3 7 15 10" xfId="7826"/>
    <cellStyle name="Percent 3 7 15 11" xfId="7827"/>
    <cellStyle name="Percent 3 7 15 2" xfId="7828"/>
    <cellStyle name="Percent 3 7 15 2 2" xfId="7829"/>
    <cellStyle name="Percent 3 7 15 2 2 2" xfId="7830"/>
    <cellStyle name="Percent 3 7 15 2 3" xfId="7831"/>
    <cellStyle name="Percent 3 7 15 2 3 2" xfId="7832"/>
    <cellStyle name="Percent 3 7 15 2 4" xfId="7833"/>
    <cellStyle name="Percent 3 7 15 2 5" xfId="7834"/>
    <cellStyle name="Percent 3 7 15 3" xfId="7835"/>
    <cellStyle name="Percent 3 7 15 3 2" xfId="7836"/>
    <cellStyle name="Percent 3 7 15 3 2 2" xfId="7837"/>
    <cellStyle name="Percent 3 7 15 3 3" xfId="7838"/>
    <cellStyle name="Percent 3 7 15 3 3 2" xfId="7839"/>
    <cellStyle name="Percent 3 7 15 3 4" xfId="7840"/>
    <cellStyle name="Percent 3 7 15 4" xfId="7841"/>
    <cellStyle name="Percent 3 7 15 4 2" xfId="7842"/>
    <cellStyle name="Percent 3 7 15 4 2 2" xfId="7843"/>
    <cellStyle name="Percent 3 7 15 4 3" xfId="7844"/>
    <cellStyle name="Percent 3 7 15 4 3 2" xfId="7845"/>
    <cellStyle name="Percent 3 7 15 4 4" xfId="7846"/>
    <cellStyle name="Percent 3 7 15 5" xfId="7847"/>
    <cellStyle name="Percent 3 7 15 5 2" xfId="7848"/>
    <cellStyle name="Percent 3 7 15 5 2 2" xfId="7849"/>
    <cellStyle name="Percent 3 7 15 5 3" xfId="7850"/>
    <cellStyle name="Percent 3 7 15 5 3 2" xfId="7851"/>
    <cellStyle name="Percent 3 7 15 5 4" xfId="7852"/>
    <cellStyle name="Percent 3 7 15 5 4 2" xfId="7853"/>
    <cellStyle name="Percent 3 7 15 5 5" xfId="7854"/>
    <cellStyle name="Percent 3 7 15 6" xfId="7855"/>
    <cellStyle name="Percent 3 7 15 6 2" xfId="7856"/>
    <cellStyle name="Percent 3 7 15 6 2 2" xfId="7857"/>
    <cellStyle name="Percent 3 7 15 6 3" xfId="7858"/>
    <cellStyle name="Percent 3 7 15 6 3 2" xfId="7859"/>
    <cellStyle name="Percent 3 7 15 6 4" xfId="7860"/>
    <cellStyle name="Percent 3 7 15 7" xfId="7861"/>
    <cellStyle name="Percent 3 7 15 7 2" xfId="7862"/>
    <cellStyle name="Percent 3 7 15 8" xfId="7863"/>
    <cellStyle name="Percent 3 7 15 8 2" xfId="7864"/>
    <cellStyle name="Percent 3 7 15 9" xfId="7865"/>
    <cellStyle name="Percent 3 7 15 9 2" xfId="7866"/>
    <cellStyle name="Percent 3 7 16" xfId="7867"/>
    <cellStyle name="Percent 3 7 16 2" xfId="7868"/>
    <cellStyle name="Percent 3 7 16 2 2" xfId="7869"/>
    <cellStyle name="Percent 3 7 16 3" xfId="7870"/>
    <cellStyle name="Percent 3 7 16 3 2" xfId="7871"/>
    <cellStyle name="Percent 3 7 16 4" xfId="7872"/>
    <cellStyle name="Percent 3 7 16 5" xfId="7873"/>
    <cellStyle name="Percent 3 7 17" xfId="7874"/>
    <cellStyle name="Percent 3 7 17 2" xfId="7875"/>
    <cellStyle name="Percent 3 7 17 2 2" xfId="7876"/>
    <cellStyle name="Percent 3 7 17 3" xfId="7877"/>
    <cellStyle name="Percent 3 7 17 3 2" xfId="7878"/>
    <cellStyle name="Percent 3 7 17 4" xfId="7879"/>
    <cellStyle name="Percent 3 7 18" xfId="7880"/>
    <cellStyle name="Percent 3 7 18 2" xfId="7881"/>
    <cellStyle name="Percent 3 7 18 2 2" xfId="7882"/>
    <cellStyle name="Percent 3 7 18 3" xfId="7883"/>
    <cellStyle name="Percent 3 7 18 3 2" xfId="7884"/>
    <cellStyle name="Percent 3 7 18 4" xfId="7885"/>
    <cellStyle name="Percent 3 7 19" xfId="7886"/>
    <cellStyle name="Percent 3 7 19 2" xfId="7887"/>
    <cellStyle name="Percent 3 7 19 2 2" xfId="7888"/>
    <cellStyle name="Percent 3 7 19 3" xfId="7889"/>
    <cellStyle name="Percent 3 7 19 3 2" xfId="7890"/>
    <cellStyle name="Percent 3 7 19 4" xfId="7891"/>
    <cellStyle name="Percent 3 7 19 4 2" xfId="7892"/>
    <cellStyle name="Percent 3 7 19 5" xfId="7893"/>
    <cellStyle name="Percent 3 7 2 12" xfId="7894"/>
    <cellStyle name="Percent 3 7 2 10" xfId="7895"/>
    <cellStyle name="Percent 3 7 2 11" xfId="7896"/>
    <cellStyle name="Percent 3 7 2 2" xfId="7897"/>
    <cellStyle name="Percent 3 7 2 2 2" xfId="7898"/>
    <cellStyle name="Percent 3 7 2 2 2 2" xfId="7899"/>
    <cellStyle name="Percent 3 7 2 2 3" xfId="7900"/>
    <cellStyle name="Percent 3 7 2 2 3 2" xfId="7901"/>
    <cellStyle name="Percent 3 7 2 2 4" xfId="7902"/>
    <cellStyle name="Percent 3 7 2 2 5" xfId="7903"/>
    <cellStyle name="Percent 3 7 2 3" xfId="7904"/>
    <cellStyle name="Percent 3 7 2 3 2" xfId="7905"/>
    <cellStyle name="Percent 3 7 2 3 2 2" xfId="7906"/>
    <cellStyle name="Percent 3 7 2 3 3" xfId="7907"/>
    <cellStyle name="Percent 3 7 2 3 3 2" xfId="7908"/>
    <cellStyle name="Percent 3 7 2 3 4" xfId="7909"/>
    <cellStyle name="Percent 3 7 2 4" xfId="7910"/>
    <cellStyle name="Percent 3 7 2 4 2" xfId="7911"/>
    <cellStyle name="Percent 3 7 2 4 2 2" xfId="7912"/>
    <cellStyle name="Percent 3 7 2 4 3" xfId="7913"/>
    <cellStyle name="Percent 3 7 2 4 3 2" xfId="7914"/>
    <cellStyle name="Percent 3 7 2 4 4" xfId="7915"/>
    <cellStyle name="Percent 3 7 2 5" xfId="7916"/>
    <cellStyle name="Percent 3 7 2 5 2" xfId="7917"/>
    <cellStyle name="Percent 3 7 2 5 2 2" xfId="7918"/>
    <cellStyle name="Percent 3 7 2 5 3" xfId="7919"/>
    <cellStyle name="Percent 3 7 2 5 3 2" xfId="7920"/>
    <cellStyle name="Percent 3 7 2 5 4" xfId="7921"/>
    <cellStyle name="Percent 3 7 2 5 4 2" xfId="7922"/>
    <cellStyle name="Percent 3 7 2 5 5" xfId="7923"/>
    <cellStyle name="Percent 3 7 2 6" xfId="7924"/>
    <cellStyle name="Percent 3 7 2 6 2" xfId="7925"/>
    <cellStyle name="Percent 3 7 2 6 2 2" xfId="7926"/>
    <cellStyle name="Percent 3 7 2 6 3" xfId="7927"/>
    <cellStyle name="Percent 3 7 2 6 3 2" xfId="7928"/>
    <cellStyle name="Percent 3 7 2 6 4" xfId="7929"/>
    <cellStyle name="Percent 3 7 2 7" xfId="7930"/>
    <cellStyle name="Percent 3 7 2 7 2" xfId="7931"/>
    <cellStyle name="Percent 3 7 2 8" xfId="7932"/>
    <cellStyle name="Percent 3 7 2 8 2" xfId="7933"/>
    <cellStyle name="Percent 3 7 2 9" xfId="7934"/>
    <cellStyle name="Percent 3 7 2 9 2" xfId="7935"/>
    <cellStyle name="Percent 3 7 20" xfId="7936"/>
    <cellStyle name="Percent 3 7 20 2" xfId="7937"/>
    <cellStyle name="Percent 3 7 20 2 2" xfId="7938"/>
    <cellStyle name="Percent 3 7 20 3" xfId="7939"/>
    <cellStyle name="Percent 3 7 20 3 2" xfId="7940"/>
    <cellStyle name="Percent 3 7 20 4" xfId="7941"/>
    <cellStyle name="Percent 3 7 21" xfId="7942"/>
    <cellStyle name="Percent 3 7 21 2" xfId="7943"/>
    <cellStyle name="Percent 3 7 22" xfId="7944"/>
    <cellStyle name="Percent 3 7 22 2" xfId="7945"/>
    <cellStyle name="Percent 3 7 23" xfId="7946"/>
    <cellStyle name="Percent 3 7 23 2" xfId="7947"/>
    <cellStyle name="Percent 3 7 24" xfId="7948"/>
    <cellStyle name="Percent 3 7 25" xfId="7949"/>
    <cellStyle name="Percent 3 7 3 12" xfId="7950"/>
    <cellStyle name="Percent 3 7 3 10" xfId="7951"/>
    <cellStyle name="Percent 3 7 3 11" xfId="7952"/>
    <cellStyle name="Percent 3 7 3 2" xfId="7953"/>
    <cellStyle name="Percent 3 7 3 2 2" xfId="7954"/>
    <cellStyle name="Percent 3 7 3 2 2 2" xfId="7955"/>
    <cellStyle name="Percent 3 7 3 2 3" xfId="7956"/>
    <cellStyle name="Percent 3 7 3 2 3 2" xfId="7957"/>
    <cellStyle name="Percent 3 7 3 2 4" xfId="7958"/>
    <cellStyle name="Percent 3 7 3 2 5" xfId="7959"/>
    <cellStyle name="Percent 3 7 3 3" xfId="7960"/>
    <cellStyle name="Percent 3 7 3 3 2" xfId="7961"/>
    <cellStyle name="Percent 3 7 3 3 2 2" xfId="7962"/>
    <cellStyle name="Percent 3 7 3 3 3" xfId="7963"/>
    <cellStyle name="Percent 3 7 3 3 3 2" xfId="7964"/>
    <cellStyle name="Percent 3 7 3 3 4" xfId="7965"/>
    <cellStyle name="Percent 3 7 3 4" xfId="7966"/>
    <cellStyle name="Percent 3 7 3 4 2" xfId="7967"/>
    <cellStyle name="Percent 3 7 3 4 2 2" xfId="7968"/>
    <cellStyle name="Percent 3 7 3 4 3" xfId="7969"/>
    <cellStyle name="Percent 3 7 3 4 3 2" xfId="7970"/>
    <cellStyle name="Percent 3 7 3 4 4" xfId="7971"/>
    <cellStyle name="Percent 3 7 3 5" xfId="7972"/>
    <cellStyle name="Percent 3 7 3 5 2" xfId="7973"/>
    <cellStyle name="Percent 3 7 3 5 2 2" xfId="7974"/>
    <cellStyle name="Percent 3 7 3 5 3" xfId="7975"/>
    <cellStyle name="Percent 3 7 3 5 3 2" xfId="7976"/>
    <cellStyle name="Percent 3 7 3 5 4" xfId="7977"/>
    <cellStyle name="Percent 3 7 3 5 4 2" xfId="7978"/>
    <cellStyle name="Percent 3 7 3 5 5" xfId="7979"/>
    <cellStyle name="Percent 3 7 3 6" xfId="7980"/>
    <cellStyle name="Percent 3 7 3 6 2" xfId="7981"/>
    <cellStyle name="Percent 3 7 3 6 2 2" xfId="7982"/>
    <cellStyle name="Percent 3 7 3 6 3" xfId="7983"/>
    <cellStyle name="Percent 3 7 3 6 3 2" xfId="7984"/>
    <cellStyle name="Percent 3 7 3 6 4" xfId="7985"/>
    <cellStyle name="Percent 3 7 3 7" xfId="7986"/>
    <cellStyle name="Percent 3 7 3 7 2" xfId="7987"/>
    <cellStyle name="Percent 3 7 3 8" xfId="7988"/>
    <cellStyle name="Percent 3 7 3 8 2" xfId="7989"/>
    <cellStyle name="Percent 3 7 3 9" xfId="7990"/>
    <cellStyle name="Percent 3 7 3 9 2" xfId="7991"/>
    <cellStyle name="Percent 3 7 4 12" xfId="7992"/>
    <cellStyle name="Percent 3 7 4 10" xfId="7993"/>
    <cellStyle name="Percent 3 7 4 11" xfId="7994"/>
    <cellStyle name="Percent 3 7 4 2" xfId="7995"/>
    <cellStyle name="Percent 3 7 4 2 2" xfId="7996"/>
    <cellStyle name="Percent 3 7 4 2 2 2" xfId="7997"/>
    <cellStyle name="Percent 3 7 4 2 3" xfId="7998"/>
    <cellStyle name="Percent 3 7 4 2 3 2" xfId="7999"/>
    <cellStyle name="Percent 3 7 4 2 4" xfId="8000"/>
    <cellStyle name="Percent 3 7 4 2 5" xfId="8001"/>
    <cellStyle name="Percent 3 7 4 3" xfId="8002"/>
    <cellStyle name="Percent 3 7 4 3 2" xfId="8003"/>
    <cellStyle name="Percent 3 7 4 3 2 2" xfId="8004"/>
    <cellStyle name="Percent 3 7 4 3 3" xfId="8005"/>
    <cellStyle name="Percent 3 7 4 3 3 2" xfId="8006"/>
    <cellStyle name="Percent 3 7 4 3 4" xfId="8007"/>
    <cellStyle name="Percent 3 7 4 4" xfId="8008"/>
    <cellStyle name="Percent 3 7 4 4 2" xfId="8009"/>
    <cellStyle name="Percent 3 7 4 4 2 2" xfId="8010"/>
    <cellStyle name="Percent 3 7 4 4 3" xfId="8011"/>
    <cellStyle name="Percent 3 7 4 4 3 2" xfId="8012"/>
    <cellStyle name="Percent 3 7 4 4 4" xfId="8013"/>
    <cellStyle name="Percent 3 7 4 5" xfId="8014"/>
    <cellStyle name="Percent 3 7 4 5 2" xfId="8015"/>
    <cellStyle name="Percent 3 7 4 5 2 2" xfId="8016"/>
    <cellStyle name="Percent 3 7 4 5 3" xfId="8017"/>
    <cellStyle name="Percent 3 7 4 5 3 2" xfId="8018"/>
    <cellStyle name="Percent 3 7 4 5 4" xfId="8019"/>
    <cellStyle name="Percent 3 7 4 5 4 2" xfId="8020"/>
    <cellStyle name="Percent 3 7 4 5 5" xfId="8021"/>
    <cellStyle name="Percent 3 7 4 6" xfId="8022"/>
    <cellStyle name="Percent 3 7 4 6 2" xfId="8023"/>
    <cellStyle name="Percent 3 7 4 6 2 2" xfId="8024"/>
    <cellStyle name="Percent 3 7 4 6 3" xfId="8025"/>
    <cellStyle name="Percent 3 7 4 6 3 2" xfId="8026"/>
    <cellStyle name="Percent 3 7 4 6 4" xfId="8027"/>
    <cellStyle name="Percent 3 7 4 7" xfId="8028"/>
    <cellStyle name="Percent 3 7 4 7 2" xfId="8029"/>
    <cellStyle name="Percent 3 7 4 8" xfId="8030"/>
    <cellStyle name="Percent 3 7 4 8 2" xfId="8031"/>
    <cellStyle name="Percent 3 7 4 9" xfId="8032"/>
    <cellStyle name="Percent 3 7 4 9 2" xfId="8033"/>
    <cellStyle name="Percent 3 7 5 12" xfId="8034"/>
    <cellStyle name="Percent 3 7 5 10" xfId="8035"/>
    <cellStyle name="Percent 3 7 5 11" xfId="8036"/>
    <cellStyle name="Percent 3 7 5 2" xfId="8037"/>
    <cellStyle name="Percent 3 7 5 2 2" xfId="8038"/>
    <cellStyle name="Percent 3 7 5 2 2 2" xfId="8039"/>
    <cellStyle name="Percent 3 7 5 2 3" xfId="8040"/>
    <cellStyle name="Percent 3 7 5 2 3 2" xfId="8041"/>
    <cellStyle name="Percent 3 7 5 2 4" xfId="8042"/>
    <cellStyle name="Percent 3 7 5 2 5" xfId="8043"/>
    <cellStyle name="Percent 3 7 5 3" xfId="8044"/>
    <cellStyle name="Percent 3 7 5 3 2" xfId="8045"/>
    <cellStyle name="Percent 3 7 5 3 2 2" xfId="8046"/>
    <cellStyle name="Percent 3 7 5 3 3" xfId="8047"/>
    <cellStyle name="Percent 3 7 5 3 3 2" xfId="8048"/>
    <cellStyle name="Percent 3 7 5 3 4" xfId="8049"/>
    <cellStyle name="Percent 3 7 5 4" xfId="8050"/>
    <cellStyle name="Percent 3 7 5 4 2" xfId="8051"/>
    <cellStyle name="Percent 3 7 5 4 2 2" xfId="8052"/>
    <cellStyle name="Percent 3 7 5 4 3" xfId="8053"/>
    <cellStyle name="Percent 3 7 5 4 3 2" xfId="8054"/>
    <cellStyle name="Percent 3 7 5 4 4" xfId="8055"/>
    <cellStyle name="Percent 3 7 5 5" xfId="8056"/>
    <cellStyle name="Percent 3 7 5 5 2" xfId="8057"/>
    <cellStyle name="Percent 3 7 5 5 2 2" xfId="8058"/>
    <cellStyle name="Percent 3 7 5 5 3" xfId="8059"/>
    <cellStyle name="Percent 3 7 5 5 3 2" xfId="8060"/>
    <cellStyle name="Percent 3 7 5 5 4" xfId="8061"/>
    <cellStyle name="Percent 3 7 5 5 4 2" xfId="8062"/>
    <cellStyle name="Percent 3 7 5 5 5" xfId="8063"/>
    <cellStyle name="Percent 3 7 5 6" xfId="8064"/>
    <cellStyle name="Percent 3 7 5 6 2" xfId="8065"/>
    <cellStyle name="Percent 3 7 5 6 2 2" xfId="8066"/>
    <cellStyle name="Percent 3 7 5 6 3" xfId="8067"/>
    <cellStyle name="Percent 3 7 5 6 3 2" xfId="8068"/>
    <cellStyle name="Percent 3 7 5 6 4" xfId="8069"/>
    <cellStyle name="Percent 3 7 5 7" xfId="8070"/>
    <cellStyle name="Percent 3 7 5 7 2" xfId="8071"/>
    <cellStyle name="Percent 3 7 5 8" xfId="8072"/>
    <cellStyle name="Percent 3 7 5 8 2" xfId="8073"/>
    <cellStyle name="Percent 3 7 5 9" xfId="8074"/>
    <cellStyle name="Percent 3 7 5 9 2" xfId="8075"/>
    <cellStyle name="Percent 3 7 6 12" xfId="8076"/>
    <cellStyle name="Percent 3 7 6 10" xfId="8077"/>
    <cellStyle name="Percent 3 7 6 11" xfId="8078"/>
    <cellStyle name="Percent 3 7 6 2" xfId="8079"/>
    <cellStyle name="Percent 3 7 6 2 2" xfId="8080"/>
    <cellStyle name="Percent 3 7 6 2 2 2" xfId="8081"/>
    <cellStyle name="Percent 3 7 6 2 3" xfId="8082"/>
    <cellStyle name="Percent 3 7 6 2 3 2" xfId="8083"/>
    <cellStyle name="Percent 3 7 6 2 4" xfId="8084"/>
    <cellStyle name="Percent 3 7 6 2 5" xfId="8085"/>
    <cellStyle name="Percent 3 7 6 3" xfId="8086"/>
    <cellStyle name="Percent 3 7 6 3 2" xfId="8087"/>
    <cellStyle name="Percent 3 7 6 3 2 2" xfId="8088"/>
    <cellStyle name="Percent 3 7 6 3 3" xfId="8089"/>
    <cellStyle name="Percent 3 7 6 3 3 2" xfId="8090"/>
    <cellStyle name="Percent 3 7 6 3 4" xfId="8091"/>
    <cellStyle name="Percent 3 7 6 4" xfId="8092"/>
    <cellStyle name="Percent 3 7 6 4 2" xfId="8093"/>
    <cellStyle name="Percent 3 7 6 4 2 2" xfId="8094"/>
    <cellStyle name="Percent 3 7 6 4 3" xfId="8095"/>
    <cellStyle name="Percent 3 7 6 4 3 2" xfId="8096"/>
    <cellStyle name="Percent 3 7 6 4 4" xfId="8097"/>
    <cellStyle name="Percent 3 7 6 5" xfId="8098"/>
    <cellStyle name="Percent 3 7 6 5 2" xfId="8099"/>
    <cellStyle name="Percent 3 7 6 5 2 2" xfId="8100"/>
    <cellStyle name="Percent 3 7 6 5 3" xfId="8101"/>
    <cellStyle name="Percent 3 7 6 5 3 2" xfId="8102"/>
    <cellStyle name="Percent 3 7 6 5 4" xfId="8103"/>
    <cellStyle name="Percent 3 7 6 5 4 2" xfId="8104"/>
    <cellStyle name="Percent 3 7 6 5 5" xfId="8105"/>
    <cellStyle name="Percent 3 7 6 6" xfId="8106"/>
    <cellStyle name="Percent 3 7 6 6 2" xfId="8107"/>
    <cellStyle name="Percent 3 7 6 6 2 2" xfId="8108"/>
    <cellStyle name="Percent 3 7 6 6 3" xfId="8109"/>
    <cellStyle name="Percent 3 7 6 6 3 2" xfId="8110"/>
    <cellStyle name="Percent 3 7 6 6 4" xfId="8111"/>
    <cellStyle name="Percent 3 7 6 7" xfId="8112"/>
    <cellStyle name="Percent 3 7 6 7 2" xfId="8113"/>
    <cellStyle name="Percent 3 7 6 8" xfId="8114"/>
    <cellStyle name="Percent 3 7 6 8 2" xfId="8115"/>
    <cellStyle name="Percent 3 7 6 9" xfId="8116"/>
    <cellStyle name="Percent 3 7 6 9 2" xfId="8117"/>
    <cellStyle name="Percent 3 7 7 12" xfId="8118"/>
    <cellStyle name="Percent 3 7 7 10" xfId="8119"/>
    <cellStyle name="Percent 3 7 7 11" xfId="8120"/>
    <cellStyle name="Percent 3 7 7 2" xfId="8121"/>
    <cellStyle name="Percent 3 7 7 2 2" xfId="8122"/>
    <cellStyle name="Percent 3 7 7 2 2 2" xfId="8123"/>
    <cellStyle name="Percent 3 7 7 2 3" xfId="8124"/>
    <cellStyle name="Percent 3 7 7 2 3 2" xfId="8125"/>
    <cellStyle name="Percent 3 7 7 2 4" xfId="8126"/>
    <cellStyle name="Percent 3 7 7 2 5" xfId="8127"/>
    <cellStyle name="Percent 3 7 7 3" xfId="8128"/>
    <cellStyle name="Percent 3 7 7 3 2" xfId="8129"/>
    <cellStyle name="Percent 3 7 7 3 2 2" xfId="8130"/>
    <cellStyle name="Percent 3 7 7 3 3" xfId="8131"/>
    <cellStyle name="Percent 3 7 7 3 3 2" xfId="8132"/>
    <cellStyle name="Percent 3 7 7 3 4" xfId="8133"/>
    <cellStyle name="Percent 3 7 7 4" xfId="8134"/>
    <cellStyle name="Percent 3 7 7 4 2" xfId="8135"/>
    <cellStyle name="Percent 3 7 7 4 2 2" xfId="8136"/>
    <cellStyle name="Percent 3 7 7 4 3" xfId="8137"/>
    <cellStyle name="Percent 3 7 7 4 3 2" xfId="8138"/>
    <cellStyle name="Percent 3 7 7 4 4" xfId="8139"/>
    <cellStyle name="Percent 3 7 7 5" xfId="8140"/>
    <cellStyle name="Percent 3 7 7 5 2" xfId="8141"/>
    <cellStyle name="Percent 3 7 7 5 2 2" xfId="8142"/>
    <cellStyle name="Percent 3 7 7 5 3" xfId="8143"/>
    <cellStyle name="Percent 3 7 7 5 3 2" xfId="8144"/>
    <cellStyle name="Percent 3 7 7 5 4" xfId="8145"/>
    <cellStyle name="Percent 3 7 7 5 4 2" xfId="8146"/>
    <cellStyle name="Percent 3 7 7 5 5" xfId="8147"/>
    <cellStyle name="Percent 3 7 7 6" xfId="8148"/>
    <cellStyle name="Percent 3 7 7 6 2" xfId="8149"/>
    <cellStyle name="Percent 3 7 7 6 2 2" xfId="8150"/>
    <cellStyle name="Percent 3 7 7 6 3" xfId="8151"/>
    <cellStyle name="Percent 3 7 7 6 3 2" xfId="8152"/>
    <cellStyle name="Percent 3 7 7 6 4" xfId="8153"/>
    <cellStyle name="Percent 3 7 7 7" xfId="8154"/>
    <cellStyle name="Percent 3 7 7 7 2" xfId="8155"/>
    <cellStyle name="Percent 3 7 7 8" xfId="8156"/>
    <cellStyle name="Percent 3 7 7 8 2" xfId="8157"/>
    <cellStyle name="Percent 3 7 7 9" xfId="8158"/>
    <cellStyle name="Percent 3 7 7 9 2" xfId="8159"/>
    <cellStyle name="Percent 3 7 8 12" xfId="8160"/>
    <cellStyle name="Percent 3 7 8 10" xfId="8161"/>
    <cellStyle name="Percent 3 7 8 11" xfId="8162"/>
    <cellStyle name="Percent 3 7 8 2" xfId="8163"/>
    <cellStyle name="Percent 3 7 8 2 2" xfId="8164"/>
    <cellStyle name="Percent 3 7 8 2 2 2" xfId="8165"/>
    <cellStyle name="Percent 3 7 8 2 3" xfId="8166"/>
    <cellStyle name="Percent 3 7 8 2 3 2" xfId="8167"/>
    <cellStyle name="Percent 3 7 8 2 4" xfId="8168"/>
    <cellStyle name="Percent 3 7 8 2 5" xfId="8169"/>
    <cellStyle name="Percent 3 7 8 3" xfId="8170"/>
    <cellStyle name="Percent 3 7 8 3 2" xfId="8171"/>
    <cellStyle name="Percent 3 7 8 3 2 2" xfId="8172"/>
    <cellStyle name="Percent 3 7 8 3 3" xfId="8173"/>
    <cellStyle name="Percent 3 7 8 3 3 2" xfId="8174"/>
    <cellStyle name="Percent 3 7 8 3 4" xfId="8175"/>
    <cellStyle name="Percent 3 7 8 4" xfId="8176"/>
    <cellStyle name="Percent 3 7 8 4 2" xfId="8177"/>
    <cellStyle name="Percent 3 7 8 4 2 2" xfId="8178"/>
    <cellStyle name="Percent 3 7 8 4 3" xfId="8179"/>
    <cellStyle name="Percent 3 7 8 4 3 2" xfId="8180"/>
    <cellStyle name="Percent 3 7 8 4 4" xfId="8181"/>
    <cellStyle name="Percent 3 7 8 5" xfId="8182"/>
    <cellStyle name="Percent 3 7 8 5 2" xfId="8183"/>
    <cellStyle name="Percent 3 7 8 5 2 2" xfId="8184"/>
    <cellStyle name="Percent 3 7 8 5 3" xfId="8185"/>
    <cellStyle name="Percent 3 7 8 5 3 2" xfId="8186"/>
    <cellStyle name="Percent 3 7 8 5 4" xfId="8187"/>
    <cellStyle name="Percent 3 7 8 5 4 2" xfId="8188"/>
    <cellStyle name="Percent 3 7 8 5 5" xfId="8189"/>
    <cellStyle name="Percent 3 7 8 6" xfId="8190"/>
    <cellStyle name="Percent 3 7 8 6 2" xfId="8191"/>
    <cellStyle name="Percent 3 7 8 6 2 2" xfId="8192"/>
    <cellStyle name="Percent 3 7 8 6 3" xfId="8193"/>
    <cellStyle name="Percent 3 7 8 6 3 2" xfId="8194"/>
    <cellStyle name="Percent 3 7 8 6 4" xfId="8195"/>
    <cellStyle name="Percent 3 7 8 7" xfId="8196"/>
    <cellStyle name="Percent 3 7 8 7 2" xfId="8197"/>
    <cellStyle name="Percent 3 7 8 8" xfId="8198"/>
    <cellStyle name="Percent 3 7 8 8 2" xfId="8199"/>
    <cellStyle name="Percent 3 7 8 9" xfId="8200"/>
    <cellStyle name="Percent 3 7 8 9 2" xfId="8201"/>
    <cellStyle name="Percent 3 7 9 12" xfId="8202"/>
    <cellStyle name="Percent 3 7 9 10" xfId="8203"/>
    <cellStyle name="Percent 3 7 9 11" xfId="8204"/>
    <cellStyle name="Percent 3 7 9 2" xfId="8205"/>
    <cellStyle name="Percent 3 7 9 2 2" xfId="8206"/>
    <cellStyle name="Percent 3 7 9 2 2 2" xfId="8207"/>
    <cellStyle name="Percent 3 7 9 2 3" xfId="8208"/>
    <cellStyle name="Percent 3 7 9 2 3 2" xfId="8209"/>
    <cellStyle name="Percent 3 7 9 2 4" xfId="8210"/>
    <cellStyle name="Percent 3 7 9 2 5" xfId="8211"/>
    <cellStyle name="Percent 3 7 9 3" xfId="8212"/>
    <cellStyle name="Percent 3 7 9 3 2" xfId="8213"/>
    <cellStyle name="Percent 3 7 9 3 2 2" xfId="8214"/>
    <cellStyle name="Percent 3 7 9 3 3" xfId="8215"/>
    <cellStyle name="Percent 3 7 9 3 3 2" xfId="8216"/>
    <cellStyle name="Percent 3 7 9 3 4" xfId="8217"/>
    <cellStyle name="Percent 3 7 9 4" xfId="8218"/>
    <cellStyle name="Percent 3 7 9 4 2" xfId="8219"/>
    <cellStyle name="Percent 3 7 9 4 2 2" xfId="8220"/>
    <cellStyle name="Percent 3 7 9 4 3" xfId="8221"/>
    <cellStyle name="Percent 3 7 9 4 3 2" xfId="8222"/>
    <cellStyle name="Percent 3 7 9 4 4" xfId="8223"/>
    <cellStyle name="Percent 3 7 9 5" xfId="8224"/>
    <cellStyle name="Percent 3 7 9 5 2" xfId="8225"/>
    <cellStyle name="Percent 3 7 9 5 2 2" xfId="8226"/>
    <cellStyle name="Percent 3 7 9 5 3" xfId="8227"/>
    <cellStyle name="Percent 3 7 9 5 3 2" xfId="8228"/>
    <cellStyle name="Percent 3 7 9 5 4" xfId="8229"/>
    <cellStyle name="Percent 3 7 9 5 4 2" xfId="8230"/>
    <cellStyle name="Percent 3 7 9 5 5" xfId="8231"/>
    <cellStyle name="Percent 3 7 9 6" xfId="8232"/>
    <cellStyle name="Percent 3 7 9 6 2" xfId="8233"/>
    <cellStyle name="Percent 3 7 9 6 2 2" xfId="8234"/>
    <cellStyle name="Percent 3 7 9 6 3" xfId="8235"/>
    <cellStyle name="Percent 3 7 9 6 3 2" xfId="8236"/>
    <cellStyle name="Percent 3 7 9 6 4" xfId="8237"/>
    <cellStyle name="Percent 3 7 9 7" xfId="8238"/>
    <cellStyle name="Percent 3 7 9 7 2" xfId="8239"/>
    <cellStyle name="Percent 3 7 9 8" xfId="8240"/>
    <cellStyle name="Percent 3 7 9 8 2" xfId="8241"/>
    <cellStyle name="Percent 3 7 9 9" xfId="8242"/>
    <cellStyle name="Percent 3 7 9 9 2" xfId="8243"/>
    <cellStyle name="Percent 3 8 26" xfId="8244"/>
    <cellStyle name="Percent 3 8 10 12" xfId="8245"/>
    <cellStyle name="Percent 3 8 10 10" xfId="8246"/>
    <cellStyle name="Percent 3 8 10 11" xfId="8247"/>
    <cellStyle name="Percent 3 8 10 2" xfId="8248"/>
    <cellStyle name="Percent 3 8 10 2 2" xfId="8249"/>
    <cellStyle name="Percent 3 8 10 2 2 2" xfId="8250"/>
    <cellStyle name="Percent 3 8 10 2 3" xfId="8251"/>
    <cellStyle name="Percent 3 8 10 2 3 2" xfId="8252"/>
    <cellStyle name="Percent 3 8 10 2 4" xfId="8253"/>
    <cellStyle name="Percent 3 8 10 2 5" xfId="8254"/>
    <cellStyle name="Percent 3 8 10 3" xfId="8255"/>
    <cellStyle name="Percent 3 8 10 3 2" xfId="8256"/>
    <cellStyle name="Percent 3 8 10 3 2 2" xfId="8257"/>
    <cellStyle name="Percent 3 8 10 3 3" xfId="8258"/>
    <cellStyle name="Percent 3 8 10 3 3 2" xfId="8259"/>
    <cellStyle name="Percent 3 8 10 3 4" xfId="8260"/>
    <cellStyle name="Percent 3 8 10 4" xfId="8261"/>
    <cellStyle name="Percent 3 8 10 4 2" xfId="8262"/>
    <cellStyle name="Percent 3 8 10 4 2 2" xfId="8263"/>
    <cellStyle name="Percent 3 8 10 4 3" xfId="8264"/>
    <cellStyle name="Percent 3 8 10 4 3 2" xfId="8265"/>
    <cellStyle name="Percent 3 8 10 4 4" xfId="8266"/>
    <cellStyle name="Percent 3 8 10 5" xfId="8267"/>
    <cellStyle name="Percent 3 8 10 5 2" xfId="8268"/>
    <cellStyle name="Percent 3 8 10 5 2 2" xfId="8269"/>
    <cellStyle name="Percent 3 8 10 5 3" xfId="8270"/>
    <cellStyle name="Percent 3 8 10 5 3 2" xfId="8271"/>
    <cellStyle name="Percent 3 8 10 5 4" xfId="8272"/>
    <cellStyle name="Percent 3 8 10 5 4 2" xfId="8273"/>
    <cellStyle name="Percent 3 8 10 5 5" xfId="8274"/>
    <cellStyle name="Percent 3 8 10 6" xfId="8275"/>
    <cellStyle name="Percent 3 8 10 6 2" xfId="8276"/>
    <cellStyle name="Percent 3 8 10 6 2 2" xfId="8277"/>
    <cellStyle name="Percent 3 8 10 6 3" xfId="8278"/>
    <cellStyle name="Percent 3 8 10 6 3 2" xfId="8279"/>
    <cellStyle name="Percent 3 8 10 6 4" xfId="8280"/>
    <cellStyle name="Percent 3 8 10 7" xfId="8281"/>
    <cellStyle name="Percent 3 8 10 7 2" xfId="8282"/>
    <cellStyle name="Percent 3 8 10 8" xfId="8283"/>
    <cellStyle name="Percent 3 8 10 8 2" xfId="8284"/>
    <cellStyle name="Percent 3 8 10 9" xfId="8285"/>
    <cellStyle name="Percent 3 8 10 9 2" xfId="8286"/>
    <cellStyle name="Percent 3 8 11 12" xfId="8287"/>
    <cellStyle name="Percent 3 8 11 10" xfId="8288"/>
    <cellStyle name="Percent 3 8 11 11" xfId="8289"/>
    <cellStyle name="Percent 3 8 11 2" xfId="8290"/>
    <cellStyle name="Percent 3 8 11 2 2" xfId="8291"/>
    <cellStyle name="Percent 3 8 11 2 2 2" xfId="8292"/>
    <cellStyle name="Percent 3 8 11 2 3" xfId="8293"/>
    <cellStyle name="Percent 3 8 11 2 3 2" xfId="8294"/>
    <cellStyle name="Percent 3 8 11 2 4" xfId="8295"/>
    <cellStyle name="Percent 3 8 11 2 5" xfId="8296"/>
    <cellStyle name="Percent 3 8 11 3" xfId="8297"/>
    <cellStyle name="Percent 3 8 11 3 2" xfId="8298"/>
    <cellStyle name="Percent 3 8 11 3 2 2" xfId="8299"/>
    <cellStyle name="Percent 3 8 11 3 3" xfId="8300"/>
    <cellStyle name="Percent 3 8 11 3 3 2" xfId="8301"/>
    <cellStyle name="Percent 3 8 11 3 4" xfId="8302"/>
    <cellStyle name="Percent 3 8 11 4" xfId="8303"/>
    <cellStyle name="Percent 3 8 11 4 2" xfId="8304"/>
    <cellStyle name="Percent 3 8 11 4 2 2" xfId="8305"/>
    <cellStyle name="Percent 3 8 11 4 3" xfId="8306"/>
    <cellStyle name="Percent 3 8 11 4 3 2" xfId="8307"/>
    <cellStyle name="Percent 3 8 11 4 4" xfId="8308"/>
    <cellStyle name="Percent 3 8 11 5" xfId="8309"/>
    <cellStyle name="Percent 3 8 11 5 2" xfId="8310"/>
    <cellStyle name="Percent 3 8 11 5 2 2" xfId="8311"/>
    <cellStyle name="Percent 3 8 11 5 3" xfId="8312"/>
    <cellStyle name="Percent 3 8 11 5 3 2" xfId="8313"/>
    <cellStyle name="Percent 3 8 11 5 4" xfId="8314"/>
    <cellStyle name="Percent 3 8 11 5 4 2" xfId="8315"/>
    <cellStyle name="Percent 3 8 11 5 5" xfId="8316"/>
    <cellStyle name="Percent 3 8 11 6" xfId="8317"/>
    <cellStyle name="Percent 3 8 11 6 2" xfId="8318"/>
    <cellStyle name="Percent 3 8 11 6 2 2" xfId="8319"/>
    <cellStyle name="Percent 3 8 11 6 3" xfId="8320"/>
    <cellStyle name="Percent 3 8 11 6 3 2" xfId="8321"/>
    <cellStyle name="Percent 3 8 11 6 4" xfId="8322"/>
    <cellStyle name="Percent 3 8 11 7" xfId="8323"/>
    <cellStyle name="Percent 3 8 11 7 2" xfId="8324"/>
    <cellStyle name="Percent 3 8 11 8" xfId="8325"/>
    <cellStyle name="Percent 3 8 11 8 2" xfId="8326"/>
    <cellStyle name="Percent 3 8 11 9" xfId="8327"/>
    <cellStyle name="Percent 3 8 11 9 2" xfId="8328"/>
    <cellStyle name="Percent 3 8 12 12" xfId="8329"/>
    <cellStyle name="Percent 3 8 12 10" xfId="8330"/>
    <cellStyle name="Percent 3 8 12 11" xfId="8331"/>
    <cellStyle name="Percent 3 8 12 2" xfId="8332"/>
    <cellStyle name="Percent 3 8 12 2 2" xfId="8333"/>
    <cellStyle name="Percent 3 8 12 2 2 2" xfId="8334"/>
    <cellStyle name="Percent 3 8 12 2 3" xfId="8335"/>
    <cellStyle name="Percent 3 8 12 2 3 2" xfId="8336"/>
    <cellStyle name="Percent 3 8 12 2 4" xfId="8337"/>
    <cellStyle name="Percent 3 8 12 2 5" xfId="8338"/>
    <cellStyle name="Percent 3 8 12 3" xfId="8339"/>
    <cellStyle name="Percent 3 8 12 3 2" xfId="8340"/>
    <cellStyle name="Percent 3 8 12 3 2 2" xfId="8341"/>
    <cellStyle name="Percent 3 8 12 3 3" xfId="8342"/>
    <cellStyle name="Percent 3 8 12 3 3 2" xfId="8343"/>
    <cellStyle name="Percent 3 8 12 3 4" xfId="8344"/>
    <cellStyle name="Percent 3 8 12 4" xfId="8345"/>
    <cellStyle name="Percent 3 8 12 4 2" xfId="8346"/>
    <cellStyle name="Percent 3 8 12 4 2 2" xfId="8347"/>
    <cellStyle name="Percent 3 8 12 4 3" xfId="8348"/>
    <cellStyle name="Percent 3 8 12 4 3 2" xfId="8349"/>
    <cellStyle name="Percent 3 8 12 4 4" xfId="8350"/>
    <cellStyle name="Percent 3 8 12 5" xfId="8351"/>
    <cellStyle name="Percent 3 8 12 5 2" xfId="8352"/>
    <cellStyle name="Percent 3 8 12 5 2 2" xfId="8353"/>
    <cellStyle name="Percent 3 8 12 5 3" xfId="8354"/>
    <cellStyle name="Percent 3 8 12 5 3 2" xfId="8355"/>
    <cellStyle name="Percent 3 8 12 5 4" xfId="8356"/>
    <cellStyle name="Percent 3 8 12 5 4 2" xfId="8357"/>
    <cellStyle name="Percent 3 8 12 5 5" xfId="8358"/>
    <cellStyle name="Percent 3 8 12 6" xfId="8359"/>
    <cellStyle name="Percent 3 8 12 6 2" xfId="8360"/>
    <cellStyle name="Percent 3 8 12 6 2 2" xfId="8361"/>
    <cellStyle name="Percent 3 8 12 6 3" xfId="8362"/>
    <cellStyle name="Percent 3 8 12 6 3 2" xfId="8363"/>
    <cellStyle name="Percent 3 8 12 6 4" xfId="8364"/>
    <cellStyle name="Percent 3 8 12 7" xfId="8365"/>
    <cellStyle name="Percent 3 8 12 7 2" xfId="8366"/>
    <cellStyle name="Percent 3 8 12 8" xfId="8367"/>
    <cellStyle name="Percent 3 8 12 8 2" xfId="8368"/>
    <cellStyle name="Percent 3 8 12 9" xfId="8369"/>
    <cellStyle name="Percent 3 8 12 9 2" xfId="8370"/>
    <cellStyle name="Percent 3 8 13 12" xfId="8371"/>
    <cellStyle name="Percent 3 8 13 10" xfId="8372"/>
    <cellStyle name="Percent 3 8 13 11" xfId="8373"/>
    <cellStyle name="Percent 3 8 13 2" xfId="8374"/>
    <cellStyle name="Percent 3 8 13 2 2" xfId="8375"/>
    <cellStyle name="Percent 3 8 13 2 2 2" xfId="8376"/>
    <cellStyle name="Percent 3 8 13 2 3" xfId="8377"/>
    <cellStyle name="Percent 3 8 13 2 3 2" xfId="8378"/>
    <cellStyle name="Percent 3 8 13 2 4" xfId="8379"/>
    <cellStyle name="Percent 3 8 13 2 5" xfId="8380"/>
    <cellStyle name="Percent 3 8 13 3" xfId="8381"/>
    <cellStyle name="Percent 3 8 13 3 2" xfId="8382"/>
    <cellStyle name="Percent 3 8 13 3 2 2" xfId="8383"/>
    <cellStyle name="Percent 3 8 13 3 3" xfId="8384"/>
    <cellStyle name="Percent 3 8 13 3 3 2" xfId="8385"/>
    <cellStyle name="Percent 3 8 13 3 4" xfId="8386"/>
    <cellStyle name="Percent 3 8 13 4" xfId="8387"/>
    <cellStyle name="Percent 3 8 13 4 2" xfId="8388"/>
    <cellStyle name="Percent 3 8 13 4 2 2" xfId="8389"/>
    <cellStyle name="Percent 3 8 13 4 3" xfId="8390"/>
    <cellStyle name="Percent 3 8 13 4 3 2" xfId="8391"/>
    <cellStyle name="Percent 3 8 13 4 4" xfId="8392"/>
    <cellStyle name="Percent 3 8 13 5" xfId="8393"/>
    <cellStyle name="Percent 3 8 13 5 2" xfId="8394"/>
    <cellStyle name="Percent 3 8 13 5 2 2" xfId="8395"/>
    <cellStyle name="Percent 3 8 13 5 3" xfId="8396"/>
    <cellStyle name="Percent 3 8 13 5 3 2" xfId="8397"/>
    <cellStyle name="Percent 3 8 13 5 4" xfId="8398"/>
    <cellStyle name="Percent 3 8 13 5 4 2" xfId="8399"/>
    <cellStyle name="Percent 3 8 13 5 5" xfId="8400"/>
    <cellStyle name="Percent 3 8 13 6" xfId="8401"/>
    <cellStyle name="Percent 3 8 13 6 2" xfId="8402"/>
    <cellStyle name="Percent 3 8 13 6 2 2" xfId="8403"/>
    <cellStyle name="Percent 3 8 13 6 3" xfId="8404"/>
    <cellStyle name="Percent 3 8 13 6 3 2" xfId="8405"/>
    <cellStyle name="Percent 3 8 13 6 4" xfId="8406"/>
    <cellStyle name="Percent 3 8 13 7" xfId="8407"/>
    <cellStyle name="Percent 3 8 13 7 2" xfId="8408"/>
    <cellStyle name="Percent 3 8 13 8" xfId="8409"/>
    <cellStyle name="Percent 3 8 13 8 2" xfId="8410"/>
    <cellStyle name="Percent 3 8 13 9" xfId="8411"/>
    <cellStyle name="Percent 3 8 13 9 2" xfId="8412"/>
    <cellStyle name="Percent 3 8 14 12" xfId="8413"/>
    <cellStyle name="Percent 3 8 14 10" xfId="8414"/>
    <cellStyle name="Percent 3 8 14 11" xfId="8415"/>
    <cellStyle name="Percent 3 8 14 2" xfId="8416"/>
    <cellStyle name="Percent 3 8 14 2 2" xfId="8417"/>
    <cellStyle name="Percent 3 8 14 2 2 2" xfId="8418"/>
    <cellStyle name="Percent 3 8 14 2 3" xfId="8419"/>
    <cellStyle name="Percent 3 8 14 2 3 2" xfId="8420"/>
    <cellStyle name="Percent 3 8 14 2 4" xfId="8421"/>
    <cellStyle name="Percent 3 8 14 2 5" xfId="8422"/>
    <cellStyle name="Percent 3 8 14 3" xfId="8423"/>
    <cellStyle name="Percent 3 8 14 3 2" xfId="8424"/>
    <cellStyle name="Percent 3 8 14 3 2 2" xfId="8425"/>
    <cellStyle name="Percent 3 8 14 3 3" xfId="8426"/>
    <cellStyle name="Percent 3 8 14 3 3 2" xfId="8427"/>
    <cellStyle name="Percent 3 8 14 3 4" xfId="8428"/>
    <cellStyle name="Percent 3 8 14 4" xfId="8429"/>
    <cellStyle name="Percent 3 8 14 4 2" xfId="8430"/>
    <cellStyle name="Percent 3 8 14 4 2 2" xfId="8431"/>
    <cellStyle name="Percent 3 8 14 4 3" xfId="8432"/>
    <cellStyle name="Percent 3 8 14 4 3 2" xfId="8433"/>
    <cellStyle name="Percent 3 8 14 4 4" xfId="8434"/>
    <cellStyle name="Percent 3 8 14 5" xfId="8435"/>
    <cellStyle name="Percent 3 8 14 5 2" xfId="8436"/>
    <cellStyle name="Percent 3 8 14 5 2 2" xfId="8437"/>
    <cellStyle name="Percent 3 8 14 5 3" xfId="8438"/>
    <cellStyle name="Percent 3 8 14 5 3 2" xfId="8439"/>
    <cellStyle name="Percent 3 8 14 5 4" xfId="8440"/>
    <cellStyle name="Percent 3 8 14 5 4 2" xfId="8441"/>
    <cellStyle name="Percent 3 8 14 5 5" xfId="8442"/>
    <cellStyle name="Percent 3 8 14 6" xfId="8443"/>
    <cellStyle name="Percent 3 8 14 6 2" xfId="8444"/>
    <cellStyle name="Percent 3 8 14 6 2 2" xfId="8445"/>
    <cellStyle name="Percent 3 8 14 6 3" xfId="8446"/>
    <cellStyle name="Percent 3 8 14 6 3 2" xfId="8447"/>
    <cellStyle name="Percent 3 8 14 6 4" xfId="8448"/>
    <cellStyle name="Percent 3 8 14 7" xfId="8449"/>
    <cellStyle name="Percent 3 8 14 7 2" xfId="8450"/>
    <cellStyle name="Percent 3 8 14 8" xfId="8451"/>
    <cellStyle name="Percent 3 8 14 8 2" xfId="8452"/>
    <cellStyle name="Percent 3 8 14 9" xfId="8453"/>
    <cellStyle name="Percent 3 8 14 9 2" xfId="8454"/>
    <cellStyle name="Percent 3 8 15 12" xfId="8455"/>
    <cellStyle name="Percent 3 8 15 10" xfId="8456"/>
    <cellStyle name="Percent 3 8 15 11" xfId="8457"/>
    <cellStyle name="Percent 3 8 15 2" xfId="8458"/>
    <cellStyle name="Percent 3 8 15 2 2" xfId="8459"/>
    <cellStyle name="Percent 3 8 15 2 2 2" xfId="8460"/>
    <cellStyle name="Percent 3 8 15 2 3" xfId="8461"/>
    <cellStyle name="Percent 3 8 15 2 3 2" xfId="8462"/>
    <cellStyle name="Percent 3 8 15 2 4" xfId="8463"/>
    <cellStyle name="Percent 3 8 15 2 5" xfId="8464"/>
    <cellStyle name="Percent 3 8 15 3" xfId="8465"/>
    <cellStyle name="Percent 3 8 15 3 2" xfId="8466"/>
    <cellStyle name="Percent 3 8 15 3 2 2" xfId="8467"/>
    <cellStyle name="Percent 3 8 15 3 3" xfId="8468"/>
    <cellStyle name="Percent 3 8 15 3 3 2" xfId="8469"/>
    <cellStyle name="Percent 3 8 15 3 4" xfId="8470"/>
    <cellStyle name="Percent 3 8 15 4" xfId="8471"/>
    <cellStyle name="Percent 3 8 15 4 2" xfId="8472"/>
    <cellStyle name="Percent 3 8 15 4 2 2" xfId="8473"/>
    <cellStyle name="Percent 3 8 15 4 3" xfId="8474"/>
    <cellStyle name="Percent 3 8 15 4 3 2" xfId="8475"/>
    <cellStyle name="Percent 3 8 15 4 4" xfId="8476"/>
    <cellStyle name="Percent 3 8 15 5" xfId="8477"/>
    <cellStyle name="Percent 3 8 15 5 2" xfId="8478"/>
    <cellStyle name="Percent 3 8 15 5 2 2" xfId="8479"/>
    <cellStyle name="Percent 3 8 15 5 3" xfId="8480"/>
    <cellStyle name="Percent 3 8 15 5 3 2" xfId="8481"/>
    <cellStyle name="Percent 3 8 15 5 4" xfId="8482"/>
    <cellStyle name="Percent 3 8 15 5 4 2" xfId="8483"/>
    <cellStyle name="Percent 3 8 15 5 5" xfId="8484"/>
    <cellStyle name="Percent 3 8 15 6" xfId="8485"/>
    <cellStyle name="Percent 3 8 15 6 2" xfId="8486"/>
    <cellStyle name="Percent 3 8 15 6 2 2" xfId="8487"/>
    <cellStyle name="Percent 3 8 15 6 3" xfId="8488"/>
    <cellStyle name="Percent 3 8 15 6 3 2" xfId="8489"/>
    <cellStyle name="Percent 3 8 15 6 4" xfId="8490"/>
    <cellStyle name="Percent 3 8 15 7" xfId="8491"/>
    <cellStyle name="Percent 3 8 15 7 2" xfId="8492"/>
    <cellStyle name="Percent 3 8 15 8" xfId="8493"/>
    <cellStyle name="Percent 3 8 15 8 2" xfId="8494"/>
    <cellStyle name="Percent 3 8 15 9" xfId="8495"/>
    <cellStyle name="Percent 3 8 15 9 2" xfId="8496"/>
    <cellStyle name="Percent 3 8 16" xfId="8497"/>
    <cellStyle name="Percent 3 8 16 2" xfId="8498"/>
    <cellStyle name="Percent 3 8 16 2 2" xfId="8499"/>
    <cellStyle name="Percent 3 8 16 3" xfId="8500"/>
    <cellStyle name="Percent 3 8 16 3 2" xfId="8501"/>
    <cellStyle name="Percent 3 8 16 4" xfId="8502"/>
    <cellStyle name="Percent 3 8 16 5" xfId="8503"/>
    <cellStyle name="Percent 3 8 17" xfId="8504"/>
    <cellStyle name="Percent 3 8 17 2" xfId="8505"/>
    <cellStyle name="Percent 3 8 17 2 2" xfId="8506"/>
    <cellStyle name="Percent 3 8 17 3" xfId="8507"/>
    <cellStyle name="Percent 3 8 17 3 2" xfId="8508"/>
    <cellStyle name="Percent 3 8 17 4" xfId="8509"/>
    <cellStyle name="Percent 3 8 18" xfId="8510"/>
    <cellStyle name="Percent 3 8 18 2" xfId="8511"/>
    <cellStyle name="Percent 3 8 18 2 2" xfId="8512"/>
    <cellStyle name="Percent 3 8 18 3" xfId="8513"/>
    <cellStyle name="Percent 3 8 18 3 2" xfId="8514"/>
    <cellStyle name="Percent 3 8 18 4" xfId="8515"/>
    <cellStyle name="Percent 3 8 19" xfId="8516"/>
    <cellStyle name="Percent 3 8 19 2" xfId="8517"/>
    <cellStyle name="Percent 3 8 19 2 2" xfId="8518"/>
    <cellStyle name="Percent 3 8 19 3" xfId="8519"/>
    <cellStyle name="Percent 3 8 19 3 2" xfId="8520"/>
    <cellStyle name="Percent 3 8 19 4" xfId="8521"/>
    <cellStyle name="Percent 3 8 19 4 2" xfId="8522"/>
    <cellStyle name="Percent 3 8 19 5" xfId="8523"/>
    <cellStyle name="Percent 3 8 2 12" xfId="8524"/>
    <cellStyle name="Percent 3 8 2 10" xfId="8525"/>
    <cellStyle name="Percent 3 8 2 11" xfId="8526"/>
    <cellStyle name="Percent 3 8 2 2" xfId="8527"/>
    <cellStyle name="Percent 3 8 2 2 2" xfId="8528"/>
    <cellStyle name="Percent 3 8 2 2 2 2" xfId="8529"/>
    <cellStyle name="Percent 3 8 2 2 3" xfId="8530"/>
    <cellStyle name="Percent 3 8 2 2 3 2" xfId="8531"/>
    <cellStyle name="Percent 3 8 2 2 4" xfId="8532"/>
    <cellStyle name="Percent 3 8 2 2 5" xfId="8533"/>
    <cellStyle name="Percent 3 8 2 3" xfId="8534"/>
    <cellStyle name="Percent 3 8 2 3 2" xfId="8535"/>
    <cellStyle name="Percent 3 8 2 3 2 2" xfId="8536"/>
    <cellStyle name="Percent 3 8 2 3 3" xfId="8537"/>
    <cellStyle name="Percent 3 8 2 3 3 2" xfId="8538"/>
    <cellStyle name="Percent 3 8 2 3 4" xfId="8539"/>
    <cellStyle name="Percent 3 8 2 4" xfId="8540"/>
    <cellStyle name="Percent 3 8 2 4 2" xfId="8541"/>
    <cellStyle name="Percent 3 8 2 4 2 2" xfId="8542"/>
    <cellStyle name="Percent 3 8 2 4 3" xfId="8543"/>
    <cellStyle name="Percent 3 8 2 4 3 2" xfId="8544"/>
    <cellStyle name="Percent 3 8 2 4 4" xfId="8545"/>
    <cellStyle name="Percent 3 8 2 5" xfId="8546"/>
    <cellStyle name="Percent 3 8 2 5 2" xfId="8547"/>
    <cellStyle name="Percent 3 8 2 5 2 2" xfId="8548"/>
    <cellStyle name="Percent 3 8 2 5 3" xfId="8549"/>
    <cellStyle name="Percent 3 8 2 5 3 2" xfId="8550"/>
    <cellStyle name="Percent 3 8 2 5 4" xfId="8551"/>
    <cellStyle name="Percent 3 8 2 5 4 2" xfId="8552"/>
    <cellStyle name="Percent 3 8 2 5 5" xfId="8553"/>
    <cellStyle name="Percent 3 8 2 6" xfId="8554"/>
    <cellStyle name="Percent 3 8 2 6 2" xfId="8555"/>
    <cellStyle name="Percent 3 8 2 6 2 2" xfId="8556"/>
    <cellStyle name="Percent 3 8 2 6 3" xfId="8557"/>
    <cellStyle name="Percent 3 8 2 6 3 2" xfId="8558"/>
    <cellStyle name="Percent 3 8 2 6 4" xfId="8559"/>
    <cellStyle name="Percent 3 8 2 7" xfId="8560"/>
    <cellStyle name="Percent 3 8 2 7 2" xfId="8561"/>
    <cellStyle name="Percent 3 8 2 8" xfId="8562"/>
    <cellStyle name="Percent 3 8 2 8 2" xfId="8563"/>
    <cellStyle name="Percent 3 8 2 9" xfId="8564"/>
    <cellStyle name="Percent 3 8 2 9 2" xfId="8565"/>
    <cellStyle name="Percent 3 8 20" xfId="8566"/>
    <cellStyle name="Percent 3 8 20 2" xfId="8567"/>
    <cellStyle name="Percent 3 8 20 2 2" xfId="8568"/>
    <cellStyle name="Percent 3 8 20 3" xfId="8569"/>
    <cellStyle name="Percent 3 8 20 3 2" xfId="8570"/>
    <cellStyle name="Percent 3 8 20 4" xfId="8571"/>
    <cellStyle name="Percent 3 8 21" xfId="8572"/>
    <cellStyle name="Percent 3 8 21 2" xfId="8573"/>
    <cellStyle name="Percent 3 8 22" xfId="8574"/>
    <cellStyle name="Percent 3 8 22 2" xfId="8575"/>
    <cellStyle name="Percent 3 8 23" xfId="8576"/>
    <cellStyle name="Percent 3 8 23 2" xfId="8577"/>
    <cellStyle name="Percent 3 8 24" xfId="8578"/>
    <cellStyle name="Percent 3 8 25" xfId="8579"/>
    <cellStyle name="Percent 3 8 3 12" xfId="8580"/>
    <cellStyle name="Percent 3 8 3 10" xfId="8581"/>
    <cellStyle name="Percent 3 8 3 11" xfId="8582"/>
    <cellStyle name="Percent 3 8 3 2" xfId="8583"/>
    <cellStyle name="Percent 3 8 3 2 2" xfId="8584"/>
    <cellStyle name="Percent 3 8 3 2 2 2" xfId="8585"/>
    <cellStyle name="Percent 3 8 3 2 3" xfId="8586"/>
    <cellStyle name="Percent 3 8 3 2 3 2" xfId="8587"/>
    <cellStyle name="Percent 3 8 3 2 4" xfId="8588"/>
    <cellStyle name="Percent 3 8 3 2 5" xfId="8589"/>
    <cellStyle name="Percent 3 8 3 3" xfId="8590"/>
    <cellStyle name="Percent 3 8 3 3 2" xfId="8591"/>
    <cellStyle name="Percent 3 8 3 3 2 2" xfId="8592"/>
    <cellStyle name="Percent 3 8 3 3 3" xfId="8593"/>
    <cellStyle name="Percent 3 8 3 3 3 2" xfId="8594"/>
    <cellStyle name="Percent 3 8 3 3 4" xfId="8595"/>
    <cellStyle name="Percent 3 8 3 4" xfId="8596"/>
    <cellStyle name="Percent 3 8 3 4 2" xfId="8597"/>
    <cellStyle name="Percent 3 8 3 4 2 2" xfId="8598"/>
    <cellStyle name="Percent 3 8 3 4 3" xfId="8599"/>
    <cellStyle name="Percent 3 8 3 4 3 2" xfId="8600"/>
    <cellStyle name="Percent 3 8 3 4 4" xfId="8601"/>
    <cellStyle name="Percent 3 8 3 5" xfId="8602"/>
    <cellStyle name="Percent 3 8 3 5 2" xfId="8603"/>
    <cellStyle name="Percent 3 8 3 5 2 2" xfId="8604"/>
    <cellStyle name="Percent 3 8 3 5 3" xfId="8605"/>
    <cellStyle name="Percent 3 8 3 5 3 2" xfId="8606"/>
    <cellStyle name="Percent 3 8 3 5 4" xfId="8607"/>
    <cellStyle name="Percent 3 8 3 5 4 2" xfId="8608"/>
    <cellStyle name="Percent 3 8 3 5 5" xfId="8609"/>
    <cellStyle name="Percent 3 8 3 6" xfId="8610"/>
    <cellStyle name="Percent 3 8 3 6 2" xfId="8611"/>
    <cellStyle name="Percent 3 8 3 6 2 2" xfId="8612"/>
    <cellStyle name="Percent 3 8 3 6 3" xfId="8613"/>
    <cellStyle name="Percent 3 8 3 6 3 2" xfId="8614"/>
    <cellStyle name="Percent 3 8 3 6 4" xfId="8615"/>
    <cellStyle name="Percent 3 8 3 7" xfId="8616"/>
    <cellStyle name="Percent 3 8 3 7 2" xfId="8617"/>
    <cellStyle name="Percent 3 8 3 8" xfId="8618"/>
    <cellStyle name="Percent 3 8 3 8 2" xfId="8619"/>
    <cellStyle name="Percent 3 8 3 9" xfId="8620"/>
    <cellStyle name="Percent 3 8 3 9 2" xfId="8621"/>
    <cellStyle name="Percent 3 8 4 12" xfId="8622"/>
    <cellStyle name="Percent 3 8 4 10" xfId="8623"/>
    <cellStyle name="Percent 3 8 4 11" xfId="8624"/>
    <cellStyle name="Percent 3 8 4 2" xfId="8625"/>
    <cellStyle name="Percent 3 8 4 2 2" xfId="8626"/>
    <cellStyle name="Percent 3 8 4 2 2 2" xfId="8627"/>
    <cellStyle name="Percent 3 8 4 2 3" xfId="8628"/>
    <cellStyle name="Percent 3 8 4 2 3 2" xfId="8629"/>
    <cellStyle name="Percent 3 8 4 2 4" xfId="8630"/>
    <cellStyle name="Percent 3 8 4 2 5" xfId="8631"/>
    <cellStyle name="Percent 3 8 4 3" xfId="8632"/>
    <cellStyle name="Percent 3 8 4 3 2" xfId="8633"/>
    <cellStyle name="Percent 3 8 4 3 2 2" xfId="8634"/>
    <cellStyle name="Percent 3 8 4 3 3" xfId="8635"/>
    <cellStyle name="Percent 3 8 4 3 3 2" xfId="8636"/>
    <cellStyle name="Percent 3 8 4 3 4" xfId="8637"/>
    <cellStyle name="Percent 3 8 4 4" xfId="8638"/>
    <cellStyle name="Percent 3 8 4 4 2" xfId="8639"/>
    <cellStyle name="Percent 3 8 4 4 2 2" xfId="8640"/>
    <cellStyle name="Percent 3 8 4 4 3" xfId="8641"/>
    <cellStyle name="Percent 3 8 4 4 3 2" xfId="8642"/>
    <cellStyle name="Percent 3 8 4 4 4" xfId="8643"/>
    <cellStyle name="Percent 3 8 4 5" xfId="8644"/>
    <cellStyle name="Percent 3 8 4 5 2" xfId="8645"/>
    <cellStyle name="Percent 3 8 4 5 2 2" xfId="8646"/>
    <cellStyle name="Percent 3 8 4 5 3" xfId="8647"/>
    <cellStyle name="Percent 3 8 4 5 3 2" xfId="8648"/>
    <cellStyle name="Percent 3 8 4 5 4" xfId="8649"/>
    <cellStyle name="Percent 3 8 4 5 4 2" xfId="8650"/>
    <cellStyle name="Percent 3 8 4 5 5" xfId="8651"/>
    <cellStyle name="Percent 3 8 4 6" xfId="8652"/>
    <cellStyle name="Percent 3 8 4 6 2" xfId="8653"/>
    <cellStyle name="Percent 3 8 4 6 2 2" xfId="8654"/>
    <cellStyle name="Percent 3 8 4 6 3" xfId="8655"/>
    <cellStyle name="Percent 3 8 4 6 3 2" xfId="8656"/>
    <cellStyle name="Percent 3 8 4 6 4" xfId="8657"/>
    <cellStyle name="Percent 3 8 4 7" xfId="8658"/>
    <cellStyle name="Percent 3 8 4 7 2" xfId="8659"/>
    <cellStyle name="Percent 3 8 4 8" xfId="8660"/>
    <cellStyle name="Percent 3 8 4 8 2" xfId="8661"/>
    <cellStyle name="Percent 3 8 4 9" xfId="8662"/>
    <cellStyle name="Percent 3 8 4 9 2" xfId="8663"/>
    <cellStyle name="Percent 3 8 5 12" xfId="8664"/>
    <cellStyle name="Percent 3 8 5 10" xfId="8665"/>
    <cellStyle name="Percent 3 8 5 11" xfId="8666"/>
    <cellStyle name="Percent 3 8 5 2" xfId="8667"/>
    <cellStyle name="Percent 3 8 5 2 2" xfId="8668"/>
    <cellStyle name="Percent 3 8 5 2 2 2" xfId="8669"/>
    <cellStyle name="Percent 3 8 5 2 3" xfId="8670"/>
    <cellStyle name="Percent 3 8 5 2 3 2" xfId="8671"/>
    <cellStyle name="Percent 3 8 5 2 4" xfId="8672"/>
    <cellStyle name="Percent 3 8 5 2 5" xfId="8673"/>
    <cellStyle name="Percent 3 8 5 3" xfId="8674"/>
    <cellStyle name="Percent 3 8 5 3 2" xfId="8675"/>
    <cellStyle name="Percent 3 8 5 3 2 2" xfId="8676"/>
    <cellStyle name="Percent 3 8 5 3 3" xfId="8677"/>
    <cellStyle name="Percent 3 8 5 3 3 2" xfId="8678"/>
    <cellStyle name="Percent 3 8 5 3 4" xfId="8679"/>
    <cellStyle name="Percent 3 8 5 4" xfId="8680"/>
    <cellStyle name="Percent 3 8 5 4 2" xfId="8681"/>
    <cellStyle name="Percent 3 8 5 4 2 2" xfId="8682"/>
    <cellStyle name="Percent 3 8 5 4 3" xfId="8683"/>
    <cellStyle name="Percent 3 8 5 4 3 2" xfId="8684"/>
    <cellStyle name="Percent 3 8 5 4 4" xfId="8685"/>
    <cellStyle name="Percent 3 8 5 5" xfId="8686"/>
    <cellStyle name="Percent 3 8 5 5 2" xfId="8687"/>
    <cellStyle name="Percent 3 8 5 5 2 2" xfId="8688"/>
    <cellStyle name="Percent 3 8 5 5 3" xfId="8689"/>
    <cellStyle name="Percent 3 8 5 5 3 2" xfId="8690"/>
    <cellStyle name="Percent 3 8 5 5 4" xfId="8691"/>
    <cellStyle name="Percent 3 8 5 5 4 2" xfId="8692"/>
    <cellStyle name="Percent 3 8 5 5 5" xfId="8693"/>
    <cellStyle name="Percent 3 8 5 6" xfId="8694"/>
    <cellStyle name="Percent 3 8 5 6 2" xfId="8695"/>
    <cellStyle name="Percent 3 8 5 6 2 2" xfId="8696"/>
    <cellStyle name="Percent 3 8 5 6 3" xfId="8697"/>
    <cellStyle name="Percent 3 8 5 6 3 2" xfId="8698"/>
    <cellStyle name="Percent 3 8 5 6 4" xfId="8699"/>
    <cellStyle name="Percent 3 8 5 7" xfId="8700"/>
    <cellStyle name="Percent 3 8 5 7 2" xfId="8701"/>
    <cellStyle name="Percent 3 8 5 8" xfId="8702"/>
    <cellStyle name="Percent 3 8 5 8 2" xfId="8703"/>
    <cellStyle name="Percent 3 8 5 9" xfId="8704"/>
    <cellStyle name="Percent 3 8 5 9 2" xfId="8705"/>
    <cellStyle name="Percent 3 8 6 12" xfId="8706"/>
    <cellStyle name="Percent 3 8 6 10" xfId="8707"/>
    <cellStyle name="Percent 3 8 6 11" xfId="8708"/>
    <cellStyle name="Percent 3 8 6 2" xfId="8709"/>
    <cellStyle name="Percent 3 8 6 2 2" xfId="8710"/>
    <cellStyle name="Percent 3 8 6 2 2 2" xfId="8711"/>
    <cellStyle name="Percent 3 8 6 2 3" xfId="8712"/>
    <cellStyle name="Percent 3 8 6 2 3 2" xfId="8713"/>
    <cellStyle name="Percent 3 8 6 2 4" xfId="8714"/>
    <cellStyle name="Percent 3 8 6 2 5" xfId="8715"/>
    <cellStyle name="Percent 3 8 6 3" xfId="8716"/>
    <cellStyle name="Percent 3 8 6 3 2" xfId="8717"/>
    <cellStyle name="Percent 3 8 6 3 2 2" xfId="8718"/>
    <cellStyle name="Percent 3 8 6 3 3" xfId="8719"/>
    <cellStyle name="Percent 3 8 6 3 3 2" xfId="8720"/>
    <cellStyle name="Percent 3 8 6 3 4" xfId="8721"/>
    <cellStyle name="Percent 3 8 6 4" xfId="8722"/>
    <cellStyle name="Percent 3 8 6 4 2" xfId="8723"/>
    <cellStyle name="Percent 3 8 6 4 2 2" xfId="8724"/>
    <cellStyle name="Percent 3 8 6 4 3" xfId="8725"/>
    <cellStyle name="Percent 3 8 6 4 3 2" xfId="8726"/>
    <cellStyle name="Percent 3 8 6 4 4" xfId="8727"/>
    <cellStyle name="Percent 3 8 6 5" xfId="8728"/>
    <cellStyle name="Percent 3 8 6 5 2" xfId="8729"/>
    <cellStyle name="Percent 3 8 6 5 2 2" xfId="8730"/>
    <cellStyle name="Percent 3 8 6 5 3" xfId="8731"/>
    <cellStyle name="Percent 3 8 6 5 3 2" xfId="8732"/>
    <cellStyle name="Percent 3 8 6 5 4" xfId="8733"/>
    <cellStyle name="Percent 3 8 6 5 4 2" xfId="8734"/>
    <cellStyle name="Percent 3 8 6 5 5" xfId="8735"/>
    <cellStyle name="Percent 3 8 6 6" xfId="8736"/>
    <cellStyle name="Percent 3 8 6 6 2" xfId="8737"/>
    <cellStyle name="Percent 3 8 6 6 2 2" xfId="8738"/>
    <cellStyle name="Percent 3 8 6 6 3" xfId="8739"/>
    <cellStyle name="Percent 3 8 6 6 3 2" xfId="8740"/>
    <cellStyle name="Percent 3 8 6 6 4" xfId="8741"/>
    <cellStyle name="Percent 3 8 6 7" xfId="8742"/>
    <cellStyle name="Percent 3 8 6 7 2" xfId="8743"/>
    <cellStyle name="Percent 3 8 6 8" xfId="8744"/>
    <cellStyle name="Percent 3 8 6 8 2" xfId="8745"/>
    <cellStyle name="Percent 3 8 6 9" xfId="8746"/>
    <cellStyle name="Percent 3 8 6 9 2" xfId="8747"/>
    <cellStyle name="Percent 3 8 7 12" xfId="8748"/>
    <cellStyle name="Percent 3 8 7 10" xfId="8749"/>
    <cellStyle name="Percent 3 8 7 11" xfId="8750"/>
    <cellStyle name="Percent 3 8 7 2" xfId="8751"/>
    <cellStyle name="Percent 3 8 7 2 2" xfId="8752"/>
    <cellStyle name="Percent 3 8 7 2 2 2" xfId="8753"/>
    <cellStyle name="Percent 3 8 7 2 3" xfId="8754"/>
    <cellStyle name="Percent 3 8 7 2 3 2" xfId="8755"/>
    <cellStyle name="Percent 3 8 7 2 4" xfId="8756"/>
    <cellStyle name="Percent 3 8 7 2 5" xfId="8757"/>
    <cellStyle name="Percent 3 8 7 3" xfId="8758"/>
    <cellStyle name="Percent 3 8 7 3 2" xfId="8759"/>
    <cellStyle name="Percent 3 8 7 3 2 2" xfId="8760"/>
    <cellStyle name="Percent 3 8 7 3 3" xfId="8761"/>
    <cellStyle name="Percent 3 8 7 3 3 2" xfId="8762"/>
    <cellStyle name="Percent 3 8 7 3 4" xfId="8763"/>
    <cellStyle name="Percent 3 8 7 4" xfId="8764"/>
    <cellStyle name="Percent 3 8 7 4 2" xfId="8765"/>
    <cellStyle name="Percent 3 8 7 4 2 2" xfId="8766"/>
    <cellStyle name="Percent 3 8 7 4 3" xfId="8767"/>
    <cellStyle name="Percent 3 8 7 4 3 2" xfId="8768"/>
    <cellStyle name="Percent 3 8 7 4 4" xfId="8769"/>
    <cellStyle name="Percent 3 8 7 5" xfId="8770"/>
    <cellStyle name="Percent 3 8 7 5 2" xfId="8771"/>
    <cellStyle name="Percent 3 8 7 5 2 2" xfId="8772"/>
    <cellStyle name="Percent 3 8 7 5 3" xfId="8773"/>
    <cellStyle name="Percent 3 8 7 5 3 2" xfId="8774"/>
    <cellStyle name="Percent 3 8 7 5 4" xfId="8775"/>
    <cellStyle name="Percent 3 8 7 5 4 2" xfId="8776"/>
    <cellStyle name="Percent 3 8 7 5 5" xfId="8777"/>
    <cellStyle name="Percent 3 8 7 6" xfId="8778"/>
    <cellStyle name="Percent 3 8 7 6 2" xfId="8779"/>
    <cellStyle name="Percent 3 8 7 6 2 2" xfId="8780"/>
    <cellStyle name="Percent 3 8 7 6 3" xfId="8781"/>
    <cellStyle name="Percent 3 8 7 6 3 2" xfId="8782"/>
    <cellStyle name="Percent 3 8 7 6 4" xfId="8783"/>
    <cellStyle name="Percent 3 8 7 7" xfId="8784"/>
    <cellStyle name="Percent 3 8 7 7 2" xfId="8785"/>
    <cellStyle name="Percent 3 8 7 8" xfId="8786"/>
    <cellStyle name="Percent 3 8 7 8 2" xfId="8787"/>
    <cellStyle name="Percent 3 8 7 9" xfId="8788"/>
    <cellStyle name="Percent 3 8 7 9 2" xfId="8789"/>
    <cellStyle name="Percent 3 8 8 12" xfId="8790"/>
    <cellStyle name="Percent 3 8 8 10" xfId="8791"/>
    <cellStyle name="Percent 3 8 8 11" xfId="8792"/>
    <cellStyle name="Percent 3 8 8 2" xfId="8793"/>
    <cellStyle name="Percent 3 8 8 2 2" xfId="8794"/>
    <cellStyle name="Percent 3 8 8 2 2 2" xfId="8795"/>
    <cellStyle name="Percent 3 8 8 2 3" xfId="8796"/>
    <cellStyle name="Percent 3 8 8 2 3 2" xfId="8797"/>
    <cellStyle name="Percent 3 8 8 2 4" xfId="8798"/>
    <cellStyle name="Percent 3 8 8 2 5" xfId="8799"/>
    <cellStyle name="Percent 3 8 8 3" xfId="8800"/>
    <cellStyle name="Percent 3 8 8 3 2" xfId="8801"/>
    <cellStyle name="Percent 3 8 8 3 2 2" xfId="8802"/>
    <cellStyle name="Percent 3 8 8 3 3" xfId="8803"/>
    <cellStyle name="Percent 3 8 8 3 3 2" xfId="8804"/>
    <cellStyle name="Percent 3 8 8 3 4" xfId="8805"/>
    <cellStyle name="Percent 3 8 8 4" xfId="8806"/>
    <cellStyle name="Percent 3 8 8 4 2" xfId="8807"/>
    <cellStyle name="Percent 3 8 8 4 2 2" xfId="8808"/>
    <cellStyle name="Percent 3 8 8 4 3" xfId="8809"/>
    <cellStyle name="Percent 3 8 8 4 3 2" xfId="8810"/>
    <cellStyle name="Percent 3 8 8 4 4" xfId="8811"/>
    <cellStyle name="Percent 3 8 8 5" xfId="8812"/>
    <cellStyle name="Percent 3 8 8 5 2" xfId="8813"/>
    <cellStyle name="Percent 3 8 8 5 2 2" xfId="8814"/>
    <cellStyle name="Percent 3 8 8 5 3" xfId="8815"/>
    <cellStyle name="Percent 3 8 8 5 3 2" xfId="8816"/>
    <cellStyle name="Percent 3 8 8 5 4" xfId="8817"/>
    <cellStyle name="Percent 3 8 8 5 4 2" xfId="8818"/>
    <cellStyle name="Percent 3 8 8 5 5" xfId="8819"/>
    <cellStyle name="Percent 3 8 8 6" xfId="8820"/>
    <cellStyle name="Percent 3 8 8 6 2" xfId="8821"/>
    <cellStyle name="Percent 3 8 8 6 2 2" xfId="8822"/>
    <cellStyle name="Percent 3 8 8 6 3" xfId="8823"/>
    <cellStyle name="Percent 3 8 8 6 3 2" xfId="8824"/>
    <cellStyle name="Percent 3 8 8 6 4" xfId="8825"/>
    <cellStyle name="Percent 3 8 8 7" xfId="8826"/>
    <cellStyle name="Percent 3 8 8 7 2" xfId="8827"/>
    <cellStyle name="Percent 3 8 8 8" xfId="8828"/>
    <cellStyle name="Percent 3 8 8 8 2" xfId="8829"/>
    <cellStyle name="Percent 3 8 8 9" xfId="8830"/>
    <cellStyle name="Percent 3 8 8 9 2" xfId="8831"/>
    <cellStyle name="Percent 3 8 9 12" xfId="8832"/>
    <cellStyle name="Percent 3 8 9 10" xfId="8833"/>
    <cellStyle name="Percent 3 8 9 11" xfId="8834"/>
    <cellStyle name="Percent 3 8 9 2" xfId="8835"/>
    <cellStyle name="Percent 3 8 9 2 2" xfId="8836"/>
    <cellStyle name="Percent 3 8 9 2 2 2" xfId="8837"/>
    <cellStyle name="Percent 3 8 9 2 3" xfId="8838"/>
    <cellStyle name="Percent 3 8 9 2 3 2" xfId="8839"/>
    <cellStyle name="Percent 3 8 9 2 4" xfId="8840"/>
    <cellStyle name="Percent 3 8 9 2 5" xfId="8841"/>
    <cellStyle name="Percent 3 8 9 3" xfId="8842"/>
    <cellStyle name="Percent 3 8 9 3 2" xfId="8843"/>
    <cellStyle name="Percent 3 8 9 3 2 2" xfId="8844"/>
    <cellStyle name="Percent 3 8 9 3 3" xfId="8845"/>
    <cellStyle name="Percent 3 8 9 3 3 2" xfId="8846"/>
    <cellStyle name="Percent 3 8 9 3 4" xfId="8847"/>
    <cellStyle name="Percent 3 8 9 4" xfId="8848"/>
    <cellStyle name="Percent 3 8 9 4 2" xfId="8849"/>
    <cellStyle name="Percent 3 8 9 4 2 2" xfId="8850"/>
    <cellStyle name="Percent 3 8 9 4 3" xfId="8851"/>
    <cellStyle name="Percent 3 8 9 4 3 2" xfId="8852"/>
    <cellStyle name="Percent 3 8 9 4 4" xfId="8853"/>
    <cellStyle name="Percent 3 8 9 5" xfId="8854"/>
    <cellStyle name="Percent 3 8 9 5 2" xfId="8855"/>
    <cellStyle name="Percent 3 8 9 5 2 2" xfId="8856"/>
    <cellStyle name="Percent 3 8 9 5 3" xfId="8857"/>
    <cellStyle name="Percent 3 8 9 5 3 2" xfId="8858"/>
    <cellStyle name="Percent 3 8 9 5 4" xfId="8859"/>
    <cellStyle name="Percent 3 8 9 5 4 2" xfId="8860"/>
    <cellStyle name="Percent 3 8 9 5 5" xfId="8861"/>
    <cellStyle name="Percent 3 8 9 6" xfId="8862"/>
    <cellStyle name="Percent 3 8 9 6 2" xfId="8863"/>
    <cellStyle name="Percent 3 8 9 6 2 2" xfId="8864"/>
    <cellStyle name="Percent 3 8 9 6 3" xfId="8865"/>
    <cellStyle name="Percent 3 8 9 6 3 2" xfId="8866"/>
    <cellStyle name="Percent 3 8 9 6 4" xfId="8867"/>
    <cellStyle name="Percent 3 8 9 7" xfId="8868"/>
    <cellStyle name="Percent 3 8 9 7 2" xfId="8869"/>
    <cellStyle name="Percent 3 8 9 8" xfId="8870"/>
    <cellStyle name="Percent 3 8 9 8 2" xfId="8871"/>
    <cellStyle name="Percent 3 8 9 9" xfId="8872"/>
    <cellStyle name="Percent 3 8 9 9 2" xfId="8873"/>
    <cellStyle name="Percent 3 9 26" xfId="8874"/>
    <cellStyle name="Percent 3 9 10 12" xfId="8875"/>
    <cellStyle name="Percent 3 9 10 10" xfId="8876"/>
    <cellStyle name="Percent 3 9 10 11" xfId="8877"/>
    <cellStyle name="Percent 3 9 10 2" xfId="8878"/>
    <cellStyle name="Percent 3 9 10 2 2" xfId="8879"/>
    <cellStyle name="Percent 3 9 10 2 2 2" xfId="8880"/>
    <cellStyle name="Percent 3 9 10 2 3" xfId="8881"/>
    <cellStyle name="Percent 3 9 10 2 3 2" xfId="8882"/>
    <cellStyle name="Percent 3 9 10 2 4" xfId="8883"/>
    <cellStyle name="Percent 3 9 10 2 5" xfId="8884"/>
    <cellStyle name="Percent 3 9 10 3" xfId="8885"/>
    <cellStyle name="Percent 3 9 10 3 2" xfId="8886"/>
    <cellStyle name="Percent 3 9 10 3 2 2" xfId="8887"/>
    <cellStyle name="Percent 3 9 10 3 3" xfId="8888"/>
    <cellStyle name="Percent 3 9 10 3 3 2" xfId="8889"/>
    <cellStyle name="Percent 3 9 10 3 4" xfId="8890"/>
    <cellStyle name="Percent 3 9 10 4" xfId="8891"/>
    <cellStyle name="Percent 3 9 10 4 2" xfId="8892"/>
    <cellStyle name="Percent 3 9 10 4 2 2" xfId="8893"/>
    <cellStyle name="Percent 3 9 10 4 3" xfId="8894"/>
    <cellStyle name="Percent 3 9 10 4 3 2" xfId="8895"/>
    <cellStyle name="Percent 3 9 10 4 4" xfId="8896"/>
    <cellStyle name="Percent 3 9 10 5" xfId="8897"/>
    <cellStyle name="Percent 3 9 10 5 2" xfId="8898"/>
    <cellStyle name="Percent 3 9 10 5 2 2" xfId="8899"/>
    <cellStyle name="Percent 3 9 10 5 3" xfId="8900"/>
    <cellStyle name="Percent 3 9 10 5 3 2" xfId="8901"/>
    <cellStyle name="Percent 3 9 10 5 4" xfId="8902"/>
    <cellStyle name="Percent 3 9 10 5 4 2" xfId="8903"/>
    <cellStyle name="Percent 3 9 10 5 5" xfId="8904"/>
    <cellStyle name="Percent 3 9 10 6" xfId="8905"/>
    <cellStyle name="Percent 3 9 10 6 2" xfId="8906"/>
    <cellStyle name="Percent 3 9 10 6 2 2" xfId="8907"/>
    <cellStyle name="Percent 3 9 10 6 3" xfId="8908"/>
    <cellStyle name="Percent 3 9 10 6 3 2" xfId="8909"/>
    <cellStyle name="Percent 3 9 10 6 4" xfId="8910"/>
    <cellStyle name="Percent 3 9 10 7" xfId="8911"/>
    <cellStyle name="Percent 3 9 10 7 2" xfId="8912"/>
    <cellStyle name="Percent 3 9 10 8" xfId="8913"/>
    <cellStyle name="Percent 3 9 10 8 2" xfId="8914"/>
    <cellStyle name="Percent 3 9 10 9" xfId="8915"/>
    <cellStyle name="Percent 3 9 10 9 2" xfId="8916"/>
    <cellStyle name="Percent 3 9 11 12" xfId="8917"/>
    <cellStyle name="Percent 3 9 11 10" xfId="8918"/>
    <cellStyle name="Percent 3 9 11 11" xfId="8919"/>
    <cellStyle name="Percent 3 9 11 2" xfId="8920"/>
    <cellStyle name="Percent 3 9 11 2 2" xfId="8921"/>
    <cellStyle name="Percent 3 9 11 2 2 2" xfId="8922"/>
    <cellStyle name="Percent 3 9 11 2 3" xfId="8923"/>
    <cellStyle name="Percent 3 9 11 2 3 2" xfId="8924"/>
    <cellStyle name="Percent 3 9 11 2 4" xfId="8925"/>
    <cellStyle name="Percent 3 9 11 2 5" xfId="8926"/>
    <cellStyle name="Percent 3 9 11 3" xfId="8927"/>
    <cellStyle name="Percent 3 9 11 3 2" xfId="8928"/>
    <cellStyle name="Percent 3 9 11 3 2 2" xfId="8929"/>
    <cellStyle name="Percent 3 9 11 3 3" xfId="8930"/>
    <cellStyle name="Percent 3 9 11 3 3 2" xfId="8931"/>
    <cellStyle name="Percent 3 9 11 3 4" xfId="8932"/>
    <cellStyle name="Percent 3 9 11 4" xfId="8933"/>
    <cellStyle name="Percent 3 9 11 4 2" xfId="8934"/>
    <cellStyle name="Percent 3 9 11 4 2 2" xfId="8935"/>
    <cellStyle name="Percent 3 9 11 4 3" xfId="8936"/>
    <cellStyle name="Percent 3 9 11 4 3 2" xfId="8937"/>
    <cellStyle name="Percent 3 9 11 4 4" xfId="8938"/>
    <cellStyle name="Percent 3 9 11 5" xfId="8939"/>
    <cellStyle name="Percent 3 9 11 5 2" xfId="8940"/>
    <cellStyle name="Percent 3 9 11 5 2 2" xfId="8941"/>
    <cellStyle name="Percent 3 9 11 5 3" xfId="8942"/>
    <cellStyle name="Percent 3 9 11 5 3 2" xfId="8943"/>
    <cellStyle name="Percent 3 9 11 5 4" xfId="8944"/>
    <cellStyle name="Percent 3 9 11 5 4 2" xfId="8945"/>
    <cellStyle name="Percent 3 9 11 5 5" xfId="8946"/>
    <cellStyle name="Percent 3 9 11 6" xfId="8947"/>
    <cellStyle name="Percent 3 9 11 6 2" xfId="8948"/>
    <cellStyle name="Percent 3 9 11 6 2 2" xfId="8949"/>
    <cellStyle name="Percent 3 9 11 6 3" xfId="8950"/>
    <cellStyle name="Percent 3 9 11 6 3 2" xfId="8951"/>
    <cellStyle name="Percent 3 9 11 6 4" xfId="8952"/>
    <cellStyle name="Percent 3 9 11 7" xfId="8953"/>
    <cellStyle name="Percent 3 9 11 7 2" xfId="8954"/>
    <cellStyle name="Percent 3 9 11 8" xfId="8955"/>
    <cellStyle name="Percent 3 9 11 8 2" xfId="8956"/>
    <cellStyle name="Percent 3 9 11 9" xfId="8957"/>
    <cellStyle name="Percent 3 9 11 9 2" xfId="8958"/>
    <cellStyle name="Percent 3 9 12 12" xfId="8959"/>
    <cellStyle name="Percent 3 9 12 10" xfId="8960"/>
    <cellStyle name="Percent 3 9 12 11" xfId="8961"/>
    <cellStyle name="Percent 3 9 12 2" xfId="8962"/>
    <cellStyle name="Percent 3 9 12 2 2" xfId="8963"/>
    <cellStyle name="Percent 3 9 12 2 2 2" xfId="8964"/>
    <cellStyle name="Percent 3 9 12 2 3" xfId="8965"/>
    <cellStyle name="Percent 3 9 12 2 3 2" xfId="8966"/>
    <cellStyle name="Percent 3 9 12 2 4" xfId="8967"/>
    <cellStyle name="Percent 3 9 12 2 5" xfId="8968"/>
    <cellStyle name="Percent 3 9 12 3" xfId="8969"/>
    <cellStyle name="Percent 3 9 12 3 2" xfId="8970"/>
    <cellStyle name="Percent 3 9 12 3 2 2" xfId="8971"/>
    <cellStyle name="Percent 3 9 12 3 3" xfId="8972"/>
    <cellStyle name="Percent 3 9 12 3 3 2" xfId="8973"/>
    <cellStyle name="Percent 3 9 12 3 4" xfId="8974"/>
    <cellStyle name="Percent 3 9 12 4" xfId="8975"/>
    <cellStyle name="Percent 3 9 12 4 2" xfId="8976"/>
    <cellStyle name="Percent 3 9 12 4 2 2" xfId="8977"/>
    <cellStyle name="Percent 3 9 12 4 3" xfId="8978"/>
    <cellStyle name="Percent 3 9 12 4 3 2" xfId="8979"/>
    <cellStyle name="Percent 3 9 12 4 4" xfId="8980"/>
    <cellStyle name="Percent 3 9 12 5" xfId="8981"/>
    <cellStyle name="Percent 3 9 12 5 2" xfId="8982"/>
    <cellStyle name="Percent 3 9 12 5 2 2" xfId="8983"/>
    <cellStyle name="Percent 3 9 12 5 3" xfId="8984"/>
    <cellStyle name="Percent 3 9 12 5 3 2" xfId="8985"/>
    <cellStyle name="Percent 3 9 12 5 4" xfId="8986"/>
    <cellStyle name="Percent 3 9 12 5 4 2" xfId="8987"/>
    <cellStyle name="Percent 3 9 12 5 5" xfId="8988"/>
    <cellStyle name="Percent 3 9 12 6" xfId="8989"/>
    <cellStyle name="Percent 3 9 12 6 2" xfId="8990"/>
    <cellStyle name="Percent 3 9 12 6 2 2" xfId="8991"/>
    <cellStyle name="Percent 3 9 12 6 3" xfId="8992"/>
    <cellStyle name="Percent 3 9 12 6 3 2" xfId="8993"/>
    <cellStyle name="Percent 3 9 12 6 4" xfId="8994"/>
    <cellStyle name="Percent 3 9 12 7" xfId="8995"/>
    <cellStyle name="Percent 3 9 12 7 2" xfId="8996"/>
    <cellStyle name="Percent 3 9 12 8" xfId="8997"/>
    <cellStyle name="Percent 3 9 12 8 2" xfId="8998"/>
    <cellStyle name="Percent 3 9 12 9" xfId="8999"/>
    <cellStyle name="Percent 3 9 12 9 2" xfId="9000"/>
    <cellStyle name="Percent 3 9 13 12" xfId="9001"/>
    <cellStyle name="Percent 3 9 13 10" xfId="9002"/>
    <cellStyle name="Percent 3 9 13 11" xfId="9003"/>
    <cellStyle name="Percent 3 9 13 2" xfId="9004"/>
    <cellStyle name="Percent 3 9 13 2 2" xfId="9005"/>
    <cellStyle name="Percent 3 9 13 2 2 2" xfId="9006"/>
    <cellStyle name="Percent 3 9 13 2 3" xfId="9007"/>
    <cellStyle name="Percent 3 9 13 2 3 2" xfId="9008"/>
    <cellStyle name="Percent 3 9 13 2 4" xfId="9009"/>
    <cellStyle name="Percent 3 9 13 2 5" xfId="9010"/>
    <cellStyle name="Percent 3 9 13 3" xfId="9011"/>
    <cellStyle name="Percent 3 9 13 3 2" xfId="9012"/>
    <cellStyle name="Percent 3 9 13 3 2 2" xfId="9013"/>
    <cellStyle name="Percent 3 9 13 3 3" xfId="9014"/>
    <cellStyle name="Percent 3 9 13 3 3 2" xfId="9015"/>
    <cellStyle name="Percent 3 9 13 3 4" xfId="9016"/>
    <cellStyle name="Percent 3 9 13 4" xfId="9017"/>
    <cellStyle name="Percent 3 9 13 4 2" xfId="9018"/>
    <cellStyle name="Percent 3 9 13 4 2 2" xfId="9019"/>
    <cellStyle name="Percent 3 9 13 4 3" xfId="9020"/>
    <cellStyle name="Percent 3 9 13 4 3 2" xfId="9021"/>
    <cellStyle name="Percent 3 9 13 4 4" xfId="9022"/>
    <cellStyle name="Percent 3 9 13 5" xfId="9023"/>
    <cellStyle name="Percent 3 9 13 5 2" xfId="9024"/>
    <cellStyle name="Percent 3 9 13 5 2 2" xfId="9025"/>
    <cellStyle name="Percent 3 9 13 5 3" xfId="9026"/>
    <cellStyle name="Percent 3 9 13 5 3 2" xfId="9027"/>
    <cellStyle name="Percent 3 9 13 5 4" xfId="9028"/>
    <cellStyle name="Percent 3 9 13 5 4 2" xfId="9029"/>
    <cellStyle name="Percent 3 9 13 5 5" xfId="9030"/>
    <cellStyle name="Percent 3 9 13 6" xfId="9031"/>
    <cellStyle name="Percent 3 9 13 6 2" xfId="9032"/>
    <cellStyle name="Percent 3 9 13 6 2 2" xfId="9033"/>
    <cellStyle name="Percent 3 9 13 6 3" xfId="9034"/>
    <cellStyle name="Percent 3 9 13 6 3 2" xfId="9035"/>
    <cellStyle name="Percent 3 9 13 6 4" xfId="9036"/>
    <cellStyle name="Percent 3 9 13 7" xfId="9037"/>
    <cellStyle name="Percent 3 9 13 7 2" xfId="9038"/>
    <cellStyle name="Percent 3 9 13 8" xfId="9039"/>
    <cellStyle name="Percent 3 9 13 8 2" xfId="9040"/>
    <cellStyle name="Percent 3 9 13 9" xfId="9041"/>
    <cellStyle name="Percent 3 9 13 9 2" xfId="9042"/>
    <cellStyle name="Percent 3 9 14 12" xfId="9043"/>
    <cellStyle name="Percent 3 9 14 10" xfId="9044"/>
    <cellStyle name="Percent 3 9 14 11" xfId="9045"/>
    <cellStyle name="Percent 3 9 14 2" xfId="9046"/>
    <cellStyle name="Percent 3 9 14 2 2" xfId="9047"/>
    <cellStyle name="Percent 3 9 14 2 2 2" xfId="9048"/>
    <cellStyle name="Percent 3 9 14 2 3" xfId="9049"/>
    <cellStyle name="Percent 3 9 14 2 3 2" xfId="9050"/>
    <cellStyle name="Percent 3 9 14 2 4" xfId="9051"/>
    <cellStyle name="Percent 3 9 14 2 5" xfId="9052"/>
    <cellStyle name="Percent 3 9 14 3" xfId="9053"/>
    <cellStyle name="Percent 3 9 14 3 2" xfId="9054"/>
    <cellStyle name="Percent 3 9 14 3 2 2" xfId="9055"/>
    <cellStyle name="Percent 3 9 14 3 3" xfId="9056"/>
    <cellStyle name="Percent 3 9 14 3 3 2" xfId="9057"/>
    <cellStyle name="Percent 3 9 14 3 4" xfId="9058"/>
    <cellStyle name="Percent 3 9 14 4" xfId="9059"/>
    <cellStyle name="Percent 3 9 14 4 2" xfId="9060"/>
    <cellStyle name="Percent 3 9 14 4 2 2" xfId="9061"/>
    <cellStyle name="Percent 3 9 14 4 3" xfId="9062"/>
    <cellStyle name="Percent 3 9 14 4 3 2" xfId="9063"/>
    <cellStyle name="Percent 3 9 14 4 4" xfId="9064"/>
    <cellStyle name="Percent 3 9 14 5" xfId="9065"/>
    <cellStyle name="Percent 3 9 14 5 2" xfId="9066"/>
    <cellStyle name="Percent 3 9 14 5 2 2" xfId="9067"/>
    <cellStyle name="Percent 3 9 14 5 3" xfId="9068"/>
    <cellStyle name="Percent 3 9 14 5 3 2" xfId="9069"/>
    <cellStyle name="Percent 3 9 14 5 4" xfId="9070"/>
    <cellStyle name="Percent 3 9 14 5 4 2" xfId="9071"/>
    <cellStyle name="Percent 3 9 14 5 5" xfId="9072"/>
    <cellStyle name="Percent 3 9 14 6" xfId="9073"/>
    <cellStyle name="Percent 3 9 14 6 2" xfId="9074"/>
    <cellStyle name="Percent 3 9 14 6 2 2" xfId="9075"/>
    <cellStyle name="Percent 3 9 14 6 3" xfId="9076"/>
    <cellStyle name="Percent 3 9 14 6 3 2" xfId="9077"/>
    <cellStyle name="Percent 3 9 14 6 4" xfId="9078"/>
    <cellStyle name="Percent 3 9 14 7" xfId="9079"/>
    <cellStyle name="Percent 3 9 14 7 2" xfId="9080"/>
    <cellStyle name="Percent 3 9 14 8" xfId="9081"/>
    <cellStyle name="Percent 3 9 14 8 2" xfId="9082"/>
    <cellStyle name="Percent 3 9 14 9" xfId="9083"/>
    <cellStyle name="Percent 3 9 14 9 2" xfId="9084"/>
    <cellStyle name="Percent 3 9 15 12" xfId="9085"/>
    <cellStyle name="Percent 3 9 15 10" xfId="9086"/>
    <cellStyle name="Percent 3 9 15 11" xfId="9087"/>
    <cellStyle name="Percent 3 9 15 2" xfId="9088"/>
    <cellStyle name="Percent 3 9 15 2 2" xfId="9089"/>
    <cellStyle name="Percent 3 9 15 2 2 2" xfId="9090"/>
    <cellStyle name="Percent 3 9 15 2 3" xfId="9091"/>
    <cellStyle name="Percent 3 9 15 2 3 2" xfId="9092"/>
    <cellStyle name="Percent 3 9 15 2 4" xfId="9093"/>
    <cellStyle name="Percent 3 9 15 2 5" xfId="9094"/>
    <cellStyle name="Percent 3 9 15 3" xfId="9095"/>
    <cellStyle name="Percent 3 9 15 3 2" xfId="9096"/>
    <cellStyle name="Percent 3 9 15 3 2 2" xfId="9097"/>
    <cellStyle name="Percent 3 9 15 3 3" xfId="9098"/>
    <cellStyle name="Percent 3 9 15 3 3 2" xfId="9099"/>
    <cellStyle name="Percent 3 9 15 3 4" xfId="9100"/>
    <cellStyle name="Percent 3 9 15 4" xfId="9101"/>
    <cellStyle name="Percent 3 9 15 4 2" xfId="9102"/>
    <cellStyle name="Percent 3 9 15 4 2 2" xfId="9103"/>
    <cellStyle name="Percent 3 9 15 4 3" xfId="9104"/>
    <cellStyle name="Percent 3 9 15 4 3 2" xfId="9105"/>
    <cellStyle name="Percent 3 9 15 4 4" xfId="9106"/>
    <cellStyle name="Percent 3 9 15 5" xfId="9107"/>
    <cellStyle name="Percent 3 9 15 5 2" xfId="9108"/>
    <cellStyle name="Percent 3 9 15 5 2 2" xfId="9109"/>
    <cellStyle name="Percent 3 9 15 5 3" xfId="9110"/>
    <cellStyle name="Percent 3 9 15 5 3 2" xfId="9111"/>
    <cellStyle name="Percent 3 9 15 5 4" xfId="9112"/>
    <cellStyle name="Percent 3 9 15 5 4 2" xfId="9113"/>
    <cellStyle name="Percent 3 9 15 5 5" xfId="9114"/>
    <cellStyle name="Percent 3 9 15 6" xfId="9115"/>
    <cellStyle name="Percent 3 9 15 6 2" xfId="9116"/>
    <cellStyle name="Percent 3 9 15 6 2 2" xfId="9117"/>
    <cellStyle name="Percent 3 9 15 6 3" xfId="9118"/>
    <cellStyle name="Percent 3 9 15 6 3 2" xfId="9119"/>
    <cellStyle name="Percent 3 9 15 6 4" xfId="9120"/>
    <cellStyle name="Percent 3 9 15 7" xfId="9121"/>
    <cellStyle name="Percent 3 9 15 7 2" xfId="9122"/>
    <cellStyle name="Percent 3 9 15 8" xfId="9123"/>
    <cellStyle name="Percent 3 9 15 8 2" xfId="9124"/>
    <cellStyle name="Percent 3 9 15 9" xfId="9125"/>
    <cellStyle name="Percent 3 9 15 9 2" xfId="9126"/>
    <cellStyle name="Percent 3 9 16" xfId="9127"/>
    <cellStyle name="Percent 3 9 16 2" xfId="9128"/>
    <cellStyle name="Percent 3 9 16 2 2" xfId="9129"/>
    <cellStyle name="Percent 3 9 16 3" xfId="9130"/>
    <cellStyle name="Percent 3 9 16 3 2" xfId="9131"/>
    <cellStyle name="Percent 3 9 16 4" xfId="9132"/>
    <cellStyle name="Percent 3 9 16 5" xfId="9133"/>
    <cellStyle name="Percent 3 9 17" xfId="9134"/>
    <cellStyle name="Percent 3 9 17 2" xfId="9135"/>
    <cellStyle name="Percent 3 9 17 2 2" xfId="9136"/>
    <cellStyle name="Percent 3 9 17 3" xfId="9137"/>
    <cellStyle name="Percent 3 9 17 3 2" xfId="9138"/>
    <cellStyle name="Percent 3 9 17 4" xfId="9139"/>
    <cellStyle name="Percent 3 9 18" xfId="9140"/>
    <cellStyle name="Percent 3 9 18 2" xfId="9141"/>
    <cellStyle name="Percent 3 9 18 2 2" xfId="9142"/>
    <cellStyle name="Percent 3 9 18 3" xfId="9143"/>
    <cellStyle name="Percent 3 9 18 3 2" xfId="9144"/>
    <cellStyle name="Percent 3 9 18 4" xfId="9145"/>
    <cellStyle name="Percent 3 9 19" xfId="9146"/>
    <cellStyle name="Percent 3 9 19 2" xfId="9147"/>
    <cellStyle name="Percent 3 9 19 2 2" xfId="9148"/>
    <cellStyle name="Percent 3 9 19 3" xfId="9149"/>
    <cellStyle name="Percent 3 9 19 3 2" xfId="9150"/>
    <cellStyle name="Percent 3 9 19 4" xfId="9151"/>
    <cellStyle name="Percent 3 9 19 4 2" xfId="9152"/>
    <cellStyle name="Percent 3 9 19 5" xfId="9153"/>
    <cellStyle name="Percent 3 9 2 12" xfId="9154"/>
    <cellStyle name="Percent 3 9 2 10" xfId="9155"/>
    <cellStyle name="Percent 3 9 2 11" xfId="9156"/>
    <cellStyle name="Percent 3 9 2 2" xfId="9157"/>
    <cellStyle name="Percent 3 9 2 2 2" xfId="9158"/>
    <cellStyle name="Percent 3 9 2 2 2 2" xfId="9159"/>
    <cellStyle name="Percent 3 9 2 2 3" xfId="9160"/>
    <cellStyle name="Percent 3 9 2 2 3 2" xfId="9161"/>
    <cellStyle name="Percent 3 9 2 2 4" xfId="9162"/>
    <cellStyle name="Percent 3 9 2 2 5" xfId="9163"/>
    <cellStyle name="Percent 3 9 2 3" xfId="9164"/>
    <cellStyle name="Percent 3 9 2 3 2" xfId="9165"/>
    <cellStyle name="Percent 3 9 2 3 2 2" xfId="9166"/>
    <cellStyle name="Percent 3 9 2 3 3" xfId="9167"/>
    <cellStyle name="Percent 3 9 2 3 3 2" xfId="9168"/>
    <cellStyle name="Percent 3 9 2 3 4" xfId="9169"/>
    <cellStyle name="Percent 3 9 2 4" xfId="9170"/>
    <cellStyle name="Percent 3 9 2 4 2" xfId="9171"/>
    <cellStyle name="Percent 3 9 2 4 2 2" xfId="9172"/>
    <cellStyle name="Percent 3 9 2 4 3" xfId="9173"/>
    <cellStyle name="Percent 3 9 2 4 3 2" xfId="9174"/>
    <cellStyle name="Percent 3 9 2 4 4" xfId="9175"/>
    <cellStyle name="Percent 3 9 2 5" xfId="9176"/>
    <cellStyle name="Percent 3 9 2 5 2" xfId="9177"/>
    <cellStyle name="Percent 3 9 2 5 2 2" xfId="9178"/>
    <cellStyle name="Percent 3 9 2 5 3" xfId="9179"/>
    <cellStyle name="Percent 3 9 2 5 3 2" xfId="9180"/>
    <cellStyle name="Percent 3 9 2 5 4" xfId="9181"/>
    <cellStyle name="Percent 3 9 2 5 4 2" xfId="9182"/>
    <cellStyle name="Percent 3 9 2 5 5" xfId="9183"/>
    <cellStyle name="Percent 3 9 2 6" xfId="9184"/>
    <cellStyle name="Percent 3 9 2 6 2" xfId="9185"/>
    <cellStyle name="Percent 3 9 2 6 2 2" xfId="9186"/>
    <cellStyle name="Percent 3 9 2 6 3" xfId="9187"/>
    <cellStyle name="Percent 3 9 2 6 3 2" xfId="9188"/>
    <cellStyle name="Percent 3 9 2 6 4" xfId="9189"/>
    <cellStyle name="Percent 3 9 2 7" xfId="9190"/>
    <cellStyle name="Percent 3 9 2 7 2" xfId="9191"/>
    <cellStyle name="Percent 3 9 2 8" xfId="9192"/>
    <cellStyle name="Percent 3 9 2 8 2" xfId="9193"/>
    <cellStyle name="Percent 3 9 2 9" xfId="9194"/>
    <cellStyle name="Percent 3 9 2 9 2" xfId="9195"/>
    <cellStyle name="Percent 3 9 20" xfId="9196"/>
    <cellStyle name="Percent 3 9 20 2" xfId="9197"/>
    <cellStyle name="Percent 3 9 20 2 2" xfId="9198"/>
    <cellStyle name="Percent 3 9 20 3" xfId="9199"/>
    <cellStyle name="Percent 3 9 20 3 2" xfId="9200"/>
    <cellStyle name="Percent 3 9 20 4" xfId="9201"/>
    <cellStyle name="Percent 3 9 21" xfId="9202"/>
    <cellStyle name="Percent 3 9 21 2" xfId="9203"/>
    <cellStyle name="Percent 3 9 22" xfId="9204"/>
    <cellStyle name="Percent 3 9 22 2" xfId="9205"/>
    <cellStyle name="Percent 3 9 23" xfId="9206"/>
    <cellStyle name="Percent 3 9 23 2" xfId="9207"/>
    <cellStyle name="Percent 3 9 24" xfId="9208"/>
    <cellStyle name="Percent 3 9 25" xfId="9209"/>
    <cellStyle name="Percent 3 9 3 12" xfId="9210"/>
    <cellStyle name="Percent 3 9 3 10" xfId="9211"/>
    <cellStyle name="Percent 3 9 3 11" xfId="9212"/>
    <cellStyle name="Percent 3 9 3 2" xfId="9213"/>
    <cellStyle name="Percent 3 9 3 2 2" xfId="9214"/>
    <cellStyle name="Percent 3 9 3 2 2 2" xfId="9215"/>
    <cellStyle name="Percent 3 9 3 2 3" xfId="9216"/>
    <cellStyle name="Percent 3 9 3 2 3 2" xfId="9217"/>
    <cellStyle name="Percent 3 9 3 2 4" xfId="9218"/>
    <cellStyle name="Percent 3 9 3 2 5" xfId="9219"/>
    <cellStyle name="Percent 3 9 3 3" xfId="9220"/>
    <cellStyle name="Percent 3 9 3 3 2" xfId="9221"/>
    <cellStyle name="Percent 3 9 3 3 2 2" xfId="9222"/>
    <cellStyle name="Percent 3 9 3 3 3" xfId="9223"/>
    <cellStyle name="Percent 3 9 3 3 3 2" xfId="9224"/>
    <cellStyle name="Percent 3 9 3 3 4" xfId="9225"/>
    <cellStyle name="Percent 3 9 3 4" xfId="9226"/>
    <cellStyle name="Percent 3 9 3 4 2" xfId="9227"/>
    <cellStyle name="Percent 3 9 3 4 2 2" xfId="9228"/>
    <cellStyle name="Percent 3 9 3 4 3" xfId="9229"/>
    <cellStyle name="Percent 3 9 3 4 3 2" xfId="9230"/>
    <cellStyle name="Percent 3 9 3 4 4" xfId="9231"/>
    <cellStyle name="Percent 3 9 3 5" xfId="9232"/>
    <cellStyle name="Percent 3 9 3 5 2" xfId="9233"/>
    <cellStyle name="Percent 3 9 3 5 2 2" xfId="9234"/>
    <cellStyle name="Percent 3 9 3 5 3" xfId="9235"/>
    <cellStyle name="Percent 3 9 3 5 3 2" xfId="9236"/>
    <cellStyle name="Percent 3 9 3 5 4" xfId="9237"/>
    <cellStyle name="Percent 3 9 3 5 4 2" xfId="9238"/>
    <cellStyle name="Percent 3 9 3 5 5" xfId="9239"/>
    <cellStyle name="Percent 3 9 3 6" xfId="9240"/>
    <cellStyle name="Percent 3 9 3 6 2" xfId="9241"/>
    <cellStyle name="Percent 3 9 3 6 2 2" xfId="9242"/>
    <cellStyle name="Percent 3 9 3 6 3" xfId="9243"/>
    <cellStyle name="Percent 3 9 3 6 3 2" xfId="9244"/>
    <cellStyle name="Percent 3 9 3 6 4" xfId="9245"/>
    <cellStyle name="Percent 3 9 3 7" xfId="9246"/>
    <cellStyle name="Percent 3 9 3 7 2" xfId="9247"/>
    <cellStyle name="Percent 3 9 3 8" xfId="9248"/>
    <cellStyle name="Percent 3 9 3 8 2" xfId="9249"/>
    <cellStyle name="Percent 3 9 3 9" xfId="9250"/>
    <cellStyle name="Percent 3 9 3 9 2" xfId="9251"/>
    <cellStyle name="Percent 3 9 4 12" xfId="9252"/>
    <cellStyle name="Percent 3 9 4 10" xfId="9253"/>
    <cellStyle name="Percent 3 9 4 11" xfId="9254"/>
    <cellStyle name="Percent 3 9 4 2" xfId="9255"/>
    <cellStyle name="Percent 3 9 4 2 2" xfId="9256"/>
    <cellStyle name="Percent 3 9 4 2 2 2" xfId="9257"/>
    <cellStyle name="Percent 3 9 4 2 3" xfId="9258"/>
    <cellStyle name="Percent 3 9 4 2 3 2" xfId="9259"/>
    <cellStyle name="Percent 3 9 4 2 4" xfId="9260"/>
    <cellStyle name="Percent 3 9 4 2 5" xfId="9261"/>
    <cellStyle name="Percent 3 9 4 3" xfId="9262"/>
    <cellStyle name="Percent 3 9 4 3 2" xfId="9263"/>
    <cellStyle name="Percent 3 9 4 3 2 2" xfId="9264"/>
    <cellStyle name="Percent 3 9 4 3 3" xfId="9265"/>
    <cellStyle name="Percent 3 9 4 3 3 2" xfId="9266"/>
    <cellStyle name="Percent 3 9 4 3 4" xfId="9267"/>
    <cellStyle name="Percent 3 9 4 4" xfId="9268"/>
    <cellStyle name="Percent 3 9 4 4 2" xfId="9269"/>
    <cellStyle name="Percent 3 9 4 4 2 2" xfId="9270"/>
    <cellStyle name="Percent 3 9 4 4 3" xfId="9271"/>
    <cellStyle name="Percent 3 9 4 4 3 2" xfId="9272"/>
    <cellStyle name="Percent 3 9 4 4 4" xfId="9273"/>
    <cellStyle name="Percent 3 9 4 5" xfId="9274"/>
    <cellStyle name="Percent 3 9 4 5 2" xfId="9275"/>
    <cellStyle name="Percent 3 9 4 5 2 2" xfId="9276"/>
    <cellStyle name="Percent 3 9 4 5 3" xfId="9277"/>
    <cellStyle name="Percent 3 9 4 5 3 2" xfId="9278"/>
    <cellStyle name="Percent 3 9 4 5 4" xfId="9279"/>
    <cellStyle name="Percent 3 9 4 5 4 2" xfId="9280"/>
    <cellStyle name="Percent 3 9 4 5 5" xfId="9281"/>
    <cellStyle name="Percent 3 9 4 6" xfId="9282"/>
    <cellStyle name="Percent 3 9 4 6 2" xfId="9283"/>
    <cellStyle name="Percent 3 9 4 6 2 2" xfId="9284"/>
    <cellStyle name="Percent 3 9 4 6 3" xfId="9285"/>
    <cellStyle name="Percent 3 9 4 6 3 2" xfId="9286"/>
    <cellStyle name="Percent 3 9 4 6 4" xfId="9287"/>
    <cellStyle name="Percent 3 9 4 7" xfId="9288"/>
    <cellStyle name="Percent 3 9 4 7 2" xfId="9289"/>
    <cellStyle name="Percent 3 9 4 8" xfId="9290"/>
    <cellStyle name="Percent 3 9 4 8 2" xfId="9291"/>
    <cellStyle name="Percent 3 9 4 9" xfId="9292"/>
    <cellStyle name="Percent 3 9 4 9 2" xfId="9293"/>
    <cellStyle name="Percent 3 9 5 12" xfId="9294"/>
    <cellStyle name="Percent 3 9 5 10" xfId="9295"/>
    <cellStyle name="Percent 3 9 5 11" xfId="9296"/>
    <cellStyle name="Percent 3 9 5 2" xfId="9297"/>
    <cellStyle name="Percent 3 9 5 2 2" xfId="9298"/>
    <cellStyle name="Percent 3 9 5 2 2 2" xfId="9299"/>
    <cellStyle name="Percent 3 9 5 2 3" xfId="9300"/>
    <cellStyle name="Percent 3 9 5 2 3 2" xfId="9301"/>
    <cellStyle name="Percent 3 9 5 2 4" xfId="9302"/>
    <cellStyle name="Percent 3 9 5 2 5" xfId="9303"/>
    <cellStyle name="Percent 3 9 5 3" xfId="9304"/>
    <cellStyle name="Percent 3 9 5 3 2" xfId="9305"/>
    <cellStyle name="Percent 3 9 5 3 2 2" xfId="9306"/>
    <cellStyle name="Percent 3 9 5 3 3" xfId="9307"/>
    <cellStyle name="Percent 3 9 5 3 3 2" xfId="9308"/>
    <cellStyle name="Percent 3 9 5 3 4" xfId="9309"/>
    <cellStyle name="Percent 3 9 5 4" xfId="9310"/>
    <cellStyle name="Percent 3 9 5 4 2" xfId="9311"/>
    <cellStyle name="Percent 3 9 5 4 2 2" xfId="9312"/>
    <cellStyle name="Percent 3 9 5 4 3" xfId="9313"/>
    <cellStyle name="Percent 3 9 5 4 3 2" xfId="9314"/>
    <cellStyle name="Percent 3 9 5 4 4" xfId="9315"/>
    <cellStyle name="Percent 3 9 5 5" xfId="9316"/>
    <cellStyle name="Percent 3 9 5 5 2" xfId="9317"/>
    <cellStyle name="Percent 3 9 5 5 2 2" xfId="9318"/>
    <cellStyle name="Percent 3 9 5 5 3" xfId="9319"/>
    <cellStyle name="Percent 3 9 5 5 3 2" xfId="9320"/>
    <cellStyle name="Percent 3 9 5 5 4" xfId="9321"/>
    <cellStyle name="Percent 3 9 5 5 4 2" xfId="9322"/>
    <cellStyle name="Percent 3 9 5 5 5" xfId="9323"/>
    <cellStyle name="Percent 3 9 5 6" xfId="9324"/>
    <cellStyle name="Percent 3 9 5 6 2" xfId="9325"/>
    <cellStyle name="Percent 3 9 5 6 2 2" xfId="9326"/>
    <cellStyle name="Percent 3 9 5 6 3" xfId="9327"/>
    <cellStyle name="Percent 3 9 5 6 3 2" xfId="9328"/>
    <cellStyle name="Percent 3 9 5 6 4" xfId="9329"/>
    <cellStyle name="Percent 3 9 5 7" xfId="9330"/>
    <cellStyle name="Percent 3 9 5 7 2" xfId="9331"/>
    <cellStyle name="Percent 3 9 5 8" xfId="9332"/>
    <cellStyle name="Percent 3 9 5 8 2" xfId="9333"/>
    <cellStyle name="Percent 3 9 5 9" xfId="9334"/>
    <cellStyle name="Percent 3 9 5 9 2" xfId="9335"/>
    <cellStyle name="Percent 3 9 6 12" xfId="9336"/>
    <cellStyle name="Percent 3 9 6 10" xfId="9337"/>
    <cellStyle name="Percent 3 9 6 11" xfId="9338"/>
    <cellStyle name="Percent 3 9 6 2" xfId="9339"/>
    <cellStyle name="Percent 3 9 6 2 2" xfId="9340"/>
    <cellStyle name="Percent 3 9 6 2 2 2" xfId="9341"/>
    <cellStyle name="Percent 3 9 6 2 3" xfId="9342"/>
    <cellStyle name="Percent 3 9 6 2 3 2" xfId="9343"/>
    <cellStyle name="Percent 3 9 6 2 4" xfId="9344"/>
    <cellStyle name="Percent 3 9 6 2 5" xfId="9345"/>
    <cellStyle name="Percent 3 9 6 3" xfId="9346"/>
    <cellStyle name="Percent 3 9 6 3 2" xfId="9347"/>
    <cellStyle name="Percent 3 9 6 3 2 2" xfId="9348"/>
    <cellStyle name="Percent 3 9 6 3 3" xfId="9349"/>
    <cellStyle name="Percent 3 9 6 3 3 2" xfId="9350"/>
    <cellStyle name="Percent 3 9 6 3 4" xfId="9351"/>
    <cellStyle name="Percent 3 9 6 4" xfId="9352"/>
    <cellStyle name="Percent 3 9 6 4 2" xfId="9353"/>
    <cellStyle name="Percent 3 9 6 4 2 2" xfId="9354"/>
    <cellStyle name="Percent 3 9 6 4 3" xfId="9355"/>
    <cellStyle name="Percent 3 9 6 4 3 2" xfId="9356"/>
    <cellStyle name="Percent 3 9 6 4 4" xfId="9357"/>
    <cellStyle name="Percent 3 9 6 5" xfId="9358"/>
    <cellStyle name="Percent 3 9 6 5 2" xfId="9359"/>
    <cellStyle name="Percent 3 9 6 5 2 2" xfId="9360"/>
    <cellStyle name="Percent 3 9 6 5 3" xfId="9361"/>
    <cellStyle name="Percent 3 9 6 5 3 2" xfId="9362"/>
    <cellStyle name="Percent 3 9 6 5 4" xfId="9363"/>
    <cellStyle name="Percent 3 9 6 5 4 2" xfId="9364"/>
    <cellStyle name="Percent 3 9 6 5 5" xfId="9365"/>
    <cellStyle name="Percent 3 9 6 6" xfId="9366"/>
    <cellStyle name="Percent 3 9 6 6 2" xfId="9367"/>
    <cellStyle name="Percent 3 9 6 6 2 2" xfId="9368"/>
    <cellStyle name="Percent 3 9 6 6 3" xfId="9369"/>
    <cellStyle name="Percent 3 9 6 6 3 2" xfId="9370"/>
    <cellStyle name="Percent 3 9 6 6 4" xfId="9371"/>
    <cellStyle name="Percent 3 9 6 7" xfId="9372"/>
    <cellStyle name="Percent 3 9 6 7 2" xfId="9373"/>
    <cellStyle name="Percent 3 9 6 8" xfId="9374"/>
    <cellStyle name="Percent 3 9 6 8 2" xfId="9375"/>
    <cellStyle name="Percent 3 9 6 9" xfId="9376"/>
    <cellStyle name="Percent 3 9 6 9 2" xfId="9377"/>
    <cellStyle name="Percent 3 9 7 12" xfId="9378"/>
    <cellStyle name="Percent 3 9 7 10" xfId="9379"/>
    <cellStyle name="Percent 3 9 7 11" xfId="9380"/>
    <cellStyle name="Percent 3 9 7 2" xfId="9381"/>
    <cellStyle name="Percent 3 9 7 2 2" xfId="9382"/>
    <cellStyle name="Percent 3 9 7 2 2 2" xfId="9383"/>
    <cellStyle name="Percent 3 9 7 2 3" xfId="9384"/>
    <cellStyle name="Percent 3 9 7 2 3 2" xfId="9385"/>
    <cellStyle name="Percent 3 9 7 2 4" xfId="9386"/>
    <cellStyle name="Percent 3 9 7 2 5" xfId="9387"/>
    <cellStyle name="Percent 3 9 7 3" xfId="9388"/>
    <cellStyle name="Percent 3 9 7 3 2" xfId="9389"/>
    <cellStyle name="Percent 3 9 7 3 2 2" xfId="9390"/>
    <cellStyle name="Percent 3 9 7 3 3" xfId="9391"/>
    <cellStyle name="Percent 3 9 7 3 3 2" xfId="9392"/>
    <cellStyle name="Percent 3 9 7 3 4" xfId="9393"/>
    <cellStyle name="Percent 3 9 7 4" xfId="9394"/>
    <cellStyle name="Percent 3 9 7 4 2" xfId="9395"/>
    <cellStyle name="Percent 3 9 7 4 2 2" xfId="9396"/>
    <cellStyle name="Percent 3 9 7 4 3" xfId="9397"/>
    <cellStyle name="Percent 3 9 7 4 3 2" xfId="9398"/>
    <cellStyle name="Percent 3 9 7 4 4" xfId="9399"/>
    <cellStyle name="Percent 3 9 7 5" xfId="9400"/>
    <cellStyle name="Percent 3 9 7 5 2" xfId="9401"/>
    <cellStyle name="Percent 3 9 7 5 2 2" xfId="9402"/>
    <cellStyle name="Percent 3 9 7 5 3" xfId="9403"/>
    <cellStyle name="Percent 3 9 7 5 3 2" xfId="9404"/>
    <cellStyle name="Percent 3 9 7 5 4" xfId="9405"/>
    <cellStyle name="Percent 3 9 7 5 4 2" xfId="9406"/>
    <cellStyle name="Percent 3 9 7 5 5" xfId="9407"/>
    <cellStyle name="Percent 3 9 7 6" xfId="9408"/>
    <cellStyle name="Percent 3 9 7 6 2" xfId="9409"/>
    <cellStyle name="Percent 3 9 7 6 2 2" xfId="9410"/>
    <cellStyle name="Percent 3 9 7 6 3" xfId="9411"/>
    <cellStyle name="Percent 3 9 7 6 3 2" xfId="9412"/>
    <cellStyle name="Percent 3 9 7 6 4" xfId="9413"/>
    <cellStyle name="Percent 3 9 7 7" xfId="9414"/>
    <cellStyle name="Percent 3 9 7 7 2" xfId="9415"/>
    <cellStyle name="Percent 3 9 7 8" xfId="9416"/>
    <cellStyle name="Percent 3 9 7 8 2" xfId="9417"/>
    <cellStyle name="Percent 3 9 7 9" xfId="9418"/>
    <cellStyle name="Percent 3 9 7 9 2" xfId="9419"/>
    <cellStyle name="Percent 3 9 8 12" xfId="9420"/>
    <cellStyle name="Percent 3 9 8 10" xfId="9421"/>
    <cellStyle name="Percent 3 9 8 11" xfId="9422"/>
    <cellStyle name="Percent 3 9 8 2" xfId="9423"/>
    <cellStyle name="Percent 3 9 8 2 2" xfId="9424"/>
    <cellStyle name="Percent 3 9 8 2 2 2" xfId="9425"/>
    <cellStyle name="Percent 3 9 8 2 3" xfId="9426"/>
    <cellStyle name="Percent 3 9 8 2 3 2" xfId="9427"/>
    <cellStyle name="Percent 3 9 8 2 4" xfId="9428"/>
    <cellStyle name="Percent 3 9 8 2 5" xfId="9429"/>
    <cellStyle name="Percent 3 9 8 3" xfId="9430"/>
    <cellStyle name="Percent 3 9 8 3 2" xfId="9431"/>
    <cellStyle name="Percent 3 9 8 3 2 2" xfId="9432"/>
    <cellStyle name="Percent 3 9 8 3 3" xfId="9433"/>
    <cellStyle name="Percent 3 9 8 3 3 2" xfId="9434"/>
    <cellStyle name="Percent 3 9 8 3 4" xfId="9435"/>
    <cellStyle name="Percent 3 9 8 4" xfId="9436"/>
    <cellStyle name="Percent 3 9 8 4 2" xfId="9437"/>
    <cellStyle name="Percent 3 9 8 4 2 2" xfId="9438"/>
    <cellStyle name="Percent 3 9 8 4 3" xfId="9439"/>
    <cellStyle name="Percent 3 9 8 4 3 2" xfId="9440"/>
    <cellStyle name="Percent 3 9 8 4 4" xfId="9441"/>
    <cellStyle name="Percent 3 9 8 5" xfId="9442"/>
    <cellStyle name="Percent 3 9 8 5 2" xfId="9443"/>
    <cellStyle name="Percent 3 9 8 5 2 2" xfId="9444"/>
    <cellStyle name="Percent 3 9 8 5 3" xfId="9445"/>
    <cellStyle name="Percent 3 9 8 5 3 2" xfId="9446"/>
    <cellStyle name="Percent 3 9 8 5 4" xfId="9447"/>
    <cellStyle name="Percent 3 9 8 5 4 2" xfId="9448"/>
    <cellStyle name="Percent 3 9 8 5 5" xfId="9449"/>
    <cellStyle name="Percent 3 9 8 6" xfId="9450"/>
    <cellStyle name="Percent 3 9 8 6 2" xfId="9451"/>
    <cellStyle name="Percent 3 9 8 6 2 2" xfId="9452"/>
    <cellStyle name="Percent 3 9 8 6 3" xfId="9453"/>
    <cellStyle name="Percent 3 9 8 6 3 2" xfId="9454"/>
    <cellStyle name="Percent 3 9 8 6 4" xfId="9455"/>
    <cellStyle name="Percent 3 9 8 7" xfId="9456"/>
    <cellStyle name="Percent 3 9 8 7 2" xfId="9457"/>
    <cellStyle name="Percent 3 9 8 8" xfId="9458"/>
    <cellStyle name="Percent 3 9 8 8 2" xfId="9459"/>
    <cellStyle name="Percent 3 9 8 9" xfId="9460"/>
    <cellStyle name="Percent 3 9 8 9 2" xfId="9461"/>
    <cellStyle name="Percent 3 9 9 12" xfId="9462"/>
    <cellStyle name="Percent 3 9 9 10" xfId="9463"/>
    <cellStyle name="Percent 3 9 9 11" xfId="9464"/>
    <cellStyle name="Percent 3 9 9 2" xfId="9465"/>
    <cellStyle name="Percent 3 9 9 2 2" xfId="9466"/>
    <cellStyle name="Percent 3 9 9 2 2 2" xfId="9467"/>
    <cellStyle name="Percent 3 9 9 2 3" xfId="9468"/>
    <cellStyle name="Percent 3 9 9 2 3 2" xfId="9469"/>
    <cellStyle name="Percent 3 9 9 2 4" xfId="9470"/>
    <cellStyle name="Percent 3 9 9 2 5" xfId="9471"/>
    <cellStyle name="Percent 3 9 9 3" xfId="9472"/>
    <cellStyle name="Percent 3 9 9 3 2" xfId="9473"/>
    <cellStyle name="Percent 3 9 9 3 2 2" xfId="9474"/>
    <cellStyle name="Percent 3 9 9 3 3" xfId="9475"/>
    <cellStyle name="Percent 3 9 9 3 3 2" xfId="9476"/>
    <cellStyle name="Percent 3 9 9 3 4" xfId="9477"/>
    <cellStyle name="Percent 3 9 9 4" xfId="9478"/>
    <cellStyle name="Percent 3 9 9 4 2" xfId="9479"/>
    <cellStyle name="Percent 3 9 9 4 2 2" xfId="9480"/>
    <cellStyle name="Percent 3 9 9 4 3" xfId="9481"/>
    <cellStyle name="Percent 3 9 9 4 3 2" xfId="9482"/>
    <cellStyle name="Percent 3 9 9 4 4" xfId="9483"/>
    <cellStyle name="Percent 3 9 9 5" xfId="9484"/>
    <cellStyle name="Percent 3 9 9 5 2" xfId="9485"/>
    <cellStyle name="Percent 3 9 9 5 2 2" xfId="9486"/>
    <cellStyle name="Percent 3 9 9 5 3" xfId="9487"/>
    <cellStyle name="Percent 3 9 9 5 3 2" xfId="9488"/>
    <cellStyle name="Percent 3 9 9 5 4" xfId="9489"/>
    <cellStyle name="Percent 3 9 9 5 4 2" xfId="9490"/>
    <cellStyle name="Percent 3 9 9 5 5" xfId="9491"/>
    <cellStyle name="Percent 3 9 9 6" xfId="9492"/>
    <cellStyle name="Percent 3 9 9 6 2" xfId="9493"/>
    <cellStyle name="Percent 3 9 9 6 2 2" xfId="9494"/>
    <cellStyle name="Percent 3 9 9 6 3" xfId="9495"/>
    <cellStyle name="Percent 3 9 9 6 3 2" xfId="9496"/>
    <cellStyle name="Percent 3 9 9 6 4" xfId="9497"/>
    <cellStyle name="Percent 3 9 9 7" xfId="9498"/>
    <cellStyle name="Percent 3 9 9 7 2" xfId="9499"/>
    <cellStyle name="Percent 3 9 9 8" xfId="9500"/>
    <cellStyle name="Percent 3 9 9 8 2" xfId="9501"/>
    <cellStyle name="Percent 3 9 9 9" xfId="9502"/>
    <cellStyle name="Percent 3 9 9 9 2" xfId="9503"/>
    <cellStyle name="Percent 31 12" xfId="9504"/>
    <cellStyle name="Percent 31 10" xfId="9505"/>
    <cellStyle name="Percent 31 11" xfId="9506"/>
    <cellStyle name="Percent 31 2" xfId="9507"/>
    <cellStyle name="Percent 31 2 2" xfId="9508"/>
    <cellStyle name="Percent 31 2 2 2" xfId="9509"/>
    <cellStyle name="Percent 31 2 3" xfId="9510"/>
    <cellStyle name="Percent 31 2 3 2" xfId="9511"/>
    <cellStyle name="Percent 31 2 4" xfId="9512"/>
    <cellStyle name="Percent 31 2 5" xfId="9513"/>
    <cellStyle name="Percent 31 3" xfId="9514"/>
    <cellStyle name="Percent 31 3 2" xfId="9515"/>
    <cellStyle name="Percent 31 3 2 2" xfId="9516"/>
    <cellStyle name="Percent 31 3 3" xfId="9517"/>
    <cellStyle name="Percent 31 3 3 2" xfId="9518"/>
    <cellStyle name="Percent 31 3 4" xfId="9519"/>
    <cellStyle name="Percent 31 4" xfId="9520"/>
    <cellStyle name="Percent 31 4 2" xfId="9521"/>
    <cellStyle name="Percent 31 4 2 2" xfId="9522"/>
    <cellStyle name="Percent 31 4 3" xfId="9523"/>
    <cellStyle name="Percent 31 4 3 2" xfId="9524"/>
    <cellStyle name="Percent 31 4 4" xfId="9525"/>
    <cellStyle name="Percent 31 5" xfId="9526"/>
    <cellStyle name="Percent 31 5 2" xfId="9527"/>
    <cellStyle name="Percent 31 5 2 2" xfId="9528"/>
    <cellStyle name="Percent 31 5 3" xfId="9529"/>
    <cellStyle name="Percent 31 5 3 2" xfId="9530"/>
    <cellStyle name="Percent 31 5 4" xfId="9531"/>
    <cellStyle name="Percent 31 5 4 2" xfId="9532"/>
    <cellStyle name="Percent 31 5 5" xfId="9533"/>
    <cellStyle name="Percent 31 6" xfId="9534"/>
    <cellStyle name="Percent 31 6 2" xfId="9535"/>
    <cellStyle name="Percent 31 6 2 2" xfId="9536"/>
    <cellStyle name="Percent 31 6 3" xfId="9537"/>
    <cellStyle name="Percent 31 6 3 2" xfId="9538"/>
    <cellStyle name="Percent 31 6 4" xfId="9539"/>
    <cellStyle name="Percent 31 7" xfId="9540"/>
    <cellStyle name="Percent 31 7 2" xfId="9541"/>
    <cellStyle name="Percent 31 8" xfId="9542"/>
    <cellStyle name="Percent 31 8 2" xfId="9543"/>
    <cellStyle name="Percent 31 9" xfId="9544"/>
    <cellStyle name="Percent 31 9 2" xfId="9545"/>
    <cellStyle name="Percent 4 40" xfId="9546"/>
    <cellStyle name="Percent 4 10 12" xfId="9547"/>
    <cellStyle name="Percent 4 10 10" xfId="9548"/>
    <cellStyle name="Percent 4 10 11" xfId="9549"/>
    <cellStyle name="Percent 4 10 2" xfId="9550"/>
    <cellStyle name="Percent 4 10 2 2" xfId="9551"/>
    <cellStyle name="Percent 4 10 2 2 2" xfId="9552"/>
    <cellStyle name="Percent 4 10 2 3" xfId="9553"/>
    <cellStyle name="Percent 4 10 2 3 2" xfId="9554"/>
    <cellStyle name="Percent 4 10 2 4" xfId="9555"/>
    <cellStyle name="Percent 4 10 2 5" xfId="9556"/>
    <cellStyle name="Percent 4 10 3" xfId="9557"/>
    <cellStyle name="Percent 4 10 3 2" xfId="9558"/>
    <cellStyle name="Percent 4 10 3 2 2" xfId="9559"/>
    <cellStyle name="Percent 4 10 3 3" xfId="9560"/>
    <cellStyle name="Percent 4 10 3 3 2" xfId="9561"/>
    <cellStyle name="Percent 4 10 3 4" xfId="9562"/>
    <cellStyle name="Percent 4 10 4" xfId="9563"/>
    <cellStyle name="Percent 4 10 4 2" xfId="9564"/>
    <cellStyle name="Percent 4 10 4 2 2" xfId="9565"/>
    <cellStyle name="Percent 4 10 4 3" xfId="9566"/>
    <cellStyle name="Percent 4 10 4 3 2" xfId="9567"/>
    <cellStyle name="Percent 4 10 4 4" xfId="9568"/>
    <cellStyle name="Percent 4 10 5" xfId="9569"/>
    <cellStyle name="Percent 4 10 5 2" xfId="9570"/>
    <cellStyle name="Percent 4 10 5 2 2" xfId="9571"/>
    <cellStyle name="Percent 4 10 5 3" xfId="9572"/>
    <cellStyle name="Percent 4 10 5 3 2" xfId="9573"/>
    <cellStyle name="Percent 4 10 5 4" xfId="9574"/>
    <cellStyle name="Percent 4 10 5 4 2" xfId="9575"/>
    <cellStyle name="Percent 4 10 5 5" xfId="9576"/>
    <cellStyle name="Percent 4 10 6" xfId="9577"/>
    <cellStyle name="Percent 4 10 6 2" xfId="9578"/>
    <cellStyle name="Percent 4 10 6 2 2" xfId="9579"/>
    <cellStyle name="Percent 4 10 6 3" xfId="9580"/>
    <cellStyle name="Percent 4 10 6 3 2" xfId="9581"/>
    <cellStyle name="Percent 4 10 6 4" xfId="9582"/>
    <cellStyle name="Percent 4 10 7" xfId="9583"/>
    <cellStyle name="Percent 4 10 7 2" xfId="9584"/>
    <cellStyle name="Percent 4 10 8" xfId="9585"/>
    <cellStyle name="Percent 4 10 8 2" xfId="9586"/>
    <cellStyle name="Percent 4 10 9" xfId="9587"/>
    <cellStyle name="Percent 4 10 9 2" xfId="9588"/>
    <cellStyle name="Percent 4 11 12" xfId="9589"/>
    <cellStyle name="Percent 4 11 10" xfId="9590"/>
    <cellStyle name="Percent 4 11 11" xfId="9591"/>
    <cellStyle name="Percent 4 11 2" xfId="9592"/>
    <cellStyle name="Percent 4 11 2 2" xfId="9593"/>
    <cellStyle name="Percent 4 11 2 2 2" xfId="9594"/>
    <cellStyle name="Percent 4 11 2 3" xfId="9595"/>
    <cellStyle name="Percent 4 11 2 3 2" xfId="9596"/>
    <cellStyle name="Percent 4 11 2 4" xfId="9597"/>
    <cellStyle name="Percent 4 11 2 5" xfId="9598"/>
    <cellStyle name="Percent 4 11 3" xfId="9599"/>
    <cellStyle name="Percent 4 11 3 2" xfId="9600"/>
    <cellStyle name="Percent 4 11 3 2 2" xfId="9601"/>
    <cellStyle name="Percent 4 11 3 3" xfId="9602"/>
    <cellStyle name="Percent 4 11 3 3 2" xfId="9603"/>
    <cellStyle name="Percent 4 11 3 4" xfId="9604"/>
    <cellStyle name="Percent 4 11 4" xfId="9605"/>
    <cellStyle name="Percent 4 11 4 2" xfId="9606"/>
    <cellStyle name="Percent 4 11 4 2 2" xfId="9607"/>
    <cellStyle name="Percent 4 11 4 3" xfId="9608"/>
    <cellStyle name="Percent 4 11 4 3 2" xfId="9609"/>
    <cellStyle name="Percent 4 11 4 4" xfId="9610"/>
    <cellStyle name="Percent 4 11 5" xfId="9611"/>
    <cellStyle name="Percent 4 11 5 2" xfId="9612"/>
    <cellStyle name="Percent 4 11 5 2 2" xfId="9613"/>
    <cellStyle name="Percent 4 11 5 3" xfId="9614"/>
    <cellStyle name="Percent 4 11 5 3 2" xfId="9615"/>
    <cellStyle name="Percent 4 11 5 4" xfId="9616"/>
    <cellStyle name="Percent 4 11 5 4 2" xfId="9617"/>
    <cellStyle name="Percent 4 11 5 5" xfId="9618"/>
    <cellStyle name="Percent 4 11 6" xfId="9619"/>
    <cellStyle name="Percent 4 11 6 2" xfId="9620"/>
    <cellStyle name="Percent 4 11 6 2 2" xfId="9621"/>
    <cellStyle name="Percent 4 11 6 3" xfId="9622"/>
    <cellStyle name="Percent 4 11 6 3 2" xfId="9623"/>
    <cellStyle name="Percent 4 11 6 4" xfId="9624"/>
    <cellStyle name="Percent 4 11 7" xfId="9625"/>
    <cellStyle name="Percent 4 11 7 2" xfId="9626"/>
    <cellStyle name="Percent 4 11 8" xfId="9627"/>
    <cellStyle name="Percent 4 11 8 2" xfId="9628"/>
    <cellStyle name="Percent 4 11 9" xfId="9629"/>
    <cellStyle name="Percent 4 11 9 2" xfId="9630"/>
    <cellStyle name="Percent 4 12 12" xfId="9631"/>
    <cellStyle name="Percent 4 12 10" xfId="9632"/>
    <cellStyle name="Percent 4 12 11" xfId="9633"/>
    <cellStyle name="Percent 4 12 2" xfId="9634"/>
    <cellStyle name="Percent 4 12 2 2" xfId="9635"/>
    <cellStyle name="Percent 4 12 2 2 2" xfId="9636"/>
    <cellStyle name="Percent 4 12 2 3" xfId="9637"/>
    <cellStyle name="Percent 4 12 2 3 2" xfId="9638"/>
    <cellStyle name="Percent 4 12 2 4" xfId="9639"/>
    <cellStyle name="Percent 4 12 2 5" xfId="9640"/>
    <cellStyle name="Percent 4 12 3" xfId="9641"/>
    <cellStyle name="Percent 4 12 3 2" xfId="9642"/>
    <cellStyle name="Percent 4 12 3 2 2" xfId="9643"/>
    <cellStyle name="Percent 4 12 3 3" xfId="9644"/>
    <cellStyle name="Percent 4 12 3 3 2" xfId="9645"/>
    <cellStyle name="Percent 4 12 3 4" xfId="9646"/>
    <cellStyle name="Percent 4 12 4" xfId="9647"/>
    <cellStyle name="Percent 4 12 4 2" xfId="9648"/>
    <cellStyle name="Percent 4 12 4 2 2" xfId="9649"/>
    <cellStyle name="Percent 4 12 4 3" xfId="9650"/>
    <cellStyle name="Percent 4 12 4 3 2" xfId="9651"/>
    <cellStyle name="Percent 4 12 4 4" xfId="9652"/>
    <cellStyle name="Percent 4 12 5" xfId="9653"/>
    <cellStyle name="Percent 4 12 5 2" xfId="9654"/>
    <cellStyle name="Percent 4 12 5 2 2" xfId="9655"/>
    <cellStyle name="Percent 4 12 5 3" xfId="9656"/>
    <cellStyle name="Percent 4 12 5 3 2" xfId="9657"/>
    <cellStyle name="Percent 4 12 5 4" xfId="9658"/>
    <cellStyle name="Percent 4 12 5 4 2" xfId="9659"/>
    <cellStyle name="Percent 4 12 5 5" xfId="9660"/>
    <cellStyle name="Percent 4 12 6" xfId="9661"/>
    <cellStyle name="Percent 4 12 6 2" xfId="9662"/>
    <cellStyle name="Percent 4 12 6 2 2" xfId="9663"/>
    <cellStyle name="Percent 4 12 6 3" xfId="9664"/>
    <cellStyle name="Percent 4 12 6 3 2" xfId="9665"/>
    <cellStyle name="Percent 4 12 6 4" xfId="9666"/>
    <cellStyle name="Percent 4 12 7" xfId="9667"/>
    <cellStyle name="Percent 4 12 7 2" xfId="9668"/>
    <cellStyle name="Percent 4 12 8" xfId="9669"/>
    <cellStyle name="Percent 4 12 8 2" xfId="9670"/>
    <cellStyle name="Percent 4 12 9" xfId="9671"/>
    <cellStyle name="Percent 4 12 9 2" xfId="9672"/>
    <cellStyle name="Percent 4 13 12" xfId="9673"/>
    <cellStyle name="Percent 4 13 10" xfId="9674"/>
    <cellStyle name="Percent 4 13 11" xfId="9675"/>
    <cellStyle name="Percent 4 13 2" xfId="9676"/>
    <cellStyle name="Percent 4 13 2 2" xfId="9677"/>
    <cellStyle name="Percent 4 13 2 2 2" xfId="9678"/>
    <cellStyle name="Percent 4 13 2 3" xfId="9679"/>
    <cellStyle name="Percent 4 13 2 3 2" xfId="9680"/>
    <cellStyle name="Percent 4 13 2 4" xfId="9681"/>
    <cellStyle name="Percent 4 13 2 5" xfId="9682"/>
    <cellStyle name="Percent 4 13 3" xfId="9683"/>
    <cellStyle name="Percent 4 13 3 2" xfId="9684"/>
    <cellStyle name="Percent 4 13 3 2 2" xfId="9685"/>
    <cellStyle name="Percent 4 13 3 3" xfId="9686"/>
    <cellStyle name="Percent 4 13 3 3 2" xfId="9687"/>
    <cellStyle name="Percent 4 13 3 4" xfId="9688"/>
    <cellStyle name="Percent 4 13 4" xfId="9689"/>
    <cellStyle name="Percent 4 13 4 2" xfId="9690"/>
    <cellStyle name="Percent 4 13 4 2 2" xfId="9691"/>
    <cellStyle name="Percent 4 13 4 3" xfId="9692"/>
    <cellStyle name="Percent 4 13 4 3 2" xfId="9693"/>
    <cellStyle name="Percent 4 13 4 4" xfId="9694"/>
    <cellStyle name="Percent 4 13 5" xfId="9695"/>
    <cellStyle name="Percent 4 13 5 2" xfId="9696"/>
    <cellStyle name="Percent 4 13 5 2 2" xfId="9697"/>
    <cellStyle name="Percent 4 13 5 3" xfId="9698"/>
    <cellStyle name="Percent 4 13 5 3 2" xfId="9699"/>
    <cellStyle name="Percent 4 13 5 4" xfId="9700"/>
    <cellStyle name="Percent 4 13 5 4 2" xfId="9701"/>
    <cellStyle name="Percent 4 13 5 5" xfId="9702"/>
    <cellStyle name="Percent 4 13 6" xfId="9703"/>
    <cellStyle name="Percent 4 13 6 2" xfId="9704"/>
    <cellStyle name="Percent 4 13 6 2 2" xfId="9705"/>
    <cellStyle name="Percent 4 13 6 3" xfId="9706"/>
    <cellStyle name="Percent 4 13 6 3 2" xfId="9707"/>
    <cellStyle name="Percent 4 13 6 4" xfId="9708"/>
    <cellStyle name="Percent 4 13 7" xfId="9709"/>
    <cellStyle name="Percent 4 13 7 2" xfId="9710"/>
    <cellStyle name="Percent 4 13 8" xfId="9711"/>
    <cellStyle name="Percent 4 13 8 2" xfId="9712"/>
    <cellStyle name="Percent 4 13 9" xfId="9713"/>
    <cellStyle name="Percent 4 13 9 2" xfId="9714"/>
    <cellStyle name="Percent 4 14 13" xfId="9715"/>
    <cellStyle name="Percent 4 14 10" xfId="9716"/>
    <cellStyle name="Percent 4 14 10 2" xfId="9717"/>
    <cellStyle name="Percent 4 14 11" xfId="9718"/>
    <cellStyle name="Percent 4 14 12" xfId="9719"/>
    <cellStyle name="Percent 4 14 2" xfId="9720"/>
    <cellStyle name="Percent 4 14 2 10" xfId="9721"/>
    <cellStyle name="Percent 4 14 2 2" xfId="9722"/>
    <cellStyle name="Percent 4 14 2 2 2" xfId="9723"/>
    <cellStyle name="Percent 4 14 2 2 2 2" xfId="9724"/>
    <cellStyle name="Percent 4 14 2 2 3" xfId="9725"/>
    <cellStyle name="Percent 4 14 2 2 3 2" xfId="9726"/>
    <cellStyle name="Percent 4 14 2 2 4" xfId="9727"/>
    <cellStyle name="Percent 4 14 2 3" xfId="9728"/>
    <cellStyle name="Percent 4 14 2 3 2" xfId="9729"/>
    <cellStyle name="Percent 4 14 2 3 2 2" xfId="9730"/>
    <cellStyle name="Percent 4 14 2 3 3" xfId="9731"/>
    <cellStyle name="Percent 4 14 2 3 3 2" xfId="9732"/>
    <cellStyle name="Percent 4 14 2 3 4" xfId="9733"/>
    <cellStyle name="Percent 4 14 2 4" xfId="9734"/>
    <cellStyle name="Percent 4 14 2 4 2" xfId="9735"/>
    <cellStyle name="Percent 4 14 2 4 2 2" xfId="9736"/>
    <cellStyle name="Percent 4 14 2 4 3" xfId="9737"/>
    <cellStyle name="Percent 4 14 2 4 3 2" xfId="9738"/>
    <cellStyle name="Percent 4 14 2 4 4" xfId="9739"/>
    <cellStyle name="Percent 4 14 2 4 4 2" xfId="9740"/>
    <cellStyle name="Percent 4 14 2 4 5" xfId="9741"/>
    <cellStyle name="Percent 4 14 2 5" xfId="9742"/>
    <cellStyle name="Percent 4 14 2 5 2" xfId="9743"/>
    <cellStyle name="Percent 4 14 2 5 2 2" xfId="9744"/>
    <cellStyle name="Percent 4 14 2 5 3" xfId="9745"/>
    <cellStyle name="Percent 4 14 2 5 3 2" xfId="9746"/>
    <cellStyle name="Percent 4 14 2 5 4" xfId="9747"/>
    <cellStyle name="Percent 4 14 2 6" xfId="9748"/>
    <cellStyle name="Percent 4 14 2 6 2" xfId="9749"/>
    <cellStyle name="Percent 4 14 2 7" xfId="9750"/>
    <cellStyle name="Percent 4 14 2 7 2" xfId="9751"/>
    <cellStyle name="Percent 4 14 2 8" xfId="9752"/>
    <cellStyle name="Percent 4 14 2 8 2" xfId="9753"/>
    <cellStyle name="Percent 4 14 2 9" xfId="9754"/>
    <cellStyle name="Percent 4 14 3" xfId="9755"/>
    <cellStyle name="Percent 4 14 3 2" xfId="9756"/>
    <cellStyle name="Percent 4 14 3 2 2" xfId="9757"/>
    <cellStyle name="Percent 4 14 3 3" xfId="9758"/>
    <cellStyle name="Percent 4 14 3 3 2" xfId="9759"/>
    <cellStyle name="Percent 4 14 3 4" xfId="9760"/>
    <cellStyle name="Percent 4 14 3 5" xfId="9761"/>
    <cellStyle name="Percent 4 14 4" xfId="9762"/>
    <cellStyle name="Percent 4 14 4 2" xfId="9763"/>
    <cellStyle name="Percent 4 14 4 2 2" xfId="9764"/>
    <cellStyle name="Percent 4 14 4 3" xfId="9765"/>
    <cellStyle name="Percent 4 14 4 3 2" xfId="9766"/>
    <cellStyle name="Percent 4 14 4 4" xfId="9767"/>
    <cellStyle name="Percent 4 14 5" xfId="9768"/>
    <cellStyle name="Percent 4 14 5 2" xfId="9769"/>
    <cellStyle name="Percent 4 14 5 2 2" xfId="9770"/>
    <cellStyle name="Percent 4 14 5 3" xfId="9771"/>
    <cellStyle name="Percent 4 14 5 3 2" xfId="9772"/>
    <cellStyle name="Percent 4 14 5 4" xfId="9773"/>
    <cellStyle name="Percent 4 14 6" xfId="9774"/>
    <cellStyle name="Percent 4 14 6 2" xfId="9775"/>
    <cellStyle name="Percent 4 14 6 2 2" xfId="9776"/>
    <cellStyle name="Percent 4 14 6 3" xfId="9777"/>
    <cellStyle name="Percent 4 14 6 3 2" xfId="9778"/>
    <cellStyle name="Percent 4 14 6 4" xfId="9779"/>
    <cellStyle name="Percent 4 14 6 4 2" xfId="9780"/>
    <cellStyle name="Percent 4 14 6 5" xfId="9781"/>
    <cellStyle name="Percent 4 14 7" xfId="9782"/>
    <cellStyle name="Percent 4 14 7 2" xfId="9783"/>
    <cellStyle name="Percent 4 14 7 2 2" xfId="9784"/>
    <cellStyle name="Percent 4 14 7 3" xfId="9785"/>
    <cellStyle name="Percent 4 14 7 3 2" xfId="9786"/>
    <cellStyle name="Percent 4 14 7 4" xfId="9787"/>
    <cellStyle name="Percent 4 14 8" xfId="9788"/>
    <cellStyle name="Percent 4 14 8 2" xfId="9789"/>
    <cellStyle name="Percent 4 14 9" xfId="9790"/>
    <cellStyle name="Percent 4 14 9 2" xfId="9791"/>
    <cellStyle name="Percent 4 15 12" xfId="9792"/>
    <cellStyle name="Percent 4 15 10" xfId="9793"/>
    <cellStyle name="Percent 4 15 11" xfId="9794"/>
    <cellStyle name="Percent 4 15 2" xfId="9795"/>
    <cellStyle name="Percent 4 15 2 2" xfId="9796"/>
    <cellStyle name="Percent 4 15 2 2 2" xfId="9797"/>
    <cellStyle name="Percent 4 15 2 3" xfId="9798"/>
    <cellStyle name="Percent 4 15 2 3 2" xfId="9799"/>
    <cellStyle name="Percent 4 15 2 4" xfId="9800"/>
    <cellStyle name="Percent 4 15 2 5" xfId="9801"/>
    <cellStyle name="Percent 4 15 3" xfId="9802"/>
    <cellStyle name="Percent 4 15 3 2" xfId="9803"/>
    <cellStyle name="Percent 4 15 3 2 2" xfId="9804"/>
    <cellStyle name="Percent 4 15 3 3" xfId="9805"/>
    <cellStyle name="Percent 4 15 3 3 2" xfId="9806"/>
    <cellStyle name="Percent 4 15 3 4" xfId="9807"/>
    <cellStyle name="Percent 4 15 4" xfId="9808"/>
    <cellStyle name="Percent 4 15 4 2" xfId="9809"/>
    <cellStyle name="Percent 4 15 4 2 2" xfId="9810"/>
    <cellStyle name="Percent 4 15 4 3" xfId="9811"/>
    <cellStyle name="Percent 4 15 4 3 2" xfId="9812"/>
    <cellStyle name="Percent 4 15 4 4" xfId="9813"/>
    <cellStyle name="Percent 4 15 5" xfId="9814"/>
    <cellStyle name="Percent 4 15 5 2" xfId="9815"/>
    <cellStyle name="Percent 4 15 5 2 2" xfId="9816"/>
    <cellStyle name="Percent 4 15 5 3" xfId="9817"/>
    <cellStyle name="Percent 4 15 5 3 2" xfId="9818"/>
    <cellStyle name="Percent 4 15 5 4" xfId="9819"/>
    <cellStyle name="Percent 4 15 5 4 2" xfId="9820"/>
    <cellStyle name="Percent 4 15 5 5" xfId="9821"/>
    <cellStyle name="Percent 4 15 6" xfId="9822"/>
    <cellStyle name="Percent 4 15 6 2" xfId="9823"/>
    <cellStyle name="Percent 4 15 6 2 2" xfId="9824"/>
    <cellStyle name="Percent 4 15 6 3" xfId="9825"/>
    <cellStyle name="Percent 4 15 6 3 2" xfId="9826"/>
    <cellStyle name="Percent 4 15 6 4" xfId="9827"/>
    <cellStyle name="Percent 4 15 7" xfId="9828"/>
    <cellStyle name="Percent 4 15 7 2" xfId="9829"/>
    <cellStyle name="Percent 4 15 8" xfId="9830"/>
    <cellStyle name="Percent 4 15 8 2" xfId="9831"/>
    <cellStyle name="Percent 4 15 9" xfId="9832"/>
    <cellStyle name="Percent 4 15 9 2" xfId="9833"/>
    <cellStyle name="Percent 4 16 12" xfId="9834"/>
    <cellStyle name="Percent 4 16 10" xfId="9835"/>
    <cellStyle name="Percent 4 16 11" xfId="9836"/>
    <cellStyle name="Percent 4 16 2 6" xfId="9837"/>
    <cellStyle name="Percent 4 16 2 2" xfId="9838"/>
    <cellStyle name="Percent 4 16 2 2 2" xfId="9839"/>
    <cellStyle name="Percent 4 16 2 3" xfId="9840"/>
    <cellStyle name="Percent 4 16 2 3 2" xfId="9841"/>
    <cellStyle name="Percent 4 16 2 4" xfId="9842"/>
    <cellStyle name="Percent 4 16 2 5" xfId="9843"/>
    <cellStyle name="Percent 4 16 3" xfId="9844"/>
    <cellStyle name="Percent 4 16 3 2" xfId="9845"/>
    <cellStyle name="Percent 4 16 3 2 2" xfId="9846"/>
    <cellStyle name="Percent 4 16 3 3" xfId="9847"/>
    <cellStyle name="Percent 4 16 3 3 2" xfId="9848"/>
    <cellStyle name="Percent 4 16 3 4" xfId="9849"/>
    <cellStyle name="Percent 4 16 4" xfId="9850"/>
    <cellStyle name="Percent 4 16 4 2" xfId="9851"/>
    <cellStyle name="Percent 4 16 4 2 2" xfId="9852"/>
    <cellStyle name="Percent 4 16 4 3" xfId="9853"/>
    <cellStyle name="Percent 4 16 4 3 2" xfId="9854"/>
    <cellStyle name="Percent 4 16 4 4" xfId="9855"/>
    <cellStyle name="Percent 4 16 5" xfId="9856"/>
    <cellStyle name="Percent 4 16 5 2" xfId="9857"/>
    <cellStyle name="Percent 4 16 5 2 2" xfId="9858"/>
    <cellStyle name="Percent 4 16 5 3" xfId="9859"/>
    <cellStyle name="Percent 4 16 5 3 2" xfId="9860"/>
    <cellStyle name="Percent 4 16 5 4" xfId="9861"/>
    <cellStyle name="Percent 4 16 5 4 2" xfId="9862"/>
    <cellStyle name="Percent 4 16 5 5" xfId="9863"/>
    <cellStyle name="Percent 4 16 6" xfId="9864"/>
    <cellStyle name="Percent 4 16 6 2" xfId="9865"/>
    <cellStyle name="Percent 4 16 6 2 2" xfId="9866"/>
    <cellStyle name="Percent 4 16 6 3" xfId="9867"/>
    <cellStyle name="Percent 4 16 6 3 2" xfId="9868"/>
    <cellStyle name="Percent 4 16 6 4" xfId="9869"/>
    <cellStyle name="Percent 4 16 7" xfId="9870"/>
    <cellStyle name="Percent 4 16 7 2" xfId="9871"/>
    <cellStyle name="Percent 4 16 8" xfId="9872"/>
    <cellStyle name="Percent 4 16 8 2" xfId="9873"/>
    <cellStyle name="Percent 4 16 9" xfId="9874"/>
    <cellStyle name="Percent 4 16 9 2" xfId="9875"/>
    <cellStyle name="Percent 4 17 12" xfId="9876"/>
    <cellStyle name="Percent 4 17 10" xfId="9877"/>
    <cellStyle name="Percent 4 17 11" xfId="9878"/>
    <cellStyle name="Percent 4 17 2" xfId="9879"/>
    <cellStyle name="Percent 4 17 2 2" xfId="9880"/>
    <cellStyle name="Percent 4 17 2 2 2" xfId="9881"/>
    <cellStyle name="Percent 4 17 2 3" xfId="9882"/>
    <cellStyle name="Percent 4 17 2 3 2" xfId="9883"/>
    <cellStyle name="Percent 4 17 2 4" xfId="9884"/>
    <cellStyle name="Percent 4 17 2 5" xfId="9885"/>
    <cellStyle name="Percent 4 17 3" xfId="9886"/>
    <cellStyle name="Percent 4 17 3 2" xfId="9887"/>
    <cellStyle name="Percent 4 17 3 2 2" xfId="9888"/>
    <cellStyle name="Percent 4 17 3 3" xfId="9889"/>
    <cellStyle name="Percent 4 17 3 3 2" xfId="9890"/>
    <cellStyle name="Percent 4 17 3 4" xfId="9891"/>
    <cellStyle name="Percent 4 17 4" xfId="9892"/>
    <cellStyle name="Percent 4 17 4 2" xfId="9893"/>
    <cellStyle name="Percent 4 17 4 2 2" xfId="9894"/>
    <cellStyle name="Percent 4 17 4 3" xfId="9895"/>
    <cellStyle name="Percent 4 17 4 3 2" xfId="9896"/>
    <cellStyle name="Percent 4 17 4 4" xfId="9897"/>
    <cellStyle name="Percent 4 17 5" xfId="9898"/>
    <cellStyle name="Percent 4 17 5 2" xfId="9899"/>
    <cellStyle name="Percent 4 17 5 2 2" xfId="9900"/>
    <cellStyle name="Percent 4 17 5 3" xfId="9901"/>
    <cellStyle name="Percent 4 17 5 3 2" xfId="9902"/>
    <cellStyle name="Percent 4 17 5 4" xfId="9903"/>
    <cellStyle name="Percent 4 17 5 4 2" xfId="9904"/>
    <cellStyle name="Percent 4 17 5 5" xfId="9905"/>
    <cellStyle name="Percent 4 17 6" xfId="9906"/>
    <cellStyle name="Percent 4 17 6 2" xfId="9907"/>
    <cellStyle name="Percent 4 17 6 2 2" xfId="9908"/>
    <cellStyle name="Percent 4 17 6 3" xfId="9909"/>
    <cellStyle name="Percent 4 17 6 3 2" xfId="9910"/>
    <cellStyle name="Percent 4 17 6 4" xfId="9911"/>
    <cellStyle name="Percent 4 17 7" xfId="9912"/>
    <cellStyle name="Percent 4 17 7 2" xfId="9913"/>
    <cellStyle name="Percent 4 17 8" xfId="9914"/>
    <cellStyle name="Percent 4 17 8 2" xfId="9915"/>
    <cellStyle name="Percent 4 17 9" xfId="9916"/>
    <cellStyle name="Percent 4 17 9 2" xfId="9917"/>
    <cellStyle name="Percent 4 18 12" xfId="9918"/>
    <cellStyle name="Percent 4 18 10" xfId="9919"/>
    <cellStyle name="Percent 4 18 11" xfId="9920"/>
    <cellStyle name="Percent 4 18 2" xfId="9921"/>
    <cellStyle name="Percent 4 18 2 2" xfId="9922"/>
    <cellStyle name="Percent 4 18 2 2 2" xfId="9923"/>
    <cellStyle name="Percent 4 18 2 3" xfId="9924"/>
    <cellStyle name="Percent 4 18 2 3 2" xfId="9925"/>
    <cellStyle name="Percent 4 18 2 4" xfId="9926"/>
    <cellStyle name="Percent 4 18 2 5" xfId="9927"/>
    <cellStyle name="Percent 4 18 3" xfId="9928"/>
    <cellStyle name="Percent 4 18 3 2" xfId="9929"/>
    <cellStyle name="Percent 4 18 3 2 2" xfId="9930"/>
    <cellStyle name="Percent 4 18 3 3" xfId="9931"/>
    <cellStyle name="Percent 4 18 3 3 2" xfId="9932"/>
    <cellStyle name="Percent 4 18 3 4" xfId="9933"/>
    <cellStyle name="Percent 4 18 4" xfId="9934"/>
    <cellStyle name="Percent 4 18 4 2" xfId="9935"/>
    <cellStyle name="Percent 4 18 4 2 2" xfId="9936"/>
    <cellStyle name="Percent 4 18 4 3" xfId="9937"/>
    <cellStyle name="Percent 4 18 4 3 2" xfId="9938"/>
    <cellStyle name="Percent 4 18 4 4" xfId="9939"/>
    <cellStyle name="Percent 4 18 5" xfId="9940"/>
    <cellStyle name="Percent 4 18 5 2" xfId="9941"/>
    <cellStyle name="Percent 4 18 5 2 2" xfId="9942"/>
    <cellStyle name="Percent 4 18 5 3" xfId="9943"/>
    <cellStyle name="Percent 4 18 5 3 2" xfId="9944"/>
    <cellStyle name="Percent 4 18 5 4" xfId="9945"/>
    <cellStyle name="Percent 4 18 5 4 2" xfId="9946"/>
    <cellStyle name="Percent 4 18 5 5" xfId="9947"/>
    <cellStyle name="Percent 4 18 6" xfId="9948"/>
    <cellStyle name="Percent 4 18 6 2" xfId="9949"/>
    <cellStyle name="Percent 4 18 6 2 2" xfId="9950"/>
    <cellStyle name="Percent 4 18 6 3" xfId="9951"/>
    <cellStyle name="Percent 4 18 6 3 2" xfId="9952"/>
    <cellStyle name="Percent 4 18 6 4" xfId="9953"/>
    <cellStyle name="Percent 4 18 7" xfId="9954"/>
    <cellStyle name="Percent 4 18 7 2" xfId="9955"/>
    <cellStyle name="Percent 4 18 8" xfId="9956"/>
    <cellStyle name="Percent 4 18 8 2" xfId="9957"/>
    <cellStyle name="Percent 4 18 9" xfId="9958"/>
    <cellStyle name="Percent 4 18 9 2" xfId="9959"/>
    <cellStyle name="Percent 4 19 12" xfId="9960"/>
    <cellStyle name="Percent 4 19 10" xfId="9961"/>
    <cellStyle name="Percent 4 19 11" xfId="9962"/>
    <cellStyle name="Percent 4 19 2" xfId="9963"/>
    <cellStyle name="Percent 4 19 2 2" xfId="9964"/>
    <cellStyle name="Percent 4 19 2 2 2" xfId="9965"/>
    <cellStyle name="Percent 4 19 2 3" xfId="9966"/>
    <cellStyle name="Percent 4 19 2 3 2" xfId="9967"/>
    <cellStyle name="Percent 4 19 2 4" xfId="9968"/>
    <cellStyle name="Percent 4 19 2 5" xfId="9969"/>
    <cellStyle name="Percent 4 19 3" xfId="9970"/>
    <cellStyle name="Percent 4 19 3 2" xfId="9971"/>
    <cellStyle name="Percent 4 19 3 2 2" xfId="9972"/>
    <cellStyle name="Percent 4 19 3 3" xfId="9973"/>
    <cellStyle name="Percent 4 19 3 3 2" xfId="9974"/>
    <cellStyle name="Percent 4 19 3 4" xfId="9975"/>
    <cellStyle name="Percent 4 19 4" xfId="9976"/>
    <cellStyle name="Percent 4 19 4 2" xfId="9977"/>
    <cellStyle name="Percent 4 19 4 2 2" xfId="9978"/>
    <cellStyle name="Percent 4 19 4 3" xfId="9979"/>
    <cellStyle name="Percent 4 19 4 3 2" xfId="9980"/>
    <cellStyle name="Percent 4 19 4 4" xfId="9981"/>
    <cellStyle name="Percent 4 19 5" xfId="9982"/>
    <cellStyle name="Percent 4 19 5 2" xfId="9983"/>
    <cellStyle name="Percent 4 19 5 2 2" xfId="9984"/>
    <cellStyle name="Percent 4 19 5 3" xfId="9985"/>
    <cellStyle name="Percent 4 19 5 3 2" xfId="9986"/>
    <cellStyle name="Percent 4 19 5 4" xfId="9987"/>
    <cellStyle name="Percent 4 19 5 4 2" xfId="9988"/>
    <cellStyle name="Percent 4 19 5 5" xfId="9989"/>
    <cellStyle name="Percent 4 19 6" xfId="9990"/>
    <cellStyle name="Percent 4 19 6 2" xfId="9991"/>
    <cellStyle name="Percent 4 19 6 2 2" xfId="9992"/>
    <cellStyle name="Percent 4 19 6 3" xfId="9993"/>
    <cellStyle name="Percent 4 19 6 3 2" xfId="9994"/>
    <cellStyle name="Percent 4 19 6 4" xfId="9995"/>
    <cellStyle name="Percent 4 19 7" xfId="9996"/>
    <cellStyle name="Percent 4 19 7 2" xfId="9997"/>
    <cellStyle name="Percent 4 19 8" xfId="9998"/>
    <cellStyle name="Percent 4 19 8 2" xfId="9999"/>
    <cellStyle name="Percent 4 19 9" xfId="10000"/>
    <cellStyle name="Percent 4 19 9 2" xfId="10001"/>
    <cellStyle name="Percent 4 2 19" xfId="10002"/>
    <cellStyle name="Percent 4 2 10" xfId="10003"/>
    <cellStyle name="Percent 4 2 10 2" xfId="10004"/>
    <cellStyle name="Percent 4 2 10 2 2" xfId="10005"/>
    <cellStyle name="Percent 4 2 10 3" xfId="10006"/>
    <cellStyle name="Percent 4 2 10 3 2" xfId="10007"/>
    <cellStyle name="Percent 4 2 10 4" xfId="10008"/>
    <cellStyle name="Percent 4 2 11" xfId="10009"/>
    <cellStyle name="Percent 4 2 11 2" xfId="10010"/>
    <cellStyle name="Percent 4 2 11 2 2" xfId="10011"/>
    <cellStyle name="Percent 4 2 11 3" xfId="10012"/>
    <cellStyle name="Percent 4 2 11 3 2" xfId="10013"/>
    <cellStyle name="Percent 4 2 11 4" xfId="10014"/>
    <cellStyle name="Percent 4 2 12" xfId="10015"/>
    <cellStyle name="Percent 4 2 12 2" xfId="10016"/>
    <cellStyle name="Percent 4 2 12 2 2" xfId="10017"/>
    <cellStyle name="Percent 4 2 12 3" xfId="10018"/>
    <cellStyle name="Percent 4 2 12 3 2" xfId="10019"/>
    <cellStyle name="Percent 4 2 12 4" xfId="10020"/>
    <cellStyle name="Percent 4 2 12 4 2" xfId="10021"/>
    <cellStyle name="Percent 4 2 12 5" xfId="10022"/>
    <cellStyle name="Percent 4 2 13" xfId="10023"/>
    <cellStyle name="Percent 4 2 13 2" xfId="10024"/>
    <cellStyle name="Percent 4 2 13 2 2" xfId="10025"/>
    <cellStyle name="Percent 4 2 13 3" xfId="10026"/>
    <cellStyle name="Percent 4 2 13 3 2" xfId="10027"/>
    <cellStyle name="Percent 4 2 13 4" xfId="10028"/>
    <cellStyle name="Percent 4 2 14" xfId="10029"/>
    <cellStyle name="Percent 4 2 14 2" xfId="10030"/>
    <cellStyle name="Percent 4 2 15" xfId="10031"/>
    <cellStyle name="Percent 4 2 15 2" xfId="10032"/>
    <cellStyle name="Percent 4 2 16" xfId="10033"/>
    <cellStyle name="Percent 4 2 16 2" xfId="10034"/>
    <cellStyle name="Percent 4 2 17" xfId="10035"/>
    <cellStyle name="Percent 4 2 18" xfId="10036"/>
    <cellStyle name="Percent 4 2 2 11" xfId="10037"/>
    <cellStyle name="Percent 4 2 2 10" xfId="10038"/>
    <cellStyle name="Percent 4 2 2 2" xfId="10039"/>
    <cellStyle name="Percent 4 2 2 2 2" xfId="10040"/>
    <cellStyle name="Percent 4 2 2 2 2 2" xfId="10041"/>
    <cellStyle name="Percent 4 2 2 2 3" xfId="10042"/>
    <cellStyle name="Percent 4 2 2 2 3 2" xfId="10043"/>
    <cellStyle name="Percent 4 2 2 2 4" xfId="10044"/>
    <cellStyle name="Percent 4 2 2 2 5" xfId="10045"/>
    <cellStyle name="Percent 4 2 2 3" xfId="10046"/>
    <cellStyle name="Percent 4 2 2 3 2" xfId="10047"/>
    <cellStyle name="Percent 4 2 2 3 2 2" xfId="10048"/>
    <cellStyle name="Percent 4 2 2 3 3" xfId="10049"/>
    <cellStyle name="Percent 4 2 2 3 3 2" xfId="10050"/>
    <cellStyle name="Percent 4 2 2 3 4" xfId="10051"/>
    <cellStyle name="Percent 4 2 2 4" xfId="10052"/>
    <cellStyle name="Percent 4 2 2 4 2" xfId="10053"/>
    <cellStyle name="Percent 4 2 2 4 2 2" xfId="10054"/>
    <cellStyle name="Percent 4 2 2 4 3" xfId="10055"/>
    <cellStyle name="Percent 4 2 2 4 3 2" xfId="10056"/>
    <cellStyle name="Percent 4 2 2 4 4" xfId="10057"/>
    <cellStyle name="Percent 4 2 2 4 4 2" xfId="10058"/>
    <cellStyle name="Percent 4 2 2 4 5" xfId="10059"/>
    <cellStyle name="Percent 4 2 2 5" xfId="10060"/>
    <cellStyle name="Percent 4 2 2 5 2" xfId="10061"/>
    <cellStyle name="Percent 4 2 2 5 2 2" xfId="10062"/>
    <cellStyle name="Percent 4 2 2 5 3" xfId="10063"/>
    <cellStyle name="Percent 4 2 2 5 3 2" xfId="10064"/>
    <cellStyle name="Percent 4 2 2 5 4" xfId="10065"/>
    <cellStyle name="Percent 4 2 2 6" xfId="10066"/>
    <cellStyle name="Percent 4 2 2 6 2" xfId="10067"/>
    <cellStyle name="Percent 4 2 2 7" xfId="10068"/>
    <cellStyle name="Percent 4 2 2 7 2" xfId="10069"/>
    <cellStyle name="Percent 4 2 2 8" xfId="10070"/>
    <cellStyle name="Percent 4 2 2 8 2" xfId="10071"/>
    <cellStyle name="Percent 4 2 2 9" xfId="10072"/>
    <cellStyle name="Percent 4 2 3 11" xfId="10073"/>
    <cellStyle name="Percent 4 2 3 10" xfId="10074"/>
    <cellStyle name="Percent 4 2 3 2" xfId="10075"/>
    <cellStyle name="Percent 4 2 3 2 2" xfId="10076"/>
    <cellStyle name="Percent 4 2 3 2 2 2" xfId="10077"/>
    <cellStyle name="Percent 4 2 3 2 3" xfId="10078"/>
    <cellStyle name="Percent 4 2 3 2 3 2" xfId="10079"/>
    <cellStyle name="Percent 4 2 3 2 4" xfId="10080"/>
    <cellStyle name="Percent 4 2 3 2 5" xfId="10081"/>
    <cellStyle name="Percent 4 2 3 3" xfId="10082"/>
    <cellStyle name="Percent 4 2 3 3 2" xfId="10083"/>
    <cellStyle name="Percent 4 2 3 3 2 2" xfId="10084"/>
    <cellStyle name="Percent 4 2 3 3 3" xfId="10085"/>
    <cellStyle name="Percent 4 2 3 3 3 2" xfId="10086"/>
    <cellStyle name="Percent 4 2 3 3 4" xfId="10087"/>
    <cellStyle name="Percent 4 2 3 4" xfId="10088"/>
    <cellStyle name="Percent 4 2 3 4 2" xfId="10089"/>
    <cellStyle name="Percent 4 2 3 4 2 2" xfId="10090"/>
    <cellStyle name="Percent 4 2 3 4 3" xfId="10091"/>
    <cellStyle name="Percent 4 2 3 4 3 2" xfId="10092"/>
    <cellStyle name="Percent 4 2 3 4 4" xfId="10093"/>
    <cellStyle name="Percent 4 2 3 4 4 2" xfId="10094"/>
    <cellStyle name="Percent 4 2 3 4 5" xfId="10095"/>
    <cellStyle name="Percent 4 2 3 5" xfId="10096"/>
    <cellStyle name="Percent 4 2 3 5 2" xfId="10097"/>
    <cellStyle name="Percent 4 2 3 5 2 2" xfId="10098"/>
    <cellStyle name="Percent 4 2 3 5 3" xfId="10099"/>
    <cellStyle name="Percent 4 2 3 5 3 2" xfId="10100"/>
    <cellStyle name="Percent 4 2 3 5 4" xfId="10101"/>
    <cellStyle name="Percent 4 2 3 6" xfId="10102"/>
    <cellStyle name="Percent 4 2 3 6 2" xfId="10103"/>
    <cellStyle name="Percent 4 2 3 7" xfId="10104"/>
    <cellStyle name="Percent 4 2 3 7 2" xfId="10105"/>
    <cellStyle name="Percent 4 2 3 8" xfId="10106"/>
    <cellStyle name="Percent 4 2 3 8 2" xfId="10107"/>
    <cellStyle name="Percent 4 2 3 9" xfId="10108"/>
    <cellStyle name="Percent 4 2 4 11" xfId="10109"/>
    <cellStyle name="Percent 4 2 4 10" xfId="10110"/>
    <cellStyle name="Percent 4 2 4 2 6" xfId="10111"/>
    <cellStyle name="Percent 4 2 4 2 2" xfId="10112"/>
    <cellStyle name="Percent 4 2 4 2 2 2" xfId="10113"/>
    <cellStyle name="Percent 4 2 4 2 3" xfId="10114"/>
    <cellStyle name="Percent 4 2 4 2 3 2" xfId="10115"/>
    <cellStyle name="Percent 4 2 4 2 4" xfId="10116"/>
    <cellStyle name="Percent 4 2 4 2 5" xfId="10117"/>
    <cellStyle name="Percent 4 2 4 3 5" xfId="10118"/>
    <cellStyle name="Percent 4 2 4 3 2" xfId="10119"/>
    <cellStyle name="Percent 4 2 4 3 2 2" xfId="10120"/>
    <cellStyle name="Percent 4 2 4 3 3" xfId="10121"/>
    <cellStyle name="Percent 4 2 4 3 3 2" xfId="10122"/>
    <cellStyle name="Percent 4 2 4 3 4" xfId="10123"/>
    <cellStyle name="Percent 4 2 4 4" xfId="10124"/>
    <cellStyle name="Percent 4 2 4 4 2" xfId="10125"/>
    <cellStyle name="Percent 4 2 4 4 2 2" xfId="10126"/>
    <cellStyle name="Percent 4 2 4 4 3" xfId="10127"/>
    <cellStyle name="Percent 4 2 4 4 3 2" xfId="10128"/>
    <cellStyle name="Percent 4 2 4 4 4" xfId="10129"/>
    <cellStyle name="Percent 4 2 4 4 4 2" xfId="10130"/>
    <cellStyle name="Percent 4 2 4 4 5" xfId="10131"/>
    <cellStyle name="Percent 4 2 4 5" xfId="10132"/>
    <cellStyle name="Percent 4 2 4 5 2" xfId="10133"/>
    <cellStyle name="Percent 4 2 4 5 2 2" xfId="10134"/>
    <cellStyle name="Percent 4 2 4 5 3" xfId="10135"/>
    <cellStyle name="Percent 4 2 4 5 3 2" xfId="10136"/>
    <cellStyle name="Percent 4 2 4 5 4" xfId="10137"/>
    <cellStyle name="Percent 4 2 4 6" xfId="10138"/>
    <cellStyle name="Percent 4 2 4 6 2" xfId="10139"/>
    <cellStyle name="Percent 4 2 4 7" xfId="10140"/>
    <cellStyle name="Percent 4 2 4 7 2" xfId="10141"/>
    <cellStyle name="Percent 4 2 4 8" xfId="10142"/>
    <cellStyle name="Percent 4 2 4 8 2" xfId="10143"/>
    <cellStyle name="Percent 4 2 4 9" xfId="10144"/>
    <cellStyle name="Percent 4 2 5 11" xfId="10145"/>
    <cellStyle name="Percent 4 2 5 10" xfId="10146"/>
    <cellStyle name="Percent 4 2 5 2" xfId="10147"/>
    <cellStyle name="Percent 4 2 5 2 2" xfId="10148"/>
    <cellStyle name="Percent 4 2 5 2 2 2" xfId="10149"/>
    <cellStyle name="Percent 4 2 5 2 3" xfId="10150"/>
    <cellStyle name="Percent 4 2 5 2 3 2" xfId="10151"/>
    <cellStyle name="Percent 4 2 5 2 4" xfId="10152"/>
    <cellStyle name="Percent 4 2 5 3" xfId="10153"/>
    <cellStyle name="Percent 4 2 5 3 2" xfId="10154"/>
    <cellStyle name="Percent 4 2 5 3 2 2" xfId="10155"/>
    <cellStyle name="Percent 4 2 5 3 3" xfId="10156"/>
    <cellStyle name="Percent 4 2 5 3 3 2" xfId="10157"/>
    <cellStyle name="Percent 4 2 5 3 4" xfId="10158"/>
    <cellStyle name="Percent 4 2 5 4" xfId="10159"/>
    <cellStyle name="Percent 4 2 5 4 2" xfId="10160"/>
    <cellStyle name="Percent 4 2 5 4 2 2" xfId="10161"/>
    <cellStyle name="Percent 4 2 5 4 3" xfId="10162"/>
    <cellStyle name="Percent 4 2 5 4 3 2" xfId="10163"/>
    <cellStyle name="Percent 4 2 5 4 4" xfId="10164"/>
    <cellStyle name="Percent 4 2 5 4 4 2" xfId="10165"/>
    <cellStyle name="Percent 4 2 5 4 5" xfId="10166"/>
    <cellStyle name="Percent 4 2 5 5" xfId="10167"/>
    <cellStyle name="Percent 4 2 5 5 2" xfId="10168"/>
    <cellStyle name="Percent 4 2 5 5 2 2" xfId="10169"/>
    <cellStyle name="Percent 4 2 5 5 3" xfId="10170"/>
    <cellStyle name="Percent 4 2 5 5 3 2" xfId="10171"/>
    <cellStyle name="Percent 4 2 5 5 4" xfId="10172"/>
    <cellStyle name="Percent 4 2 5 6" xfId="10173"/>
    <cellStyle name="Percent 4 2 5 6 2" xfId="10174"/>
    <cellStyle name="Percent 4 2 5 7" xfId="10175"/>
    <cellStyle name="Percent 4 2 5 7 2" xfId="10176"/>
    <cellStyle name="Percent 4 2 5 8" xfId="10177"/>
    <cellStyle name="Percent 4 2 5 8 2" xfId="10178"/>
    <cellStyle name="Percent 4 2 5 9" xfId="10179"/>
    <cellStyle name="Percent 4 2 6 11" xfId="10180"/>
    <cellStyle name="Percent 4 2 6 10" xfId="10181"/>
    <cellStyle name="Percent 4 2 6 2 5" xfId="10182"/>
    <cellStyle name="Percent 4 2 6 2 2" xfId="10183"/>
    <cellStyle name="Percent 4 2 6 2 2 2" xfId="10184"/>
    <cellStyle name="Percent 4 2 6 2 3" xfId="10185"/>
    <cellStyle name="Percent 4 2 6 2 3 2" xfId="10186"/>
    <cellStyle name="Percent 4 2 6 2 4" xfId="10187"/>
    <cellStyle name="Percent 4 2 6 3" xfId="10188"/>
    <cellStyle name="Percent 4 2 6 3 2" xfId="10189"/>
    <cellStyle name="Percent 4 2 6 3 2 2" xfId="10190"/>
    <cellStyle name="Percent 4 2 6 3 3" xfId="10191"/>
    <cellStyle name="Percent 4 2 6 3 3 2" xfId="10192"/>
    <cellStyle name="Percent 4 2 6 3 4" xfId="10193"/>
    <cellStyle name="Percent 4 2 6 4" xfId="10194"/>
    <cellStyle name="Percent 4 2 6 4 2" xfId="10195"/>
    <cellStyle name="Percent 4 2 6 4 2 2" xfId="10196"/>
    <cellStyle name="Percent 4 2 6 4 3" xfId="10197"/>
    <cellStyle name="Percent 4 2 6 4 3 2" xfId="10198"/>
    <cellStyle name="Percent 4 2 6 4 4" xfId="10199"/>
    <cellStyle name="Percent 4 2 6 4 4 2" xfId="10200"/>
    <cellStyle name="Percent 4 2 6 4 5" xfId="10201"/>
    <cellStyle name="Percent 4 2 6 5" xfId="10202"/>
    <cellStyle name="Percent 4 2 6 5 2" xfId="10203"/>
    <cellStyle name="Percent 4 2 6 5 2 2" xfId="10204"/>
    <cellStyle name="Percent 4 2 6 5 3" xfId="10205"/>
    <cellStyle name="Percent 4 2 6 5 3 2" xfId="10206"/>
    <cellStyle name="Percent 4 2 6 5 4" xfId="10207"/>
    <cellStyle name="Percent 4 2 6 6" xfId="10208"/>
    <cellStyle name="Percent 4 2 6 6 2" xfId="10209"/>
    <cellStyle name="Percent 4 2 6 7" xfId="10210"/>
    <cellStyle name="Percent 4 2 6 7 2" xfId="10211"/>
    <cellStyle name="Percent 4 2 6 8" xfId="10212"/>
    <cellStyle name="Percent 4 2 6 8 2" xfId="10213"/>
    <cellStyle name="Percent 4 2 6 9" xfId="10214"/>
    <cellStyle name="Percent 4 2 7 11" xfId="10215"/>
    <cellStyle name="Percent 4 2 7 10" xfId="10216"/>
    <cellStyle name="Percent 4 2 7 2" xfId="10217"/>
    <cellStyle name="Percent 4 2 7 2 2" xfId="10218"/>
    <cellStyle name="Percent 4 2 7 2 2 2" xfId="10219"/>
    <cellStyle name="Percent 4 2 7 2 3" xfId="10220"/>
    <cellStyle name="Percent 4 2 7 2 3 2" xfId="10221"/>
    <cellStyle name="Percent 4 2 7 2 4" xfId="10222"/>
    <cellStyle name="Percent 4 2 7 3" xfId="10223"/>
    <cellStyle name="Percent 4 2 7 3 2" xfId="10224"/>
    <cellStyle name="Percent 4 2 7 3 2 2" xfId="10225"/>
    <cellStyle name="Percent 4 2 7 3 3" xfId="10226"/>
    <cellStyle name="Percent 4 2 7 3 3 2" xfId="10227"/>
    <cellStyle name="Percent 4 2 7 3 4" xfId="10228"/>
    <cellStyle name="Percent 4 2 7 4" xfId="10229"/>
    <cellStyle name="Percent 4 2 7 4 2" xfId="10230"/>
    <cellStyle name="Percent 4 2 7 4 2 2" xfId="10231"/>
    <cellStyle name="Percent 4 2 7 4 3" xfId="10232"/>
    <cellStyle name="Percent 4 2 7 4 3 2" xfId="10233"/>
    <cellStyle name="Percent 4 2 7 4 4" xfId="10234"/>
    <cellStyle name="Percent 4 2 7 4 4 2" xfId="10235"/>
    <cellStyle name="Percent 4 2 7 4 5" xfId="10236"/>
    <cellStyle name="Percent 4 2 7 5" xfId="10237"/>
    <cellStyle name="Percent 4 2 7 5 2" xfId="10238"/>
    <cellStyle name="Percent 4 2 7 5 2 2" xfId="10239"/>
    <cellStyle name="Percent 4 2 7 5 3" xfId="10240"/>
    <cellStyle name="Percent 4 2 7 5 3 2" xfId="10241"/>
    <cellStyle name="Percent 4 2 7 5 4" xfId="10242"/>
    <cellStyle name="Percent 4 2 7 6" xfId="10243"/>
    <cellStyle name="Percent 4 2 7 6 2" xfId="10244"/>
    <cellStyle name="Percent 4 2 7 7" xfId="10245"/>
    <cellStyle name="Percent 4 2 7 7 2" xfId="10246"/>
    <cellStyle name="Percent 4 2 7 8" xfId="10247"/>
    <cellStyle name="Percent 4 2 7 8 2" xfId="10248"/>
    <cellStyle name="Percent 4 2 7 9" xfId="10249"/>
    <cellStyle name="Percent 4 2 8 11" xfId="10250"/>
    <cellStyle name="Percent 4 2 8 10" xfId="10251"/>
    <cellStyle name="Percent 4 2 8 2" xfId="10252"/>
    <cellStyle name="Percent 4 2 8 2 2" xfId="10253"/>
    <cellStyle name="Percent 4 2 8 2 2 2" xfId="10254"/>
    <cellStyle name="Percent 4 2 8 2 3" xfId="10255"/>
    <cellStyle name="Percent 4 2 8 2 3 2" xfId="10256"/>
    <cellStyle name="Percent 4 2 8 2 4" xfId="10257"/>
    <cellStyle name="Percent 4 2 8 3" xfId="10258"/>
    <cellStyle name="Percent 4 2 8 3 2" xfId="10259"/>
    <cellStyle name="Percent 4 2 8 3 2 2" xfId="10260"/>
    <cellStyle name="Percent 4 2 8 3 3" xfId="10261"/>
    <cellStyle name="Percent 4 2 8 3 3 2" xfId="10262"/>
    <cellStyle name="Percent 4 2 8 3 4" xfId="10263"/>
    <cellStyle name="Percent 4 2 8 4" xfId="10264"/>
    <cellStyle name="Percent 4 2 8 4 2" xfId="10265"/>
    <cellStyle name="Percent 4 2 8 4 2 2" xfId="10266"/>
    <cellStyle name="Percent 4 2 8 4 3" xfId="10267"/>
    <cellStyle name="Percent 4 2 8 4 3 2" xfId="10268"/>
    <cellStyle name="Percent 4 2 8 4 4" xfId="10269"/>
    <cellStyle name="Percent 4 2 8 4 4 2" xfId="10270"/>
    <cellStyle name="Percent 4 2 8 4 5" xfId="10271"/>
    <cellStyle name="Percent 4 2 8 5" xfId="10272"/>
    <cellStyle name="Percent 4 2 8 5 2" xfId="10273"/>
    <cellStyle name="Percent 4 2 8 5 2 2" xfId="10274"/>
    <cellStyle name="Percent 4 2 8 5 3" xfId="10275"/>
    <cellStyle name="Percent 4 2 8 5 3 2" xfId="10276"/>
    <cellStyle name="Percent 4 2 8 5 4" xfId="10277"/>
    <cellStyle name="Percent 4 2 8 6" xfId="10278"/>
    <cellStyle name="Percent 4 2 8 6 2" xfId="10279"/>
    <cellStyle name="Percent 4 2 8 7" xfId="10280"/>
    <cellStyle name="Percent 4 2 8 7 2" xfId="10281"/>
    <cellStyle name="Percent 4 2 8 8" xfId="10282"/>
    <cellStyle name="Percent 4 2 8 8 2" xfId="10283"/>
    <cellStyle name="Percent 4 2 8 9" xfId="10284"/>
    <cellStyle name="Percent 4 2 9 6" xfId="10285"/>
    <cellStyle name="Percent 4 2 9 2" xfId="10286"/>
    <cellStyle name="Percent 4 2 9 2 2" xfId="10287"/>
    <cellStyle name="Percent 4 2 9 3" xfId="10288"/>
    <cellStyle name="Percent 4 2 9 3 2" xfId="10289"/>
    <cellStyle name="Percent 4 2 9 4" xfId="10290"/>
    <cellStyle name="Percent 4 2 9 5" xfId="10291"/>
    <cellStyle name="Percent 4 20 12" xfId="10292"/>
    <cellStyle name="Percent 4 20 10" xfId="10293"/>
    <cellStyle name="Percent 4 20 11" xfId="10294"/>
    <cellStyle name="Percent 4 20 2" xfId="10295"/>
    <cellStyle name="Percent 4 20 2 2" xfId="10296"/>
    <cellStyle name="Percent 4 20 2 2 2" xfId="10297"/>
    <cellStyle name="Percent 4 20 2 3" xfId="10298"/>
    <cellStyle name="Percent 4 20 2 3 2" xfId="10299"/>
    <cellStyle name="Percent 4 20 2 4" xfId="10300"/>
    <cellStyle name="Percent 4 20 2 5" xfId="10301"/>
    <cellStyle name="Percent 4 20 3" xfId="10302"/>
    <cellStyle name="Percent 4 20 3 2" xfId="10303"/>
    <cellStyle name="Percent 4 20 3 2 2" xfId="10304"/>
    <cellStyle name="Percent 4 20 3 3" xfId="10305"/>
    <cellStyle name="Percent 4 20 3 3 2" xfId="10306"/>
    <cellStyle name="Percent 4 20 3 4" xfId="10307"/>
    <cellStyle name="Percent 4 20 4" xfId="10308"/>
    <cellStyle name="Percent 4 20 4 2" xfId="10309"/>
    <cellStyle name="Percent 4 20 4 2 2" xfId="10310"/>
    <cellStyle name="Percent 4 20 4 3" xfId="10311"/>
    <cellStyle name="Percent 4 20 4 3 2" xfId="10312"/>
    <cellStyle name="Percent 4 20 4 4" xfId="10313"/>
    <cellStyle name="Percent 4 20 5" xfId="10314"/>
    <cellStyle name="Percent 4 20 5 2" xfId="10315"/>
    <cellStyle name="Percent 4 20 5 2 2" xfId="10316"/>
    <cellStyle name="Percent 4 20 5 3" xfId="10317"/>
    <cellStyle name="Percent 4 20 5 3 2" xfId="10318"/>
    <cellStyle name="Percent 4 20 5 4" xfId="10319"/>
    <cellStyle name="Percent 4 20 5 4 2" xfId="10320"/>
    <cellStyle name="Percent 4 20 5 5" xfId="10321"/>
    <cellStyle name="Percent 4 20 6" xfId="10322"/>
    <cellStyle name="Percent 4 20 6 2" xfId="10323"/>
    <cellStyle name="Percent 4 20 6 2 2" xfId="10324"/>
    <cellStyle name="Percent 4 20 6 3" xfId="10325"/>
    <cellStyle name="Percent 4 20 6 3 2" xfId="10326"/>
    <cellStyle name="Percent 4 20 6 4" xfId="10327"/>
    <cellStyle name="Percent 4 20 7" xfId="10328"/>
    <cellStyle name="Percent 4 20 7 2" xfId="10329"/>
    <cellStyle name="Percent 4 20 8" xfId="10330"/>
    <cellStyle name="Percent 4 20 8 2" xfId="10331"/>
    <cellStyle name="Percent 4 20 9" xfId="10332"/>
    <cellStyle name="Percent 4 20 9 2" xfId="10333"/>
    <cellStyle name="Percent 4 21 12" xfId="10334"/>
    <cellStyle name="Percent 4 21 10" xfId="10335"/>
    <cellStyle name="Percent 4 21 11" xfId="10336"/>
    <cellStyle name="Percent 4 21 2" xfId="10337"/>
    <cellStyle name="Percent 4 21 2 2" xfId="10338"/>
    <cellStyle name="Percent 4 21 2 2 2" xfId="10339"/>
    <cellStyle name="Percent 4 21 2 3" xfId="10340"/>
    <cellStyle name="Percent 4 21 2 3 2" xfId="10341"/>
    <cellStyle name="Percent 4 21 2 4" xfId="10342"/>
    <cellStyle name="Percent 4 21 2 5" xfId="10343"/>
    <cellStyle name="Percent 4 21 3" xfId="10344"/>
    <cellStyle name="Percent 4 21 3 2" xfId="10345"/>
    <cellStyle name="Percent 4 21 3 2 2" xfId="10346"/>
    <cellStyle name="Percent 4 21 3 3" xfId="10347"/>
    <cellStyle name="Percent 4 21 3 3 2" xfId="10348"/>
    <cellStyle name="Percent 4 21 3 4" xfId="10349"/>
    <cellStyle name="Percent 4 21 4" xfId="10350"/>
    <cellStyle name="Percent 4 21 4 2" xfId="10351"/>
    <cellStyle name="Percent 4 21 4 2 2" xfId="10352"/>
    <cellStyle name="Percent 4 21 4 3" xfId="10353"/>
    <cellStyle name="Percent 4 21 4 3 2" xfId="10354"/>
    <cellStyle name="Percent 4 21 4 4" xfId="10355"/>
    <cellStyle name="Percent 4 21 5" xfId="10356"/>
    <cellStyle name="Percent 4 21 5 2" xfId="10357"/>
    <cellStyle name="Percent 4 21 5 2 2" xfId="10358"/>
    <cellStyle name="Percent 4 21 5 3" xfId="10359"/>
    <cellStyle name="Percent 4 21 5 3 2" xfId="10360"/>
    <cellStyle name="Percent 4 21 5 4" xfId="10361"/>
    <cellStyle name="Percent 4 21 5 4 2" xfId="10362"/>
    <cellStyle name="Percent 4 21 5 5" xfId="10363"/>
    <cellStyle name="Percent 4 21 6" xfId="10364"/>
    <cellStyle name="Percent 4 21 6 2" xfId="10365"/>
    <cellStyle name="Percent 4 21 6 2 2" xfId="10366"/>
    <cellStyle name="Percent 4 21 6 3" xfId="10367"/>
    <cellStyle name="Percent 4 21 6 3 2" xfId="10368"/>
    <cellStyle name="Percent 4 21 6 4" xfId="10369"/>
    <cellStyle name="Percent 4 21 7" xfId="10370"/>
    <cellStyle name="Percent 4 21 7 2" xfId="10371"/>
    <cellStyle name="Percent 4 21 8" xfId="10372"/>
    <cellStyle name="Percent 4 21 8 2" xfId="10373"/>
    <cellStyle name="Percent 4 21 9" xfId="10374"/>
    <cellStyle name="Percent 4 21 9 2" xfId="10375"/>
    <cellStyle name="Percent 4 22 12" xfId="10376"/>
    <cellStyle name="Percent 4 22 10" xfId="10377"/>
    <cellStyle name="Percent 4 22 11" xfId="10378"/>
    <cellStyle name="Percent 4 22 2" xfId="10379"/>
    <cellStyle name="Percent 4 22 2 2" xfId="10380"/>
    <cellStyle name="Percent 4 22 2 2 2" xfId="10381"/>
    <cellStyle name="Percent 4 22 2 3" xfId="10382"/>
    <cellStyle name="Percent 4 22 2 3 2" xfId="10383"/>
    <cellStyle name="Percent 4 22 2 4" xfId="10384"/>
    <cellStyle name="Percent 4 22 2 5" xfId="10385"/>
    <cellStyle name="Percent 4 22 3" xfId="10386"/>
    <cellStyle name="Percent 4 22 3 2" xfId="10387"/>
    <cellStyle name="Percent 4 22 3 2 2" xfId="10388"/>
    <cellStyle name="Percent 4 22 3 3" xfId="10389"/>
    <cellStyle name="Percent 4 22 3 3 2" xfId="10390"/>
    <cellStyle name="Percent 4 22 3 4" xfId="10391"/>
    <cellStyle name="Percent 4 22 4" xfId="10392"/>
    <cellStyle name="Percent 4 22 4 2" xfId="10393"/>
    <cellStyle name="Percent 4 22 4 2 2" xfId="10394"/>
    <cellStyle name="Percent 4 22 4 3" xfId="10395"/>
    <cellStyle name="Percent 4 22 4 3 2" xfId="10396"/>
    <cellStyle name="Percent 4 22 4 4" xfId="10397"/>
    <cellStyle name="Percent 4 22 5" xfId="10398"/>
    <cellStyle name="Percent 4 22 5 2" xfId="10399"/>
    <cellStyle name="Percent 4 22 5 2 2" xfId="10400"/>
    <cellStyle name="Percent 4 22 5 3" xfId="10401"/>
    <cellStyle name="Percent 4 22 5 3 2" xfId="10402"/>
    <cellStyle name="Percent 4 22 5 4" xfId="10403"/>
    <cellStyle name="Percent 4 22 5 4 2" xfId="10404"/>
    <cellStyle name="Percent 4 22 5 5" xfId="10405"/>
    <cellStyle name="Percent 4 22 6" xfId="10406"/>
    <cellStyle name="Percent 4 22 6 2" xfId="10407"/>
    <cellStyle name="Percent 4 22 6 2 2" xfId="10408"/>
    <cellStyle name="Percent 4 22 6 3" xfId="10409"/>
    <cellStyle name="Percent 4 22 6 3 2" xfId="10410"/>
    <cellStyle name="Percent 4 22 6 4" xfId="10411"/>
    <cellStyle name="Percent 4 22 7" xfId="10412"/>
    <cellStyle name="Percent 4 22 7 2" xfId="10413"/>
    <cellStyle name="Percent 4 22 8" xfId="10414"/>
    <cellStyle name="Percent 4 22 8 2" xfId="10415"/>
    <cellStyle name="Percent 4 22 9" xfId="10416"/>
    <cellStyle name="Percent 4 22 9 2" xfId="10417"/>
    <cellStyle name="Percent 4 23 12" xfId="10418"/>
    <cellStyle name="Percent 4 23 10" xfId="10419"/>
    <cellStyle name="Percent 4 23 11" xfId="10420"/>
    <cellStyle name="Percent 4 23 2" xfId="10421"/>
    <cellStyle name="Percent 4 23 2 2" xfId="10422"/>
    <cellStyle name="Percent 4 23 2 2 2" xfId="10423"/>
    <cellStyle name="Percent 4 23 2 3" xfId="10424"/>
    <cellStyle name="Percent 4 23 2 3 2" xfId="10425"/>
    <cellStyle name="Percent 4 23 2 4" xfId="10426"/>
    <cellStyle name="Percent 4 23 2 5" xfId="10427"/>
    <cellStyle name="Percent 4 23 3" xfId="10428"/>
    <cellStyle name="Percent 4 23 3 2" xfId="10429"/>
    <cellStyle name="Percent 4 23 3 2 2" xfId="10430"/>
    <cellStyle name="Percent 4 23 3 3" xfId="10431"/>
    <cellStyle name="Percent 4 23 3 3 2" xfId="10432"/>
    <cellStyle name="Percent 4 23 3 4" xfId="10433"/>
    <cellStyle name="Percent 4 23 4" xfId="10434"/>
    <cellStyle name="Percent 4 23 4 2" xfId="10435"/>
    <cellStyle name="Percent 4 23 4 2 2" xfId="10436"/>
    <cellStyle name="Percent 4 23 4 3" xfId="10437"/>
    <cellStyle name="Percent 4 23 4 3 2" xfId="10438"/>
    <cellStyle name="Percent 4 23 4 4" xfId="10439"/>
    <cellStyle name="Percent 4 23 5" xfId="10440"/>
    <cellStyle name="Percent 4 23 5 2" xfId="10441"/>
    <cellStyle name="Percent 4 23 5 2 2" xfId="10442"/>
    <cellStyle name="Percent 4 23 5 3" xfId="10443"/>
    <cellStyle name="Percent 4 23 5 3 2" xfId="10444"/>
    <cellStyle name="Percent 4 23 5 4" xfId="10445"/>
    <cellStyle name="Percent 4 23 5 4 2" xfId="10446"/>
    <cellStyle name="Percent 4 23 5 5" xfId="10447"/>
    <cellStyle name="Percent 4 23 6" xfId="10448"/>
    <cellStyle name="Percent 4 23 6 2" xfId="10449"/>
    <cellStyle name="Percent 4 23 6 2 2" xfId="10450"/>
    <cellStyle name="Percent 4 23 6 3" xfId="10451"/>
    <cellStyle name="Percent 4 23 6 3 2" xfId="10452"/>
    <cellStyle name="Percent 4 23 6 4" xfId="10453"/>
    <cellStyle name="Percent 4 23 7" xfId="10454"/>
    <cellStyle name="Percent 4 23 7 2" xfId="10455"/>
    <cellStyle name="Percent 4 23 8" xfId="10456"/>
    <cellStyle name="Percent 4 23 8 2" xfId="10457"/>
    <cellStyle name="Percent 4 23 9" xfId="10458"/>
    <cellStyle name="Percent 4 23 9 2" xfId="10459"/>
    <cellStyle name="Percent 4 24 12" xfId="10460"/>
    <cellStyle name="Percent 4 24 10" xfId="10461"/>
    <cellStyle name="Percent 4 24 11" xfId="10462"/>
    <cellStyle name="Percent 4 24 2" xfId="10463"/>
    <cellStyle name="Percent 4 24 2 2" xfId="10464"/>
    <cellStyle name="Percent 4 24 2 2 2" xfId="10465"/>
    <cellStyle name="Percent 4 24 2 3" xfId="10466"/>
    <cellStyle name="Percent 4 24 2 3 2" xfId="10467"/>
    <cellStyle name="Percent 4 24 2 4" xfId="10468"/>
    <cellStyle name="Percent 4 24 2 5" xfId="10469"/>
    <cellStyle name="Percent 4 24 3" xfId="10470"/>
    <cellStyle name="Percent 4 24 3 2" xfId="10471"/>
    <cellStyle name="Percent 4 24 3 2 2" xfId="10472"/>
    <cellStyle name="Percent 4 24 3 3" xfId="10473"/>
    <cellStyle name="Percent 4 24 3 3 2" xfId="10474"/>
    <cellStyle name="Percent 4 24 3 4" xfId="10475"/>
    <cellStyle name="Percent 4 24 4" xfId="10476"/>
    <cellStyle name="Percent 4 24 4 2" xfId="10477"/>
    <cellStyle name="Percent 4 24 4 2 2" xfId="10478"/>
    <cellStyle name="Percent 4 24 4 3" xfId="10479"/>
    <cellStyle name="Percent 4 24 4 3 2" xfId="10480"/>
    <cellStyle name="Percent 4 24 4 4" xfId="10481"/>
    <cellStyle name="Percent 4 24 5" xfId="10482"/>
    <cellStyle name="Percent 4 24 5 2" xfId="10483"/>
    <cellStyle name="Percent 4 24 5 2 2" xfId="10484"/>
    <cellStyle name="Percent 4 24 5 3" xfId="10485"/>
    <cellStyle name="Percent 4 24 5 3 2" xfId="10486"/>
    <cellStyle name="Percent 4 24 5 4" xfId="10487"/>
    <cellStyle name="Percent 4 24 5 4 2" xfId="10488"/>
    <cellStyle name="Percent 4 24 5 5" xfId="10489"/>
    <cellStyle name="Percent 4 24 6" xfId="10490"/>
    <cellStyle name="Percent 4 24 6 2" xfId="10491"/>
    <cellStyle name="Percent 4 24 6 2 2" xfId="10492"/>
    <cellStyle name="Percent 4 24 6 3" xfId="10493"/>
    <cellStyle name="Percent 4 24 6 3 2" xfId="10494"/>
    <cellStyle name="Percent 4 24 6 4" xfId="10495"/>
    <cellStyle name="Percent 4 24 7" xfId="10496"/>
    <cellStyle name="Percent 4 24 7 2" xfId="10497"/>
    <cellStyle name="Percent 4 24 8" xfId="10498"/>
    <cellStyle name="Percent 4 24 8 2" xfId="10499"/>
    <cellStyle name="Percent 4 24 9" xfId="10500"/>
    <cellStyle name="Percent 4 24 9 2" xfId="10501"/>
    <cellStyle name="Percent 4 25 12" xfId="10502"/>
    <cellStyle name="Percent 4 25 10" xfId="10503"/>
    <cellStyle name="Percent 4 25 11" xfId="10504"/>
    <cellStyle name="Percent 4 25 2" xfId="10505"/>
    <cellStyle name="Percent 4 25 2 2" xfId="10506"/>
    <cellStyle name="Percent 4 25 2 2 2" xfId="10507"/>
    <cellStyle name="Percent 4 25 2 3" xfId="10508"/>
    <cellStyle name="Percent 4 25 2 3 2" xfId="10509"/>
    <cellStyle name="Percent 4 25 2 4" xfId="10510"/>
    <cellStyle name="Percent 4 25 2 5" xfId="10511"/>
    <cellStyle name="Percent 4 25 3" xfId="10512"/>
    <cellStyle name="Percent 4 25 3 2" xfId="10513"/>
    <cellStyle name="Percent 4 25 3 2 2" xfId="10514"/>
    <cellStyle name="Percent 4 25 3 3" xfId="10515"/>
    <cellStyle name="Percent 4 25 3 3 2" xfId="10516"/>
    <cellStyle name="Percent 4 25 3 4" xfId="10517"/>
    <cellStyle name="Percent 4 25 4" xfId="10518"/>
    <cellStyle name="Percent 4 25 4 2" xfId="10519"/>
    <cellStyle name="Percent 4 25 4 2 2" xfId="10520"/>
    <cellStyle name="Percent 4 25 4 3" xfId="10521"/>
    <cellStyle name="Percent 4 25 4 3 2" xfId="10522"/>
    <cellStyle name="Percent 4 25 4 4" xfId="10523"/>
    <cellStyle name="Percent 4 25 5" xfId="10524"/>
    <cellStyle name="Percent 4 25 5 2" xfId="10525"/>
    <cellStyle name="Percent 4 25 5 2 2" xfId="10526"/>
    <cellStyle name="Percent 4 25 5 3" xfId="10527"/>
    <cellStyle name="Percent 4 25 5 3 2" xfId="10528"/>
    <cellStyle name="Percent 4 25 5 4" xfId="10529"/>
    <cellStyle name="Percent 4 25 5 4 2" xfId="10530"/>
    <cellStyle name="Percent 4 25 5 5" xfId="10531"/>
    <cellStyle name="Percent 4 25 6" xfId="10532"/>
    <cellStyle name="Percent 4 25 6 2" xfId="10533"/>
    <cellStyle name="Percent 4 25 6 2 2" xfId="10534"/>
    <cellStyle name="Percent 4 25 6 3" xfId="10535"/>
    <cellStyle name="Percent 4 25 6 3 2" xfId="10536"/>
    <cellStyle name="Percent 4 25 6 4" xfId="10537"/>
    <cellStyle name="Percent 4 25 7" xfId="10538"/>
    <cellStyle name="Percent 4 25 7 2" xfId="10539"/>
    <cellStyle name="Percent 4 25 8" xfId="10540"/>
    <cellStyle name="Percent 4 25 8 2" xfId="10541"/>
    <cellStyle name="Percent 4 25 9" xfId="10542"/>
    <cellStyle name="Percent 4 25 9 2" xfId="10543"/>
    <cellStyle name="Percent 4 26 12" xfId="10544"/>
    <cellStyle name="Percent 4 26 10" xfId="10545"/>
    <cellStyle name="Percent 4 26 11" xfId="10546"/>
    <cellStyle name="Percent 4 26 2" xfId="10547"/>
    <cellStyle name="Percent 4 26 2 2" xfId="10548"/>
    <cellStyle name="Percent 4 26 2 2 2" xfId="10549"/>
    <cellStyle name="Percent 4 26 2 3" xfId="10550"/>
    <cellStyle name="Percent 4 26 2 3 2" xfId="10551"/>
    <cellStyle name="Percent 4 26 2 4" xfId="10552"/>
    <cellStyle name="Percent 4 26 2 5" xfId="10553"/>
    <cellStyle name="Percent 4 26 3" xfId="10554"/>
    <cellStyle name="Percent 4 26 3 2" xfId="10555"/>
    <cellStyle name="Percent 4 26 3 2 2" xfId="10556"/>
    <cellStyle name="Percent 4 26 3 3" xfId="10557"/>
    <cellStyle name="Percent 4 26 3 3 2" xfId="10558"/>
    <cellStyle name="Percent 4 26 3 4" xfId="10559"/>
    <cellStyle name="Percent 4 26 4" xfId="10560"/>
    <cellStyle name="Percent 4 26 4 2" xfId="10561"/>
    <cellStyle name="Percent 4 26 4 2 2" xfId="10562"/>
    <cellStyle name="Percent 4 26 4 3" xfId="10563"/>
    <cellStyle name="Percent 4 26 4 3 2" xfId="10564"/>
    <cellStyle name="Percent 4 26 4 4" xfId="10565"/>
    <cellStyle name="Percent 4 26 5" xfId="10566"/>
    <cellStyle name="Percent 4 26 5 2" xfId="10567"/>
    <cellStyle name="Percent 4 26 5 2 2" xfId="10568"/>
    <cellStyle name="Percent 4 26 5 3" xfId="10569"/>
    <cellStyle name="Percent 4 26 5 3 2" xfId="10570"/>
    <cellStyle name="Percent 4 26 5 4" xfId="10571"/>
    <cellStyle name="Percent 4 26 5 4 2" xfId="10572"/>
    <cellStyle name="Percent 4 26 5 5" xfId="10573"/>
    <cellStyle name="Percent 4 26 6" xfId="10574"/>
    <cellStyle name="Percent 4 26 6 2" xfId="10575"/>
    <cellStyle name="Percent 4 26 6 2 2" xfId="10576"/>
    <cellStyle name="Percent 4 26 6 3" xfId="10577"/>
    <cellStyle name="Percent 4 26 6 3 2" xfId="10578"/>
    <cellStyle name="Percent 4 26 6 4" xfId="10579"/>
    <cellStyle name="Percent 4 26 7" xfId="10580"/>
    <cellStyle name="Percent 4 26 7 2" xfId="10581"/>
    <cellStyle name="Percent 4 26 8" xfId="10582"/>
    <cellStyle name="Percent 4 26 8 2" xfId="10583"/>
    <cellStyle name="Percent 4 26 9" xfId="10584"/>
    <cellStyle name="Percent 4 26 9 2" xfId="10585"/>
    <cellStyle name="Percent 4 27 12" xfId="10586"/>
    <cellStyle name="Percent 4 27 10" xfId="10587"/>
    <cellStyle name="Percent 4 27 11" xfId="10588"/>
    <cellStyle name="Percent 4 27 2" xfId="10589"/>
    <cellStyle name="Percent 4 27 2 2" xfId="10590"/>
    <cellStyle name="Percent 4 27 2 2 2" xfId="10591"/>
    <cellStyle name="Percent 4 27 2 3" xfId="10592"/>
    <cellStyle name="Percent 4 27 2 3 2" xfId="10593"/>
    <cellStyle name="Percent 4 27 2 4" xfId="10594"/>
    <cellStyle name="Percent 4 27 2 5" xfId="10595"/>
    <cellStyle name="Percent 4 27 3" xfId="10596"/>
    <cellStyle name="Percent 4 27 3 2" xfId="10597"/>
    <cellStyle name="Percent 4 27 3 2 2" xfId="10598"/>
    <cellStyle name="Percent 4 27 3 3" xfId="10599"/>
    <cellStyle name="Percent 4 27 3 3 2" xfId="10600"/>
    <cellStyle name="Percent 4 27 3 4" xfId="10601"/>
    <cellStyle name="Percent 4 27 4" xfId="10602"/>
    <cellStyle name="Percent 4 27 4 2" xfId="10603"/>
    <cellStyle name="Percent 4 27 4 2 2" xfId="10604"/>
    <cellStyle name="Percent 4 27 4 3" xfId="10605"/>
    <cellStyle name="Percent 4 27 4 3 2" xfId="10606"/>
    <cellStyle name="Percent 4 27 4 4" xfId="10607"/>
    <cellStyle name="Percent 4 27 5" xfId="10608"/>
    <cellStyle name="Percent 4 27 5 2" xfId="10609"/>
    <cellStyle name="Percent 4 27 5 2 2" xfId="10610"/>
    <cellStyle name="Percent 4 27 5 3" xfId="10611"/>
    <cellStyle name="Percent 4 27 5 3 2" xfId="10612"/>
    <cellStyle name="Percent 4 27 5 4" xfId="10613"/>
    <cellStyle name="Percent 4 27 5 4 2" xfId="10614"/>
    <cellStyle name="Percent 4 27 5 5" xfId="10615"/>
    <cellStyle name="Percent 4 27 6" xfId="10616"/>
    <cellStyle name="Percent 4 27 6 2" xfId="10617"/>
    <cellStyle name="Percent 4 27 6 2 2" xfId="10618"/>
    <cellStyle name="Percent 4 27 6 3" xfId="10619"/>
    <cellStyle name="Percent 4 27 6 3 2" xfId="10620"/>
    <cellStyle name="Percent 4 27 6 4" xfId="10621"/>
    <cellStyle name="Percent 4 27 7" xfId="10622"/>
    <cellStyle name="Percent 4 27 7 2" xfId="10623"/>
    <cellStyle name="Percent 4 27 8" xfId="10624"/>
    <cellStyle name="Percent 4 27 8 2" xfId="10625"/>
    <cellStyle name="Percent 4 27 9" xfId="10626"/>
    <cellStyle name="Percent 4 27 9 2" xfId="10627"/>
    <cellStyle name="Percent 4 28 12" xfId="10628"/>
    <cellStyle name="Percent 4 28 10" xfId="10629"/>
    <cellStyle name="Percent 4 28 11" xfId="10630"/>
    <cellStyle name="Percent 4 28 2" xfId="10631"/>
    <cellStyle name="Percent 4 28 2 2" xfId="10632"/>
    <cellStyle name="Percent 4 28 2 2 2" xfId="10633"/>
    <cellStyle name="Percent 4 28 2 3" xfId="10634"/>
    <cellStyle name="Percent 4 28 2 3 2" xfId="10635"/>
    <cellStyle name="Percent 4 28 2 4" xfId="10636"/>
    <cellStyle name="Percent 4 28 2 5" xfId="10637"/>
    <cellStyle name="Percent 4 28 3" xfId="10638"/>
    <cellStyle name="Percent 4 28 3 2" xfId="10639"/>
    <cellStyle name="Percent 4 28 3 2 2" xfId="10640"/>
    <cellStyle name="Percent 4 28 3 3" xfId="10641"/>
    <cellStyle name="Percent 4 28 3 3 2" xfId="10642"/>
    <cellStyle name="Percent 4 28 3 4" xfId="10643"/>
    <cellStyle name="Percent 4 28 4" xfId="10644"/>
    <cellStyle name="Percent 4 28 4 2" xfId="10645"/>
    <cellStyle name="Percent 4 28 4 2 2" xfId="10646"/>
    <cellStyle name="Percent 4 28 4 3" xfId="10647"/>
    <cellStyle name="Percent 4 28 4 3 2" xfId="10648"/>
    <cellStyle name="Percent 4 28 4 4" xfId="10649"/>
    <cellStyle name="Percent 4 28 5" xfId="10650"/>
    <cellStyle name="Percent 4 28 5 2" xfId="10651"/>
    <cellStyle name="Percent 4 28 5 2 2" xfId="10652"/>
    <cellStyle name="Percent 4 28 5 3" xfId="10653"/>
    <cellStyle name="Percent 4 28 5 3 2" xfId="10654"/>
    <cellStyle name="Percent 4 28 5 4" xfId="10655"/>
    <cellStyle name="Percent 4 28 5 4 2" xfId="10656"/>
    <cellStyle name="Percent 4 28 5 5" xfId="10657"/>
    <cellStyle name="Percent 4 28 6" xfId="10658"/>
    <cellStyle name="Percent 4 28 6 2" xfId="10659"/>
    <cellStyle name="Percent 4 28 6 2 2" xfId="10660"/>
    <cellStyle name="Percent 4 28 6 3" xfId="10661"/>
    <cellStyle name="Percent 4 28 6 3 2" xfId="10662"/>
    <cellStyle name="Percent 4 28 6 4" xfId="10663"/>
    <cellStyle name="Percent 4 28 7" xfId="10664"/>
    <cellStyle name="Percent 4 28 7 2" xfId="10665"/>
    <cellStyle name="Percent 4 28 8" xfId="10666"/>
    <cellStyle name="Percent 4 28 8 2" xfId="10667"/>
    <cellStyle name="Percent 4 28 9" xfId="10668"/>
    <cellStyle name="Percent 4 28 9 2" xfId="10669"/>
    <cellStyle name="Percent 4 29 12" xfId="10670"/>
    <cellStyle name="Percent 4 29 10" xfId="10671"/>
    <cellStyle name="Percent 4 29 11" xfId="10672"/>
    <cellStyle name="Percent 4 29 2 6" xfId="10673"/>
    <cellStyle name="Percent 4 29 2 2" xfId="10674"/>
    <cellStyle name="Percent 4 29 2 2 2" xfId="10675"/>
    <cellStyle name="Percent 4 29 2 2 3" xfId="10676"/>
    <cellStyle name="Percent 4 29 2 3" xfId="10677"/>
    <cellStyle name="Percent 4 29 2 3 2" xfId="10678"/>
    <cellStyle name="Percent 4 29 2 4" xfId="10679"/>
    <cellStyle name="Percent 4 29 2 5" xfId="10680"/>
    <cellStyle name="Percent 4 29 3" xfId="10681"/>
    <cellStyle name="Percent 4 29 3 2" xfId="10682"/>
    <cellStyle name="Percent 4 29 3 2 2" xfId="10683"/>
    <cellStyle name="Percent 4 29 3 3" xfId="10684"/>
    <cellStyle name="Percent 4 29 3 3 2" xfId="10685"/>
    <cellStyle name="Percent 4 29 3 4" xfId="10686"/>
    <cellStyle name="Percent 4 29 3 5" xfId="10687"/>
    <cellStyle name="Percent 4 29 4" xfId="10688"/>
    <cellStyle name="Percent 4 29 4 2" xfId="10689"/>
    <cellStyle name="Percent 4 29 4 2 2" xfId="10690"/>
    <cellStyle name="Percent 4 29 4 3" xfId="10691"/>
    <cellStyle name="Percent 4 29 4 3 2" xfId="10692"/>
    <cellStyle name="Percent 4 29 4 4" xfId="10693"/>
    <cellStyle name="Percent 4 29 4 5" xfId="10694"/>
    <cellStyle name="Percent 4 29 5" xfId="10695"/>
    <cellStyle name="Percent 4 29 5 2" xfId="10696"/>
    <cellStyle name="Percent 4 29 5 2 2" xfId="10697"/>
    <cellStyle name="Percent 4 29 5 3" xfId="10698"/>
    <cellStyle name="Percent 4 29 5 3 2" xfId="10699"/>
    <cellStyle name="Percent 4 29 5 4" xfId="10700"/>
    <cellStyle name="Percent 4 29 5 4 2" xfId="10701"/>
    <cellStyle name="Percent 4 29 5 5" xfId="10702"/>
    <cellStyle name="Percent 4 29 6" xfId="10703"/>
    <cellStyle name="Percent 4 29 6 2" xfId="10704"/>
    <cellStyle name="Percent 4 29 6 2 2" xfId="10705"/>
    <cellStyle name="Percent 4 29 6 3" xfId="10706"/>
    <cellStyle name="Percent 4 29 6 3 2" xfId="10707"/>
    <cellStyle name="Percent 4 29 6 4" xfId="10708"/>
    <cellStyle name="Percent 4 29 7" xfId="10709"/>
    <cellStyle name="Percent 4 29 7 2" xfId="10710"/>
    <cellStyle name="Percent 4 29 8" xfId="10711"/>
    <cellStyle name="Percent 4 29 8 2" xfId="10712"/>
    <cellStyle name="Percent 4 29 9" xfId="10713"/>
    <cellStyle name="Percent 4 29 9 2" xfId="10714"/>
    <cellStyle name="Percent 4 3 19" xfId="10715"/>
    <cellStyle name="Percent 4 3 10" xfId="10716"/>
    <cellStyle name="Percent 4 3 10 2" xfId="10717"/>
    <cellStyle name="Percent 4 3 10 2 2" xfId="10718"/>
    <cellStyle name="Percent 4 3 10 3" xfId="10719"/>
    <cellStyle name="Percent 4 3 10 3 2" xfId="10720"/>
    <cellStyle name="Percent 4 3 10 4" xfId="10721"/>
    <cellStyle name="Percent 4 3 11" xfId="10722"/>
    <cellStyle name="Percent 4 3 11 2" xfId="10723"/>
    <cellStyle name="Percent 4 3 11 2 2" xfId="10724"/>
    <cellStyle name="Percent 4 3 11 3" xfId="10725"/>
    <cellStyle name="Percent 4 3 11 3 2" xfId="10726"/>
    <cellStyle name="Percent 4 3 11 4" xfId="10727"/>
    <cellStyle name="Percent 4 3 12" xfId="10728"/>
    <cellStyle name="Percent 4 3 12 2" xfId="10729"/>
    <cellStyle name="Percent 4 3 12 2 2" xfId="10730"/>
    <cellStyle name="Percent 4 3 12 3" xfId="10731"/>
    <cellStyle name="Percent 4 3 12 3 2" xfId="10732"/>
    <cellStyle name="Percent 4 3 12 4" xfId="10733"/>
    <cellStyle name="Percent 4 3 12 4 2" xfId="10734"/>
    <cellStyle name="Percent 4 3 12 5" xfId="10735"/>
    <cellStyle name="Percent 4 3 13" xfId="10736"/>
    <cellStyle name="Percent 4 3 13 2" xfId="10737"/>
    <cellStyle name="Percent 4 3 13 2 2" xfId="10738"/>
    <cellStyle name="Percent 4 3 13 3" xfId="10739"/>
    <cellStyle name="Percent 4 3 13 3 2" xfId="10740"/>
    <cellStyle name="Percent 4 3 13 4" xfId="10741"/>
    <cellStyle name="Percent 4 3 14" xfId="10742"/>
    <cellStyle name="Percent 4 3 14 2" xfId="10743"/>
    <cellStyle name="Percent 4 3 15" xfId="10744"/>
    <cellStyle name="Percent 4 3 15 2" xfId="10745"/>
    <cellStyle name="Percent 4 3 16" xfId="10746"/>
    <cellStyle name="Percent 4 3 16 2" xfId="10747"/>
    <cellStyle name="Percent 4 3 17" xfId="10748"/>
    <cellStyle name="Percent 4 3 18" xfId="10749"/>
    <cellStyle name="Percent 4 3 2 11" xfId="10750"/>
    <cellStyle name="Percent 4 3 2 10" xfId="10751"/>
    <cellStyle name="Percent 4 3 2 2" xfId="10752"/>
    <cellStyle name="Percent 4 3 2 2 2" xfId="10753"/>
    <cellStyle name="Percent 4 3 2 2 2 2" xfId="10754"/>
    <cellStyle name="Percent 4 3 2 2 3" xfId="10755"/>
    <cellStyle name="Percent 4 3 2 2 3 2" xfId="10756"/>
    <cellStyle name="Percent 4 3 2 2 4" xfId="10757"/>
    <cellStyle name="Percent 4 3 2 3" xfId="10758"/>
    <cellStyle name="Percent 4 3 2 3 2" xfId="10759"/>
    <cellStyle name="Percent 4 3 2 3 2 2" xfId="10760"/>
    <cellStyle name="Percent 4 3 2 3 3" xfId="10761"/>
    <cellStyle name="Percent 4 3 2 3 3 2" xfId="10762"/>
    <cellStyle name="Percent 4 3 2 3 4" xfId="10763"/>
    <cellStyle name="Percent 4 3 2 4" xfId="10764"/>
    <cellStyle name="Percent 4 3 2 4 2" xfId="10765"/>
    <cellStyle name="Percent 4 3 2 4 2 2" xfId="10766"/>
    <cellStyle name="Percent 4 3 2 4 3" xfId="10767"/>
    <cellStyle name="Percent 4 3 2 4 3 2" xfId="10768"/>
    <cellStyle name="Percent 4 3 2 4 4" xfId="10769"/>
    <cellStyle name="Percent 4 3 2 4 4 2" xfId="10770"/>
    <cellStyle name="Percent 4 3 2 4 5" xfId="10771"/>
    <cellStyle name="Percent 4 3 2 5" xfId="10772"/>
    <cellStyle name="Percent 4 3 2 5 2" xfId="10773"/>
    <cellStyle name="Percent 4 3 2 5 2 2" xfId="10774"/>
    <cellStyle name="Percent 4 3 2 5 3" xfId="10775"/>
    <cellStyle name="Percent 4 3 2 5 3 2" xfId="10776"/>
    <cellStyle name="Percent 4 3 2 5 4" xfId="10777"/>
    <cellStyle name="Percent 4 3 2 6" xfId="10778"/>
    <cellStyle name="Percent 4 3 2 6 2" xfId="10779"/>
    <cellStyle name="Percent 4 3 2 7" xfId="10780"/>
    <cellStyle name="Percent 4 3 2 7 2" xfId="10781"/>
    <cellStyle name="Percent 4 3 2 8" xfId="10782"/>
    <cellStyle name="Percent 4 3 2 8 2" xfId="10783"/>
    <cellStyle name="Percent 4 3 2 9" xfId="10784"/>
    <cellStyle name="Percent 4 3 3 11" xfId="10785"/>
    <cellStyle name="Percent 4 3 3 10" xfId="10786"/>
    <cellStyle name="Percent 4 3 3 2" xfId="10787"/>
    <cellStyle name="Percent 4 3 3 2 2" xfId="10788"/>
    <cellStyle name="Percent 4 3 3 2 2 2" xfId="10789"/>
    <cellStyle name="Percent 4 3 3 2 3" xfId="10790"/>
    <cellStyle name="Percent 4 3 3 2 3 2" xfId="10791"/>
    <cellStyle name="Percent 4 3 3 2 4" xfId="10792"/>
    <cellStyle name="Percent 4 3 3 3" xfId="10793"/>
    <cellStyle name="Percent 4 3 3 3 2" xfId="10794"/>
    <cellStyle name="Percent 4 3 3 3 2 2" xfId="10795"/>
    <cellStyle name="Percent 4 3 3 3 3" xfId="10796"/>
    <cellStyle name="Percent 4 3 3 3 3 2" xfId="10797"/>
    <cellStyle name="Percent 4 3 3 3 4" xfId="10798"/>
    <cellStyle name="Percent 4 3 3 4" xfId="10799"/>
    <cellStyle name="Percent 4 3 3 4 2" xfId="10800"/>
    <cellStyle name="Percent 4 3 3 4 2 2" xfId="10801"/>
    <cellStyle name="Percent 4 3 3 4 3" xfId="10802"/>
    <cellStyle name="Percent 4 3 3 4 3 2" xfId="10803"/>
    <cellStyle name="Percent 4 3 3 4 4" xfId="10804"/>
    <cellStyle name="Percent 4 3 3 4 4 2" xfId="10805"/>
    <cellStyle name="Percent 4 3 3 4 5" xfId="10806"/>
    <cellStyle name="Percent 4 3 3 5" xfId="10807"/>
    <cellStyle name="Percent 4 3 3 5 2" xfId="10808"/>
    <cellStyle name="Percent 4 3 3 5 2 2" xfId="10809"/>
    <cellStyle name="Percent 4 3 3 5 3" xfId="10810"/>
    <cellStyle name="Percent 4 3 3 5 3 2" xfId="10811"/>
    <cellStyle name="Percent 4 3 3 5 4" xfId="10812"/>
    <cellStyle name="Percent 4 3 3 6" xfId="10813"/>
    <cellStyle name="Percent 4 3 3 6 2" xfId="10814"/>
    <cellStyle name="Percent 4 3 3 7" xfId="10815"/>
    <cellStyle name="Percent 4 3 3 7 2" xfId="10816"/>
    <cellStyle name="Percent 4 3 3 8" xfId="10817"/>
    <cellStyle name="Percent 4 3 3 8 2" xfId="10818"/>
    <cellStyle name="Percent 4 3 3 9" xfId="10819"/>
    <cellStyle name="Percent 4 3 4 11" xfId="10820"/>
    <cellStyle name="Percent 4 3 4 10" xfId="10821"/>
    <cellStyle name="Percent 4 3 4 2" xfId="10822"/>
    <cellStyle name="Percent 4 3 4 2 2" xfId="10823"/>
    <cellStyle name="Percent 4 3 4 2 2 2" xfId="10824"/>
    <cellStyle name="Percent 4 3 4 2 3" xfId="10825"/>
    <cellStyle name="Percent 4 3 4 2 3 2" xfId="10826"/>
    <cellStyle name="Percent 4 3 4 2 4" xfId="10827"/>
    <cellStyle name="Percent 4 3 4 3" xfId="10828"/>
    <cellStyle name="Percent 4 3 4 3 2" xfId="10829"/>
    <cellStyle name="Percent 4 3 4 3 2 2" xfId="10830"/>
    <cellStyle name="Percent 4 3 4 3 3" xfId="10831"/>
    <cellStyle name="Percent 4 3 4 3 3 2" xfId="10832"/>
    <cellStyle name="Percent 4 3 4 3 4" xfId="10833"/>
    <cellStyle name="Percent 4 3 4 4" xfId="10834"/>
    <cellStyle name="Percent 4 3 4 4 2" xfId="10835"/>
    <cellStyle name="Percent 4 3 4 4 2 2" xfId="10836"/>
    <cellStyle name="Percent 4 3 4 4 3" xfId="10837"/>
    <cellStyle name="Percent 4 3 4 4 3 2" xfId="10838"/>
    <cellStyle name="Percent 4 3 4 4 4" xfId="10839"/>
    <cellStyle name="Percent 4 3 4 4 4 2" xfId="10840"/>
    <cellStyle name="Percent 4 3 4 4 5" xfId="10841"/>
    <cellStyle name="Percent 4 3 4 5" xfId="10842"/>
    <cellStyle name="Percent 4 3 4 5 2" xfId="10843"/>
    <cellStyle name="Percent 4 3 4 5 2 2" xfId="10844"/>
    <cellStyle name="Percent 4 3 4 5 3" xfId="10845"/>
    <cellStyle name="Percent 4 3 4 5 3 2" xfId="10846"/>
    <cellStyle name="Percent 4 3 4 5 4" xfId="10847"/>
    <cellStyle name="Percent 4 3 4 6" xfId="10848"/>
    <cellStyle name="Percent 4 3 4 6 2" xfId="10849"/>
    <cellStyle name="Percent 4 3 4 7" xfId="10850"/>
    <cellStyle name="Percent 4 3 4 7 2" xfId="10851"/>
    <cellStyle name="Percent 4 3 4 8" xfId="10852"/>
    <cellStyle name="Percent 4 3 4 8 2" xfId="10853"/>
    <cellStyle name="Percent 4 3 4 9" xfId="10854"/>
    <cellStyle name="Percent 4 3 5 11" xfId="10855"/>
    <cellStyle name="Percent 4 3 5 10" xfId="10856"/>
    <cellStyle name="Percent 4 3 5 2" xfId="10857"/>
    <cellStyle name="Percent 4 3 5 2 2" xfId="10858"/>
    <cellStyle name="Percent 4 3 5 2 2 2" xfId="10859"/>
    <cellStyle name="Percent 4 3 5 2 3" xfId="10860"/>
    <cellStyle name="Percent 4 3 5 2 3 2" xfId="10861"/>
    <cellStyle name="Percent 4 3 5 2 4" xfId="10862"/>
    <cellStyle name="Percent 4 3 5 3" xfId="10863"/>
    <cellStyle name="Percent 4 3 5 3 2" xfId="10864"/>
    <cellStyle name="Percent 4 3 5 3 2 2" xfId="10865"/>
    <cellStyle name="Percent 4 3 5 3 3" xfId="10866"/>
    <cellStyle name="Percent 4 3 5 3 3 2" xfId="10867"/>
    <cellStyle name="Percent 4 3 5 3 4" xfId="10868"/>
    <cellStyle name="Percent 4 3 5 4" xfId="10869"/>
    <cellStyle name="Percent 4 3 5 4 2" xfId="10870"/>
    <cellStyle name="Percent 4 3 5 4 2 2" xfId="10871"/>
    <cellStyle name="Percent 4 3 5 4 3" xfId="10872"/>
    <cellStyle name="Percent 4 3 5 4 3 2" xfId="10873"/>
    <cellStyle name="Percent 4 3 5 4 4" xfId="10874"/>
    <cellStyle name="Percent 4 3 5 4 4 2" xfId="10875"/>
    <cellStyle name="Percent 4 3 5 4 5" xfId="10876"/>
    <cellStyle name="Percent 4 3 5 5" xfId="10877"/>
    <cellStyle name="Percent 4 3 5 5 2" xfId="10878"/>
    <cellStyle name="Percent 4 3 5 5 2 2" xfId="10879"/>
    <cellStyle name="Percent 4 3 5 5 3" xfId="10880"/>
    <cellStyle name="Percent 4 3 5 5 3 2" xfId="10881"/>
    <cellStyle name="Percent 4 3 5 5 4" xfId="10882"/>
    <cellStyle name="Percent 4 3 5 6" xfId="10883"/>
    <cellStyle name="Percent 4 3 5 6 2" xfId="10884"/>
    <cellStyle name="Percent 4 3 5 7" xfId="10885"/>
    <cellStyle name="Percent 4 3 5 7 2" xfId="10886"/>
    <cellStyle name="Percent 4 3 5 8" xfId="10887"/>
    <cellStyle name="Percent 4 3 5 8 2" xfId="10888"/>
    <cellStyle name="Percent 4 3 5 9" xfId="10889"/>
    <cellStyle name="Percent 4 3 6 11" xfId="10890"/>
    <cellStyle name="Percent 4 3 6 10" xfId="10891"/>
    <cellStyle name="Percent 4 3 6 2" xfId="10892"/>
    <cellStyle name="Percent 4 3 6 2 2" xfId="10893"/>
    <cellStyle name="Percent 4 3 6 2 2 2" xfId="10894"/>
    <cellStyle name="Percent 4 3 6 2 3" xfId="10895"/>
    <cellStyle name="Percent 4 3 6 2 3 2" xfId="10896"/>
    <cellStyle name="Percent 4 3 6 2 4" xfId="10897"/>
    <cellStyle name="Percent 4 3 6 3" xfId="10898"/>
    <cellStyle name="Percent 4 3 6 3 2" xfId="10899"/>
    <cellStyle name="Percent 4 3 6 3 2 2" xfId="10900"/>
    <cellStyle name="Percent 4 3 6 3 3" xfId="10901"/>
    <cellStyle name="Percent 4 3 6 3 3 2" xfId="10902"/>
    <cellStyle name="Percent 4 3 6 3 4" xfId="10903"/>
    <cellStyle name="Percent 4 3 6 4" xfId="10904"/>
    <cellStyle name="Percent 4 3 6 4 2" xfId="10905"/>
    <cellStyle name="Percent 4 3 6 4 2 2" xfId="10906"/>
    <cellStyle name="Percent 4 3 6 4 3" xfId="10907"/>
    <cellStyle name="Percent 4 3 6 4 3 2" xfId="10908"/>
    <cellStyle name="Percent 4 3 6 4 4" xfId="10909"/>
    <cellStyle name="Percent 4 3 6 4 4 2" xfId="10910"/>
    <cellStyle name="Percent 4 3 6 4 5" xfId="10911"/>
    <cellStyle name="Percent 4 3 6 5" xfId="10912"/>
    <cellStyle name="Percent 4 3 6 5 2" xfId="10913"/>
    <cellStyle name="Percent 4 3 6 5 2 2" xfId="10914"/>
    <cellStyle name="Percent 4 3 6 5 3" xfId="10915"/>
    <cellStyle name="Percent 4 3 6 5 3 2" xfId="10916"/>
    <cellStyle name="Percent 4 3 6 5 4" xfId="10917"/>
    <cellStyle name="Percent 4 3 6 6" xfId="10918"/>
    <cellStyle name="Percent 4 3 6 6 2" xfId="10919"/>
    <cellStyle name="Percent 4 3 6 7" xfId="10920"/>
    <cellStyle name="Percent 4 3 6 7 2" xfId="10921"/>
    <cellStyle name="Percent 4 3 6 8" xfId="10922"/>
    <cellStyle name="Percent 4 3 6 8 2" xfId="10923"/>
    <cellStyle name="Percent 4 3 6 9" xfId="10924"/>
    <cellStyle name="Percent 4 3 7 11" xfId="10925"/>
    <cellStyle name="Percent 4 3 7 10" xfId="10926"/>
    <cellStyle name="Percent 4 3 7 2" xfId="10927"/>
    <cellStyle name="Percent 4 3 7 2 2" xfId="10928"/>
    <cellStyle name="Percent 4 3 7 2 2 2" xfId="10929"/>
    <cellStyle name="Percent 4 3 7 2 3" xfId="10930"/>
    <cellStyle name="Percent 4 3 7 2 3 2" xfId="10931"/>
    <cellStyle name="Percent 4 3 7 2 4" xfId="10932"/>
    <cellStyle name="Percent 4 3 7 3" xfId="10933"/>
    <cellStyle name="Percent 4 3 7 3 2" xfId="10934"/>
    <cellStyle name="Percent 4 3 7 3 2 2" xfId="10935"/>
    <cellStyle name="Percent 4 3 7 3 3" xfId="10936"/>
    <cellStyle name="Percent 4 3 7 3 3 2" xfId="10937"/>
    <cellStyle name="Percent 4 3 7 3 4" xfId="10938"/>
    <cellStyle name="Percent 4 3 7 4" xfId="10939"/>
    <cellStyle name="Percent 4 3 7 4 2" xfId="10940"/>
    <cellStyle name="Percent 4 3 7 4 2 2" xfId="10941"/>
    <cellStyle name="Percent 4 3 7 4 3" xfId="10942"/>
    <cellStyle name="Percent 4 3 7 4 3 2" xfId="10943"/>
    <cellStyle name="Percent 4 3 7 4 4" xfId="10944"/>
    <cellStyle name="Percent 4 3 7 4 4 2" xfId="10945"/>
    <cellStyle name="Percent 4 3 7 4 5" xfId="10946"/>
    <cellStyle name="Percent 4 3 7 5" xfId="10947"/>
    <cellStyle name="Percent 4 3 7 5 2" xfId="10948"/>
    <cellStyle name="Percent 4 3 7 5 2 2" xfId="10949"/>
    <cellStyle name="Percent 4 3 7 5 3" xfId="10950"/>
    <cellStyle name="Percent 4 3 7 5 3 2" xfId="10951"/>
    <cellStyle name="Percent 4 3 7 5 4" xfId="10952"/>
    <cellStyle name="Percent 4 3 7 6" xfId="10953"/>
    <cellStyle name="Percent 4 3 7 6 2" xfId="10954"/>
    <cellStyle name="Percent 4 3 7 7" xfId="10955"/>
    <cellStyle name="Percent 4 3 7 7 2" xfId="10956"/>
    <cellStyle name="Percent 4 3 7 8" xfId="10957"/>
    <cellStyle name="Percent 4 3 7 8 2" xfId="10958"/>
    <cellStyle name="Percent 4 3 7 9" xfId="10959"/>
    <cellStyle name="Percent 4 3 8 11" xfId="10960"/>
    <cellStyle name="Percent 4 3 8 10" xfId="10961"/>
    <cellStyle name="Percent 4 3 8 2" xfId="10962"/>
    <cellStyle name="Percent 4 3 8 2 2" xfId="10963"/>
    <cellStyle name="Percent 4 3 8 2 2 2" xfId="10964"/>
    <cellStyle name="Percent 4 3 8 2 3" xfId="10965"/>
    <cellStyle name="Percent 4 3 8 2 3 2" xfId="10966"/>
    <cellStyle name="Percent 4 3 8 2 4" xfId="10967"/>
    <cellStyle name="Percent 4 3 8 3" xfId="10968"/>
    <cellStyle name="Percent 4 3 8 3 2" xfId="10969"/>
    <cellStyle name="Percent 4 3 8 3 2 2" xfId="10970"/>
    <cellStyle name="Percent 4 3 8 3 3" xfId="10971"/>
    <cellStyle name="Percent 4 3 8 3 3 2" xfId="10972"/>
    <cellStyle name="Percent 4 3 8 3 4" xfId="10973"/>
    <cellStyle name="Percent 4 3 8 4" xfId="10974"/>
    <cellStyle name="Percent 4 3 8 4 2" xfId="10975"/>
    <cellStyle name="Percent 4 3 8 4 2 2" xfId="10976"/>
    <cellStyle name="Percent 4 3 8 4 3" xfId="10977"/>
    <cellStyle name="Percent 4 3 8 4 3 2" xfId="10978"/>
    <cellStyle name="Percent 4 3 8 4 4" xfId="10979"/>
    <cellStyle name="Percent 4 3 8 4 4 2" xfId="10980"/>
    <cellStyle name="Percent 4 3 8 4 5" xfId="10981"/>
    <cellStyle name="Percent 4 3 8 5" xfId="10982"/>
    <cellStyle name="Percent 4 3 8 5 2" xfId="10983"/>
    <cellStyle name="Percent 4 3 8 5 2 2" xfId="10984"/>
    <cellStyle name="Percent 4 3 8 5 3" xfId="10985"/>
    <cellStyle name="Percent 4 3 8 5 3 2" xfId="10986"/>
    <cellStyle name="Percent 4 3 8 5 4" xfId="10987"/>
    <cellStyle name="Percent 4 3 8 6" xfId="10988"/>
    <cellStyle name="Percent 4 3 8 6 2" xfId="10989"/>
    <cellStyle name="Percent 4 3 8 7" xfId="10990"/>
    <cellStyle name="Percent 4 3 8 7 2" xfId="10991"/>
    <cellStyle name="Percent 4 3 8 8" xfId="10992"/>
    <cellStyle name="Percent 4 3 8 8 2" xfId="10993"/>
    <cellStyle name="Percent 4 3 8 9" xfId="10994"/>
    <cellStyle name="Percent 4 3 9" xfId="10995"/>
    <cellStyle name="Percent 4 3 9 2" xfId="10996"/>
    <cellStyle name="Percent 4 3 9 2 2" xfId="10997"/>
    <cellStyle name="Percent 4 3 9 3" xfId="10998"/>
    <cellStyle name="Percent 4 3 9 3 2" xfId="10999"/>
    <cellStyle name="Percent 4 3 9 4" xfId="11000"/>
    <cellStyle name="Percent 4 3 9 5" xfId="11001"/>
    <cellStyle name="Percent 4 30 6" xfId="11002"/>
    <cellStyle name="Percent 4 30 2" xfId="11003"/>
    <cellStyle name="Percent 4 30 2 2" xfId="11004"/>
    <cellStyle name="Percent 4 30 3" xfId="11005"/>
    <cellStyle name="Percent 4 30 3 2" xfId="11006"/>
    <cellStyle name="Percent 4 30 4" xfId="11007"/>
    <cellStyle name="Percent 4 30 5" xfId="11008"/>
    <cellStyle name="Percent 4 31" xfId="11009"/>
    <cellStyle name="Percent 4 31 2" xfId="11010"/>
    <cellStyle name="Percent 4 31 2 2" xfId="11011"/>
    <cellStyle name="Percent 4 31 3" xfId="11012"/>
    <cellStyle name="Percent 4 31 3 2" xfId="11013"/>
    <cellStyle name="Percent 4 31 4" xfId="11014"/>
    <cellStyle name="Percent 4 31 5" xfId="11015"/>
    <cellStyle name="Percent 4 32" xfId="11016"/>
    <cellStyle name="Percent 4 32 2" xfId="11017"/>
    <cellStyle name="Percent 4 32 2 2" xfId="11018"/>
    <cellStyle name="Percent 4 32 3" xfId="11019"/>
    <cellStyle name="Percent 4 32 3 2" xfId="11020"/>
    <cellStyle name="Percent 4 32 4" xfId="11021"/>
    <cellStyle name="Percent 4 33" xfId="11022"/>
    <cellStyle name="Percent 4 33 2" xfId="11023"/>
    <cellStyle name="Percent 4 33 2 2" xfId="11024"/>
    <cellStyle name="Percent 4 33 3" xfId="11025"/>
    <cellStyle name="Percent 4 33 3 2" xfId="11026"/>
    <cellStyle name="Percent 4 33 4" xfId="11027"/>
    <cellStyle name="Percent 4 33 4 2" xfId="11028"/>
    <cellStyle name="Percent 4 33 5" xfId="11029"/>
    <cellStyle name="Percent 4 34" xfId="11030"/>
    <cellStyle name="Percent 4 34 2" xfId="11031"/>
    <cellStyle name="Percent 4 34 2 2" xfId="11032"/>
    <cellStyle name="Percent 4 34 3" xfId="11033"/>
    <cellStyle name="Percent 4 34 3 2" xfId="11034"/>
    <cellStyle name="Percent 4 34 4" xfId="11035"/>
    <cellStyle name="Percent 4 35" xfId="11036"/>
    <cellStyle name="Percent 4 35 2" xfId="11037"/>
    <cellStyle name="Percent 4 36" xfId="11038"/>
    <cellStyle name="Percent 4 36 2" xfId="11039"/>
    <cellStyle name="Percent 4 37" xfId="11040"/>
    <cellStyle name="Percent 4 37 2" xfId="11041"/>
    <cellStyle name="Percent 4 38" xfId="11042"/>
    <cellStyle name="Percent 4 39" xfId="11043"/>
    <cellStyle name="Percent 4 4 19" xfId="11044"/>
    <cellStyle name="Percent 4 4 10" xfId="11045"/>
    <cellStyle name="Percent 4 4 10 2" xfId="11046"/>
    <cellStyle name="Percent 4 4 10 2 2" xfId="11047"/>
    <cellStyle name="Percent 4 4 10 3" xfId="11048"/>
    <cellStyle name="Percent 4 4 10 3 2" xfId="11049"/>
    <cellStyle name="Percent 4 4 10 4" xfId="11050"/>
    <cellStyle name="Percent 4 4 11" xfId="11051"/>
    <cellStyle name="Percent 4 4 11 2" xfId="11052"/>
    <cellStyle name="Percent 4 4 11 2 2" xfId="11053"/>
    <cellStyle name="Percent 4 4 11 3" xfId="11054"/>
    <cellStyle name="Percent 4 4 11 3 2" xfId="11055"/>
    <cellStyle name="Percent 4 4 11 4" xfId="11056"/>
    <cellStyle name="Percent 4 4 12" xfId="11057"/>
    <cellStyle name="Percent 4 4 12 2" xfId="11058"/>
    <cellStyle name="Percent 4 4 12 2 2" xfId="11059"/>
    <cellStyle name="Percent 4 4 12 3" xfId="11060"/>
    <cellStyle name="Percent 4 4 12 3 2" xfId="11061"/>
    <cellStyle name="Percent 4 4 12 4" xfId="11062"/>
    <cellStyle name="Percent 4 4 12 4 2" xfId="11063"/>
    <cellStyle name="Percent 4 4 12 5" xfId="11064"/>
    <cellStyle name="Percent 4 4 13" xfId="11065"/>
    <cellStyle name="Percent 4 4 13 2" xfId="11066"/>
    <cellStyle name="Percent 4 4 13 2 2" xfId="11067"/>
    <cellStyle name="Percent 4 4 13 3" xfId="11068"/>
    <cellStyle name="Percent 4 4 13 3 2" xfId="11069"/>
    <cellStyle name="Percent 4 4 13 4" xfId="11070"/>
    <cellStyle name="Percent 4 4 14" xfId="11071"/>
    <cellStyle name="Percent 4 4 14 2" xfId="11072"/>
    <cellStyle name="Percent 4 4 15" xfId="11073"/>
    <cellStyle name="Percent 4 4 15 2" xfId="11074"/>
    <cellStyle name="Percent 4 4 16" xfId="11075"/>
    <cellStyle name="Percent 4 4 16 2" xfId="11076"/>
    <cellStyle name="Percent 4 4 17" xfId="11077"/>
    <cellStyle name="Percent 4 4 18" xfId="11078"/>
    <cellStyle name="Percent 4 4 2 11" xfId="11079"/>
    <cellStyle name="Percent 4 4 2 10" xfId="11080"/>
    <cellStyle name="Percent 4 4 2 2" xfId="11081"/>
    <cellStyle name="Percent 4 4 2 2 2" xfId="11082"/>
    <cellStyle name="Percent 4 4 2 2 2 2" xfId="11083"/>
    <cellStyle name="Percent 4 4 2 2 3" xfId="11084"/>
    <cellStyle name="Percent 4 4 2 2 3 2" xfId="11085"/>
    <cellStyle name="Percent 4 4 2 2 4" xfId="11086"/>
    <cellStyle name="Percent 4 4 2 2 5" xfId="11087"/>
    <cellStyle name="Percent 4 4 2 3" xfId="11088"/>
    <cellStyle name="Percent 4 4 2 3 2" xfId="11089"/>
    <cellStyle name="Percent 4 4 2 3 2 2" xfId="11090"/>
    <cellStyle name="Percent 4 4 2 3 3" xfId="11091"/>
    <cellStyle name="Percent 4 4 2 3 3 2" xfId="11092"/>
    <cellStyle name="Percent 4 4 2 3 4" xfId="11093"/>
    <cellStyle name="Percent 4 4 2 4" xfId="11094"/>
    <cellStyle name="Percent 4 4 2 4 2" xfId="11095"/>
    <cellStyle name="Percent 4 4 2 4 2 2" xfId="11096"/>
    <cellStyle name="Percent 4 4 2 4 3" xfId="11097"/>
    <cellStyle name="Percent 4 4 2 4 3 2" xfId="11098"/>
    <cellStyle name="Percent 4 4 2 4 4" xfId="11099"/>
    <cellStyle name="Percent 4 4 2 4 4 2" xfId="11100"/>
    <cellStyle name="Percent 4 4 2 4 5" xfId="11101"/>
    <cellStyle name="Percent 4 4 2 5" xfId="11102"/>
    <cellStyle name="Percent 4 4 2 5 2" xfId="11103"/>
    <cellStyle name="Percent 4 4 2 5 2 2" xfId="11104"/>
    <cellStyle name="Percent 4 4 2 5 3" xfId="11105"/>
    <cellStyle name="Percent 4 4 2 5 3 2" xfId="11106"/>
    <cellStyle name="Percent 4 4 2 5 4" xfId="11107"/>
    <cellStyle name="Percent 4 4 2 6" xfId="11108"/>
    <cellStyle name="Percent 4 4 2 6 2" xfId="11109"/>
    <cellStyle name="Percent 4 4 2 7" xfId="11110"/>
    <cellStyle name="Percent 4 4 2 7 2" xfId="11111"/>
    <cellStyle name="Percent 4 4 2 8" xfId="11112"/>
    <cellStyle name="Percent 4 4 2 8 2" xfId="11113"/>
    <cellStyle name="Percent 4 4 2 9" xfId="11114"/>
    <cellStyle name="Percent 4 4 3 11" xfId="11115"/>
    <cellStyle name="Percent 4 4 3 10" xfId="11116"/>
    <cellStyle name="Percent 4 4 3 2" xfId="11117"/>
    <cellStyle name="Percent 4 4 3 2 2" xfId="11118"/>
    <cellStyle name="Percent 4 4 3 2 2 2" xfId="11119"/>
    <cellStyle name="Percent 4 4 3 2 3" xfId="11120"/>
    <cellStyle name="Percent 4 4 3 2 3 2" xfId="11121"/>
    <cellStyle name="Percent 4 4 3 2 4" xfId="11122"/>
    <cellStyle name="Percent 4 4 3 3" xfId="11123"/>
    <cellStyle name="Percent 4 4 3 3 2" xfId="11124"/>
    <cellStyle name="Percent 4 4 3 3 2 2" xfId="11125"/>
    <cellStyle name="Percent 4 4 3 3 3" xfId="11126"/>
    <cellStyle name="Percent 4 4 3 3 3 2" xfId="11127"/>
    <cellStyle name="Percent 4 4 3 3 4" xfId="11128"/>
    <cellStyle name="Percent 4 4 3 4" xfId="11129"/>
    <cellStyle name="Percent 4 4 3 4 2" xfId="11130"/>
    <cellStyle name="Percent 4 4 3 4 2 2" xfId="11131"/>
    <cellStyle name="Percent 4 4 3 4 3" xfId="11132"/>
    <cellStyle name="Percent 4 4 3 4 3 2" xfId="11133"/>
    <cellStyle name="Percent 4 4 3 4 4" xfId="11134"/>
    <cellStyle name="Percent 4 4 3 4 4 2" xfId="11135"/>
    <cellStyle name="Percent 4 4 3 4 5" xfId="11136"/>
    <cellStyle name="Percent 4 4 3 5" xfId="11137"/>
    <cellStyle name="Percent 4 4 3 5 2" xfId="11138"/>
    <cellStyle name="Percent 4 4 3 5 2 2" xfId="11139"/>
    <cellStyle name="Percent 4 4 3 5 3" xfId="11140"/>
    <cellStyle name="Percent 4 4 3 5 3 2" xfId="11141"/>
    <cellStyle name="Percent 4 4 3 5 4" xfId="11142"/>
    <cellStyle name="Percent 4 4 3 6" xfId="11143"/>
    <cellStyle name="Percent 4 4 3 6 2" xfId="11144"/>
    <cellStyle name="Percent 4 4 3 7" xfId="11145"/>
    <cellStyle name="Percent 4 4 3 7 2" xfId="11146"/>
    <cellStyle name="Percent 4 4 3 8" xfId="11147"/>
    <cellStyle name="Percent 4 4 3 8 2" xfId="11148"/>
    <cellStyle name="Percent 4 4 3 9" xfId="11149"/>
    <cellStyle name="Percent 4 4 4 11" xfId="11150"/>
    <cellStyle name="Percent 4 4 4 10" xfId="11151"/>
    <cellStyle name="Percent 4 4 4 2" xfId="11152"/>
    <cellStyle name="Percent 4 4 4 2 2" xfId="11153"/>
    <cellStyle name="Percent 4 4 4 2 2 2" xfId="11154"/>
    <cellStyle name="Percent 4 4 4 2 3" xfId="11155"/>
    <cellStyle name="Percent 4 4 4 2 3 2" xfId="11156"/>
    <cellStyle name="Percent 4 4 4 2 4" xfId="11157"/>
    <cellStyle name="Percent 4 4 4 3" xfId="11158"/>
    <cellStyle name="Percent 4 4 4 3 2" xfId="11159"/>
    <cellStyle name="Percent 4 4 4 3 2 2" xfId="11160"/>
    <cellStyle name="Percent 4 4 4 3 3" xfId="11161"/>
    <cellStyle name="Percent 4 4 4 3 3 2" xfId="11162"/>
    <cellStyle name="Percent 4 4 4 3 4" xfId="11163"/>
    <cellStyle name="Percent 4 4 4 4" xfId="11164"/>
    <cellStyle name="Percent 4 4 4 4 2" xfId="11165"/>
    <cellStyle name="Percent 4 4 4 4 2 2" xfId="11166"/>
    <cellStyle name="Percent 4 4 4 4 3" xfId="11167"/>
    <cellStyle name="Percent 4 4 4 4 3 2" xfId="11168"/>
    <cellStyle name="Percent 4 4 4 4 4" xfId="11169"/>
    <cellStyle name="Percent 4 4 4 4 4 2" xfId="11170"/>
    <cellStyle name="Percent 4 4 4 4 5" xfId="11171"/>
    <cellStyle name="Percent 4 4 4 5" xfId="11172"/>
    <cellStyle name="Percent 4 4 4 5 2" xfId="11173"/>
    <cellStyle name="Percent 4 4 4 5 2 2" xfId="11174"/>
    <cellStyle name="Percent 4 4 4 5 3" xfId="11175"/>
    <cellStyle name="Percent 4 4 4 5 3 2" xfId="11176"/>
    <cellStyle name="Percent 4 4 4 5 4" xfId="11177"/>
    <cellStyle name="Percent 4 4 4 6" xfId="11178"/>
    <cellStyle name="Percent 4 4 4 6 2" xfId="11179"/>
    <cellStyle name="Percent 4 4 4 7" xfId="11180"/>
    <cellStyle name="Percent 4 4 4 7 2" xfId="11181"/>
    <cellStyle name="Percent 4 4 4 8" xfId="11182"/>
    <cellStyle name="Percent 4 4 4 8 2" xfId="11183"/>
    <cellStyle name="Percent 4 4 4 9" xfId="11184"/>
    <cellStyle name="Percent 4 4 5 11" xfId="11185"/>
    <cellStyle name="Percent 4 4 5 10" xfId="11186"/>
    <cellStyle name="Percent 4 4 5 2" xfId="11187"/>
    <cellStyle name="Percent 4 4 5 2 2" xfId="11188"/>
    <cellStyle name="Percent 4 4 5 2 2 2" xfId="11189"/>
    <cellStyle name="Percent 4 4 5 2 3" xfId="11190"/>
    <cellStyle name="Percent 4 4 5 2 3 2" xfId="11191"/>
    <cellStyle name="Percent 4 4 5 2 4" xfId="11192"/>
    <cellStyle name="Percent 4 4 5 3" xfId="11193"/>
    <cellStyle name="Percent 4 4 5 3 2" xfId="11194"/>
    <cellStyle name="Percent 4 4 5 3 2 2" xfId="11195"/>
    <cellStyle name="Percent 4 4 5 3 3" xfId="11196"/>
    <cellStyle name="Percent 4 4 5 3 3 2" xfId="11197"/>
    <cellStyle name="Percent 4 4 5 3 4" xfId="11198"/>
    <cellStyle name="Percent 4 4 5 4" xfId="11199"/>
    <cellStyle name="Percent 4 4 5 4 2" xfId="11200"/>
    <cellStyle name="Percent 4 4 5 4 2 2" xfId="11201"/>
    <cellStyle name="Percent 4 4 5 4 3" xfId="11202"/>
    <cellStyle name="Percent 4 4 5 4 3 2" xfId="11203"/>
    <cellStyle name="Percent 4 4 5 4 4" xfId="11204"/>
    <cellStyle name="Percent 4 4 5 4 4 2" xfId="11205"/>
    <cellStyle name="Percent 4 4 5 4 5" xfId="11206"/>
    <cellStyle name="Percent 4 4 5 5" xfId="11207"/>
    <cellStyle name="Percent 4 4 5 5 2" xfId="11208"/>
    <cellStyle name="Percent 4 4 5 5 2 2" xfId="11209"/>
    <cellStyle name="Percent 4 4 5 5 3" xfId="11210"/>
    <cellStyle name="Percent 4 4 5 5 3 2" xfId="11211"/>
    <cellStyle name="Percent 4 4 5 5 4" xfId="11212"/>
    <cellStyle name="Percent 4 4 5 6" xfId="11213"/>
    <cellStyle name="Percent 4 4 5 6 2" xfId="11214"/>
    <cellStyle name="Percent 4 4 5 7" xfId="11215"/>
    <cellStyle name="Percent 4 4 5 7 2" xfId="11216"/>
    <cellStyle name="Percent 4 4 5 8" xfId="11217"/>
    <cellStyle name="Percent 4 4 5 8 2" xfId="11218"/>
    <cellStyle name="Percent 4 4 5 9" xfId="11219"/>
    <cellStyle name="Percent 4 4 6 11" xfId="11220"/>
    <cellStyle name="Percent 4 4 6 10" xfId="11221"/>
    <cellStyle name="Percent 4 4 6 2" xfId="11222"/>
    <cellStyle name="Percent 4 4 6 2 2" xfId="11223"/>
    <cellStyle name="Percent 4 4 6 2 2 2" xfId="11224"/>
    <cellStyle name="Percent 4 4 6 2 3" xfId="11225"/>
    <cellStyle name="Percent 4 4 6 2 3 2" xfId="11226"/>
    <cellStyle name="Percent 4 4 6 2 4" xfId="11227"/>
    <cellStyle name="Percent 4 4 6 3" xfId="11228"/>
    <cellStyle name="Percent 4 4 6 3 2" xfId="11229"/>
    <cellStyle name="Percent 4 4 6 3 2 2" xfId="11230"/>
    <cellStyle name="Percent 4 4 6 3 3" xfId="11231"/>
    <cellStyle name="Percent 4 4 6 3 3 2" xfId="11232"/>
    <cellStyle name="Percent 4 4 6 3 4" xfId="11233"/>
    <cellStyle name="Percent 4 4 6 4" xfId="11234"/>
    <cellStyle name="Percent 4 4 6 4 2" xfId="11235"/>
    <cellStyle name="Percent 4 4 6 4 2 2" xfId="11236"/>
    <cellStyle name="Percent 4 4 6 4 3" xfId="11237"/>
    <cellStyle name="Percent 4 4 6 4 3 2" xfId="11238"/>
    <cellStyle name="Percent 4 4 6 4 4" xfId="11239"/>
    <cellStyle name="Percent 4 4 6 4 4 2" xfId="11240"/>
    <cellStyle name="Percent 4 4 6 4 5" xfId="11241"/>
    <cellStyle name="Percent 4 4 6 5" xfId="11242"/>
    <cellStyle name="Percent 4 4 6 5 2" xfId="11243"/>
    <cellStyle name="Percent 4 4 6 5 2 2" xfId="11244"/>
    <cellStyle name="Percent 4 4 6 5 3" xfId="11245"/>
    <cellStyle name="Percent 4 4 6 5 3 2" xfId="11246"/>
    <cellStyle name="Percent 4 4 6 5 4" xfId="11247"/>
    <cellStyle name="Percent 4 4 6 6" xfId="11248"/>
    <cellStyle name="Percent 4 4 6 6 2" xfId="11249"/>
    <cellStyle name="Percent 4 4 6 7" xfId="11250"/>
    <cellStyle name="Percent 4 4 6 7 2" xfId="11251"/>
    <cellStyle name="Percent 4 4 6 8" xfId="11252"/>
    <cellStyle name="Percent 4 4 6 8 2" xfId="11253"/>
    <cellStyle name="Percent 4 4 6 9" xfId="11254"/>
    <cellStyle name="Percent 4 4 7 11" xfId="11255"/>
    <cellStyle name="Percent 4 4 7 10" xfId="11256"/>
    <cellStyle name="Percent 4 4 7 2" xfId="11257"/>
    <cellStyle name="Percent 4 4 7 2 2" xfId="11258"/>
    <cellStyle name="Percent 4 4 7 2 2 2" xfId="11259"/>
    <cellStyle name="Percent 4 4 7 2 3" xfId="11260"/>
    <cellStyle name="Percent 4 4 7 2 3 2" xfId="11261"/>
    <cellStyle name="Percent 4 4 7 2 4" xfId="11262"/>
    <cellStyle name="Percent 4 4 7 3" xfId="11263"/>
    <cellStyle name="Percent 4 4 7 3 2" xfId="11264"/>
    <cellStyle name="Percent 4 4 7 3 2 2" xfId="11265"/>
    <cellStyle name="Percent 4 4 7 3 3" xfId="11266"/>
    <cellStyle name="Percent 4 4 7 3 3 2" xfId="11267"/>
    <cellStyle name="Percent 4 4 7 3 4" xfId="11268"/>
    <cellStyle name="Percent 4 4 7 4" xfId="11269"/>
    <cellStyle name="Percent 4 4 7 4 2" xfId="11270"/>
    <cellStyle name="Percent 4 4 7 4 2 2" xfId="11271"/>
    <cellStyle name="Percent 4 4 7 4 3" xfId="11272"/>
    <cellStyle name="Percent 4 4 7 4 3 2" xfId="11273"/>
    <cellStyle name="Percent 4 4 7 4 4" xfId="11274"/>
    <cellStyle name="Percent 4 4 7 4 4 2" xfId="11275"/>
    <cellStyle name="Percent 4 4 7 4 5" xfId="11276"/>
    <cellStyle name="Percent 4 4 7 5" xfId="11277"/>
    <cellStyle name="Percent 4 4 7 5 2" xfId="11278"/>
    <cellStyle name="Percent 4 4 7 5 2 2" xfId="11279"/>
    <cellStyle name="Percent 4 4 7 5 3" xfId="11280"/>
    <cellStyle name="Percent 4 4 7 5 3 2" xfId="11281"/>
    <cellStyle name="Percent 4 4 7 5 4" xfId="11282"/>
    <cellStyle name="Percent 4 4 7 6" xfId="11283"/>
    <cellStyle name="Percent 4 4 7 6 2" xfId="11284"/>
    <cellStyle name="Percent 4 4 7 7" xfId="11285"/>
    <cellStyle name="Percent 4 4 7 7 2" xfId="11286"/>
    <cellStyle name="Percent 4 4 7 8" xfId="11287"/>
    <cellStyle name="Percent 4 4 7 8 2" xfId="11288"/>
    <cellStyle name="Percent 4 4 7 9" xfId="11289"/>
    <cellStyle name="Percent 4 4 8 11" xfId="11290"/>
    <cellStyle name="Percent 4 4 8 10" xfId="11291"/>
    <cellStyle name="Percent 4 4 8 2" xfId="11292"/>
    <cellStyle name="Percent 4 4 8 2 2" xfId="11293"/>
    <cellStyle name="Percent 4 4 8 2 2 2" xfId="11294"/>
    <cellStyle name="Percent 4 4 8 2 3" xfId="11295"/>
    <cellStyle name="Percent 4 4 8 2 3 2" xfId="11296"/>
    <cellStyle name="Percent 4 4 8 2 4" xfId="11297"/>
    <cellStyle name="Percent 4 4 8 3" xfId="11298"/>
    <cellStyle name="Percent 4 4 8 3 2" xfId="11299"/>
    <cellStyle name="Percent 4 4 8 3 2 2" xfId="11300"/>
    <cellStyle name="Percent 4 4 8 3 3" xfId="11301"/>
    <cellStyle name="Percent 4 4 8 3 3 2" xfId="11302"/>
    <cellStyle name="Percent 4 4 8 3 4" xfId="11303"/>
    <cellStyle name="Percent 4 4 8 4" xfId="11304"/>
    <cellStyle name="Percent 4 4 8 4 2" xfId="11305"/>
    <cellStyle name="Percent 4 4 8 4 2 2" xfId="11306"/>
    <cellStyle name="Percent 4 4 8 4 3" xfId="11307"/>
    <cellStyle name="Percent 4 4 8 4 3 2" xfId="11308"/>
    <cellStyle name="Percent 4 4 8 4 4" xfId="11309"/>
    <cellStyle name="Percent 4 4 8 4 4 2" xfId="11310"/>
    <cellStyle name="Percent 4 4 8 4 5" xfId="11311"/>
    <cellStyle name="Percent 4 4 8 5" xfId="11312"/>
    <cellStyle name="Percent 4 4 8 5 2" xfId="11313"/>
    <cellStyle name="Percent 4 4 8 5 2 2" xfId="11314"/>
    <cellStyle name="Percent 4 4 8 5 3" xfId="11315"/>
    <cellStyle name="Percent 4 4 8 5 3 2" xfId="11316"/>
    <cellStyle name="Percent 4 4 8 5 4" xfId="11317"/>
    <cellStyle name="Percent 4 4 8 6" xfId="11318"/>
    <cellStyle name="Percent 4 4 8 6 2" xfId="11319"/>
    <cellStyle name="Percent 4 4 8 7" xfId="11320"/>
    <cellStyle name="Percent 4 4 8 7 2" xfId="11321"/>
    <cellStyle name="Percent 4 4 8 8" xfId="11322"/>
    <cellStyle name="Percent 4 4 8 8 2" xfId="11323"/>
    <cellStyle name="Percent 4 4 8 9" xfId="11324"/>
    <cellStyle name="Percent 4 4 9" xfId="11325"/>
    <cellStyle name="Percent 4 4 9 2" xfId="11326"/>
    <cellStyle name="Percent 4 4 9 2 2" xfId="11327"/>
    <cellStyle name="Percent 4 4 9 3" xfId="11328"/>
    <cellStyle name="Percent 4 4 9 3 2" xfId="11329"/>
    <cellStyle name="Percent 4 4 9 4" xfId="11330"/>
    <cellStyle name="Percent 4 4 9 5" xfId="11331"/>
    <cellStyle name="Percent 4 5 19" xfId="11332"/>
    <cellStyle name="Percent 4 5 10" xfId="11333"/>
    <cellStyle name="Percent 4 5 10 2" xfId="11334"/>
    <cellStyle name="Percent 4 5 10 2 2" xfId="11335"/>
    <cellStyle name="Percent 4 5 10 3" xfId="11336"/>
    <cellStyle name="Percent 4 5 10 3 2" xfId="11337"/>
    <cellStyle name="Percent 4 5 10 4" xfId="11338"/>
    <cellStyle name="Percent 4 5 11" xfId="11339"/>
    <cellStyle name="Percent 4 5 11 2" xfId="11340"/>
    <cellStyle name="Percent 4 5 11 2 2" xfId="11341"/>
    <cellStyle name="Percent 4 5 11 3" xfId="11342"/>
    <cellStyle name="Percent 4 5 11 3 2" xfId="11343"/>
    <cellStyle name="Percent 4 5 11 4" xfId="11344"/>
    <cellStyle name="Percent 4 5 12" xfId="11345"/>
    <cellStyle name="Percent 4 5 12 2" xfId="11346"/>
    <cellStyle name="Percent 4 5 12 2 2" xfId="11347"/>
    <cellStyle name="Percent 4 5 12 3" xfId="11348"/>
    <cellStyle name="Percent 4 5 12 3 2" xfId="11349"/>
    <cellStyle name="Percent 4 5 12 4" xfId="11350"/>
    <cellStyle name="Percent 4 5 12 4 2" xfId="11351"/>
    <cellStyle name="Percent 4 5 12 5" xfId="11352"/>
    <cellStyle name="Percent 4 5 13" xfId="11353"/>
    <cellStyle name="Percent 4 5 13 2" xfId="11354"/>
    <cellStyle name="Percent 4 5 13 2 2" xfId="11355"/>
    <cellStyle name="Percent 4 5 13 3" xfId="11356"/>
    <cellStyle name="Percent 4 5 13 3 2" xfId="11357"/>
    <cellStyle name="Percent 4 5 13 4" xfId="11358"/>
    <cellStyle name="Percent 4 5 14" xfId="11359"/>
    <cellStyle name="Percent 4 5 14 2" xfId="11360"/>
    <cellStyle name="Percent 4 5 15" xfId="11361"/>
    <cellStyle name="Percent 4 5 15 2" xfId="11362"/>
    <cellStyle name="Percent 4 5 16" xfId="11363"/>
    <cellStyle name="Percent 4 5 16 2" xfId="11364"/>
    <cellStyle name="Percent 4 5 17" xfId="11365"/>
    <cellStyle name="Percent 4 5 18" xfId="11366"/>
    <cellStyle name="Percent 4 5 2 11" xfId="11367"/>
    <cellStyle name="Percent 4 5 2 10" xfId="11368"/>
    <cellStyle name="Percent 4 5 2 2" xfId="11369"/>
    <cellStyle name="Percent 4 5 2 2 2" xfId="11370"/>
    <cellStyle name="Percent 4 5 2 2 2 2" xfId="11371"/>
    <cellStyle name="Percent 4 5 2 2 3" xfId="11372"/>
    <cellStyle name="Percent 4 5 2 2 3 2" xfId="11373"/>
    <cellStyle name="Percent 4 5 2 2 4" xfId="11374"/>
    <cellStyle name="Percent 4 5 2 2 5" xfId="11375"/>
    <cellStyle name="Percent 4 5 2 3" xfId="11376"/>
    <cellStyle name="Percent 4 5 2 3 2" xfId="11377"/>
    <cellStyle name="Percent 4 5 2 3 2 2" xfId="11378"/>
    <cellStyle name="Percent 4 5 2 3 3" xfId="11379"/>
    <cellStyle name="Percent 4 5 2 3 3 2" xfId="11380"/>
    <cellStyle name="Percent 4 5 2 3 4" xfId="11381"/>
    <cellStyle name="Percent 4 5 2 4" xfId="11382"/>
    <cellStyle name="Percent 4 5 2 4 2" xfId="11383"/>
    <cellStyle name="Percent 4 5 2 4 2 2" xfId="11384"/>
    <cellStyle name="Percent 4 5 2 4 3" xfId="11385"/>
    <cellStyle name="Percent 4 5 2 4 3 2" xfId="11386"/>
    <cellStyle name="Percent 4 5 2 4 4" xfId="11387"/>
    <cellStyle name="Percent 4 5 2 4 4 2" xfId="11388"/>
    <cellStyle name="Percent 4 5 2 4 5" xfId="11389"/>
    <cellStyle name="Percent 4 5 2 5" xfId="11390"/>
    <cellStyle name="Percent 4 5 2 5 2" xfId="11391"/>
    <cellStyle name="Percent 4 5 2 5 2 2" xfId="11392"/>
    <cellStyle name="Percent 4 5 2 5 3" xfId="11393"/>
    <cellStyle name="Percent 4 5 2 5 3 2" xfId="11394"/>
    <cellStyle name="Percent 4 5 2 5 4" xfId="11395"/>
    <cellStyle name="Percent 4 5 2 6" xfId="11396"/>
    <cellStyle name="Percent 4 5 2 6 2" xfId="11397"/>
    <cellStyle name="Percent 4 5 2 7" xfId="11398"/>
    <cellStyle name="Percent 4 5 2 7 2" xfId="11399"/>
    <cellStyle name="Percent 4 5 2 8" xfId="11400"/>
    <cellStyle name="Percent 4 5 2 8 2" xfId="11401"/>
    <cellStyle name="Percent 4 5 2 9" xfId="11402"/>
    <cellStyle name="Percent 4 5 3 11" xfId="11403"/>
    <cellStyle name="Percent 4 5 3 10" xfId="11404"/>
    <cellStyle name="Percent 4 5 3 2" xfId="11405"/>
    <cellStyle name="Percent 4 5 3 2 2" xfId="11406"/>
    <cellStyle name="Percent 4 5 3 2 2 2" xfId="11407"/>
    <cellStyle name="Percent 4 5 3 2 3" xfId="11408"/>
    <cellStyle name="Percent 4 5 3 2 3 2" xfId="11409"/>
    <cellStyle name="Percent 4 5 3 2 4" xfId="11410"/>
    <cellStyle name="Percent 4 5 3 2 5" xfId="11411"/>
    <cellStyle name="Percent 4 5 3 3" xfId="11412"/>
    <cellStyle name="Percent 4 5 3 3 2" xfId="11413"/>
    <cellStyle name="Percent 4 5 3 3 2 2" xfId="11414"/>
    <cellStyle name="Percent 4 5 3 3 3" xfId="11415"/>
    <cellStyle name="Percent 4 5 3 3 3 2" xfId="11416"/>
    <cellStyle name="Percent 4 5 3 3 4" xfId="11417"/>
    <cellStyle name="Percent 4 5 3 4" xfId="11418"/>
    <cellStyle name="Percent 4 5 3 4 2" xfId="11419"/>
    <cellStyle name="Percent 4 5 3 4 2 2" xfId="11420"/>
    <cellStyle name="Percent 4 5 3 4 3" xfId="11421"/>
    <cellStyle name="Percent 4 5 3 4 3 2" xfId="11422"/>
    <cellStyle name="Percent 4 5 3 4 4" xfId="11423"/>
    <cellStyle name="Percent 4 5 3 4 4 2" xfId="11424"/>
    <cellStyle name="Percent 4 5 3 4 5" xfId="11425"/>
    <cellStyle name="Percent 4 5 3 5" xfId="11426"/>
    <cellStyle name="Percent 4 5 3 5 2" xfId="11427"/>
    <cellStyle name="Percent 4 5 3 5 2 2" xfId="11428"/>
    <cellStyle name="Percent 4 5 3 5 3" xfId="11429"/>
    <cellStyle name="Percent 4 5 3 5 3 2" xfId="11430"/>
    <cellStyle name="Percent 4 5 3 5 4" xfId="11431"/>
    <cellStyle name="Percent 4 5 3 6" xfId="11432"/>
    <cellStyle name="Percent 4 5 3 6 2" xfId="11433"/>
    <cellStyle name="Percent 4 5 3 7" xfId="11434"/>
    <cellStyle name="Percent 4 5 3 7 2" xfId="11435"/>
    <cellStyle name="Percent 4 5 3 8" xfId="11436"/>
    <cellStyle name="Percent 4 5 3 8 2" xfId="11437"/>
    <cellStyle name="Percent 4 5 3 9" xfId="11438"/>
    <cellStyle name="Percent 4 5 4 11" xfId="11439"/>
    <cellStyle name="Percent 4 5 4 10" xfId="11440"/>
    <cellStyle name="Percent 4 5 4 2" xfId="11441"/>
    <cellStyle name="Percent 4 5 4 2 2" xfId="11442"/>
    <cellStyle name="Percent 4 5 4 2 2 2" xfId="11443"/>
    <cellStyle name="Percent 4 5 4 2 3" xfId="11444"/>
    <cellStyle name="Percent 4 5 4 2 3 2" xfId="11445"/>
    <cellStyle name="Percent 4 5 4 2 4" xfId="11446"/>
    <cellStyle name="Percent 4 5 4 3" xfId="11447"/>
    <cellStyle name="Percent 4 5 4 3 2" xfId="11448"/>
    <cellStyle name="Percent 4 5 4 3 2 2" xfId="11449"/>
    <cellStyle name="Percent 4 5 4 3 3" xfId="11450"/>
    <cellStyle name="Percent 4 5 4 3 3 2" xfId="11451"/>
    <cellStyle name="Percent 4 5 4 3 4" xfId="11452"/>
    <cellStyle name="Percent 4 5 4 4" xfId="11453"/>
    <cellStyle name="Percent 4 5 4 4 2" xfId="11454"/>
    <cellStyle name="Percent 4 5 4 4 2 2" xfId="11455"/>
    <cellStyle name="Percent 4 5 4 4 3" xfId="11456"/>
    <cellStyle name="Percent 4 5 4 4 3 2" xfId="11457"/>
    <cellStyle name="Percent 4 5 4 4 4" xfId="11458"/>
    <cellStyle name="Percent 4 5 4 4 4 2" xfId="11459"/>
    <cellStyle name="Percent 4 5 4 4 5" xfId="11460"/>
    <cellStyle name="Percent 4 5 4 5" xfId="11461"/>
    <cellStyle name="Percent 4 5 4 5 2" xfId="11462"/>
    <cellStyle name="Percent 4 5 4 5 2 2" xfId="11463"/>
    <cellStyle name="Percent 4 5 4 5 3" xfId="11464"/>
    <cellStyle name="Percent 4 5 4 5 3 2" xfId="11465"/>
    <cellStyle name="Percent 4 5 4 5 4" xfId="11466"/>
    <cellStyle name="Percent 4 5 4 6" xfId="11467"/>
    <cellStyle name="Percent 4 5 4 6 2" xfId="11468"/>
    <cellStyle name="Percent 4 5 4 7" xfId="11469"/>
    <cellStyle name="Percent 4 5 4 7 2" xfId="11470"/>
    <cellStyle name="Percent 4 5 4 8" xfId="11471"/>
    <cellStyle name="Percent 4 5 4 8 2" xfId="11472"/>
    <cellStyle name="Percent 4 5 4 9" xfId="11473"/>
    <cellStyle name="Percent 4 5 5 11" xfId="11474"/>
    <cellStyle name="Percent 4 5 5 10" xfId="11475"/>
    <cellStyle name="Percent 4 5 5 2" xfId="11476"/>
    <cellStyle name="Percent 4 5 5 2 2" xfId="11477"/>
    <cellStyle name="Percent 4 5 5 2 2 2" xfId="11478"/>
    <cellStyle name="Percent 4 5 5 2 3" xfId="11479"/>
    <cellStyle name="Percent 4 5 5 2 3 2" xfId="11480"/>
    <cellStyle name="Percent 4 5 5 2 4" xfId="11481"/>
    <cellStyle name="Percent 4 5 5 3" xfId="11482"/>
    <cellStyle name="Percent 4 5 5 3 2" xfId="11483"/>
    <cellStyle name="Percent 4 5 5 3 2 2" xfId="11484"/>
    <cellStyle name="Percent 4 5 5 3 3" xfId="11485"/>
    <cellStyle name="Percent 4 5 5 3 3 2" xfId="11486"/>
    <cellStyle name="Percent 4 5 5 3 4" xfId="11487"/>
    <cellStyle name="Percent 4 5 5 4" xfId="11488"/>
    <cellStyle name="Percent 4 5 5 4 2" xfId="11489"/>
    <cellStyle name="Percent 4 5 5 4 2 2" xfId="11490"/>
    <cellStyle name="Percent 4 5 5 4 3" xfId="11491"/>
    <cellStyle name="Percent 4 5 5 4 3 2" xfId="11492"/>
    <cellStyle name="Percent 4 5 5 4 4" xfId="11493"/>
    <cellStyle name="Percent 4 5 5 4 4 2" xfId="11494"/>
    <cellStyle name="Percent 4 5 5 4 5" xfId="11495"/>
    <cellStyle name="Percent 4 5 5 5" xfId="11496"/>
    <cellStyle name="Percent 4 5 5 5 2" xfId="11497"/>
    <cellStyle name="Percent 4 5 5 5 2 2" xfId="11498"/>
    <cellStyle name="Percent 4 5 5 5 3" xfId="11499"/>
    <cellStyle name="Percent 4 5 5 5 3 2" xfId="11500"/>
    <cellStyle name="Percent 4 5 5 5 4" xfId="11501"/>
    <cellStyle name="Percent 4 5 5 6" xfId="11502"/>
    <cellStyle name="Percent 4 5 5 6 2" xfId="11503"/>
    <cellStyle name="Percent 4 5 5 7" xfId="11504"/>
    <cellStyle name="Percent 4 5 5 7 2" xfId="11505"/>
    <cellStyle name="Percent 4 5 5 8" xfId="11506"/>
    <cellStyle name="Percent 4 5 5 8 2" xfId="11507"/>
    <cellStyle name="Percent 4 5 5 9" xfId="11508"/>
    <cellStyle name="Percent 4 5 6 11" xfId="11509"/>
    <cellStyle name="Percent 4 5 6 10" xfId="11510"/>
    <cellStyle name="Percent 4 5 6 2" xfId="11511"/>
    <cellStyle name="Percent 4 5 6 2 2" xfId="11512"/>
    <cellStyle name="Percent 4 5 6 2 2 2" xfId="11513"/>
    <cellStyle name="Percent 4 5 6 2 3" xfId="11514"/>
    <cellStyle name="Percent 4 5 6 2 3 2" xfId="11515"/>
    <cellStyle name="Percent 4 5 6 2 4" xfId="11516"/>
    <cellStyle name="Percent 4 5 6 3" xfId="11517"/>
    <cellStyle name="Percent 4 5 6 3 2" xfId="11518"/>
    <cellStyle name="Percent 4 5 6 3 2 2" xfId="11519"/>
    <cellStyle name="Percent 4 5 6 3 3" xfId="11520"/>
    <cellStyle name="Percent 4 5 6 3 3 2" xfId="11521"/>
    <cellStyle name="Percent 4 5 6 3 4" xfId="11522"/>
    <cellStyle name="Percent 4 5 6 4" xfId="11523"/>
    <cellStyle name="Percent 4 5 6 4 2" xfId="11524"/>
    <cellStyle name="Percent 4 5 6 4 2 2" xfId="11525"/>
    <cellStyle name="Percent 4 5 6 4 3" xfId="11526"/>
    <cellStyle name="Percent 4 5 6 4 3 2" xfId="11527"/>
    <cellStyle name="Percent 4 5 6 4 4" xfId="11528"/>
    <cellStyle name="Percent 4 5 6 4 4 2" xfId="11529"/>
    <cellStyle name="Percent 4 5 6 4 5" xfId="11530"/>
    <cellStyle name="Percent 4 5 6 5" xfId="11531"/>
    <cellStyle name="Percent 4 5 6 5 2" xfId="11532"/>
    <cellStyle name="Percent 4 5 6 5 2 2" xfId="11533"/>
    <cellStyle name="Percent 4 5 6 5 3" xfId="11534"/>
    <cellStyle name="Percent 4 5 6 5 3 2" xfId="11535"/>
    <cellStyle name="Percent 4 5 6 5 4" xfId="11536"/>
    <cellStyle name="Percent 4 5 6 6" xfId="11537"/>
    <cellStyle name="Percent 4 5 6 6 2" xfId="11538"/>
    <cellStyle name="Percent 4 5 6 7" xfId="11539"/>
    <cellStyle name="Percent 4 5 6 7 2" xfId="11540"/>
    <cellStyle name="Percent 4 5 6 8" xfId="11541"/>
    <cellStyle name="Percent 4 5 6 8 2" xfId="11542"/>
    <cellStyle name="Percent 4 5 6 9" xfId="11543"/>
    <cellStyle name="Percent 4 5 7 11" xfId="11544"/>
    <cellStyle name="Percent 4 5 7 10" xfId="11545"/>
    <cellStyle name="Percent 4 5 7 2" xfId="11546"/>
    <cellStyle name="Percent 4 5 7 2 2" xfId="11547"/>
    <cellStyle name="Percent 4 5 7 2 2 2" xfId="11548"/>
    <cellStyle name="Percent 4 5 7 2 3" xfId="11549"/>
    <cellStyle name="Percent 4 5 7 2 3 2" xfId="11550"/>
    <cellStyle name="Percent 4 5 7 2 4" xfId="11551"/>
    <cellStyle name="Percent 4 5 7 3" xfId="11552"/>
    <cellStyle name="Percent 4 5 7 3 2" xfId="11553"/>
    <cellStyle name="Percent 4 5 7 3 2 2" xfId="11554"/>
    <cellStyle name="Percent 4 5 7 3 3" xfId="11555"/>
    <cellStyle name="Percent 4 5 7 3 3 2" xfId="11556"/>
    <cellStyle name="Percent 4 5 7 3 4" xfId="11557"/>
    <cellStyle name="Percent 4 5 7 4" xfId="11558"/>
    <cellStyle name="Percent 4 5 7 4 2" xfId="11559"/>
    <cellStyle name="Percent 4 5 7 4 2 2" xfId="11560"/>
    <cellStyle name="Percent 4 5 7 4 3" xfId="11561"/>
    <cellStyle name="Percent 4 5 7 4 3 2" xfId="11562"/>
    <cellStyle name="Percent 4 5 7 4 4" xfId="11563"/>
    <cellStyle name="Percent 4 5 7 4 4 2" xfId="11564"/>
    <cellStyle name="Percent 4 5 7 4 5" xfId="11565"/>
    <cellStyle name="Percent 4 5 7 5" xfId="11566"/>
    <cellStyle name="Percent 4 5 7 5 2" xfId="11567"/>
    <cellStyle name="Percent 4 5 7 5 2 2" xfId="11568"/>
    <cellStyle name="Percent 4 5 7 5 3" xfId="11569"/>
    <cellStyle name="Percent 4 5 7 5 3 2" xfId="11570"/>
    <cellStyle name="Percent 4 5 7 5 4" xfId="11571"/>
    <cellStyle name="Percent 4 5 7 6" xfId="11572"/>
    <cellStyle name="Percent 4 5 7 6 2" xfId="11573"/>
    <cellStyle name="Percent 4 5 7 7" xfId="11574"/>
    <cellStyle name="Percent 4 5 7 7 2" xfId="11575"/>
    <cellStyle name="Percent 4 5 7 8" xfId="11576"/>
    <cellStyle name="Percent 4 5 7 8 2" xfId="11577"/>
    <cellStyle name="Percent 4 5 7 9" xfId="11578"/>
    <cellStyle name="Percent 4 5 8 11" xfId="11579"/>
    <cellStyle name="Percent 4 5 8 10" xfId="11580"/>
    <cellStyle name="Percent 4 5 8 2" xfId="11581"/>
    <cellStyle name="Percent 4 5 8 2 2" xfId="11582"/>
    <cellStyle name="Percent 4 5 8 2 2 2" xfId="11583"/>
    <cellStyle name="Percent 4 5 8 2 3" xfId="11584"/>
    <cellStyle name="Percent 4 5 8 2 3 2" xfId="11585"/>
    <cellStyle name="Percent 4 5 8 2 4" xfId="11586"/>
    <cellStyle name="Percent 4 5 8 3" xfId="11587"/>
    <cellStyle name="Percent 4 5 8 3 2" xfId="11588"/>
    <cellStyle name="Percent 4 5 8 3 2 2" xfId="11589"/>
    <cellStyle name="Percent 4 5 8 3 3" xfId="11590"/>
    <cellStyle name="Percent 4 5 8 3 3 2" xfId="11591"/>
    <cellStyle name="Percent 4 5 8 3 4" xfId="11592"/>
    <cellStyle name="Percent 4 5 8 4" xfId="11593"/>
    <cellStyle name="Percent 4 5 8 4 2" xfId="11594"/>
    <cellStyle name="Percent 4 5 8 4 2 2" xfId="11595"/>
    <cellStyle name="Percent 4 5 8 4 3" xfId="11596"/>
    <cellStyle name="Percent 4 5 8 4 3 2" xfId="11597"/>
    <cellStyle name="Percent 4 5 8 4 4" xfId="11598"/>
    <cellStyle name="Percent 4 5 8 4 4 2" xfId="11599"/>
    <cellStyle name="Percent 4 5 8 4 5" xfId="11600"/>
    <cellStyle name="Percent 4 5 8 5" xfId="11601"/>
    <cellStyle name="Percent 4 5 8 5 2" xfId="11602"/>
    <cellStyle name="Percent 4 5 8 5 2 2" xfId="11603"/>
    <cellStyle name="Percent 4 5 8 5 3" xfId="11604"/>
    <cellStyle name="Percent 4 5 8 5 3 2" xfId="11605"/>
    <cellStyle name="Percent 4 5 8 5 4" xfId="11606"/>
    <cellStyle name="Percent 4 5 8 6" xfId="11607"/>
    <cellStyle name="Percent 4 5 8 6 2" xfId="11608"/>
    <cellStyle name="Percent 4 5 8 7" xfId="11609"/>
    <cellStyle name="Percent 4 5 8 7 2" xfId="11610"/>
    <cellStyle name="Percent 4 5 8 8" xfId="11611"/>
    <cellStyle name="Percent 4 5 8 8 2" xfId="11612"/>
    <cellStyle name="Percent 4 5 8 9" xfId="11613"/>
    <cellStyle name="Percent 4 5 9" xfId="11614"/>
    <cellStyle name="Percent 4 5 9 2" xfId="11615"/>
    <cellStyle name="Percent 4 5 9 2 2" xfId="11616"/>
    <cellStyle name="Percent 4 5 9 3" xfId="11617"/>
    <cellStyle name="Percent 4 5 9 3 2" xfId="11618"/>
    <cellStyle name="Percent 4 5 9 4" xfId="11619"/>
    <cellStyle name="Percent 4 5 9 5" xfId="11620"/>
    <cellStyle name="Percent 4 6 19" xfId="11621"/>
    <cellStyle name="Percent 4 6 10" xfId="11622"/>
    <cellStyle name="Percent 4 6 10 2" xfId="11623"/>
    <cellStyle name="Percent 4 6 10 2 2" xfId="11624"/>
    <cellStyle name="Percent 4 6 10 3" xfId="11625"/>
    <cellStyle name="Percent 4 6 10 3 2" xfId="11626"/>
    <cellStyle name="Percent 4 6 10 4" xfId="11627"/>
    <cellStyle name="Percent 4 6 11" xfId="11628"/>
    <cellStyle name="Percent 4 6 11 2" xfId="11629"/>
    <cellStyle name="Percent 4 6 11 2 2" xfId="11630"/>
    <cellStyle name="Percent 4 6 11 3" xfId="11631"/>
    <cellStyle name="Percent 4 6 11 3 2" xfId="11632"/>
    <cellStyle name="Percent 4 6 11 4" xfId="11633"/>
    <cellStyle name="Percent 4 6 12" xfId="11634"/>
    <cellStyle name="Percent 4 6 12 2" xfId="11635"/>
    <cellStyle name="Percent 4 6 12 2 2" xfId="11636"/>
    <cellStyle name="Percent 4 6 12 3" xfId="11637"/>
    <cellStyle name="Percent 4 6 12 3 2" xfId="11638"/>
    <cellStyle name="Percent 4 6 12 4" xfId="11639"/>
    <cellStyle name="Percent 4 6 12 4 2" xfId="11640"/>
    <cellStyle name="Percent 4 6 12 5" xfId="11641"/>
    <cellStyle name="Percent 4 6 13" xfId="11642"/>
    <cellStyle name="Percent 4 6 13 2" xfId="11643"/>
    <cellStyle name="Percent 4 6 13 2 2" xfId="11644"/>
    <cellStyle name="Percent 4 6 13 3" xfId="11645"/>
    <cellStyle name="Percent 4 6 13 3 2" xfId="11646"/>
    <cellStyle name="Percent 4 6 13 4" xfId="11647"/>
    <cellStyle name="Percent 4 6 14" xfId="11648"/>
    <cellStyle name="Percent 4 6 14 2" xfId="11649"/>
    <cellStyle name="Percent 4 6 15" xfId="11650"/>
    <cellStyle name="Percent 4 6 15 2" xfId="11651"/>
    <cellStyle name="Percent 4 6 16" xfId="11652"/>
    <cellStyle name="Percent 4 6 16 2" xfId="11653"/>
    <cellStyle name="Percent 4 6 17" xfId="11654"/>
    <cellStyle name="Percent 4 6 18" xfId="11655"/>
    <cellStyle name="Percent 4 6 2 11" xfId="11656"/>
    <cellStyle name="Percent 4 6 2 10" xfId="11657"/>
    <cellStyle name="Percent 4 6 2 2" xfId="11658"/>
    <cellStyle name="Percent 4 6 2 2 2" xfId="11659"/>
    <cellStyle name="Percent 4 6 2 2 2 2" xfId="11660"/>
    <cellStyle name="Percent 4 6 2 2 3" xfId="11661"/>
    <cellStyle name="Percent 4 6 2 2 3 2" xfId="11662"/>
    <cellStyle name="Percent 4 6 2 2 4" xfId="11663"/>
    <cellStyle name="Percent 4 6 2 3" xfId="11664"/>
    <cellStyle name="Percent 4 6 2 3 2" xfId="11665"/>
    <cellStyle name="Percent 4 6 2 3 2 2" xfId="11666"/>
    <cellStyle name="Percent 4 6 2 3 3" xfId="11667"/>
    <cellStyle name="Percent 4 6 2 3 3 2" xfId="11668"/>
    <cellStyle name="Percent 4 6 2 3 4" xfId="11669"/>
    <cellStyle name="Percent 4 6 2 4" xfId="11670"/>
    <cellStyle name="Percent 4 6 2 4 2" xfId="11671"/>
    <cellStyle name="Percent 4 6 2 4 2 2" xfId="11672"/>
    <cellStyle name="Percent 4 6 2 4 3" xfId="11673"/>
    <cellStyle name="Percent 4 6 2 4 3 2" xfId="11674"/>
    <cellStyle name="Percent 4 6 2 4 4" xfId="11675"/>
    <cellStyle name="Percent 4 6 2 4 4 2" xfId="11676"/>
    <cellStyle name="Percent 4 6 2 4 5" xfId="11677"/>
    <cellStyle name="Percent 4 6 2 5" xfId="11678"/>
    <cellStyle name="Percent 4 6 2 5 2" xfId="11679"/>
    <cellStyle name="Percent 4 6 2 5 2 2" xfId="11680"/>
    <cellStyle name="Percent 4 6 2 5 3" xfId="11681"/>
    <cellStyle name="Percent 4 6 2 5 3 2" xfId="11682"/>
    <cellStyle name="Percent 4 6 2 5 4" xfId="11683"/>
    <cellStyle name="Percent 4 6 2 6" xfId="11684"/>
    <cellStyle name="Percent 4 6 2 6 2" xfId="11685"/>
    <cellStyle name="Percent 4 6 2 7" xfId="11686"/>
    <cellStyle name="Percent 4 6 2 7 2" xfId="11687"/>
    <cellStyle name="Percent 4 6 2 8" xfId="11688"/>
    <cellStyle name="Percent 4 6 2 8 2" xfId="11689"/>
    <cellStyle name="Percent 4 6 2 9" xfId="11690"/>
    <cellStyle name="Percent 4 6 3 11" xfId="11691"/>
    <cellStyle name="Percent 4 6 3 10" xfId="11692"/>
    <cellStyle name="Percent 4 6 3 2" xfId="11693"/>
    <cellStyle name="Percent 4 6 3 2 2" xfId="11694"/>
    <cellStyle name="Percent 4 6 3 2 2 2" xfId="11695"/>
    <cellStyle name="Percent 4 6 3 2 3" xfId="11696"/>
    <cellStyle name="Percent 4 6 3 2 3 2" xfId="11697"/>
    <cellStyle name="Percent 4 6 3 2 4" xfId="11698"/>
    <cellStyle name="Percent 4 6 3 3" xfId="11699"/>
    <cellStyle name="Percent 4 6 3 3 2" xfId="11700"/>
    <cellStyle name="Percent 4 6 3 3 2 2" xfId="11701"/>
    <cellStyle name="Percent 4 6 3 3 3" xfId="11702"/>
    <cellStyle name="Percent 4 6 3 3 3 2" xfId="11703"/>
    <cellStyle name="Percent 4 6 3 3 4" xfId="11704"/>
    <cellStyle name="Percent 4 6 3 4" xfId="11705"/>
    <cellStyle name="Percent 4 6 3 4 2" xfId="11706"/>
    <cellStyle name="Percent 4 6 3 4 2 2" xfId="11707"/>
    <cellStyle name="Percent 4 6 3 4 3" xfId="11708"/>
    <cellStyle name="Percent 4 6 3 4 3 2" xfId="11709"/>
    <cellStyle name="Percent 4 6 3 4 4" xfId="11710"/>
    <cellStyle name="Percent 4 6 3 4 4 2" xfId="11711"/>
    <cellStyle name="Percent 4 6 3 4 5" xfId="11712"/>
    <cellStyle name="Percent 4 6 3 5" xfId="11713"/>
    <cellStyle name="Percent 4 6 3 5 2" xfId="11714"/>
    <cellStyle name="Percent 4 6 3 5 2 2" xfId="11715"/>
    <cellStyle name="Percent 4 6 3 5 3" xfId="11716"/>
    <cellStyle name="Percent 4 6 3 5 3 2" xfId="11717"/>
    <cellStyle name="Percent 4 6 3 5 4" xfId="11718"/>
    <cellStyle name="Percent 4 6 3 6" xfId="11719"/>
    <cellStyle name="Percent 4 6 3 6 2" xfId="11720"/>
    <cellStyle name="Percent 4 6 3 7" xfId="11721"/>
    <cellStyle name="Percent 4 6 3 7 2" xfId="11722"/>
    <cellStyle name="Percent 4 6 3 8" xfId="11723"/>
    <cellStyle name="Percent 4 6 3 8 2" xfId="11724"/>
    <cellStyle name="Percent 4 6 3 9" xfId="11725"/>
    <cellStyle name="Percent 4 6 4 11" xfId="11726"/>
    <cellStyle name="Percent 4 6 4 10" xfId="11727"/>
    <cellStyle name="Percent 4 6 4 2" xfId="11728"/>
    <cellStyle name="Percent 4 6 4 2 2" xfId="11729"/>
    <cellStyle name="Percent 4 6 4 2 2 2" xfId="11730"/>
    <cellStyle name="Percent 4 6 4 2 3" xfId="11731"/>
    <cellStyle name="Percent 4 6 4 2 3 2" xfId="11732"/>
    <cellStyle name="Percent 4 6 4 2 4" xfId="11733"/>
    <cellStyle name="Percent 4 6 4 3" xfId="11734"/>
    <cellStyle name="Percent 4 6 4 3 2" xfId="11735"/>
    <cellStyle name="Percent 4 6 4 3 2 2" xfId="11736"/>
    <cellStyle name="Percent 4 6 4 3 3" xfId="11737"/>
    <cellStyle name="Percent 4 6 4 3 3 2" xfId="11738"/>
    <cellStyle name="Percent 4 6 4 3 4" xfId="11739"/>
    <cellStyle name="Percent 4 6 4 4" xfId="11740"/>
    <cellStyle name="Percent 4 6 4 4 2" xfId="11741"/>
    <cellStyle name="Percent 4 6 4 4 2 2" xfId="11742"/>
    <cellStyle name="Percent 4 6 4 4 3" xfId="11743"/>
    <cellStyle name="Percent 4 6 4 4 3 2" xfId="11744"/>
    <cellStyle name="Percent 4 6 4 4 4" xfId="11745"/>
    <cellStyle name="Percent 4 6 4 4 4 2" xfId="11746"/>
    <cellStyle name="Percent 4 6 4 4 5" xfId="11747"/>
    <cellStyle name="Percent 4 6 4 5" xfId="11748"/>
    <cellStyle name="Percent 4 6 4 5 2" xfId="11749"/>
    <cellStyle name="Percent 4 6 4 5 2 2" xfId="11750"/>
    <cellStyle name="Percent 4 6 4 5 3" xfId="11751"/>
    <cellStyle name="Percent 4 6 4 5 3 2" xfId="11752"/>
    <cellStyle name="Percent 4 6 4 5 4" xfId="11753"/>
    <cellStyle name="Percent 4 6 4 6" xfId="11754"/>
    <cellStyle name="Percent 4 6 4 6 2" xfId="11755"/>
    <cellStyle name="Percent 4 6 4 7" xfId="11756"/>
    <cellStyle name="Percent 4 6 4 7 2" xfId="11757"/>
    <cellStyle name="Percent 4 6 4 8" xfId="11758"/>
    <cellStyle name="Percent 4 6 4 8 2" xfId="11759"/>
    <cellStyle name="Percent 4 6 4 9" xfId="11760"/>
    <cellStyle name="Percent 4 6 5 11" xfId="11761"/>
    <cellStyle name="Percent 4 6 5 10" xfId="11762"/>
    <cellStyle name="Percent 4 6 5 2" xfId="11763"/>
    <cellStyle name="Percent 4 6 5 2 2" xfId="11764"/>
    <cellStyle name="Percent 4 6 5 2 2 2" xfId="11765"/>
    <cellStyle name="Percent 4 6 5 2 3" xfId="11766"/>
    <cellStyle name="Percent 4 6 5 2 3 2" xfId="11767"/>
    <cellStyle name="Percent 4 6 5 2 4" xfId="11768"/>
    <cellStyle name="Percent 4 6 5 3" xfId="11769"/>
    <cellStyle name="Percent 4 6 5 3 2" xfId="11770"/>
    <cellStyle name="Percent 4 6 5 3 2 2" xfId="11771"/>
    <cellStyle name="Percent 4 6 5 3 3" xfId="11772"/>
    <cellStyle name="Percent 4 6 5 3 3 2" xfId="11773"/>
    <cellStyle name="Percent 4 6 5 3 4" xfId="11774"/>
    <cellStyle name="Percent 4 6 5 4" xfId="11775"/>
    <cellStyle name="Percent 4 6 5 4 2" xfId="11776"/>
    <cellStyle name="Percent 4 6 5 4 2 2" xfId="11777"/>
    <cellStyle name="Percent 4 6 5 4 3" xfId="11778"/>
    <cellStyle name="Percent 4 6 5 4 3 2" xfId="11779"/>
    <cellStyle name="Percent 4 6 5 4 4" xfId="11780"/>
    <cellStyle name="Percent 4 6 5 4 4 2" xfId="11781"/>
    <cellStyle name="Percent 4 6 5 4 5" xfId="11782"/>
    <cellStyle name="Percent 4 6 5 5" xfId="11783"/>
    <cellStyle name="Percent 4 6 5 5 2" xfId="11784"/>
    <cellStyle name="Percent 4 6 5 5 2 2" xfId="11785"/>
    <cellStyle name="Percent 4 6 5 5 3" xfId="11786"/>
    <cellStyle name="Percent 4 6 5 5 3 2" xfId="11787"/>
    <cellStyle name="Percent 4 6 5 5 4" xfId="11788"/>
    <cellStyle name="Percent 4 6 5 6" xfId="11789"/>
    <cellStyle name="Percent 4 6 5 6 2" xfId="11790"/>
    <cellStyle name="Percent 4 6 5 7" xfId="11791"/>
    <cellStyle name="Percent 4 6 5 7 2" xfId="11792"/>
    <cellStyle name="Percent 4 6 5 8" xfId="11793"/>
    <cellStyle name="Percent 4 6 5 8 2" xfId="11794"/>
    <cellStyle name="Percent 4 6 5 9" xfId="11795"/>
    <cellStyle name="Percent 4 6 6 11" xfId="11796"/>
    <cellStyle name="Percent 4 6 6 10" xfId="11797"/>
    <cellStyle name="Percent 4 6 6 2" xfId="11798"/>
    <cellStyle name="Percent 4 6 6 2 2" xfId="11799"/>
    <cellStyle name="Percent 4 6 6 2 2 2" xfId="11800"/>
    <cellStyle name="Percent 4 6 6 2 3" xfId="11801"/>
    <cellStyle name="Percent 4 6 6 2 3 2" xfId="11802"/>
    <cellStyle name="Percent 4 6 6 2 4" xfId="11803"/>
    <cellStyle name="Percent 4 6 6 3" xfId="11804"/>
    <cellStyle name="Percent 4 6 6 3 2" xfId="11805"/>
    <cellStyle name="Percent 4 6 6 3 2 2" xfId="11806"/>
    <cellStyle name="Percent 4 6 6 3 3" xfId="11807"/>
    <cellStyle name="Percent 4 6 6 3 3 2" xfId="11808"/>
    <cellStyle name="Percent 4 6 6 3 4" xfId="11809"/>
    <cellStyle name="Percent 4 6 6 4" xfId="11810"/>
    <cellStyle name="Percent 4 6 6 4 2" xfId="11811"/>
    <cellStyle name="Percent 4 6 6 4 2 2" xfId="11812"/>
    <cellStyle name="Percent 4 6 6 4 3" xfId="11813"/>
    <cellStyle name="Percent 4 6 6 4 3 2" xfId="11814"/>
    <cellStyle name="Percent 4 6 6 4 4" xfId="11815"/>
    <cellStyle name="Percent 4 6 6 4 4 2" xfId="11816"/>
    <cellStyle name="Percent 4 6 6 4 5" xfId="11817"/>
    <cellStyle name="Percent 4 6 6 5" xfId="11818"/>
    <cellStyle name="Percent 4 6 6 5 2" xfId="11819"/>
    <cellStyle name="Percent 4 6 6 5 2 2" xfId="11820"/>
    <cellStyle name="Percent 4 6 6 5 3" xfId="11821"/>
    <cellStyle name="Percent 4 6 6 5 3 2" xfId="11822"/>
    <cellStyle name="Percent 4 6 6 5 4" xfId="11823"/>
    <cellStyle name="Percent 4 6 6 6" xfId="11824"/>
    <cellStyle name="Percent 4 6 6 6 2" xfId="11825"/>
    <cellStyle name="Percent 4 6 6 7" xfId="11826"/>
    <cellStyle name="Percent 4 6 6 7 2" xfId="11827"/>
    <cellStyle name="Percent 4 6 6 8" xfId="11828"/>
    <cellStyle name="Percent 4 6 6 8 2" xfId="11829"/>
    <cellStyle name="Percent 4 6 6 9" xfId="11830"/>
    <cellStyle name="Percent 4 6 7 11" xfId="11831"/>
    <cellStyle name="Percent 4 6 7 10" xfId="11832"/>
    <cellStyle name="Percent 4 6 7 2" xfId="11833"/>
    <cellStyle name="Percent 4 6 7 2 2" xfId="11834"/>
    <cellStyle name="Percent 4 6 7 2 2 2" xfId="11835"/>
    <cellStyle name="Percent 4 6 7 2 3" xfId="11836"/>
    <cellStyle name="Percent 4 6 7 2 3 2" xfId="11837"/>
    <cellStyle name="Percent 4 6 7 2 4" xfId="11838"/>
    <cellStyle name="Percent 4 6 7 3" xfId="11839"/>
    <cellStyle name="Percent 4 6 7 3 2" xfId="11840"/>
    <cellStyle name="Percent 4 6 7 3 2 2" xfId="11841"/>
    <cellStyle name="Percent 4 6 7 3 3" xfId="11842"/>
    <cellStyle name="Percent 4 6 7 3 3 2" xfId="11843"/>
    <cellStyle name="Percent 4 6 7 3 4" xfId="11844"/>
    <cellStyle name="Percent 4 6 7 4" xfId="11845"/>
    <cellStyle name="Percent 4 6 7 4 2" xfId="11846"/>
    <cellStyle name="Percent 4 6 7 4 2 2" xfId="11847"/>
    <cellStyle name="Percent 4 6 7 4 3" xfId="11848"/>
    <cellStyle name="Percent 4 6 7 4 3 2" xfId="11849"/>
    <cellStyle name="Percent 4 6 7 4 4" xfId="11850"/>
    <cellStyle name="Percent 4 6 7 4 4 2" xfId="11851"/>
    <cellStyle name="Percent 4 6 7 4 5" xfId="11852"/>
    <cellStyle name="Percent 4 6 7 5" xfId="11853"/>
    <cellStyle name="Percent 4 6 7 5 2" xfId="11854"/>
    <cellStyle name="Percent 4 6 7 5 2 2" xfId="11855"/>
    <cellStyle name="Percent 4 6 7 5 3" xfId="11856"/>
    <cellStyle name="Percent 4 6 7 5 3 2" xfId="11857"/>
    <cellStyle name="Percent 4 6 7 5 4" xfId="11858"/>
    <cellStyle name="Percent 4 6 7 6" xfId="11859"/>
    <cellStyle name="Percent 4 6 7 6 2" xfId="11860"/>
    <cellStyle name="Percent 4 6 7 7" xfId="11861"/>
    <cellStyle name="Percent 4 6 7 7 2" xfId="11862"/>
    <cellStyle name="Percent 4 6 7 8" xfId="11863"/>
    <cellStyle name="Percent 4 6 7 8 2" xfId="11864"/>
    <cellStyle name="Percent 4 6 7 9" xfId="11865"/>
    <cellStyle name="Percent 4 6 8 11" xfId="11866"/>
    <cellStyle name="Percent 4 6 8 10" xfId="11867"/>
    <cellStyle name="Percent 4 6 8 2" xfId="11868"/>
    <cellStyle name="Percent 4 6 8 2 2" xfId="11869"/>
    <cellStyle name="Percent 4 6 8 2 2 2" xfId="11870"/>
    <cellStyle name="Percent 4 6 8 2 3" xfId="11871"/>
    <cellStyle name="Percent 4 6 8 2 3 2" xfId="11872"/>
    <cellStyle name="Percent 4 6 8 2 4" xfId="11873"/>
    <cellStyle name="Percent 4 6 8 3" xfId="11874"/>
    <cellStyle name="Percent 4 6 8 3 2" xfId="11875"/>
    <cellStyle name="Percent 4 6 8 3 2 2" xfId="11876"/>
    <cellStyle name="Percent 4 6 8 3 3" xfId="11877"/>
    <cellStyle name="Percent 4 6 8 3 3 2" xfId="11878"/>
    <cellStyle name="Percent 4 6 8 3 4" xfId="11879"/>
    <cellStyle name="Percent 4 6 8 4" xfId="11880"/>
    <cellStyle name="Percent 4 6 8 4 2" xfId="11881"/>
    <cellStyle name="Percent 4 6 8 4 2 2" xfId="11882"/>
    <cellStyle name="Percent 4 6 8 4 3" xfId="11883"/>
    <cellStyle name="Percent 4 6 8 4 3 2" xfId="11884"/>
    <cellStyle name="Percent 4 6 8 4 4" xfId="11885"/>
    <cellStyle name="Percent 4 6 8 4 4 2" xfId="11886"/>
    <cellStyle name="Percent 4 6 8 4 5" xfId="11887"/>
    <cellStyle name="Percent 4 6 8 5" xfId="11888"/>
    <cellStyle name="Percent 4 6 8 5 2" xfId="11889"/>
    <cellStyle name="Percent 4 6 8 5 2 2" xfId="11890"/>
    <cellStyle name="Percent 4 6 8 5 3" xfId="11891"/>
    <cellStyle name="Percent 4 6 8 5 3 2" xfId="11892"/>
    <cellStyle name="Percent 4 6 8 5 4" xfId="11893"/>
    <cellStyle name="Percent 4 6 8 6" xfId="11894"/>
    <cellStyle name="Percent 4 6 8 6 2" xfId="11895"/>
    <cellStyle name="Percent 4 6 8 7" xfId="11896"/>
    <cellStyle name="Percent 4 6 8 7 2" xfId="11897"/>
    <cellStyle name="Percent 4 6 8 8" xfId="11898"/>
    <cellStyle name="Percent 4 6 8 8 2" xfId="11899"/>
    <cellStyle name="Percent 4 6 8 9" xfId="11900"/>
    <cellStyle name="Percent 4 6 9" xfId="11901"/>
    <cellStyle name="Percent 4 6 9 2" xfId="11902"/>
    <cellStyle name="Percent 4 6 9 2 2" xfId="11903"/>
    <cellStyle name="Percent 4 6 9 3" xfId="11904"/>
    <cellStyle name="Percent 4 6 9 3 2" xfId="11905"/>
    <cellStyle name="Percent 4 6 9 4" xfId="11906"/>
    <cellStyle name="Percent 4 6 9 5" xfId="11907"/>
    <cellStyle name="Percent 4 7 12" xfId="11908"/>
    <cellStyle name="Percent 4 7 10" xfId="11909"/>
    <cellStyle name="Percent 4 7 11" xfId="11910"/>
    <cellStyle name="Percent 4 7 2" xfId="11911"/>
    <cellStyle name="Percent 4 7 2 2" xfId="11912"/>
    <cellStyle name="Percent 4 7 2 2 2" xfId="11913"/>
    <cellStyle name="Percent 4 7 2 3" xfId="11914"/>
    <cellStyle name="Percent 4 7 2 3 2" xfId="11915"/>
    <cellStyle name="Percent 4 7 2 4" xfId="11916"/>
    <cellStyle name="Percent 4 7 2 5" xfId="11917"/>
    <cellStyle name="Percent 4 7 3" xfId="11918"/>
    <cellStyle name="Percent 4 7 3 2" xfId="11919"/>
    <cellStyle name="Percent 4 7 3 2 2" xfId="11920"/>
    <cellStyle name="Percent 4 7 3 3" xfId="11921"/>
    <cellStyle name="Percent 4 7 3 3 2" xfId="11922"/>
    <cellStyle name="Percent 4 7 3 4" xfId="11923"/>
    <cellStyle name="Percent 4 7 4" xfId="11924"/>
    <cellStyle name="Percent 4 7 4 2" xfId="11925"/>
    <cellStyle name="Percent 4 7 4 2 2" xfId="11926"/>
    <cellStyle name="Percent 4 7 4 3" xfId="11927"/>
    <cellStyle name="Percent 4 7 4 3 2" xfId="11928"/>
    <cellStyle name="Percent 4 7 4 4" xfId="11929"/>
    <cellStyle name="Percent 4 7 5" xfId="11930"/>
    <cellStyle name="Percent 4 7 5 2" xfId="11931"/>
    <cellStyle name="Percent 4 7 5 2 2" xfId="11932"/>
    <cellStyle name="Percent 4 7 5 3" xfId="11933"/>
    <cellStyle name="Percent 4 7 5 3 2" xfId="11934"/>
    <cellStyle name="Percent 4 7 5 4" xfId="11935"/>
    <cellStyle name="Percent 4 7 5 4 2" xfId="11936"/>
    <cellStyle name="Percent 4 7 5 5" xfId="11937"/>
    <cellStyle name="Percent 4 7 6" xfId="11938"/>
    <cellStyle name="Percent 4 7 6 2" xfId="11939"/>
    <cellStyle name="Percent 4 7 6 2 2" xfId="11940"/>
    <cellStyle name="Percent 4 7 6 3" xfId="11941"/>
    <cellStyle name="Percent 4 7 6 3 2" xfId="11942"/>
    <cellStyle name="Percent 4 7 6 4" xfId="11943"/>
    <cellStyle name="Percent 4 7 7" xfId="11944"/>
    <cellStyle name="Percent 4 7 7 2" xfId="11945"/>
    <cellStyle name="Percent 4 7 8" xfId="11946"/>
    <cellStyle name="Percent 4 7 8 2" xfId="11947"/>
    <cellStyle name="Percent 4 7 9" xfId="11948"/>
    <cellStyle name="Percent 4 7 9 2" xfId="11949"/>
    <cellStyle name="Percent 4 8 12" xfId="11950"/>
    <cellStyle name="Percent 4 8 10" xfId="11951"/>
    <cellStyle name="Percent 4 8 11" xfId="11952"/>
    <cellStyle name="Percent 4 8 2" xfId="11953"/>
    <cellStyle name="Percent 4 8 2 2" xfId="11954"/>
    <cellStyle name="Percent 4 8 2 2 2" xfId="11955"/>
    <cellStyle name="Percent 4 8 2 3" xfId="11956"/>
    <cellStyle name="Percent 4 8 2 3 2" xfId="11957"/>
    <cellStyle name="Percent 4 8 2 4" xfId="11958"/>
    <cellStyle name="Percent 4 8 2 5" xfId="11959"/>
    <cellStyle name="Percent 4 8 3" xfId="11960"/>
    <cellStyle name="Percent 4 8 3 2" xfId="11961"/>
    <cellStyle name="Percent 4 8 3 2 2" xfId="11962"/>
    <cellStyle name="Percent 4 8 3 3" xfId="11963"/>
    <cellStyle name="Percent 4 8 3 3 2" xfId="11964"/>
    <cellStyle name="Percent 4 8 3 4" xfId="11965"/>
    <cellStyle name="Percent 4 8 4" xfId="11966"/>
    <cellStyle name="Percent 4 8 4 2" xfId="11967"/>
    <cellStyle name="Percent 4 8 4 2 2" xfId="11968"/>
    <cellStyle name="Percent 4 8 4 3" xfId="11969"/>
    <cellStyle name="Percent 4 8 4 3 2" xfId="11970"/>
    <cellStyle name="Percent 4 8 4 4" xfId="11971"/>
    <cellStyle name="Percent 4 8 5" xfId="11972"/>
    <cellStyle name="Percent 4 8 5 2" xfId="11973"/>
    <cellStyle name="Percent 4 8 5 2 2" xfId="11974"/>
    <cellStyle name="Percent 4 8 5 3" xfId="11975"/>
    <cellStyle name="Percent 4 8 5 3 2" xfId="11976"/>
    <cellStyle name="Percent 4 8 5 4" xfId="11977"/>
    <cellStyle name="Percent 4 8 5 4 2" xfId="11978"/>
    <cellStyle name="Percent 4 8 5 5" xfId="11979"/>
    <cellStyle name="Percent 4 8 6" xfId="11980"/>
    <cellStyle name="Percent 4 8 6 2" xfId="11981"/>
    <cellStyle name="Percent 4 8 6 2 2" xfId="11982"/>
    <cellStyle name="Percent 4 8 6 3" xfId="11983"/>
    <cellStyle name="Percent 4 8 6 3 2" xfId="11984"/>
    <cellStyle name="Percent 4 8 6 4" xfId="11985"/>
    <cellStyle name="Percent 4 8 7" xfId="11986"/>
    <cellStyle name="Percent 4 8 7 2" xfId="11987"/>
    <cellStyle name="Percent 4 8 8" xfId="11988"/>
    <cellStyle name="Percent 4 8 8 2" xfId="11989"/>
    <cellStyle name="Percent 4 8 9" xfId="11990"/>
    <cellStyle name="Percent 4 8 9 2" xfId="11991"/>
    <cellStyle name="Percent 4 9 12" xfId="11992"/>
    <cellStyle name="Percent 4 9 10" xfId="11993"/>
    <cellStyle name="Percent 4 9 11" xfId="11994"/>
    <cellStyle name="Percent 4 9 2" xfId="11995"/>
    <cellStyle name="Percent 4 9 2 2" xfId="11996"/>
    <cellStyle name="Percent 4 9 2 2 2" xfId="11997"/>
    <cellStyle name="Percent 4 9 2 3" xfId="11998"/>
    <cellStyle name="Percent 4 9 2 3 2" xfId="11999"/>
    <cellStyle name="Percent 4 9 2 4" xfId="12000"/>
    <cellStyle name="Percent 4 9 2 5" xfId="12001"/>
    <cellStyle name="Percent 4 9 3" xfId="12002"/>
    <cellStyle name="Percent 4 9 3 2" xfId="12003"/>
    <cellStyle name="Percent 4 9 3 2 2" xfId="12004"/>
    <cellStyle name="Percent 4 9 3 3" xfId="12005"/>
    <cellStyle name="Percent 4 9 3 3 2" xfId="12006"/>
    <cellStyle name="Percent 4 9 3 4" xfId="12007"/>
    <cellStyle name="Percent 4 9 4" xfId="12008"/>
    <cellStyle name="Percent 4 9 4 2" xfId="12009"/>
    <cellStyle name="Percent 4 9 4 2 2" xfId="12010"/>
    <cellStyle name="Percent 4 9 4 3" xfId="12011"/>
    <cellStyle name="Percent 4 9 4 3 2" xfId="12012"/>
    <cellStyle name="Percent 4 9 4 4" xfId="12013"/>
    <cellStyle name="Percent 4 9 5" xfId="12014"/>
    <cellStyle name="Percent 4 9 5 2" xfId="12015"/>
    <cellStyle name="Percent 4 9 5 2 2" xfId="12016"/>
    <cellStyle name="Percent 4 9 5 3" xfId="12017"/>
    <cellStyle name="Percent 4 9 5 3 2" xfId="12018"/>
    <cellStyle name="Percent 4 9 5 4" xfId="12019"/>
    <cellStyle name="Percent 4 9 5 4 2" xfId="12020"/>
    <cellStyle name="Percent 4 9 5 5" xfId="12021"/>
    <cellStyle name="Percent 4 9 6" xfId="12022"/>
    <cellStyle name="Percent 4 9 6 2" xfId="12023"/>
    <cellStyle name="Percent 4 9 6 2 2" xfId="12024"/>
    <cellStyle name="Percent 4 9 6 3" xfId="12025"/>
    <cellStyle name="Percent 4 9 6 3 2" xfId="12026"/>
    <cellStyle name="Percent 4 9 6 4" xfId="12027"/>
    <cellStyle name="Percent 4 9 7" xfId="12028"/>
    <cellStyle name="Percent 4 9 7 2" xfId="12029"/>
    <cellStyle name="Percent 4 9 8" xfId="12030"/>
    <cellStyle name="Percent 4 9 8 2" xfId="12031"/>
    <cellStyle name="Percent 4 9 9" xfId="12032"/>
    <cellStyle name="Percent 4 9 9 2" xfId="12033"/>
    <cellStyle name="Percent 5 20" xfId="12034"/>
    <cellStyle name="Percent 5 10 6" xfId="12035"/>
    <cellStyle name="Percent 5 10 2" xfId="12036"/>
    <cellStyle name="Percent 5 10 2 2" xfId="12037"/>
    <cellStyle name="Percent 5 10 3" xfId="12038"/>
    <cellStyle name="Percent 5 10 3 2" xfId="12039"/>
    <cellStyle name="Percent 5 10 4" xfId="12040"/>
    <cellStyle name="Percent 5 10 5" xfId="12041"/>
    <cellStyle name="Percent 5 11 6" xfId="12042"/>
    <cellStyle name="Percent 5 11 2" xfId="12043"/>
    <cellStyle name="Percent 5 11 2 2" xfId="12044"/>
    <cellStyle name="Percent 5 11 3" xfId="12045"/>
    <cellStyle name="Percent 5 11 3 2" xfId="12046"/>
    <cellStyle name="Percent 5 11 4" xfId="12047"/>
    <cellStyle name="Percent 5 11 5" xfId="12048"/>
    <cellStyle name="Percent 5 12" xfId="12049"/>
    <cellStyle name="Percent 5 12 2" xfId="12050"/>
    <cellStyle name="Percent 5 12 2 2" xfId="12051"/>
    <cellStyle name="Percent 5 12 3" xfId="12052"/>
    <cellStyle name="Percent 5 12 3 2" xfId="12053"/>
    <cellStyle name="Percent 5 12 4" xfId="12054"/>
    <cellStyle name="Percent 5 13" xfId="12055"/>
    <cellStyle name="Percent 5 13 2" xfId="12056"/>
    <cellStyle name="Percent 5 13 2 2" xfId="12057"/>
    <cellStyle name="Percent 5 13 3" xfId="12058"/>
    <cellStyle name="Percent 5 13 3 2" xfId="12059"/>
    <cellStyle name="Percent 5 13 4" xfId="12060"/>
    <cellStyle name="Percent 5 13 4 2" xfId="12061"/>
    <cellStyle name="Percent 5 13 5" xfId="12062"/>
    <cellStyle name="Percent 5 14" xfId="12063"/>
    <cellStyle name="Percent 5 14 2" xfId="12064"/>
    <cellStyle name="Percent 5 14 2 2" xfId="12065"/>
    <cellStyle name="Percent 5 14 3" xfId="12066"/>
    <cellStyle name="Percent 5 14 3 2" xfId="12067"/>
    <cellStyle name="Percent 5 14 4" xfId="12068"/>
    <cellStyle name="Percent 5 15" xfId="12069"/>
    <cellStyle name="Percent 5 15 2" xfId="12070"/>
    <cellStyle name="Percent 5 16" xfId="12071"/>
    <cellStyle name="Percent 5 16 2" xfId="12072"/>
    <cellStyle name="Percent 5 17" xfId="12073"/>
    <cellStyle name="Percent 5 17 2" xfId="12074"/>
    <cellStyle name="Percent 5 18" xfId="12075"/>
    <cellStyle name="Percent 5 19" xfId="12076"/>
    <cellStyle name="Percent 5 2 11" xfId="12077"/>
    <cellStyle name="Percent 5 2 10" xfId="12078"/>
    <cellStyle name="Percent 5 2 2" xfId="12079"/>
    <cellStyle name="Percent 5 2 2 2" xfId="12080"/>
    <cellStyle name="Percent 5 2 2 2 2" xfId="12081"/>
    <cellStyle name="Percent 5 2 2 3" xfId="12082"/>
    <cellStyle name="Percent 5 2 2 3 2" xfId="12083"/>
    <cellStyle name="Percent 5 2 2 4" xfId="12084"/>
    <cellStyle name="Percent 5 2 2 5" xfId="12085"/>
    <cellStyle name="Percent 5 2 3" xfId="12086"/>
    <cellStyle name="Percent 5 2 3 2" xfId="12087"/>
    <cellStyle name="Percent 5 2 3 2 2" xfId="12088"/>
    <cellStyle name="Percent 5 2 3 3" xfId="12089"/>
    <cellStyle name="Percent 5 2 3 3 2" xfId="12090"/>
    <cellStyle name="Percent 5 2 3 4" xfId="12091"/>
    <cellStyle name="Percent 5 2 4" xfId="12092"/>
    <cellStyle name="Percent 5 2 4 2" xfId="12093"/>
    <cellStyle name="Percent 5 2 4 2 2" xfId="12094"/>
    <cellStyle name="Percent 5 2 4 3" xfId="12095"/>
    <cellStyle name="Percent 5 2 4 3 2" xfId="12096"/>
    <cellStyle name="Percent 5 2 4 4" xfId="12097"/>
    <cellStyle name="Percent 5 2 4 4 2" xfId="12098"/>
    <cellStyle name="Percent 5 2 4 5" xfId="12099"/>
    <cellStyle name="Percent 5 2 5" xfId="12100"/>
    <cellStyle name="Percent 5 2 5 2" xfId="12101"/>
    <cellStyle name="Percent 5 2 5 2 2" xfId="12102"/>
    <cellStyle name="Percent 5 2 5 3" xfId="12103"/>
    <cellStyle name="Percent 5 2 5 3 2" xfId="12104"/>
    <cellStyle name="Percent 5 2 5 4" xfId="12105"/>
    <cellStyle name="Percent 5 2 6" xfId="12106"/>
    <cellStyle name="Percent 5 2 6 2" xfId="12107"/>
    <cellStyle name="Percent 5 2 7" xfId="12108"/>
    <cellStyle name="Percent 5 2 7 2" xfId="12109"/>
    <cellStyle name="Percent 5 2 8" xfId="12110"/>
    <cellStyle name="Percent 5 2 8 2" xfId="12111"/>
    <cellStyle name="Percent 5 2 9" xfId="12112"/>
    <cellStyle name="Percent 5 3 12" xfId="12113"/>
    <cellStyle name="Percent 5 3 10" xfId="12114"/>
    <cellStyle name="Percent 5 3 11" xfId="12115"/>
    <cellStyle name="Percent 5 3 2 11" xfId="12116"/>
    <cellStyle name="Percent 5 3 2 10" xfId="12117"/>
    <cellStyle name="Percent 5 3 2 2" xfId="12118"/>
    <cellStyle name="Percent 5 3 2 2 2" xfId="12119"/>
    <cellStyle name="Percent 5 3 2 2 2 2" xfId="12120"/>
    <cellStyle name="Percent 5 3 2 2 3" xfId="12121"/>
    <cellStyle name="Percent 5 3 2 2 3 2" xfId="12122"/>
    <cellStyle name="Percent 5 3 2 2 4" xfId="12123"/>
    <cellStyle name="Percent 5 3 2 2 5" xfId="12124"/>
    <cellStyle name="Percent 5 3 2 3" xfId="12125"/>
    <cellStyle name="Percent 5 3 2 3 2" xfId="12126"/>
    <cellStyle name="Percent 5 3 2 3 2 2" xfId="12127"/>
    <cellStyle name="Percent 5 3 2 3 3" xfId="12128"/>
    <cellStyle name="Percent 5 3 2 3 3 2" xfId="12129"/>
    <cellStyle name="Percent 5 3 2 3 4" xfId="12130"/>
    <cellStyle name="Percent 5 3 2 4" xfId="12131"/>
    <cellStyle name="Percent 5 3 2 4 2" xfId="12132"/>
    <cellStyle name="Percent 5 3 2 4 2 2" xfId="12133"/>
    <cellStyle name="Percent 5 3 2 4 3" xfId="12134"/>
    <cellStyle name="Percent 5 3 2 4 3 2" xfId="12135"/>
    <cellStyle name="Percent 5 3 2 4 4" xfId="12136"/>
    <cellStyle name="Percent 5 3 2 4 4 2" xfId="12137"/>
    <cellStyle name="Percent 5 3 2 4 5" xfId="12138"/>
    <cellStyle name="Percent 5 3 2 5" xfId="12139"/>
    <cellStyle name="Percent 5 3 2 5 2" xfId="12140"/>
    <cellStyle name="Percent 5 3 2 5 2 2" xfId="12141"/>
    <cellStyle name="Percent 5 3 2 5 3" xfId="12142"/>
    <cellStyle name="Percent 5 3 2 5 3 2" xfId="12143"/>
    <cellStyle name="Percent 5 3 2 5 4" xfId="12144"/>
    <cellStyle name="Percent 5 3 2 6" xfId="12145"/>
    <cellStyle name="Percent 5 3 2 6 2" xfId="12146"/>
    <cellStyle name="Percent 5 3 2 7" xfId="12147"/>
    <cellStyle name="Percent 5 3 2 7 2" xfId="12148"/>
    <cellStyle name="Percent 5 3 2 8" xfId="12149"/>
    <cellStyle name="Percent 5 3 2 8 2" xfId="12150"/>
    <cellStyle name="Percent 5 3 2 9" xfId="12151"/>
    <cellStyle name="Percent 5 3 3" xfId="12152"/>
    <cellStyle name="Percent 5 3 3 2" xfId="12153"/>
    <cellStyle name="Percent 5 3 3 2 2" xfId="12154"/>
    <cellStyle name="Percent 5 3 3 3" xfId="12155"/>
    <cellStyle name="Percent 5 3 3 3 2" xfId="12156"/>
    <cellStyle name="Percent 5 3 3 4" xfId="12157"/>
    <cellStyle name="Percent 5 3 3 5" xfId="12158"/>
    <cellStyle name="Percent 5 3 4" xfId="12159"/>
    <cellStyle name="Percent 5 3 4 2" xfId="12160"/>
    <cellStyle name="Percent 5 3 4 2 2" xfId="12161"/>
    <cellStyle name="Percent 5 3 4 3" xfId="12162"/>
    <cellStyle name="Percent 5 3 4 3 2" xfId="12163"/>
    <cellStyle name="Percent 5 3 4 4" xfId="12164"/>
    <cellStyle name="Percent 5 3 5" xfId="12165"/>
    <cellStyle name="Percent 5 3 5 2" xfId="12166"/>
    <cellStyle name="Percent 5 3 5 2 2" xfId="12167"/>
    <cellStyle name="Percent 5 3 5 3" xfId="12168"/>
    <cellStyle name="Percent 5 3 5 3 2" xfId="12169"/>
    <cellStyle name="Percent 5 3 5 4" xfId="12170"/>
    <cellStyle name="Percent 5 3 5 4 2" xfId="12171"/>
    <cellStyle name="Percent 5 3 5 5" xfId="12172"/>
    <cellStyle name="Percent 5 3 6" xfId="12173"/>
    <cellStyle name="Percent 5 3 6 2" xfId="12174"/>
    <cellStyle name="Percent 5 3 6 2 2" xfId="12175"/>
    <cellStyle name="Percent 5 3 6 3" xfId="12176"/>
    <cellStyle name="Percent 5 3 6 3 2" xfId="12177"/>
    <cellStyle name="Percent 5 3 6 4" xfId="12178"/>
    <cellStyle name="Percent 5 3 7" xfId="12179"/>
    <cellStyle name="Percent 5 3 7 2" xfId="12180"/>
    <cellStyle name="Percent 5 3 8" xfId="12181"/>
    <cellStyle name="Percent 5 3 8 2" xfId="12182"/>
    <cellStyle name="Percent 5 3 9" xfId="12183"/>
    <cellStyle name="Percent 5 3 9 2" xfId="12184"/>
    <cellStyle name="Percent 5 4 11" xfId="12185"/>
    <cellStyle name="Percent 5 4 10" xfId="12186"/>
    <cellStyle name="Percent 5 4 2 5" xfId="12187"/>
    <cellStyle name="Percent 5 4 2 2" xfId="12188"/>
    <cellStyle name="Percent 5 4 2 2 2" xfId="12189"/>
    <cellStyle name="Percent 5 4 2 3" xfId="12190"/>
    <cellStyle name="Percent 5 4 2 3 2" xfId="12191"/>
    <cellStyle name="Percent 5 4 2 4" xfId="12192"/>
    <cellStyle name="Percent 5 4 3" xfId="12193"/>
    <cellStyle name="Percent 5 4 3 2" xfId="12194"/>
    <cellStyle name="Percent 5 4 3 2 2" xfId="12195"/>
    <cellStyle name="Percent 5 4 3 3" xfId="12196"/>
    <cellStyle name="Percent 5 4 3 3 2" xfId="12197"/>
    <cellStyle name="Percent 5 4 3 4" xfId="12198"/>
    <cellStyle name="Percent 5 4 4" xfId="12199"/>
    <cellStyle name="Percent 5 4 4 2" xfId="12200"/>
    <cellStyle name="Percent 5 4 4 2 2" xfId="12201"/>
    <cellStyle name="Percent 5 4 4 3" xfId="12202"/>
    <cellStyle name="Percent 5 4 4 3 2" xfId="12203"/>
    <cellStyle name="Percent 5 4 4 4" xfId="12204"/>
    <cellStyle name="Percent 5 4 4 4 2" xfId="12205"/>
    <cellStyle name="Percent 5 4 4 5" xfId="12206"/>
    <cellStyle name="Percent 5 4 5" xfId="12207"/>
    <cellStyle name="Percent 5 4 5 2" xfId="12208"/>
    <cellStyle name="Percent 5 4 5 2 2" xfId="12209"/>
    <cellStyle name="Percent 5 4 5 3" xfId="12210"/>
    <cellStyle name="Percent 5 4 5 3 2" xfId="12211"/>
    <cellStyle name="Percent 5 4 5 4" xfId="12212"/>
    <cellStyle name="Percent 5 4 6" xfId="12213"/>
    <cellStyle name="Percent 5 4 6 2" xfId="12214"/>
    <cellStyle name="Percent 5 4 7" xfId="12215"/>
    <cellStyle name="Percent 5 4 7 2" xfId="12216"/>
    <cellStyle name="Percent 5 4 8" xfId="12217"/>
    <cellStyle name="Percent 5 4 8 2" xfId="12218"/>
    <cellStyle name="Percent 5 4 9" xfId="12219"/>
    <cellStyle name="Percent 5 5 11" xfId="12220"/>
    <cellStyle name="Percent 5 5 10" xfId="12221"/>
    <cellStyle name="Percent 5 5 2 5" xfId="12222"/>
    <cellStyle name="Percent 5 5 2 2" xfId="12223"/>
    <cellStyle name="Percent 5 5 2 2 2" xfId="12224"/>
    <cellStyle name="Percent 5 5 2 3" xfId="12225"/>
    <cellStyle name="Percent 5 5 2 3 2" xfId="12226"/>
    <cellStyle name="Percent 5 5 2 4" xfId="12227"/>
    <cellStyle name="Percent 5 5 3" xfId="12228"/>
    <cellStyle name="Percent 5 5 3 2" xfId="12229"/>
    <cellStyle name="Percent 5 5 3 2 2" xfId="12230"/>
    <cellStyle name="Percent 5 5 3 3" xfId="12231"/>
    <cellStyle name="Percent 5 5 3 3 2" xfId="12232"/>
    <cellStyle name="Percent 5 5 3 4" xfId="12233"/>
    <cellStyle name="Percent 5 5 4" xfId="12234"/>
    <cellStyle name="Percent 5 5 4 2" xfId="12235"/>
    <cellStyle name="Percent 5 5 4 2 2" xfId="12236"/>
    <cellStyle name="Percent 5 5 4 3" xfId="12237"/>
    <cellStyle name="Percent 5 5 4 3 2" xfId="12238"/>
    <cellStyle name="Percent 5 5 4 4" xfId="12239"/>
    <cellStyle name="Percent 5 5 4 4 2" xfId="12240"/>
    <cellStyle name="Percent 5 5 4 5" xfId="12241"/>
    <cellStyle name="Percent 5 5 5" xfId="12242"/>
    <cellStyle name="Percent 5 5 5 2" xfId="12243"/>
    <cellStyle name="Percent 5 5 5 2 2" xfId="12244"/>
    <cellStyle name="Percent 5 5 5 3" xfId="12245"/>
    <cellStyle name="Percent 5 5 5 3 2" xfId="12246"/>
    <cellStyle name="Percent 5 5 5 4" xfId="12247"/>
    <cellStyle name="Percent 5 5 6" xfId="12248"/>
    <cellStyle name="Percent 5 5 6 2" xfId="12249"/>
    <cellStyle name="Percent 5 5 7" xfId="12250"/>
    <cellStyle name="Percent 5 5 7 2" xfId="12251"/>
    <cellStyle name="Percent 5 5 8" xfId="12252"/>
    <cellStyle name="Percent 5 5 8 2" xfId="12253"/>
    <cellStyle name="Percent 5 5 9" xfId="12254"/>
    <cellStyle name="Percent 5 6 11" xfId="12255"/>
    <cellStyle name="Percent 5 6 10" xfId="12256"/>
    <cellStyle name="Percent 5 6 2" xfId="12257"/>
    <cellStyle name="Percent 5 6 2 2" xfId="12258"/>
    <cellStyle name="Percent 5 6 2 2 2" xfId="12259"/>
    <cellStyle name="Percent 5 6 2 3" xfId="12260"/>
    <cellStyle name="Percent 5 6 2 3 2" xfId="12261"/>
    <cellStyle name="Percent 5 6 2 4" xfId="12262"/>
    <cellStyle name="Percent 5 6 3" xfId="12263"/>
    <cellStyle name="Percent 5 6 3 2" xfId="12264"/>
    <cellStyle name="Percent 5 6 3 2 2" xfId="12265"/>
    <cellStyle name="Percent 5 6 3 3" xfId="12266"/>
    <cellStyle name="Percent 5 6 3 3 2" xfId="12267"/>
    <cellStyle name="Percent 5 6 3 4" xfId="12268"/>
    <cellStyle name="Percent 5 6 4" xfId="12269"/>
    <cellStyle name="Percent 5 6 4 2" xfId="12270"/>
    <cellStyle name="Percent 5 6 4 2 2" xfId="12271"/>
    <cellStyle name="Percent 5 6 4 3" xfId="12272"/>
    <cellStyle name="Percent 5 6 4 3 2" xfId="12273"/>
    <cellStyle name="Percent 5 6 4 4" xfId="12274"/>
    <cellStyle name="Percent 5 6 4 4 2" xfId="12275"/>
    <cellStyle name="Percent 5 6 4 5" xfId="12276"/>
    <cellStyle name="Percent 5 6 5" xfId="12277"/>
    <cellStyle name="Percent 5 6 5 2" xfId="12278"/>
    <cellStyle name="Percent 5 6 5 2 2" xfId="12279"/>
    <cellStyle name="Percent 5 6 5 3" xfId="12280"/>
    <cellStyle name="Percent 5 6 5 3 2" xfId="12281"/>
    <cellStyle name="Percent 5 6 5 4" xfId="12282"/>
    <cellStyle name="Percent 5 6 6" xfId="12283"/>
    <cellStyle name="Percent 5 6 6 2" xfId="12284"/>
    <cellStyle name="Percent 5 6 7" xfId="12285"/>
    <cellStyle name="Percent 5 6 7 2" xfId="12286"/>
    <cellStyle name="Percent 5 6 8" xfId="12287"/>
    <cellStyle name="Percent 5 6 8 2" xfId="12288"/>
    <cellStyle name="Percent 5 6 9" xfId="12289"/>
    <cellStyle name="Percent 5 7 11" xfId="12290"/>
    <cellStyle name="Percent 5 7 10" xfId="12291"/>
    <cellStyle name="Percent 5 7 2" xfId="12292"/>
    <cellStyle name="Percent 5 7 2 2" xfId="12293"/>
    <cellStyle name="Percent 5 7 2 2 2" xfId="12294"/>
    <cellStyle name="Percent 5 7 2 3" xfId="12295"/>
    <cellStyle name="Percent 5 7 2 3 2" xfId="12296"/>
    <cellStyle name="Percent 5 7 2 4" xfId="12297"/>
    <cellStyle name="Percent 5 7 3" xfId="12298"/>
    <cellStyle name="Percent 5 7 3 2" xfId="12299"/>
    <cellStyle name="Percent 5 7 3 2 2" xfId="12300"/>
    <cellStyle name="Percent 5 7 3 3" xfId="12301"/>
    <cellStyle name="Percent 5 7 3 3 2" xfId="12302"/>
    <cellStyle name="Percent 5 7 3 4" xfId="12303"/>
    <cellStyle name="Percent 5 7 4" xfId="12304"/>
    <cellStyle name="Percent 5 7 4 2" xfId="12305"/>
    <cellStyle name="Percent 5 7 4 2 2" xfId="12306"/>
    <cellStyle name="Percent 5 7 4 3" xfId="12307"/>
    <cellStyle name="Percent 5 7 4 3 2" xfId="12308"/>
    <cellStyle name="Percent 5 7 4 4" xfId="12309"/>
    <cellStyle name="Percent 5 7 4 4 2" xfId="12310"/>
    <cellStyle name="Percent 5 7 4 5" xfId="12311"/>
    <cellStyle name="Percent 5 7 5" xfId="12312"/>
    <cellStyle name="Percent 5 7 5 2" xfId="12313"/>
    <cellStyle name="Percent 5 7 5 2 2" xfId="12314"/>
    <cellStyle name="Percent 5 7 5 3" xfId="12315"/>
    <cellStyle name="Percent 5 7 5 3 2" xfId="12316"/>
    <cellStyle name="Percent 5 7 5 4" xfId="12317"/>
    <cellStyle name="Percent 5 7 6" xfId="12318"/>
    <cellStyle name="Percent 5 7 6 2" xfId="12319"/>
    <cellStyle name="Percent 5 7 7" xfId="12320"/>
    <cellStyle name="Percent 5 7 7 2" xfId="12321"/>
    <cellStyle name="Percent 5 7 8" xfId="12322"/>
    <cellStyle name="Percent 5 7 8 2" xfId="12323"/>
    <cellStyle name="Percent 5 7 9" xfId="12324"/>
    <cellStyle name="Percent 5 8 11" xfId="12325"/>
    <cellStyle name="Percent 5 8 10" xfId="12326"/>
    <cellStyle name="Percent 5 8 2" xfId="12327"/>
    <cellStyle name="Percent 5 8 2 2" xfId="12328"/>
    <cellStyle name="Percent 5 8 2 2 2" xfId="12329"/>
    <cellStyle name="Percent 5 8 2 3" xfId="12330"/>
    <cellStyle name="Percent 5 8 2 3 2" xfId="12331"/>
    <cellStyle name="Percent 5 8 2 4" xfId="12332"/>
    <cellStyle name="Percent 5 8 3" xfId="12333"/>
    <cellStyle name="Percent 5 8 3 2" xfId="12334"/>
    <cellStyle name="Percent 5 8 3 2 2" xfId="12335"/>
    <cellStyle name="Percent 5 8 3 3" xfId="12336"/>
    <cellStyle name="Percent 5 8 3 3 2" xfId="12337"/>
    <cellStyle name="Percent 5 8 3 4" xfId="12338"/>
    <cellStyle name="Percent 5 8 4" xfId="12339"/>
    <cellStyle name="Percent 5 8 4 2" xfId="12340"/>
    <cellStyle name="Percent 5 8 4 2 2" xfId="12341"/>
    <cellStyle name="Percent 5 8 4 3" xfId="12342"/>
    <cellStyle name="Percent 5 8 4 3 2" xfId="12343"/>
    <cellStyle name="Percent 5 8 4 4" xfId="12344"/>
    <cellStyle name="Percent 5 8 4 4 2" xfId="12345"/>
    <cellStyle name="Percent 5 8 4 5" xfId="12346"/>
    <cellStyle name="Percent 5 8 5" xfId="12347"/>
    <cellStyle name="Percent 5 8 5 2" xfId="12348"/>
    <cellStyle name="Percent 5 8 5 2 2" xfId="12349"/>
    <cellStyle name="Percent 5 8 5 3" xfId="12350"/>
    <cellStyle name="Percent 5 8 5 3 2" xfId="12351"/>
    <cellStyle name="Percent 5 8 5 4" xfId="12352"/>
    <cellStyle name="Percent 5 8 6" xfId="12353"/>
    <cellStyle name="Percent 5 8 6 2" xfId="12354"/>
    <cellStyle name="Percent 5 8 7" xfId="12355"/>
    <cellStyle name="Percent 5 8 7 2" xfId="12356"/>
    <cellStyle name="Percent 5 8 8" xfId="12357"/>
    <cellStyle name="Percent 5 8 8 2" xfId="12358"/>
    <cellStyle name="Percent 5 8 9" xfId="12359"/>
    <cellStyle name="Percent 5 9 11" xfId="12360"/>
    <cellStyle name="Percent 5 9 10" xfId="12361"/>
    <cellStyle name="Percent 5 9 2 5" xfId="12362"/>
    <cellStyle name="Percent 5 9 2 2" xfId="12363"/>
    <cellStyle name="Percent 5 9 2 2 2" xfId="12364"/>
    <cellStyle name="Percent 5 9 2 3" xfId="12365"/>
    <cellStyle name="Percent 5 9 2 3 2" xfId="12366"/>
    <cellStyle name="Percent 5 9 2 4" xfId="12367"/>
    <cellStyle name="Percent 5 9 3" xfId="12368"/>
    <cellStyle name="Percent 5 9 3 2" xfId="12369"/>
    <cellStyle name="Percent 5 9 3 2 2" xfId="12370"/>
    <cellStyle name="Percent 5 9 3 3" xfId="12371"/>
    <cellStyle name="Percent 5 9 3 3 2" xfId="12372"/>
    <cellStyle name="Percent 5 9 3 4" xfId="12373"/>
    <cellStyle name="Percent 5 9 4" xfId="12374"/>
    <cellStyle name="Percent 5 9 4 2" xfId="12375"/>
    <cellStyle name="Percent 5 9 4 2 2" xfId="12376"/>
    <cellStyle name="Percent 5 9 4 3" xfId="12377"/>
    <cellStyle name="Percent 5 9 4 3 2" xfId="12378"/>
    <cellStyle name="Percent 5 9 4 4" xfId="12379"/>
    <cellStyle name="Percent 5 9 4 4 2" xfId="12380"/>
    <cellStyle name="Percent 5 9 4 5" xfId="12381"/>
    <cellStyle name="Percent 5 9 5" xfId="12382"/>
    <cellStyle name="Percent 5 9 5 2" xfId="12383"/>
    <cellStyle name="Percent 5 9 5 2 2" xfId="12384"/>
    <cellStyle name="Percent 5 9 5 3" xfId="12385"/>
    <cellStyle name="Percent 5 9 5 3 2" xfId="12386"/>
    <cellStyle name="Percent 5 9 5 4" xfId="12387"/>
    <cellStyle name="Percent 5 9 6" xfId="12388"/>
    <cellStyle name="Percent 5 9 6 2" xfId="12389"/>
    <cellStyle name="Percent 5 9 7" xfId="12390"/>
    <cellStyle name="Percent 5 9 7 2" xfId="12391"/>
    <cellStyle name="Percent 5 9 8" xfId="12392"/>
    <cellStyle name="Percent 5 9 8 2" xfId="12393"/>
    <cellStyle name="Percent 5 9 9" xfId="12394"/>
    <cellStyle name="Percent 6 20" xfId="12395"/>
    <cellStyle name="Percent 6 10" xfId="12396"/>
    <cellStyle name="Percent 6 10 2" xfId="12397"/>
    <cellStyle name="Percent 6 10 2 2" xfId="12398"/>
    <cellStyle name="Percent 6 10 3" xfId="12399"/>
    <cellStyle name="Percent 6 10 3 2" xfId="12400"/>
    <cellStyle name="Percent 6 10 4" xfId="12401"/>
    <cellStyle name="Percent 6 10 5" xfId="12402"/>
    <cellStyle name="Percent 6 11" xfId="12403"/>
    <cellStyle name="Percent 6 11 2" xfId="12404"/>
    <cellStyle name="Percent 6 11 2 2" xfId="12405"/>
    <cellStyle name="Percent 6 11 3" xfId="12406"/>
    <cellStyle name="Percent 6 11 3 2" xfId="12407"/>
    <cellStyle name="Percent 6 11 4" xfId="12408"/>
    <cellStyle name="Percent 6 11 5" xfId="12409"/>
    <cellStyle name="Percent 6 12" xfId="12410"/>
    <cellStyle name="Percent 6 12 2" xfId="12411"/>
    <cellStyle name="Percent 6 12 2 2" xfId="12412"/>
    <cellStyle name="Percent 6 12 3" xfId="12413"/>
    <cellStyle name="Percent 6 12 3 2" xfId="12414"/>
    <cellStyle name="Percent 6 12 4" xfId="12415"/>
    <cellStyle name="Percent 6 13" xfId="12416"/>
    <cellStyle name="Percent 6 13 2" xfId="12417"/>
    <cellStyle name="Percent 6 13 2 2" xfId="12418"/>
    <cellStyle name="Percent 6 13 3" xfId="12419"/>
    <cellStyle name="Percent 6 13 3 2" xfId="12420"/>
    <cellStyle name="Percent 6 13 4" xfId="12421"/>
    <cellStyle name="Percent 6 13 4 2" xfId="12422"/>
    <cellStyle name="Percent 6 13 5" xfId="12423"/>
    <cellStyle name="Percent 6 14" xfId="12424"/>
    <cellStyle name="Percent 6 14 2" xfId="12425"/>
    <cellStyle name="Percent 6 14 2 2" xfId="12426"/>
    <cellStyle name="Percent 6 14 3" xfId="12427"/>
    <cellStyle name="Percent 6 14 3 2" xfId="12428"/>
    <cellStyle name="Percent 6 14 4" xfId="12429"/>
    <cellStyle name="Percent 6 15" xfId="12430"/>
    <cellStyle name="Percent 6 15 2" xfId="12431"/>
    <cellStyle name="Percent 6 16" xfId="12432"/>
    <cellStyle name="Percent 6 16 2" xfId="12433"/>
    <cellStyle name="Percent 6 17" xfId="12434"/>
    <cellStyle name="Percent 6 17 2" xfId="12435"/>
    <cellStyle name="Percent 6 18" xfId="12436"/>
    <cellStyle name="Percent 6 19" xfId="12437"/>
    <cellStyle name="Percent 6 2 11" xfId="12438"/>
    <cellStyle name="Percent 6 2 10" xfId="12439"/>
    <cellStyle name="Percent 6 2 2" xfId="12440"/>
    <cellStyle name="Percent 6 2 2 2" xfId="12441"/>
    <cellStyle name="Percent 6 2 2 2 2" xfId="12442"/>
    <cellStyle name="Percent 6 2 2 3" xfId="12443"/>
    <cellStyle name="Percent 6 2 2 3 2" xfId="12444"/>
    <cellStyle name="Percent 6 2 2 4" xfId="12445"/>
    <cellStyle name="Percent 6 2 3" xfId="12446"/>
    <cellStyle name="Percent 6 2 3 2" xfId="12447"/>
    <cellStyle name="Percent 6 2 3 2 2" xfId="12448"/>
    <cellStyle name="Percent 6 2 3 3" xfId="12449"/>
    <cellStyle name="Percent 6 2 3 3 2" xfId="12450"/>
    <cellStyle name="Percent 6 2 3 4" xfId="12451"/>
    <cellStyle name="Percent 6 2 4" xfId="12452"/>
    <cellStyle name="Percent 6 2 4 2" xfId="12453"/>
    <cellStyle name="Percent 6 2 4 2 2" xfId="12454"/>
    <cellStyle name="Percent 6 2 4 3" xfId="12455"/>
    <cellStyle name="Percent 6 2 4 3 2" xfId="12456"/>
    <cellStyle name="Percent 6 2 4 4" xfId="12457"/>
    <cellStyle name="Percent 6 2 4 4 2" xfId="12458"/>
    <cellStyle name="Percent 6 2 4 5" xfId="12459"/>
    <cellStyle name="Percent 6 2 5" xfId="12460"/>
    <cellStyle name="Percent 6 2 5 2" xfId="12461"/>
    <cellStyle name="Percent 6 2 5 2 2" xfId="12462"/>
    <cellStyle name="Percent 6 2 5 3" xfId="12463"/>
    <cellStyle name="Percent 6 2 5 3 2" xfId="12464"/>
    <cellStyle name="Percent 6 2 5 4" xfId="12465"/>
    <cellStyle name="Percent 6 2 6" xfId="12466"/>
    <cellStyle name="Percent 6 2 6 2" xfId="12467"/>
    <cellStyle name="Percent 6 2 7" xfId="12468"/>
    <cellStyle name="Percent 6 2 7 2" xfId="12469"/>
    <cellStyle name="Percent 6 2 8" xfId="12470"/>
    <cellStyle name="Percent 6 2 8 2" xfId="12471"/>
    <cellStyle name="Percent 6 2 9" xfId="12472"/>
    <cellStyle name="Percent 6 3 11" xfId="12473"/>
    <cellStyle name="Percent 6 3 10" xfId="12474"/>
    <cellStyle name="Percent 6 3 2 5" xfId="12475"/>
    <cellStyle name="Percent 6 3 2 2" xfId="12476"/>
    <cellStyle name="Percent 6 3 2 2 2" xfId="12477"/>
    <cellStyle name="Percent 6 3 2 3" xfId="12478"/>
    <cellStyle name="Percent 6 3 2 3 2" xfId="12479"/>
    <cellStyle name="Percent 6 3 2 4" xfId="12480"/>
    <cellStyle name="Percent 6 3 3" xfId="12481"/>
    <cellStyle name="Percent 6 3 3 2" xfId="12482"/>
    <cellStyle name="Percent 6 3 3 2 2" xfId="12483"/>
    <cellStyle name="Percent 6 3 3 3" xfId="12484"/>
    <cellStyle name="Percent 6 3 3 3 2" xfId="12485"/>
    <cellStyle name="Percent 6 3 3 4" xfId="12486"/>
    <cellStyle name="Percent 6 3 4" xfId="12487"/>
    <cellStyle name="Percent 6 3 4 2" xfId="12488"/>
    <cellStyle name="Percent 6 3 4 2 2" xfId="12489"/>
    <cellStyle name="Percent 6 3 4 3" xfId="12490"/>
    <cellStyle name="Percent 6 3 4 3 2" xfId="12491"/>
    <cellStyle name="Percent 6 3 4 4" xfId="12492"/>
    <cellStyle name="Percent 6 3 4 4 2" xfId="12493"/>
    <cellStyle name="Percent 6 3 4 5" xfId="12494"/>
    <cellStyle name="Percent 6 3 5" xfId="12495"/>
    <cellStyle name="Percent 6 3 5 2" xfId="12496"/>
    <cellStyle name="Percent 6 3 5 2 2" xfId="12497"/>
    <cellStyle name="Percent 6 3 5 3" xfId="12498"/>
    <cellStyle name="Percent 6 3 5 3 2" xfId="12499"/>
    <cellStyle name="Percent 6 3 5 4" xfId="12500"/>
    <cellStyle name="Percent 6 3 6" xfId="12501"/>
    <cellStyle name="Percent 6 3 6 2" xfId="12502"/>
    <cellStyle name="Percent 6 3 7" xfId="12503"/>
    <cellStyle name="Percent 6 3 7 2" xfId="12504"/>
    <cellStyle name="Percent 6 3 8" xfId="12505"/>
    <cellStyle name="Percent 6 3 8 2" xfId="12506"/>
    <cellStyle name="Percent 6 3 9" xfId="12507"/>
    <cellStyle name="Percent 6 4 11" xfId="12508"/>
    <cellStyle name="Percent 6 4 10" xfId="12509"/>
    <cellStyle name="Percent 6 4 2" xfId="12510"/>
    <cellStyle name="Percent 6 4 2 2" xfId="12511"/>
    <cellStyle name="Percent 6 4 2 2 2" xfId="12512"/>
    <cellStyle name="Percent 6 4 2 3" xfId="12513"/>
    <cellStyle name="Percent 6 4 2 3 2" xfId="12514"/>
    <cellStyle name="Percent 6 4 2 4" xfId="12515"/>
    <cellStyle name="Percent 6 4 3" xfId="12516"/>
    <cellStyle name="Percent 6 4 3 2" xfId="12517"/>
    <cellStyle name="Percent 6 4 3 2 2" xfId="12518"/>
    <cellStyle name="Percent 6 4 3 3" xfId="12519"/>
    <cellStyle name="Percent 6 4 3 3 2" xfId="12520"/>
    <cellStyle name="Percent 6 4 3 4" xfId="12521"/>
    <cellStyle name="Percent 6 4 4" xfId="12522"/>
    <cellStyle name="Percent 6 4 4 2" xfId="12523"/>
    <cellStyle name="Percent 6 4 4 2 2" xfId="12524"/>
    <cellStyle name="Percent 6 4 4 3" xfId="12525"/>
    <cellStyle name="Percent 6 4 4 3 2" xfId="12526"/>
    <cellStyle name="Percent 6 4 4 4" xfId="12527"/>
    <cellStyle name="Percent 6 4 4 4 2" xfId="12528"/>
    <cellStyle name="Percent 6 4 4 5" xfId="12529"/>
    <cellStyle name="Percent 6 4 5" xfId="12530"/>
    <cellStyle name="Percent 6 4 5 2" xfId="12531"/>
    <cellStyle name="Percent 6 4 5 2 2" xfId="12532"/>
    <cellStyle name="Percent 6 4 5 3" xfId="12533"/>
    <cellStyle name="Percent 6 4 5 3 2" xfId="12534"/>
    <cellStyle name="Percent 6 4 5 4" xfId="12535"/>
    <cellStyle name="Percent 6 4 6" xfId="12536"/>
    <cellStyle name="Percent 6 4 6 2" xfId="12537"/>
    <cellStyle name="Percent 6 4 7" xfId="12538"/>
    <cellStyle name="Percent 6 4 7 2" xfId="12539"/>
    <cellStyle name="Percent 6 4 8" xfId="12540"/>
    <cellStyle name="Percent 6 4 8 2" xfId="12541"/>
    <cellStyle name="Percent 6 4 9" xfId="12542"/>
    <cellStyle name="Percent 6 5 11" xfId="12543"/>
    <cellStyle name="Percent 6 5 10" xfId="12544"/>
    <cellStyle name="Percent 6 5 2" xfId="12545"/>
    <cellStyle name="Percent 6 5 2 2" xfId="12546"/>
    <cellStyle name="Percent 6 5 2 2 2" xfId="12547"/>
    <cellStyle name="Percent 6 5 2 3" xfId="12548"/>
    <cellStyle name="Percent 6 5 2 3 2" xfId="12549"/>
    <cellStyle name="Percent 6 5 2 4" xfId="12550"/>
    <cellStyle name="Percent 6 5 3" xfId="12551"/>
    <cellStyle name="Percent 6 5 3 2" xfId="12552"/>
    <cellStyle name="Percent 6 5 3 2 2" xfId="12553"/>
    <cellStyle name="Percent 6 5 3 3" xfId="12554"/>
    <cellStyle name="Percent 6 5 3 3 2" xfId="12555"/>
    <cellStyle name="Percent 6 5 3 4" xfId="12556"/>
    <cellStyle name="Percent 6 5 4" xfId="12557"/>
    <cellStyle name="Percent 6 5 4 2" xfId="12558"/>
    <cellStyle name="Percent 6 5 4 2 2" xfId="12559"/>
    <cellStyle name="Percent 6 5 4 3" xfId="12560"/>
    <cellStyle name="Percent 6 5 4 3 2" xfId="12561"/>
    <cellStyle name="Percent 6 5 4 4" xfId="12562"/>
    <cellStyle name="Percent 6 5 4 4 2" xfId="12563"/>
    <cellStyle name="Percent 6 5 4 5" xfId="12564"/>
    <cellStyle name="Percent 6 5 5" xfId="12565"/>
    <cellStyle name="Percent 6 5 5 2" xfId="12566"/>
    <cellStyle name="Percent 6 5 5 2 2" xfId="12567"/>
    <cellStyle name="Percent 6 5 5 3" xfId="12568"/>
    <cellStyle name="Percent 6 5 5 3 2" xfId="12569"/>
    <cellStyle name="Percent 6 5 5 4" xfId="12570"/>
    <cellStyle name="Percent 6 5 6" xfId="12571"/>
    <cellStyle name="Percent 6 5 6 2" xfId="12572"/>
    <cellStyle name="Percent 6 5 7" xfId="12573"/>
    <cellStyle name="Percent 6 5 7 2" xfId="12574"/>
    <cellStyle name="Percent 6 5 8" xfId="12575"/>
    <cellStyle name="Percent 6 5 8 2" xfId="12576"/>
    <cellStyle name="Percent 6 5 9" xfId="12577"/>
    <cellStyle name="Percent 6 6 11" xfId="12578"/>
    <cellStyle name="Percent 6 6 10" xfId="12579"/>
    <cellStyle name="Percent 6 6 2" xfId="12580"/>
    <cellStyle name="Percent 6 6 2 2" xfId="12581"/>
    <cellStyle name="Percent 6 6 2 2 2" xfId="12582"/>
    <cellStyle name="Percent 6 6 2 3" xfId="12583"/>
    <cellStyle name="Percent 6 6 2 3 2" xfId="12584"/>
    <cellStyle name="Percent 6 6 2 4" xfId="12585"/>
    <cellStyle name="Percent 6 6 3" xfId="12586"/>
    <cellStyle name="Percent 6 6 3 2" xfId="12587"/>
    <cellStyle name="Percent 6 6 3 2 2" xfId="12588"/>
    <cellStyle name="Percent 6 6 3 3" xfId="12589"/>
    <cellStyle name="Percent 6 6 3 3 2" xfId="12590"/>
    <cellStyle name="Percent 6 6 3 4" xfId="12591"/>
    <cellStyle name="Percent 6 6 4" xfId="12592"/>
    <cellStyle name="Percent 6 6 4 2" xfId="12593"/>
    <cellStyle name="Percent 6 6 4 2 2" xfId="12594"/>
    <cellStyle name="Percent 6 6 4 3" xfId="12595"/>
    <cellStyle name="Percent 6 6 4 3 2" xfId="12596"/>
    <cellStyle name="Percent 6 6 4 4" xfId="12597"/>
    <cellStyle name="Percent 6 6 4 4 2" xfId="12598"/>
    <cellStyle name="Percent 6 6 4 5" xfId="12599"/>
    <cellStyle name="Percent 6 6 5" xfId="12600"/>
    <cellStyle name="Percent 6 6 5 2" xfId="12601"/>
    <cellStyle name="Percent 6 6 5 2 2" xfId="12602"/>
    <cellStyle name="Percent 6 6 5 3" xfId="12603"/>
    <cellStyle name="Percent 6 6 5 3 2" xfId="12604"/>
    <cellStyle name="Percent 6 6 5 4" xfId="12605"/>
    <cellStyle name="Percent 6 6 6" xfId="12606"/>
    <cellStyle name="Percent 6 6 6 2" xfId="12607"/>
    <cellStyle name="Percent 6 6 7" xfId="12608"/>
    <cellStyle name="Percent 6 6 7 2" xfId="12609"/>
    <cellStyle name="Percent 6 6 8" xfId="12610"/>
    <cellStyle name="Percent 6 6 8 2" xfId="12611"/>
    <cellStyle name="Percent 6 6 9" xfId="12612"/>
    <cellStyle name="Percent 6 7 11" xfId="12613"/>
    <cellStyle name="Percent 6 7 10" xfId="12614"/>
    <cellStyle name="Percent 6 7 2" xfId="12615"/>
    <cellStyle name="Percent 6 7 2 2" xfId="12616"/>
    <cellStyle name="Percent 6 7 2 2 2" xfId="12617"/>
    <cellStyle name="Percent 6 7 2 3" xfId="12618"/>
    <cellStyle name="Percent 6 7 2 3 2" xfId="12619"/>
    <cellStyle name="Percent 6 7 2 4" xfId="12620"/>
    <cellStyle name="Percent 6 7 3" xfId="12621"/>
    <cellStyle name="Percent 6 7 3 2" xfId="12622"/>
    <cellStyle name="Percent 6 7 3 2 2" xfId="12623"/>
    <cellStyle name="Percent 6 7 3 3" xfId="12624"/>
    <cellStyle name="Percent 6 7 3 3 2" xfId="12625"/>
    <cellStyle name="Percent 6 7 3 4" xfId="12626"/>
    <cellStyle name="Percent 6 7 4" xfId="12627"/>
    <cellStyle name="Percent 6 7 4 2" xfId="12628"/>
    <cellStyle name="Percent 6 7 4 2 2" xfId="12629"/>
    <cellStyle name="Percent 6 7 4 3" xfId="12630"/>
    <cellStyle name="Percent 6 7 4 3 2" xfId="12631"/>
    <cellStyle name="Percent 6 7 4 4" xfId="12632"/>
    <cellStyle name="Percent 6 7 4 4 2" xfId="12633"/>
    <cellStyle name="Percent 6 7 4 5" xfId="12634"/>
    <cellStyle name="Percent 6 7 5" xfId="12635"/>
    <cellStyle name="Percent 6 7 5 2" xfId="12636"/>
    <cellStyle name="Percent 6 7 5 2 2" xfId="12637"/>
    <cellStyle name="Percent 6 7 5 3" xfId="12638"/>
    <cellStyle name="Percent 6 7 5 3 2" xfId="12639"/>
    <cellStyle name="Percent 6 7 5 4" xfId="12640"/>
    <cellStyle name="Percent 6 7 6" xfId="12641"/>
    <cellStyle name="Percent 6 7 6 2" xfId="12642"/>
    <cellStyle name="Percent 6 7 7" xfId="12643"/>
    <cellStyle name="Percent 6 7 7 2" xfId="12644"/>
    <cellStyle name="Percent 6 7 8" xfId="12645"/>
    <cellStyle name="Percent 6 7 8 2" xfId="12646"/>
    <cellStyle name="Percent 6 7 9" xfId="12647"/>
    <cellStyle name="Percent 6 8 11" xfId="12648"/>
    <cellStyle name="Percent 6 8 10" xfId="12649"/>
    <cellStyle name="Percent 6 8 2" xfId="12650"/>
    <cellStyle name="Percent 6 8 2 2" xfId="12651"/>
    <cellStyle name="Percent 6 8 2 2 2" xfId="12652"/>
    <cellStyle name="Percent 6 8 2 3" xfId="12653"/>
    <cellStyle name="Percent 6 8 2 3 2" xfId="12654"/>
    <cellStyle name="Percent 6 8 2 4" xfId="12655"/>
    <cellStyle name="Percent 6 8 3" xfId="12656"/>
    <cellStyle name="Percent 6 8 3 2" xfId="12657"/>
    <cellStyle name="Percent 6 8 3 2 2" xfId="12658"/>
    <cellStyle name="Percent 6 8 3 3" xfId="12659"/>
    <cellStyle name="Percent 6 8 3 3 2" xfId="12660"/>
    <cellStyle name="Percent 6 8 3 4" xfId="12661"/>
    <cellStyle name="Percent 6 8 4" xfId="12662"/>
    <cellStyle name="Percent 6 8 4 2" xfId="12663"/>
    <cellStyle name="Percent 6 8 4 2 2" xfId="12664"/>
    <cellStyle name="Percent 6 8 4 3" xfId="12665"/>
    <cellStyle name="Percent 6 8 4 3 2" xfId="12666"/>
    <cellStyle name="Percent 6 8 4 4" xfId="12667"/>
    <cellStyle name="Percent 6 8 4 4 2" xfId="12668"/>
    <cellStyle name="Percent 6 8 4 5" xfId="12669"/>
    <cellStyle name="Percent 6 8 5" xfId="12670"/>
    <cellStyle name="Percent 6 8 5 2" xfId="12671"/>
    <cellStyle name="Percent 6 8 5 2 2" xfId="12672"/>
    <cellStyle name="Percent 6 8 5 3" xfId="12673"/>
    <cellStyle name="Percent 6 8 5 3 2" xfId="12674"/>
    <cellStyle name="Percent 6 8 5 4" xfId="12675"/>
    <cellStyle name="Percent 6 8 6" xfId="12676"/>
    <cellStyle name="Percent 6 8 6 2" xfId="12677"/>
    <cellStyle name="Percent 6 8 7" xfId="12678"/>
    <cellStyle name="Percent 6 8 7 2" xfId="12679"/>
    <cellStyle name="Percent 6 8 8" xfId="12680"/>
    <cellStyle name="Percent 6 8 8 2" xfId="12681"/>
    <cellStyle name="Percent 6 8 9" xfId="12682"/>
    <cellStyle name="Percent 6 9" xfId="12683"/>
    <cellStyle name="Percent 6 9 10" xfId="12684"/>
    <cellStyle name="Percent 6 9 2" xfId="12685"/>
    <cellStyle name="Percent 6 9 2 2" xfId="12686"/>
    <cellStyle name="Percent 6 9 2 2 2" xfId="12687"/>
    <cellStyle name="Percent 6 9 2 3" xfId="12688"/>
    <cellStyle name="Percent 6 9 2 3 2" xfId="12689"/>
    <cellStyle name="Percent 6 9 2 4" xfId="12690"/>
    <cellStyle name="Percent 6 9 3" xfId="12691"/>
    <cellStyle name="Percent 6 9 3 2" xfId="12692"/>
    <cellStyle name="Percent 6 9 3 2 2" xfId="12693"/>
    <cellStyle name="Percent 6 9 3 3" xfId="12694"/>
    <cellStyle name="Percent 6 9 3 3 2" xfId="12695"/>
    <cellStyle name="Percent 6 9 3 4" xfId="12696"/>
    <cellStyle name="Percent 6 9 4" xfId="12697"/>
    <cellStyle name="Percent 6 9 4 2" xfId="12698"/>
    <cellStyle name="Percent 6 9 4 2 2" xfId="12699"/>
    <cellStyle name="Percent 6 9 4 3" xfId="12700"/>
    <cellStyle name="Percent 6 9 4 3 2" xfId="12701"/>
    <cellStyle name="Percent 6 9 4 4" xfId="12702"/>
    <cellStyle name="Percent 6 9 4 4 2" xfId="12703"/>
    <cellStyle name="Percent 6 9 4 5" xfId="12704"/>
    <cellStyle name="Percent 6 9 5" xfId="12705"/>
    <cellStyle name="Percent 6 9 5 2" xfId="12706"/>
    <cellStyle name="Percent 6 9 5 2 2" xfId="12707"/>
    <cellStyle name="Percent 6 9 5 3" xfId="12708"/>
    <cellStyle name="Percent 6 9 5 3 2" xfId="12709"/>
    <cellStyle name="Percent 6 9 5 4" xfId="12710"/>
    <cellStyle name="Percent 6 9 6" xfId="12711"/>
    <cellStyle name="Percent 6 9 6 2" xfId="12712"/>
    <cellStyle name="Percent 6 9 7" xfId="12713"/>
    <cellStyle name="Percent 6 9 7 2" xfId="12714"/>
    <cellStyle name="Percent 6 9 8" xfId="12715"/>
    <cellStyle name="Percent 6 9 8 2" xfId="12716"/>
    <cellStyle name="Percent 6 9 9" xfId="12717"/>
    <cellStyle name="Percent 7 20" xfId="12718"/>
    <cellStyle name="Percent 7 10" xfId="12719"/>
    <cellStyle name="Percent 7 10 2" xfId="12720"/>
    <cellStyle name="Percent 7 10 2 2" xfId="12721"/>
    <cellStyle name="Percent 7 10 3" xfId="12722"/>
    <cellStyle name="Percent 7 10 3 2" xfId="12723"/>
    <cellStyle name="Percent 7 10 4" xfId="12724"/>
    <cellStyle name="Percent 7 10 5" xfId="12725"/>
    <cellStyle name="Percent 7 11" xfId="12726"/>
    <cellStyle name="Percent 7 11 2" xfId="12727"/>
    <cellStyle name="Percent 7 11 2 2" xfId="12728"/>
    <cellStyle name="Percent 7 11 3" xfId="12729"/>
    <cellStyle name="Percent 7 11 3 2" xfId="12730"/>
    <cellStyle name="Percent 7 11 4" xfId="12731"/>
    <cellStyle name="Percent 7 12" xfId="12732"/>
    <cellStyle name="Percent 7 12 2" xfId="12733"/>
    <cellStyle name="Percent 7 12 2 2" xfId="12734"/>
    <cellStyle name="Percent 7 12 3" xfId="12735"/>
    <cellStyle name="Percent 7 12 3 2" xfId="12736"/>
    <cellStyle name="Percent 7 12 4" xfId="12737"/>
    <cellStyle name="Percent 7 13" xfId="12738"/>
    <cellStyle name="Percent 7 13 2" xfId="12739"/>
    <cellStyle name="Percent 7 13 2 2" xfId="12740"/>
    <cellStyle name="Percent 7 13 3" xfId="12741"/>
    <cellStyle name="Percent 7 13 3 2" xfId="12742"/>
    <cellStyle name="Percent 7 13 4" xfId="12743"/>
    <cellStyle name="Percent 7 13 4 2" xfId="12744"/>
    <cellStyle name="Percent 7 13 5" xfId="12745"/>
    <cellStyle name="Percent 7 14" xfId="12746"/>
    <cellStyle name="Percent 7 14 2" xfId="12747"/>
    <cellStyle name="Percent 7 14 2 2" xfId="12748"/>
    <cellStyle name="Percent 7 14 3" xfId="12749"/>
    <cellStyle name="Percent 7 14 3 2" xfId="12750"/>
    <cellStyle name="Percent 7 14 4" xfId="12751"/>
    <cellStyle name="Percent 7 15" xfId="12752"/>
    <cellStyle name="Percent 7 15 2" xfId="12753"/>
    <cellStyle name="Percent 7 16" xfId="12754"/>
    <cellStyle name="Percent 7 16 2" xfId="12755"/>
    <cellStyle name="Percent 7 17" xfId="12756"/>
    <cellStyle name="Percent 7 17 2" xfId="12757"/>
    <cellStyle name="Percent 7 18" xfId="12758"/>
    <cellStyle name="Percent 7 19" xfId="12759"/>
    <cellStyle name="Percent 7 2 11" xfId="12760"/>
    <cellStyle name="Percent 7 2 10" xfId="12761"/>
    <cellStyle name="Percent 7 2 2" xfId="12762"/>
    <cellStyle name="Percent 7 2 2 2" xfId="12763"/>
    <cellStyle name="Percent 7 2 2 2 2" xfId="12764"/>
    <cellStyle name="Percent 7 2 2 3" xfId="12765"/>
    <cellStyle name="Percent 7 2 2 3 2" xfId="12766"/>
    <cellStyle name="Percent 7 2 2 4" xfId="12767"/>
    <cellStyle name="Percent 7 2 3" xfId="12768"/>
    <cellStyle name="Percent 7 2 3 2" xfId="12769"/>
    <cellStyle name="Percent 7 2 3 2 2" xfId="12770"/>
    <cellStyle name="Percent 7 2 3 3" xfId="12771"/>
    <cellStyle name="Percent 7 2 3 3 2" xfId="12772"/>
    <cellStyle name="Percent 7 2 3 4" xfId="12773"/>
    <cellStyle name="Percent 7 2 4" xfId="12774"/>
    <cellStyle name="Percent 7 2 4 2" xfId="12775"/>
    <cellStyle name="Percent 7 2 4 2 2" xfId="12776"/>
    <cellStyle name="Percent 7 2 4 3" xfId="12777"/>
    <cellStyle name="Percent 7 2 4 3 2" xfId="12778"/>
    <cellStyle name="Percent 7 2 4 4" xfId="12779"/>
    <cellStyle name="Percent 7 2 4 4 2" xfId="12780"/>
    <cellStyle name="Percent 7 2 4 5" xfId="12781"/>
    <cellStyle name="Percent 7 2 5" xfId="12782"/>
    <cellStyle name="Percent 7 2 5 2" xfId="12783"/>
    <cellStyle name="Percent 7 2 5 2 2" xfId="12784"/>
    <cellStyle name="Percent 7 2 5 3" xfId="12785"/>
    <cellStyle name="Percent 7 2 5 3 2" xfId="12786"/>
    <cellStyle name="Percent 7 2 5 4" xfId="12787"/>
    <cellStyle name="Percent 7 2 6" xfId="12788"/>
    <cellStyle name="Percent 7 2 6 2" xfId="12789"/>
    <cellStyle name="Percent 7 2 7" xfId="12790"/>
    <cellStyle name="Percent 7 2 7 2" xfId="12791"/>
    <cellStyle name="Percent 7 2 8" xfId="12792"/>
    <cellStyle name="Percent 7 2 8 2" xfId="12793"/>
    <cellStyle name="Percent 7 2 9" xfId="12794"/>
    <cellStyle name="Percent 7 3 11" xfId="12795"/>
    <cellStyle name="Percent 7 3 10" xfId="12796"/>
    <cellStyle name="Percent 7 3 2" xfId="12797"/>
    <cellStyle name="Percent 7 3 2 2" xfId="12798"/>
    <cellStyle name="Percent 7 3 2 2 2" xfId="12799"/>
    <cellStyle name="Percent 7 3 2 3" xfId="12800"/>
    <cellStyle name="Percent 7 3 2 3 2" xfId="12801"/>
    <cellStyle name="Percent 7 3 2 4" xfId="12802"/>
    <cellStyle name="Percent 7 3 3" xfId="12803"/>
    <cellStyle name="Percent 7 3 3 2" xfId="12804"/>
    <cellStyle name="Percent 7 3 3 2 2" xfId="12805"/>
    <cellStyle name="Percent 7 3 3 3" xfId="12806"/>
    <cellStyle name="Percent 7 3 3 3 2" xfId="12807"/>
    <cellStyle name="Percent 7 3 3 4" xfId="12808"/>
    <cellStyle name="Percent 7 3 4" xfId="12809"/>
    <cellStyle name="Percent 7 3 4 2" xfId="12810"/>
    <cellStyle name="Percent 7 3 4 2 2" xfId="12811"/>
    <cellStyle name="Percent 7 3 4 3" xfId="12812"/>
    <cellStyle name="Percent 7 3 4 3 2" xfId="12813"/>
    <cellStyle name="Percent 7 3 4 4" xfId="12814"/>
    <cellStyle name="Percent 7 3 4 4 2" xfId="12815"/>
    <cellStyle name="Percent 7 3 4 5" xfId="12816"/>
    <cellStyle name="Percent 7 3 5" xfId="12817"/>
    <cellStyle name="Percent 7 3 5 2" xfId="12818"/>
    <cellStyle name="Percent 7 3 5 2 2" xfId="12819"/>
    <cellStyle name="Percent 7 3 5 3" xfId="12820"/>
    <cellStyle name="Percent 7 3 5 3 2" xfId="12821"/>
    <cellStyle name="Percent 7 3 5 4" xfId="12822"/>
    <cellStyle name="Percent 7 3 6" xfId="12823"/>
    <cellStyle name="Percent 7 3 6 2" xfId="12824"/>
    <cellStyle name="Percent 7 3 7" xfId="12825"/>
    <cellStyle name="Percent 7 3 7 2" xfId="12826"/>
    <cellStyle name="Percent 7 3 8" xfId="12827"/>
    <cellStyle name="Percent 7 3 8 2" xfId="12828"/>
    <cellStyle name="Percent 7 3 9" xfId="12829"/>
    <cellStyle name="Percent 7 4 11" xfId="12830"/>
    <cellStyle name="Percent 7 4 10" xfId="12831"/>
    <cellStyle name="Percent 7 4 2" xfId="12832"/>
    <cellStyle name="Percent 7 4 2 2" xfId="12833"/>
    <cellStyle name="Percent 7 4 2 2 2" xfId="12834"/>
    <cellStyle name="Percent 7 4 2 3" xfId="12835"/>
    <cellStyle name="Percent 7 4 2 3 2" xfId="12836"/>
    <cellStyle name="Percent 7 4 2 4" xfId="12837"/>
    <cellStyle name="Percent 7 4 3" xfId="12838"/>
    <cellStyle name="Percent 7 4 3 2" xfId="12839"/>
    <cellStyle name="Percent 7 4 3 2 2" xfId="12840"/>
    <cellStyle name="Percent 7 4 3 3" xfId="12841"/>
    <cellStyle name="Percent 7 4 3 3 2" xfId="12842"/>
    <cellStyle name="Percent 7 4 3 4" xfId="12843"/>
    <cellStyle name="Percent 7 4 4" xfId="12844"/>
    <cellStyle name="Percent 7 4 4 2" xfId="12845"/>
    <cellStyle name="Percent 7 4 4 2 2" xfId="12846"/>
    <cellStyle name="Percent 7 4 4 3" xfId="12847"/>
    <cellStyle name="Percent 7 4 4 3 2" xfId="12848"/>
    <cellStyle name="Percent 7 4 4 4" xfId="12849"/>
    <cellStyle name="Percent 7 4 4 4 2" xfId="12850"/>
    <cellStyle name="Percent 7 4 4 5" xfId="12851"/>
    <cellStyle name="Percent 7 4 5" xfId="12852"/>
    <cellStyle name="Percent 7 4 5 2" xfId="12853"/>
    <cellStyle name="Percent 7 4 5 2 2" xfId="12854"/>
    <cellStyle name="Percent 7 4 5 3" xfId="12855"/>
    <cellStyle name="Percent 7 4 5 3 2" xfId="12856"/>
    <cellStyle name="Percent 7 4 5 4" xfId="12857"/>
    <cellStyle name="Percent 7 4 6" xfId="12858"/>
    <cellStyle name="Percent 7 4 6 2" xfId="12859"/>
    <cellStyle name="Percent 7 4 7" xfId="12860"/>
    <cellStyle name="Percent 7 4 7 2" xfId="12861"/>
    <cellStyle name="Percent 7 4 8" xfId="12862"/>
    <cellStyle name="Percent 7 4 8 2" xfId="12863"/>
    <cellStyle name="Percent 7 4 9" xfId="12864"/>
    <cellStyle name="Percent 7 5 11" xfId="12865"/>
    <cellStyle name="Percent 7 5 10" xfId="12866"/>
    <cellStyle name="Percent 7 5 2" xfId="12867"/>
    <cellStyle name="Percent 7 5 2 2" xfId="12868"/>
    <cellStyle name="Percent 7 5 2 2 2" xfId="12869"/>
    <cellStyle name="Percent 7 5 2 3" xfId="12870"/>
    <cellStyle name="Percent 7 5 2 3 2" xfId="12871"/>
    <cellStyle name="Percent 7 5 2 4" xfId="12872"/>
    <cellStyle name="Percent 7 5 3" xfId="12873"/>
    <cellStyle name="Percent 7 5 3 2" xfId="12874"/>
    <cellStyle name="Percent 7 5 3 2 2" xfId="12875"/>
    <cellStyle name="Percent 7 5 3 3" xfId="12876"/>
    <cellStyle name="Percent 7 5 3 3 2" xfId="12877"/>
    <cellStyle name="Percent 7 5 3 4" xfId="12878"/>
    <cellStyle name="Percent 7 5 4" xfId="12879"/>
    <cellStyle name="Percent 7 5 4 2" xfId="12880"/>
    <cellStyle name="Percent 7 5 4 2 2" xfId="12881"/>
    <cellStyle name="Percent 7 5 4 3" xfId="12882"/>
    <cellStyle name="Percent 7 5 4 3 2" xfId="12883"/>
    <cellStyle name="Percent 7 5 4 4" xfId="12884"/>
    <cellStyle name="Percent 7 5 4 4 2" xfId="12885"/>
    <cellStyle name="Percent 7 5 4 5" xfId="12886"/>
    <cellStyle name="Percent 7 5 5" xfId="12887"/>
    <cellStyle name="Percent 7 5 5 2" xfId="12888"/>
    <cellStyle name="Percent 7 5 5 2 2" xfId="12889"/>
    <cellStyle name="Percent 7 5 5 3" xfId="12890"/>
    <cellStyle name="Percent 7 5 5 3 2" xfId="12891"/>
    <cellStyle name="Percent 7 5 5 4" xfId="12892"/>
    <cellStyle name="Percent 7 5 6" xfId="12893"/>
    <cellStyle name="Percent 7 5 6 2" xfId="12894"/>
    <cellStyle name="Percent 7 5 7" xfId="12895"/>
    <cellStyle name="Percent 7 5 7 2" xfId="12896"/>
    <cellStyle name="Percent 7 5 8" xfId="12897"/>
    <cellStyle name="Percent 7 5 8 2" xfId="12898"/>
    <cellStyle name="Percent 7 5 9" xfId="12899"/>
    <cellStyle name="Percent 7 6 11" xfId="12900"/>
    <cellStyle name="Percent 7 6 10" xfId="12901"/>
    <cellStyle name="Percent 7 6 2" xfId="12902"/>
    <cellStyle name="Percent 7 6 2 2" xfId="12903"/>
    <cellStyle name="Percent 7 6 2 2 2" xfId="12904"/>
    <cellStyle name="Percent 7 6 2 3" xfId="12905"/>
    <cellStyle name="Percent 7 6 2 3 2" xfId="12906"/>
    <cellStyle name="Percent 7 6 2 4" xfId="12907"/>
    <cellStyle name="Percent 7 6 3" xfId="12908"/>
    <cellStyle name="Percent 7 6 3 2" xfId="12909"/>
    <cellStyle name="Percent 7 6 3 2 2" xfId="12910"/>
    <cellStyle name="Percent 7 6 3 3" xfId="12911"/>
    <cellStyle name="Percent 7 6 3 3 2" xfId="12912"/>
    <cellStyle name="Percent 7 6 3 4" xfId="12913"/>
    <cellStyle name="Percent 7 6 4" xfId="12914"/>
    <cellStyle name="Percent 7 6 4 2" xfId="12915"/>
    <cellStyle name="Percent 7 6 4 2 2" xfId="12916"/>
    <cellStyle name="Percent 7 6 4 3" xfId="12917"/>
    <cellStyle name="Percent 7 6 4 3 2" xfId="12918"/>
    <cellStyle name="Percent 7 6 4 4" xfId="12919"/>
    <cellStyle name="Percent 7 6 4 4 2" xfId="12920"/>
    <cellStyle name="Percent 7 6 4 5" xfId="12921"/>
    <cellStyle name="Percent 7 6 5" xfId="12922"/>
    <cellStyle name="Percent 7 6 5 2" xfId="12923"/>
    <cellStyle name="Percent 7 6 5 2 2" xfId="12924"/>
    <cellStyle name="Percent 7 6 5 3" xfId="12925"/>
    <cellStyle name="Percent 7 6 5 3 2" xfId="12926"/>
    <cellStyle name="Percent 7 6 5 4" xfId="12927"/>
    <cellStyle name="Percent 7 6 6" xfId="12928"/>
    <cellStyle name="Percent 7 6 6 2" xfId="12929"/>
    <cellStyle name="Percent 7 6 7" xfId="12930"/>
    <cellStyle name="Percent 7 6 7 2" xfId="12931"/>
    <cellStyle name="Percent 7 6 8" xfId="12932"/>
    <cellStyle name="Percent 7 6 8 2" xfId="12933"/>
    <cellStyle name="Percent 7 6 9" xfId="12934"/>
    <cellStyle name="Percent 7 7 11" xfId="12935"/>
    <cellStyle name="Percent 7 7 10" xfId="12936"/>
    <cellStyle name="Percent 7 7 2" xfId="12937"/>
    <cellStyle name="Percent 7 7 2 2" xfId="12938"/>
    <cellStyle name="Percent 7 7 2 2 2" xfId="12939"/>
    <cellStyle name="Percent 7 7 2 3" xfId="12940"/>
    <cellStyle name="Percent 7 7 2 3 2" xfId="12941"/>
    <cellStyle name="Percent 7 7 2 4" xfId="12942"/>
    <cellStyle name="Percent 7 7 3" xfId="12943"/>
    <cellStyle name="Percent 7 7 3 2" xfId="12944"/>
    <cellStyle name="Percent 7 7 3 2 2" xfId="12945"/>
    <cellStyle name="Percent 7 7 3 3" xfId="12946"/>
    <cellStyle name="Percent 7 7 3 3 2" xfId="12947"/>
    <cellStyle name="Percent 7 7 3 4" xfId="12948"/>
    <cellStyle name="Percent 7 7 4" xfId="12949"/>
    <cellStyle name="Percent 7 7 4 2" xfId="12950"/>
    <cellStyle name="Percent 7 7 4 2 2" xfId="12951"/>
    <cellStyle name="Percent 7 7 4 3" xfId="12952"/>
    <cellStyle name="Percent 7 7 4 3 2" xfId="12953"/>
    <cellStyle name="Percent 7 7 4 4" xfId="12954"/>
    <cellStyle name="Percent 7 7 4 4 2" xfId="12955"/>
    <cellStyle name="Percent 7 7 4 5" xfId="12956"/>
    <cellStyle name="Percent 7 7 5" xfId="12957"/>
    <cellStyle name="Percent 7 7 5 2" xfId="12958"/>
    <cellStyle name="Percent 7 7 5 2 2" xfId="12959"/>
    <cellStyle name="Percent 7 7 5 3" xfId="12960"/>
    <cellStyle name="Percent 7 7 5 3 2" xfId="12961"/>
    <cellStyle name="Percent 7 7 5 4" xfId="12962"/>
    <cellStyle name="Percent 7 7 6" xfId="12963"/>
    <cellStyle name="Percent 7 7 6 2" xfId="12964"/>
    <cellStyle name="Percent 7 7 7" xfId="12965"/>
    <cellStyle name="Percent 7 7 7 2" xfId="12966"/>
    <cellStyle name="Percent 7 7 8" xfId="12967"/>
    <cellStyle name="Percent 7 7 8 2" xfId="12968"/>
    <cellStyle name="Percent 7 7 9" xfId="12969"/>
    <cellStyle name="Percent 7 8 11" xfId="12970"/>
    <cellStyle name="Percent 7 8 10" xfId="12971"/>
    <cellStyle name="Percent 7 8 2" xfId="12972"/>
    <cellStyle name="Percent 7 8 2 2" xfId="12973"/>
    <cellStyle name="Percent 7 8 2 2 2" xfId="12974"/>
    <cellStyle name="Percent 7 8 2 3" xfId="12975"/>
    <cellStyle name="Percent 7 8 2 3 2" xfId="12976"/>
    <cellStyle name="Percent 7 8 2 4" xfId="12977"/>
    <cellStyle name="Percent 7 8 3" xfId="12978"/>
    <cellStyle name="Percent 7 8 3 2" xfId="12979"/>
    <cellStyle name="Percent 7 8 3 2 2" xfId="12980"/>
    <cellStyle name="Percent 7 8 3 3" xfId="12981"/>
    <cellStyle name="Percent 7 8 3 3 2" xfId="12982"/>
    <cellStyle name="Percent 7 8 3 4" xfId="12983"/>
    <cellStyle name="Percent 7 8 4" xfId="12984"/>
    <cellStyle name="Percent 7 8 4 2" xfId="12985"/>
    <cellStyle name="Percent 7 8 4 2 2" xfId="12986"/>
    <cellStyle name="Percent 7 8 4 3" xfId="12987"/>
    <cellStyle name="Percent 7 8 4 3 2" xfId="12988"/>
    <cellStyle name="Percent 7 8 4 4" xfId="12989"/>
    <cellStyle name="Percent 7 8 4 4 2" xfId="12990"/>
    <cellStyle name="Percent 7 8 4 5" xfId="12991"/>
    <cellStyle name="Percent 7 8 5" xfId="12992"/>
    <cellStyle name="Percent 7 8 5 2" xfId="12993"/>
    <cellStyle name="Percent 7 8 5 2 2" xfId="12994"/>
    <cellStyle name="Percent 7 8 5 3" xfId="12995"/>
    <cellStyle name="Percent 7 8 5 3 2" xfId="12996"/>
    <cellStyle name="Percent 7 8 5 4" xfId="12997"/>
    <cellStyle name="Percent 7 8 6" xfId="12998"/>
    <cellStyle name="Percent 7 8 6 2" xfId="12999"/>
    <cellStyle name="Percent 7 8 7" xfId="13000"/>
    <cellStyle name="Percent 7 8 7 2" xfId="13001"/>
    <cellStyle name="Percent 7 8 8" xfId="13002"/>
    <cellStyle name="Percent 7 8 8 2" xfId="13003"/>
    <cellStyle name="Percent 7 8 9" xfId="13004"/>
    <cellStyle name="Percent 7 9" xfId="13005"/>
    <cellStyle name="Percent 7 9 10" xfId="13006"/>
    <cellStyle name="Percent 7 9 2" xfId="13007"/>
    <cellStyle name="Percent 7 9 2 2" xfId="13008"/>
    <cellStyle name="Percent 7 9 2 2 2" xfId="13009"/>
    <cellStyle name="Percent 7 9 2 3" xfId="13010"/>
    <cellStyle name="Percent 7 9 2 3 2" xfId="13011"/>
    <cellStyle name="Percent 7 9 2 4" xfId="13012"/>
    <cellStyle name="Percent 7 9 3" xfId="13013"/>
    <cellStyle name="Percent 7 9 3 2" xfId="13014"/>
    <cellStyle name="Percent 7 9 3 2 2" xfId="13015"/>
    <cellStyle name="Percent 7 9 3 3" xfId="13016"/>
    <cellStyle name="Percent 7 9 3 3 2" xfId="13017"/>
    <cellStyle name="Percent 7 9 3 4" xfId="13018"/>
    <cellStyle name="Percent 7 9 4" xfId="13019"/>
    <cellStyle name="Percent 7 9 4 2" xfId="13020"/>
    <cellStyle name="Percent 7 9 4 2 2" xfId="13021"/>
    <cellStyle name="Percent 7 9 4 3" xfId="13022"/>
    <cellStyle name="Percent 7 9 4 3 2" xfId="13023"/>
    <cellStyle name="Percent 7 9 4 4" xfId="13024"/>
    <cellStyle name="Percent 7 9 4 4 2" xfId="13025"/>
    <cellStyle name="Percent 7 9 4 5" xfId="13026"/>
    <cellStyle name="Percent 7 9 5" xfId="13027"/>
    <cellStyle name="Percent 7 9 5 2" xfId="13028"/>
    <cellStyle name="Percent 7 9 5 2 2" xfId="13029"/>
    <cellStyle name="Percent 7 9 5 3" xfId="13030"/>
    <cellStyle name="Percent 7 9 5 3 2" xfId="13031"/>
    <cellStyle name="Percent 7 9 5 4" xfId="13032"/>
    <cellStyle name="Percent 7 9 6" xfId="13033"/>
    <cellStyle name="Percent 7 9 6 2" xfId="13034"/>
    <cellStyle name="Percent 7 9 7" xfId="13035"/>
    <cellStyle name="Percent 7 9 7 2" xfId="13036"/>
    <cellStyle name="Percent 7 9 8" xfId="13037"/>
    <cellStyle name="Percent 7 9 8 2" xfId="13038"/>
    <cellStyle name="Percent 7 9 9" xfId="13039"/>
    <cellStyle name="Percent 8 18" xfId="13040"/>
    <cellStyle name="Percent 8 10" xfId="13041"/>
    <cellStyle name="Percent 8 10 2" xfId="13042"/>
    <cellStyle name="Percent 8 10 2 2" xfId="13043"/>
    <cellStyle name="Percent 8 10 3" xfId="13044"/>
    <cellStyle name="Percent 8 10 3 2" xfId="13045"/>
    <cellStyle name="Percent 8 10 4" xfId="13046"/>
    <cellStyle name="Percent 8 11" xfId="13047"/>
    <cellStyle name="Percent 8 11 2" xfId="13048"/>
    <cellStyle name="Percent 8 11 2 2" xfId="13049"/>
    <cellStyle name="Percent 8 11 3" xfId="13050"/>
    <cellStyle name="Percent 8 11 3 2" xfId="13051"/>
    <cellStyle name="Percent 8 11 4" xfId="13052"/>
    <cellStyle name="Percent 8 11 4 2" xfId="13053"/>
    <cellStyle name="Percent 8 11 5" xfId="13054"/>
    <cellStyle name="Percent 8 12" xfId="13055"/>
    <cellStyle name="Percent 8 12 2" xfId="13056"/>
    <cellStyle name="Percent 8 12 2 2" xfId="13057"/>
    <cellStyle name="Percent 8 12 3" xfId="13058"/>
    <cellStyle name="Percent 8 12 3 2" xfId="13059"/>
    <cellStyle name="Percent 8 12 4" xfId="13060"/>
    <cellStyle name="Percent 8 13" xfId="13061"/>
    <cellStyle name="Percent 8 13 2" xfId="13062"/>
    <cellStyle name="Percent 8 14" xfId="13063"/>
    <cellStyle name="Percent 8 14 2" xfId="13064"/>
    <cellStyle name="Percent 8 15" xfId="13065"/>
    <cellStyle name="Percent 8 15 2" xfId="13066"/>
    <cellStyle name="Percent 8 16" xfId="13067"/>
    <cellStyle name="Percent 8 17" xfId="13068"/>
    <cellStyle name="Percent 8 2 11" xfId="13069"/>
    <cellStyle name="Percent 8 2 10" xfId="13070"/>
    <cellStyle name="Percent 8 2 2" xfId="13071"/>
    <cellStyle name="Percent 8 2 2 2" xfId="13072"/>
    <cellStyle name="Percent 8 2 2 2 2" xfId="13073"/>
    <cellStyle name="Percent 8 2 2 3" xfId="13074"/>
    <cellStyle name="Percent 8 2 2 3 2" xfId="13075"/>
    <cellStyle name="Percent 8 2 2 4" xfId="13076"/>
    <cellStyle name="Percent 8 2 3" xfId="13077"/>
    <cellStyle name="Percent 8 2 3 2" xfId="13078"/>
    <cellStyle name="Percent 8 2 3 2 2" xfId="13079"/>
    <cellStyle name="Percent 8 2 3 3" xfId="13080"/>
    <cellStyle name="Percent 8 2 3 3 2" xfId="13081"/>
    <cellStyle name="Percent 8 2 3 4" xfId="13082"/>
    <cellStyle name="Percent 8 2 4" xfId="13083"/>
    <cellStyle name="Percent 8 2 4 2" xfId="13084"/>
    <cellStyle name="Percent 8 2 4 2 2" xfId="13085"/>
    <cellStyle name="Percent 8 2 4 3" xfId="13086"/>
    <cellStyle name="Percent 8 2 4 3 2" xfId="13087"/>
    <cellStyle name="Percent 8 2 4 4" xfId="13088"/>
    <cellStyle name="Percent 8 2 4 4 2" xfId="13089"/>
    <cellStyle name="Percent 8 2 4 5" xfId="13090"/>
    <cellStyle name="Percent 8 2 5" xfId="13091"/>
    <cellStyle name="Percent 8 2 5 2" xfId="13092"/>
    <cellStyle name="Percent 8 2 5 2 2" xfId="13093"/>
    <cellStyle name="Percent 8 2 5 3" xfId="13094"/>
    <cellStyle name="Percent 8 2 5 3 2" xfId="13095"/>
    <cellStyle name="Percent 8 2 5 4" xfId="13096"/>
    <cellStyle name="Percent 8 2 6" xfId="13097"/>
    <cellStyle name="Percent 8 2 6 2" xfId="13098"/>
    <cellStyle name="Percent 8 2 7" xfId="13099"/>
    <cellStyle name="Percent 8 2 7 2" xfId="13100"/>
    <cellStyle name="Percent 8 2 8" xfId="13101"/>
    <cellStyle name="Percent 8 2 8 2" xfId="13102"/>
    <cellStyle name="Percent 8 2 9" xfId="13103"/>
    <cellStyle name="Percent 8 3 11" xfId="13104"/>
    <cellStyle name="Percent 8 3 10" xfId="13105"/>
    <cellStyle name="Percent 8 3 2" xfId="13106"/>
    <cellStyle name="Percent 8 3 2 2" xfId="13107"/>
    <cellStyle name="Percent 8 3 2 2 2" xfId="13108"/>
    <cellStyle name="Percent 8 3 2 3" xfId="13109"/>
    <cellStyle name="Percent 8 3 2 3 2" xfId="13110"/>
    <cellStyle name="Percent 8 3 2 4" xfId="13111"/>
    <cellStyle name="Percent 8 3 3" xfId="13112"/>
    <cellStyle name="Percent 8 3 3 2" xfId="13113"/>
    <cellStyle name="Percent 8 3 3 2 2" xfId="13114"/>
    <cellStyle name="Percent 8 3 3 3" xfId="13115"/>
    <cellStyle name="Percent 8 3 3 3 2" xfId="13116"/>
    <cellStyle name="Percent 8 3 3 4" xfId="13117"/>
    <cellStyle name="Percent 8 3 4" xfId="13118"/>
    <cellStyle name="Percent 8 3 4 2" xfId="13119"/>
    <cellStyle name="Percent 8 3 4 2 2" xfId="13120"/>
    <cellStyle name="Percent 8 3 4 3" xfId="13121"/>
    <cellStyle name="Percent 8 3 4 3 2" xfId="13122"/>
    <cellStyle name="Percent 8 3 4 4" xfId="13123"/>
    <cellStyle name="Percent 8 3 4 4 2" xfId="13124"/>
    <cellStyle name="Percent 8 3 4 5" xfId="13125"/>
    <cellStyle name="Percent 8 3 5" xfId="13126"/>
    <cellStyle name="Percent 8 3 5 2" xfId="13127"/>
    <cellStyle name="Percent 8 3 5 2 2" xfId="13128"/>
    <cellStyle name="Percent 8 3 5 3" xfId="13129"/>
    <cellStyle name="Percent 8 3 5 3 2" xfId="13130"/>
    <cellStyle name="Percent 8 3 5 4" xfId="13131"/>
    <cellStyle name="Percent 8 3 6" xfId="13132"/>
    <cellStyle name="Percent 8 3 6 2" xfId="13133"/>
    <cellStyle name="Percent 8 3 7" xfId="13134"/>
    <cellStyle name="Percent 8 3 7 2" xfId="13135"/>
    <cellStyle name="Percent 8 3 8" xfId="13136"/>
    <cellStyle name="Percent 8 3 8 2" xfId="13137"/>
    <cellStyle name="Percent 8 3 9" xfId="13138"/>
    <cellStyle name="Percent 8 4 11" xfId="13139"/>
    <cellStyle name="Percent 8 4 10" xfId="13140"/>
    <cellStyle name="Percent 8 4 2" xfId="13141"/>
    <cellStyle name="Percent 8 4 2 2" xfId="13142"/>
    <cellStyle name="Percent 8 4 2 2 2" xfId="13143"/>
    <cellStyle name="Percent 8 4 2 3" xfId="13144"/>
    <cellStyle name="Percent 8 4 2 3 2" xfId="13145"/>
    <cellStyle name="Percent 8 4 2 4" xfId="13146"/>
    <cellStyle name="Percent 8 4 3" xfId="13147"/>
    <cellStyle name="Percent 8 4 3 2" xfId="13148"/>
    <cellStyle name="Percent 8 4 3 2 2" xfId="13149"/>
    <cellStyle name="Percent 8 4 3 3" xfId="13150"/>
    <cellStyle name="Percent 8 4 3 3 2" xfId="13151"/>
    <cellStyle name="Percent 8 4 3 4" xfId="13152"/>
    <cellStyle name="Percent 8 4 4" xfId="13153"/>
    <cellStyle name="Percent 8 4 4 2" xfId="13154"/>
    <cellStyle name="Percent 8 4 4 2 2" xfId="13155"/>
    <cellStyle name="Percent 8 4 4 3" xfId="13156"/>
    <cellStyle name="Percent 8 4 4 3 2" xfId="13157"/>
    <cellStyle name="Percent 8 4 4 4" xfId="13158"/>
    <cellStyle name="Percent 8 4 4 4 2" xfId="13159"/>
    <cellStyle name="Percent 8 4 4 5" xfId="13160"/>
    <cellStyle name="Percent 8 4 5" xfId="13161"/>
    <cellStyle name="Percent 8 4 5 2" xfId="13162"/>
    <cellStyle name="Percent 8 4 5 2 2" xfId="13163"/>
    <cellStyle name="Percent 8 4 5 3" xfId="13164"/>
    <cellStyle name="Percent 8 4 5 3 2" xfId="13165"/>
    <cellStyle name="Percent 8 4 5 4" xfId="13166"/>
    <cellStyle name="Percent 8 4 6" xfId="13167"/>
    <cellStyle name="Percent 8 4 6 2" xfId="13168"/>
    <cellStyle name="Percent 8 4 7" xfId="13169"/>
    <cellStyle name="Percent 8 4 7 2" xfId="13170"/>
    <cellStyle name="Percent 8 4 8" xfId="13171"/>
    <cellStyle name="Percent 8 4 8 2" xfId="13172"/>
    <cellStyle name="Percent 8 4 9" xfId="13173"/>
    <cellStyle name="Percent 8 5 11" xfId="13174"/>
    <cellStyle name="Percent 8 5 10" xfId="13175"/>
    <cellStyle name="Percent 8 5 2" xfId="13176"/>
    <cellStyle name="Percent 8 5 2 2" xfId="13177"/>
    <cellStyle name="Percent 8 5 2 2 2" xfId="13178"/>
    <cellStyle name="Percent 8 5 2 3" xfId="13179"/>
    <cellStyle name="Percent 8 5 2 3 2" xfId="13180"/>
    <cellStyle name="Percent 8 5 2 4" xfId="13181"/>
    <cellStyle name="Percent 8 5 3" xfId="13182"/>
    <cellStyle name="Percent 8 5 3 2" xfId="13183"/>
    <cellStyle name="Percent 8 5 3 2 2" xfId="13184"/>
    <cellStyle name="Percent 8 5 3 3" xfId="13185"/>
    <cellStyle name="Percent 8 5 3 3 2" xfId="13186"/>
    <cellStyle name="Percent 8 5 3 4" xfId="13187"/>
    <cellStyle name="Percent 8 5 4" xfId="13188"/>
    <cellStyle name="Percent 8 5 4 2" xfId="13189"/>
    <cellStyle name="Percent 8 5 4 2 2" xfId="13190"/>
    <cellStyle name="Percent 8 5 4 3" xfId="13191"/>
    <cellStyle name="Percent 8 5 4 3 2" xfId="13192"/>
    <cellStyle name="Percent 8 5 4 4" xfId="13193"/>
    <cellStyle name="Percent 8 5 4 4 2" xfId="13194"/>
    <cellStyle name="Percent 8 5 4 5" xfId="13195"/>
    <cellStyle name="Percent 8 5 5" xfId="13196"/>
    <cellStyle name="Percent 8 5 5 2" xfId="13197"/>
    <cellStyle name="Percent 8 5 5 2 2" xfId="13198"/>
    <cellStyle name="Percent 8 5 5 3" xfId="13199"/>
    <cellStyle name="Percent 8 5 5 3 2" xfId="13200"/>
    <cellStyle name="Percent 8 5 5 4" xfId="13201"/>
    <cellStyle name="Percent 8 5 6" xfId="13202"/>
    <cellStyle name="Percent 8 5 6 2" xfId="13203"/>
    <cellStyle name="Percent 8 5 7" xfId="13204"/>
    <cellStyle name="Percent 8 5 7 2" xfId="13205"/>
    <cellStyle name="Percent 8 5 8" xfId="13206"/>
    <cellStyle name="Percent 8 5 8 2" xfId="13207"/>
    <cellStyle name="Percent 8 5 9" xfId="13208"/>
    <cellStyle name="Percent 8 6 11" xfId="13209"/>
    <cellStyle name="Percent 8 6 10" xfId="13210"/>
    <cellStyle name="Percent 8 6 2" xfId="13211"/>
    <cellStyle name="Percent 8 6 2 2" xfId="13212"/>
    <cellStyle name="Percent 8 6 2 2 2" xfId="13213"/>
    <cellStyle name="Percent 8 6 2 3" xfId="13214"/>
    <cellStyle name="Percent 8 6 2 3 2" xfId="13215"/>
    <cellStyle name="Percent 8 6 2 4" xfId="13216"/>
    <cellStyle name="Percent 8 6 3" xfId="13217"/>
    <cellStyle name="Percent 8 6 3 2" xfId="13218"/>
    <cellStyle name="Percent 8 6 3 2 2" xfId="13219"/>
    <cellStyle name="Percent 8 6 3 3" xfId="13220"/>
    <cellStyle name="Percent 8 6 3 3 2" xfId="13221"/>
    <cellStyle name="Percent 8 6 3 4" xfId="13222"/>
    <cellStyle name="Percent 8 6 4" xfId="13223"/>
    <cellStyle name="Percent 8 6 4 2" xfId="13224"/>
    <cellStyle name="Percent 8 6 4 2 2" xfId="13225"/>
    <cellStyle name="Percent 8 6 4 3" xfId="13226"/>
    <cellStyle name="Percent 8 6 4 3 2" xfId="13227"/>
    <cellStyle name="Percent 8 6 4 4" xfId="13228"/>
    <cellStyle name="Percent 8 6 4 4 2" xfId="13229"/>
    <cellStyle name="Percent 8 6 4 5" xfId="13230"/>
    <cellStyle name="Percent 8 6 5" xfId="13231"/>
    <cellStyle name="Percent 8 6 5 2" xfId="13232"/>
    <cellStyle name="Percent 8 6 5 2 2" xfId="13233"/>
    <cellStyle name="Percent 8 6 5 3" xfId="13234"/>
    <cellStyle name="Percent 8 6 5 3 2" xfId="13235"/>
    <cellStyle name="Percent 8 6 5 4" xfId="13236"/>
    <cellStyle name="Percent 8 6 6" xfId="13237"/>
    <cellStyle name="Percent 8 6 6 2" xfId="13238"/>
    <cellStyle name="Percent 8 6 7" xfId="13239"/>
    <cellStyle name="Percent 8 6 7 2" xfId="13240"/>
    <cellStyle name="Percent 8 6 8" xfId="13241"/>
    <cellStyle name="Percent 8 6 8 2" xfId="13242"/>
    <cellStyle name="Percent 8 6 9" xfId="13243"/>
    <cellStyle name="Percent 8 7 11" xfId="13244"/>
    <cellStyle name="Percent 8 7 10" xfId="13245"/>
    <cellStyle name="Percent 8 7 2" xfId="13246"/>
    <cellStyle name="Percent 8 7 2 2" xfId="13247"/>
    <cellStyle name="Percent 8 7 2 2 2" xfId="13248"/>
    <cellStyle name="Percent 8 7 2 3" xfId="13249"/>
    <cellStyle name="Percent 8 7 2 3 2" xfId="13250"/>
    <cellStyle name="Percent 8 7 2 4" xfId="13251"/>
    <cellStyle name="Percent 8 7 3" xfId="13252"/>
    <cellStyle name="Percent 8 7 3 2" xfId="13253"/>
    <cellStyle name="Percent 8 7 3 2 2" xfId="13254"/>
    <cellStyle name="Percent 8 7 3 3" xfId="13255"/>
    <cellStyle name="Percent 8 7 3 3 2" xfId="13256"/>
    <cellStyle name="Percent 8 7 3 4" xfId="13257"/>
    <cellStyle name="Percent 8 7 4" xfId="13258"/>
    <cellStyle name="Percent 8 7 4 2" xfId="13259"/>
    <cellStyle name="Percent 8 7 4 2 2" xfId="13260"/>
    <cellStyle name="Percent 8 7 4 3" xfId="13261"/>
    <cellStyle name="Percent 8 7 4 3 2" xfId="13262"/>
    <cellStyle name="Percent 8 7 4 4" xfId="13263"/>
    <cellStyle name="Percent 8 7 4 4 2" xfId="13264"/>
    <cellStyle name="Percent 8 7 4 5" xfId="13265"/>
    <cellStyle name="Percent 8 7 5" xfId="13266"/>
    <cellStyle name="Percent 8 7 5 2" xfId="13267"/>
    <cellStyle name="Percent 8 7 5 2 2" xfId="13268"/>
    <cellStyle name="Percent 8 7 5 3" xfId="13269"/>
    <cellStyle name="Percent 8 7 5 3 2" xfId="13270"/>
    <cellStyle name="Percent 8 7 5 4" xfId="13271"/>
    <cellStyle name="Percent 8 7 6" xfId="13272"/>
    <cellStyle name="Percent 8 7 6 2" xfId="13273"/>
    <cellStyle name="Percent 8 7 7" xfId="13274"/>
    <cellStyle name="Percent 8 7 7 2" xfId="13275"/>
    <cellStyle name="Percent 8 7 8" xfId="13276"/>
    <cellStyle name="Percent 8 7 8 2" xfId="13277"/>
    <cellStyle name="Percent 8 7 9" xfId="13278"/>
    <cellStyle name="Percent 8 8 11" xfId="13279"/>
    <cellStyle name="Percent 8 8 10" xfId="13280"/>
    <cellStyle name="Percent 8 8 2" xfId="13281"/>
    <cellStyle name="Percent 8 8 2 2" xfId="13282"/>
    <cellStyle name="Percent 8 8 2 2 2" xfId="13283"/>
    <cellStyle name="Percent 8 8 2 3" xfId="13284"/>
    <cellStyle name="Percent 8 8 2 3 2" xfId="13285"/>
    <cellStyle name="Percent 8 8 2 4" xfId="13286"/>
    <cellStyle name="Percent 8 8 3" xfId="13287"/>
    <cellStyle name="Percent 8 8 3 2" xfId="13288"/>
    <cellStyle name="Percent 8 8 3 2 2" xfId="13289"/>
    <cellStyle name="Percent 8 8 3 3" xfId="13290"/>
    <cellStyle name="Percent 8 8 3 3 2" xfId="13291"/>
    <cellStyle name="Percent 8 8 3 4" xfId="13292"/>
    <cellStyle name="Percent 8 8 4" xfId="13293"/>
    <cellStyle name="Percent 8 8 4 2" xfId="13294"/>
    <cellStyle name="Percent 8 8 4 2 2" xfId="13295"/>
    <cellStyle name="Percent 8 8 4 3" xfId="13296"/>
    <cellStyle name="Percent 8 8 4 3 2" xfId="13297"/>
    <cellStyle name="Percent 8 8 4 4" xfId="13298"/>
    <cellStyle name="Percent 8 8 4 4 2" xfId="13299"/>
    <cellStyle name="Percent 8 8 4 5" xfId="13300"/>
    <cellStyle name="Percent 8 8 5" xfId="13301"/>
    <cellStyle name="Percent 8 8 5 2" xfId="13302"/>
    <cellStyle name="Percent 8 8 5 2 2" xfId="13303"/>
    <cellStyle name="Percent 8 8 5 3" xfId="13304"/>
    <cellStyle name="Percent 8 8 5 3 2" xfId="13305"/>
    <cellStyle name="Percent 8 8 5 4" xfId="13306"/>
    <cellStyle name="Percent 8 8 6" xfId="13307"/>
    <cellStyle name="Percent 8 8 6 2" xfId="13308"/>
    <cellStyle name="Percent 8 8 7" xfId="13309"/>
    <cellStyle name="Percent 8 8 7 2" xfId="13310"/>
    <cellStyle name="Percent 8 8 8" xfId="13311"/>
    <cellStyle name="Percent 8 8 8 2" xfId="13312"/>
    <cellStyle name="Percent 8 8 9" xfId="13313"/>
    <cellStyle name="Percent 8 9" xfId="13314"/>
    <cellStyle name="Percent 8 9 2" xfId="13315"/>
    <cellStyle name="Percent 8 9 2 2" xfId="13316"/>
    <cellStyle name="Percent 8 9 3" xfId="13317"/>
    <cellStyle name="Percent 8 9 3 2" xfId="13318"/>
    <cellStyle name="Percent 8 9 4" xfId="13319"/>
    <cellStyle name="Percent 9 30" xfId="13320"/>
    <cellStyle name="Percent 9 10 12" xfId="13321"/>
    <cellStyle name="Percent 9 10 10" xfId="13322"/>
    <cellStyle name="Percent 9 10 11" xfId="13323"/>
    <cellStyle name="Percent 9 10 2" xfId="13324"/>
    <cellStyle name="Percent 9 10 2 2" xfId="13325"/>
    <cellStyle name="Percent 9 10 2 2 2" xfId="13326"/>
    <cellStyle name="Percent 9 10 2 3" xfId="13327"/>
    <cellStyle name="Percent 9 10 2 3 2" xfId="13328"/>
    <cellStyle name="Percent 9 10 2 4" xfId="13329"/>
    <cellStyle name="Percent 9 10 2 5" xfId="13330"/>
    <cellStyle name="Percent 9 10 3" xfId="13331"/>
    <cellStyle name="Percent 9 10 3 2" xfId="13332"/>
    <cellStyle name="Percent 9 10 3 2 2" xfId="13333"/>
    <cellStyle name="Percent 9 10 3 3" xfId="13334"/>
    <cellStyle name="Percent 9 10 3 3 2" xfId="13335"/>
    <cellStyle name="Percent 9 10 3 4" xfId="13336"/>
    <cellStyle name="Percent 9 10 4" xfId="13337"/>
    <cellStyle name="Percent 9 10 4 2" xfId="13338"/>
    <cellStyle name="Percent 9 10 4 2 2" xfId="13339"/>
    <cellStyle name="Percent 9 10 4 3" xfId="13340"/>
    <cellStyle name="Percent 9 10 4 3 2" xfId="13341"/>
    <cellStyle name="Percent 9 10 4 4" xfId="13342"/>
    <cellStyle name="Percent 9 10 5" xfId="13343"/>
    <cellStyle name="Percent 9 10 5 2" xfId="13344"/>
    <cellStyle name="Percent 9 10 5 2 2" xfId="13345"/>
    <cellStyle name="Percent 9 10 5 3" xfId="13346"/>
    <cellStyle name="Percent 9 10 5 3 2" xfId="13347"/>
    <cellStyle name="Percent 9 10 5 4" xfId="13348"/>
    <cellStyle name="Percent 9 10 5 4 2" xfId="13349"/>
    <cellStyle name="Percent 9 10 5 5" xfId="13350"/>
    <cellStyle name="Percent 9 10 6" xfId="13351"/>
    <cellStyle name="Percent 9 10 6 2" xfId="13352"/>
    <cellStyle name="Percent 9 10 6 2 2" xfId="13353"/>
    <cellStyle name="Percent 9 10 6 3" xfId="13354"/>
    <cellStyle name="Percent 9 10 6 3 2" xfId="13355"/>
    <cellStyle name="Percent 9 10 6 4" xfId="13356"/>
    <cellStyle name="Percent 9 10 7" xfId="13357"/>
    <cellStyle name="Percent 9 10 7 2" xfId="13358"/>
    <cellStyle name="Percent 9 10 8" xfId="13359"/>
    <cellStyle name="Percent 9 10 8 2" xfId="13360"/>
    <cellStyle name="Percent 9 10 9" xfId="13361"/>
    <cellStyle name="Percent 9 10 9 2" xfId="13362"/>
    <cellStyle name="Percent 9 11 12" xfId="13363"/>
    <cellStyle name="Percent 9 11 10" xfId="13364"/>
    <cellStyle name="Percent 9 11 11" xfId="13365"/>
    <cellStyle name="Percent 9 11 2" xfId="13366"/>
    <cellStyle name="Percent 9 11 2 2" xfId="13367"/>
    <cellStyle name="Percent 9 11 2 2 2" xfId="13368"/>
    <cellStyle name="Percent 9 11 2 3" xfId="13369"/>
    <cellStyle name="Percent 9 11 2 3 2" xfId="13370"/>
    <cellStyle name="Percent 9 11 2 4" xfId="13371"/>
    <cellStyle name="Percent 9 11 2 5" xfId="13372"/>
    <cellStyle name="Percent 9 11 3" xfId="13373"/>
    <cellStyle name="Percent 9 11 3 2" xfId="13374"/>
    <cellStyle name="Percent 9 11 3 2 2" xfId="13375"/>
    <cellStyle name="Percent 9 11 3 3" xfId="13376"/>
    <cellStyle name="Percent 9 11 3 3 2" xfId="13377"/>
    <cellStyle name="Percent 9 11 3 4" xfId="13378"/>
    <cellStyle name="Percent 9 11 4" xfId="13379"/>
    <cellStyle name="Percent 9 11 4 2" xfId="13380"/>
    <cellStyle name="Percent 9 11 4 2 2" xfId="13381"/>
    <cellStyle name="Percent 9 11 4 3" xfId="13382"/>
    <cellStyle name="Percent 9 11 4 3 2" xfId="13383"/>
    <cellStyle name="Percent 9 11 4 4" xfId="13384"/>
    <cellStyle name="Percent 9 11 5" xfId="13385"/>
    <cellStyle name="Percent 9 11 5 2" xfId="13386"/>
    <cellStyle name="Percent 9 11 5 2 2" xfId="13387"/>
    <cellStyle name="Percent 9 11 5 3" xfId="13388"/>
    <cellStyle name="Percent 9 11 5 3 2" xfId="13389"/>
    <cellStyle name="Percent 9 11 5 4" xfId="13390"/>
    <cellStyle name="Percent 9 11 5 4 2" xfId="13391"/>
    <cellStyle name="Percent 9 11 5 5" xfId="13392"/>
    <cellStyle name="Percent 9 11 6" xfId="13393"/>
    <cellStyle name="Percent 9 11 6 2" xfId="13394"/>
    <cellStyle name="Percent 9 11 6 2 2" xfId="13395"/>
    <cellStyle name="Percent 9 11 6 3" xfId="13396"/>
    <cellStyle name="Percent 9 11 6 3 2" xfId="13397"/>
    <cellStyle name="Percent 9 11 6 4" xfId="13398"/>
    <cellStyle name="Percent 9 11 7" xfId="13399"/>
    <cellStyle name="Percent 9 11 7 2" xfId="13400"/>
    <cellStyle name="Percent 9 11 8" xfId="13401"/>
    <cellStyle name="Percent 9 11 8 2" xfId="13402"/>
    <cellStyle name="Percent 9 11 9" xfId="13403"/>
    <cellStyle name="Percent 9 11 9 2" xfId="13404"/>
    <cellStyle name="Percent 9 12 12" xfId="13405"/>
    <cellStyle name="Percent 9 12 10" xfId="13406"/>
    <cellStyle name="Percent 9 12 11" xfId="13407"/>
    <cellStyle name="Percent 9 12 2" xfId="13408"/>
    <cellStyle name="Percent 9 12 2 2" xfId="13409"/>
    <cellStyle name="Percent 9 12 2 2 2" xfId="13410"/>
    <cellStyle name="Percent 9 12 2 3" xfId="13411"/>
    <cellStyle name="Percent 9 12 2 3 2" xfId="13412"/>
    <cellStyle name="Percent 9 12 2 4" xfId="13413"/>
    <cellStyle name="Percent 9 12 2 5" xfId="13414"/>
    <cellStyle name="Percent 9 12 3" xfId="13415"/>
    <cellStyle name="Percent 9 12 3 2" xfId="13416"/>
    <cellStyle name="Percent 9 12 3 2 2" xfId="13417"/>
    <cellStyle name="Percent 9 12 3 3" xfId="13418"/>
    <cellStyle name="Percent 9 12 3 3 2" xfId="13419"/>
    <cellStyle name="Percent 9 12 3 4" xfId="13420"/>
    <cellStyle name="Percent 9 12 4" xfId="13421"/>
    <cellStyle name="Percent 9 12 4 2" xfId="13422"/>
    <cellStyle name="Percent 9 12 4 2 2" xfId="13423"/>
    <cellStyle name="Percent 9 12 4 3" xfId="13424"/>
    <cellStyle name="Percent 9 12 4 3 2" xfId="13425"/>
    <cellStyle name="Percent 9 12 4 4" xfId="13426"/>
    <cellStyle name="Percent 9 12 5" xfId="13427"/>
    <cellStyle name="Percent 9 12 5 2" xfId="13428"/>
    <cellStyle name="Percent 9 12 5 2 2" xfId="13429"/>
    <cellStyle name="Percent 9 12 5 3" xfId="13430"/>
    <cellStyle name="Percent 9 12 5 3 2" xfId="13431"/>
    <cellStyle name="Percent 9 12 5 4" xfId="13432"/>
    <cellStyle name="Percent 9 12 5 4 2" xfId="13433"/>
    <cellStyle name="Percent 9 12 5 5" xfId="13434"/>
    <cellStyle name="Percent 9 12 6" xfId="13435"/>
    <cellStyle name="Percent 9 12 6 2" xfId="13436"/>
    <cellStyle name="Percent 9 12 6 2 2" xfId="13437"/>
    <cellStyle name="Percent 9 12 6 3" xfId="13438"/>
    <cellStyle name="Percent 9 12 6 3 2" xfId="13439"/>
    <cellStyle name="Percent 9 12 6 4" xfId="13440"/>
    <cellStyle name="Percent 9 12 7" xfId="13441"/>
    <cellStyle name="Percent 9 12 7 2" xfId="13442"/>
    <cellStyle name="Percent 9 12 8" xfId="13443"/>
    <cellStyle name="Percent 9 12 8 2" xfId="13444"/>
    <cellStyle name="Percent 9 12 9" xfId="13445"/>
    <cellStyle name="Percent 9 12 9 2" xfId="13446"/>
    <cellStyle name="Percent 9 13 12" xfId="13447"/>
    <cellStyle name="Percent 9 13 10" xfId="13448"/>
    <cellStyle name="Percent 9 13 11" xfId="13449"/>
    <cellStyle name="Percent 9 13 2" xfId="13450"/>
    <cellStyle name="Percent 9 13 2 2" xfId="13451"/>
    <cellStyle name="Percent 9 13 2 2 2" xfId="13452"/>
    <cellStyle name="Percent 9 13 2 3" xfId="13453"/>
    <cellStyle name="Percent 9 13 2 3 2" xfId="13454"/>
    <cellStyle name="Percent 9 13 2 4" xfId="13455"/>
    <cellStyle name="Percent 9 13 2 5" xfId="13456"/>
    <cellStyle name="Percent 9 13 3" xfId="13457"/>
    <cellStyle name="Percent 9 13 3 2" xfId="13458"/>
    <cellStyle name="Percent 9 13 3 2 2" xfId="13459"/>
    <cellStyle name="Percent 9 13 3 3" xfId="13460"/>
    <cellStyle name="Percent 9 13 3 3 2" xfId="13461"/>
    <cellStyle name="Percent 9 13 3 4" xfId="13462"/>
    <cellStyle name="Percent 9 13 4" xfId="13463"/>
    <cellStyle name="Percent 9 13 4 2" xfId="13464"/>
    <cellStyle name="Percent 9 13 4 2 2" xfId="13465"/>
    <cellStyle name="Percent 9 13 4 3" xfId="13466"/>
    <cellStyle name="Percent 9 13 4 3 2" xfId="13467"/>
    <cellStyle name="Percent 9 13 4 4" xfId="13468"/>
    <cellStyle name="Percent 9 13 5" xfId="13469"/>
    <cellStyle name="Percent 9 13 5 2" xfId="13470"/>
    <cellStyle name="Percent 9 13 5 2 2" xfId="13471"/>
    <cellStyle name="Percent 9 13 5 3" xfId="13472"/>
    <cellStyle name="Percent 9 13 5 3 2" xfId="13473"/>
    <cellStyle name="Percent 9 13 5 4" xfId="13474"/>
    <cellStyle name="Percent 9 13 5 4 2" xfId="13475"/>
    <cellStyle name="Percent 9 13 5 5" xfId="13476"/>
    <cellStyle name="Percent 9 13 6" xfId="13477"/>
    <cellStyle name="Percent 9 13 6 2" xfId="13478"/>
    <cellStyle name="Percent 9 13 6 2 2" xfId="13479"/>
    <cellStyle name="Percent 9 13 6 3" xfId="13480"/>
    <cellStyle name="Percent 9 13 6 3 2" xfId="13481"/>
    <cellStyle name="Percent 9 13 6 4" xfId="13482"/>
    <cellStyle name="Percent 9 13 7" xfId="13483"/>
    <cellStyle name="Percent 9 13 7 2" xfId="13484"/>
    <cellStyle name="Percent 9 13 8" xfId="13485"/>
    <cellStyle name="Percent 9 13 8 2" xfId="13486"/>
    <cellStyle name="Percent 9 13 9" xfId="13487"/>
    <cellStyle name="Percent 9 13 9 2" xfId="13488"/>
    <cellStyle name="Percent 9 14 12" xfId="13489"/>
    <cellStyle name="Percent 9 14 10" xfId="13490"/>
    <cellStyle name="Percent 9 14 11" xfId="13491"/>
    <cellStyle name="Percent 9 14 2" xfId="13492"/>
    <cellStyle name="Percent 9 14 2 2" xfId="13493"/>
    <cellStyle name="Percent 9 14 2 2 2" xfId="13494"/>
    <cellStyle name="Percent 9 14 2 3" xfId="13495"/>
    <cellStyle name="Percent 9 14 2 3 2" xfId="13496"/>
    <cellStyle name="Percent 9 14 2 4" xfId="13497"/>
    <cellStyle name="Percent 9 14 2 5" xfId="13498"/>
    <cellStyle name="Percent 9 14 3" xfId="13499"/>
    <cellStyle name="Percent 9 14 3 2" xfId="13500"/>
    <cellStyle name="Percent 9 14 3 2 2" xfId="13501"/>
    <cellStyle name="Percent 9 14 3 3" xfId="13502"/>
    <cellStyle name="Percent 9 14 3 3 2" xfId="13503"/>
    <cellStyle name="Percent 9 14 3 4" xfId="13504"/>
    <cellStyle name="Percent 9 14 4" xfId="13505"/>
    <cellStyle name="Percent 9 14 4 2" xfId="13506"/>
    <cellStyle name="Percent 9 14 4 2 2" xfId="13507"/>
    <cellStyle name="Percent 9 14 4 3" xfId="13508"/>
    <cellStyle name="Percent 9 14 4 3 2" xfId="13509"/>
    <cellStyle name="Percent 9 14 4 4" xfId="13510"/>
    <cellStyle name="Percent 9 14 5" xfId="13511"/>
    <cellStyle name="Percent 9 14 5 2" xfId="13512"/>
    <cellStyle name="Percent 9 14 5 2 2" xfId="13513"/>
    <cellStyle name="Percent 9 14 5 3" xfId="13514"/>
    <cellStyle name="Percent 9 14 5 3 2" xfId="13515"/>
    <cellStyle name="Percent 9 14 5 4" xfId="13516"/>
    <cellStyle name="Percent 9 14 5 4 2" xfId="13517"/>
    <cellStyle name="Percent 9 14 5 5" xfId="13518"/>
    <cellStyle name="Percent 9 14 6" xfId="13519"/>
    <cellStyle name="Percent 9 14 6 2" xfId="13520"/>
    <cellStyle name="Percent 9 14 6 2 2" xfId="13521"/>
    <cellStyle name="Percent 9 14 6 3" xfId="13522"/>
    <cellStyle name="Percent 9 14 6 3 2" xfId="13523"/>
    <cellStyle name="Percent 9 14 6 4" xfId="13524"/>
    <cellStyle name="Percent 9 14 7" xfId="13525"/>
    <cellStyle name="Percent 9 14 7 2" xfId="13526"/>
    <cellStyle name="Percent 9 14 8" xfId="13527"/>
    <cellStyle name="Percent 9 14 8 2" xfId="13528"/>
    <cellStyle name="Percent 9 14 9" xfId="13529"/>
    <cellStyle name="Percent 9 14 9 2" xfId="13530"/>
    <cellStyle name="Percent 9 15 12" xfId="13531"/>
    <cellStyle name="Percent 9 15 10" xfId="13532"/>
    <cellStyle name="Percent 9 15 11" xfId="13533"/>
    <cellStyle name="Percent 9 15 2" xfId="13534"/>
    <cellStyle name="Percent 9 15 2 2" xfId="13535"/>
    <cellStyle name="Percent 9 15 2 2 2" xfId="13536"/>
    <cellStyle name="Percent 9 15 2 3" xfId="13537"/>
    <cellStyle name="Percent 9 15 2 3 2" xfId="13538"/>
    <cellStyle name="Percent 9 15 2 4" xfId="13539"/>
    <cellStyle name="Percent 9 15 2 5" xfId="13540"/>
    <cellStyle name="Percent 9 15 3" xfId="13541"/>
    <cellStyle name="Percent 9 15 3 2" xfId="13542"/>
    <cellStyle name="Percent 9 15 3 2 2" xfId="13543"/>
    <cellStyle name="Percent 9 15 3 3" xfId="13544"/>
    <cellStyle name="Percent 9 15 3 3 2" xfId="13545"/>
    <cellStyle name="Percent 9 15 3 4" xfId="13546"/>
    <cellStyle name="Percent 9 15 4" xfId="13547"/>
    <cellStyle name="Percent 9 15 4 2" xfId="13548"/>
    <cellStyle name="Percent 9 15 4 2 2" xfId="13549"/>
    <cellStyle name="Percent 9 15 4 3" xfId="13550"/>
    <cellStyle name="Percent 9 15 4 3 2" xfId="13551"/>
    <cellStyle name="Percent 9 15 4 4" xfId="13552"/>
    <cellStyle name="Percent 9 15 5" xfId="13553"/>
    <cellStyle name="Percent 9 15 5 2" xfId="13554"/>
    <cellStyle name="Percent 9 15 5 2 2" xfId="13555"/>
    <cellStyle name="Percent 9 15 5 3" xfId="13556"/>
    <cellStyle name="Percent 9 15 5 3 2" xfId="13557"/>
    <cellStyle name="Percent 9 15 5 4" xfId="13558"/>
    <cellStyle name="Percent 9 15 5 4 2" xfId="13559"/>
    <cellStyle name="Percent 9 15 5 5" xfId="13560"/>
    <cellStyle name="Percent 9 15 6" xfId="13561"/>
    <cellStyle name="Percent 9 15 6 2" xfId="13562"/>
    <cellStyle name="Percent 9 15 6 2 2" xfId="13563"/>
    <cellStyle name="Percent 9 15 6 3" xfId="13564"/>
    <cellStyle name="Percent 9 15 6 3 2" xfId="13565"/>
    <cellStyle name="Percent 9 15 6 4" xfId="13566"/>
    <cellStyle name="Percent 9 15 7" xfId="13567"/>
    <cellStyle name="Percent 9 15 7 2" xfId="13568"/>
    <cellStyle name="Percent 9 15 8" xfId="13569"/>
    <cellStyle name="Percent 9 15 8 2" xfId="13570"/>
    <cellStyle name="Percent 9 15 9" xfId="13571"/>
    <cellStyle name="Percent 9 15 9 2" xfId="13572"/>
    <cellStyle name="Percent 9 16 12" xfId="13573"/>
    <cellStyle name="Percent 9 16 10" xfId="13574"/>
    <cellStyle name="Percent 9 16 11" xfId="13575"/>
    <cellStyle name="Percent 9 16 2" xfId="13576"/>
    <cellStyle name="Percent 9 16 2 2" xfId="13577"/>
    <cellStyle name="Percent 9 16 2 2 2" xfId="13578"/>
    <cellStyle name="Percent 9 16 2 3" xfId="13579"/>
    <cellStyle name="Percent 9 16 2 3 2" xfId="13580"/>
    <cellStyle name="Percent 9 16 2 4" xfId="13581"/>
    <cellStyle name="Percent 9 16 2 5" xfId="13582"/>
    <cellStyle name="Percent 9 16 3" xfId="13583"/>
    <cellStyle name="Percent 9 16 3 2" xfId="13584"/>
    <cellStyle name="Percent 9 16 3 2 2" xfId="13585"/>
    <cellStyle name="Percent 9 16 3 3" xfId="13586"/>
    <cellStyle name="Percent 9 16 3 3 2" xfId="13587"/>
    <cellStyle name="Percent 9 16 3 4" xfId="13588"/>
    <cellStyle name="Percent 9 16 4" xfId="13589"/>
    <cellStyle name="Percent 9 16 4 2" xfId="13590"/>
    <cellStyle name="Percent 9 16 4 2 2" xfId="13591"/>
    <cellStyle name="Percent 9 16 4 3" xfId="13592"/>
    <cellStyle name="Percent 9 16 4 3 2" xfId="13593"/>
    <cellStyle name="Percent 9 16 4 4" xfId="13594"/>
    <cellStyle name="Percent 9 16 5" xfId="13595"/>
    <cellStyle name="Percent 9 16 5 2" xfId="13596"/>
    <cellStyle name="Percent 9 16 5 2 2" xfId="13597"/>
    <cellStyle name="Percent 9 16 5 3" xfId="13598"/>
    <cellStyle name="Percent 9 16 5 3 2" xfId="13599"/>
    <cellStyle name="Percent 9 16 5 4" xfId="13600"/>
    <cellStyle name="Percent 9 16 5 4 2" xfId="13601"/>
    <cellStyle name="Percent 9 16 5 5" xfId="13602"/>
    <cellStyle name="Percent 9 16 6" xfId="13603"/>
    <cellStyle name="Percent 9 16 6 2" xfId="13604"/>
    <cellStyle name="Percent 9 16 6 2 2" xfId="13605"/>
    <cellStyle name="Percent 9 16 6 3" xfId="13606"/>
    <cellStyle name="Percent 9 16 6 3 2" xfId="13607"/>
    <cellStyle name="Percent 9 16 6 4" xfId="13608"/>
    <cellStyle name="Percent 9 16 7" xfId="13609"/>
    <cellStyle name="Percent 9 16 7 2" xfId="13610"/>
    <cellStyle name="Percent 9 16 8" xfId="13611"/>
    <cellStyle name="Percent 9 16 8 2" xfId="13612"/>
    <cellStyle name="Percent 9 16 9" xfId="13613"/>
    <cellStyle name="Percent 9 16 9 2" xfId="13614"/>
    <cellStyle name="Percent 9 17 12" xfId="13615"/>
    <cellStyle name="Percent 9 17 10" xfId="13616"/>
    <cellStyle name="Percent 9 17 11" xfId="13617"/>
    <cellStyle name="Percent 9 17 2" xfId="13618"/>
    <cellStyle name="Percent 9 17 2 2" xfId="13619"/>
    <cellStyle name="Percent 9 17 2 2 2" xfId="13620"/>
    <cellStyle name="Percent 9 17 2 3" xfId="13621"/>
    <cellStyle name="Percent 9 17 2 3 2" xfId="13622"/>
    <cellStyle name="Percent 9 17 2 4" xfId="13623"/>
    <cellStyle name="Percent 9 17 2 5" xfId="13624"/>
    <cellStyle name="Percent 9 17 3" xfId="13625"/>
    <cellStyle name="Percent 9 17 3 2" xfId="13626"/>
    <cellStyle name="Percent 9 17 3 2 2" xfId="13627"/>
    <cellStyle name="Percent 9 17 3 3" xfId="13628"/>
    <cellStyle name="Percent 9 17 3 3 2" xfId="13629"/>
    <cellStyle name="Percent 9 17 3 4" xfId="13630"/>
    <cellStyle name="Percent 9 17 4" xfId="13631"/>
    <cellStyle name="Percent 9 17 4 2" xfId="13632"/>
    <cellStyle name="Percent 9 17 4 2 2" xfId="13633"/>
    <cellStyle name="Percent 9 17 4 3" xfId="13634"/>
    <cellStyle name="Percent 9 17 4 3 2" xfId="13635"/>
    <cellStyle name="Percent 9 17 4 4" xfId="13636"/>
    <cellStyle name="Percent 9 17 5" xfId="13637"/>
    <cellStyle name="Percent 9 17 5 2" xfId="13638"/>
    <cellStyle name="Percent 9 17 5 2 2" xfId="13639"/>
    <cellStyle name="Percent 9 17 5 3" xfId="13640"/>
    <cellStyle name="Percent 9 17 5 3 2" xfId="13641"/>
    <cellStyle name="Percent 9 17 5 4" xfId="13642"/>
    <cellStyle name="Percent 9 17 5 4 2" xfId="13643"/>
    <cellStyle name="Percent 9 17 5 5" xfId="13644"/>
    <cellStyle name="Percent 9 17 6" xfId="13645"/>
    <cellStyle name="Percent 9 17 6 2" xfId="13646"/>
    <cellStyle name="Percent 9 17 6 2 2" xfId="13647"/>
    <cellStyle name="Percent 9 17 6 3" xfId="13648"/>
    <cellStyle name="Percent 9 17 6 3 2" xfId="13649"/>
    <cellStyle name="Percent 9 17 6 4" xfId="13650"/>
    <cellStyle name="Percent 9 17 7" xfId="13651"/>
    <cellStyle name="Percent 9 17 7 2" xfId="13652"/>
    <cellStyle name="Percent 9 17 8" xfId="13653"/>
    <cellStyle name="Percent 9 17 8 2" xfId="13654"/>
    <cellStyle name="Percent 9 17 9" xfId="13655"/>
    <cellStyle name="Percent 9 17 9 2" xfId="13656"/>
    <cellStyle name="Percent 9 18 12" xfId="13657"/>
    <cellStyle name="Percent 9 18 10" xfId="13658"/>
    <cellStyle name="Percent 9 18 11" xfId="13659"/>
    <cellStyle name="Percent 9 18 2" xfId="13660"/>
    <cellStyle name="Percent 9 18 2 2" xfId="13661"/>
    <cellStyle name="Percent 9 18 2 2 2" xfId="13662"/>
    <cellStyle name="Percent 9 18 2 3" xfId="13663"/>
    <cellStyle name="Percent 9 18 2 3 2" xfId="13664"/>
    <cellStyle name="Percent 9 18 2 4" xfId="13665"/>
    <cellStyle name="Percent 9 18 2 5" xfId="13666"/>
    <cellStyle name="Percent 9 18 3" xfId="13667"/>
    <cellStyle name="Percent 9 18 3 2" xfId="13668"/>
    <cellStyle name="Percent 9 18 3 2 2" xfId="13669"/>
    <cellStyle name="Percent 9 18 3 3" xfId="13670"/>
    <cellStyle name="Percent 9 18 3 3 2" xfId="13671"/>
    <cellStyle name="Percent 9 18 3 4" xfId="13672"/>
    <cellStyle name="Percent 9 18 4" xfId="13673"/>
    <cellStyle name="Percent 9 18 4 2" xfId="13674"/>
    <cellStyle name="Percent 9 18 4 2 2" xfId="13675"/>
    <cellStyle name="Percent 9 18 4 3" xfId="13676"/>
    <cellStyle name="Percent 9 18 4 3 2" xfId="13677"/>
    <cellStyle name="Percent 9 18 4 4" xfId="13678"/>
    <cellStyle name="Percent 9 18 5" xfId="13679"/>
    <cellStyle name="Percent 9 18 5 2" xfId="13680"/>
    <cellStyle name="Percent 9 18 5 2 2" xfId="13681"/>
    <cellStyle name="Percent 9 18 5 3" xfId="13682"/>
    <cellStyle name="Percent 9 18 5 3 2" xfId="13683"/>
    <cellStyle name="Percent 9 18 5 4" xfId="13684"/>
    <cellStyle name="Percent 9 18 5 4 2" xfId="13685"/>
    <cellStyle name="Percent 9 18 5 5" xfId="13686"/>
    <cellStyle name="Percent 9 18 6" xfId="13687"/>
    <cellStyle name="Percent 9 18 6 2" xfId="13688"/>
    <cellStyle name="Percent 9 18 6 2 2" xfId="13689"/>
    <cellStyle name="Percent 9 18 6 3" xfId="13690"/>
    <cellStyle name="Percent 9 18 6 3 2" xfId="13691"/>
    <cellStyle name="Percent 9 18 6 4" xfId="13692"/>
    <cellStyle name="Percent 9 18 7" xfId="13693"/>
    <cellStyle name="Percent 9 18 7 2" xfId="13694"/>
    <cellStyle name="Percent 9 18 8" xfId="13695"/>
    <cellStyle name="Percent 9 18 8 2" xfId="13696"/>
    <cellStyle name="Percent 9 18 9" xfId="13697"/>
    <cellStyle name="Percent 9 18 9 2" xfId="13698"/>
    <cellStyle name="Percent 9 19 12" xfId="13699"/>
    <cellStyle name="Percent 9 19 10" xfId="13700"/>
    <cellStyle name="Percent 9 19 11" xfId="13701"/>
    <cellStyle name="Percent 9 19 2" xfId="13702"/>
    <cellStyle name="Percent 9 19 2 2" xfId="13703"/>
    <cellStyle name="Percent 9 19 2 2 2" xfId="13704"/>
    <cellStyle name="Percent 9 19 2 3" xfId="13705"/>
    <cellStyle name="Percent 9 19 2 3 2" xfId="13706"/>
    <cellStyle name="Percent 9 19 2 4" xfId="13707"/>
    <cellStyle name="Percent 9 19 2 5" xfId="13708"/>
    <cellStyle name="Percent 9 19 3" xfId="13709"/>
    <cellStyle name="Percent 9 19 3 2" xfId="13710"/>
    <cellStyle name="Percent 9 19 3 2 2" xfId="13711"/>
    <cellStyle name="Percent 9 19 3 3" xfId="13712"/>
    <cellStyle name="Percent 9 19 3 3 2" xfId="13713"/>
    <cellStyle name="Percent 9 19 3 4" xfId="13714"/>
    <cellStyle name="Percent 9 19 4" xfId="13715"/>
    <cellStyle name="Percent 9 19 4 2" xfId="13716"/>
    <cellStyle name="Percent 9 19 4 2 2" xfId="13717"/>
    <cellStyle name="Percent 9 19 4 3" xfId="13718"/>
    <cellStyle name="Percent 9 19 4 3 2" xfId="13719"/>
    <cellStyle name="Percent 9 19 4 4" xfId="13720"/>
    <cellStyle name="Percent 9 19 5" xfId="13721"/>
    <cellStyle name="Percent 9 19 5 2" xfId="13722"/>
    <cellStyle name="Percent 9 19 5 2 2" xfId="13723"/>
    <cellStyle name="Percent 9 19 5 3" xfId="13724"/>
    <cellStyle name="Percent 9 19 5 3 2" xfId="13725"/>
    <cellStyle name="Percent 9 19 5 4" xfId="13726"/>
    <cellStyle name="Percent 9 19 5 4 2" xfId="13727"/>
    <cellStyle name="Percent 9 19 5 5" xfId="13728"/>
    <cellStyle name="Percent 9 19 6" xfId="13729"/>
    <cellStyle name="Percent 9 19 6 2" xfId="13730"/>
    <cellStyle name="Percent 9 19 6 2 2" xfId="13731"/>
    <cellStyle name="Percent 9 19 6 3" xfId="13732"/>
    <cellStyle name="Percent 9 19 6 3 2" xfId="13733"/>
    <cellStyle name="Percent 9 19 6 4" xfId="13734"/>
    <cellStyle name="Percent 9 19 7" xfId="13735"/>
    <cellStyle name="Percent 9 19 7 2" xfId="13736"/>
    <cellStyle name="Percent 9 19 8" xfId="13737"/>
    <cellStyle name="Percent 9 19 8 2" xfId="13738"/>
    <cellStyle name="Percent 9 19 9" xfId="13739"/>
    <cellStyle name="Percent 9 19 9 2" xfId="13740"/>
    <cellStyle name="Percent 9 2 13" xfId="13741"/>
    <cellStyle name="Percent 9 2 10" xfId="13742"/>
    <cellStyle name="Percent 9 2 10 2" xfId="13743"/>
    <cellStyle name="Percent 9 2 11" xfId="13744"/>
    <cellStyle name="Percent 9 2 12" xfId="13745"/>
    <cellStyle name="Percent 9 2 2 11" xfId="13746"/>
    <cellStyle name="Percent 9 2 2 10" xfId="13747"/>
    <cellStyle name="Percent 9 2 2 2" xfId="13748"/>
    <cellStyle name="Percent 9 2 2 2 2" xfId="13749"/>
    <cellStyle name="Percent 9 2 2 2 2 2" xfId="13750"/>
    <cellStyle name="Percent 9 2 2 2 3" xfId="13751"/>
    <cellStyle name="Percent 9 2 2 2 3 2" xfId="13752"/>
    <cellStyle name="Percent 9 2 2 2 4" xfId="13753"/>
    <cellStyle name="Percent 9 2 2 3" xfId="13754"/>
    <cellStyle name="Percent 9 2 2 3 2" xfId="13755"/>
    <cellStyle name="Percent 9 2 2 3 2 2" xfId="13756"/>
    <cellStyle name="Percent 9 2 2 3 3" xfId="13757"/>
    <cellStyle name="Percent 9 2 2 3 3 2" xfId="13758"/>
    <cellStyle name="Percent 9 2 2 3 4" xfId="13759"/>
    <cellStyle name="Percent 9 2 2 4" xfId="13760"/>
    <cellStyle name="Percent 9 2 2 4 2" xfId="13761"/>
    <cellStyle name="Percent 9 2 2 4 2 2" xfId="13762"/>
    <cellStyle name="Percent 9 2 2 4 3" xfId="13763"/>
    <cellStyle name="Percent 9 2 2 4 3 2" xfId="13764"/>
    <cellStyle name="Percent 9 2 2 4 4" xfId="13765"/>
    <cellStyle name="Percent 9 2 2 4 4 2" xfId="13766"/>
    <cellStyle name="Percent 9 2 2 4 5" xfId="13767"/>
    <cellStyle name="Percent 9 2 2 5" xfId="13768"/>
    <cellStyle name="Percent 9 2 2 5 2" xfId="13769"/>
    <cellStyle name="Percent 9 2 2 5 2 2" xfId="13770"/>
    <cellStyle name="Percent 9 2 2 5 3" xfId="13771"/>
    <cellStyle name="Percent 9 2 2 5 3 2" xfId="13772"/>
    <cellStyle name="Percent 9 2 2 5 4" xfId="13773"/>
    <cellStyle name="Percent 9 2 2 6" xfId="13774"/>
    <cellStyle name="Percent 9 2 2 6 2" xfId="13775"/>
    <cellStyle name="Percent 9 2 2 7" xfId="13776"/>
    <cellStyle name="Percent 9 2 2 7 2" xfId="13777"/>
    <cellStyle name="Percent 9 2 2 8" xfId="13778"/>
    <cellStyle name="Percent 9 2 2 8 2" xfId="13779"/>
    <cellStyle name="Percent 9 2 2 9" xfId="13780"/>
    <cellStyle name="Percent 9 2 3" xfId="13781"/>
    <cellStyle name="Percent 9 2 3 2" xfId="13782"/>
    <cellStyle name="Percent 9 2 3 2 2" xfId="13783"/>
    <cellStyle name="Percent 9 2 3 3" xfId="13784"/>
    <cellStyle name="Percent 9 2 3 3 2" xfId="13785"/>
    <cellStyle name="Percent 9 2 3 4" xfId="13786"/>
    <cellStyle name="Percent 9 2 3 5" xfId="13787"/>
    <cellStyle name="Percent 9 2 4" xfId="13788"/>
    <cellStyle name="Percent 9 2 4 2" xfId="13789"/>
    <cellStyle name="Percent 9 2 4 2 2" xfId="13790"/>
    <cellStyle name="Percent 9 2 4 3" xfId="13791"/>
    <cellStyle name="Percent 9 2 4 3 2" xfId="13792"/>
    <cellStyle name="Percent 9 2 4 4" xfId="13793"/>
    <cellStyle name="Percent 9 2 5" xfId="13794"/>
    <cellStyle name="Percent 9 2 5 2" xfId="13795"/>
    <cellStyle name="Percent 9 2 5 2 2" xfId="13796"/>
    <cellStyle name="Percent 9 2 5 3" xfId="13797"/>
    <cellStyle name="Percent 9 2 5 3 2" xfId="13798"/>
    <cellStyle name="Percent 9 2 5 4" xfId="13799"/>
    <cellStyle name="Percent 9 2 6" xfId="13800"/>
    <cellStyle name="Percent 9 2 6 2" xfId="13801"/>
    <cellStyle name="Percent 9 2 6 2 2" xfId="13802"/>
    <cellStyle name="Percent 9 2 6 3" xfId="13803"/>
    <cellStyle name="Percent 9 2 6 3 2" xfId="13804"/>
    <cellStyle name="Percent 9 2 6 4" xfId="13805"/>
    <cellStyle name="Percent 9 2 6 4 2" xfId="13806"/>
    <cellStyle name="Percent 9 2 6 5" xfId="13807"/>
    <cellStyle name="Percent 9 2 7" xfId="13808"/>
    <cellStyle name="Percent 9 2 7 2" xfId="13809"/>
    <cellStyle name="Percent 9 2 7 2 2" xfId="13810"/>
    <cellStyle name="Percent 9 2 7 3" xfId="13811"/>
    <cellStyle name="Percent 9 2 7 3 2" xfId="13812"/>
    <cellStyle name="Percent 9 2 7 4" xfId="13813"/>
    <cellStyle name="Percent 9 2 8" xfId="13814"/>
    <cellStyle name="Percent 9 2 8 2" xfId="13815"/>
    <cellStyle name="Percent 9 2 9" xfId="13816"/>
    <cellStyle name="Percent 9 2 9 2" xfId="13817"/>
    <cellStyle name="Percent 9 20 12" xfId="13818"/>
    <cellStyle name="Percent 9 20 10" xfId="13819"/>
    <cellStyle name="Percent 9 20 11" xfId="13820"/>
    <cellStyle name="Percent 9 20 2" xfId="13821"/>
    <cellStyle name="Percent 9 20 2 2" xfId="13822"/>
    <cellStyle name="Percent 9 20 2 2 2" xfId="13823"/>
    <cellStyle name="Percent 9 20 2 3" xfId="13824"/>
    <cellStyle name="Percent 9 20 2 3 2" xfId="13825"/>
    <cellStyle name="Percent 9 20 2 4" xfId="13826"/>
    <cellStyle name="Percent 9 20 2 5" xfId="13827"/>
    <cellStyle name="Percent 9 20 3" xfId="13828"/>
    <cellStyle name="Percent 9 20 3 2" xfId="13829"/>
    <cellStyle name="Percent 9 20 3 2 2" xfId="13830"/>
    <cellStyle name="Percent 9 20 3 3" xfId="13831"/>
    <cellStyle name="Percent 9 20 3 3 2" xfId="13832"/>
    <cellStyle name="Percent 9 20 3 4" xfId="13833"/>
    <cellStyle name="Percent 9 20 4" xfId="13834"/>
    <cellStyle name="Percent 9 20 4 2" xfId="13835"/>
    <cellStyle name="Percent 9 20 4 2 2" xfId="13836"/>
    <cellStyle name="Percent 9 20 4 3" xfId="13837"/>
    <cellStyle name="Percent 9 20 4 3 2" xfId="13838"/>
    <cellStyle name="Percent 9 20 4 4" xfId="13839"/>
    <cellStyle name="Percent 9 20 5" xfId="13840"/>
    <cellStyle name="Percent 9 20 5 2" xfId="13841"/>
    <cellStyle name="Percent 9 20 5 2 2" xfId="13842"/>
    <cellStyle name="Percent 9 20 5 3" xfId="13843"/>
    <cellStyle name="Percent 9 20 5 3 2" xfId="13844"/>
    <cellStyle name="Percent 9 20 5 4" xfId="13845"/>
    <cellStyle name="Percent 9 20 5 4 2" xfId="13846"/>
    <cellStyle name="Percent 9 20 5 5" xfId="13847"/>
    <cellStyle name="Percent 9 20 6" xfId="13848"/>
    <cellStyle name="Percent 9 20 6 2" xfId="13849"/>
    <cellStyle name="Percent 9 20 6 2 2" xfId="13850"/>
    <cellStyle name="Percent 9 20 6 3" xfId="13851"/>
    <cellStyle name="Percent 9 20 6 3 2" xfId="13852"/>
    <cellStyle name="Percent 9 20 6 4" xfId="13853"/>
    <cellStyle name="Percent 9 20 7" xfId="13854"/>
    <cellStyle name="Percent 9 20 7 2" xfId="13855"/>
    <cellStyle name="Percent 9 20 8" xfId="13856"/>
    <cellStyle name="Percent 9 20 8 2" xfId="13857"/>
    <cellStyle name="Percent 9 20 9" xfId="13858"/>
    <cellStyle name="Percent 9 20 9 2" xfId="13859"/>
    <cellStyle name="Percent 9 21 5" xfId="13860"/>
    <cellStyle name="Percent 9 21 2" xfId="13861"/>
    <cellStyle name="Percent 9 21 2 2" xfId="13862"/>
    <cellStyle name="Percent 9 21 3" xfId="13863"/>
    <cellStyle name="Percent 9 21 3 2" xfId="13864"/>
    <cellStyle name="Percent 9 21 4" xfId="13865"/>
    <cellStyle name="Percent 9 22" xfId="13866"/>
    <cellStyle name="Percent 9 22 2" xfId="13867"/>
    <cellStyle name="Percent 9 22 2 2" xfId="13868"/>
    <cellStyle name="Percent 9 22 3" xfId="13869"/>
    <cellStyle name="Percent 9 22 3 2" xfId="13870"/>
    <cellStyle name="Percent 9 22 4" xfId="13871"/>
    <cellStyle name="Percent 9 23" xfId="13872"/>
    <cellStyle name="Percent 9 23 2" xfId="13873"/>
    <cellStyle name="Percent 9 23 2 2" xfId="13874"/>
    <cellStyle name="Percent 9 23 3" xfId="13875"/>
    <cellStyle name="Percent 9 23 3 2" xfId="13876"/>
    <cellStyle name="Percent 9 23 4" xfId="13877"/>
    <cellStyle name="Percent 9 23 4 2" xfId="13878"/>
    <cellStyle name="Percent 9 23 5" xfId="13879"/>
    <cellStyle name="Percent 9 24" xfId="13880"/>
    <cellStyle name="Percent 9 24 2" xfId="13881"/>
    <cellStyle name="Percent 9 24 2 2" xfId="13882"/>
    <cellStyle name="Percent 9 24 3" xfId="13883"/>
    <cellStyle name="Percent 9 24 3 2" xfId="13884"/>
    <cellStyle name="Percent 9 24 4" xfId="13885"/>
    <cellStyle name="Percent 9 25" xfId="13886"/>
    <cellStyle name="Percent 9 25 2" xfId="13887"/>
    <cellStyle name="Percent 9 26" xfId="13888"/>
    <cellStyle name="Percent 9 26 2" xfId="13889"/>
    <cellStyle name="Percent 9 27" xfId="13890"/>
    <cellStyle name="Percent 9 27 2" xfId="13891"/>
    <cellStyle name="Percent 9 28" xfId="13892"/>
    <cellStyle name="Percent 9 29" xfId="13893"/>
    <cellStyle name="Percent 9 3 13" xfId="13894"/>
    <cellStyle name="Percent 9 3 10" xfId="13895"/>
    <cellStyle name="Percent 9 3 10 2" xfId="13896"/>
    <cellStyle name="Percent 9 3 11" xfId="13897"/>
    <cellStyle name="Percent 9 3 12" xfId="13898"/>
    <cellStyle name="Percent 9 3 2 11" xfId="13899"/>
    <cellStyle name="Percent 9 3 2 10" xfId="13900"/>
    <cellStyle name="Percent 9 3 2 2" xfId="13901"/>
    <cellStyle name="Percent 9 3 2 2 2" xfId="13902"/>
    <cellStyle name="Percent 9 3 2 2 2 2" xfId="13903"/>
    <cellStyle name="Percent 9 3 2 2 3" xfId="13904"/>
    <cellStyle name="Percent 9 3 2 2 3 2" xfId="13905"/>
    <cellStyle name="Percent 9 3 2 2 4" xfId="13906"/>
    <cellStyle name="Percent 9 3 2 3" xfId="13907"/>
    <cellStyle name="Percent 9 3 2 3 2" xfId="13908"/>
    <cellStyle name="Percent 9 3 2 3 2 2" xfId="13909"/>
    <cellStyle name="Percent 9 3 2 3 3" xfId="13910"/>
    <cellStyle name="Percent 9 3 2 3 3 2" xfId="13911"/>
    <cellStyle name="Percent 9 3 2 3 4" xfId="13912"/>
    <cellStyle name="Percent 9 3 2 4" xfId="13913"/>
    <cellStyle name="Percent 9 3 2 4 2" xfId="13914"/>
    <cellStyle name="Percent 9 3 2 4 2 2" xfId="13915"/>
    <cellStyle name="Percent 9 3 2 4 3" xfId="13916"/>
    <cellStyle name="Percent 9 3 2 4 3 2" xfId="13917"/>
    <cellStyle name="Percent 9 3 2 4 4" xfId="13918"/>
    <cellStyle name="Percent 9 3 2 4 4 2" xfId="13919"/>
    <cellStyle name="Percent 9 3 2 4 5" xfId="13920"/>
    <cellStyle name="Percent 9 3 2 5" xfId="13921"/>
    <cellStyle name="Percent 9 3 2 5 2" xfId="13922"/>
    <cellStyle name="Percent 9 3 2 5 2 2" xfId="13923"/>
    <cellStyle name="Percent 9 3 2 5 3" xfId="13924"/>
    <cellStyle name="Percent 9 3 2 5 3 2" xfId="13925"/>
    <cellStyle name="Percent 9 3 2 5 4" xfId="13926"/>
    <cellStyle name="Percent 9 3 2 6" xfId="13927"/>
    <cellStyle name="Percent 9 3 2 6 2" xfId="13928"/>
    <cellStyle name="Percent 9 3 2 7" xfId="13929"/>
    <cellStyle name="Percent 9 3 2 7 2" xfId="13930"/>
    <cellStyle name="Percent 9 3 2 8" xfId="13931"/>
    <cellStyle name="Percent 9 3 2 8 2" xfId="13932"/>
    <cellStyle name="Percent 9 3 2 9" xfId="13933"/>
    <cellStyle name="Percent 9 3 3" xfId="13934"/>
    <cellStyle name="Percent 9 3 3 2" xfId="13935"/>
    <cellStyle name="Percent 9 3 3 2 2" xfId="13936"/>
    <cellStyle name="Percent 9 3 3 3" xfId="13937"/>
    <cellStyle name="Percent 9 3 3 3 2" xfId="13938"/>
    <cellStyle name="Percent 9 3 3 4" xfId="13939"/>
    <cellStyle name="Percent 9 3 3 5" xfId="13940"/>
    <cellStyle name="Percent 9 3 4" xfId="13941"/>
    <cellStyle name="Percent 9 3 4 2" xfId="13942"/>
    <cellStyle name="Percent 9 3 4 2 2" xfId="13943"/>
    <cellStyle name="Percent 9 3 4 3" xfId="13944"/>
    <cellStyle name="Percent 9 3 4 3 2" xfId="13945"/>
    <cellStyle name="Percent 9 3 4 4" xfId="13946"/>
    <cellStyle name="Percent 9 3 5" xfId="13947"/>
    <cellStyle name="Percent 9 3 5 2" xfId="13948"/>
    <cellStyle name="Percent 9 3 5 2 2" xfId="13949"/>
    <cellStyle name="Percent 9 3 5 3" xfId="13950"/>
    <cellStyle name="Percent 9 3 5 3 2" xfId="13951"/>
    <cellStyle name="Percent 9 3 5 4" xfId="13952"/>
    <cellStyle name="Percent 9 3 6" xfId="13953"/>
    <cellStyle name="Percent 9 3 6 2" xfId="13954"/>
    <cellStyle name="Percent 9 3 6 2 2" xfId="13955"/>
    <cellStyle name="Percent 9 3 6 3" xfId="13956"/>
    <cellStyle name="Percent 9 3 6 3 2" xfId="13957"/>
    <cellStyle name="Percent 9 3 6 4" xfId="13958"/>
    <cellStyle name="Percent 9 3 6 4 2" xfId="13959"/>
    <cellStyle name="Percent 9 3 6 5" xfId="13960"/>
    <cellStyle name="Percent 9 3 7" xfId="13961"/>
    <cellStyle name="Percent 9 3 7 2" xfId="13962"/>
    <cellStyle name="Percent 9 3 7 2 2" xfId="13963"/>
    <cellStyle name="Percent 9 3 7 3" xfId="13964"/>
    <cellStyle name="Percent 9 3 7 3 2" xfId="13965"/>
    <cellStyle name="Percent 9 3 7 4" xfId="13966"/>
    <cellStyle name="Percent 9 3 8" xfId="13967"/>
    <cellStyle name="Percent 9 3 8 2" xfId="13968"/>
    <cellStyle name="Percent 9 3 9" xfId="13969"/>
    <cellStyle name="Percent 9 3 9 2" xfId="13970"/>
    <cellStyle name="Percent 9 4 13" xfId="13971"/>
    <cellStyle name="Percent 9 4 10" xfId="13972"/>
    <cellStyle name="Percent 9 4 10 2" xfId="13973"/>
    <cellStyle name="Percent 9 4 11" xfId="13974"/>
    <cellStyle name="Percent 9 4 12" xfId="13975"/>
    <cellStyle name="Percent 9 4 2 11" xfId="13976"/>
    <cellStyle name="Percent 9 4 2 10" xfId="13977"/>
    <cellStyle name="Percent 9 4 2 2" xfId="13978"/>
    <cellStyle name="Percent 9 4 2 2 2" xfId="13979"/>
    <cellStyle name="Percent 9 4 2 2 2 2" xfId="13980"/>
    <cellStyle name="Percent 9 4 2 2 3" xfId="13981"/>
    <cellStyle name="Percent 9 4 2 2 3 2" xfId="13982"/>
    <cellStyle name="Percent 9 4 2 2 4" xfId="13983"/>
    <cellStyle name="Percent 9 4 2 3" xfId="13984"/>
    <cellStyle name="Percent 9 4 2 3 2" xfId="13985"/>
    <cellStyle name="Percent 9 4 2 3 2 2" xfId="13986"/>
    <cellStyle name="Percent 9 4 2 3 3" xfId="13987"/>
    <cellStyle name="Percent 9 4 2 3 3 2" xfId="13988"/>
    <cellStyle name="Percent 9 4 2 3 4" xfId="13989"/>
    <cellStyle name="Percent 9 4 2 4" xfId="13990"/>
    <cellStyle name="Percent 9 4 2 4 2" xfId="13991"/>
    <cellStyle name="Percent 9 4 2 4 2 2" xfId="13992"/>
    <cellStyle name="Percent 9 4 2 4 3" xfId="13993"/>
    <cellStyle name="Percent 9 4 2 4 3 2" xfId="13994"/>
    <cellStyle name="Percent 9 4 2 4 4" xfId="13995"/>
    <cellStyle name="Percent 9 4 2 4 4 2" xfId="13996"/>
    <cellStyle name="Percent 9 4 2 4 5" xfId="13997"/>
    <cellStyle name="Percent 9 4 2 5" xfId="13998"/>
    <cellStyle name="Percent 9 4 2 5 2" xfId="13999"/>
    <cellStyle name="Percent 9 4 2 5 2 2" xfId="14000"/>
    <cellStyle name="Percent 9 4 2 5 3" xfId="14001"/>
    <cellStyle name="Percent 9 4 2 5 3 2" xfId="14002"/>
    <cellStyle name="Percent 9 4 2 5 4" xfId="14003"/>
    <cellStyle name="Percent 9 4 2 6" xfId="14004"/>
    <cellStyle name="Percent 9 4 2 6 2" xfId="14005"/>
    <cellStyle name="Percent 9 4 2 7" xfId="14006"/>
    <cellStyle name="Percent 9 4 2 7 2" xfId="14007"/>
    <cellStyle name="Percent 9 4 2 8" xfId="14008"/>
    <cellStyle name="Percent 9 4 2 8 2" xfId="14009"/>
    <cellStyle name="Percent 9 4 2 9" xfId="14010"/>
    <cellStyle name="Percent 9 4 3" xfId="14011"/>
    <cellStyle name="Percent 9 4 3 2" xfId="14012"/>
    <cellStyle name="Percent 9 4 3 2 2" xfId="14013"/>
    <cellStyle name="Percent 9 4 3 3" xfId="14014"/>
    <cellStyle name="Percent 9 4 3 3 2" xfId="14015"/>
    <cellStyle name="Percent 9 4 3 4" xfId="14016"/>
    <cellStyle name="Percent 9 4 3 5" xfId="14017"/>
    <cellStyle name="Percent 9 4 4" xfId="14018"/>
    <cellStyle name="Percent 9 4 4 2" xfId="14019"/>
    <cellStyle name="Percent 9 4 4 2 2" xfId="14020"/>
    <cellStyle name="Percent 9 4 4 3" xfId="14021"/>
    <cellStyle name="Percent 9 4 4 3 2" xfId="14022"/>
    <cellStyle name="Percent 9 4 4 4" xfId="14023"/>
    <cellStyle name="Percent 9 4 5" xfId="14024"/>
    <cellStyle name="Percent 9 4 5 2" xfId="14025"/>
    <cellStyle name="Percent 9 4 5 2 2" xfId="14026"/>
    <cellStyle name="Percent 9 4 5 3" xfId="14027"/>
    <cellStyle name="Percent 9 4 5 3 2" xfId="14028"/>
    <cellStyle name="Percent 9 4 5 4" xfId="14029"/>
    <cellStyle name="Percent 9 4 6" xfId="14030"/>
    <cellStyle name="Percent 9 4 6 2" xfId="14031"/>
    <cellStyle name="Percent 9 4 6 2 2" xfId="14032"/>
    <cellStyle name="Percent 9 4 6 3" xfId="14033"/>
    <cellStyle name="Percent 9 4 6 3 2" xfId="14034"/>
    <cellStyle name="Percent 9 4 6 4" xfId="14035"/>
    <cellStyle name="Percent 9 4 6 4 2" xfId="14036"/>
    <cellStyle name="Percent 9 4 6 5" xfId="14037"/>
    <cellStyle name="Percent 9 4 7" xfId="14038"/>
    <cellStyle name="Percent 9 4 7 2" xfId="14039"/>
    <cellStyle name="Percent 9 4 7 2 2" xfId="14040"/>
    <cellStyle name="Percent 9 4 7 3" xfId="14041"/>
    <cellStyle name="Percent 9 4 7 3 2" xfId="14042"/>
    <cellStyle name="Percent 9 4 7 4" xfId="14043"/>
    <cellStyle name="Percent 9 4 8" xfId="14044"/>
    <cellStyle name="Percent 9 4 8 2" xfId="14045"/>
    <cellStyle name="Percent 9 4 9" xfId="14046"/>
    <cellStyle name="Percent 9 4 9 2" xfId="14047"/>
    <cellStyle name="Percent 9 5 13" xfId="14048"/>
    <cellStyle name="Percent 9 5 10" xfId="14049"/>
    <cellStyle name="Percent 9 5 10 2" xfId="14050"/>
    <cellStyle name="Percent 9 5 11" xfId="14051"/>
    <cellStyle name="Percent 9 5 12" xfId="14052"/>
    <cellStyle name="Percent 9 5 2 11" xfId="14053"/>
    <cellStyle name="Percent 9 5 2 10" xfId="14054"/>
    <cellStyle name="Percent 9 5 2 2" xfId="14055"/>
    <cellStyle name="Percent 9 5 2 2 2" xfId="14056"/>
    <cellStyle name="Percent 9 5 2 2 2 2" xfId="14057"/>
    <cellStyle name="Percent 9 5 2 2 3" xfId="14058"/>
    <cellStyle name="Percent 9 5 2 2 3 2" xfId="14059"/>
    <cellStyle name="Percent 9 5 2 2 4" xfId="14060"/>
    <cellStyle name="Percent 9 5 2 3" xfId="14061"/>
    <cellStyle name="Percent 9 5 2 3 2" xfId="14062"/>
    <cellStyle name="Percent 9 5 2 3 2 2" xfId="14063"/>
    <cellStyle name="Percent 9 5 2 3 3" xfId="14064"/>
    <cellStyle name="Percent 9 5 2 3 3 2" xfId="14065"/>
    <cellStyle name="Percent 9 5 2 3 4" xfId="14066"/>
    <cellStyle name="Percent 9 5 2 4" xfId="14067"/>
    <cellStyle name="Percent 9 5 2 4 2" xfId="14068"/>
    <cellStyle name="Percent 9 5 2 4 2 2" xfId="14069"/>
    <cellStyle name="Percent 9 5 2 4 3" xfId="14070"/>
    <cellStyle name="Percent 9 5 2 4 3 2" xfId="14071"/>
    <cellStyle name="Percent 9 5 2 4 4" xfId="14072"/>
    <cellStyle name="Percent 9 5 2 4 4 2" xfId="14073"/>
    <cellStyle name="Percent 9 5 2 4 5" xfId="14074"/>
    <cellStyle name="Percent 9 5 2 5" xfId="14075"/>
    <cellStyle name="Percent 9 5 2 5 2" xfId="14076"/>
    <cellStyle name="Percent 9 5 2 5 2 2" xfId="14077"/>
    <cellStyle name="Percent 9 5 2 5 3" xfId="14078"/>
    <cellStyle name="Percent 9 5 2 5 3 2" xfId="14079"/>
    <cellStyle name="Percent 9 5 2 5 4" xfId="14080"/>
    <cellStyle name="Percent 9 5 2 6" xfId="14081"/>
    <cellStyle name="Percent 9 5 2 6 2" xfId="14082"/>
    <cellStyle name="Percent 9 5 2 7" xfId="14083"/>
    <cellStyle name="Percent 9 5 2 7 2" xfId="14084"/>
    <cellStyle name="Percent 9 5 2 8" xfId="14085"/>
    <cellStyle name="Percent 9 5 2 8 2" xfId="14086"/>
    <cellStyle name="Percent 9 5 2 9" xfId="14087"/>
    <cellStyle name="Percent 9 5 3" xfId="14088"/>
    <cellStyle name="Percent 9 5 3 2" xfId="14089"/>
    <cellStyle name="Percent 9 5 3 2 2" xfId="14090"/>
    <cellStyle name="Percent 9 5 3 3" xfId="14091"/>
    <cellStyle name="Percent 9 5 3 3 2" xfId="14092"/>
    <cellStyle name="Percent 9 5 3 4" xfId="14093"/>
    <cellStyle name="Percent 9 5 3 5" xfId="14094"/>
    <cellStyle name="Percent 9 5 4" xfId="14095"/>
    <cellStyle name="Percent 9 5 4 2" xfId="14096"/>
    <cellStyle name="Percent 9 5 4 2 2" xfId="14097"/>
    <cellStyle name="Percent 9 5 4 3" xfId="14098"/>
    <cellStyle name="Percent 9 5 4 3 2" xfId="14099"/>
    <cellStyle name="Percent 9 5 4 4" xfId="14100"/>
    <cellStyle name="Percent 9 5 5" xfId="14101"/>
    <cellStyle name="Percent 9 5 5 2" xfId="14102"/>
    <cellStyle name="Percent 9 5 5 2 2" xfId="14103"/>
    <cellStyle name="Percent 9 5 5 3" xfId="14104"/>
    <cellStyle name="Percent 9 5 5 3 2" xfId="14105"/>
    <cellStyle name="Percent 9 5 5 4" xfId="14106"/>
    <cellStyle name="Percent 9 5 6" xfId="14107"/>
    <cellStyle name="Percent 9 5 6 2" xfId="14108"/>
    <cellStyle name="Percent 9 5 6 2 2" xfId="14109"/>
    <cellStyle name="Percent 9 5 6 3" xfId="14110"/>
    <cellStyle name="Percent 9 5 6 3 2" xfId="14111"/>
    <cellStyle name="Percent 9 5 6 4" xfId="14112"/>
    <cellStyle name="Percent 9 5 6 4 2" xfId="14113"/>
    <cellStyle name="Percent 9 5 6 5" xfId="14114"/>
    <cellStyle name="Percent 9 5 7" xfId="14115"/>
    <cellStyle name="Percent 9 5 7 2" xfId="14116"/>
    <cellStyle name="Percent 9 5 7 2 2" xfId="14117"/>
    <cellStyle name="Percent 9 5 7 3" xfId="14118"/>
    <cellStyle name="Percent 9 5 7 3 2" xfId="14119"/>
    <cellStyle name="Percent 9 5 7 4" xfId="14120"/>
    <cellStyle name="Percent 9 5 8" xfId="14121"/>
    <cellStyle name="Percent 9 5 8 2" xfId="14122"/>
    <cellStyle name="Percent 9 5 9" xfId="14123"/>
    <cellStyle name="Percent 9 5 9 2" xfId="14124"/>
    <cellStyle name="Percent 9 6 13" xfId="14125"/>
    <cellStyle name="Percent 9 6 10" xfId="14126"/>
    <cellStyle name="Percent 9 6 10 2" xfId="14127"/>
    <cellStyle name="Percent 9 6 11" xfId="14128"/>
    <cellStyle name="Percent 9 6 12" xfId="14129"/>
    <cellStyle name="Percent 9 6 2 11" xfId="14130"/>
    <cellStyle name="Percent 9 6 2 10" xfId="14131"/>
    <cellStyle name="Percent 9 6 2 2" xfId="14132"/>
    <cellStyle name="Percent 9 6 2 2 2" xfId="14133"/>
    <cellStyle name="Percent 9 6 2 2 2 2" xfId="14134"/>
    <cellStyle name="Percent 9 6 2 2 3" xfId="14135"/>
    <cellStyle name="Percent 9 6 2 2 3 2" xfId="14136"/>
    <cellStyle name="Percent 9 6 2 2 4" xfId="14137"/>
    <cellStyle name="Percent 9 6 2 3" xfId="14138"/>
    <cellStyle name="Percent 9 6 2 3 2" xfId="14139"/>
    <cellStyle name="Percent 9 6 2 3 2 2" xfId="14140"/>
    <cellStyle name="Percent 9 6 2 3 3" xfId="14141"/>
    <cellStyle name="Percent 9 6 2 3 3 2" xfId="14142"/>
    <cellStyle name="Percent 9 6 2 3 4" xfId="14143"/>
    <cellStyle name="Percent 9 6 2 4" xfId="14144"/>
    <cellStyle name="Percent 9 6 2 4 2" xfId="14145"/>
    <cellStyle name="Percent 9 6 2 4 2 2" xfId="14146"/>
    <cellStyle name="Percent 9 6 2 4 3" xfId="14147"/>
    <cellStyle name="Percent 9 6 2 4 3 2" xfId="14148"/>
    <cellStyle name="Percent 9 6 2 4 4" xfId="14149"/>
    <cellStyle name="Percent 9 6 2 4 4 2" xfId="14150"/>
    <cellStyle name="Percent 9 6 2 4 5" xfId="14151"/>
    <cellStyle name="Percent 9 6 2 5" xfId="14152"/>
    <cellStyle name="Percent 9 6 2 5 2" xfId="14153"/>
    <cellStyle name="Percent 9 6 2 5 2 2" xfId="14154"/>
    <cellStyle name="Percent 9 6 2 5 3" xfId="14155"/>
    <cellStyle name="Percent 9 6 2 5 3 2" xfId="14156"/>
    <cellStyle name="Percent 9 6 2 5 4" xfId="14157"/>
    <cellStyle name="Percent 9 6 2 6" xfId="14158"/>
    <cellStyle name="Percent 9 6 2 6 2" xfId="14159"/>
    <cellStyle name="Percent 9 6 2 7" xfId="14160"/>
    <cellStyle name="Percent 9 6 2 7 2" xfId="14161"/>
    <cellStyle name="Percent 9 6 2 8" xfId="14162"/>
    <cellStyle name="Percent 9 6 2 8 2" xfId="14163"/>
    <cellStyle name="Percent 9 6 2 9" xfId="14164"/>
    <cellStyle name="Percent 9 6 3" xfId="14165"/>
    <cellStyle name="Percent 9 6 3 2" xfId="14166"/>
    <cellStyle name="Percent 9 6 3 2 2" xfId="14167"/>
    <cellStyle name="Percent 9 6 3 3" xfId="14168"/>
    <cellStyle name="Percent 9 6 3 3 2" xfId="14169"/>
    <cellStyle name="Percent 9 6 3 4" xfId="14170"/>
    <cellStyle name="Percent 9 6 3 5" xfId="14171"/>
    <cellStyle name="Percent 9 6 4" xfId="14172"/>
    <cellStyle name="Percent 9 6 4 2" xfId="14173"/>
    <cellStyle name="Percent 9 6 4 2 2" xfId="14174"/>
    <cellStyle name="Percent 9 6 4 3" xfId="14175"/>
    <cellStyle name="Percent 9 6 4 3 2" xfId="14176"/>
    <cellStyle name="Percent 9 6 4 4" xfId="14177"/>
    <cellStyle name="Percent 9 6 5" xfId="14178"/>
    <cellStyle name="Percent 9 6 5 2" xfId="14179"/>
    <cellStyle name="Percent 9 6 5 2 2" xfId="14180"/>
    <cellStyle name="Percent 9 6 5 3" xfId="14181"/>
    <cellStyle name="Percent 9 6 5 3 2" xfId="14182"/>
    <cellStyle name="Percent 9 6 5 4" xfId="14183"/>
    <cellStyle name="Percent 9 6 6" xfId="14184"/>
    <cellStyle name="Percent 9 6 6 2" xfId="14185"/>
    <cellStyle name="Percent 9 6 6 2 2" xfId="14186"/>
    <cellStyle name="Percent 9 6 6 3" xfId="14187"/>
    <cellStyle name="Percent 9 6 6 3 2" xfId="14188"/>
    <cellStyle name="Percent 9 6 6 4" xfId="14189"/>
    <cellStyle name="Percent 9 6 6 4 2" xfId="14190"/>
    <cellStyle name="Percent 9 6 6 5" xfId="14191"/>
    <cellStyle name="Percent 9 6 7" xfId="14192"/>
    <cellStyle name="Percent 9 6 7 2" xfId="14193"/>
    <cellStyle name="Percent 9 6 7 2 2" xfId="14194"/>
    <cellStyle name="Percent 9 6 7 3" xfId="14195"/>
    <cellStyle name="Percent 9 6 7 3 2" xfId="14196"/>
    <cellStyle name="Percent 9 6 7 4" xfId="14197"/>
    <cellStyle name="Percent 9 6 8" xfId="14198"/>
    <cellStyle name="Percent 9 6 8 2" xfId="14199"/>
    <cellStyle name="Percent 9 6 9" xfId="14200"/>
    <cellStyle name="Percent 9 6 9 2" xfId="14201"/>
    <cellStyle name="Percent 9 7 15" xfId="14202"/>
    <cellStyle name="Percent 9 7 10" xfId="14203"/>
    <cellStyle name="Percent 9 7 10 2" xfId="14204"/>
    <cellStyle name="Percent 9 7 11" xfId="14205"/>
    <cellStyle name="Percent 9 7 11 2" xfId="14206"/>
    <cellStyle name="Percent 9 7 12" xfId="14207"/>
    <cellStyle name="Percent 9 7 12 2" xfId="14208"/>
    <cellStyle name="Percent 9 7 13" xfId="14209"/>
    <cellStyle name="Percent 9 7 14" xfId="14210"/>
    <cellStyle name="Percent 9 7 2 12" xfId="14211"/>
    <cellStyle name="Percent 9 7 2 10" xfId="14212"/>
    <cellStyle name="Percent 9 7 2 11" xfId="14213"/>
    <cellStyle name="Percent 9 7 2 2" xfId="14214"/>
    <cellStyle name="Percent 9 7 2 2 2" xfId="14215"/>
    <cellStyle name="Percent 9 7 2 2 2 2" xfId="14216"/>
    <cellStyle name="Percent 9 7 2 2 3" xfId="14217"/>
    <cellStyle name="Percent 9 7 2 2 3 2" xfId="14218"/>
    <cellStyle name="Percent 9 7 2 2 4" xfId="14219"/>
    <cellStyle name="Percent 9 7 2 2 5" xfId="14220"/>
    <cellStyle name="Percent 9 7 2 3" xfId="14221"/>
    <cellStyle name="Percent 9 7 2 3 2" xfId="14222"/>
    <cellStyle name="Percent 9 7 2 3 2 2" xfId="14223"/>
    <cellStyle name="Percent 9 7 2 3 3" xfId="14224"/>
    <cellStyle name="Percent 9 7 2 3 3 2" xfId="14225"/>
    <cellStyle name="Percent 9 7 2 3 4" xfId="14226"/>
    <cellStyle name="Percent 9 7 2 4" xfId="14227"/>
    <cellStyle name="Percent 9 7 2 4 2" xfId="14228"/>
    <cellStyle name="Percent 9 7 2 4 2 2" xfId="14229"/>
    <cellStyle name="Percent 9 7 2 4 3" xfId="14230"/>
    <cellStyle name="Percent 9 7 2 4 3 2" xfId="14231"/>
    <cellStyle name="Percent 9 7 2 4 4" xfId="14232"/>
    <cellStyle name="Percent 9 7 2 5" xfId="14233"/>
    <cellStyle name="Percent 9 7 2 5 2" xfId="14234"/>
    <cellStyle name="Percent 9 7 2 5 2 2" xfId="14235"/>
    <cellStyle name="Percent 9 7 2 5 3" xfId="14236"/>
    <cellStyle name="Percent 9 7 2 5 3 2" xfId="14237"/>
    <cellStyle name="Percent 9 7 2 5 4" xfId="14238"/>
    <cellStyle name="Percent 9 7 2 5 4 2" xfId="14239"/>
    <cellStyle name="Percent 9 7 2 5 5" xfId="14240"/>
    <cellStyle name="Percent 9 7 2 6" xfId="14241"/>
    <cellStyle name="Percent 9 7 2 6 2" xfId="14242"/>
    <cellStyle name="Percent 9 7 2 6 2 2" xfId="14243"/>
    <cellStyle name="Percent 9 7 2 6 3" xfId="14244"/>
    <cellStyle name="Percent 9 7 2 6 3 2" xfId="14245"/>
    <cellStyle name="Percent 9 7 2 6 4" xfId="14246"/>
    <cellStyle name="Percent 9 7 2 7" xfId="14247"/>
    <cellStyle name="Percent 9 7 2 7 2" xfId="14248"/>
    <cellStyle name="Percent 9 7 2 8" xfId="14249"/>
    <cellStyle name="Percent 9 7 2 8 2" xfId="14250"/>
    <cellStyle name="Percent 9 7 2 9" xfId="14251"/>
    <cellStyle name="Percent 9 7 2 9 2" xfId="14252"/>
    <cellStyle name="Percent 9 7 3 12" xfId="14253"/>
    <cellStyle name="Percent 9 7 3 10" xfId="14254"/>
    <cellStyle name="Percent 9 7 3 11" xfId="14255"/>
    <cellStyle name="Percent 9 7 3 2" xfId="14256"/>
    <cellStyle name="Percent 9 7 3 2 2" xfId="14257"/>
    <cellStyle name="Percent 9 7 3 2 2 2" xfId="14258"/>
    <cellStyle name="Percent 9 7 3 2 3" xfId="14259"/>
    <cellStyle name="Percent 9 7 3 2 3 2" xfId="14260"/>
    <cellStyle name="Percent 9 7 3 2 4" xfId="14261"/>
    <cellStyle name="Percent 9 7 3 2 5" xfId="14262"/>
    <cellStyle name="Percent 9 7 3 3" xfId="14263"/>
    <cellStyle name="Percent 9 7 3 3 2" xfId="14264"/>
    <cellStyle name="Percent 9 7 3 3 2 2" xfId="14265"/>
    <cellStyle name="Percent 9 7 3 3 3" xfId="14266"/>
    <cellStyle name="Percent 9 7 3 3 3 2" xfId="14267"/>
    <cellStyle name="Percent 9 7 3 3 4" xfId="14268"/>
    <cellStyle name="Percent 9 7 3 4" xfId="14269"/>
    <cellStyle name="Percent 9 7 3 4 2" xfId="14270"/>
    <cellStyle name="Percent 9 7 3 4 2 2" xfId="14271"/>
    <cellStyle name="Percent 9 7 3 4 3" xfId="14272"/>
    <cellStyle name="Percent 9 7 3 4 3 2" xfId="14273"/>
    <cellStyle name="Percent 9 7 3 4 4" xfId="14274"/>
    <cellStyle name="Percent 9 7 3 5" xfId="14275"/>
    <cellStyle name="Percent 9 7 3 5 2" xfId="14276"/>
    <cellStyle name="Percent 9 7 3 5 2 2" xfId="14277"/>
    <cellStyle name="Percent 9 7 3 5 3" xfId="14278"/>
    <cellStyle name="Percent 9 7 3 5 3 2" xfId="14279"/>
    <cellStyle name="Percent 9 7 3 5 4" xfId="14280"/>
    <cellStyle name="Percent 9 7 3 5 4 2" xfId="14281"/>
    <cellStyle name="Percent 9 7 3 5 5" xfId="14282"/>
    <cellStyle name="Percent 9 7 3 6" xfId="14283"/>
    <cellStyle name="Percent 9 7 3 6 2" xfId="14284"/>
    <cellStyle name="Percent 9 7 3 6 2 2" xfId="14285"/>
    <cellStyle name="Percent 9 7 3 6 3" xfId="14286"/>
    <cellStyle name="Percent 9 7 3 6 3 2" xfId="14287"/>
    <cellStyle name="Percent 9 7 3 6 4" xfId="14288"/>
    <cellStyle name="Percent 9 7 3 7" xfId="14289"/>
    <cellStyle name="Percent 9 7 3 7 2" xfId="14290"/>
    <cellStyle name="Percent 9 7 3 8" xfId="14291"/>
    <cellStyle name="Percent 9 7 3 8 2" xfId="14292"/>
    <cellStyle name="Percent 9 7 3 9" xfId="14293"/>
    <cellStyle name="Percent 9 7 3 9 2" xfId="14294"/>
    <cellStyle name="Percent 9 7 4 11" xfId="14295"/>
    <cellStyle name="Percent 9 7 4 10" xfId="14296"/>
    <cellStyle name="Percent 9 7 4 2" xfId="14297"/>
    <cellStyle name="Percent 9 7 4 2 2" xfId="14298"/>
    <cellStyle name="Percent 9 7 4 2 2 2" xfId="14299"/>
    <cellStyle name="Percent 9 7 4 2 3" xfId="14300"/>
    <cellStyle name="Percent 9 7 4 2 3 2" xfId="14301"/>
    <cellStyle name="Percent 9 7 4 2 4" xfId="14302"/>
    <cellStyle name="Percent 9 7 4 3" xfId="14303"/>
    <cellStyle name="Percent 9 7 4 3 2" xfId="14304"/>
    <cellStyle name="Percent 9 7 4 3 2 2" xfId="14305"/>
    <cellStyle name="Percent 9 7 4 3 3" xfId="14306"/>
    <cellStyle name="Percent 9 7 4 3 3 2" xfId="14307"/>
    <cellStyle name="Percent 9 7 4 3 4" xfId="14308"/>
    <cellStyle name="Percent 9 7 4 4" xfId="14309"/>
    <cellStyle name="Percent 9 7 4 4 2" xfId="14310"/>
    <cellStyle name="Percent 9 7 4 4 2 2" xfId="14311"/>
    <cellStyle name="Percent 9 7 4 4 3" xfId="14312"/>
    <cellStyle name="Percent 9 7 4 4 3 2" xfId="14313"/>
    <cellStyle name="Percent 9 7 4 4 4" xfId="14314"/>
    <cellStyle name="Percent 9 7 4 4 4 2" xfId="14315"/>
    <cellStyle name="Percent 9 7 4 4 5" xfId="14316"/>
    <cellStyle name="Percent 9 7 4 5" xfId="14317"/>
    <cellStyle name="Percent 9 7 4 5 2" xfId="14318"/>
    <cellStyle name="Percent 9 7 4 5 2 2" xfId="14319"/>
    <cellStyle name="Percent 9 7 4 5 3" xfId="14320"/>
    <cellStyle name="Percent 9 7 4 5 3 2" xfId="14321"/>
    <cellStyle name="Percent 9 7 4 5 4" xfId="14322"/>
    <cellStyle name="Percent 9 7 4 6" xfId="14323"/>
    <cellStyle name="Percent 9 7 4 6 2" xfId="14324"/>
    <cellStyle name="Percent 9 7 4 7" xfId="14325"/>
    <cellStyle name="Percent 9 7 4 7 2" xfId="14326"/>
    <cellStyle name="Percent 9 7 4 8" xfId="14327"/>
    <cellStyle name="Percent 9 7 4 8 2" xfId="14328"/>
    <cellStyle name="Percent 9 7 4 9" xfId="14329"/>
    <cellStyle name="Percent 9 7 5" xfId="14330"/>
    <cellStyle name="Percent 9 7 5 2" xfId="14331"/>
    <cellStyle name="Percent 9 7 5 2 2" xfId="14332"/>
    <cellStyle name="Percent 9 7 5 3" xfId="14333"/>
    <cellStyle name="Percent 9 7 5 3 2" xfId="14334"/>
    <cellStyle name="Percent 9 7 5 4" xfId="14335"/>
    <cellStyle name="Percent 9 7 5 5" xfId="14336"/>
    <cellStyle name="Percent 9 7 6" xfId="14337"/>
    <cellStyle name="Percent 9 7 6 2" xfId="14338"/>
    <cellStyle name="Percent 9 7 6 2 2" xfId="14339"/>
    <cellStyle name="Percent 9 7 6 3" xfId="14340"/>
    <cellStyle name="Percent 9 7 6 3 2" xfId="14341"/>
    <cellStyle name="Percent 9 7 6 4" xfId="14342"/>
    <cellStyle name="Percent 9 7 7" xfId="14343"/>
    <cellStyle name="Percent 9 7 7 2" xfId="14344"/>
    <cellStyle name="Percent 9 7 7 2 2" xfId="14345"/>
    <cellStyle name="Percent 9 7 7 3" xfId="14346"/>
    <cellStyle name="Percent 9 7 7 3 2" xfId="14347"/>
    <cellStyle name="Percent 9 7 7 4" xfId="14348"/>
    <cellStyle name="Percent 9 7 8" xfId="14349"/>
    <cellStyle name="Percent 9 7 8 2" xfId="14350"/>
    <cellStyle name="Percent 9 7 8 2 2" xfId="14351"/>
    <cellStyle name="Percent 9 7 8 3" xfId="14352"/>
    <cellStyle name="Percent 9 7 8 3 2" xfId="14353"/>
    <cellStyle name="Percent 9 7 8 4" xfId="14354"/>
    <cellStyle name="Percent 9 7 8 4 2" xfId="14355"/>
    <cellStyle name="Percent 9 7 8 5" xfId="14356"/>
    <cellStyle name="Percent 9 7 9" xfId="14357"/>
    <cellStyle name="Percent 9 7 9 2" xfId="14358"/>
    <cellStyle name="Percent 9 7 9 2 2" xfId="14359"/>
    <cellStyle name="Percent 9 7 9 3" xfId="14360"/>
    <cellStyle name="Percent 9 7 9 3 2" xfId="14361"/>
    <cellStyle name="Percent 9 7 9 4" xfId="14362"/>
    <cellStyle name="Percent 9 8 13" xfId="14363"/>
    <cellStyle name="Percent 9 8 10" xfId="14364"/>
    <cellStyle name="Percent 9 8 10 2" xfId="14365"/>
    <cellStyle name="Percent 9 8 11" xfId="14366"/>
    <cellStyle name="Percent 9 8 12" xfId="14367"/>
    <cellStyle name="Percent 9 8 2 11" xfId="14368"/>
    <cellStyle name="Percent 9 8 2 10" xfId="14369"/>
    <cellStyle name="Percent 9 8 2 2" xfId="14370"/>
    <cellStyle name="Percent 9 8 2 2 2" xfId="14371"/>
    <cellStyle name="Percent 9 8 2 2 2 2" xfId="14372"/>
    <cellStyle name="Percent 9 8 2 2 3" xfId="14373"/>
    <cellStyle name="Percent 9 8 2 2 3 2" xfId="14374"/>
    <cellStyle name="Percent 9 8 2 2 4" xfId="14375"/>
    <cellStyle name="Percent 9 8 2 3" xfId="14376"/>
    <cellStyle name="Percent 9 8 2 3 2" xfId="14377"/>
    <cellStyle name="Percent 9 8 2 3 2 2" xfId="14378"/>
    <cellStyle name="Percent 9 8 2 3 3" xfId="14379"/>
    <cellStyle name="Percent 9 8 2 3 3 2" xfId="14380"/>
    <cellStyle name="Percent 9 8 2 3 4" xfId="14381"/>
    <cellStyle name="Percent 9 8 2 4" xfId="14382"/>
    <cellStyle name="Percent 9 8 2 4 2" xfId="14383"/>
    <cellStyle name="Percent 9 8 2 4 2 2" xfId="14384"/>
    <cellStyle name="Percent 9 8 2 4 3" xfId="14385"/>
    <cellStyle name="Percent 9 8 2 4 3 2" xfId="14386"/>
    <cellStyle name="Percent 9 8 2 4 4" xfId="14387"/>
    <cellStyle name="Percent 9 8 2 4 4 2" xfId="14388"/>
    <cellStyle name="Percent 9 8 2 4 5" xfId="14389"/>
    <cellStyle name="Percent 9 8 2 5" xfId="14390"/>
    <cellStyle name="Percent 9 8 2 5 2" xfId="14391"/>
    <cellStyle name="Percent 9 8 2 5 2 2" xfId="14392"/>
    <cellStyle name="Percent 9 8 2 5 3" xfId="14393"/>
    <cellStyle name="Percent 9 8 2 5 3 2" xfId="14394"/>
    <cellStyle name="Percent 9 8 2 5 4" xfId="14395"/>
    <cellStyle name="Percent 9 8 2 6" xfId="14396"/>
    <cellStyle name="Percent 9 8 2 6 2" xfId="14397"/>
    <cellStyle name="Percent 9 8 2 7" xfId="14398"/>
    <cellStyle name="Percent 9 8 2 7 2" xfId="14399"/>
    <cellStyle name="Percent 9 8 2 8" xfId="14400"/>
    <cellStyle name="Percent 9 8 2 8 2" xfId="14401"/>
    <cellStyle name="Percent 9 8 2 9" xfId="14402"/>
    <cellStyle name="Percent 9 8 3" xfId="14403"/>
    <cellStyle name="Percent 9 8 3 2" xfId="14404"/>
    <cellStyle name="Percent 9 8 3 2 2" xfId="14405"/>
    <cellStyle name="Percent 9 8 3 3" xfId="14406"/>
    <cellStyle name="Percent 9 8 3 3 2" xfId="14407"/>
    <cellStyle name="Percent 9 8 3 4" xfId="14408"/>
    <cellStyle name="Percent 9 8 3 5" xfId="14409"/>
    <cellStyle name="Percent 9 8 4" xfId="14410"/>
    <cellStyle name="Percent 9 8 4 2" xfId="14411"/>
    <cellStyle name="Percent 9 8 4 2 2" xfId="14412"/>
    <cellStyle name="Percent 9 8 4 3" xfId="14413"/>
    <cellStyle name="Percent 9 8 4 3 2" xfId="14414"/>
    <cellStyle name="Percent 9 8 4 4" xfId="14415"/>
    <cellStyle name="Percent 9 8 5" xfId="14416"/>
    <cellStyle name="Percent 9 8 5 2" xfId="14417"/>
    <cellStyle name="Percent 9 8 5 2 2" xfId="14418"/>
    <cellStyle name="Percent 9 8 5 3" xfId="14419"/>
    <cellStyle name="Percent 9 8 5 3 2" xfId="14420"/>
    <cellStyle name="Percent 9 8 5 4" xfId="14421"/>
    <cellStyle name="Percent 9 8 6" xfId="14422"/>
    <cellStyle name="Percent 9 8 6 2" xfId="14423"/>
    <cellStyle name="Percent 9 8 6 2 2" xfId="14424"/>
    <cellStyle name="Percent 9 8 6 3" xfId="14425"/>
    <cellStyle name="Percent 9 8 6 3 2" xfId="14426"/>
    <cellStyle name="Percent 9 8 6 4" xfId="14427"/>
    <cellStyle name="Percent 9 8 6 4 2" xfId="14428"/>
    <cellStyle name="Percent 9 8 6 5" xfId="14429"/>
    <cellStyle name="Percent 9 8 7" xfId="14430"/>
    <cellStyle name="Percent 9 8 7 2" xfId="14431"/>
    <cellStyle name="Percent 9 8 7 2 2" xfId="14432"/>
    <cellStyle name="Percent 9 8 7 3" xfId="14433"/>
    <cellStyle name="Percent 9 8 7 3 2" xfId="14434"/>
    <cellStyle name="Percent 9 8 7 4" xfId="14435"/>
    <cellStyle name="Percent 9 8 8" xfId="14436"/>
    <cellStyle name="Percent 9 8 8 2" xfId="14437"/>
    <cellStyle name="Percent 9 8 9" xfId="14438"/>
    <cellStyle name="Percent 9 8 9 2" xfId="14439"/>
    <cellStyle name="Percent 9 9 12" xfId="14440"/>
    <cellStyle name="Percent 9 9 10" xfId="14441"/>
    <cellStyle name="Percent 9 9 11" xfId="14442"/>
    <cellStyle name="Percent 9 9 2" xfId="14443"/>
    <cellStyle name="Percent 9 9 2 2" xfId="14444"/>
    <cellStyle name="Percent 9 9 2 2 2" xfId="14445"/>
    <cellStyle name="Percent 9 9 2 3" xfId="14446"/>
    <cellStyle name="Percent 9 9 2 3 2" xfId="14447"/>
    <cellStyle name="Percent 9 9 2 4" xfId="14448"/>
    <cellStyle name="Percent 9 9 2 5" xfId="14449"/>
    <cellStyle name="Percent 9 9 3" xfId="14450"/>
    <cellStyle name="Percent 9 9 3 2" xfId="14451"/>
    <cellStyle name="Percent 9 9 3 2 2" xfId="14452"/>
    <cellStyle name="Percent 9 9 3 3" xfId="14453"/>
    <cellStyle name="Percent 9 9 3 3 2" xfId="14454"/>
    <cellStyle name="Percent 9 9 3 4" xfId="14455"/>
    <cellStyle name="Percent 9 9 4" xfId="14456"/>
    <cellStyle name="Percent 9 9 4 2" xfId="14457"/>
    <cellStyle name="Percent 9 9 4 2 2" xfId="14458"/>
    <cellStyle name="Percent 9 9 4 3" xfId="14459"/>
    <cellStyle name="Percent 9 9 4 3 2" xfId="14460"/>
    <cellStyle name="Percent 9 9 4 4" xfId="14461"/>
    <cellStyle name="Percent 9 9 5" xfId="14462"/>
    <cellStyle name="Percent 9 9 5 2" xfId="14463"/>
    <cellStyle name="Percent 9 9 5 2 2" xfId="14464"/>
    <cellStyle name="Percent 9 9 5 3" xfId="14465"/>
    <cellStyle name="Percent 9 9 5 3 2" xfId="14466"/>
    <cellStyle name="Percent 9 9 5 4" xfId="14467"/>
    <cellStyle name="Percent 9 9 5 4 2" xfId="14468"/>
    <cellStyle name="Percent 9 9 5 5" xfId="14469"/>
    <cellStyle name="Percent 9 9 6" xfId="14470"/>
    <cellStyle name="Percent 9 9 6 2" xfId="14471"/>
    <cellStyle name="Percent 9 9 6 2 2" xfId="14472"/>
    <cellStyle name="Percent 9 9 6 3" xfId="14473"/>
    <cellStyle name="Percent 9 9 6 3 2" xfId="14474"/>
    <cellStyle name="Percent 9 9 6 4" xfId="14475"/>
    <cellStyle name="Percent 9 9 7" xfId="14476"/>
    <cellStyle name="Percent 9 9 7 2" xfId="14477"/>
    <cellStyle name="Percent 9 9 8" xfId="14478"/>
    <cellStyle name="Percent 9 9 8 2" xfId="14479"/>
    <cellStyle name="Percent 9 9 9" xfId="14480"/>
    <cellStyle name="Percent 9 9 9 2" xfId="14481"/>
    <cellStyle name="Percentagem 2 2 12" xfId="14482"/>
    <cellStyle name="Percentagem 2 2 10" xfId="14483"/>
    <cellStyle name="Percentagem 2 2 11" xfId="14484"/>
    <cellStyle name="Percentagem 2 2 2" xfId="14485"/>
    <cellStyle name="Percentagem 2 2 2 2" xfId="14486"/>
    <cellStyle name="Percentagem 2 2 2 2 2" xfId="14487"/>
    <cellStyle name="Percentagem 2 2 2 3" xfId="14488"/>
    <cellStyle name="Percentagem 2 2 2 3 2" xfId="14489"/>
    <cellStyle name="Percentagem 2 2 2 4" xfId="14490"/>
    <cellStyle name="Percentagem 2 2 2 5" xfId="14491"/>
    <cellStyle name="Percentagem 2 2 3" xfId="14492"/>
    <cellStyle name="Percentagem 2 2 3 2" xfId="14493"/>
    <cellStyle name="Percentagem 2 2 3 2 2" xfId="14494"/>
    <cellStyle name="Percentagem 2 2 3 3" xfId="14495"/>
    <cellStyle name="Percentagem 2 2 3 3 2" xfId="14496"/>
    <cellStyle name="Percentagem 2 2 3 4" xfId="14497"/>
    <cellStyle name="Percentagem 2 2 4" xfId="14498"/>
    <cellStyle name="Percentagem 2 2 4 2" xfId="14499"/>
    <cellStyle name="Percentagem 2 2 4 2 2" xfId="14500"/>
    <cellStyle name="Percentagem 2 2 4 3" xfId="14501"/>
    <cellStyle name="Percentagem 2 2 4 3 2" xfId="14502"/>
    <cellStyle name="Percentagem 2 2 4 4" xfId="14503"/>
    <cellStyle name="Percentagem 2 2 5" xfId="14504"/>
    <cellStyle name="Percentagem 2 2 5 2" xfId="14505"/>
    <cellStyle name="Percentagem 2 2 5 2 2" xfId="14506"/>
    <cellStyle name="Percentagem 2 2 5 3" xfId="14507"/>
    <cellStyle name="Percentagem 2 2 5 3 2" xfId="14508"/>
    <cellStyle name="Percentagem 2 2 5 4" xfId="14509"/>
    <cellStyle name="Percentagem 2 2 5 4 2" xfId="14510"/>
    <cellStyle name="Percentagem 2 2 5 5" xfId="14511"/>
    <cellStyle name="Percentagem 2 2 6" xfId="14512"/>
    <cellStyle name="Percentagem 2 2 6 2" xfId="14513"/>
    <cellStyle name="Percentagem 2 2 6 2 2" xfId="14514"/>
    <cellStyle name="Percentagem 2 2 6 3" xfId="14515"/>
    <cellStyle name="Percentagem 2 2 6 3 2" xfId="14516"/>
    <cellStyle name="Percentagem 2 2 6 4" xfId="14517"/>
    <cellStyle name="Percentagem 2 2 7" xfId="14518"/>
    <cellStyle name="Percentagem 2 2 7 2" xfId="14519"/>
    <cellStyle name="Percentagem 2 2 8" xfId="14520"/>
    <cellStyle name="Percentagem 2 2 8 2" xfId="14521"/>
    <cellStyle name="Percentagem 2 2 9" xfId="14522"/>
    <cellStyle name="Percentagem 2 2 9 2" xfId="14523"/>
    <cellStyle name="Percentagem 2 3 12" xfId="14524"/>
    <cellStyle name="Percentagem 2 3 10" xfId="14525"/>
    <cellStyle name="Percentagem 2 3 11" xfId="14526"/>
    <cellStyle name="Percentagem 2 3 2" xfId="14527"/>
    <cellStyle name="Percentagem 2 3 2 2" xfId="14528"/>
    <cellStyle name="Percentagem 2 3 2 2 2" xfId="14529"/>
    <cellStyle name="Percentagem 2 3 2 3" xfId="14530"/>
    <cellStyle name="Percentagem 2 3 2 3 2" xfId="14531"/>
    <cellStyle name="Percentagem 2 3 2 4" xfId="14532"/>
    <cellStyle name="Percentagem 2 3 2 5" xfId="14533"/>
    <cellStyle name="Percentagem 2 3 3" xfId="14534"/>
    <cellStyle name="Percentagem 2 3 3 2" xfId="14535"/>
    <cellStyle name="Percentagem 2 3 3 2 2" xfId="14536"/>
    <cellStyle name="Percentagem 2 3 3 3" xfId="14537"/>
    <cellStyle name="Percentagem 2 3 3 3 2" xfId="14538"/>
    <cellStyle name="Percentagem 2 3 3 4" xfId="14539"/>
    <cellStyle name="Percentagem 2 3 4" xfId="14540"/>
    <cellStyle name="Percentagem 2 3 4 2" xfId="14541"/>
    <cellStyle name="Percentagem 2 3 4 2 2" xfId="14542"/>
    <cellStyle name="Percentagem 2 3 4 3" xfId="14543"/>
    <cellStyle name="Percentagem 2 3 4 3 2" xfId="14544"/>
    <cellStyle name="Percentagem 2 3 4 4" xfId="14545"/>
    <cellStyle name="Percentagem 2 3 5" xfId="14546"/>
    <cellStyle name="Percentagem 2 3 5 2" xfId="14547"/>
    <cellStyle name="Percentagem 2 3 5 2 2" xfId="14548"/>
    <cellStyle name="Percentagem 2 3 5 3" xfId="14549"/>
    <cellStyle name="Percentagem 2 3 5 3 2" xfId="14550"/>
    <cellStyle name="Percentagem 2 3 5 4" xfId="14551"/>
    <cellStyle name="Percentagem 2 3 5 4 2" xfId="14552"/>
    <cellStyle name="Percentagem 2 3 5 5" xfId="14553"/>
    <cellStyle name="Percentagem 2 3 6" xfId="14554"/>
    <cellStyle name="Percentagem 2 3 6 2" xfId="14555"/>
    <cellStyle name="Percentagem 2 3 6 2 2" xfId="14556"/>
    <cellStyle name="Percentagem 2 3 6 3" xfId="14557"/>
    <cellStyle name="Percentagem 2 3 6 3 2" xfId="14558"/>
    <cellStyle name="Percentagem 2 3 6 4" xfId="14559"/>
    <cellStyle name="Percentagem 2 3 7" xfId="14560"/>
    <cellStyle name="Percentagem 2 3 7 2" xfId="14561"/>
    <cellStyle name="Percentagem 2 3 8" xfId="14562"/>
    <cellStyle name="Percentagem 2 3 8 2" xfId="14563"/>
    <cellStyle name="Percentagem 2 3 9" xfId="14564"/>
    <cellStyle name="Percentagem 2 3 9 2" xfId="14565"/>
    <cellStyle name="Schlecht 12" xfId="14566"/>
    <cellStyle name="Schlecht 10" xfId="14567"/>
    <cellStyle name="Schlecht 11" xfId="14568"/>
    <cellStyle name="Schlecht 2" xfId="14569"/>
    <cellStyle name="Schlecht 2 2" xfId="14570"/>
    <cellStyle name="Schlecht 2 2 2" xfId="14571"/>
    <cellStyle name="Schlecht 2 3" xfId="14572"/>
    <cellStyle name="Schlecht 2 3 2" xfId="14573"/>
    <cellStyle name="Schlecht 2 4" xfId="14574"/>
    <cellStyle name="Schlecht 2 5" xfId="14575"/>
    <cellStyle name="Schlecht 3" xfId="14576"/>
    <cellStyle name="Schlecht 3 2" xfId="14577"/>
    <cellStyle name="Schlecht 3 2 2" xfId="14578"/>
    <cellStyle name="Schlecht 3 3" xfId="14579"/>
    <cellStyle name="Schlecht 3 3 2" xfId="14580"/>
    <cellStyle name="Schlecht 3 4" xfId="14581"/>
    <cellStyle name="Schlecht 4" xfId="14582"/>
    <cellStyle name="Schlecht 4 2" xfId="14583"/>
    <cellStyle name="Schlecht 4 2 2" xfId="14584"/>
    <cellStyle name="Schlecht 4 3" xfId="14585"/>
    <cellStyle name="Schlecht 4 3 2" xfId="14586"/>
    <cellStyle name="Schlecht 4 4" xfId="14587"/>
    <cellStyle name="Schlecht 5" xfId="14588"/>
    <cellStyle name="Schlecht 5 2" xfId="14589"/>
    <cellStyle name="Schlecht 5 2 2" xfId="14590"/>
    <cellStyle name="Schlecht 5 3" xfId="14591"/>
    <cellStyle name="Schlecht 5 3 2" xfId="14592"/>
    <cellStyle name="Schlecht 5 4" xfId="14593"/>
    <cellStyle name="Schlecht 5 4 2" xfId="14594"/>
    <cellStyle name="Schlecht 5 5" xfId="14595"/>
    <cellStyle name="Schlecht 6" xfId="14596"/>
    <cellStyle name="Schlecht 6 2" xfId="14597"/>
    <cellStyle name="Schlecht 6 2 2" xfId="14598"/>
    <cellStyle name="Schlecht 6 3" xfId="14599"/>
    <cellStyle name="Schlecht 6 3 2" xfId="14600"/>
    <cellStyle name="Schlecht 6 4" xfId="14601"/>
    <cellStyle name="Schlecht 7" xfId="14602"/>
    <cellStyle name="Schlecht 7 2" xfId="14603"/>
    <cellStyle name="Schlecht 8" xfId="14604"/>
    <cellStyle name="Schlecht 8 2" xfId="14605"/>
    <cellStyle name="Schlecht 9" xfId="14606"/>
    <cellStyle name="Schlecht 9 2" xfId="14607"/>
    <cellStyle name="Shade 12" xfId="14608"/>
    <cellStyle name="Shade 10" xfId="14609"/>
    <cellStyle name="Shade 11" xfId="14610"/>
    <cellStyle name="Shade 2" xfId="14611"/>
    <cellStyle name="Shade 2 2" xfId="14612"/>
    <cellStyle name="Shade 2 2 2" xfId="14613"/>
    <cellStyle name="Shade 2 3" xfId="14614"/>
    <cellStyle name="Shade 2 3 2" xfId="14615"/>
    <cellStyle name="Shade 2 4" xfId="14616"/>
    <cellStyle name="Shade 2 5" xfId="14617"/>
    <cellStyle name="Shade 3" xfId="14618"/>
    <cellStyle name="Shade 3 2" xfId="14619"/>
    <cellStyle name="Shade 3 2 2" xfId="14620"/>
    <cellStyle name="Shade 3 3" xfId="14621"/>
    <cellStyle name="Shade 3 3 2" xfId="14622"/>
    <cellStyle name="Shade 3 4" xfId="14623"/>
    <cellStyle name="Shade 4" xfId="14624"/>
    <cellStyle name="Shade 4 2" xfId="14625"/>
    <cellStyle name="Shade 4 2 2" xfId="14626"/>
    <cellStyle name="Shade 4 3" xfId="14627"/>
    <cellStyle name="Shade 4 3 2" xfId="14628"/>
    <cellStyle name="Shade 4 4" xfId="14629"/>
    <cellStyle name="Shade 5" xfId="14630"/>
    <cellStyle name="Shade 5 2" xfId="14631"/>
    <cellStyle name="Shade 5 2 2" xfId="14632"/>
    <cellStyle name="Shade 5 3" xfId="14633"/>
    <cellStyle name="Shade 5 3 2" xfId="14634"/>
    <cellStyle name="Shade 5 4" xfId="14635"/>
    <cellStyle name="Shade 5 4 2" xfId="14636"/>
    <cellStyle name="Shade 5 5" xfId="14637"/>
    <cellStyle name="Shade 6" xfId="14638"/>
    <cellStyle name="Shade 6 2" xfId="14639"/>
    <cellStyle name="Shade 6 2 2" xfId="14640"/>
    <cellStyle name="Shade 6 3" xfId="14641"/>
    <cellStyle name="Shade 6 3 2" xfId="14642"/>
    <cellStyle name="Shade 6 4" xfId="14643"/>
    <cellStyle name="Shade 7" xfId="14644"/>
    <cellStyle name="Shade 7 2" xfId="14645"/>
    <cellStyle name="Shade 8" xfId="14646"/>
    <cellStyle name="Shade 8 2" xfId="14647"/>
    <cellStyle name="Shade 9" xfId="14648"/>
    <cellStyle name="Shade 9 2" xfId="14649"/>
    <cellStyle name="source 12" xfId="14650"/>
    <cellStyle name="source 10" xfId="14651"/>
    <cellStyle name="source 11" xfId="14652"/>
    <cellStyle name="source 2 6" xfId="14653"/>
    <cellStyle name="source 2 2" xfId="14654"/>
    <cellStyle name="source 2 2 2" xfId="14655"/>
    <cellStyle name="source 2 3" xfId="14656"/>
    <cellStyle name="source 2 3 2" xfId="14657"/>
    <cellStyle name="source 2 4" xfId="14658"/>
    <cellStyle name="source 2 5" xfId="14659"/>
    <cellStyle name="source 3 5" xfId="14660"/>
    <cellStyle name="source 3 2" xfId="14661"/>
    <cellStyle name="source 3 2 2" xfId="14662"/>
    <cellStyle name="source 3 3" xfId="14663"/>
    <cellStyle name="source 3 3 2" xfId="14664"/>
    <cellStyle name="source 3 4" xfId="14665"/>
    <cellStyle name="source 4" xfId="14666"/>
    <cellStyle name="source 4 2" xfId="14667"/>
    <cellStyle name="source 4 2 2" xfId="14668"/>
    <cellStyle name="source 4 3" xfId="14669"/>
    <cellStyle name="source 4 3 2" xfId="14670"/>
    <cellStyle name="source 4 4" xfId="14671"/>
    <cellStyle name="source 5" xfId="14672"/>
    <cellStyle name="source 5 2" xfId="14673"/>
    <cellStyle name="source 5 2 2" xfId="14674"/>
    <cellStyle name="source 5 3" xfId="14675"/>
    <cellStyle name="source 5 3 2" xfId="14676"/>
    <cellStyle name="source 5 4" xfId="14677"/>
    <cellStyle name="source 5 4 2" xfId="14678"/>
    <cellStyle name="source 5 5" xfId="14679"/>
    <cellStyle name="source 6" xfId="14680"/>
    <cellStyle name="source 6 2" xfId="14681"/>
    <cellStyle name="source 6 2 2" xfId="14682"/>
    <cellStyle name="source 6 3" xfId="14683"/>
    <cellStyle name="source 6 3 2" xfId="14684"/>
    <cellStyle name="source 6 4" xfId="14685"/>
    <cellStyle name="source 7" xfId="14686"/>
    <cellStyle name="source 7 2" xfId="14687"/>
    <cellStyle name="source 8" xfId="14688"/>
    <cellStyle name="source 8 2" xfId="14689"/>
    <cellStyle name="source 9" xfId="14690"/>
    <cellStyle name="source 9 2" xfId="14691"/>
    <cellStyle name="Standard 2 11" xfId="14692"/>
    <cellStyle name="Standard 2 10" xfId="14693"/>
    <cellStyle name="Standard 2 2" xfId="14694"/>
    <cellStyle name="Standard 2 2 2" xfId="14695"/>
    <cellStyle name="Standard 2 2 2 2" xfId="14696"/>
    <cellStyle name="Standard 2 2 3" xfId="14697"/>
    <cellStyle name="Standard 2 2 3 2" xfId="14698"/>
    <cellStyle name="Standard 2 2 4" xfId="14699"/>
    <cellStyle name="Standard 2 2 5" xfId="14700"/>
    <cellStyle name="Standard 2 3" xfId="14701"/>
    <cellStyle name="Standard 2 3 2" xfId="14702"/>
    <cellStyle name="Standard 2 3 2 2" xfId="14703"/>
    <cellStyle name="Standard 2 3 3" xfId="14704"/>
    <cellStyle name="Standard 2 3 3 2" xfId="14705"/>
    <cellStyle name="Standard 2 3 4" xfId="14706"/>
    <cellStyle name="Standard 2 4" xfId="14707"/>
    <cellStyle name="Standard 2 4 2" xfId="14708"/>
    <cellStyle name="Standard 2 4 2 2" xfId="14709"/>
    <cellStyle name="Standard 2 4 3" xfId="14710"/>
    <cellStyle name="Standard 2 4 3 2" xfId="14711"/>
    <cellStyle name="Standard 2 4 4" xfId="14712"/>
    <cellStyle name="Standard 2 4 4 2" xfId="14713"/>
    <cellStyle name="Standard 2 4 5" xfId="14714"/>
    <cellStyle name="Standard 2 5" xfId="14715"/>
    <cellStyle name="Standard 2 5 2" xfId="14716"/>
    <cellStyle name="Standard 2 5 2 2" xfId="14717"/>
    <cellStyle name="Standard 2 5 3" xfId="14718"/>
    <cellStyle name="Standard 2 5 3 2" xfId="14719"/>
    <cellStyle name="Standard 2 5 4" xfId="14720"/>
    <cellStyle name="Standard 2 6" xfId="14721"/>
    <cellStyle name="Standard 2 6 2" xfId="14722"/>
    <cellStyle name="Standard 2 7" xfId="14723"/>
    <cellStyle name="Standard 2 7 2" xfId="14724"/>
    <cellStyle name="Standard 2 8" xfId="14725"/>
    <cellStyle name="Standard 2 8 2" xfId="14726"/>
    <cellStyle name="Standard 2 9" xfId="14727"/>
    <cellStyle name="Standard 3 11" xfId="14728"/>
    <cellStyle name="Standard 3 10" xfId="14729"/>
    <cellStyle name="Standard 3 2" xfId="14730"/>
    <cellStyle name="Standard 3 2 2" xfId="14731"/>
    <cellStyle name="Standard 3 2 2 2" xfId="14732"/>
    <cellStyle name="Standard 3 2 3" xfId="14733"/>
    <cellStyle name="Standard 3 2 3 2" xfId="14734"/>
    <cellStyle name="Standard 3 2 4" xfId="14735"/>
    <cellStyle name="Standard 3 2 5" xfId="14736"/>
    <cellStyle name="Standard 3 3" xfId="14737"/>
    <cellStyle name="Standard 3 3 2" xfId="14738"/>
    <cellStyle name="Standard 3 3 2 2" xfId="14739"/>
    <cellStyle name="Standard 3 3 3" xfId="14740"/>
    <cellStyle name="Standard 3 3 3 2" xfId="14741"/>
    <cellStyle name="Standard 3 3 4" xfId="14742"/>
    <cellStyle name="Standard 3 4" xfId="14743"/>
    <cellStyle name="Standard 3 4 2" xfId="14744"/>
    <cellStyle name="Standard 3 4 2 2" xfId="14745"/>
    <cellStyle name="Standard 3 4 3" xfId="14746"/>
    <cellStyle name="Standard 3 4 3 2" xfId="14747"/>
    <cellStyle name="Standard 3 4 4" xfId="14748"/>
    <cellStyle name="Standard 3 4 4 2" xfId="14749"/>
    <cellStyle name="Standard 3 4 5" xfId="14750"/>
    <cellStyle name="Standard 3 5" xfId="14751"/>
    <cellStyle name="Standard 3 5 2" xfId="14752"/>
    <cellStyle name="Standard 3 5 2 2" xfId="14753"/>
    <cellStyle name="Standard 3 5 3" xfId="14754"/>
    <cellStyle name="Standard 3 5 3 2" xfId="14755"/>
    <cellStyle name="Standard 3 5 4" xfId="14756"/>
    <cellStyle name="Standard 3 6" xfId="14757"/>
    <cellStyle name="Standard 3 6 2" xfId="14758"/>
    <cellStyle name="Standard 3 7" xfId="14759"/>
    <cellStyle name="Standard 3 7 2" xfId="14760"/>
    <cellStyle name="Standard 3 8" xfId="14761"/>
    <cellStyle name="Standard 3 8 2" xfId="14762"/>
    <cellStyle name="Standard 3 9" xfId="14763"/>
    <cellStyle name="Style 1 12" xfId="14764"/>
    <cellStyle name="Style 1 10" xfId="14765"/>
    <cellStyle name="Style 1 11" xfId="14766"/>
    <cellStyle name="Style 1 2" xfId="14767"/>
    <cellStyle name="Style 1 2 2" xfId="14768"/>
    <cellStyle name="Style 1 2 2 2" xfId="14769"/>
    <cellStyle name="Style 1 2 3" xfId="14770"/>
    <cellStyle name="Style 1 2 3 2" xfId="14771"/>
    <cellStyle name="Style 1 2 4" xfId="14772"/>
    <cellStyle name="Style 1 2 5" xfId="14773"/>
    <cellStyle name="Style 1 3" xfId="14774"/>
    <cellStyle name="Style 1 3 2" xfId="14775"/>
    <cellStyle name="Style 1 3 2 2" xfId="14776"/>
    <cellStyle name="Style 1 3 3" xfId="14777"/>
    <cellStyle name="Style 1 3 3 2" xfId="14778"/>
    <cellStyle name="Style 1 3 4" xfId="14779"/>
    <cellStyle name="Style 1 4" xfId="14780"/>
    <cellStyle name="Style 1 4 2" xfId="14781"/>
    <cellStyle name="Style 1 4 2 2" xfId="14782"/>
    <cellStyle name="Style 1 4 3" xfId="14783"/>
    <cellStyle name="Style 1 4 3 2" xfId="14784"/>
    <cellStyle name="Style 1 4 4" xfId="14785"/>
    <cellStyle name="Style 1 5" xfId="14786"/>
    <cellStyle name="Style 1 5 2" xfId="14787"/>
    <cellStyle name="Style 1 5 2 2" xfId="14788"/>
    <cellStyle name="Style 1 5 3" xfId="14789"/>
    <cellStyle name="Style 1 5 3 2" xfId="14790"/>
    <cellStyle name="Style 1 5 4" xfId="14791"/>
    <cellStyle name="Style 1 5 4 2" xfId="14792"/>
    <cellStyle name="Style 1 5 5" xfId="14793"/>
    <cellStyle name="Style 1 6" xfId="14794"/>
    <cellStyle name="Style 1 6 2" xfId="14795"/>
    <cellStyle name="Style 1 6 2 2" xfId="14796"/>
    <cellStyle name="Style 1 6 3" xfId="14797"/>
    <cellStyle name="Style 1 6 3 2" xfId="14798"/>
    <cellStyle name="Style 1 6 4" xfId="14799"/>
    <cellStyle name="Style 1 7" xfId="14800"/>
    <cellStyle name="Style 1 7 2" xfId="14801"/>
    <cellStyle name="Style 1 8" xfId="14802"/>
    <cellStyle name="Style 1 8 2" xfId="14803"/>
    <cellStyle name="Style 1 9" xfId="14804"/>
    <cellStyle name="Style 1 9 2" xfId="14805"/>
    <cellStyle name="Style 21 13" xfId="14806"/>
    <cellStyle name="Style 21 10" xfId="14807"/>
    <cellStyle name="Style 21 10 2" xfId="14808"/>
    <cellStyle name="Style 21 11" xfId="14809"/>
    <cellStyle name="Style 21 12" xfId="14810"/>
    <cellStyle name="Style 21 2 12" xfId="14811"/>
    <cellStyle name="Style 21 2 10" xfId="14812"/>
    <cellStyle name="Style 21 2 11" xfId="14813"/>
    <cellStyle name="Style 21 2 2 6" xfId="14814"/>
    <cellStyle name="Style 21 2 2 2" xfId="14815"/>
    <cellStyle name="Style 21 2 2 2 2" xfId="14816"/>
    <cellStyle name="Style 21 2 2 3" xfId="14817"/>
    <cellStyle name="Style 21 2 2 3 2" xfId="14818"/>
    <cellStyle name="Style 21 2 2 4" xfId="14819"/>
    <cellStyle name="Style 21 2 2 5" xfId="14820"/>
    <cellStyle name="Style 21 2 3 5" xfId="14821"/>
    <cellStyle name="Style 21 2 3 2" xfId="14822"/>
    <cellStyle name="Style 21 2 3 2 2" xfId="14823"/>
    <cellStyle name="Style 21 2 3 3" xfId="14824"/>
    <cellStyle name="Style 21 2 3 3 2" xfId="14825"/>
    <cellStyle name="Style 21 2 3 4" xfId="14826"/>
    <cellStyle name="Style 21 2 4" xfId="14827"/>
    <cellStyle name="Style 21 2 4 2" xfId="14828"/>
    <cellStyle name="Style 21 2 4 2 2" xfId="14829"/>
    <cellStyle name="Style 21 2 4 3" xfId="14830"/>
    <cellStyle name="Style 21 2 4 3 2" xfId="14831"/>
    <cellStyle name="Style 21 2 4 4" xfId="14832"/>
    <cellStyle name="Style 21 2 5" xfId="14833"/>
    <cellStyle name="Style 21 2 5 2" xfId="14834"/>
    <cellStyle name="Style 21 2 5 2 2" xfId="14835"/>
    <cellStyle name="Style 21 2 5 3" xfId="14836"/>
    <cellStyle name="Style 21 2 5 3 2" xfId="14837"/>
    <cellStyle name="Style 21 2 5 4" xfId="14838"/>
    <cellStyle name="Style 21 2 5 4 2" xfId="14839"/>
    <cellStyle name="Style 21 2 5 5" xfId="14840"/>
    <cellStyle name="Style 21 2 6" xfId="14841"/>
    <cellStyle name="Style 21 2 6 2" xfId="14842"/>
    <cellStyle name="Style 21 2 6 2 2" xfId="14843"/>
    <cellStyle name="Style 21 2 6 3" xfId="14844"/>
    <cellStyle name="Style 21 2 6 3 2" xfId="14845"/>
    <cellStyle name="Style 21 2 6 4" xfId="14846"/>
    <cellStyle name="Style 21 2 7" xfId="14847"/>
    <cellStyle name="Style 21 2 7 2" xfId="14848"/>
    <cellStyle name="Style 21 2 8" xfId="14849"/>
    <cellStyle name="Style 21 2 8 2" xfId="14850"/>
    <cellStyle name="Style 21 2 9" xfId="14851"/>
    <cellStyle name="Style 21 2 9 2" xfId="14852"/>
    <cellStyle name="Style 21 3 6" xfId="14853"/>
    <cellStyle name="Style 21 3 2 3" xfId="14854"/>
    <cellStyle name="Style 21 3 2 2" xfId="14855"/>
    <cellStyle name="Style 21 3 3" xfId="14856"/>
    <cellStyle name="Style 21 3 3 2" xfId="14857"/>
    <cellStyle name="Style 21 3 4" xfId="14858"/>
    <cellStyle name="Style 21 3 5" xfId="14859"/>
    <cellStyle name="Style 21 4 5" xfId="14860"/>
    <cellStyle name="Style 21 4 2" xfId="14861"/>
    <cellStyle name="Style 21 4 2 2" xfId="14862"/>
    <cellStyle name="Style 21 4 3" xfId="14863"/>
    <cellStyle name="Style 21 4 3 2" xfId="14864"/>
    <cellStyle name="Style 21 4 4" xfId="14865"/>
    <cellStyle name="Style 21 5 5" xfId="14866"/>
    <cellStyle name="Style 21 5 2" xfId="14867"/>
    <cellStyle name="Style 21 5 2 2" xfId="14868"/>
    <cellStyle name="Style 21 5 3" xfId="14869"/>
    <cellStyle name="Style 21 5 3 2" xfId="14870"/>
    <cellStyle name="Style 21 5 4" xfId="14871"/>
    <cellStyle name="Style 21 6" xfId="14872"/>
    <cellStyle name="Style 21 6 2" xfId="14873"/>
    <cellStyle name="Style 21 6 2 2" xfId="14874"/>
    <cellStyle name="Style 21 6 3" xfId="14875"/>
    <cellStyle name="Style 21 6 3 2" xfId="14876"/>
    <cellStyle name="Style 21 6 4" xfId="14877"/>
    <cellStyle name="Style 21 6 4 2" xfId="14878"/>
    <cellStyle name="Style 21 6 5" xfId="14879"/>
    <cellStyle name="Style 21 7" xfId="14880"/>
    <cellStyle name="Style 21 7 2" xfId="14881"/>
    <cellStyle name="Style 21 7 2 2" xfId="14882"/>
    <cellStyle name="Style 21 7 3" xfId="14883"/>
    <cellStyle name="Style 21 7 3 2" xfId="14884"/>
    <cellStyle name="Style 21 7 4" xfId="14885"/>
    <cellStyle name="Style 21 8" xfId="14886"/>
    <cellStyle name="Style 21 8 2" xfId="14887"/>
    <cellStyle name="Style 21 9" xfId="14888"/>
    <cellStyle name="Style 21 9 2" xfId="14889"/>
    <cellStyle name="Style 22 12" xfId="14890"/>
    <cellStyle name="Style 22 10" xfId="14891"/>
    <cellStyle name="Style 22 11" xfId="14892"/>
    <cellStyle name="Style 22 2 6" xfId="14893"/>
    <cellStyle name="Style 22 2 2" xfId="14894"/>
    <cellStyle name="Style 22 2 2 2" xfId="14895"/>
    <cellStyle name="Style 22 2 3" xfId="14896"/>
    <cellStyle name="Style 22 2 3 2" xfId="14897"/>
    <cellStyle name="Style 22 2 4" xfId="14898"/>
    <cellStyle name="Style 22 2 5" xfId="14899"/>
    <cellStyle name="Style 22 3 5" xfId="14900"/>
    <cellStyle name="Style 22 3 2" xfId="14901"/>
    <cellStyle name="Style 22 3 2 2" xfId="14902"/>
    <cellStyle name="Style 22 3 3" xfId="14903"/>
    <cellStyle name="Style 22 3 3 2" xfId="14904"/>
    <cellStyle name="Style 22 3 4" xfId="14905"/>
    <cellStyle name="Style 22 4" xfId="14906"/>
    <cellStyle name="Style 22 4 2" xfId="14907"/>
    <cellStyle name="Style 22 4 2 2" xfId="14908"/>
    <cellStyle name="Style 22 4 3" xfId="14909"/>
    <cellStyle name="Style 22 4 3 2" xfId="14910"/>
    <cellStyle name="Style 22 4 4" xfId="14911"/>
    <cellStyle name="Style 22 5" xfId="14912"/>
    <cellStyle name="Style 22 5 2" xfId="14913"/>
    <cellStyle name="Style 22 5 2 2" xfId="14914"/>
    <cellStyle name="Style 22 5 3" xfId="14915"/>
    <cellStyle name="Style 22 5 3 2" xfId="14916"/>
    <cellStyle name="Style 22 5 4" xfId="14917"/>
    <cellStyle name="Style 22 5 4 2" xfId="14918"/>
    <cellStyle name="Style 22 5 5" xfId="14919"/>
    <cellStyle name="Style 22 6" xfId="14920"/>
    <cellStyle name="Style 22 6 2" xfId="14921"/>
    <cellStyle name="Style 22 6 2 2" xfId="14922"/>
    <cellStyle name="Style 22 6 3" xfId="14923"/>
    <cellStyle name="Style 22 6 3 2" xfId="14924"/>
    <cellStyle name="Style 22 6 4" xfId="14925"/>
    <cellStyle name="Style 22 7" xfId="14926"/>
    <cellStyle name="Style 22 7 2" xfId="14927"/>
    <cellStyle name="Style 22 8" xfId="14928"/>
    <cellStyle name="Style 22 8 2" xfId="14929"/>
    <cellStyle name="Style 22 9" xfId="14930"/>
    <cellStyle name="Style 22 9 2" xfId="14931"/>
    <cellStyle name="Style 23 12" xfId="14932"/>
    <cellStyle name="Style 23 10" xfId="14933"/>
    <cellStyle name="Style 23 11" xfId="14934"/>
    <cellStyle name="Style 23 2 6" xfId="14935"/>
    <cellStyle name="Style 23 2 2" xfId="14936"/>
    <cellStyle name="Style 23 2 2 2" xfId="14937"/>
    <cellStyle name="Style 23 2 3" xfId="14938"/>
    <cellStyle name="Style 23 2 3 2" xfId="14939"/>
    <cellStyle name="Style 23 2 4" xfId="14940"/>
    <cellStyle name="Style 23 2 5" xfId="14941"/>
    <cellStyle name="Style 23 3 5" xfId="14942"/>
    <cellStyle name="Style 23 3 2" xfId="14943"/>
    <cellStyle name="Style 23 3 2 2" xfId="14944"/>
    <cellStyle name="Style 23 3 3" xfId="14945"/>
    <cellStyle name="Style 23 3 3 2" xfId="14946"/>
    <cellStyle name="Style 23 3 4" xfId="14947"/>
    <cellStyle name="Style 23 4" xfId="14948"/>
    <cellStyle name="Style 23 4 2" xfId="14949"/>
    <cellStyle name="Style 23 4 2 2" xfId="14950"/>
    <cellStyle name="Style 23 4 3" xfId="14951"/>
    <cellStyle name="Style 23 4 3 2" xfId="14952"/>
    <cellStyle name="Style 23 4 4" xfId="14953"/>
    <cellStyle name="Style 23 5" xfId="14954"/>
    <cellStyle name="Style 23 5 2" xfId="14955"/>
    <cellStyle name="Style 23 5 2 2" xfId="14956"/>
    <cellStyle name="Style 23 5 3" xfId="14957"/>
    <cellStyle name="Style 23 5 3 2" xfId="14958"/>
    <cellStyle name="Style 23 5 4" xfId="14959"/>
    <cellStyle name="Style 23 5 4 2" xfId="14960"/>
    <cellStyle name="Style 23 5 5" xfId="14961"/>
    <cellStyle name="Style 23 6" xfId="14962"/>
    <cellStyle name="Style 23 6 2" xfId="14963"/>
    <cellStyle name="Style 23 6 2 2" xfId="14964"/>
    <cellStyle name="Style 23 6 3" xfId="14965"/>
    <cellStyle name="Style 23 6 3 2" xfId="14966"/>
    <cellStyle name="Style 23 6 4" xfId="14967"/>
    <cellStyle name="Style 23 7" xfId="14968"/>
    <cellStyle name="Style 23 7 2" xfId="14969"/>
    <cellStyle name="Style 23 8" xfId="14970"/>
    <cellStyle name="Style 23 8 2" xfId="14971"/>
    <cellStyle name="Style 23 9" xfId="14972"/>
    <cellStyle name="Style 23 9 2" xfId="14973"/>
    <cellStyle name="Style 24 12" xfId="14974"/>
    <cellStyle name="Style 24 10" xfId="14975"/>
    <cellStyle name="Style 24 11" xfId="14976"/>
    <cellStyle name="Style 24 2 6" xfId="14977"/>
    <cellStyle name="Style 24 2 2" xfId="14978"/>
    <cellStyle name="Style 24 2 2 2" xfId="14979"/>
    <cellStyle name="Style 24 2 3" xfId="14980"/>
    <cellStyle name="Style 24 2 3 2" xfId="14981"/>
    <cellStyle name="Style 24 2 4" xfId="14982"/>
    <cellStyle name="Style 24 2 5" xfId="14983"/>
    <cellStyle name="Style 24 3 5" xfId="14984"/>
    <cellStyle name="Style 24 3 2" xfId="14985"/>
    <cellStyle name="Style 24 3 2 2" xfId="14986"/>
    <cellStyle name="Style 24 3 3" xfId="14987"/>
    <cellStyle name="Style 24 3 3 2" xfId="14988"/>
    <cellStyle name="Style 24 3 4" xfId="14989"/>
    <cellStyle name="Style 24 4" xfId="14990"/>
    <cellStyle name="Style 24 4 2" xfId="14991"/>
    <cellStyle name="Style 24 4 2 2" xfId="14992"/>
    <cellStyle name="Style 24 4 3" xfId="14993"/>
    <cellStyle name="Style 24 4 3 2" xfId="14994"/>
    <cellStyle name="Style 24 4 4" xfId="14995"/>
    <cellStyle name="Style 24 5" xfId="14996"/>
    <cellStyle name="Style 24 5 2" xfId="14997"/>
    <cellStyle name="Style 24 5 2 2" xfId="14998"/>
    <cellStyle name="Style 24 5 3" xfId="14999"/>
    <cellStyle name="Style 24 5 3 2" xfId="15000"/>
    <cellStyle name="Style 24 5 4" xfId="15001"/>
    <cellStyle name="Style 24 5 4 2" xfId="15002"/>
    <cellStyle name="Style 24 5 5" xfId="15003"/>
    <cellStyle name="Style 24 6" xfId="15004"/>
    <cellStyle name="Style 24 6 2" xfId="15005"/>
    <cellStyle name="Style 24 6 2 2" xfId="15006"/>
    <cellStyle name="Style 24 6 3" xfId="15007"/>
    <cellStyle name="Style 24 6 3 2" xfId="15008"/>
    <cellStyle name="Style 24 6 4" xfId="15009"/>
    <cellStyle name="Style 24 7" xfId="15010"/>
    <cellStyle name="Style 24 7 2" xfId="15011"/>
    <cellStyle name="Style 24 8" xfId="15012"/>
    <cellStyle name="Style 24 8 2" xfId="15013"/>
    <cellStyle name="Style 24 9" xfId="15014"/>
    <cellStyle name="Style 24 9 2" xfId="15015"/>
    <cellStyle name="Style 25 13" xfId="15016"/>
    <cellStyle name="Style 25 10" xfId="15017"/>
    <cellStyle name="Style 25 10 2" xfId="15018"/>
    <cellStyle name="Style 25 11" xfId="15019"/>
    <cellStyle name="Style 25 12" xfId="15020"/>
    <cellStyle name="Style 25 2 12" xfId="15021"/>
    <cellStyle name="Style 25 2 10" xfId="15022"/>
    <cellStyle name="Style 25 2 11" xfId="15023"/>
    <cellStyle name="Style 25 2 2 6" xfId="15024"/>
    <cellStyle name="Style 25 2 2 2" xfId="15025"/>
    <cellStyle name="Style 25 2 2 2 2" xfId="15026"/>
    <cellStyle name="Style 25 2 2 3" xfId="15027"/>
    <cellStyle name="Style 25 2 2 3 2" xfId="15028"/>
    <cellStyle name="Style 25 2 2 4" xfId="15029"/>
    <cellStyle name="Style 25 2 2 5" xfId="15030"/>
    <cellStyle name="Style 25 2 3" xfId="15031"/>
    <cellStyle name="Style 25 2 3 2" xfId="15032"/>
    <cellStyle name="Style 25 2 3 2 2" xfId="15033"/>
    <cellStyle name="Style 25 2 3 3" xfId="15034"/>
    <cellStyle name="Style 25 2 3 3 2" xfId="15035"/>
    <cellStyle name="Style 25 2 3 4" xfId="15036"/>
    <cellStyle name="Style 25 2 4" xfId="15037"/>
    <cellStyle name="Style 25 2 4 2" xfId="15038"/>
    <cellStyle name="Style 25 2 4 2 2" xfId="15039"/>
    <cellStyle name="Style 25 2 4 3" xfId="15040"/>
    <cellStyle name="Style 25 2 4 3 2" xfId="15041"/>
    <cellStyle name="Style 25 2 4 4" xfId="15042"/>
    <cellStyle name="Style 25 2 5" xfId="15043"/>
    <cellStyle name="Style 25 2 5 2" xfId="15044"/>
    <cellStyle name="Style 25 2 5 2 2" xfId="15045"/>
    <cellStyle name="Style 25 2 5 3" xfId="15046"/>
    <cellStyle name="Style 25 2 5 3 2" xfId="15047"/>
    <cellStyle name="Style 25 2 5 4" xfId="15048"/>
    <cellStyle name="Style 25 2 5 4 2" xfId="15049"/>
    <cellStyle name="Style 25 2 5 5" xfId="15050"/>
    <cellStyle name="Style 25 2 6" xfId="15051"/>
    <cellStyle name="Style 25 2 6 2" xfId="15052"/>
    <cellStyle name="Style 25 2 6 2 2" xfId="15053"/>
    <cellStyle name="Style 25 2 6 3" xfId="15054"/>
    <cellStyle name="Style 25 2 6 3 2" xfId="15055"/>
    <cellStyle name="Style 25 2 6 4" xfId="15056"/>
    <cellStyle name="Style 25 2 7" xfId="15057"/>
    <cellStyle name="Style 25 2 7 2" xfId="15058"/>
    <cellStyle name="Style 25 2 8" xfId="15059"/>
    <cellStyle name="Style 25 2 8 2" xfId="15060"/>
    <cellStyle name="Style 25 2 9" xfId="15061"/>
    <cellStyle name="Style 25 2 9 2" xfId="15062"/>
    <cellStyle name="Style 25 3 6" xfId="15063"/>
    <cellStyle name="Style 25 3 2 3" xfId="15064"/>
    <cellStyle name="Style 25 3 2 2" xfId="15065"/>
    <cellStyle name="Style 25 3 3" xfId="15066"/>
    <cellStyle name="Style 25 3 3 2" xfId="15067"/>
    <cellStyle name="Style 25 3 4" xfId="15068"/>
    <cellStyle name="Style 25 3 5" xfId="15069"/>
    <cellStyle name="Style 25 4 5" xfId="15070"/>
    <cellStyle name="Style 25 4 2" xfId="15071"/>
    <cellStyle name="Style 25 4 2 2" xfId="15072"/>
    <cellStyle name="Style 25 4 3" xfId="15073"/>
    <cellStyle name="Style 25 4 3 2" xfId="15074"/>
    <cellStyle name="Style 25 4 4" xfId="15075"/>
    <cellStyle name="Style 25 5" xfId="15076"/>
    <cellStyle name="Style 25 5 2" xfId="15077"/>
    <cellStyle name="Style 25 5 2 2" xfId="15078"/>
    <cellStyle name="Style 25 5 3" xfId="15079"/>
    <cellStyle name="Style 25 5 3 2" xfId="15080"/>
    <cellStyle name="Style 25 5 4" xfId="15081"/>
    <cellStyle name="Style 25 6" xfId="15082"/>
    <cellStyle name="Style 25 6 2" xfId="15083"/>
    <cellStyle name="Style 25 6 2 2" xfId="15084"/>
    <cellStyle name="Style 25 6 3" xfId="15085"/>
    <cellStyle name="Style 25 6 3 2" xfId="15086"/>
    <cellStyle name="Style 25 6 4" xfId="15087"/>
    <cellStyle name="Style 25 6 4 2" xfId="15088"/>
    <cellStyle name="Style 25 6 5" xfId="15089"/>
    <cellStyle name="Style 25 7" xfId="15090"/>
    <cellStyle name="Style 25 7 2" xfId="15091"/>
    <cellStyle name="Style 25 7 2 2" xfId="15092"/>
    <cellStyle name="Style 25 7 3" xfId="15093"/>
    <cellStyle name="Style 25 7 3 2" xfId="15094"/>
    <cellStyle name="Style 25 7 4" xfId="15095"/>
    <cellStyle name="Style 25 8" xfId="15096"/>
    <cellStyle name="Style 25 8 2" xfId="15097"/>
    <cellStyle name="Style 25 9" xfId="15098"/>
    <cellStyle name="Style 25 9 2" xfId="15099"/>
    <cellStyle name="Style 26 12" xfId="15100"/>
    <cellStyle name="Style 26 10" xfId="15101"/>
    <cellStyle name="Style 26 11" xfId="15102"/>
    <cellStyle name="Style 26 2 6" xfId="15103"/>
    <cellStyle name="Style 26 2 2" xfId="15104"/>
    <cellStyle name="Style 26 2 2 2" xfId="15105"/>
    <cellStyle name="Style 26 2 3" xfId="15106"/>
    <cellStyle name="Style 26 2 3 2" xfId="15107"/>
    <cellStyle name="Style 26 2 4" xfId="15108"/>
    <cellStyle name="Style 26 2 5" xfId="15109"/>
    <cellStyle name="Style 26 3 5" xfId="15110"/>
    <cellStyle name="Style 26 3 2" xfId="15111"/>
    <cellStyle name="Style 26 3 2 2" xfId="15112"/>
    <cellStyle name="Style 26 3 3" xfId="15113"/>
    <cellStyle name="Style 26 3 3 2" xfId="15114"/>
    <cellStyle name="Style 26 3 4" xfId="15115"/>
    <cellStyle name="Style 26 4" xfId="15116"/>
    <cellStyle name="Style 26 4 2" xfId="15117"/>
    <cellStyle name="Style 26 4 2 2" xfId="15118"/>
    <cellStyle name="Style 26 4 3" xfId="15119"/>
    <cellStyle name="Style 26 4 3 2" xfId="15120"/>
    <cellStyle name="Style 26 4 4" xfId="15121"/>
    <cellStyle name="Style 26 5" xfId="15122"/>
    <cellStyle name="Style 26 5 2" xfId="15123"/>
    <cellStyle name="Style 26 5 2 2" xfId="15124"/>
    <cellStyle name="Style 26 5 3" xfId="15125"/>
    <cellStyle name="Style 26 5 3 2" xfId="15126"/>
    <cellStyle name="Style 26 5 4" xfId="15127"/>
    <cellStyle name="Style 26 5 4 2" xfId="15128"/>
    <cellStyle name="Style 26 5 5" xfId="15129"/>
    <cellStyle name="Style 26 6" xfId="15130"/>
    <cellStyle name="Style 26 6 2" xfId="15131"/>
    <cellStyle name="Style 26 6 2 2" xfId="15132"/>
    <cellStyle name="Style 26 6 3" xfId="15133"/>
    <cellStyle name="Style 26 6 3 2" xfId="15134"/>
    <cellStyle name="Style 26 6 4" xfId="15135"/>
    <cellStyle name="Style 26 7" xfId="15136"/>
    <cellStyle name="Style 26 7 2" xfId="15137"/>
    <cellStyle name="Style 26 8" xfId="15138"/>
    <cellStyle name="Style 26 8 2" xfId="15139"/>
    <cellStyle name="Style 26 9" xfId="15140"/>
    <cellStyle name="Style 26 9 2" xfId="15141"/>
    <cellStyle name="tableau | cellule | normal | decimal 1 12" xfId="15142"/>
    <cellStyle name="tableau | cellule | normal | decimal 1 10" xfId="15143"/>
    <cellStyle name="tableau | cellule | normal | decimal 1 11" xfId="15144"/>
    <cellStyle name="tableau | cellule | normal | decimal 1 2" xfId="15145"/>
    <cellStyle name="tableau | cellule | normal | decimal 1 2 2" xfId="15146"/>
    <cellStyle name="tableau | cellule | normal | decimal 1 2 2 2" xfId="15147"/>
    <cellStyle name="tableau | cellule | normal | decimal 1 2 3" xfId="15148"/>
    <cellStyle name="tableau | cellule | normal | decimal 1 2 3 2" xfId="15149"/>
    <cellStyle name="tableau | cellule | normal | decimal 1 2 4" xfId="15150"/>
    <cellStyle name="tableau | cellule | normal | decimal 1 2 5" xfId="15151"/>
    <cellStyle name="tableau | cellule | normal | decimal 1 3" xfId="15152"/>
    <cellStyle name="tableau | cellule | normal | decimal 1 3 2" xfId="15153"/>
    <cellStyle name="tableau | cellule | normal | decimal 1 3 2 2" xfId="15154"/>
    <cellStyle name="tableau | cellule | normal | decimal 1 3 3" xfId="15155"/>
    <cellStyle name="tableau | cellule | normal | decimal 1 3 3 2" xfId="15156"/>
    <cellStyle name="tableau | cellule | normal | decimal 1 3 4" xfId="15157"/>
    <cellStyle name="tableau | cellule | normal | decimal 1 4" xfId="15158"/>
    <cellStyle name="tableau | cellule | normal | decimal 1 4 2" xfId="15159"/>
    <cellStyle name="tableau | cellule | normal | decimal 1 4 2 2" xfId="15160"/>
    <cellStyle name="tableau | cellule | normal | decimal 1 4 3" xfId="15161"/>
    <cellStyle name="tableau | cellule | normal | decimal 1 4 3 2" xfId="15162"/>
    <cellStyle name="tableau | cellule | normal | decimal 1 4 4" xfId="15163"/>
    <cellStyle name="tableau | cellule | normal | decimal 1 5" xfId="15164"/>
    <cellStyle name="tableau | cellule | normal | decimal 1 5 2" xfId="15165"/>
    <cellStyle name="tableau | cellule | normal | decimal 1 5 2 2" xfId="15166"/>
    <cellStyle name="tableau | cellule | normal | decimal 1 5 3" xfId="15167"/>
    <cellStyle name="tableau | cellule | normal | decimal 1 5 3 2" xfId="15168"/>
    <cellStyle name="tableau | cellule | normal | decimal 1 5 4" xfId="15169"/>
    <cellStyle name="tableau | cellule | normal | decimal 1 5 4 2" xfId="15170"/>
    <cellStyle name="tableau | cellule | normal | decimal 1 5 5" xfId="15171"/>
    <cellStyle name="tableau | cellule | normal | decimal 1 6" xfId="15172"/>
    <cellStyle name="tableau | cellule | normal | decimal 1 6 2" xfId="15173"/>
    <cellStyle name="tableau | cellule | normal | decimal 1 6 2 2" xfId="15174"/>
    <cellStyle name="tableau | cellule | normal | decimal 1 6 3" xfId="15175"/>
    <cellStyle name="tableau | cellule | normal | decimal 1 6 3 2" xfId="15176"/>
    <cellStyle name="tableau | cellule | normal | decimal 1 6 4" xfId="15177"/>
    <cellStyle name="tableau | cellule | normal | decimal 1 7" xfId="15178"/>
    <cellStyle name="tableau | cellule | normal | decimal 1 7 2" xfId="15179"/>
    <cellStyle name="tableau | cellule | normal | decimal 1 8" xfId="15180"/>
    <cellStyle name="tableau | cellule | normal | decimal 1 8 2" xfId="15181"/>
    <cellStyle name="tableau | cellule | normal | decimal 1 9" xfId="15182"/>
    <cellStyle name="tableau | cellule | normal | decimal 1 9 2" xfId="15183"/>
    <cellStyle name="tableau | cellule | normal | pourcentage | decimal 1 12" xfId="15184"/>
    <cellStyle name="tableau | cellule | normal | pourcentage | decimal 1 10" xfId="15185"/>
    <cellStyle name="tableau | cellule | normal | pourcentage | decimal 1 11" xfId="15186"/>
    <cellStyle name="tableau | cellule | normal | pourcentage | decimal 1 2" xfId="15187"/>
    <cellStyle name="tableau | cellule | normal | pourcentage | decimal 1 2 2" xfId="15188"/>
    <cellStyle name="tableau | cellule | normal | pourcentage | decimal 1 2 2 2" xfId="15189"/>
    <cellStyle name="tableau | cellule | normal | pourcentage | decimal 1 2 3" xfId="15190"/>
    <cellStyle name="tableau | cellule | normal | pourcentage | decimal 1 2 3 2" xfId="15191"/>
    <cellStyle name="tableau | cellule | normal | pourcentage | decimal 1 2 4" xfId="15192"/>
    <cellStyle name="tableau | cellule | normal | pourcentage | decimal 1 2 5" xfId="15193"/>
    <cellStyle name="tableau | cellule | normal | pourcentage | decimal 1 3" xfId="15194"/>
    <cellStyle name="tableau | cellule | normal | pourcentage | decimal 1 3 2" xfId="15195"/>
    <cellStyle name="tableau | cellule | normal | pourcentage | decimal 1 3 2 2" xfId="15196"/>
    <cellStyle name="tableau | cellule | normal | pourcentage | decimal 1 3 3" xfId="15197"/>
    <cellStyle name="tableau | cellule | normal | pourcentage | decimal 1 3 3 2" xfId="15198"/>
    <cellStyle name="tableau | cellule | normal | pourcentage | decimal 1 3 4" xfId="15199"/>
    <cellStyle name="tableau | cellule | normal | pourcentage | decimal 1 4" xfId="15200"/>
    <cellStyle name="tableau | cellule | normal | pourcentage | decimal 1 4 2" xfId="15201"/>
    <cellStyle name="tableau | cellule | normal | pourcentage | decimal 1 4 2 2" xfId="15202"/>
    <cellStyle name="tableau | cellule | normal | pourcentage | decimal 1 4 3" xfId="15203"/>
    <cellStyle name="tableau | cellule | normal | pourcentage | decimal 1 4 3 2" xfId="15204"/>
    <cellStyle name="tableau | cellule | normal | pourcentage | decimal 1 4 4" xfId="15205"/>
    <cellStyle name="tableau | cellule | normal | pourcentage | decimal 1 5" xfId="15206"/>
    <cellStyle name="tableau | cellule | normal | pourcentage | decimal 1 5 2" xfId="15207"/>
    <cellStyle name="tableau | cellule | normal | pourcentage | decimal 1 5 2 2" xfId="15208"/>
    <cellStyle name="tableau | cellule | normal | pourcentage | decimal 1 5 3" xfId="15209"/>
    <cellStyle name="tableau | cellule | normal | pourcentage | decimal 1 5 3 2" xfId="15210"/>
    <cellStyle name="tableau | cellule | normal | pourcentage | decimal 1 5 4" xfId="15211"/>
    <cellStyle name="tableau | cellule | normal | pourcentage | decimal 1 5 4 2" xfId="15212"/>
    <cellStyle name="tableau | cellule | normal | pourcentage | decimal 1 5 5" xfId="15213"/>
    <cellStyle name="tableau | cellule | normal | pourcentage | decimal 1 6" xfId="15214"/>
    <cellStyle name="tableau | cellule | normal | pourcentage | decimal 1 6 2" xfId="15215"/>
    <cellStyle name="tableau | cellule | normal | pourcentage | decimal 1 6 2 2" xfId="15216"/>
    <cellStyle name="tableau | cellule | normal | pourcentage | decimal 1 6 3" xfId="15217"/>
    <cellStyle name="tableau | cellule | normal | pourcentage | decimal 1 6 3 2" xfId="15218"/>
    <cellStyle name="tableau | cellule | normal | pourcentage | decimal 1 6 4" xfId="15219"/>
    <cellStyle name="tableau | cellule | normal | pourcentage | decimal 1 7" xfId="15220"/>
    <cellStyle name="tableau | cellule | normal | pourcentage | decimal 1 7 2" xfId="15221"/>
    <cellStyle name="tableau | cellule | normal | pourcentage | decimal 1 8" xfId="15222"/>
    <cellStyle name="tableau | cellule | normal | pourcentage | decimal 1 8 2" xfId="15223"/>
    <cellStyle name="tableau | cellule | normal | pourcentage | decimal 1 9" xfId="15224"/>
    <cellStyle name="tableau | cellule | normal | pourcentage | decimal 1 9 2" xfId="15225"/>
    <cellStyle name="tableau | cellule | total | decimal 1 12" xfId="15226"/>
    <cellStyle name="tableau | cellule | total | decimal 1 10" xfId="15227"/>
    <cellStyle name="tableau | cellule | total | decimal 1 11" xfId="15228"/>
    <cellStyle name="tableau | cellule | total | decimal 1 2" xfId="15229"/>
    <cellStyle name="tableau | cellule | total | decimal 1 2 2" xfId="15230"/>
    <cellStyle name="tableau | cellule | total | decimal 1 2 2 2" xfId="15231"/>
    <cellStyle name="tableau | cellule | total | decimal 1 2 3" xfId="15232"/>
    <cellStyle name="tableau | cellule | total | decimal 1 2 3 2" xfId="15233"/>
    <cellStyle name="tableau | cellule | total | decimal 1 2 4" xfId="15234"/>
    <cellStyle name="tableau | cellule | total | decimal 1 2 5" xfId="15235"/>
    <cellStyle name="tableau | cellule | total | decimal 1 3" xfId="15236"/>
    <cellStyle name="tableau | cellule | total | decimal 1 3 2" xfId="15237"/>
    <cellStyle name="tableau | cellule | total | decimal 1 3 2 2" xfId="15238"/>
    <cellStyle name="tableau | cellule | total | decimal 1 3 3" xfId="15239"/>
    <cellStyle name="tableau | cellule | total | decimal 1 3 3 2" xfId="15240"/>
    <cellStyle name="tableau | cellule | total | decimal 1 3 4" xfId="15241"/>
    <cellStyle name="tableau | cellule | total | decimal 1 4" xfId="15242"/>
    <cellStyle name="tableau | cellule | total | decimal 1 4 2" xfId="15243"/>
    <cellStyle name="tableau | cellule | total | decimal 1 4 2 2" xfId="15244"/>
    <cellStyle name="tableau | cellule | total | decimal 1 4 3" xfId="15245"/>
    <cellStyle name="tableau | cellule | total | decimal 1 4 3 2" xfId="15246"/>
    <cellStyle name="tableau | cellule | total | decimal 1 4 4" xfId="15247"/>
    <cellStyle name="tableau | cellule | total | decimal 1 5" xfId="15248"/>
    <cellStyle name="tableau | cellule | total | decimal 1 5 2" xfId="15249"/>
    <cellStyle name="tableau | cellule | total | decimal 1 5 2 2" xfId="15250"/>
    <cellStyle name="tableau | cellule | total | decimal 1 5 3" xfId="15251"/>
    <cellStyle name="tableau | cellule | total | decimal 1 5 3 2" xfId="15252"/>
    <cellStyle name="tableau | cellule | total | decimal 1 5 4" xfId="15253"/>
    <cellStyle name="tableau | cellule | total | decimal 1 5 4 2" xfId="15254"/>
    <cellStyle name="tableau | cellule | total | decimal 1 5 5" xfId="15255"/>
    <cellStyle name="tableau | cellule | total | decimal 1 6" xfId="15256"/>
    <cellStyle name="tableau | cellule | total | decimal 1 6 2" xfId="15257"/>
    <cellStyle name="tableau | cellule | total | decimal 1 6 2 2" xfId="15258"/>
    <cellStyle name="tableau | cellule | total | decimal 1 6 3" xfId="15259"/>
    <cellStyle name="tableau | cellule | total | decimal 1 6 3 2" xfId="15260"/>
    <cellStyle name="tableau | cellule | total | decimal 1 6 4" xfId="15261"/>
    <cellStyle name="tableau | cellule | total | decimal 1 7" xfId="15262"/>
    <cellStyle name="tableau | cellule | total | decimal 1 7 2" xfId="15263"/>
    <cellStyle name="tableau | cellule | total | decimal 1 8" xfId="15264"/>
    <cellStyle name="tableau | cellule | total | decimal 1 8 2" xfId="15265"/>
    <cellStyle name="tableau | cellule | total | decimal 1 9" xfId="15266"/>
    <cellStyle name="tableau | cellule | total | decimal 1 9 2" xfId="15267"/>
    <cellStyle name="tableau | coin superieur gauche 12" xfId="15268"/>
    <cellStyle name="tableau | coin superieur gauche 10" xfId="15269"/>
    <cellStyle name="tableau | coin superieur gauche 11" xfId="15270"/>
    <cellStyle name="tableau | coin superieur gauche 2" xfId="15271"/>
    <cellStyle name="tableau | coin superieur gauche 2 2" xfId="15272"/>
    <cellStyle name="tableau | coin superieur gauche 2 2 2" xfId="15273"/>
    <cellStyle name="tableau | coin superieur gauche 2 3" xfId="15274"/>
    <cellStyle name="tableau | coin superieur gauche 2 3 2" xfId="15275"/>
    <cellStyle name="tableau | coin superieur gauche 2 4" xfId="15276"/>
    <cellStyle name="tableau | coin superieur gauche 2 5" xfId="15277"/>
    <cellStyle name="tableau | coin superieur gauche 3" xfId="15278"/>
    <cellStyle name="tableau | coin superieur gauche 3 2" xfId="15279"/>
    <cellStyle name="tableau | coin superieur gauche 3 2 2" xfId="15280"/>
    <cellStyle name="tableau | coin superieur gauche 3 3" xfId="15281"/>
    <cellStyle name="tableau | coin superieur gauche 3 3 2" xfId="15282"/>
    <cellStyle name="tableau | coin superieur gauche 3 4" xfId="15283"/>
    <cellStyle name="tableau | coin superieur gauche 4" xfId="15284"/>
    <cellStyle name="tableau | coin superieur gauche 4 2" xfId="15285"/>
    <cellStyle name="tableau | coin superieur gauche 4 2 2" xfId="15286"/>
    <cellStyle name="tableau | coin superieur gauche 4 3" xfId="15287"/>
    <cellStyle name="tableau | coin superieur gauche 4 3 2" xfId="15288"/>
    <cellStyle name="tableau | coin superieur gauche 4 4" xfId="15289"/>
    <cellStyle name="tableau | coin superieur gauche 5" xfId="15290"/>
    <cellStyle name="tableau | coin superieur gauche 5 2" xfId="15291"/>
    <cellStyle name="tableau | coin superieur gauche 5 2 2" xfId="15292"/>
    <cellStyle name="tableau | coin superieur gauche 5 3" xfId="15293"/>
    <cellStyle name="tableau | coin superieur gauche 5 3 2" xfId="15294"/>
    <cellStyle name="tableau | coin superieur gauche 5 4" xfId="15295"/>
    <cellStyle name="tableau | coin superieur gauche 5 4 2" xfId="15296"/>
    <cellStyle name="tableau | coin superieur gauche 5 5" xfId="15297"/>
    <cellStyle name="tableau | coin superieur gauche 6" xfId="15298"/>
    <cellStyle name="tableau | coin superieur gauche 6 2" xfId="15299"/>
    <cellStyle name="tableau | coin superieur gauche 6 2 2" xfId="15300"/>
    <cellStyle name="tableau | coin superieur gauche 6 3" xfId="15301"/>
    <cellStyle name="tableau | coin superieur gauche 6 3 2" xfId="15302"/>
    <cellStyle name="tableau | coin superieur gauche 6 4" xfId="15303"/>
    <cellStyle name="tableau | coin superieur gauche 7" xfId="15304"/>
    <cellStyle name="tableau | coin superieur gauche 7 2" xfId="15305"/>
    <cellStyle name="tableau | coin superieur gauche 8" xfId="15306"/>
    <cellStyle name="tableau | coin superieur gauche 8 2" xfId="15307"/>
    <cellStyle name="tableau | coin superieur gauche 9" xfId="15308"/>
    <cellStyle name="tableau | coin superieur gauche 9 2" xfId="15309"/>
    <cellStyle name="tableau | entete-colonne | series 12" xfId="15310"/>
    <cellStyle name="tableau | entete-colonne | series 10" xfId="15311"/>
    <cellStyle name="tableau | entete-colonne | series 11" xfId="15312"/>
    <cellStyle name="tableau | entete-colonne | series 2" xfId="15313"/>
    <cellStyle name="tableau | entete-colonne | series 2 2" xfId="15314"/>
    <cellStyle name="tableau | entete-colonne | series 2 2 2" xfId="15315"/>
    <cellStyle name="tableau | entete-colonne | series 2 3" xfId="15316"/>
    <cellStyle name="tableau | entete-colonne | series 2 3 2" xfId="15317"/>
    <cellStyle name="tableau | entete-colonne | series 2 4" xfId="15318"/>
    <cellStyle name="tableau | entete-colonne | series 2 5" xfId="15319"/>
    <cellStyle name="tableau | entete-colonne | series 3" xfId="15320"/>
    <cellStyle name="tableau | entete-colonne | series 3 2" xfId="15321"/>
    <cellStyle name="tableau | entete-colonne | series 3 2 2" xfId="15322"/>
    <cellStyle name="tableau | entete-colonne | series 3 3" xfId="15323"/>
    <cellStyle name="tableau | entete-colonne | series 3 3 2" xfId="15324"/>
    <cellStyle name="tableau | entete-colonne | series 3 4" xfId="15325"/>
    <cellStyle name="tableau | entete-colonne | series 4" xfId="15326"/>
    <cellStyle name="tableau | entete-colonne | series 4 2" xfId="15327"/>
    <cellStyle name="tableau | entete-colonne | series 4 2 2" xfId="15328"/>
    <cellStyle name="tableau | entete-colonne | series 4 3" xfId="15329"/>
    <cellStyle name="tableau | entete-colonne | series 4 3 2" xfId="15330"/>
    <cellStyle name="tableau | entete-colonne | series 4 4" xfId="15331"/>
    <cellStyle name="tableau | entete-colonne | series 5" xfId="15332"/>
    <cellStyle name="tableau | entete-colonne | series 5 2" xfId="15333"/>
    <cellStyle name="tableau | entete-colonne | series 5 2 2" xfId="15334"/>
    <cellStyle name="tableau | entete-colonne | series 5 3" xfId="15335"/>
    <cellStyle name="tableau | entete-colonne | series 5 3 2" xfId="15336"/>
    <cellStyle name="tableau | entete-colonne | series 5 4" xfId="15337"/>
    <cellStyle name="tableau | entete-colonne | series 5 4 2" xfId="15338"/>
    <cellStyle name="tableau | entete-colonne | series 5 5" xfId="15339"/>
    <cellStyle name="tableau | entete-colonne | series 6" xfId="15340"/>
    <cellStyle name="tableau | entete-colonne | series 6 2" xfId="15341"/>
    <cellStyle name="tableau | entete-colonne | series 6 2 2" xfId="15342"/>
    <cellStyle name="tableau | entete-colonne | series 6 3" xfId="15343"/>
    <cellStyle name="tableau | entete-colonne | series 6 3 2" xfId="15344"/>
    <cellStyle name="tableau | entete-colonne | series 6 4" xfId="15345"/>
    <cellStyle name="tableau | entete-colonne | series 7" xfId="15346"/>
    <cellStyle name="tableau | entete-colonne | series 7 2" xfId="15347"/>
    <cellStyle name="tableau | entete-colonne | series 8" xfId="15348"/>
    <cellStyle name="tableau | entete-colonne | series 8 2" xfId="15349"/>
    <cellStyle name="tableau | entete-colonne | series 9" xfId="15350"/>
    <cellStyle name="tableau | entete-colonne | series 9 2" xfId="15351"/>
    <cellStyle name="tableau | entete-ligne | normal 12" xfId="15352"/>
    <cellStyle name="tableau | entete-ligne | normal 10" xfId="15353"/>
    <cellStyle name="tableau | entete-ligne | normal 11" xfId="15354"/>
    <cellStyle name="tableau | entete-ligne | normal 2" xfId="15355"/>
    <cellStyle name="tableau | entete-ligne | normal 2 2" xfId="15356"/>
    <cellStyle name="tableau | entete-ligne | normal 2 2 2" xfId="15357"/>
    <cellStyle name="tableau | entete-ligne | normal 2 3" xfId="15358"/>
    <cellStyle name="tableau | entete-ligne | normal 2 3 2" xfId="15359"/>
    <cellStyle name="tableau | entete-ligne | normal 2 4" xfId="15360"/>
    <cellStyle name="tableau | entete-ligne | normal 2 5" xfId="15361"/>
    <cellStyle name="tableau | entete-ligne | normal 3" xfId="15362"/>
    <cellStyle name="tableau | entete-ligne | normal 3 2" xfId="15363"/>
    <cellStyle name="tableau | entete-ligne | normal 3 2 2" xfId="15364"/>
    <cellStyle name="tableau | entete-ligne | normal 3 3" xfId="15365"/>
    <cellStyle name="tableau | entete-ligne | normal 3 3 2" xfId="15366"/>
    <cellStyle name="tableau | entete-ligne | normal 3 4" xfId="15367"/>
    <cellStyle name="tableau | entete-ligne | normal 4" xfId="15368"/>
    <cellStyle name="tableau | entete-ligne | normal 4 2" xfId="15369"/>
    <cellStyle name="tableau | entete-ligne | normal 4 2 2" xfId="15370"/>
    <cellStyle name="tableau | entete-ligne | normal 4 3" xfId="15371"/>
    <cellStyle name="tableau | entete-ligne | normal 4 3 2" xfId="15372"/>
    <cellStyle name="tableau | entete-ligne | normal 4 4" xfId="15373"/>
    <cellStyle name="tableau | entete-ligne | normal 5" xfId="15374"/>
    <cellStyle name="tableau | entete-ligne | normal 5 2" xfId="15375"/>
    <cellStyle name="tableau | entete-ligne | normal 5 2 2" xfId="15376"/>
    <cellStyle name="tableau | entete-ligne | normal 5 3" xfId="15377"/>
    <cellStyle name="tableau | entete-ligne | normal 5 3 2" xfId="15378"/>
    <cellStyle name="tableau | entete-ligne | normal 5 4" xfId="15379"/>
    <cellStyle name="tableau | entete-ligne | normal 5 4 2" xfId="15380"/>
    <cellStyle name="tableau | entete-ligne | normal 5 5" xfId="15381"/>
    <cellStyle name="tableau | entete-ligne | normal 6" xfId="15382"/>
    <cellStyle name="tableau | entete-ligne | normal 6 2" xfId="15383"/>
    <cellStyle name="tableau | entete-ligne | normal 6 2 2" xfId="15384"/>
    <cellStyle name="tableau | entete-ligne | normal 6 3" xfId="15385"/>
    <cellStyle name="tableau | entete-ligne | normal 6 3 2" xfId="15386"/>
    <cellStyle name="tableau | entete-ligne | normal 6 4" xfId="15387"/>
    <cellStyle name="tableau | entete-ligne | normal 7" xfId="15388"/>
    <cellStyle name="tableau | entete-ligne | normal 7 2" xfId="15389"/>
    <cellStyle name="tableau | entete-ligne | normal 8" xfId="15390"/>
    <cellStyle name="tableau | entete-ligne | normal 8 2" xfId="15391"/>
    <cellStyle name="tableau | entete-ligne | normal 9" xfId="15392"/>
    <cellStyle name="tableau | entete-ligne | normal 9 2" xfId="15393"/>
    <cellStyle name="tableau | entete-ligne | total 12" xfId="15394"/>
    <cellStyle name="tableau | entete-ligne | total 10" xfId="15395"/>
    <cellStyle name="tableau | entete-ligne | total 11" xfId="15396"/>
    <cellStyle name="tableau | entete-ligne | total 2" xfId="15397"/>
    <cellStyle name="tableau | entete-ligne | total 2 2" xfId="15398"/>
    <cellStyle name="tableau | entete-ligne | total 2 2 2" xfId="15399"/>
    <cellStyle name="tableau | entete-ligne | total 2 3" xfId="15400"/>
    <cellStyle name="tableau | entete-ligne | total 2 3 2" xfId="15401"/>
    <cellStyle name="tableau | entete-ligne | total 2 4" xfId="15402"/>
    <cellStyle name="tableau | entete-ligne | total 2 5" xfId="15403"/>
    <cellStyle name="tableau | entete-ligne | total 3" xfId="15404"/>
    <cellStyle name="tableau | entete-ligne | total 3 2" xfId="15405"/>
    <cellStyle name="tableau | entete-ligne | total 3 2 2" xfId="15406"/>
    <cellStyle name="tableau | entete-ligne | total 3 3" xfId="15407"/>
    <cellStyle name="tableau | entete-ligne | total 3 3 2" xfId="15408"/>
    <cellStyle name="tableau | entete-ligne | total 3 4" xfId="15409"/>
    <cellStyle name="tableau | entete-ligne | total 4" xfId="15410"/>
    <cellStyle name="tableau | entete-ligne | total 4 2" xfId="15411"/>
    <cellStyle name="tableau | entete-ligne | total 4 2 2" xfId="15412"/>
    <cellStyle name="tableau | entete-ligne | total 4 3" xfId="15413"/>
    <cellStyle name="tableau | entete-ligne | total 4 3 2" xfId="15414"/>
    <cellStyle name="tableau | entete-ligne | total 4 4" xfId="15415"/>
    <cellStyle name="tableau | entete-ligne | total 5" xfId="15416"/>
    <cellStyle name="tableau | entete-ligne | total 5 2" xfId="15417"/>
    <cellStyle name="tableau | entete-ligne | total 5 2 2" xfId="15418"/>
    <cellStyle name="tableau | entete-ligne | total 5 3" xfId="15419"/>
    <cellStyle name="tableau | entete-ligne | total 5 3 2" xfId="15420"/>
    <cellStyle name="tableau | entete-ligne | total 5 4" xfId="15421"/>
    <cellStyle name="tableau | entete-ligne | total 5 4 2" xfId="15422"/>
    <cellStyle name="tableau | entete-ligne | total 5 5" xfId="15423"/>
    <cellStyle name="tableau | entete-ligne | total 6" xfId="15424"/>
    <cellStyle name="tableau | entete-ligne | total 6 2" xfId="15425"/>
    <cellStyle name="tableau | entete-ligne | total 6 2 2" xfId="15426"/>
    <cellStyle name="tableau | entete-ligne | total 6 3" xfId="15427"/>
    <cellStyle name="tableau | entete-ligne | total 6 3 2" xfId="15428"/>
    <cellStyle name="tableau | entete-ligne | total 6 4" xfId="15429"/>
    <cellStyle name="tableau | entete-ligne | total 7" xfId="15430"/>
    <cellStyle name="tableau | entete-ligne | total 7 2" xfId="15431"/>
    <cellStyle name="tableau | entete-ligne | total 8" xfId="15432"/>
    <cellStyle name="tableau | entete-ligne | total 8 2" xfId="15433"/>
    <cellStyle name="tableau | entete-ligne | total 9" xfId="15434"/>
    <cellStyle name="tableau | entete-ligne | total 9 2" xfId="15435"/>
    <cellStyle name="tableau | ligne-titre | niveau1 12" xfId="15436"/>
    <cellStyle name="tableau | ligne-titre | niveau1 10" xfId="15437"/>
    <cellStyle name="tableau | ligne-titre | niveau1 11" xfId="15438"/>
    <cellStyle name="tableau | ligne-titre | niveau1 2" xfId="15439"/>
    <cellStyle name="tableau | ligne-titre | niveau1 2 2" xfId="15440"/>
    <cellStyle name="tableau | ligne-titre | niveau1 2 2 2" xfId="15441"/>
    <cellStyle name="tableau | ligne-titre | niveau1 2 3" xfId="15442"/>
    <cellStyle name="tableau | ligne-titre | niveau1 2 3 2" xfId="15443"/>
    <cellStyle name="tableau | ligne-titre | niveau1 2 4" xfId="15444"/>
    <cellStyle name="tableau | ligne-titre | niveau1 2 5" xfId="15445"/>
    <cellStyle name="tableau | ligne-titre | niveau1 3" xfId="15446"/>
    <cellStyle name="tableau | ligne-titre | niveau1 3 2" xfId="15447"/>
    <cellStyle name="tableau | ligne-titre | niveau1 3 2 2" xfId="15448"/>
    <cellStyle name="tableau | ligne-titre | niveau1 3 3" xfId="15449"/>
    <cellStyle name="tableau | ligne-titre | niveau1 3 3 2" xfId="15450"/>
    <cellStyle name="tableau | ligne-titre | niveau1 3 4" xfId="15451"/>
    <cellStyle name="tableau | ligne-titre | niveau1 4" xfId="15452"/>
    <cellStyle name="tableau | ligne-titre | niveau1 4 2" xfId="15453"/>
    <cellStyle name="tableau | ligne-titre | niveau1 4 2 2" xfId="15454"/>
    <cellStyle name="tableau | ligne-titre | niveau1 4 3" xfId="15455"/>
    <cellStyle name="tableau | ligne-titre | niveau1 4 3 2" xfId="15456"/>
    <cellStyle name="tableau | ligne-titre | niveau1 4 4" xfId="15457"/>
    <cellStyle name="tableau | ligne-titre | niveau1 5" xfId="15458"/>
    <cellStyle name="tableau | ligne-titre | niveau1 5 2" xfId="15459"/>
    <cellStyle name="tableau | ligne-titre | niveau1 5 2 2" xfId="15460"/>
    <cellStyle name="tableau | ligne-titre | niveau1 5 3" xfId="15461"/>
    <cellStyle name="tableau | ligne-titre | niveau1 5 3 2" xfId="15462"/>
    <cellStyle name="tableau | ligne-titre | niveau1 5 4" xfId="15463"/>
    <cellStyle name="tableau | ligne-titre | niveau1 5 4 2" xfId="15464"/>
    <cellStyle name="tableau | ligne-titre | niveau1 5 5" xfId="15465"/>
    <cellStyle name="tableau | ligne-titre | niveau1 6" xfId="15466"/>
    <cellStyle name="tableau | ligne-titre | niveau1 6 2" xfId="15467"/>
    <cellStyle name="tableau | ligne-titre | niveau1 6 2 2" xfId="15468"/>
    <cellStyle name="tableau | ligne-titre | niveau1 6 3" xfId="15469"/>
    <cellStyle name="tableau | ligne-titre | niveau1 6 3 2" xfId="15470"/>
    <cellStyle name="tableau | ligne-titre | niveau1 6 4" xfId="15471"/>
    <cellStyle name="tableau | ligne-titre | niveau1 7" xfId="15472"/>
    <cellStyle name="tableau | ligne-titre | niveau1 7 2" xfId="15473"/>
    <cellStyle name="tableau | ligne-titre | niveau1 8" xfId="15474"/>
    <cellStyle name="tableau | ligne-titre | niveau1 8 2" xfId="15475"/>
    <cellStyle name="tableau | ligne-titre | niveau1 9" xfId="15476"/>
    <cellStyle name="tableau | ligne-titre | niveau1 9 2" xfId="15477"/>
    <cellStyle name="tableau | ligne-titre | niveau2 12" xfId="15478"/>
    <cellStyle name="tableau | ligne-titre | niveau2 10" xfId="15479"/>
    <cellStyle name="tableau | ligne-titre | niveau2 11" xfId="15480"/>
    <cellStyle name="tableau | ligne-titre | niveau2 2" xfId="15481"/>
    <cellStyle name="tableau | ligne-titre | niveau2 2 2" xfId="15482"/>
    <cellStyle name="tableau | ligne-titre | niveau2 2 2 2" xfId="15483"/>
    <cellStyle name="tableau | ligne-titre | niveau2 2 3" xfId="15484"/>
    <cellStyle name="tableau | ligne-titre | niveau2 2 3 2" xfId="15485"/>
    <cellStyle name="tableau | ligne-titre | niveau2 2 4" xfId="15486"/>
    <cellStyle name="tableau | ligne-titre | niveau2 2 5" xfId="15487"/>
    <cellStyle name="tableau | ligne-titre | niveau2 3" xfId="15488"/>
    <cellStyle name="tableau | ligne-titre | niveau2 3 2" xfId="15489"/>
    <cellStyle name="tableau | ligne-titre | niveau2 3 2 2" xfId="15490"/>
    <cellStyle name="tableau | ligne-titre | niveau2 3 3" xfId="15491"/>
    <cellStyle name="tableau | ligne-titre | niveau2 3 3 2" xfId="15492"/>
    <cellStyle name="tableau | ligne-titre | niveau2 3 4" xfId="15493"/>
    <cellStyle name="tableau | ligne-titre | niveau2 4" xfId="15494"/>
    <cellStyle name="tableau | ligne-titre | niveau2 4 2" xfId="15495"/>
    <cellStyle name="tableau | ligne-titre | niveau2 4 2 2" xfId="15496"/>
    <cellStyle name="tableau | ligne-titre | niveau2 4 3" xfId="15497"/>
    <cellStyle name="tableau | ligne-titre | niveau2 4 3 2" xfId="15498"/>
    <cellStyle name="tableau | ligne-titre | niveau2 4 4" xfId="15499"/>
    <cellStyle name="tableau | ligne-titre | niveau2 5" xfId="15500"/>
    <cellStyle name="tableau | ligne-titre | niveau2 5 2" xfId="15501"/>
    <cellStyle name="tableau | ligne-titre | niveau2 5 2 2" xfId="15502"/>
    <cellStyle name="tableau | ligne-titre | niveau2 5 3" xfId="15503"/>
    <cellStyle name="tableau | ligne-titre | niveau2 5 3 2" xfId="15504"/>
    <cellStyle name="tableau | ligne-titre | niveau2 5 4" xfId="15505"/>
    <cellStyle name="tableau | ligne-titre | niveau2 5 4 2" xfId="15506"/>
    <cellStyle name="tableau | ligne-titre | niveau2 5 5" xfId="15507"/>
    <cellStyle name="tableau | ligne-titre | niveau2 6" xfId="15508"/>
    <cellStyle name="tableau | ligne-titre | niveau2 6 2" xfId="15509"/>
    <cellStyle name="tableau | ligne-titre | niveau2 6 2 2" xfId="15510"/>
    <cellStyle name="tableau | ligne-titre | niveau2 6 3" xfId="15511"/>
    <cellStyle name="tableau | ligne-titre | niveau2 6 3 2" xfId="15512"/>
    <cellStyle name="tableau | ligne-titre | niveau2 6 4" xfId="15513"/>
    <cellStyle name="tableau | ligne-titre | niveau2 7" xfId="15514"/>
    <cellStyle name="tableau | ligne-titre | niveau2 7 2" xfId="15515"/>
    <cellStyle name="tableau | ligne-titre | niveau2 8" xfId="15516"/>
    <cellStyle name="tableau | ligne-titre | niveau2 8 2" xfId="15517"/>
    <cellStyle name="tableau | ligne-titre | niveau2 9" xfId="15518"/>
    <cellStyle name="tableau | ligne-titre | niveau2 9 2" xfId="15519"/>
    <cellStyle name="Title 10 12" xfId="15520"/>
    <cellStyle name="Title 10 10" xfId="15521"/>
    <cellStyle name="Title 10 11" xfId="15522"/>
    <cellStyle name="Title 10 2" xfId="15523"/>
    <cellStyle name="Title 10 2 2" xfId="15524"/>
    <cellStyle name="Title 10 2 2 2" xfId="15525"/>
    <cellStyle name="Title 10 2 3" xfId="15526"/>
    <cellStyle name="Title 10 2 3 2" xfId="15527"/>
    <cellStyle name="Title 10 2 4" xfId="15528"/>
    <cellStyle name="Title 10 2 5" xfId="15529"/>
    <cellStyle name="Title 10 3" xfId="15530"/>
    <cellStyle name="Title 10 3 2" xfId="15531"/>
    <cellStyle name="Title 10 3 2 2" xfId="15532"/>
    <cellStyle name="Title 10 3 3" xfId="15533"/>
    <cellStyle name="Title 10 3 3 2" xfId="15534"/>
    <cellStyle name="Title 10 3 4" xfId="15535"/>
    <cellStyle name="Title 10 4" xfId="15536"/>
    <cellStyle name="Title 10 4 2" xfId="15537"/>
    <cellStyle name="Title 10 4 2 2" xfId="15538"/>
    <cellStyle name="Title 10 4 3" xfId="15539"/>
    <cellStyle name="Title 10 4 3 2" xfId="15540"/>
    <cellStyle name="Title 10 4 4" xfId="15541"/>
    <cellStyle name="Title 10 5" xfId="15542"/>
    <cellStyle name="Title 10 5 2" xfId="15543"/>
    <cellStyle name="Title 10 5 2 2" xfId="15544"/>
    <cellStyle name="Title 10 5 3" xfId="15545"/>
    <cellStyle name="Title 10 5 3 2" xfId="15546"/>
    <cellStyle name="Title 10 5 4" xfId="15547"/>
    <cellStyle name="Title 10 5 4 2" xfId="15548"/>
    <cellStyle name="Title 10 5 5" xfId="15549"/>
    <cellStyle name="Title 10 6" xfId="15550"/>
    <cellStyle name="Title 10 6 2" xfId="15551"/>
    <cellStyle name="Title 10 6 2 2" xfId="15552"/>
    <cellStyle name="Title 10 6 3" xfId="15553"/>
    <cellStyle name="Title 10 6 3 2" xfId="15554"/>
    <cellStyle name="Title 10 6 4" xfId="15555"/>
    <cellStyle name="Title 10 7" xfId="15556"/>
    <cellStyle name="Title 10 7 2" xfId="15557"/>
    <cellStyle name="Title 10 8" xfId="15558"/>
    <cellStyle name="Title 10 8 2" xfId="15559"/>
    <cellStyle name="Title 10 9" xfId="15560"/>
    <cellStyle name="Title 10 9 2" xfId="15561"/>
    <cellStyle name="Title 11 12" xfId="15562"/>
    <cellStyle name="Title 11 10" xfId="15563"/>
    <cellStyle name="Title 11 11" xfId="15564"/>
    <cellStyle name="Title 11 2" xfId="15565"/>
    <cellStyle name="Title 11 2 2" xfId="15566"/>
    <cellStyle name="Title 11 2 2 2" xfId="15567"/>
    <cellStyle name="Title 11 2 3" xfId="15568"/>
    <cellStyle name="Title 11 2 3 2" xfId="15569"/>
    <cellStyle name="Title 11 2 4" xfId="15570"/>
    <cellStyle name="Title 11 2 5" xfId="15571"/>
    <cellStyle name="Title 11 3" xfId="15572"/>
    <cellStyle name="Title 11 3 2" xfId="15573"/>
    <cellStyle name="Title 11 3 2 2" xfId="15574"/>
    <cellStyle name="Title 11 3 3" xfId="15575"/>
    <cellStyle name="Title 11 3 3 2" xfId="15576"/>
    <cellStyle name="Title 11 3 4" xfId="15577"/>
    <cellStyle name="Title 11 4" xfId="15578"/>
    <cellStyle name="Title 11 4 2" xfId="15579"/>
    <cellStyle name="Title 11 4 2 2" xfId="15580"/>
    <cellStyle name="Title 11 4 3" xfId="15581"/>
    <cellStyle name="Title 11 4 3 2" xfId="15582"/>
    <cellStyle name="Title 11 4 4" xfId="15583"/>
    <cellStyle name="Title 11 5" xfId="15584"/>
    <cellStyle name="Title 11 5 2" xfId="15585"/>
    <cellStyle name="Title 11 5 2 2" xfId="15586"/>
    <cellStyle name="Title 11 5 3" xfId="15587"/>
    <cellStyle name="Title 11 5 3 2" xfId="15588"/>
    <cellStyle name="Title 11 5 4" xfId="15589"/>
    <cellStyle name="Title 11 5 4 2" xfId="15590"/>
    <cellStyle name="Title 11 5 5" xfId="15591"/>
    <cellStyle name="Title 11 6" xfId="15592"/>
    <cellStyle name="Title 11 6 2" xfId="15593"/>
    <cellStyle name="Title 11 6 2 2" xfId="15594"/>
    <cellStyle name="Title 11 6 3" xfId="15595"/>
    <cellStyle name="Title 11 6 3 2" xfId="15596"/>
    <cellStyle name="Title 11 6 4" xfId="15597"/>
    <cellStyle name="Title 11 7" xfId="15598"/>
    <cellStyle name="Title 11 7 2" xfId="15599"/>
    <cellStyle name="Title 11 8" xfId="15600"/>
    <cellStyle name="Title 11 8 2" xfId="15601"/>
    <cellStyle name="Title 11 9" xfId="15602"/>
    <cellStyle name="Title 11 9 2" xfId="15603"/>
    <cellStyle name="Title 12 12" xfId="15604"/>
    <cellStyle name="Title 12 10" xfId="15605"/>
    <cellStyle name="Title 12 11" xfId="15606"/>
    <cellStyle name="Title 12 2" xfId="15607"/>
    <cellStyle name="Title 12 2 2" xfId="15608"/>
    <cellStyle name="Title 12 2 2 2" xfId="15609"/>
    <cellStyle name="Title 12 2 3" xfId="15610"/>
    <cellStyle name="Title 12 2 3 2" xfId="15611"/>
    <cellStyle name="Title 12 2 4" xfId="15612"/>
    <cellStyle name="Title 12 2 5" xfId="15613"/>
    <cellStyle name="Title 12 3" xfId="15614"/>
    <cellStyle name="Title 12 3 2" xfId="15615"/>
    <cellStyle name="Title 12 3 2 2" xfId="15616"/>
    <cellStyle name="Title 12 3 3" xfId="15617"/>
    <cellStyle name="Title 12 3 3 2" xfId="15618"/>
    <cellStyle name="Title 12 3 4" xfId="15619"/>
    <cellStyle name="Title 12 4" xfId="15620"/>
    <cellStyle name="Title 12 4 2" xfId="15621"/>
    <cellStyle name="Title 12 4 2 2" xfId="15622"/>
    <cellStyle name="Title 12 4 3" xfId="15623"/>
    <cellStyle name="Title 12 4 3 2" xfId="15624"/>
    <cellStyle name="Title 12 4 4" xfId="15625"/>
    <cellStyle name="Title 12 5" xfId="15626"/>
    <cellStyle name="Title 12 5 2" xfId="15627"/>
    <cellStyle name="Title 12 5 2 2" xfId="15628"/>
    <cellStyle name="Title 12 5 3" xfId="15629"/>
    <cellStyle name="Title 12 5 3 2" xfId="15630"/>
    <cellStyle name="Title 12 5 4" xfId="15631"/>
    <cellStyle name="Title 12 5 4 2" xfId="15632"/>
    <cellStyle name="Title 12 5 5" xfId="15633"/>
    <cellStyle name="Title 12 6" xfId="15634"/>
    <cellStyle name="Title 12 6 2" xfId="15635"/>
    <cellStyle name="Title 12 6 2 2" xfId="15636"/>
    <cellStyle name="Title 12 6 3" xfId="15637"/>
    <cellStyle name="Title 12 6 3 2" xfId="15638"/>
    <cellStyle name="Title 12 6 4" xfId="15639"/>
    <cellStyle name="Title 12 7" xfId="15640"/>
    <cellStyle name="Title 12 7 2" xfId="15641"/>
    <cellStyle name="Title 12 8" xfId="15642"/>
    <cellStyle name="Title 12 8 2" xfId="15643"/>
    <cellStyle name="Title 12 9" xfId="15644"/>
    <cellStyle name="Title 12 9 2" xfId="15645"/>
    <cellStyle name="Title 13 12" xfId="15646"/>
    <cellStyle name="Title 13 10" xfId="15647"/>
    <cellStyle name="Title 13 11" xfId="15648"/>
    <cellStyle name="Title 13 2" xfId="15649"/>
    <cellStyle name="Title 13 2 2" xfId="15650"/>
    <cellStyle name="Title 13 2 2 2" xfId="15651"/>
    <cellStyle name="Title 13 2 3" xfId="15652"/>
    <cellStyle name="Title 13 2 3 2" xfId="15653"/>
    <cellStyle name="Title 13 2 4" xfId="15654"/>
    <cellStyle name="Title 13 2 5" xfId="15655"/>
    <cellStyle name="Title 13 3" xfId="15656"/>
    <cellStyle name="Title 13 3 2" xfId="15657"/>
    <cellStyle name="Title 13 3 2 2" xfId="15658"/>
    <cellStyle name="Title 13 3 3" xfId="15659"/>
    <cellStyle name="Title 13 3 3 2" xfId="15660"/>
    <cellStyle name="Title 13 3 4" xfId="15661"/>
    <cellStyle name="Title 13 4" xfId="15662"/>
    <cellStyle name="Title 13 4 2" xfId="15663"/>
    <cellStyle name="Title 13 4 2 2" xfId="15664"/>
    <cellStyle name="Title 13 4 3" xfId="15665"/>
    <cellStyle name="Title 13 4 3 2" xfId="15666"/>
    <cellStyle name="Title 13 4 4" xfId="15667"/>
    <cellStyle name="Title 13 5" xfId="15668"/>
    <cellStyle name="Title 13 5 2" xfId="15669"/>
    <cellStyle name="Title 13 5 2 2" xfId="15670"/>
    <cellStyle name="Title 13 5 3" xfId="15671"/>
    <cellStyle name="Title 13 5 3 2" xfId="15672"/>
    <cellStyle name="Title 13 5 4" xfId="15673"/>
    <cellStyle name="Title 13 5 4 2" xfId="15674"/>
    <cellStyle name="Title 13 5 5" xfId="15675"/>
    <cellStyle name="Title 13 6" xfId="15676"/>
    <cellStyle name="Title 13 6 2" xfId="15677"/>
    <cellStyle name="Title 13 6 2 2" xfId="15678"/>
    <cellStyle name="Title 13 6 3" xfId="15679"/>
    <cellStyle name="Title 13 6 3 2" xfId="15680"/>
    <cellStyle name="Title 13 6 4" xfId="15681"/>
    <cellStyle name="Title 13 7" xfId="15682"/>
    <cellStyle name="Title 13 7 2" xfId="15683"/>
    <cellStyle name="Title 13 8" xfId="15684"/>
    <cellStyle name="Title 13 8 2" xfId="15685"/>
    <cellStyle name="Title 13 9" xfId="15686"/>
    <cellStyle name="Title 13 9 2" xfId="15687"/>
    <cellStyle name="Title 14 12" xfId="15688"/>
    <cellStyle name="Title 14 10" xfId="15689"/>
    <cellStyle name="Title 14 11" xfId="15690"/>
    <cellStyle name="Title 14 2" xfId="15691"/>
    <cellStyle name="Title 14 2 2" xfId="15692"/>
    <cellStyle name="Title 14 2 2 2" xfId="15693"/>
    <cellStyle name="Title 14 2 3" xfId="15694"/>
    <cellStyle name="Title 14 2 3 2" xfId="15695"/>
    <cellStyle name="Title 14 2 4" xfId="15696"/>
    <cellStyle name="Title 14 2 5" xfId="15697"/>
    <cellStyle name="Title 14 3" xfId="15698"/>
    <cellStyle name="Title 14 3 2" xfId="15699"/>
    <cellStyle name="Title 14 3 2 2" xfId="15700"/>
    <cellStyle name="Title 14 3 3" xfId="15701"/>
    <cellStyle name="Title 14 3 3 2" xfId="15702"/>
    <cellStyle name="Title 14 3 4" xfId="15703"/>
    <cellStyle name="Title 14 4" xfId="15704"/>
    <cellStyle name="Title 14 4 2" xfId="15705"/>
    <cellStyle name="Title 14 4 2 2" xfId="15706"/>
    <cellStyle name="Title 14 4 3" xfId="15707"/>
    <cellStyle name="Title 14 4 3 2" xfId="15708"/>
    <cellStyle name="Title 14 4 4" xfId="15709"/>
    <cellStyle name="Title 14 5" xfId="15710"/>
    <cellStyle name="Title 14 5 2" xfId="15711"/>
    <cellStyle name="Title 14 5 2 2" xfId="15712"/>
    <cellStyle name="Title 14 5 3" xfId="15713"/>
    <cellStyle name="Title 14 5 3 2" xfId="15714"/>
    <cellStyle name="Title 14 5 4" xfId="15715"/>
    <cellStyle name="Title 14 5 4 2" xfId="15716"/>
    <cellStyle name="Title 14 5 5" xfId="15717"/>
    <cellStyle name="Title 14 6" xfId="15718"/>
    <cellStyle name="Title 14 6 2" xfId="15719"/>
    <cellStyle name="Title 14 6 2 2" xfId="15720"/>
    <cellStyle name="Title 14 6 3" xfId="15721"/>
    <cellStyle name="Title 14 6 3 2" xfId="15722"/>
    <cellStyle name="Title 14 6 4" xfId="15723"/>
    <cellStyle name="Title 14 7" xfId="15724"/>
    <cellStyle name="Title 14 7 2" xfId="15725"/>
    <cellStyle name="Title 14 8" xfId="15726"/>
    <cellStyle name="Title 14 8 2" xfId="15727"/>
    <cellStyle name="Title 14 9" xfId="15728"/>
    <cellStyle name="Title 14 9 2" xfId="15729"/>
    <cellStyle name="Title 15 12" xfId="15730"/>
    <cellStyle name="Title 15 10" xfId="15731"/>
    <cellStyle name="Title 15 11" xfId="15732"/>
    <cellStyle name="Title 15 2" xfId="15733"/>
    <cellStyle name="Title 15 2 2" xfId="15734"/>
    <cellStyle name="Title 15 2 2 2" xfId="15735"/>
    <cellStyle name="Title 15 2 3" xfId="15736"/>
    <cellStyle name="Title 15 2 3 2" xfId="15737"/>
    <cellStyle name="Title 15 2 4" xfId="15738"/>
    <cellStyle name="Title 15 2 5" xfId="15739"/>
    <cellStyle name="Title 15 3" xfId="15740"/>
    <cellStyle name="Title 15 3 2" xfId="15741"/>
    <cellStyle name="Title 15 3 2 2" xfId="15742"/>
    <cellStyle name="Title 15 3 3" xfId="15743"/>
    <cellStyle name="Title 15 3 3 2" xfId="15744"/>
    <cellStyle name="Title 15 3 4" xfId="15745"/>
    <cellStyle name="Title 15 4" xfId="15746"/>
    <cellStyle name="Title 15 4 2" xfId="15747"/>
    <cellStyle name="Title 15 4 2 2" xfId="15748"/>
    <cellStyle name="Title 15 4 3" xfId="15749"/>
    <cellStyle name="Title 15 4 3 2" xfId="15750"/>
    <cellStyle name="Title 15 4 4" xfId="15751"/>
    <cellStyle name="Title 15 5" xfId="15752"/>
    <cellStyle name="Title 15 5 2" xfId="15753"/>
    <cellStyle name="Title 15 5 2 2" xfId="15754"/>
    <cellStyle name="Title 15 5 3" xfId="15755"/>
    <cellStyle name="Title 15 5 3 2" xfId="15756"/>
    <cellStyle name="Title 15 5 4" xfId="15757"/>
    <cellStyle name="Title 15 5 4 2" xfId="15758"/>
    <cellStyle name="Title 15 5 5" xfId="15759"/>
    <cellStyle name="Title 15 6" xfId="15760"/>
    <cellStyle name="Title 15 6 2" xfId="15761"/>
    <cellStyle name="Title 15 6 2 2" xfId="15762"/>
    <cellStyle name="Title 15 6 3" xfId="15763"/>
    <cellStyle name="Title 15 6 3 2" xfId="15764"/>
    <cellStyle name="Title 15 6 4" xfId="15765"/>
    <cellStyle name="Title 15 7" xfId="15766"/>
    <cellStyle name="Title 15 7 2" xfId="15767"/>
    <cellStyle name="Title 15 8" xfId="15768"/>
    <cellStyle name="Title 15 8 2" xfId="15769"/>
    <cellStyle name="Title 15 9" xfId="15770"/>
    <cellStyle name="Title 15 9 2" xfId="15771"/>
    <cellStyle name="Title 16 12" xfId="15772"/>
    <cellStyle name="Title 16 10" xfId="15773"/>
    <cellStyle name="Title 16 11" xfId="15774"/>
    <cellStyle name="Title 16 2" xfId="15775"/>
    <cellStyle name="Title 16 2 2" xfId="15776"/>
    <cellStyle name="Title 16 2 2 2" xfId="15777"/>
    <cellStyle name="Title 16 2 3" xfId="15778"/>
    <cellStyle name="Title 16 2 3 2" xfId="15779"/>
    <cellStyle name="Title 16 2 4" xfId="15780"/>
    <cellStyle name="Title 16 2 5" xfId="15781"/>
    <cellStyle name="Title 16 3" xfId="15782"/>
    <cellStyle name="Title 16 3 2" xfId="15783"/>
    <cellStyle name="Title 16 3 2 2" xfId="15784"/>
    <cellStyle name="Title 16 3 3" xfId="15785"/>
    <cellStyle name="Title 16 3 3 2" xfId="15786"/>
    <cellStyle name="Title 16 3 4" xfId="15787"/>
    <cellStyle name="Title 16 4" xfId="15788"/>
    <cellStyle name="Title 16 4 2" xfId="15789"/>
    <cellStyle name="Title 16 4 2 2" xfId="15790"/>
    <cellStyle name="Title 16 4 3" xfId="15791"/>
    <cellStyle name="Title 16 4 3 2" xfId="15792"/>
    <cellStyle name="Title 16 4 4" xfId="15793"/>
    <cellStyle name="Title 16 5" xfId="15794"/>
    <cellStyle name="Title 16 5 2" xfId="15795"/>
    <cellStyle name="Title 16 5 2 2" xfId="15796"/>
    <cellStyle name="Title 16 5 3" xfId="15797"/>
    <cellStyle name="Title 16 5 3 2" xfId="15798"/>
    <cellStyle name="Title 16 5 4" xfId="15799"/>
    <cellStyle name="Title 16 5 4 2" xfId="15800"/>
    <cellStyle name="Title 16 5 5" xfId="15801"/>
    <cellStyle name="Title 16 6" xfId="15802"/>
    <cellStyle name="Title 16 6 2" xfId="15803"/>
    <cellStyle name="Title 16 6 2 2" xfId="15804"/>
    <cellStyle name="Title 16 6 3" xfId="15805"/>
    <cellStyle name="Title 16 6 3 2" xfId="15806"/>
    <cellStyle name="Title 16 6 4" xfId="15807"/>
    <cellStyle name="Title 16 7" xfId="15808"/>
    <cellStyle name="Title 16 7 2" xfId="15809"/>
    <cellStyle name="Title 16 8" xfId="15810"/>
    <cellStyle name="Title 16 8 2" xfId="15811"/>
    <cellStyle name="Title 16 9" xfId="15812"/>
    <cellStyle name="Title 16 9 2" xfId="15813"/>
    <cellStyle name="Title 17 12" xfId="15814"/>
    <cellStyle name="Title 17 10" xfId="15815"/>
    <cellStyle name="Title 17 11" xfId="15816"/>
    <cellStyle name="Title 17 2" xfId="15817"/>
    <cellStyle name="Title 17 2 2" xfId="15818"/>
    <cellStyle name="Title 17 2 2 2" xfId="15819"/>
    <cellStyle name="Title 17 2 3" xfId="15820"/>
    <cellStyle name="Title 17 2 3 2" xfId="15821"/>
    <cellStyle name="Title 17 2 4" xfId="15822"/>
    <cellStyle name="Title 17 2 5" xfId="15823"/>
    <cellStyle name="Title 17 3" xfId="15824"/>
    <cellStyle name="Title 17 3 2" xfId="15825"/>
    <cellStyle name="Title 17 3 2 2" xfId="15826"/>
    <cellStyle name="Title 17 3 3" xfId="15827"/>
    <cellStyle name="Title 17 3 3 2" xfId="15828"/>
    <cellStyle name="Title 17 3 4" xfId="15829"/>
    <cellStyle name="Title 17 4" xfId="15830"/>
    <cellStyle name="Title 17 4 2" xfId="15831"/>
    <cellStyle name="Title 17 4 2 2" xfId="15832"/>
    <cellStyle name="Title 17 4 3" xfId="15833"/>
    <cellStyle name="Title 17 4 3 2" xfId="15834"/>
    <cellStyle name="Title 17 4 4" xfId="15835"/>
    <cellStyle name="Title 17 5" xfId="15836"/>
    <cellStyle name="Title 17 5 2" xfId="15837"/>
    <cellStyle name="Title 17 5 2 2" xfId="15838"/>
    <cellStyle name="Title 17 5 3" xfId="15839"/>
    <cellStyle name="Title 17 5 3 2" xfId="15840"/>
    <cellStyle name="Title 17 5 4" xfId="15841"/>
    <cellStyle name="Title 17 5 4 2" xfId="15842"/>
    <cellStyle name="Title 17 5 5" xfId="15843"/>
    <cellStyle name="Title 17 6" xfId="15844"/>
    <cellStyle name="Title 17 6 2" xfId="15845"/>
    <cellStyle name="Title 17 6 2 2" xfId="15846"/>
    <cellStyle name="Title 17 6 3" xfId="15847"/>
    <cellStyle name="Title 17 6 3 2" xfId="15848"/>
    <cellStyle name="Title 17 6 4" xfId="15849"/>
    <cellStyle name="Title 17 7" xfId="15850"/>
    <cellStyle name="Title 17 7 2" xfId="15851"/>
    <cellStyle name="Title 17 8" xfId="15852"/>
    <cellStyle name="Title 17 8 2" xfId="15853"/>
    <cellStyle name="Title 17 9" xfId="15854"/>
    <cellStyle name="Title 17 9 2" xfId="15855"/>
    <cellStyle name="Title 18 12" xfId="15856"/>
    <cellStyle name="Title 18 10" xfId="15857"/>
    <cellStyle name="Title 18 11" xfId="15858"/>
    <cellStyle name="Title 18 2" xfId="15859"/>
    <cellStyle name="Title 18 2 2" xfId="15860"/>
    <cellStyle name="Title 18 2 2 2" xfId="15861"/>
    <cellStyle name="Title 18 2 3" xfId="15862"/>
    <cellStyle name="Title 18 2 3 2" xfId="15863"/>
    <cellStyle name="Title 18 2 4" xfId="15864"/>
    <cellStyle name="Title 18 2 5" xfId="15865"/>
    <cellStyle name="Title 18 3" xfId="15866"/>
    <cellStyle name="Title 18 3 2" xfId="15867"/>
    <cellStyle name="Title 18 3 2 2" xfId="15868"/>
    <cellStyle name="Title 18 3 3" xfId="15869"/>
    <cellStyle name="Title 18 3 3 2" xfId="15870"/>
    <cellStyle name="Title 18 3 4" xfId="15871"/>
    <cellStyle name="Title 18 4" xfId="15872"/>
    <cellStyle name="Title 18 4 2" xfId="15873"/>
    <cellStyle name="Title 18 4 2 2" xfId="15874"/>
    <cellStyle name="Title 18 4 3" xfId="15875"/>
    <cellStyle name="Title 18 4 3 2" xfId="15876"/>
    <cellStyle name="Title 18 4 4" xfId="15877"/>
    <cellStyle name="Title 18 5" xfId="15878"/>
    <cellStyle name="Title 18 5 2" xfId="15879"/>
    <cellStyle name="Title 18 5 2 2" xfId="15880"/>
    <cellStyle name="Title 18 5 3" xfId="15881"/>
    <cellStyle name="Title 18 5 3 2" xfId="15882"/>
    <cellStyle name="Title 18 5 4" xfId="15883"/>
    <cellStyle name="Title 18 5 4 2" xfId="15884"/>
    <cellStyle name="Title 18 5 5" xfId="15885"/>
    <cellStyle name="Title 18 6" xfId="15886"/>
    <cellStyle name="Title 18 6 2" xfId="15887"/>
    <cellStyle name="Title 18 6 2 2" xfId="15888"/>
    <cellStyle name="Title 18 6 3" xfId="15889"/>
    <cellStyle name="Title 18 6 3 2" xfId="15890"/>
    <cellStyle name="Title 18 6 4" xfId="15891"/>
    <cellStyle name="Title 18 7" xfId="15892"/>
    <cellStyle name="Title 18 7 2" xfId="15893"/>
    <cellStyle name="Title 18 8" xfId="15894"/>
    <cellStyle name="Title 18 8 2" xfId="15895"/>
    <cellStyle name="Title 18 9" xfId="15896"/>
    <cellStyle name="Title 18 9 2" xfId="15897"/>
    <cellStyle name="Title 19 12" xfId="15898"/>
    <cellStyle name="Title 19 10" xfId="15899"/>
    <cellStyle name="Title 19 11" xfId="15900"/>
    <cellStyle name="Title 19 2" xfId="15901"/>
    <cellStyle name="Title 19 2 2" xfId="15902"/>
    <cellStyle name="Title 19 2 2 2" xfId="15903"/>
    <cellStyle name="Title 19 2 3" xfId="15904"/>
    <cellStyle name="Title 19 2 3 2" xfId="15905"/>
    <cellStyle name="Title 19 2 4" xfId="15906"/>
    <cellStyle name="Title 19 2 5" xfId="15907"/>
    <cellStyle name="Title 19 3" xfId="15908"/>
    <cellStyle name="Title 19 3 2" xfId="15909"/>
    <cellStyle name="Title 19 3 2 2" xfId="15910"/>
    <cellStyle name="Title 19 3 3" xfId="15911"/>
    <cellStyle name="Title 19 3 3 2" xfId="15912"/>
    <cellStyle name="Title 19 3 4" xfId="15913"/>
    <cellStyle name="Title 19 4" xfId="15914"/>
    <cellStyle name="Title 19 4 2" xfId="15915"/>
    <cellStyle name="Title 19 4 2 2" xfId="15916"/>
    <cellStyle name="Title 19 4 3" xfId="15917"/>
    <cellStyle name="Title 19 4 3 2" xfId="15918"/>
    <cellStyle name="Title 19 4 4" xfId="15919"/>
    <cellStyle name="Title 19 5" xfId="15920"/>
    <cellStyle name="Title 19 5 2" xfId="15921"/>
    <cellStyle name="Title 19 5 2 2" xfId="15922"/>
    <cellStyle name="Title 19 5 3" xfId="15923"/>
    <cellStyle name="Title 19 5 3 2" xfId="15924"/>
    <cellStyle name="Title 19 5 4" xfId="15925"/>
    <cellStyle name="Title 19 5 4 2" xfId="15926"/>
    <cellStyle name="Title 19 5 5" xfId="15927"/>
    <cellStyle name="Title 19 6" xfId="15928"/>
    <cellStyle name="Title 19 6 2" xfId="15929"/>
    <cellStyle name="Title 19 6 2 2" xfId="15930"/>
    <cellStyle name="Title 19 6 3" xfId="15931"/>
    <cellStyle name="Title 19 6 3 2" xfId="15932"/>
    <cellStyle name="Title 19 6 4" xfId="15933"/>
    <cellStyle name="Title 19 7" xfId="15934"/>
    <cellStyle name="Title 19 7 2" xfId="15935"/>
    <cellStyle name="Title 19 8" xfId="15936"/>
    <cellStyle name="Title 19 8 2" xfId="15937"/>
    <cellStyle name="Title 19 9" xfId="15938"/>
    <cellStyle name="Title 19 9 2" xfId="15939"/>
    <cellStyle name="Title 2 22" xfId="15940"/>
    <cellStyle name="Title 2 10 11" xfId="15941"/>
    <cellStyle name="Title 2 10 10" xfId="15942"/>
    <cellStyle name="Title 2 10 2" xfId="15943"/>
    <cellStyle name="Title 2 10 2 2" xfId="15944"/>
    <cellStyle name="Title 2 10 2 2 2" xfId="15945"/>
    <cellStyle name="Title 2 10 2 3" xfId="15946"/>
    <cellStyle name="Title 2 10 2 3 2" xfId="15947"/>
    <cellStyle name="Title 2 10 2 4" xfId="15948"/>
    <cellStyle name="Title 2 10 3" xfId="15949"/>
    <cellStyle name="Title 2 10 3 2" xfId="15950"/>
    <cellStyle name="Title 2 10 3 2 2" xfId="15951"/>
    <cellStyle name="Title 2 10 3 3" xfId="15952"/>
    <cellStyle name="Title 2 10 3 3 2" xfId="15953"/>
    <cellStyle name="Title 2 10 3 4" xfId="15954"/>
    <cellStyle name="Title 2 10 4" xfId="15955"/>
    <cellStyle name="Title 2 10 4 2" xfId="15956"/>
    <cellStyle name="Title 2 10 4 2 2" xfId="15957"/>
    <cellStyle name="Title 2 10 4 3" xfId="15958"/>
    <cellStyle name="Title 2 10 4 3 2" xfId="15959"/>
    <cellStyle name="Title 2 10 4 4" xfId="15960"/>
    <cellStyle name="Title 2 10 4 4 2" xfId="15961"/>
    <cellStyle name="Title 2 10 4 5" xfId="15962"/>
    <cellStyle name="Title 2 10 5" xfId="15963"/>
    <cellStyle name="Title 2 10 5 2" xfId="15964"/>
    <cellStyle name="Title 2 10 5 2 2" xfId="15965"/>
    <cellStyle name="Title 2 10 5 3" xfId="15966"/>
    <cellStyle name="Title 2 10 5 3 2" xfId="15967"/>
    <cellStyle name="Title 2 10 5 4" xfId="15968"/>
    <cellStyle name="Title 2 10 6" xfId="15969"/>
    <cellStyle name="Title 2 10 6 2" xfId="15970"/>
    <cellStyle name="Title 2 10 7" xfId="15971"/>
    <cellStyle name="Title 2 10 7 2" xfId="15972"/>
    <cellStyle name="Title 2 10 8" xfId="15973"/>
    <cellStyle name="Title 2 10 8 2" xfId="15974"/>
    <cellStyle name="Title 2 10 9" xfId="15975"/>
    <cellStyle name="Title 2 11" xfId="15976"/>
    <cellStyle name="Title 2 11 10" xfId="15977"/>
    <cellStyle name="Title 2 11 2" xfId="15978"/>
    <cellStyle name="Title 2 11 2 2" xfId="15979"/>
    <cellStyle name="Title 2 11 2 2 2" xfId="15980"/>
    <cellStyle name="Title 2 11 2 3" xfId="15981"/>
    <cellStyle name="Title 2 11 2 3 2" xfId="15982"/>
    <cellStyle name="Title 2 11 2 4" xfId="15983"/>
    <cellStyle name="Title 2 11 3" xfId="15984"/>
    <cellStyle name="Title 2 11 3 2" xfId="15985"/>
    <cellStyle name="Title 2 11 3 2 2" xfId="15986"/>
    <cellStyle name="Title 2 11 3 3" xfId="15987"/>
    <cellStyle name="Title 2 11 3 3 2" xfId="15988"/>
    <cellStyle name="Title 2 11 3 4" xfId="15989"/>
    <cellStyle name="Title 2 11 4" xfId="15990"/>
    <cellStyle name="Title 2 11 4 2" xfId="15991"/>
    <cellStyle name="Title 2 11 4 2 2" xfId="15992"/>
    <cellStyle name="Title 2 11 4 3" xfId="15993"/>
    <cellStyle name="Title 2 11 4 3 2" xfId="15994"/>
    <cellStyle name="Title 2 11 4 4" xfId="15995"/>
    <cellStyle name="Title 2 11 4 4 2" xfId="15996"/>
    <cellStyle name="Title 2 11 4 5" xfId="15997"/>
    <cellStyle name="Title 2 11 5" xfId="15998"/>
    <cellStyle name="Title 2 11 5 2" xfId="15999"/>
    <cellStyle name="Title 2 11 5 2 2" xfId="16000"/>
    <cellStyle name="Title 2 11 5 3" xfId="16001"/>
    <cellStyle name="Title 2 11 5 3 2" xfId="16002"/>
    <cellStyle name="Title 2 11 5 4" xfId="16003"/>
    <cellStyle name="Title 2 11 6" xfId="16004"/>
    <cellStyle name="Title 2 11 6 2" xfId="16005"/>
    <cellStyle name="Title 2 11 7" xfId="16006"/>
    <cellStyle name="Title 2 11 7 2" xfId="16007"/>
    <cellStyle name="Title 2 11 8" xfId="16008"/>
    <cellStyle name="Title 2 11 8 2" xfId="16009"/>
    <cellStyle name="Title 2 11 9" xfId="16010"/>
    <cellStyle name="Title 2 12" xfId="16011"/>
    <cellStyle name="Title 2 12 2" xfId="16012"/>
    <cellStyle name="Title 2 12 2 2" xfId="16013"/>
    <cellStyle name="Title 2 12 3" xfId="16014"/>
    <cellStyle name="Title 2 12 3 2" xfId="16015"/>
    <cellStyle name="Title 2 12 4" xfId="16016"/>
    <cellStyle name="Title 2 12 5" xfId="16017"/>
    <cellStyle name="Title 2 13" xfId="16018"/>
    <cellStyle name="Title 2 13 2" xfId="16019"/>
    <cellStyle name="Title 2 13 2 2" xfId="16020"/>
    <cellStyle name="Title 2 13 3" xfId="16021"/>
    <cellStyle name="Title 2 13 3 2" xfId="16022"/>
    <cellStyle name="Title 2 13 4" xfId="16023"/>
    <cellStyle name="Title 2 14" xfId="16024"/>
    <cellStyle name="Title 2 14 2" xfId="16025"/>
    <cellStyle name="Title 2 14 2 2" xfId="16026"/>
    <cellStyle name="Title 2 14 3" xfId="16027"/>
    <cellStyle name="Title 2 14 3 2" xfId="16028"/>
    <cellStyle name="Title 2 14 4" xfId="16029"/>
    <cellStyle name="Title 2 15" xfId="16030"/>
    <cellStyle name="Title 2 15 2" xfId="16031"/>
    <cellStyle name="Title 2 15 2 2" xfId="16032"/>
    <cellStyle name="Title 2 15 3" xfId="16033"/>
    <cellStyle name="Title 2 15 3 2" xfId="16034"/>
    <cellStyle name="Title 2 15 4" xfId="16035"/>
    <cellStyle name="Title 2 15 4 2" xfId="16036"/>
    <cellStyle name="Title 2 15 5" xfId="16037"/>
    <cellStyle name="Title 2 16" xfId="16038"/>
    <cellStyle name="Title 2 16 2" xfId="16039"/>
    <cellStyle name="Title 2 16 2 2" xfId="16040"/>
    <cellStyle name="Title 2 16 3" xfId="16041"/>
    <cellStyle name="Title 2 16 3 2" xfId="16042"/>
    <cellStyle name="Title 2 16 4" xfId="16043"/>
    <cellStyle name="Title 2 17" xfId="16044"/>
    <cellStyle name="Title 2 17 2" xfId="16045"/>
    <cellStyle name="Title 2 18" xfId="16046"/>
    <cellStyle name="Title 2 18 2" xfId="16047"/>
    <cellStyle name="Title 2 19" xfId="16048"/>
    <cellStyle name="Title 2 19 2" xfId="16049"/>
    <cellStyle name="Title 2 2 11" xfId="16050"/>
    <cellStyle name="Title 2 2 10" xfId="16051"/>
    <cellStyle name="Title 2 2 2" xfId="16052"/>
    <cellStyle name="Title 2 2 2 2" xfId="16053"/>
    <cellStyle name="Title 2 2 2 2 2" xfId="16054"/>
    <cellStyle name="Title 2 2 2 3" xfId="16055"/>
    <cellStyle name="Title 2 2 2 3 2" xfId="16056"/>
    <cellStyle name="Title 2 2 2 4" xfId="16057"/>
    <cellStyle name="Title 2 2 3" xfId="16058"/>
    <cellStyle name="Title 2 2 3 2" xfId="16059"/>
    <cellStyle name="Title 2 2 3 2 2" xfId="16060"/>
    <cellStyle name="Title 2 2 3 3" xfId="16061"/>
    <cellStyle name="Title 2 2 3 3 2" xfId="16062"/>
    <cellStyle name="Title 2 2 3 4" xfId="16063"/>
    <cellStyle name="Title 2 2 4" xfId="16064"/>
    <cellStyle name="Title 2 2 4 2" xfId="16065"/>
    <cellStyle name="Title 2 2 4 2 2" xfId="16066"/>
    <cellStyle name="Title 2 2 4 3" xfId="16067"/>
    <cellStyle name="Title 2 2 4 3 2" xfId="16068"/>
    <cellStyle name="Title 2 2 4 4" xfId="16069"/>
    <cellStyle name="Title 2 2 4 4 2" xfId="16070"/>
    <cellStyle name="Title 2 2 4 5" xfId="16071"/>
    <cellStyle name="Title 2 2 5" xfId="16072"/>
    <cellStyle name="Title 2 2 5 2" xfId="16073"/>
    <cellStyle name="Title 2 2 5 2 2" xfId="16074"/>
    <cellStyle name="Title 2 2 5 3" xfId="16075"/>
    <cellStyle name="Title 2 2 5 3 2" xfId="16076"/>
    <cellStyle name="Title 2 2 5 4" xfId="16077"/>
    <cellStyle name="Title 2 2 6" xfId="16078"/>
    <cellStyle name="Title 2 2 6 2" xfId="16079"/>
    <cellStyle name="Title 2 2 7" xfId="16080"/>
    <cellStyle name="Title 2 2 7 2" xfId="16081"/>
    <cellStyle name="Title 2 2 8" xfId="16082"/>
    <cellStyle name="Title 2 2 8 2" xfId="16083"/>
    <cellStyle name="Title 2 2 9" xfId="16084"/>
    <cellStyle name="Title 2 20" xfId="16085"/>
    <cellStyle name="Title 2 21" xfId="16086"/>
    <cellStyle name="Title 2 3 11" xfId="16087"/>
    <cellStyle name="Title 2 3 10" xfId="16088"/>
    <cellStyle name="Title 2 3 2" xfId="16089"/>
    <cellStyle name="Title 2 3 2 2" xfId="16090"/>
    <cellStyle name="Title 2 3 2 2 2" xfId="16091"/>
    <cellStyle name="Title 2 3 2 3" xfId="16092"/>
    <cellStyle name="Title 2 3 2 3 2" xfId="16093"/>
    <cellStyle name="Title 2 3 2 4" xfId="16094"/>
    <cellStyle name="Title 2 3 3" xfId="16095"/>
    <cellStyle name="Title 2 3 3 2" xfId="16096"/>
    <cellStyle name="Title 2 3 3 2 2" xfId="16097"/>
    <cellStyle name="Title 2 3 3 3" xfId="16098"/>
    <cellStyle name="Title 2 3 3 3 2" xfId="16099"/>
    <cellStyle name="Title 2 3 3 4" xfId="16100"/>
    <cellStyle name="Title 2 3 4" xfId="16101"/>
    <cellStyle name="Title 2 3 4 2" xfId="16102"/>
    <cellStyle name="Title 2 3 4 2 2" xfId="16103"/>
    <cellStyle name="Title 2 3 4 3" xfId="16104"/>
    <cellStyle name="Title 2 3 4 3 2" xfId="16105"/>
    <cellStyle name="Title 2 3 4 4" xfId="16106"/>
    <cellStyle name="Title 2 3 4 4 2" xfId="16107"/>
    <cellStyle name="Title 2 3 4 5" xfId="16108"/>
    <cellStyle name="Title 2 3 5" xfId="16109"/>
    <cellStyle name="Title 2 3 5 2" xfId="16110"/>
    <cellStyle name="Title 2 3 5 2 2" xfId="16111"/>
    <cellStyle name="Title 2 3 5 3" xfId="16112"/>
    <cellStyle name="Title 2 3 5 3 2" xfId="16113"/>
    <cellStyle name="Title 2 3 5 4" xfId="16114"/>
    <cellStyle name="Title 2 3 6" xfId="16115"/>
    <cellStyle name="Title 2 3 6 2" xfId="16116"/>
    <cellStyle name="Title 2 3 7" xfId="16117"/>
    <cellStyle name="Title 2 3 7 2" xfId="16118"/>
    <cellStyle name="Title 2 3 8" xfId="16119"/>
    <cellStyle name="Title 2 3 8 2" xfId="16120"/>
    <cellStyle name="Title 2 3 9" xfId="16121"/>
    <cellStyle name="Title 2 4 11" xfId="16122"/>
    <cellStyle name="Title 2 4 10" xfId="16123"/>
    <cellStyle name="Title 2 4 2" xfId="16124"/>
    <cellStyle name="Title 2 4 2 2" xfId="16125"/>
    <cellStyle name="Title 2 4 2 2 2" xfId="16126"/>
    <cellStyle name="Title 2 4 2 3" xfId="16127"/>
    <cellStyle name="Title 2 4 2 3 2" xfId="16128"/>
    <cellStyle name="Title 2 4 2 4" xfId="16129"/>
    <cellStyle name="Title 2 4 3" xfId="16130"/>
    <cellStyle name="Title 2 4 3 2" xfId="16131"/>
    <cellStyle name="Title 2 4 3 2 2" xfId="16132"/>
    <cellStyle name="Title 2 4 3 3" xfId="16133"/>
    <cellStyle name="Title 2 4 3 3 2" xfId="16134"/>
    <cellStyle name="Title 2 4 3 4" xfId="16135"/>
    <cellStyle name="Title 2 4 4" xfId="16136"/>
    <cellStyle name="Title 2 4 4 2" xfId="16137"/>
    <cellStyle name="Title 2 4 4 2 2" xfId="16138"/>
    <cellStyle name="Title 2 4 4 3" xfId="16139"/>
    <cellStyle name="Title 2 4 4 3 2" xfId="16140"/>
    <cellStyle name="Title 2 4 4 4" xfId="16141"/>
    <cellStyle name="Title 2 4 4 4 2" xfId="16142"/>
    <cellStyle name="Title 2 4 4 5" xfId="16143"/>
    <cellStyle name="Title 2 4 5" xfId="16144"/>
    <cellStyle name="Title 2 4 5 2" xfId="16145"/>
    <cellStyle name="Title 2 4 5 2 2" xfId="16146"/>
    <cellStyle name="Title 2 4 5 3" xfId="16147"/>
    <cellStyle name="Title 2 4 5 3 2" xfId="16148"/>
    <cellStyle name="Title 2 4 5 4" xfId="16149"/>
    <cellStyle name="Title 2 4 6" xfId="16150"/>
    <cellStyle name="Title 2 4 6 2" xfId="16151"/>
    <cellStyle name="Title 2 4 7" xfId="16152"/>
    <cellStyle name="Title 2 4 7 2" xfId="16153"/>
    <cellStyle name="Title 2 4 8" xfId="16154"/>
    <cellStyle name="Title 2 4 8 2" xfId="16155"/>
    <cellStyle name="Title 2 4 9" xfId="16156"/>
    <cellStyle name="Title 2 5 11" xfId="16157"/>
    <cellStyle name="Title 2 5 10" xfId="16158"/>
    <cellStyle name="Title 2 5 2" xfId="16159"/>
    <cellStyle name="Title 2 5 2 2" xfId="16160"/>
    <cellStyle name="Title 2 5 2 2 2" xfId="16161"/>
    <cellStyle name="Title 2 5 2 3" xfId="16162"/>
    <cellStyle name="Title 2 5 2 3 2" xfId="16163"/>
    <cellStyle name="Title 2 5 2 4" xfId="16164"/>
    <cellStyle name="Title 2 5 3" xfId="16165"/>
    <cellStyle name="Title 2 5 3 2" xfId="16166"/>
    <cellStyle name="Title 2 5 3 2 2" xfId="16167"/>
    <cellStyle name="Title 2 5 3 3" xfId="16168"/>
    <cellStyle name="Title 2 5 3 3 2" xfId="16169"/>
    <cellStyle name="Title 2 5 3 4" xfId="16170"/>
    <cellStyle name="Title 2 5 4" xfId="16171"/>
    <cellStyle name="Title 2 5 4 2" xfId="16172"/>
    <cellStyle name="Title 2 5 4 2 2" xfId="16173"/>
    <cellStyle name="Title 2 5 4 3" xfId="16174"/>
    <cellStyle name="Title 2 5 4 3 2" xfId="16175"/>
    <cellStyle name="Title 2 5 4 4" xfId="16176"/>
    <cellStyle name="Title 2 5 4 4 2" xfId="16177"/>
    <cellStyle name="Title 2 5 4 5" xfId="16178"/>
    <cellStyle name="Title 2 5 5" xfId="16179"/>
    <cellStyle name="Title 2 5 5 2" xfId="16180"/>
    <cellStyle name="Title 2 5 5 2 2" xfId="16181"/>
    <cellStyle name="Title 2 5 5 3" xfId="16182"/>
    <cellStyle name="Title 2 5 5 3 2" xfId="16183"/>
    <cellStyle name="Title 2 5 5 4" xfId="16184"/>
    <cellStyle name="Title 2 5 6" xfId="16185"/>
    <cellStyle name="Title 2 5 6 2" xfId="16186"/>
    <cellStyle name="Title 2 5 7" xfId="16187"/>
    <cellStyle name="Title 2 5 7 2" xfId="16188"/>
    <cellStyle name="Title 2 5 8" xfId="16189"/>
    <cellStyle name="Title 2 5 8 2" xfId="16190"/>
    <cellStyle name="Title 2 5 9" xfId="16191"/>
    <cellStyle name="Title 2 6 11" xfId="16192"/>
    <cellStyle name="Title 2 6 10" xfId="16193"/>
    <cellStyle name="Title 2 6 2" xfId="16194"/>
    <cellStyle name="Title 2 6 2 2" xfId="16195"/>
    <cellStyle name="Title 2 6 2 2 2" xfId="16196"/>
    <cellStyle name="Title 2 6 2 3" xfId="16197"/>
    <cellStyle name="Title 2 6 2 3 2" xfId="16198"/>
    <cellStyle name="Title 2 6 2 4" xfId="16199"/>
    <cellStyle name="Title 2 6 3" xfId="16200"/>
    <cellStyle name="Title 2 6 3 2" xfId="16201"/>
    <cellStyle name="Title 2 6 3 2 2" xfId="16202"/>
    <cellStyle name="Title 2 6 3 3" xfId="16203"/>
    <cellStyle name="Title 2 6 3 3 2" xfId="16204"/>
    <cellStyle name="Title 2 6 3 4" xfId="16205"/>
    <cellStyle name="Title 2 6 4" xfId="16206"/>
    <cellStyle name="Title 2 6 4 2" xfId="16207"/>
    <cellStyle name="Title 2 6 4 2 2" xfId="16208"/>
    <cellStyle name="Title 2 6 4 3" xfId="16209"/>
    <cellStyle name="Title 2 6 4 3 2" xfId="16210"/>
    <cellStyle name="Title 2 6 4 4" xfId="16211"/>
    <cellStyle name="Title 2 6 4 4 2" xfId="16212"/>
    <cellStyle name="Title 2 6 4 5" xfId="16213"/>
    <cellStyle name="Title 2 6 5" xfId="16214"/>
    <cellStyle name="Title 2 6 5 2" xfId="16215"/>
    <cellStyle name="Title 2 6 5 2 2" xfId="16216"/>
    <cellStyle name="Title 2 6 5 3" xfId="16217"/>
    <cellStyle name="Title 2 6 5 3 2" xfId="16218"/>
    <cellStyle name="Title 2 6 5 4" xfId="16219"/>
    <cellStyle name="Title 2 6 6" xfId="16220"/>
    <cellStyle name="Title 2 6 6 2" xfId="16221"/>
    <cellStyle name="Title 2 6 7" xfId="16222"/>
    <cellStyle name="Title 2 6 7 2" xfId="16223"/>
    <cellStyle name="Title 2 6 8" xfId="16224"/>
    <cellStyle name="Title 2 6 8 2" xfId="16225"/>
    <cellStyle name="Title 2 6 9" xfId="16226"/>
    <cellStyle name="Title 2 7 11" xfId="16227"/>
    <cellStyle name="Title 2 7 10" xfId="16228"/>
    <cellStyle name="Title 2 7 2" xfId="16229"/>
    <cellStyle name="Title 2 7 2 2" xfId="16230"/>
    <cellStyle name="Title 2 7 2 2 2" xfId="16231"/>
    <cellStyle name="Title 2 7 2 3" xfId="16232"/>
    <cellStyle name="Title 2 7 2 3 2" xfId="16233"/>
    <cellStyle name="Title 2 7 2 4" xfId="16234"/>
    <cellStyle name="Title 2 7 3" xfId="16235"/>
    <cellStyle name="Title 2 7 3 2" xfId="16236"/>
    <cellStyle name="Title 2 7 3 2 2" xfId="16237"/>
    <cellStyle name="Title 2 7 3 3" xfId="16238"/>
    <cellStyle name="Title 2 7 3 3 2" xfId="16239"/>
    <cellStyle name="Title 2 7 3 4" xfId="16240"/>
    <cellStyle name="Title 2 7 4" xfId="16241"/>
    <cellStyle name="Title 2 7 4 2" xfId="16242"/>
    <cellStyle name="Title 2 7 4 2 2" xfId="16243"/>
    <cellStyle name="Title 2 7 4 3" xfId="16244"/>
    <cellStyle name="Title 2 7 4 3 2" xfId="16245"/>
    <cellStyle name="Title 2 7 4 4" xfId="16246"/>
    <cellStyle name="Title 2 7 4 4 2" xfId="16247"/>
    <cellStyle name="Title 2 7 4 5" xfId="16248"/>
    <cellStyle name="Title 2 7 5" xfId="16249"/>
    <cellStyle name="Title 2 7 5 2" xfId="16250"/>
    <cellStyle name="Title 2 7 5 2 2" xfId="16251"/>
    <cellStyle name="Title 2 7 5 3" xfId="16252"/>
    <cellStyle name="Title 2 7 5 3 2" xfId="16253"/>
    <cellStyle name="Title 2 7 5 4" xfId="16254"/>
    <cellStyle name="Title 2 7 6" xfId="16255"/>
    <cellStyle name="Title 2 7 6 2" xfId="16256"/>
    <cellStyle name="Title 2 7 7" xfId="16257"/>
    <cellStyle name="Title 2 7 7 2" xfId="16258"/>
    <cellStyle name="Title 2 7 8" xfId="16259"/>
    <cellStyle name="Title 2 7 8 2" xfId="16260"/>
    <cellStyle name="Title 2 7 9" xfId="16261"/>
    <cellStyle name="Title 2 8 11" xfId="16262"/>
    <cellStyle name="Title 2 8 10" xfId="16263"/>
    <cellStyle name="Title 2 8 2" xfId="16264"/>
    <cellStyle name="Title 2 8 2 2" xfId="16265"/>
    <cellStyle name="Title 2 8 2 2 2" xfId="16266"/>
    <cellStyle name="Title 2 8 2 3" xfId="16267"/>
    <cellStyle name="Title 2 8 2 3 2" xfId="16268"/>
    <cellStyle name="Title 2 8 2 4" xfId="16269"/>
    <cellStyle name="Title 2 8 3" xfId="16270"/>
    <cellStyle name="Title 2 8 3 2" xfId="16271"/>
    <cellStyle name="Title 2 8 3 2 2" xfId="16272"/>
    <cellStyle name="Title 2 8 3 3" xfId="16273"/>
    <cellStyle name="Title 2 8 3 3 2" xfId="16274"/>
    <cellStyle name="Title 2 8 3 4" xfId="16275"/>
    <cellStyle name="Title 2 8 4" xfId="16276"/>
    <cellStyle name="Title 2 8 4 2" xfId="16277"/>
    <cellStyle name="Title 2 8 4 2 2" xfId="16278"/>
    <cellStyle name="Title 2 8 4 3" xfId="16279"/>
    <cellStyle name="Title 2 8 4 3 2" xfId="16280"/>
    <cellStyle name="Title 2 8 4 4" xfId="16281"/>
    <cellStyle name="Title 2 8 4 4 2" xfId="16282"/>
    <cellStyle name="Title 2 8 4 5" xfId="16283"/>
    <cellStyle name="Title 2 8 5" xfId="16284"/>
    <cellStyle name="Title 2 8 5 2" xfId="16285"/>
    <cellStyle name="Title 2 8 5 2 2" xfId="16286"/>
    <cellStyle name="Title 2 8 5 3" xfId="16287"/>
    <cellStyle name="Title 2 8 5 3 2" xfId="16288"/>
    <cellStyle name="Title 2 8 5 4" xfId="16289"/>
    <cellStyle name="Title 2 8 6" xfId="16290"/>
    <cellStyle name="Title 2 8 6 2" xfId="16291"/>
    <cellStyle name="Title 2 8 7" xfId="16292"/>
    <cellStyle name="Title 2 8 7 2" xfId="16293"/>
    <cellStyle name="Title 2 8 8" xfId="16294"/>
    <cellStyle name="Title 2 8 8 2" xfId="16295"/>
    <cellStyle name="Title 2 8 9" xfId="16296"/>
    <cellStyle name="Title 2 9 11" xfId="16297"/>
    <cellStyle name="Title 2 9 10" xfId="16298"/>
    <cellStyle name="Title 2 9 2" xfId="16299"/>
    <cellStyle name="Title 2 9 2 2" xfId="16300"/>
    <cellStyle name="Title 2 9 2 2 2" xfId="16301"/>
    <cellStyle name="Title 2 9 2 3" xfId="16302"/>
    <cellStyle name="Title 2 9 2 3 2" xfId="16303"/>
    <cellStyle name="Title 2 9 2 4" xfId="16304"/>
    <cellStyle name="Title 2 9 3" xfId="16305"/>
    <cellStyle name="Title 2 9 3 2" xfId="16306"/>
    <cellStyle name="Title 2 9 3 2 2" xfId="16307"/>
    <cellStyle name="Title 2 9 3 3" xfId="16308"/>
    <cellStyle name="Title 2 9 3 3 2" xfId="16309"/>
    <cellStyle name="Title 2 9 3 4" xfId="16310"/>
    <cellStyle name="Title 2 9 4" xfId="16311"/>
    <cellStyle name="Title 2 9 4 2" xfId="16312"/>
    <cellStyle name="Title 2 9 4 2 2" xfId="16313"/>
    <cellStyle name="Title 2 9 4 3" xfId="16314"/>
    <cellStyle name="Title 2 9 4 3 2" xfId="16315"/>
    <cellStyle name="Title 2 9 4 4" xfId="16316"/>
    <cellStyle name="Title 2 9 4 4 2" xfId="16317"/>
    <cellStyle name="Title 2 9 4 5" xfId="16318"/>
    <cellStyle name="Title 2 9 5" xfId="16319"/>
    <cellStyle name="Title 2 9 5 2" xfId="16320"/>
    <cellStyle name="Title 2 9 5 2 2" xfId="16321"/>
    <cellStyle name="Title 2 9 5 3" xfId="16322"/>
    <cellStyle name="Title 2 9 5 3 2" xfId="16323"/>
    <cellStyle name="Title 2 9 5 4" xfId="16324"/>
    <cellStyle name="Title 2 9 6" xfId="16325"/>
    <cellStyle name="Title 2 9 6 2" xfId="16326"/>
    <cellStyle name="Title 2 9 7" xfId="16327"/>
    <cellStyle name="Title 2 9 7 2" xfId="16328"/>
    <cellStyle name="Title 2 9 8" xfId="16329"/>
    <cellStyle name="Title 2 9 8 2" xfId="16330"/>
    <cellStyle name="Title 2 9 9" xfId="16331"/>
    <cellStyle name="Title 20 12" xfId="16332"/>
    <cellStyle name="Title 20 10" xfId="16333"/>
    <cellStyle name="Title 20 11" xfId="16334"/>
    <cellStyle name="Title 20 2" xfId="16335"/>
    <cellStyle name="Title 20 2 2" xfId="16336"/>
    <cellStyle name="Title 20 2 2 2" xfId="16337"/>
    <cellStyle name="Title 20 2 3" xfId="16338"/>
    <cellStyle name="Title 20 2 3 2" xfId="16339"/>
    <cellStyle name="Title 20 2 4" xfId="16340"/>
    <cellStyle name="Title 20 2 5" xfId="16341"/>
    <cellStyle name="Title 20 3" xfId="16342"/>
    <cellStyle name="Title 20 3 2" xfId="16343"/>
    <cellStyle name="Title 20 3 2 2" xfId="16344"/>
    <cellStyle name="Title 20 3 3" xfId="16345"/>
    <cellStyle name="Title 20 3 3 2" xfId="16346"/>
    <cellStyle name="Title 20 3 4" xfId="16347"/>
    <cellStyle name="Title 20 4" xfId="16348"/>
    <cellStyle name="Title 20 4 2" xfId="16349"/>
    <cellStyle name="Title 20 4 2 2" xfId="16350"/>
    <cellStyle name="Title 20 4 3" xfId="16351"/>
    <cellStyle name="Title 20 4 3 2" xfId="16352"/>
    <cellStyle name="Title 20 4 4" xfId="16353"/>
    <cellStyle name="Title 20 5" xfId="16354"/>
    <cellStyle name="Title 20 5 2" xfId="16355"/>
    <cellStyle name="Title 20 5 2 2" xfId="16356"/>
    <cellStyle name="Title 20 5 3" xfId="16357"/>
    <cellStyle name="Title 20 5 3 2" xfId="16358"/>
    <cellStyle name="Title 20 5 4" xfId="16359"/>
    <cellStyle name="Title 20 5 4 2" xfId="16360"/>
    <cellStyle name="Title 20 5 5" xfId="16361"/>
    <cellStyle name="Title 20 6" xfId="16362"/>
    <cellStyle name="Title 20 6 2" xfId="16363"/>
    <cellStyle name="Title 20 6 2 2" xfId="16364"/>
    <cellStyle name="Title 20 6 3" xfId="16365"/>
    <cellStyle name="Title 20 6 3 2" xfId="16366"/>
    <cellStyle name="Title 20 6 4" xfId="16367"/>
    <cellStyle name="Title 20 7" xfId="16368"/>
    <cellStyle name="Title 20 7 2" xfId="16369"/>
    <cellStyle name="Title 20 8" xfId="16370"/>
    <cellStyle name="Title 20 8 2" xfId="16371"/>
    <cellStyle name="Title 20 9" xfId="16372"/>
    <cellStyle name="Title 20 9 2" xfId="16373"/>
    <cellStyle name="Title 21 12" xfId="16374"/>
    <cellStyle name="Title 21 10" xfId="16375"/>
    <cellStyle name="Title 21 11" xfId="16376"/>
    <cellStyle name="Title 21 2" xfId="16377"/>
    <cellStyle name="Title 21 2 2" xfId="16378"/>
    <cellStyle name="Title 21 2 2 2" xfId="16379"/>
    <cellStyle name="Title 21 2 3" xfId="16380"/>
    <cellStyle name="Title 21 2 3 2" xfId="16381"/>
    <cellStyle name="Title 21 2 4" xfId="16382"/>
    <cellStyle name="Title 21 2 5" xfId="16383"/>
    <cellStyle name="Title 21 3" xfId="16384"/>
    <cellStyle name="Title 21 3 2" xfId="16385"/>
    <cellStyle name="Title 21 3 2 2" xfId="16386"/>
    <cellStyle name="Title 21 3 3" xfId="16387"/>
    <cellStyle name="Title 21 3 3 2" xfId="16388"/>
    <cellStyle name="Title 21 3 4" xfId="16389"/>
    <cellStyle name="Title 21 4" xfId="16390"/>
    <cellStyle name="Title 21 4 2" xfId="16391"/>
    <cellStyle name="Title 21 4 2 2" xfId="16392"/>
    <cellStyle name="Title 21 4 3" xfId="16393"/>
    <cellStyle name="Title 21 4 3 2" xfId="16394"/>
    <cellStyle name="Title 21 4 4" xfId="16395"/>
    <cellStyle name="Title 21 5" xfId="16396"/>
    <cellStyle name="Title 21 5 2" xfId="16397"/>
    <cellStyle name="Title 21 5 2 2" xfId="16398"/>
    <cellStyle name="Title 21 5 3" xfId="16399"/>
    <cellStyle name="Title 21 5 3 2" xfId="16400"/>
    <cellStyle name="Title 21 5 4" xfId="16401"/>
    <cellStyle name="Title 21 5 4 2" xfId="16402"/>
    <cellStyle name="Title 21 5 5" xfId="16403"/>
    <cellStyle name="Title 21 6" xfId="16404"/>
    <cellStyle name="Title 21 6 2" xfId="16405"/>
    <cellStyle name="Title 21 6 2 2" xfId="16406"/>
    <cellStyle name="Title 21 6 3" xfId="16407"/>
    <cellStyle name="Title 21 6 3 2" xfId="16408"/>
    <cellStyle name="Title 21 6 4" xfId="16409"/>
    <cellStyle name="Title 21 7" xfId="16410"/>
    <cellStyle name="Title 21 7 2" xfId="16411"/>
    <cellStyle name="Title 21 8" xfId="16412"/>
    <cellStyle name="Title 21 8 2" xfId="16413"/>
    <cellStyle name="Title 21 9" xfId="16414"/>
    <cellStyle name="Title 21 9 2" xfId="16415"/>
    <cellStyle name="Title 22 12" xfId="16416"/>
    <cellStyle name="Title 22 10" xfId="16417"/>
    <cellStyle name="Title 22 11" xfId="16418"/>
    <cellStyle name="Title 22 2" xfId="16419"/>
    <cellStyle name="Title 22 2 2" xfId="16420"/>
    <cellStyle name="Title 22 2 2 2" xfId="16421"/>
    <cellStyle name="Title 22 2 3" xfId="16422"/>
    <cellStyle name="Title 22 2 3 2" xfId="16423"/>
    <cellStyle name="Title 22 2 4" xfId="16424"/>
    <cellStyle name="Title 22 2 5" xfId="16425"/>
    <cellStyle name="Title 22 3" xfId="16426"/>
    <cellStyle name="Title 22 3 2" xfId="16427"/>
    <cellStyle name="Title 22 3 2 2" xfId="16428"/>
    <cellStyle name="Title 22 3 3" xfId="16429"/>
    <cellStyle name="Title 22 3 3 2" xfId="16430"/>
    <cellStyle name="Title 22 3 4" xfId="16431"/>
    <cellStyle name="Title 22 4" xfId="16432"/>
    <cellStyle name="Title 22 4 2" xfId="16433"/>
    <cellStyle name="Title 22 4 2 2" xfId="16434"/>
    <cellStyle name="Title 22 4 3" xfId="16435"/>
    <cellStyle name="Title 22 4 3 2" xfId="16436"/>
    <cellStyle name="Title 22 4 4" xfId="16437"/>
    <cellStyle name="Title 22 5" xfId="16438"/>
    <cellStyle name="Title 22 5 2" xfId="16439"/>
    <cellStyle name="Title 22 5 2 2" xfId="16440"/>
    <cellStyle name="Title 22 5 3" xfId="16441"/>
    <cellStyle name="Title 22 5 3 2" xfId="16442"/>
    <cellStyle name="Title 22 5 4" xfId="16443"/>
    <cellStyle name="Title 22 5 4 2" xfId="16444"/>
    <cellStyle name="Title 22 5 5" xfId="16445"/>
    <cellStyle name="Title 22 6" xfId="16446"/>
    <cellStyle name="Title 22 6 2" xfId="16447"/>
    <cellStyle name="Title 22 6 2 2" xfId="16448"/>
    <cellStyle name="Title 22 6 3" xfId="16449"/>
    <cellStyle name="Title 22 6 3 2" xfId="16450"/>
    <cellStyle name="Title 22 6 4" xfId="16451"/>
    <cellStyle name="Title 22 7" xfId="16452"/>
    <cellStyle name="Title 22 7 2" xfId="16453"/>
    <cellStyle name="Title 22 8" xfId="16454"/>
    <cellStyle name="Title 22 8 2" xfId="16455"/>
    <cellStyle name="Title 22 9" xfId="16456"/>
    <cellStyle name="Title 22 9 2" xfId="16457"/>
    <cellStyle name="Title 23 12" xfId="16458"/>
    <cellStyle name="Title 23 10" xfId="16459"/>
    <cellStyle name="Title 23 11" xfId="16460"/>
    <cellStyle name="Title 23 2" xfId="16461"/>
    <cellStyle name="Title 23 2 2" xfId="16462"/>
    <cellStyle name="Title 23 2 2 2" xfId="16463"/>
    <cellStyle name="Title 23 2 3" xfId="16464"/>
    <cellStyle name="Title 23 2 3 2" xfId="16465"/>
    <cellStyle name="Title 23 2 4" xfId="16466"/>
    <cellStyle name="Title 23 2 5" xfId="16467"/>
    <cellStyle name="Title 23 3" xfId="16468"/>
    <cellStyle name="Title 23 3 2" xfId="16469"/>
    <cellStyle name="Title 23 3 2 2" xfId="16470"/>
    <cellStyle name="Title 23 3 3" xfId="16471"/>
    <cellStyle name="Title 23 3 3 2" xfId="16472"/>
    <cellStyle name="Title 23 3 4" xfId="16473"/>
    <cellStyle name="Title 23 4" xfId="16474"/>
    <cellStyle name="Title 23 4 2" xfId="16475"/>
    <cellStyle name="Title 23 4 2 2" xfId="16476"/>
    <cellStyle name="Title 23 4 3" xfId="16477"/>
    <cellStyle name="Title 23 4 3 2" xfId="16478"/>
    <cellStyle name="Title 23 4 4" xfId="16479"/>
    <cellStyle name="Title 23 5" xfId="16480"/>
    <cellStyle name="Title 23 5 2" xfId="16481"/>
    <cellStyle name="Title 23 5 2 2" xfId="16482"/>
    <cellStyle name="Title 23 5 3" xfId="16483"/>
    <cellStyle name="Title 23 5 3 2" xfId="16484"/>
    <cellStyle name="Title 23 5 4" xfId="16485"/>
    <cellStyle name="Title 23 5 4 2" xfId="16486"/>
    <cellStyle name="Title 23 5 5" xfId="16487"/>
    <cellStyle name="Title 23 6" xfId="16488"/>
    <cellStyle name="Title 23 6 2" xfId="16489"/>
    <cellStyle name="Title 23 6 2 2" xfId="16490"/>
    <cellStyle name="Title 23 6 3" xfId="16491"/>
    <cellStyle name="Title 23 6 3 2" xfId="16492"/>
    <cellStyle name="Title 23 6 4" xfId="16493"/>
    <cellStyle name="Title 23 7" xfId="16494"/>
    <cellStyle name="Title 23 7 2" xfId="16495"/>
    <cellStyle name="Title 23 8" xfId="16496"/>
    <cellStyle name="Title 23 8 2" xfId="16497"/>
    <cellStyle name="Title 23 9" xfId="16498"/>
    <cellStyle name="Title 23 9 2" xfId="16499"/>
    <cellStyle name="Title 24 12" xfId="16500"/>
    <cellStyle name="Title 24 10" xfId="16501"/>
    <cellStyle name="Title 24 11" xfId="16502"/>
    <cellStyle name="Title 24 2" xfId="16503"/>
    <cellStyle name="Title 24 2 2" xfId="16504"/>
    <cellStyle name="Title 24 2 2 2" xfId="16505"/>
    <cellStyle name="Title 24 2 3" xfId="16506"/>
    <cellStyle name="Title 24 2 3 2" xfId="16507"/>
    <cellStyle name="Title 24 2 4" xfId="16508"/>
    <cellStyle name="Title 24 2 5" xfId="16509"/>
    <cellStyle name="Title 24 3" xfId="16510"/>
    <cellStyle name="Title 24 3 2" xfId="16511"/>
    <cellStyle name="Title 24 3 2 2" xfId="16512"/>
    <cellStyle name="Title 24 3 3" xfId="16513"/>
    <cellStyle name="Title 24 3 3 2" xfId="16514"/>
    <cellStyle name="Title 24 3 4" xfId="16515"/>
    <cellStyle name="Title 24 4" xfId="16516"/>
    <cellStyle name="Title 24 4 2" xfId="16517"/>
    <cellStyle name="Title 24 4 2 2" xfId="16518"/>
    <cellStyle name="Title 24 4 3" xfId="16519"/>
    <cellStyle name="Title 24 4 3 2" xfId="16520"/>
    <cellStyle name="Title 24 4 4" xfId="16521"/>
    <cellStyle name="Title 24 5" xfId="16522"/>
    <cellStyle name="Title 24 5 2" xfId="16523"/>
    <cellStyle name="Title 24 5 2 2" xfId="16524"/>
    <cellStyle name="Title 24 5 3" xfId="16525"/>
    <cellStyle name="Title 24 5 3 2" xfId="16526"/>
    <cellStyle name="Title 24 5 4" xfId="16527"/>
    <cellStyle name="Title 24 5 4 2" xfId="16528"/>
    <cellStyle name="Title 24 5 5" xfId="16529"/>
    <cellStyle name="Title 24 6" xfId="16530"/>
    <cellStyle name="Title 24 6 2" xfId="16531"/>
    <cellStyle name="Title 24 6 2 2" xfId="16532"/>
    <cellStyle name="Title 24 6 3" xfId="16533"/>
    <cellStyle name="Title 24 6 3 2" xfId="16534"/>
    <cellStyle name="Title 24 6 4" xfId="16535"/>
    <cellStyle name="Title 24 7" xfId="16536"/>
    <cellStyle name="Title 24 7 2" xfId="16537"/>
    <cellStyle name="Title 24 8" xfId="16538"/>
    <cellStyle name="Title 24 8 2" xfId="16539"/>
    <cellStyle name="Title 24 9" xfId="16540"/>
    <cellStyle name="Title 24 9 2" xfId="16541"/>
    <cellStyle name="Title 25 12" xfId="16542"/>
    <cellStyle name="Title 25 10" xfId="16543"/>
    <cellStyle name="Title 25 11" xfId="16544"/>
    <cellStyle name="Title 25 2" xfId="16545"/>
    <cellStyle name="Title 25 2 2" xfId="16546"/>
    <cellStyle name="Title 25 2 2 2" xfId="16547"/>
    <cellStyle name="Title 25 2 3" xfId="16548"/>
    <cellStyle name="Title 25 2 3 2" xfId="16549"/>
    <cellStyle name="Title 25 2 4" xfId="16550"/>
    <cellStyle name="Title 25 2 5" xfId="16551"/>
    <cellStyle name="Title 25 3" xfId="16552"/>
    <cellStyle name="Title 25 3 2" xfId="16553"/>
    <cellStyle name="Title 25 3 2 2" xfId="16554"/>
    <cellStyle name="Title 25 3 3" xfId="16555"/>
    <cellStyle name="Title 25 3 3 2" xfId="16556"/>
    <cellStyle name="Title 25 3 4" xfId="16557"/>
    <cellStyle name="Title 25 4" xfId="16558"/>
    <cellStyle name="Title 25 4 2" xfId="16559"/>
    <cellStyle name="Title 25 4 2 2" xfId="16560"/>
    <cellStyle name="Title 25 4 3" xfId="16561"/>
    <cellStyle name="Title 25 4 3 2" xfId="16562"/>
    <cellStyle name="Title 25 4 4" xfId="16563"/>
    <cellStyle name="Title 25 5" xfId="16564"/>
    <cellStyle name="Title 25 5 2" xfId="16565"/>
    <cellStyle name="Title 25 5 2 2" xfId="16566"/>
    <cellStyle name="Title 25 5 3" xfId="16567"/>
    <cellStyle name="Title 25 5 3 2" xfId="16568"/>
    <cellStyle name="Title 25 5 4" xfId="16569"/>
    <cellStyle name="Title 25 5 4 2" xfId="16570"/>
    <cellStyle name="Title 25 5 5" xfId="16571"/>
    <cellStyle name="Title 25 6" xfId="16572"/>
    <cellStyle name="Title 25 6 2" xfId="16573"/>
    <cellStyle name="Title 25 6 2 2" xfId="16574"/>
    <cellStyle name="Title 25 6 3" xfId="16575"/>
    <cellStyle name="Title 25 6 3 2" xfId="16576"/>
    <cellStyle name="Title 25 6 4" xfId="16577"/>
    <cellStyle name="Title 25 7" xfId="16578"/>
    <cellStyle name="Title 25 7 2" xfId="16579"/>
    <cellStyle name="Title 25 8" xfId="16580"/>
    <cellStyle name="Title 25 8 2" xfId="16581"/>
    <cellStyle name="Title 25 9" xfId="16582"/>
    <cellStyle name="Title 25 9 2" xfId="16583"/>
    <cellStyle name="Title 26 12" xfId="16584"/>
    <cellStyle name="Title 26 10" xfId="16585"/>
    <cellStyle name="Title 26 11" xfId="16586"/>
    <cellStyle name="Title 26 2" xfId="16587"/>
    <cellStyle name="Title 26 2 2" xfId="16588"/>
    <cellStyle name="Title 26 2 2 2" xfId="16589"/>
    <cellStyle name="Title 26 2 3" xfId="16590"/>
    <cellStyle name="Title 26 2 3 2" xfId="16591"/>
    <cellStyle name="Title 26 2 4" xfId="16592"/>
    <cellStyle name="Title 26 2 5" xfId="16593"/>
    <cellStyle name="Title 26 3" xfId="16594"/>
    <cellStyle name="Title 26 3 2" xfId="16595"/>
    <cellStyle name="Title 26 3 2 2" xfId="16596"/>
    <cellStyle name="Title 26 3 3" xfId="16597"/>
    <cellStyle name="Title 26 3 3 2" xfId="16598"/>
    <cellStyle name="Title 26 3 4" xfId="16599"/>
    <cellStyle name="Title 26 4" xfId="16600"/>
    <cellStyle name="Title 26 4 2" xfId="16601"/>
    <cellStyle name="Title 26 4 2 2" xfId="16602"/>
    <cellStyle name="Title 26 4 3" xfId="16603"/>
    <cellStyle name="Title 26 4 3 2" xfId="16604"/>
    <cellStyle name="Title 26 4 4" xfId="16605"/>
    <cellStyle name="Title 26 5" xfId="16606"/>
    <cellStyle name="Title 26 5 2" xfId="16607"/>
    <cellStyle name="Title 26 5 2 2" xfId="16608"/>
    <cellStyle name="Title 26 5 3" xfId="16609"/>
    <cellStyle name="Title 26 5 3 2" xfId="16610"/>
    <cellStyle name="Title 26 5 4" xfId="16611"/>
    <cellStyle name="Title 26 5 4 2" xfId="16612"/>
    <cellStyle name="Title 26 5 5" xfId="16613"/>
    <cellStyle name="Title 26 6" xfId="16614"/>
    <cellStyle name="Title 26 6 2" xfId="16615"/>
    <cellStyle name="Title 26 6 2 2" xfId="16616"/>
    <cellStyle name="Title 26 6 3" xfId="16617"/>
    <cellStyle name="Title 26 6 3 2" xfId="16618"/>
    <cellStyle name="Title 26 6 4" xfId="16619"/>
    <cellStyle name="Title 26 7" xfId="16620"/>
    <cellStyle name="Title 26 7 2" xfId="16621"/>
    <cellStyle name="Title 26 8" xfId="16622"/>
    <cellStyle name="Title 26 8 2" xfId="16623"/>
    <cellStyle name="Title 26 9" xfId="16624"/>
    <cellStyle name="Title 26 9 2" xfId="16625"/>
    <cellStyle name="Title 27 12" xfId="16626"/>
    <cellStyle name="Title 27 10" xfId="16627"/>
    <cellStyle name="Title 27 11" xfId="16628"/>
    <cellStyle name="Title 27 2" xfId="16629"/>
    <cellStyle name="Title 27 2 2" xfId="16630"/>
    <cellStyle name="Title 27 2 2 2" xfId="16631"/>
    <cellStyle name="Title 27 2 3" xfId="16632"/>
    <cellStyle name="Title 27 2 3 2" xfId="16633"/>
    <cellStyle name="Title 27 2 4" xfId="16634"/>
    <cellStyle name="Title 27 2 5" xfId="16635"/>
    <cellStyle name="Title 27 3" xfId="16636"/>
    <cellStyle name="Title 27 3 2" xfId="16637"/>
    <cellStyle name="Title 27 3 2 2" xfId="16638"/>
    <cellStyle name="Title 27 3 3" xfId="16639"/>
    <cellStyle name="Title 27 3 3 2" xfId="16640"/>
    <cellStyle name="Title 27 3 4" xfId="16641"/>
    <cellStyle name="Title 27 4" xfId="16642"/>
    <cellStyle name="Title 27 4 2" xfId="16643"/>
    <cellStyle name="Title 27 4 2 2" xfId="16644"/>
    <cellStyle name="Title 27 4 3" xfId="16645"/>
    <cellStyle name="Title 27 4 3 2" xfId="16646"/>
    <cellStyle name="Title 27 4 4" xfId="16647"/>
    <cellStyle name="Title 27 5" xfId="16648"/>
    <cellStyle name="Title 27 5 2" xfId="16649"/>
    <cellStyle name="Title 27 5 2 2" xfId="16650"/>
    <cellStyle name="Title 27 5 3" xfId="16651"/>
    <cellStyle name="Title 27 5 3 2" xfId="16652"/>
    <cellStyle name="Title 27 5 4" xfId="16653"/>
    <cellStyle name="Title 27 5 4 2" xfId="16654"/>
    <cellStyle name="Title 27 5 5" xfId="16655"/>
    <cellStyle name="Title 27 6" xfId="16656"/>
    <cellStyle name="Title 27 6 2" xfId="16657"/>
    <cellStyle name="Title 27 6 2 2" xfId="16658"/>
    <cellStyle name="Title 27 6 3" xfId="16659"/>
    <cellStyle name="Title 27 6 3 2" xfId="16660"/>
    <cellStyle name="Title 27 6 4" xfId="16661"/>
    <cellStyle name="Title 27 7" xfId="16662"/>
    <cellStyle name="Title 27 7 2" xfId="16663"/>
    <cellStyle name="Title 27 8" xfId="16664"/>
    <cellStyle name="Title 27 8 2" xfId="16665"/>
    <cellStyle name="Title 27 9" xfId="16666"/>
    <cellStyle name="Title 27 9 2" xfId="16667"/>
    <cellStyle name="Title 28 12" xfId="16668"/>
    <cellStyle name="Title 28 10" xfId="16669"/>
    <cellStyle name="Title 28 11" xfId="16670"/>
    <cellStyle name="Title 28 2" xfId="16671"/>
    <cellStyle name="Title 28 2 2" xfId="16672"/>
    <cellStyle name="Title 28 2 2 2" xfId="16673"/>
    <cellStyle name="Title 28 2 3" xfId="16674"/>
    <cellStyle name="Title 28 2 3 2" xfId="16675"/>
    <cellStyle name="Title 28 2 4" xfId="16676"/>
    <cellStyle name="Title 28 2 5" xfId="16677"/>
    <cellStyle name="Title 28 3" xfId="16678"/>
    <cellStyle name="Title 28 3 2" xfId="16679"/>
    <cellStyle name="Title 28 3 2 2" xfId="16680"/>
    <cellStyle name="Title 28 3 3" xfId="16681"/>
    <cellStyle name="Title 28 3 3 2" xfId="16682"/>
    <cellStyle name="Title 28 3 4" xfId="16683"/>
    <cellStyle name="Title 28 4" xfId="16684"/>
    <cellStyle name="Title 28 4 2" xfId="16685"/>
    <cellStyle name="Title 28 4 2 2" xfId="16686"/>
    <cellStyle name="Title 28 4 3" xfId="16687"/>
    <cellStyle name="Title 28 4 3 2" xfId="16688"/>
    <cellStyle name="Title 28 4 4" xfId="16689"/>
    <cellStyle name="Title 28 5" xfId="16690"/>
    <cellStyle name="Title 28 5 2" xfId="16691"/>
    <cellStyle name="Title 28 5 2 2" xfId="16692"/>
    <cellStyle name="Title 28 5 3" xfId="16693"/>
    <cellStyle name="Title 28 5 3 2" xfId="16694"/>
    <cellStyle name="Title 28 5 4" xfId="16695"/>
    <cellStyle name="Title 28 5 4 2" xfId="16696"/>
    <cellStyle name="Title 28 5 5" xfId="16697"/>
    <cellStyle name="Title 28 6" xfId="16698"/>
    <cellStyle name="Title 28 6 2" xfId="16699"/>
    <cellStyle name="Title 28 6 2 2" xfId="16700"/>
    <cellStyle name="Title 28 6 3" xfId="16701"/>
    <cellStyle name="Title 28 6 3 2" xfId="16702"/>
    <cellStyle name="Title 28 6 4" xfId="16703"/>
    <cellStyle name="Title 28 7" xfId="16704"/>
    <cellStyle name="Title 28 7 2" xfId="16705"/>
    <cellStyle name="Title 28 8" xfId="16706"/>
    <cellStyle name="Title 28 8 2" xfId="16707"/>
    <cellStyle name="Title 28 9" xfId="16708"/>
    <cellStyle name="Title 28 9 2" xfId="16709"/>
    <cellStyle name="Title 29 12" xfId="16710"/>
    <cellStyle name="Title 29 10" xfId="16711"/>
    <cellStyle name="Title 29 11" xfId="16712"/>
    <cellStyle name="Title 29 2" xfId="16713"/>
    <cellStyle name="Title 29 2 2" xfId="16714"/>
    <cellStyle name="Title 29 2 2 2" xfId="16715"/>
    <cellStyle name="Title 29 2 3" xfId="16716"/>
    <cellStyle name="Title 29 2 3 2" xfId="16717"/>
    <cellStyle name="Title 29 2 4" xfId="16718"/>
    <cellStyle name="Title 29 2 5" xfId="16719"/>
    <cellStyle name="Title 29 3" xfId="16720"/>
    <cellStyle name="Title 29 3 2" xfId="16721"/>
    <cellStyle name="Title 29 3 2 2" xfId="16722"/>
    <cellStyle name="Title 29 3 3" xfId="16723"/>
    <cellStyle name="Title 29 3 3 2" xfId="16724"/>
    <cellStyle name="Title 29 3 4" xfId="16725"/>
    <cellStyle name="Title 29 4" xfId="16726"/>
    <cellStyle name="Title 29 4 2" xfId="16727"/>
    <cellStyle name="Title 29 4 2 2" xfId="16728"/>
    <cellStyle name="Title 29 4 3" xfId="16729"/>
    <cellStyle name="Title 29 4 3 2" xfId="16730"/>
    <cellStyle name="Title 29 4 4" xfId="16731"/>
    <cellStyle name="Title 29 5" xfId="16732"/>
    <cellStyle name="Title 29 5 2" xfId="16733"/>
    <cellStyle name="Title 29 5 2 2" xfId="16734"/>
    <cellStyle name="Title 29 5 3" xfId="16735"/>
    <cellStyle name="Title 29 5 3 2" xfId="16736"/>
    <cellStyle name="Title 29 5 4" xfId="16737"/>
    <cellStyle name="Title 29 5 4 2" xfId="16738"/>
    <cellStyle name="Title 29 5 5" xfId="16739"/>
    <cellStyle name="Title 29 6" xfId="16740"/>
    <cellStyle name="Title 29 6 2" xfId="16741"/>
    <cellStyle name="Title 29 6 2 2" xfId="16742"/>
    <cellStyle name="Title 29 6 3" xfId="16743"/>
    <cellStyle name="Title 29 6 3 2" xfId="16744"/>
    <cellStyle name="Title 29 6 4" xfId="16745"/>
    <cellStyle name="Title 29 7" xfId="16746"/>
    <cellStyle name="Title 29 7 2" xfId="16747"/>
    <cellStyle name="Title 29 8" xfId="16748"/>
    <cellStyle name="Title 29 8 2" xfId="16749"/>
    <cellStyle name="Title 29 9" xfId="16750"/>
    <cellStyle name="Title 29 9 2" xfId="16751"/>
    <cellStyle name="Title 3 13" xfId="16752"/>
    <cellStyle name="Title 3 10" xfId="16753"/>
    <cellStyle name="Title 3 10 2" xfId="16754"/>
    <cellStyle name="Title 3 11" xfId="16755"/>
    <cellStyle name="Title 3 12" xfId="16756"/>
    <cellStyle name="Title 3 2 11" xfId="16757"/>
    <cellStyle name="Title 3 2 10" xfId="16758"/>
    <cellStyle name="Title 3 2 2" xfId="16759"/>
    <cellStyle name="Title 3 2 2 2" xfId="16760"/>
    <cellStyle name="Title 3 2 2 2 2" xfId="16761"/>
    <cellStyle name="Title 3 2 2 3" xfId="16762"/>
    <cellStyle name="Title 3 2 2 3 2" xfId="16763"/>
    <cellStyle name="Title 3 2 2 4" xfId="16764"/>
    <cellStyle name="Title 3 2 3" xfId="16765"/>
    <cellStyle name="Title 3 2 3 2" xfId="16766"/>
    <cellStyle name="Title 3 2 3 2 2" xfId="16767"/>
    <cellStyle name="Title 3 2 3 3" xfId="16768"/>
    <cellStyle name="Title 3 2 3 3 2" xfId="16769"/>
    <cellStyle name="Title 3 2 3 4" xfId="16770"/>
    <cellStyle name="Title 3 2 4" xfId="16771"/>
    <cellStyle name="Title 3 2 4 2" xfId="16772"/>
    <cellStyle name="Title 3 2 4 2 2" xfId="16773"/>
    <cellStyle name="Title 3 2 4 3" xfId="16774"/>
    <cellStyle name="Title 3 2 4 3 2" xfId="16775"/>
    <cellStyle name="Title 3 2 4 4" xfId="16776"/>
    <cellStyle name="Title 3 2 4 4 2" xfId="16777"/>
    <cellStyle name="Title 3 2 4 5" xfId="16778"/>
    <cellStyle name="Title 3 2 5" xfId="16779"/>
    <cellStyle name="Title 3 2 5 2" xfId="16780"/>
    <cellStyle name="Title 3 2 5 2 2" xfId="16781"/>
    <cellStyle name="Title 3 2 5 3" xfId="16782"/>
    <cellStyle name="Title 3 2 5 3 2" xfId="16783"/>
    <cellStyle name="Title 3 2 5 4" xfId="16784"/>
    <cellStyle name="Title 3 2 6" xfId="16785"/>
    <cellStyle name="Title 3 2 6 2" xfId="16786"/>
    <cellStyle name="Title 3 2 7" xfId="16787"/>
    <cellStyle name="Title 3 2 7 2" xfId="16788"/>
    <cellStyle name="Title 3 2 8" xfId="16789"/>
    <cellStyle name="Title 3 2 8 2" xfId="16790"/>
    <cellStyle name="Title 3 2 9" xfId="16791"/>
    <cellStyle name="Title 3 3 6" xfId="16792"/>
    <cellStyle name="Title 3 3 2" xfId="16793"/>
    <cellStyle name="Title 3 3 2 2" xfId="16794"/>
    <cellStyle name="Title 3 3 3" xfId="16795"/>
    <cellStyle name="Title 3 3 3 2" xfId="16796"/>
    <cellStyle name="Title 3 3 4" xfId="16797"/>
    <cellStyle name="Title 3 3 5" xfId="16798"/>
    <cellStyle name="Title 3 4" xfId="16799"/>
    <cellStyle name="Title 3 4 2" xfId="16800"/>
    <cellStyle name="Title 3 4 2 2" xfId="16801"/>
    <cellStyle name="Title 3 4 3" xfId="16802"/>
    <cellStyle name="Title 3 4 3 2" xfId="16803"/>
    <cellStyle name="Title 3 4 4" xfId="16804"/>
    <cellStyle name="Title 3 5" xfId="16805"/>
    <cellStyle name="Title 3 5 2" xfId="16806"/>
    <cellStyle name="Title 3 5 2 2" xfId="16807"/>
    <cellStyle name="Title 3 5 3" xfId="16808"/>
    <cellStyle name="Title 3 5 3 2" xfId="16809"/>
    <cellStyle name="Title 3 5 4" xfId="16810"/>
    <cellStyle name="Title 3 6" xfId="16811"/>
    <cellStyle name="Title 3 6 2" xfId="16812"/>
    <cellStyle name="Title 3 6 2 2" xfId="16813"/>
    <cellStyle name="Title 3 6 3" xfId="16814"/>
    <cellStyle name="Title 3 6 3 2" xfId="16815"/>
    <cellStyle name="Title 3 6 4" xfId="16816"/>
    <cellStyle name="Title 3 6 4 2" xfId="16817"/>
    <cellStyle name="Title 3 6 5" xfId="16818"/>
    <cellStyle name="Title 3 7" xfId="16819"/>
    <cellStyle name="Title 3 7 2" xfId="16820"/>
    <cellStyle name="Title 3 7 2 2" xfId="16821"/>
    <cellStyle name="Title 3 7 3" xfId="16822"/>
    <cellStyle name="Title 3 7 3 2" xfId="16823"/>
    <cellStyle name="Title 3 7 4" xfId="16824"/>
    <cellStyle name="Title 3 8" xfId="16825"/>
    <cellStyle name="Title 3 8 2" xfId="16826"/>
    <cellStyle name="Title 3 9" xfId="16827"/>
    <cellStyle name="Title 3 9 2" xfId="16828"/>
    <cellStyle name="Title 30 12" xfId="16829"/>
    <cellStyle name="Title 30 10" xfId="16830"/>
    <cellStyle name="Title 30 11" xfId="16831"/>
    <cellStyle name="Title 30 2" xfId="16832"/>
    <cellStyle name="Title 30 2 2" xfId="16833"/>
    <cellStyle name="Title 30 2 2 2" xfId="16834"/>
    <cellStyle name="Title 30 2 3" xfId="16835"/>
    <cellStyle name="Title 30 2 3 2" xfId="16836"/>
    <cellStyle name="Title 30 2 4" xfId="16837"/>
    <cellStyle name="Title 30 2 5" xfId="16838"/>
    <cellStyle name="Title 30 3" xfId="16839"/>
    <cellStyle name="Title 30 3 2" xfId="16840"/>
    <cellStyle name="Title 30 3 2 2" xfId="16841"/>
    <cellStyle name="Title 30 3 3" xfId="16842"/>
    <cellStyle name="Title 30 3 3 2" xfId="16843"/>
    <cellStyle name="Title 30 3 4" xfId="16844"/>
    <cellStyle name="Title 30 4" xfId="16845"/>
    <cellStyle name="Title 30 4 2" xfId="16846"/>
    <cellStyle name="Title 30 4 2 2" xfId="16847"/>
    <cellStyle name="Title 30 4 3" xfId="16848"/>
    <cellStyle name="Title 30 4 3 2" xfId="16849"/>
    <cellStyle name="Title 30 4 4" xfId="16850"/>
    <cellStyle name="Title 30 5" xfId="16851"/>
    <cellStyle name="Title 30 5 2" xfId="16852"/>
    <cellStyle name="Title 30 5 2 2" xfId="16853"/>
    <cellStyle name="Title 30 5 3" xfId="16854"/>
    <cellStyle name="Title 30 5 3 2" xfId="16855"/>
    <cellStyle name="Title 30 5 4" xfId="16856"/>
    <cellStyle name="Title 30 5 4 2" xfId="16857"/>
    <cellStyle name="Title 30 5 5" xfId="16858"/>
    <cellStyle name="Title 30 6" xfId="16859"/>
    <cellStyle name="Title 30 6 2" xfId="16860"/>
    <cellStyle name="Title 30 6 2 2" xfId="16861"/>
    <cellStyle name="Title 30 6 3" xfId="16862"/>
    <cellStyle name="Title 30 6 3 2" xfId="16863"/>
    <cellStyle name="Title 30 6 4" xfId="16864"/>
    <cellStyle name="Title 30 7" xfId="16865"/>
    <cellStyle name="Title 30 7 2" xfId="16866"/>
    <cellStyle name="Title 30 8" xfId="16867"/>
    <cellStyle name="Title 30 8 2" xfId="16868"/>
    <cellStyle name="Title 30 9" xfId="16869"/>
    <cellStyle name="Title 30 9 2" xfId="16870"/>
    <cellStyle name="Title 31 12" xfId="16871"/>
    <cellStyle name="Title 31 10" xfId="16872"/>
    <cellStyle name="Title 31 11" xfId="16873"/>
    <cellStyle name="Title 31 2" xfId="16874"/>
    <cellStyle name="Title 31 2 2" xfId="16875"/>
    <cellStyle name="Title 31 2 2 2" xfId="16876"/>
    <cellStyle name="Title 31 2 3" xfId="16877"/>
    <cellStyle name="Title 31 2 3 2" xfId="16878"/>
    <cellStyle name="Title 31 2 4" xfId="16879"/>
    <cellStyle name="Title 31 2 5" xfId="16880"/>
    <cellStyle name="Title 31 3" xfId="16881"/>
    <cellStyle name="Title 31 3 2" xfId="16882"/>
    <cellStyle name="Title 31 3 2 2" xfId="16883"/>
    <cellStyle name="Title 31 3 3" xfId="16884"/>
    <cellStyle name="Title 31 3 3 2" xfId="16885"/>
    <cellStyle name="Title 31 3 4" xfId="16886"/>
    <cellStyle name="Title 31 4" xfId="16887"/>
    <cellStyle name="Title 31 4 2" xfId="16888"/>
    <cellStyle name="Title 31 4 2 2" xfId="16889"/>
    <cellStyle name="Title 31 4 3" xfId="16890"/>
    <cellStyle name="Title 31 4 3 2" xfId="16891"/>
    <cellStyle name="Title 31 4 4" xfId="16892"/>
    <cellStyle name="Title 31 5" xfId="16893"/>
    <cellStyle name="Title 31 5 2" xfId="16894"/>
    <cellStyle name="Title 31 5 2 2" xfId="16895"/>
    <cellStyle name="Title 31 5 3" xfId="16896"/>
    <cellStyle name="Title 31 5 3 2" xfId="16897"/>
    <cellStyle name="Title 31 5 4" xfId="16898"/>
    <cellStyle name="Title 31 5 4 2" xfId="16899"/>
    <cellStyle name="Title 31 5 5" xfId="16900"/>
    <cellStyle name="Title 31 6" xfId="16901"/>
    <cellStyle name="Title 31 6 2" xfId="16902"/>
    <cellStyle name="Title 31 6 2 2" xfId="16903"/>
    <cellStyle name="Title 31 6 3" xfId="16904"/>
    <cellStyle name="Title 31 6 3 2" xfId="16905"/>
    <cellStyle name="Title 31 6 4" xfId="16906"/>
    <cellStyle name="Title 31 7" xfId="16907"/>
    <cellStyle name="Title 31 7 2" xfId="16908"/>
    <cellStyle name="Title 31 8" xfId="16909"/>
    <cellStyle name="Title 31 8 2" xfId="16910"/>
    <cellStyle name="Title 31 9" xfId="16911"/>
    <cellStyle name="Title 31 9 2" xfId="16912"/>
    <cellStyle name="Title 32 12" xfId="16913"/>
    <cellStyle name="Title 32 10" xfId="16914"/>
    <cellStyle name="Title 32 11" xfId="16915"/>
    <cellStyle name="Title 32 2" xfId="16916"/>
    <cellStyle name="Title 32 2 2" xfId="16917"/>
    <cellStyle name="Title 32 2 2 2" xfId="16918"/>
    <cellStyle name="Title 32 2 3" xfId="16919"/>
    <cellStyle name="Title 32 2 3 2" xfId="16920"/>
    <cellStyle name="Title 32 2 4" xfId="16921"/>
    <cellStyle name="Title 32 2 5" xfId="16922"/>
    <cellStyle name="Title 32 3" xfId="16923"/>
    <cellStyle name="Title 32 3 2" xfId="16924"/>
    <cellStyle name="Title 32 3 2 2" xfId="16925"/>
    <cellStyle name="Title 32 3 3" xfId="16926"/>
    <cellStyle name="Title 32 3 3 2" xfId="16927"/>
    <cellStyle name="Title 32 3 4" xfId="16928"/>
    <cellStyle name="Title 32 4" xfId="16929"/>
    <cellStyle name="Title 32 4 2" xfId="16930"/>
    <cellStyle name="Title 32 4 2 2" xfId="16931"/>
    <cellStyle name="Title 32 4 3" xfId="16932"/>
    <cellStyle name="Title 32 4 3 2" xfId="16933"/>
    <cellStyle name="Title 32 4 4" xfId="16934"/>
    <cellStyle name="Title 32 5" xfId="16935"/>
    <cellStyle name="Title 32 5 2" xfId="16936"/>
    <cellStyle name="Title 32 5 2 2" xfId="16937"/>
    <cellStyle name="Title 32 5 3" xfId="16938"/>
    <cellStyle name="Title 32 5 3 2" xfId="16939"/>
    <cellStyle name="Title 32 5 4" xfId="16940"/>
    <cellStyle name="Title 32 5 4 2" xfId="16941"/>
    <cellStyle name="Title 32 5 5" xfId="16942"/>
    <cellStyle name="Title 32 6" xfId="16943"/>
    <cellStyle name="Title 32 6 2" xfId="16944"/>
    <cellStyle name="Title 32 6 2 2" xfId="16945"/>
    <cellStyle name="Title 32 6 3" xfId="16946"/>
    <cellStyle name="Title 32 6 3 2" xfId="16947"/>
    <cellStyle name="Title 32 6 4" xfId="16948"/>
    <cellStyle name="Title 32 7" xfId="16949"/>
    <cellStyle name="Title 32 7 2" xfId="16950"/>
    <cellStyle name="Title 32 8" xfId="16951"/>
    <cellStyle name="Title 32 8 2" xfId="16952"/>
    <cellStyle name="Title 32 9" xfId="16953"/>
    <cellStyle name="Title 32 9 2" xfId="16954"/>
    <cellStyle name="Title 33 12" xfId="16955"/>
    <cellStyle name="Title 33 10" xfId="16956"/>
    <cellStyle name="Title 33 11" xfId="16957"/>
    <cellStyle name="Title 33 2" xfId="16958"/>
    <cellStyle name="Title 33 2 2" xfId="16959"/>
    <cellStyle name="Title 33 2 2 2" xfId="16960"/>
    <cellStyle name="Title 33 2 3" xfId="16961"/>
    <cellStyle name="Title 33 2 3 2" xfId="16962"/>
    <cellStyle name="Title 33 2 4" xfId="16963"/>
    <cellStyle name="Title 33 2 5" xfId="16964"/>
    <cellStyle name="Title 33 3" xfId="16965"/>
    <cellStyle name="Title 33 3 2" xfId="16966"/>
    <cellStyle name="Title 33 3 2 2" xfId="16967"/>
    <cellStyle name="Title 33 3 3" xfId="16968"/>
    <cellStyle name="Title 33 3 3 2" xfId="16969"/>
    <cellStyle name="Title 33 3 4" xfId="16970"/>
    <cellStyle name="Title 33 4" xfId="16971"/>
    <cellStyle name="Title 33 4 2" xfId="16972"/>
    <cellStyle name="Title 33 4 2 2" xfId="16973"/>
    <cellStyle name="Title 33 4 3" xfId="16974"/>
    <cellStyle name="Title 33 4 3 2" xfId="16975"/>
    <cellStyle name="Title 33 4 4" xfId="16976"/>
    <cellStyle name="Title 33 5" xfId="16977"/>
    <cellStyle name="Title 33 5 2" xfId="16978"/>
    <cellStyle name="Title 33 5 2 2" xfId="16979"/>
    <cellStyle name="Title 33 5 3" xfId="16980"/>
    <cellStyle name="Title 33 5 3 2" xfId="16981"/>
    <cellStyle name="Title 33 5 4" xfId="16982"/>
    <cellStyle name="Title 33 5 4 2" xfId="16983"/>
    <cellStyle name="Title 33 5 5" xfId="16984"/>
    <cellStyle name="Title 33 6" xfId="16985"/>
    <cellStyle name="Title 33 6 2" xfId="16986"/>
    <cellStyle name="Title 33 6 2 2" xfId="16987"/>
    <cellStyle name="Title 33 6 3" xfId="16988"/>
    <cellStyle name="Title 33 6 3 2" xfId="16989"/>
    <cellStyle name="Title 33 6 4" xfId="16990"/>
    <cellStyle name="Title 33 7" xfId="16991"/>
    <cellStyle name="Title 33 7 2" xfId="16992"/>
    <cellStyle name="Title 33 8" xfId="16993"/>
    <cellStyle name="Title 33 8 2" xfId="16994"/>
    <cellStyle name="Title 33 9" xfId="16995"/>
    <cellStyle name="Title 33 9 2" xfId="16996"/>
    <cellStyle name="Title 34 12" xfId="16997"/>
    <cellStyle name="Title 34 10" xfId="16998"/>
    <cellStyle name="Title 34 11" xfId="16999"/>
    <cellStyle name="Title 34 2" xfId="17000"/>
    <cellStyle name="Title 34 2 2" xfId="17001"/>
    <cellStyle name="Title 34 2 2 2" xfId="17002"/>
    <cellStyle name="Title 34 2 3" xfId="17003"/>
    <cellStyle name="Title 34 2 3 2" xfId="17004"/>
    <cellStyle name="Title 34 2 4" xfId="17005"/>
    <cellStyle name="Title 34 2 5" xfId="17006"/>
    <cellStyle name="Title 34 3" xfId="17007"/>
    <cellStyle name="Title 34 3 2" xfId="17008"/>
    <cellStyle name="Title 34 3 2 2" xfId="17009"/>
    <cellStyle name="Title 34 3 3" xfId="17010"/>
    <cellStyle name="Title 34 3 3 2" xfId="17011"/>
    <cellStyle name="Title 34 3 4" xfId="17012"/>
    <cellStyle name="Title 34 4" xfId="17013"/>
    <cellStyle name="Title 34 4 2" xfId="17014"/>
    <cellStyle name="Title 34 4 2 2" xfId="17015"/>
    <cellStyle name="Title 34 4 3" xfId="17016"/>
    <cellStyle name="Title 34 4 3 2" xfId="17017"/>
    <cellStyle name="Title 34 4 4" xfId="17018"/>
    <cellStyle name="Title 34 5" xfId="17019"/>
    <cellStyle name="Title 34 5 2" xfId="17020"/>
    <cellStyle name="Title 34 5 2 2" xfId="17021"/>
    <cellStyle name="Title 34 5 3" xfId="17022"/>
    <cellStyle name="Title 34 5 3 2" xfId="17023"/>
    <cellStyle name="Title 34 5 4" xfId="17024"/>
    <cellStyle name="Title 34 5 4 2" xfId="17025"/>
    <cellStyle name="Title 34 5 5" xfId="17026"/>
    <cellStyle name="Title 34 6" xfId="17027"/>
    <cellStyle name="Title 34 6 2" xfId="17028"/>
    <cellStyle name="Title 34 6 2 2" xfId="17029"/>
    <cellStyle name="Title 34 6 3" xfId="17030"/>
    <cellStyle name="Title 34 6 3 2" xfId="17031"/>
    <cellStyle name="Title 34 6 4" xfId="17032"/>
    <cellStyle name="Title 34 7" xfId="17033"/>
    <cellStyle name="Title 34 7 2" xfId="17034"/>
    <cellStyle name="Title 34 8" xfId="17035"/>
    <cellStyle name="Title 34 8 2" xfId="17036"/>
    <cellStyle name="Title 34 9" xfId="17037"/>
    <cellStyle name="Title 34 9 2" xfId="17038"/>
    <cellStyle name="Title 35 12" xfId="17039"/>
    <cellStyle name="Title 35 10" xfId="17040"/>
    <cellStyle name="Title 35 11" xfId="17041"/>
    <cellStyle name="Title 35 2" xfId="17042"/>
    <cellStyle name="Title 35 2 2" xfId="17043"/>
    <cellStyle name="Title 35 2 2 2" xfId="17044"/>
    <cellStyle name="Title 35 2 3" xfId="17045"/>
    <cellStyle name="Title 35 2 3 2" xfId="17046"/>
    <cellStyle name="Title 35 2 4" xfId="17047"/>
    <cellStyle name="Title 35 2 5" xfId="17048"/>
    <cellStyle name="Title 35 3" xfId="17049"/>
    <cellStyle name="Title 35 3 2" xfId="17050"/>
    <cellStyle name="Title 35 3 2 2" xfId="17051"/>
    <cellStyle name="Title 35 3 3" xfId="17052"/>
    <cellStyle name="Title 35 3 3 2" xfId="17053"/>
    <cellStyle name="Title 35 3 4" xfId="17054"/>
    <cellStyle name="Title 35 4" xfId="17055"/>
    <cellStyle name="Title 35 4 2" xfId="17056"/>
    <cellStyle name="Title 35 4 2 2" xfId="17057"/>
    <cellStyle name="Title 35 4 3" xfId="17058"/>
    <cellStyle name="Title 35 4 3 2" xfId="17059"/>
    <cellStyle name="Title 35 4 4" xfId="17060"/>
    <cellStyle name="Title 35 5" xfId="17061"/>
    <cellStyle name="Title 35 5 2" xfId="17062"/>
    <cellStyle name="Title 35 5 2 2" xfId="17063"/>
    <cellStyle name="Title 35 5 3" xfId="17064"/>
    <cellStyle name="Title 35 5 3 2" xfId="17065"/>
    <cellStyle name="Title 35 5 4" xfId="17066"/>
    <cellStyle name="Title 35 5 4 2" xfId="17067"/>
    <cellStyle name="Title 35 5 5" xfId="17068"/>
    <cellStyle name="Title 35 6" xfId="17069"/>
    <cellStyle name="Title 35 6 2" xfId="17070"/>
    <cellStyle name="Title 35 6 2 2" xfId="17071"/>
    <cellStyle name="Title 35 6 3" xfId="17072"/>
    <cellStyle name="Title 35 6 3 2" xfId="17073"/>
    <cellStyle name="Title 35 6 4" xfId="17074"/>
    <cellStyle name="Title 35 7" xfId="17075"/>
    <cellStyle name="Title 35 7 2" xfId="17076"/>
    <cellStyle name="Title 35 8" xfId="17077"/>
    <cellStyle name="Title 35 8 2" xfId="17078"/>
    <cellStyle name="Title 35 9" xfId="17079"/>
    <cellStyle name="Title 35 9 2" xfId="17080"/>
    <cellStyle name="Title 36 12" xfId="17081"/>
    <cellStyle name="Title 36 10" xfId="17082"/>
    <cellStyle name="Title 36 11" xfId="17083"/>
    <cellStyle name="Title 36 2" xfId="17084"/>
    <cellStyle name="Title 36 2 2" xfId="17085"/>
    <cellStyle name="Title 36 2 2 2" xfId="17086"/>
    <cellStyle name="Title 36 2 3" xfId="17087"/>
    <cellStyle name="Title 36 2 3 2" xfId="17088"/>
    <cellStyle name="Title 36 2 4" xfId="17089"/>
    <cellStyle name="Title 36 2 5" xfId="17090"/>
    <cellStyle name="Title 36 3" xfId="17091"/>
    <cellStyle name="Title 36 3 2" xfId="17092"/>
    <cellStyle name="Title 36 3 2 2" xfId="17093"/>
    <cellStyle name="Title 36 3 3" xfId="17094"/>
    <cellStyle name="Title 36 3 3 2" xfId="17095"/>
    <cellStyle name="Title 36 3 4" xfId="17096"/>
    <cellStyle name="Title 36 4" xfId="17097"/>
    <cellStyle name="Title 36 4 2" xfId="17098"/>
    <cellStyle name="Title 36 4 2 2" xfId="17099"/>
    <cellStyle name="Title 36 4 3" xfId="17100"/>
    <cellStyle name="Title 36 4 3 2" xfId="17101"/>
    <cellStyle name="Title 36 4 4" xfId="17102"/>
    <cellStyle name="Title 36 5" xfId="17103"/>
    <cellStyle name="Title 36 5 2" xfId="17104"/>
    <cellStyle name="Title 36 5 2 2" xfId="17105"/>
    <cellStyle name="Title 36 5 3" xfId="17106"/>
    <cellStyle name="Title 36 5 3 2" xfId="17107"/>
    <cellStyle name="Title 36 5 4" xfId="17108"/>
    <cellStyle name="Title 36 5 4 2" xfId="17109"/>
    <cellStyle name="Title 36 5 5" xfId="17110"/>
    <cellStyle name="Title 36 6" xfId="17111"/>
    <cellStyle name="Title 36 6 2" xfId="17112"/>
    <cellStyle name="Title 36 6 2 2" xfId="17113"/>
    <cellStyle name="Title 36 6 3" xfId="17114"/>
    <cellStyle name="Title 36 6 3 2" xfId="17115"/>
    <cellStyle name="Title 36 6 4" xfId="17116"/>
    <cellStyle name="Title 36 7" xfId="17117"/>
    <cellStyle name="Title 36 7 2" xfId="17118"/>
    <cellStyle name="Title 36 8" xfId="17119"/>
    <cellStyle name="Title 36 8 2" xfId="17120"/>
    <cellStyle name="Title 36 9" xfId="17121"/>
    <cellStyle name="Title 36 9 2" xfId="17122"/>
    <cellStyle name="Title 37 12" xfId="17123"/>
    <cellStyle name="Title 37 10" xfId="17124"/>
    <cellStyle name="Title 37 11" xfId="17125"/>
    <cellStyle name="Title 37 2" xfId="17126"/>
    <cellStyle name="Title 37 2 2" xfId="17127"/>
    <cellStyle name="Title 37 2 2 2" xfId="17128"/>
    <cellStyle name="Title 37 2 3" xfId="17129"/>
    <cellStyle name="Title 37 2 3 2" xfId="17130"/>
    <cellStyle name="Title 37 2 4" xfId="17131"/>
    <cellStyle name="Title 37 2 5" xfId="17132"/>
    <cellStyle name="Title 37 3" xfId="17133"/>
    <cellStyle name="Title 37 3 2" xfId="17134"/>
    <cellStyle name="Title 37 3 2 2" xfId="17135"/>
    <cellStyle name="Title 37 3 3" xfId="17136"/>
    <cellStyle name="Title 37 3 3 2" xfId="17137"/>
    <cellStyle name="Title 37 3 4" xfId="17138"/>
    <cellStyle name="Title 37 4" xfId="17139"/>
    <cellStyle name="Title 37 4 2" xfId="17140"/>
    <cellStyle name="Title 37 4 2 2" xfId="17141"/>
    <cellStyle name="Title 37 4 3" xfId="17142"/>
    <cellStyle name="Title 37 4 3 2" xfId="17143"/>
    <cellStyle name="Title 37 4 4" xfId="17144"/>
    <cellStyle name="Title 37 5" xfId="17145"/>
    <cellStyle name="Title 37 5 2" xfId="17146"/>
    <cellStyle name="Title 37 5 2 2" xfId="17147"/>
    <cellStyle name="Title 37 5 3" xfId="17148"/>
    <cellStyle name="Title 37 5 3 2" xfId="17149"/>
    <cellStyle name="Title 37 5 4" xfId="17150"/>
    <cellStyle name="Title 37 5 4 2" xfId="17151"/>
    <cellStyle name="Title 37 5 5" xfId="17152"/>
    <cellStyle name="Title 37 6" xfId="17153"/>
    <cellStyle name="Title 37 6 2" xfId="17154"/>
    <cellStyle name="Title 37 6 2 2" xfId="17155"/>
    <cellStyle name="Title 37 6 3" xfId="17156"/>
    <cellStyle name="Title 37 6 3 2" xfId="17157"/>
    <cellStyle name="Title 37 6 4" xfId="17158"/>
    <cellStyle name="Title 37 7" xfId="17159"/>
    <cellStyle name="Title 37 7 2" xfId="17160"/>
    <cellStyle name="Title 37 8" xfId="17161"/>
    <cellStyle name="Title 37 8 2" xfId="17162"/>
    <cellStyle name="Title 37 9" xfId="17163"/>
    <cellStyle name="Title 37 9 2" xfId="17164"/>
    <cellStyle name="Title 38 12" xfId="17165"/>
    <cellStyle name="Title 38 10" xfId="17166"/>
    <cellStyle name="Title 38 11" xfId="17167"/>
    <cellStyle name="Title 38 2" xfId="17168"/>
    <cellStyle name="Title 38 2 2" xfId="17169"/>
    <cellStyle name="Title 38 2 2 2" xfId="17170"/>
    <cellStyle name="Title 38 2 3" xfId="17171"/>
    <cellStyle name="Title 38 2 3 2" xfId="17172"/>
    <cellStyle name="Title 38 2 4" xfId="17173"/>
    <cellStyle name="Title 38 2 5" xfId="17174"/>
    <cellStyle name="Title 38 3" xfId="17175"/>
    <cellStyle name="Title 38 3 2" xfId="17176"/>
    <cellStyle name="Title 38 3 2 2" xfId="17177"/>
    <cellStyle name="Title 38 3 3" xfId="17178"/>
    <cellStyle name="Title 38 3 3 2" xfId="17179"/>
    <cellStyle name="Title 38 3 4" xfId="17180"/>
    <cellStyle name="Title 38 4" xfId="17181"/>
    <cellStyle name="Title 38 4 2" xfId="17182"/>
    <cellStyle name="Title 38 4 2 2" xfId="17183"/>
    <cellStyle name="Title 38 4 3" xfId="17184"/>
    <cellStyle name="Title 38 4 3 2" xfId="17185"/>
    <cellStyle name="Title 38 4 4" xfId="17186"/>
    <cellStyle name="Title 38 5" xfId="17187"/>
    <cellStyle name="Title 38 5 2" xfId="17188"/>
    <cellStyle name="Title 38 5 2 2" xfId="17189"/>
    <cellStyle name="Title 38 5 3" xfId="17190"/>
    <cellStyle name="Title 38 5 3 2" xfId="17191"/>
    <cellStyle name="Title 38 5 4" xfId="17192"/>
    <cellStyle name="Title 38 5 4 2" xfId="17193"/>
    <cellStyle name="Title 38 5 5" xfId="17194"/>
    <cellStyle name="Title 38 6" xfId="17195"/>
    <cellStyle name="Title 38 6 2" xfId="17196"/>
    <cellStyle name="Title 38 6 2 2" xfId="17197"/>
    <cellStyle name="Title 38 6 3" xfId="17198"/>
    <cellStyle name="Title 38 6 3 2" xfId="17199"/>
    <cellStyle name="Title 38 6 4" xfId="17200"/>
    <cellStyle name="Title 38 7" xfId="17201"/>
    <cellStyle name="Title 38 7 2" xfId="17202"/>
    <cellStyle name="Title 38 8" xfId="17203"/>
    <cellStyle name="Title 38 8 2" xfId="17204"/>
    <cellStyle name="Title 38 9" xfId="17205"/>
    <cellStyle name="Title 38 9 2" xfId="17206"/>
    <cellStyle name="Title 39 12" xfId="17207"/>
    <cellStyle name="Title 39 10" xfId="17208"/>
    <cellStyle name="Title 39 11" xfId="17209"/>
    <cellStyle name="Title 39 2" xfId="17210"/>
    <cellStyle name="Title 39 2 2" xfId="17211"/>
    <cellStyle name="Title 39 2 2 2" xfId="17212"/>
    <cellStyle name="Title 39 2 3" xfId="17213"/>
    <cellStyle name="Title 39 2 3 2" xfId="17214"/>
    <cellStyle name="Title 39 2 4" xfId="17215"/>
    <cellStyle name="Title 39 2 5" xfId="17216"/>
    <cellStyle name="Title 39 3" xfId="17217"/>
    <cellStyle name="Title 39 3 2" xfId="17218"/>
    <cellStyle name="Title 39 3 2 2" xfId="17219"/>
    <cellStyle name="Title 39 3 3" xfId="17220"/>
    <cellStyle name="Title 39 3 3 2" xfId="17221"/>
    <cellStyle name="Title 39 3 4" xfId="17222"/>
    <cellStyle name="Title 39 4" xfId="17223"/>
    <cellStyle name="Title 39 4 2" xfId="17224"/>
    <cellStyle name="Title 39 4 2 2" xfId="17225"/>
    <cellStyle name="Title 39 4 3" xfId="17226"/>
    <cellStyle name="Title 39 4 3 2" xfId="17227"/>
    <cellStyle name="Title 39 4 4" xfId="17228"/>
    <cellStyle name="Title 39 5" xfId="17229"/>
    <cellStyle name="Title 39 5 2" xfId="17230"/>
    <cellStyle name="Title 39 5 2 2" xfId="17231"/>
    <cellStyle name="Title 39 5 3" xfId="17232"/>
    <cellStyle name="Title 39 5 3 2" xfId="17233"/>
    <cellStyle name="Title 39 5 4" xfId="17234"/>
    <cellStyle name="Title 39 5 4 2" xfId="17235"/>
    <cellStyle name="Title 39 5 5" xfId="17236"/>
    <cellStyle name="Title 39 6" xfId="17237"/>
    <cellStyle name="Title 39 6 2" xfId="17238"/>
    <cellStyle name="Title 39 6 2 2" xfId="17239"/>
    <cellStyle name="Title 39 6 3" xfId="17240"/>
    <cellStyle name="Title 39 6 3 2" xfId="17241"/>
    <cellStyle name="Title 39 6 4" xfId="17242"/>
    <cellStyle name="Title 39 7" xfId="17243"/>
    <cellStyle name="Title 39 7 2" xfId="17244"/>
    <cellStyle name="Title 39 8" xfId="17245"/>
    <cellStyle name="Title 39 8 2" xfId="17246"/>
    <cellStyle name="Title 39 9" xfId="17247"/>
    <cellStyle name="Title 39 9 2" xfId="17248"/>
    <cellStyle name="Title 4 13" xfId="17249"/>
    <cellStyle name="Title 4 10" xfId="17250"/>
    <cellStyle name="Title 4 10 2" xfId="17251"/>
    <cellStyle name="Title 4 11" xfId="17252"/>
    <cellStyle name="Title 4 12" xfId="17253"/>
    <cellStyle name="Title 4 2" xfId="17254"/>
    <cellStyle name="Title 4 2 10" xfId="17255"/>
    <cellStyle name="Title 4 2 2" xfId="17256"/>
    <cellStyle name="Title 4 2 2 2" xfId="17257"/>
    <cellStyle name="Title 4 2 2 2 2" xfId="17258"/>
    <cellStyle name="Title 4 2 2 3" xfId="17259"/>
    <cellStyle name="Title 4 2 2 3 2" xfId="17260"/>
    <cellStyle name="Title 4 2 2 4" xfId="17261"/>
    <cellStyle name="Title 4 2 3" xfId="17262"/>
    <cellStyle name="Title 4 2 3 2" xfId="17263"/>
    <cellStyle name="Title 4 2 3 2 2" xfId="17264"/>
    <cellStyle name="Title 4 2 3 3" xfId="17265"/>
    <cellStyle name="Title 4 2 3 3 2" xfId="17266"/>
    <cellStyle name="Title 4 2 3 4" xfId="17267"/>
    <cellStyle name="Title 4 2 4" xfId="17268"/>
    <cellStyle name="Title 4 2 4 2" xfId="17269"/>
    <cellStyle name="Title 4 2 4 2 2" xfId="17270"/>
    <cellStyle name="Title 4 2 4 3" xfId="17271"/>
    <cellStyle name="Title 4 2 4 3 2" xfId="17272"/>
    <cellStyle name="Title 4 2 4 4" xfId="17273"/>
    <cellStyle name="Title 4 2 4 4 2" xfId="17274"/>
    <cellStyle name="Title 4 2 4 5" xfId="17275"/>
    <cellStyle name="Title 4 2 5" xfId="17276"/>
    <cellStyle name="Title 4 2 5 2" xfId="17277"/>
    <cellStyle name="Title 4 2 5 2 2" xfId="17278"/>
    <cellStyle name="Title 4 2 5 3" xfId="17279"/>
    <cellStyle name="Title 4 2 5 3 2" xfId="17280"/>
    <cellStyle name="Title 4 2 5 4" xfId="17281"/>
    <cellStyle name="Title 4 2 6" xfId="17282"/>
    <cellStyle name="Title 4 2 6 2" xfId="17283"/>
    <cellStyle name="Title 4 2 7" xfId="17284"/>
    <cellStyle name="Title 4 2 7 2" xfId="17285"/>
    <cellStyle name="Title 4 2 8" xfId="17286"/>
    <cellStyle name="Title 4 2 8 2" xfId="17287"/>
    <cellStyle name="Title 4 2 9" xfId="17288"/>
    <cellStyle name="Title 4 3" xfId="17289"/>
    <cellStyle name="Title 4 3 2" xfId="17290"/>
    <cellStyle name="Title 4 3 2 2" xfId="17291"/>
    <cellStyle name="Title 4 3 3" xfId="17292"/>
    <cellStyle name="Title 4 3 3 2" xfId="17293"/>
    <cellStyle name="Title 4 3 4" xfId="17294"/>
    <cellStyle name="Title 4 3 5" xfId="17295"/>
    <cellStyle name="Title 4 4" xfId="17296"/>
    <cellStyle name="Title 4 4 2" xfId="17297"/>
    <cellStyle name="Title 4 4 2 2" xfId="17298"/>
    <cellStyle name="Title 4 4 3" xfId="17299"/>
    <cellStyle name="Title 4 4 3 2" xfId="17300"/>
    <cellStyle name="Title 4 4 4" xfId="17301"/>
    <cellStyle name="Title 4 5" xfId="17302"/>
    <cellStyle name="Title 4 5 2" xfId="17303"/>
    <cellStyle name="Title 4 5 2 2" xfId="17304"/>
    <cellStyle name="Title 4 5 3" xfId="17305"/>
    <cellStyle name="Title 4 5 3 2" xfId="17306"/>
    <cellStyle name="Title 4 5 4" xfId="17307"/>
    <cellStyle name="Title 4 6" xfId="17308"/>
    <cellStyle name="Title 4 6 2" xfId="17309"/>
    <cellStyle name="Title 4 6 2 2" xfId="17310"/>
    <cellStyle name="Title 4 6 3" xfId="17311"/>
    <cellStyle name="Title 4 6 3 2" xfId="17312"/>
    <cellStyle name="Title 4 6 4" xfId="17313"/>
    <cellStyle name="Title 4 6 4 2" xfId="17314"/>
    <cellStyle name="Title 4 6 5" xfId="17315"/>
    <cellStyle name="Title 4 7" xfId="17316"/>
    <cellStyle name="Title 4 7 2" xfId="17317"/>
    <cellStyle name="Title 4 7 2 2" xfId="17318"/>
    <cellStyle name="Title 4 7 3" xfId="17319"/>
    <cellStyle name="Title 4 7 3 2" xfId="17320"/>
    <cellStyle name="Title 4 7 4" xfId="17321"/>
    <cellStyle name="Title 4 8" xfId="17322"/>
    <cellStyle name="Title 4 8 2" xfId="17323"/>
    <cellStyle name="Title 4 9" xfId="17324"/>
    <cellStyle name="Title 4 9 2" xfId="17325"/>
    <cellStyle name="Title 40 12" xfId="17326"/>
    <cellStyle name="Title 40 10" xfId="17327"/>
    <cellStyle name="Title 40 11" xfId="17328"/>
    <cellStyle name="Title 40 2" xfId="17329"/>
    <cellStyle name="Title 40 2 2" xfId="17330"/>
    <cellStyle name="Title 40 2 2 2" xfId="17331"/>
    <cellStyle name="Title 40 2 3" xfId="17332"/>
    <cellStyle name="Title 40 2 3 2" xfId="17333"/>
    <cellStyle name="Title 40 2 4" xfId="17334"/>
    <cellStyle name="Title 40 2 5" xfId="17335"/>
    <cellStyle name="Title 40 3" xfId="17336"/>
    <cellStyle name="Title 40 3 2" xfId="17337"/>
    <cellStyle name="Title 40 3 2 2" xfId="17338"/>
    <cellStyle name="Title 40 3 3" xfId="17339"/>
    <cellStyle name="Title 40 3 3 2" xfId="17340"/>
    <cellStyle name="Title 40 3 4" xfId="17341"/>
    <cellStyle name="Title 40 4" xfId="17342"/>
    <cellStyle name="Title 40 4 2" xfId="17343"/>
    <cellStyle name="Title 40 4 2 2" xfId="17344"/>
    <cellStyle name="Title 40 4 3" xfId="17345"/>
    <cellStyle name="Title 40 4 3 2" xfId="17346"/>
    <cellStyle name="Title 40 4 4" xfId="17347"/>
    <cellStyle name="Title 40 5" xfId="17348"/>
    <cellStyle name="Title 40 5 2" xfId="17349"/>
    <cellStyle name="Title 40 5 2 2" xfId="17350"/>
    <cellStyle name="Title 40 5 3" xfId="17351"/>
    <cellStyle name="Title 40 5 3 2" xfId="17352"/>
    <cellStyle name="Title 40 5 4" xfId="17353"/>
    <cellStyle name="Title 40 5 4 2" xfId="17354"/>
    <cellStyle name="Title 40 5 5" xfId="17355"/>
    <cellStyle name="Title 40 6" xfId="17356"/>
    <cellStyle name="Title 40 6 2" xfId="17357"/>
    <cellStyle name="Title 40 6 2 2" xfId="17358"/>
    <cellStyle name="Title 40 6 3" xfId="17359"/>
    <cellStyle name="Title 40 6 3 2" xfId="17360"/>
    <cellStyle name="Title 40 6 4" xfId="17361"/>
    <cellStyle name="Title 40 7" xfId="17362"/>
    <cellStyle name="Title 40 7 2" xfId="17363"/>
    <cellStyle name="Title 40 8" xfId="17364"/>
    <cellStyle name="Title 40 8 2" xfId="17365"/>
    <cellStyle name="Title 40 9" xfId="17366"/>
    <cellStyle name="Title 40 9 2" xfId="17367"/>
    <cellStyle name="Title 41 12" xfId="17368"/>
    <cellStyle name="Title 41 10" xfId="17369"/>
    <cellStyle name="Title 41 11" xfId="17370"/>
    <cellStyle name="Title 41 2" xfId="17371"/>
    <cellStyle name="Title 41 2 2" xfId="17372"/>
    <cellStyle name="Title 41 2 2 2" xfId="17373"/>
    <cellStyle name="Title 41 2 3" xfId="17374"/>
    <cellStyle name="Title 41 2 3 2" xfId="17375"/>
    <cellStyle name="Title 41 2 4" xfId="17376"/>
    <cellStyle name="Title 41 2 5" xfId="17377"/>
    <cellStyle name="Title 41 3" xfId="17378"/>
    <cellStyle name="Title 41 3 2" xfId="17379"/>
    <cellStyle name="Title 41 3 2 2" xfId="17380"/>
    <cellStyle name="Title 41 3 3" xfId="17381"/>
    <cellStyle name="Title 41 3 3 2" xfId="17382"/>
    <cellStyle name="Title 41 3 4" xfId="17383"/>
    <cellStyle name="Title 41 4" xfId="17384"/>
    <cellStyle name="Title 41 4 2" xfId="17385"/>
    <cellStyle name="Title 41 4 2 2" xfId="17386"/>
    <cellStyle name="Title 41 4 3" xfId="17387"/>
    <cellStyle name="Title 41 4 3 2" xfId="17388"/>
    <cellStyle name="Title 41 4 4" xfId="17389"/>
    <cellStyle name="Title 41 5" xfId="17390"/>
    <cellStyle name="Title 41 5 2" xfId="17391"/>
    <cellStyle name="Title 41 5 2 2" xfId="17392"/>
    <cellStyle name="Title 41 5 3" xfId="17393"/>
    <cellStyle name="Title 41 5 3 2" xfId="17394"/>
    <cellStyle name="Title 41 5 4" xfId="17395"/>
    <cellStyle name="Title 41 5 4 2" xfId="17396"/>
    <cellStyle name="Title 41 5 5" xfId="17397"/>
    <cellStyle name="Title 41 6" xfId="17398"/>
    <cellStyle name="Title 41 6 2" xfId="17399"/>
    <cellStyle name="Title 41 6 2 2" xfId="17400"/>
    <cellStyle name="Title 41 6 3" xfId="17401"/>
    <cellStyle name="Title 41 6 3 2" xfId="17402"/>
    <cellStyle name="Title 41 6 4" xfId="17403"/>
    <cellStyle name="Title 41 7" xfId="17404"/>
    <cellStyle name="Title 41 7 2" xfId="17405"/>
    <cellStyle name="Title 41 8" xfId="17406"/>
    <cellStyle name="Title 41 8 2" xfId="17407"/>
    <cellStyle name="Title 41 9" xfId="17408"/>
    <cellStyle name="Title 41 9 2" xfId="17409"/>
    <cellStyle name="Title 42 12" xfId="17410"/>
    <cellStyle name="Title 42 10" xfId="17411"/>
    <cellStyle name="Title 42 11" xfId="17412"/>
    <cellStyle name="Title 42 2" xfId="17413"/>
    <cellStyle name="Title 42 2 2" xfId="17414"/>
    <cellStyle name="Title 42 2 2 2" xfId="17415"/>
    <cellStyle name="Title 42 2 3" xfId="17416"/>
    <cellStyle name="Title 42 2 3 2" xfId="17417"/>
    <cellStyle name="Title 42 2 4" xfId="17418"/>
    <cellStyle name="Title 42 2 5" xfId="17419"/>
    <cellStyle name="Title 42 3" xfId="17420"/>
    <cellStyle name="Title 42 3 2" xfId="17421"/>
    <cellStyle name="Title 42 3 2 2" xfId="17422"/>
    <cellStyle name="Title 42 3 3" xfId="17423"/>
    <cellStyle name="Title 42 3 3 2" xfId="17424"/>
    <cellStyle name="Title 42 3 4" xfId="17425"/>
    <cellStyle name="Title 42 4" xfId="17426"/>
    <cellStyle name="Title 42 4 2" xfId="17427"/>
    <cellStyle name="Title 42 4 2 2" xfId="17428"/>
    <cellStyle name="Title 42 4 3" xfId="17429"/>
    <cellStyle name="Title 42 4 3 2" xfId="17430"/>
    <cellStyle name="Title 42 4 4" xfId="17431"/>
    <cellStyle name="Title 42 5" xfId="17432"/>
    <cellStyle name="Title 42 5 2" xfId="17433"/>
    <cellStyle name="Title 42 5 2 2" xfId="17434"/>
    <cellStyle name="Title 42 5 3" xfId="17435"/>
    <cellStyle name="Title 42 5 3 2" xfId="17436"/>
    <cellStyle name="Title 42 5 4" xfId="17437"/>
    <cellStyle name="Title 42 5 4 2" xfId="17438"/>
    <cellStyle name="Title 42 5 5" xfId="17439"/>
    <cellStyle name="Title 42 6" xfId="17440"/>
    <cellStyle name="Title 42 6 2" xfId="17441"/>
    <cellStyle name="Title 42 6 2 2" xfId="17442"/>
    <cellStyle name="Title 42 6 3" xfId="17443"/>
    <cellStyle name="Title 42 6 3 2" xfId="17444"/>
    <cellStyle name="Title 42 6 4" xfId="17445"/>
    <cellStyle name="Title 42 7" xfId="17446"/>
    <cellStyle name="Title 42 7 2" xfId="17447"/>
    <cellStyle name="Title 42 8" xfId="17448"/>
    <cellStyle name="Title 42 8 2" xfId="17449"/>
    <cellStyle name="Title 42 9" xfId="17450"/>
    <cellStyle name="Title 42 9 2" xfId="17451"/>
    <cellStyle name="Title 43 12" xfId="17452"/>
    <cellStyle name="Title 43 10" xfId="17453"/>
    <cellStyle name="Title 43 11" xfId="17454"/>
    <cellStyle name="Title 43 2" xfId="17455"/>
    <cellStyle name="Title 43 2 2" xfId="17456"/>
    <cellStyle name="Title 43 2 2 2" xfId="17457"/>
    <cellStyle name="Title 43 2 3" xfId="17458"/>
    <cellStyle name="Title 43 2 3 2" xfId="17459"/>
    <cellStyle name="Title 43 2 4" xfId="17460"/>
    <cellStyle name="Title 43 2 5" xfId="17461"/>
    <cellStyle name="Title 43 3" xfId="17462"/>
    <cellStyle name="Title 43 3 2" xfId="17463"/>
    <cellStyle name="Title 43 3 2 2" xfId="17464"/>
    <cellStyle name="Title 43 3 3" xfId="17465"/>
    <cellStyle name="Title 43 3 3 2" xfId="17466"/>
    <cellStyle name="Title 43 3 4" xfId="17467"/>
    <cellStyle name="Title 43 4" xfId="17468"/>
    <cellStyle name="Title 43 4 2" xfId="17469"/>
    <cellStyle name="Title 43 4 2 2" xfId="17470"/>
    <cellStyle name="Title 43 4 3" xfId="17471"/>
    <cellStyle name="Title 43 4 3 2" xfId="17472"/>
    <cellStyle name="Title 43 4 4" xfId="17473"/>
    <cellStyle name="Title 43 5" xfId="17474"/>
    <cellStyle name="Title 43 5 2" xfId="17475"/>
    <cellStyle name="Title 43 5 2 2" xfId="17476"/>
    <cellStyle name="Title 43 5 3" xfId="17477"/>
    <cellStyle name="Title 43 5 3 2" xfId="17478"/>
    <cellStyle name="Title 43 5 4" xfId="17479"/>
    <cellStyle name="Title 43 5 4 2" xfId="17480"/>
    <cellStyle name="Title 43 5 5" xfId="17481"/>
    <cellStyle name="Title 43 6" xfId="17482"/>
    <cellStyle name="Title 43 6 2" xfId="17483"/>
    <cellStyle name="Title 43 6 2 2" xfId="17484"/>
    <cellStyle name="Title 43 6 3" xfId="17485"/>
    <cellStyle name="Title 43 6 3 2" xfId="17486"/>
    <cellStyle name="Title 43 6 4" xfId="17487"/>
    <cellStyle name="Title 43 7" xfId="17488"/>
    <cellStyle name="Title 43 7 2" xfId="17489"/>
    <cellStyle name="Title 43 8" xfId="17490"/>
    <cellStyle name="Title 43 8 2" xfId="17491"/>
    <cellStyle name="Title 43 9" xfId="17492"/>
    <cellStyle name="Title 43 9 2" xfId="17493"/>
    <cellStyle name="Title 5 13" xfId="17494"/>
    <cellStyle name="Title 5 10" xfId="17495"/>
    <cellStyle name="Title 5 10 2" xfId="17496"/>
    <cellStyle name="Title 5 11" xfId="17497"/>
    <cellStyle name="Title 5 12" xfId="17498"/>
    <cellStyle name="Title 5 2" xfId="17499"/>
    <cellStyle name="Title 5 2 10" xfId="17500"/>
    <cellStyle name="Title 5 2 2" xfId="17501"/>
    <cellStyle name="Title 5 2 2 2" xfId="17502"/>
    <cellStyle name="Title 5 2 2 2 2" xfId="17503"/>
    <cellStyle name="Title 5 2 2 3" xfId="17504"/>
    <cellStyle name="Title 5 2 2 3 2" xfId="17505"/>
    <cellStyle name="Title 5 2 2 4" xfId="17506"/>
    <cellStyle name="Title 5 2 3" xfId="17507"/>
    <cellStyle name="Title 5 2 3 2" xfId="17508"/>
    <cellStyle name="Title 5 2 3 2 2" xfId="17509"/>
    <cellStyle name="Title 5 2 3 3" xfId="17510"/>
    <cellStyle name="Title 5 2 3 3 2" xfId="17511"/>
    <cellStyle name="Title 5 2 3 4" xfId="17512"/>
    <cellStyle name="Title 5 2 4" xfId="17513"/>
    <cellStyle name="Title 5 2 4 2" xfId="17514"/>
    <cellStyle name="Title 5 2 4 2 2" xfId="17515"/>
    <cellStyle name="Title 5 2 4 3" xfId="17516"/>
    <cellStyle name="Title 5 2 4 3 2" xfId="17517"/>
    <cellStyle name="Title 5 2 4 4" xfId="17518"/>
    <cellStyle name="Title 5 2 4 4 2" xfId="17519"/>
    <cellStyle name="Title 5 2 4 5" xfId="17520"/>
    <cellStyle name="Title 5 2 5" xfId="17521"/>
    <cellStyle name="Title 5 2 5 2" xfId="17522"/>
    <cellStyle name="Title 5 2 5 2 2" xfId="17523"/>
    <cellStyle name="Title 5 2 5 3" xfId="17524"/>
    <cellStyle name="Title 5 2 5 3 2" xfId="17525"/>
    <cellStyle name="Title 5 2 5 4" xfId="17526"/>
    <cellStyle name="Title 5 2 6" xfId="17527"/>
    <cellStyle name="Title 5 2 6 2" xfId="17528"/>
    <cellStyle name="Title 5 2 7" xfId="17529"/>
    <cellStyle name="Title 5 2 7 2" xfId="17530"/>
    <cellStyle name="Title 5 2 8" xfId="17531"/>
    <cellStyle name="Title 5 2 8 2" xfId="17532"/>
    <cellStyle name="Title 5 2 9" xfId="17533"/>
    <cellStyle name="Title 5 3" xfId="17534"/>
    <cellStyle name="Title 5 3 2" xfId="17535"/>
    <cellStyle name="Title 5 3 2 2" xfId="17536"/>
    <cellStyle name="Title 5 3 3" xfId="17537"/>
    <cellStyle name="Title 5 3 3 2" xfId="17538"/>
    <cellStyle name="Title 5 3 4" xfId="17539"/>
    <cellStyle name="Title 5 3 5" xfId="17540"/>
    <cellStyle name="Title 5 4" xfId="17541"/>
    <cellStyle name="Title 5 4 2" xfId="17542"/>
    <cellStyle name="Title 5 4 2 2" xfId="17543"/>
    <cellStyle name="Title 5 4 3" xfId="17544"/>
    <cellStyle name="Title 5 4 3 2" xfId="17545"/>
    <cellStyle name="Title 5 4 4" xfId="17546"/>
    <cellStyle name="Title 5 5" xfId="17547"/>
    <cellStyle name="Title 5 5 2" xfId="17548"/>
    <cellStyle name="Title 5 5 2 2" xfId="17549"/>
    <cellStyle name="Title 5 5 3" xfId="17550"/>
    <cellStyle name="Title 5 5 3 2" xfId="17551"/>
    <cellStyle name="Title 5 5 4" xfId="17552"/>
    <cellStyle name="Title 5 6" xfId="17553"/>
    <cellStyle name="Title 5 6 2" xfId="17554"/>
    <cellStyle name="Title 5 6 2 2" xfId="17555"/>
    <cellStyle name="Title 5 6 3" xfId="17556"/>
    <cellStyle name="Title 5 6 3 2" xfId="17557"/>
    <cellStyle name="Title 5 6 4" xfId="17558"/>
    <cellStyle name="Title 5 6 4 2" xfId="17559"/>
    <cellStyle name="Title 5 6 5" xfId="17560"/>
    <cellStyle name="Title 5 7" xfId="17561"/>
    <cellStyle name="Title 5 7 2" xfId="17562"/>
    <cellStyle name="Title 5 7 2 2" xfId="17563"/>
    <cellStyle name="Title 5 7 3" xfId="17564"/>
    <cellStyle name="Title 5 7 3 2" xfId="17565"/>
    <cellStyle name="Title 5 7 4" xfId="17566"/>
    <cellStyle name="Title 5 8" xfId="17567"/>
    <cellStyle name="Title 5 8 2" xfId="17568"/>
    <cellStyle name="Title 5 9" xfId="17569"/>
    <cellStyle name="Title 5 9 2" xfId="17570"/>
    <cellStyle name="Title 6 13" xfId="17571"/>
    <cellStyle name="Title 6 10" xfId="17572"/>
    <cellStyle name="Title 6 10 2" xfId="17573"/>
    <cellStyle name="Title 6 11" xfId="17574"/>
    <cellStyle name="Title 6 12" xfId="17575"/>
    <cellStyle name="Title 6 2" xfId="17576"/>
    <cellStyle name="Title 6 2 10" xfId="17577"/>
    <cellStyle name="Title 6 2 2" xfId="17578"/>
    <cellStyle name="Title 6 2 2 2" xfId="17579"/>
    <cellStyle name="Title 6 2 2 2 2" xfId="17580"/>
    <cellStyle name="Title 6 2 2 3" xfId="17581"/>
    <cellStyle name="Title 6 2 2 3 2" xfId="17582"/>
    <cellStyle name="Title 6 2 2 4" xfId="17583"/>
    <cellStyle name="Title 6 2 3" xfId="17584"/>
    <cellStyle name="Title 6 2 3 2" xfId="17585"/>
    <cellStyle name="Title 6 2 3 2 2" xfId="17586"/>
    <cellStyle name="Title 6 2 3 3" xfId="17587"/>
    <cellStyle name="Title 6 2 3 3 2" xfId="17588"/>
    <cellStyle name="Title 6 2 3 4" xfId="17589"/>
    <cellStyle name="Title 6 2 4" xfId="17590"/>
    <cellStyle name="Title 6 2 4 2" xfId="17591"/>
    <cellStyle name="Title 6 2 4 2 2" xfId="17592"/>
    <cellStyle name="Title 6 2 4 3" xfId="17593"/>
    <cellStyle name="Title 6 2 4 3 2" xfId="17594"/>
    <cellStyle name="Title 6 2 4 4" xfId="17595"/>
    <cellStyle name="Title 6 2 4 4 2" xfId="17596"/>
    <cellStyle name="Title 6 2 4 5" xfId="17597"/>
    <cellStyle name="Title 6 2 5" xfId="17598"/>
    <cellStyle name="Title 6 2 5 2" xfId="17599"/>
    <cellStyle name="Title 6 2 5 2 2" xfId="17600"/>
    <cellStyle name="Title 6 2 5 3" xfId="17601"/>
    <cellStyle name="Title 6 2 5 3 2" xfId="17602"/>
    <cellStyle name="Title 6 2 5 4" xfId="17603"/>
    <cellStyle name="Title 6 2 6" xfId="17604"/>
    <cellStyle name="Title 6 2 6 2" xfId="17605"/>
    <cellStyle name="Title 6 2 7" xfId="17606"/>
    <cellStyle name="Title 6 2 7 2" xfId="17607"/>
    <cellStyle name="Title 6 2 8" xfId="17608"/>
    <cellStyle name="Title 6 2 8 2" xfId="17609"/>
    <cellStyle name="Title 6 2 9" xfId="17610"/>
    <cellStyle name="Title 6 3" xfId="17611"/>
    <cellStyle name="Title 6 3 2" xfId="17612"/>
    <cellStyle name="Title 6 3 2 2" xfId="17613"/>
    <cellStyle name="Title 6 3 3" xfId="17614"/>
    <cellStyle name="Title 6 3 3 2" xfId="17615"/>
    <cellStyle name="Title 6 3 4" xfId="17616"/>
    <cellStyle name="Title 6 3 5" xfId="17617"/>
    <cellStyle name="Title 6 4" xfId="17618"/>
    <cellStyle name="Title 6 4 2" xfId="17619"/>
    <cellStyle name="Title 6 4 2 2" xfId="17620"/>
    <cellStyle name="Title 6 4 3" xfId="17621"/>
    <cellStyle name="Title 6 4 3 2" xfId="17622"/>
    <cellStyle name="Title 6 4 4" xfId="17623"/>
    <cellStyle name="Title 6 5" xfId="17624"/>
    <cellStyle name="Title 6 5 2" xfId="17625"/>
    <cellStyle name="Title 6 5 2 2" xfId="17626"/>
    <cellStyle name="Title 6 5 3" xfId="17627"/>
    <cellStyle name="Title 6 5 3 2" xfId="17628"/>
    <cellStyle name="Title 6 5 4" xfId="17629"/>
    <cellStyle name="Title 6 6" xfId="17630"/>
    <cellStyle name="Title 6 6 2" xfId="17631"/>
    <cellStyle name="Title 6 6 2 2" xfId="17632"/>
    <cellStyle name="Title 6 6 3" xfId="17633"/>
    <cellStyle name="Title 6 6 3 2" xfId="17634"/>
    <cellStyle name="Title 6 6 4" xfId="17635"/>
    <cellStyle name="Title 6 6 4 2" xfId="17636"/>
    <cellStyle name="Title 6 6 5" xfId="17637"/>
    <cellStyle name="Title 6 7" xfId="17638"/>
    <cellStyle name="Title 6 7 2" xfId="17639"/>
    <cellStyle name="Title 6 7 2 2" xfId="17640"/>
    <cellStyle name="Title 6 7 3" xfId="17641"/>
    <cellStyle name="Title 6 7 3 2" xfId="17642"/>
    <cellStyle name="Title 6 7 4" xfId="17643"/>
    <cellStyle name="Title 6 8" xfId="17644"/>
    <cellStyle name="Title 6 8 2" xfId="17645"/>
    <cellStyle name="Title 6 9" xfId="17646"/>
    <cellStyle name="Title 6 9 2" xfId="17647"/>
    <cellStyle name="Title 7 12" xfId="17648"/>
    <cellStyle name="Title 7 10" xfId="17649"/>
    <cellStyle name="Title 7 11" xfId="17650"/>
    <cellStyle name="Title 7 2" xfId="17651"/>
    <cellStyle name="Title 7 2 2" xfId="17652"/>
    <cellStyle name="Title 7 2 2 2" xfId="17653"/>
    <cellStyle name="Title 7 2 3" xfId="17654"/>
    <cellStyle name="Title 7 2 3 2" xfId="17655"/>
    <cellStyle name="Title 7 2 4" xfId="17656"/>
    <cellStyle name="Title 7 2 5" xfId="17657"/>
    <cellStyle name="Title 7 3" xfId="17658"/>
    <cellStyle name="Title 7 3 2" xfId="17659"/>
    <cellStyle name="Title 7 3 2 2" xfId="17660"/>
    <cellStyle name="Title 7 3 3" xfId="17661"/>
    <cellStyle name="Title 7 3 3 2" xfId="17662"/>
    <cellStyle name="Title 7 3 4" xfId="17663"/>
    <cellStyle name="Title 7 4" xfId="17664"/>
    <cellStyle name="Title 7 4 2" xfId="17665"/>
    <cellStyle name="Title 7 4 2 2" xfId="17666"/>
    <cellStyle name="Title 7 4 3" xfId="17667"/>
    <cellStyle name="Title 7 4 3 2" xfId="17668"/>
    <cellStyle name="Title 7 4 4" xfId="17669"/>
    <cellStyle name="Title 7 5" xfId="17670"/>
    <cellStyle name="Title 7 5 2" xfId="17671"/>
    <cellStyle name="Title 7 5 2 2" xfId="17672"/>
    <cellStyle name="Title 7 5 3" xfId="17673"/>
    <cellStyle name="Title 7 5 3 2" xfId="17674"/>
    <cellStyle name="Title 7 5 4" xfId="17675"/>
    <cellStyle name="Title 7 5 4 2" xfId="17676"/>
    <cellStyle name="Title 7 5 5" xfId="17677"/>
    <cellStyle name="Title 7 6" xfId="17678"/>
    <cellStyle name="Title 7 6 2" xfId="17679"/>
    <cellStyle name="Title 7 6 2 2" xfId="17680"/>
    <cellStyle name="Title 7 6 3" xfId="17681"/>
    <cellStyle name="Title 7 6 3 2" xfId="17682"/>
    <cellStyle name="Title 7 6 4" xfId="17683"/>
    <cellStyle name="Title 7 7" xfId="17684"/>
    <cellStyle name="Title 7 7 2" xfId="17685"/>
    <cellStyle name="Title 7 8" xfId="17686"/>
    <cellStyle name="Title 7 8 2" xfId="17687"/>
    <cellStyle name="Title 7 9" xfId="17688"/>
    <cellStyle name="Title 7 9 2" xfId="17689"/>
    <cellStyle name="Title 8 12" xfId="17690"/>
    <cellStyle name="Title 8 10" xfId="17691"/>
    <cellStyle name="Title 8 11" xfId="17692"/>
    <cellStyle name="Title 8 2" xfId="17693"/>
    <cellStyle name="Title 8 2 2" xfId="17694"/>
    <cellStyle name="Title 8 2 2 2" xfId="17695"/>
    <cellStyle name="Title 8 2 3" xfId="17696"/>
    <cellStyle name="Title 8 2 3 2" xfId="17697"/>
    <cellStyle name="Title 8 2 4" xfId="17698"/>
    <cellStyle name="Title 8 2 5" xfId="17699"/>
    <cellStyle name="Title 8 3" xfId="17700"/>
    <cellStyle name="Title 8 3 2" xfId="17701"/>
    <cellStyle name="Title 8 3 2 2" xfId="17702"/>
    <cellStyle name="Title 8 3 3" xfId="17703"/>
    <cellStyle name="Title 8 3 3 2" xfId="17704"/>
    <cellStyle name="Title 8 3 4" xfId="17705"/>
    <cellStyle name="Title 8 4" xfId="17706"/>
    <cellStyle name="Title 8 4 2" xfId="17707"/>
    <cellStyle name="Title 8 4 2 2" xfId="17708"/>
    <cellStyle name="Title 8 4 3" xfId="17709"/>
    <cellStyle name="Title 8 4 3 2" xfId="17710"/>
    <cellStyle name="Title 8 4 4" xfId="17711"/>
    <cellStyle name="Title 8 5" xfId="17712"/>
    <cellStyle name="Title 8 5 2" xfId="17713"/>
    <cellStyle name="Title 8 5 2 2" xfId="17714"/>
    <cellStyle name="Title 8 5 3" xfId="17715"/>
    <cellStyle name="Title 8 5 3 2" xfId="17716"/>
    <cellStyle name="Title 8 5 4" xfId="17717"/>
    <cellStyle name="Title 8 5 4 2" xfId="17718"/>
    <cellStyle name="Title 8 5 5" xfId="17719"/>
    <cellStyle name="Title 8 6" xfId="17720"/>
    <cellStyle name="Title 8 6 2" xfId="17721"/>
    <cellStyle name="Title 8 6 2 2" xfId="17722"/>
    <cellStyle name="Title 8 6 3" xfId="17723"/>
    <cellStyle name="Title 8 6 3 2" xfId="17724"/>
    <cellStyle name="Title 8 6 4" xfId="17725"/>
    <cellStyle name="Title 8 7" xfId="17726"/>
    <cellStyle name="Title 8 7 2" xfId="17727"/>
    <cellStyle name="Title 8 8" xfId="17728"/>
    <cellStyle name="Title 8 8 2" xfId="17729"/>
    <cellStyle name="Title 8 9" xfId="17730"/>
    <cellStyle name="Title 8 9 2" xfId="17731"/>
    <cellStyle name="Title 9 12" xfId="17732"/>
    <cellStyle name="Title 9 10" xfId="17733"/>
    <cellStyle name="Title 9 11" xfId="17734"/>
    <cellStyle name="Title 9 2" xfId="17735"/>
    <cellStyle name="Title 9 2 2" xfId="17736"/>
    <cellStyle name="Title 9 2 2 2" xfId="17737"/>
    <cellStyle name="Title 9 2 3" xfId="17738"/>
    <cellStyle name="Title 9 2 3 2" xfId="17739"/>
    <cellStyle name="Title 9 2 4" xfId="17740"/>
    <cellStyle name="Title 9 2 5" xfId="17741"/>
    <cellStyle name="Title 9 3" xfId="17742"/>
    <cellStyle name="Title 9 3 2" xfId="17743"/>
    <cellStyle name="Title 9 3 2 2" xfId="17744"/>
    <cellStyle name="Title 9 3 3" xfId="17745"/>
    <cellStyle name="Title 9 3 3 2" xfId="17746"/>
    <cellStyle name="Title 9 3 4" xfId="17747"/>
    <cellStyle name="Title 9 4" xfId="17748"/>
    <cellStyle name="Title 9 4 2" xfId="17749"/>
    <cellStyle name="Title 9 4 2 2" xfId="17750"/>
    <cellStyle name="Title 9 4 3" xfId="17751"/>
    <cellStyle name="Title 9 4 3 2" xfId="17752"/>
    <cellStyle name="Title 9 4 4" xfId="17753"/>
    <cellStyle name="Title 9 5" xfId="17754"/>
    <cellStyle name="Title 9 5 2" xfId="17755"/>
    <cellStyle name="Title 9 5 2 2" xfId="17756"/>
    <cellStyle name="Title 9 5 3" xfId="17757"/>
    <cellStyle name="Title 9 5 3 2" xfId="17758"/>
    <cellStyle name="Title 9 5 4" xfId="17759"/>
    <cellStyle name="Title 9 5 4 2" xfId="17760"/>
    <cellStyle name="Title 9 5 5" xfId="17761"/>
    <cellStyle name="Title 9 6" xfId="17762"/>
    <cellStyle name="Title 9 6 2" xfId="17763"/>
    <cellStyle name="Title 9 6 2 2" xfId="17764"/>
    <cellStyle name="Title 9 6 3" xfId="17765"/>
    <cellStyle name="Title 9 6 3 2" xfId="17766"/>
    <cellStyle name="Title 9 6 4" xfId="17767"/>
    <cellStyle name="Title 9 7" xfId="17768"/>
    <cellStyle name="Title 9 7 2" xfId="17769"/>
    <cellStyle name="Title 9 8" xfId="17770"/>
    <cellStyle name="Title 9 8 2" xfId="17771"/>
    <cellStyle name="Title 9 9" xfId="17772"/>
    <cellStyle name="Title 9 9 2" xfId="17773"/>
    <cellStyle name="Total 10 12" xfId="17774"/>
    <cellStyle name="Total 10 10" xfId="17775"/>
    <cellStyle name="Total 10 11" xfId="17776"/>
    <cellStyle name="Total 10 2" xfId="17777"/>
    <cellStyle name="Total 10 2 2" xfId="17778"/>
    <cellStyle name="Total 10 2 2 2" xfId="17779"/>
    <cellStyle name="Total 10 2 3" xfId="17780"/>
    <cellStyle name="Total 10 2 3 2" xfId="17781"/>
    <cellStyle name="Total 10 2 4" xfId="17782"/>
    <cellStyle name="Total 10 2 5" xfId="17783"/>
    <cellStyle name="Total 10 3" xfId="17784"/>
    <cellStyle name="Total 10 3 2" xfId="17785"/>
    <cellStyle name="Total 10 3 2 2" xfId="17786"/>
    <cellStyle name="Total 10 3 3" xfId="17787"/>
    <cellStyle name="Total 10 3 3 2" xfId="17788"/>
    <cellStyle name="Total 10 3 4" xfId="17789"/>
    <cellStyle name="Total 10 4" xfId="17790"/>
    <cellStyle name="Total 10 4 2" xfId="17791"/>
    <cellStyle name="Total 10 4 2 2" xfId="17792"/>
    <cellStyle name="Total 10 4 3" xfId="17793"/>
    <cellStyle name="Total 10 4 3 2" xfId="17794"/>
    <cellStyle name="Total 10 4 4" xfId="17795"/>
    <cellStyle name="Total 10 5" xfId="17796"/>
    <cellStyle name="Total 10 5 2" xfId="17797"/>
    <cellStyle name="Total 10 5 2 2" xfId="17798"/>
    <cellStyle name="Total 10 5 3" xfId="17799"/>
    <cellStyle name="Total 10 5 3 2" xfId="17800"/>
    <cellStyle name="Total 10 5 4" xfId="17801"/>
    <cellStyle name="Total 10 5 4 2" xfId="17802"/>
    <cellStyle name="Total 10 5 5" xfId="17803"/>
    <cellStyle name="Total 10 6" xfId="17804"/>
    <cellStyle name="Total 10 6 2" xfId="17805"/>
    <cellStyle name="Total 10 6 2 2" xfId="17806"/>
    <cellStyle name="Total 10 6 3" xfId="17807"/>
    <cellStyle name="Total 10 6 3 2" xfId="17808"/>
    <cellStyle name="Total 10 6 4" xfId="17809"/>
    <cellStyle name="Total 10 7" xfId="17810"/>
    <cellStyle name="Total 10 7 2" xfId="17811"/>
    <cellStyle name="Total 10 8" xfId="17812"/>
    <cellStyle name="Total 10 8 2" xfId="17813"/>
    <cellStyle name="Total 10 9" xfId="17814"/>
    <cellStyle name="Total 10 9 2" xfId="17815"/>
    <cellStyle name="Total 11 12" xfId="17816"/>
    <cellStyle name="Total 11 10" xfId="17817"/>
    <cellStyle name="Total 11 11" xfId="17818"/>
    <cellStyle name="Total 11 2" xfId="17819"/>
    <cellStyle name="Total 11 2 2" xfId="17820"/>
    <cellStyle name="Total 11 2 2 2" xfId="17821"/>
    <cellStyle name="Total 11 2 3" xfId="17822"/>
    <cellStyle name="Total 11 2 3 2" xfId="17823"/>
    <cellStyle name="Total 11 2 4" xfId="17824"/>
    <cellStyle name="Total 11 2 5" xfId="17825"/>
    <cellStyle name="Total 11 3" xfId="17826"/>
    <cellStyle name="Total 11 3 2" xfId="17827"/>
    <cellStyle name="Total 11 3 2 2" xfId="17828"/>
    <cellStyle name="Total 11 3 3" xfId="17829"/>
    <cellStyle name="Total 11 3 3 2" xfId="17830"/>
    <cellStyle name="Total 11 3 4" xfId="17831"/>
    <cellStyle name="Total 11 4" xfId="17832"/>
    <cellStyle name="Total 11 4 2" xfId="17833"/>
    <cellStyle name="Total 11 4 2 2" xfId="17834"/>
    <cellStyle name="Total 11 4 3" xfId="17835"/>
    <cellStyle name="Total 11 4 3 2" xfId="17836"/>
    <cellStyle name="Total 11 4 4" xfId="17837"/>
    <cellStyle name="Total 11 5" xfId="17838"/>
    <cellStyle name="Total 11 5 2" xfId="17839"/>
    <cellStyle name="Total 11 5 2 2" xfId="17840"/>
    <cellStyle name="Total 11 5 3" xfId="17841"/>
    <cellStyle name="Total 11 5 3 2" xfId="17842"/>
    <cellStyle name="Total 11 5 4" xfId="17843"/>
    <cellStyle name="Total 11 5 4 2" xfId="17844"/>
    <cellStyle name="Total 11 5 5" xfId="17845"/>
    <cellStyle name="Total 11 6" xfId="17846"/>
    <cellStyle name="Total 11 6 2" xfId="17847"/>
    <cellStyle name="Total 11 6 2 2" xfId="17848"/>
    <cellStyle name="Total 11 6 3" xfId="17849"/>
    <cellStyle name="Total 11 6 3 2" xfId="17850"/>
    <cellStyle name="Total 11 6 4" xfId="17851"/>
    <cellStyle name="Total 11 7" xfId="17852"/>
    <cellStyle name="Total 11 7 2" xfId="17853"/>
    <cellStyle name="Total 11 8" xfId="17854"/>
    <cellStyle name="Total 11 8 2" xfId="17855"/>
    <cellStyle name="Total 11 9" xfId="17856"/>
    <cellStyle name="Total 11 9 2" xfId="17857"/>
    <cellStyle name="Total 12 12" xfId="17858"/>
    <cellStyle name="Total 12 10" xfId="17859"/>
    <cellStyle name="Total 12 11" xfId="17860"/>
    <cellStyle name="Total 12 2" xfId="17861"/>
    <cellStyle name="Total 12 2 2" xfId="17862"/>
    <cellStyle name="Total 12 2 2 2" xfId="17863"/>
    <cellStyle name="Total 12 2 3" xfId="17864"/>
    <cellStyle name="Total 12 2 3 2" xfId="17865"/>
    <cellStyle name="Total 12 2 4" xfId="17866"/>
    <cellStyle name="Total 12 2 5" xfId="17867"/>
    <cellStyle name="Total 12 3" xfId="17868"/>
    <cellStyle name="Total 12 3 2" xfId="17869"/>
    <cellStyle name="Total 12 3 2 2" xfId="17870"/>
    <cellStyle name="Total 12 3 3" xfId="17871"/>
    <cellStyle name="Total 12 3 3 2" xfId="17872"/>
    <cellStyle name="Total 12 3 4" xfId="17873"/>
    <cellStyle name="Total 12 4" xfId="17874"/>
    <cellStyle name="Total 12 4 2" xfId="17875"/>
    <cellStyle name="Total 12 4 2 2" xfId="17876"/>
    <cellStyle name="Total 12 4 3" xfId="17877"/>
    <cellStyle name="Total 12 4 3 2" xfId="17878"/>
    <cellStyle name="Total 12 4 4" xfId="17879"/>
    <cellStyle name="Total 12 5" xfId="17880"/>
    <cellStyle name="Total 12 5 2" xfId="17881"/>
    <cellStyle name="Total 12 5 2 2" xfId="17882"/>
    <cellStyle name="Total 12 5 3" xfId="17883"/>
    <cellStyle name="Total 12 5 3 2" xfId="17884"/>
    <cellStyle name="Total 12 5 4" xfId="17885"/>
    <cellStyle name="Total 12 5 4 2" xfId="17886"/>
    <cellStyle name="Total 12 5 5" xfId="17887"/>
    <cellStyle name="Total 12 6" xfId="17888"/>
    <cellStyle name="Total 12 6 2" xfId="17889"/>
    <cellStyle name="Total 12 6 2 2" xfId="17890"/>
    <cellStyle name="Total 12 6 3" xfId="17891"/>
    <cellStyle name="Total 12 6 3 2" xfId="17892"/>
    <cellStyle name="Total 12 6 4" xfId="17893"/>
    <cellStyle name="Total 12 7" xfId="17894"/>
    <cellStyle name="Total 12 7 2" xfId="17895"/>
    <cellStyle name="Total 12 8" xfId="17896"/>
    <cellStyle name="Total 12 8 2" xfId="17897"/>
    <cellStyle name="Total 12 9" xfId="17898"/>
    <cellStyle name="Total 12 9 2" xfId="17899"/>
    <cellStyle name="Total 13 12" xfId="17900"/>
    <cellStyle name="Total 13 10" xfId="17901"/>
    <cellStyle name="Total 13 11" xfId="17902"/>
    <cellStyle name="Total 13 2" xfId="17903"/>
    <cellStyle name="Total 13 2 2" xfId="17904"/>
    <cellStyle name="Total 13 2 2 2" xfId="17905"/>
    <cellStyle name="Total 13 2 3" xfId="17906"/>
    <cellStyle name="Total 13 2 3 2" xfId="17907"/>
    <cellStyle name="Total 13 2 4" xfId="17908"/>
    <cellStyle name="Total 13 2 5" xfId="17909"/>
    <cellStyle name="Total 13 3" xfId="17910"/>
    <cellStyle name="Total 13 3 2" xfId="17911"/>
    <cellStyle name="Total 13 3 2 2" xfId="17912"/>
    <cellStyle name="Total 13 3 3" xfId="17913"/>
    <cellStyle name="Total 13 3 3 2" xfId="17914"/>
    <cellStyle name="Total 13 3 4" xfId="17915"/>
    <cellStyle name="Total 13 4" xfId="17916"/>
    <cellStyle name="Total 13 4 2" xfId="17917"/>
    <cellStyle name="Total 13 4 2 2" xfId="17918"/>
    <cellStyle name="Total 13 4 3" xfId="17919"/>
    <cellStyle name="Total 13 4 3 2" xfId="17920"/>
    <cellStyle name="Total 13 4 4" xfId="17921"/>
    <cellStyle name="Total 13 5" xfId="17922"/>
    <cellStyle name="Total 13 5 2" xfId="17923"/>
    <cellStyle name="Total 13 5 2 2" xfId="17924"/>
    <cellStyle name="Total 13 5 3" xfId="17925"/>
    <cellStyle name="Total 13 5 3 2" xfId="17926"/>
    <cellStyle name="Total 13 5 4" xfId="17927"/>
    <cellStyle name="Total 13 5 4 2" xfId="17928"/>
    <cellStyle name="Total 13 5 5" xfId="17929"/>
    <cellStyle name="Total 13 6" xfId="17930"/>
    <cellStyle name="Total 13 6 2" xfId="17931"/>
    <cellStyle name="Total 13 6 2 2" xfId="17932"/>
    <cellStyle name="Total 13 6 3" xfId="17933"/>
    <cellStyle name="Total 13 6 3 2" xfId="17934"/>
    <cellStyle name="Total 13 6 4" xfId="17935"/>
    <cellStyle name="Total 13 7" xfId="17936"/>
    <cellStyle name="Total 13 7 2" xfId="17937"/>
    <cellStyle name="Total 13 8" xfId="17938"/>
    <cellStyle name="Total 13 8 2" xfId="17939"/>
    <cellStyle name="Total 13 9" xfId="17940"/>
    <cellStyle name="Total 13 9 2" xfId="17941"/>
    <cellStyle name="Total 14 12" xfId="17942"/>
    <cellStyle name="Total 14 10" xfId="17943"/>
    <cellStyle name="Total 14 11" xfId="17944"/>
    <cellStyle name="Total 14 2" xfId="17945"/>
    <cellStyle name="Total 14 2 2" xfId="17946"/>
    <cellStyle name="Total 14 2 2 2" xfId="17947"/>
    <cellStyle name="Total 14 2 3" xfId="17948"/>
    <cellStyle name="Total 14 2 3 2" xfId="17949"/>
    <cellStyle name="Total 14 2 4" xfId="17950"/>
    <cellStyle name="Total 14 2 5" xfId="17951"/>
    <cellStyle name="Total 14 3" xfId="17952"/>
    <cellStyle name="Total 14 3 2" xfId="17953"/>
    <cellStyle name="Total 14 3 2 2" xfId="17954"/>
    <cellStyle name="Total 14 3 3" xfId="17955"/>
    <cellStyle name="Total 14 3 3 2" xfId="17956"/>
    <cellStyle name="Total 14 3 4" xfId="17957"/>
    <cellStyle name="Total 14 4" xfId="17958"/>
    <cellStyle name="Total 14 4 2" xfId="17959"/>
    <cellStyle name="Total 14 4 2 2" xfId="17960"/>
    <cellStyle name="Total 14 4 3" xfId="17961"/>
    <cellStyle name="Total 14 4 3 2" xfId="17962"/>
    <cellStyle name="Total 14 4 4" xfId="17963"/>
    <cellStyle name="Total 14 5" xfId="17964"/>
    <cellStyle name="Total 14 5 2" xfId="17965"/>
    <cellStyle name="Total 14 5 2 2" xfId="17966"/>
    <cellStyle name="Total 14 5 3" xfId="17967"/>
    <cellStyle name="Total 14 5 3 2" xfId="17968"/>
    <cellStyle name="Total 14 5 4" xfId="17969"/>
    <cellStyle name="Total 14 5 4 2" xfId="17970"/>
    <cellStyle name="Total 14 5 5" xfId="17971"/>
    <cellStyle name="Total 14 6" xfId="17972"/>
    <cellStyle name="Total 14 6 2" xfId="17973"/>
    <cellStyle name="Total 14 6 2 2" xfId="17974"/>
    <cellStyle name="Total 14 6 3" xfId="17975"/>
    <cellStyle name="Total 14 6 3 2" xfId="17976"/>
    <cellStyle name="Total 14 6 4" xfId="17977"/>
    <cellStyle name="Total 14 7" xfId="17978"/>
    <cellStyle name="Total 14 7 2" xfId="17979"/>
    <cellStyle name="Total 14 8" xfId="17980"/>
    <cellStyle name="Total 14 8 2" xfId="17981"/>
    <cellStyle name="Total 14 9" xfId="17982"/>
    <cellStyle name="Total 14 9 2" xfId="17983"/>
    <cellStyle name="Total 15 12" xfId="17984"/>
    <cellStyle name="Total 15 10" xfId="17985"/>
    <cellStyle name="Total 15 11" xfId="17986"/>
    <cellStyle name="Total 15 2" xfId="17987"/>
    <cellStyle name="Total 15 2 2" xfId="17988"/>
    <cellStyle name="Total 15 2 2 2" xfId="17989"/>
    <cellStyle name="Total 15 2 3" xfId="17990"/>
    <cellStyle name="Total 15 2 3 2" xfId="17991"/>
    <cellStyle name="Total 15 2 4" xfId="17992"/>
    <cellStyle name="Total 15 2 5" xfId="17993"/>
    <cellStyle name="Total 15 3" xfId="17994"/>
    <cellStyle name="Total 15 3 2" xfId="17995"/>
    <cellStyle name="Total 15 3 2 2" xfId="17996"/>
    <cellStyle name="Total 15 3 3" xfId="17997"/>
    <cellStyle name="Total 15 3 3 2" xfId="17998"/>
    <cellStyle name="Total 15 3 4" xfId="17999"/>
    <cellStyle name="Total 15 4" xfId="18000"/>
    <cellStyle name="Total 15 4 2" xfId="18001"/>
    <cellStyle name="Total 15 4 2 2" xfId="18002"/>
    <cellStyle name="Total 15 4 3" xfId="18003"/>
    <cellStyle name="Total 15 4 3 2" xfId="18004"/>
    <cellStyle name="Total 15 4 4" xfId="18005"/>
    <cellStyle name="Total 15 5" xfId="18006"/>
    <cellStyle name="Total 15 5 2" xfId="18007"/>
    <cellStyle name="Total 15 5 2 2" xfId="18008"/>
    <cellStyle name="Total 15 5 3" xfId="18009"/>
    <cellStyle name="Total 15 5 3 2" xfId="18010"/>
    <cellStyle name="Total 15 5 4" xfId="18011"/>
    <cellStyle name="Total 15 5 4 2" xfId="18012"/>
    <cellStyle name="Total 15 5 5" xfId="18013"/>
    <cellStyle name="Total 15 6" xfId="18014"/>
    <cellStyle name="Total 15 6 2" xfId="18015"/>
    <cellStyle name="Total 15 6 2 2" xfId="18016"/>
    <cellStyle name="Total 15 6 3" xfId="18017"/>
    <cellStyle name="Total 15 6 3 2" xfId="18018"/>
    <cellStyle name="Total 15 6 4" xfId="18019"/>
    <cellStyle name="Total 15 7" xfId="18020"/>
    <cellStyle name="Total 15 7 2" xfId="18021"/>
    <cellStyle name="Total 15 8" xfId="18022"/>
    <cellStyle name="Total 15 8 2" xfId="18023"/>
    <cellStyle name="Total 15 9" xfId="18024"/>
    <cellStyle name="Total 15 9 2" xfId="18025"/>
    <cellStyle name="Total 16 12" xfId="18026"/>
    <cellStyle name="Total 16 10" xfId="18027"/>
    <cellStyle name="Total 16 11" xfId="18028"/>
    <cellStyle name="Total 16 2" xfId="18029"/>
    <cellStyle name="Total 16 2 2" xfId="18030"/>
    <cellStyle name="Total 16 2 2 2" xfId="18031"/>
    <cellStyle name="Total 16 2 3" xfId="18032"/>
    <cellStyle name="Total 16 2 3 2" xfId="18033"/>
    <cellStyle name="Total 16 2 4" xfId="18034"/>
    <cellStyle name="Total 16 2 5" xfId="18035"/>
    <cellStyle name="Total 16 3" xfId="18036"/>
    <cellStyle name="Total 16 3 2" xfId="18037"/>
    <cellStyle name="Total 16 3 2 2" xfId="18038"/>
    <cellStyle name="Total 16 3 3" xfId="18039"/>
    <cellStyle name="Total 16 3 3 2" xfId="18040"/>
    <cellStyle name="Total 16 3 4" xfId="18041"/>
    <cellStyle name="Total 16 4" xfId="18042"/>
    <cellStyle name="Total 16 4 2" xfId="18043"/>
    <cellStyle name="Total 16 4 2 2" xfId="18044"/>
    <cellStyle name="Total 16 4 3" xfId="18045"/>
    <cellStyle name="Total 16 4 3 2" xfId="18046"/>
    <cellStyle name="Total 16 4 4" xfId="18047"/>
    <cellStyle name="Total 16 5" xfId="18048"/>
    <cellStyle name="Total 16 5 2" xfId="18049"/>
    <cellStyle name="Total 16 5 2 2" xfId="18050"/>
    <cellStyle name="Total 16 5 3" xfId="18051"/>
    <cellStyle name="Total 16 5 3 2" xfId="18052"/>
    <cellStyle name="Total 16 5 4" xfId="18053"/>
    <cellStyle name="Total 16 5 4 2" xfId="18054"/>
    <cellStyle name="Total 16 5 5" xfId="18055"/>
    <cellStyle name="Total 16 6" xfId="18056"/>
    <cellStyle name="Total 16 6 2" xfId="18057"/>
    <cellStyle name="Total 16 6 2 2" xfId="18058"/>
    <cellStyle name="Total 16 6 3" xfId="18059"/>
    <cellStyle name="Total 16 6 3 2" xfId="18060"/>
    <cellStyle name="Total 16 6 4" xfId="18061"/>
    <cellStyle name="Total 16 7" xfId="18062"/>
    <cellStyle name="Total 16 7 2" xfId="18063"/>
    <cellStyle name="Total 16 8" xfId="18064"/>
    <cellStyle name="Total 16 8 2" xfId="18065"/>
    <cellStyle name="Total 16 9" xfId="18066"/>
    <cellStyle name="Total 16 9 2" xfId="18067"/>
    <cellStyle name="Total 17 12" xfId="18068"/>
    <cellStyle name="Total 17 10" xfId="18069"/>
    <cellStyle name="Total 17 11" xfId="18070"/>
    <cellStyle name="Total 17 2" xfId="18071"/>
    <cellStyle name="Total 17 2 2" xfId="18072"/>
    <cellStyle name="Total 17 2 2 2" xfId="18073"/>
    <cellStyle name="Total 17 2 3" xfId="18074"/>
    <cellStyle name="Total 17 2 3 2" xfId="18075"/>
    <cellStyle name="Total 17 2 4" xfId="18076"/>
    <cellStyle name="Total 17 2 5" xfId="18077"/>
    <cellStyle name="Total 17 3" xfId="18078"/>
    <cellStyle name="Total 17 3 2" xfId="18079"/>
    <cellStyle name="Total 17 3 2 2" xfId="18080"/>
    <cellStyle name="Total 17 3 3" xfId="18081"/>
    <cellStyle name="Total 17 3 3 2" xfId="18082"/>
    <cellStyle name="Total 17 3 4" xfId="18083"/>
    <cellStyle name="Total 17 4" xfId="18084"/>
    <cellStyle name="Total 17 4 2" xfId="18085"/>
    <cellStyle name="Total 17 4 2 2" xfId="18086"/>
    <cellStyle name="Total 17 4 3" xfId="18087"/>
    <cellStyle name="Total 17 4 3 2" xfId="18088"/>
    <cellStyle name="Total 17 4 4" xfId="18089"/>
    <cellStyle name="Total 17 5" xfId="18090"/>
    <cellStyle name="Total 17 5 2" xfId="18091"/>
    <cellStyle name="Total 17 5 2 2" xfId="18092"/>
    <cellStyle name="Total 17 5 3" xfId="18093"/>
    <cellStyle name="Total 17 5 3 2" xfId="18094"/>
    <cellStyle name="Total 17 5 4" xfId="18095"/>
    <cellStyle name="Total 17 5 4 2" xfId="18096"/>
    <cellStyle name="Total 17 5 5" xfId="18097"/>
    <cellStyle name="Total 17 6" xfId="18098"/>
    <cellStyle name="Total 17 6 2" xfId="18099"/>
    <cellStyle name="Total 17 6 2 2" xfId="18100"/>
    <cellStyle name="Total 17 6 3" xfId="18101"/>
    <cellStyle name="Total 17 6 3 2" xfId="18102"/>
    <cellStyle name="Total 17 6 4" xfId="18103"/>
    <cellStyle name="Total 17 7" xfId="18104"/>
    <cellStyle name="Total 17 7 2" xfId="18105"/>
    <cellStyle name="Total 17 8" xfId="18106"/>
    <cellStyle name="Total 17 8 2" xfId="18107"/>
    <cellStyle name="Total 17 9" xfId="18108"/>
    <cellStyle name="Total 17 9 2" xfId="18109"/>
    <cellStyle name="Total 18 12" xfId="18110"/>
    <cellStyle name="Total 18 10" xfId="18111"/>
    <cellStyle name="Total 18 11" xfId="18112"/>
    <cellStyle name="Total 18 2" xfId="18113"/>
    <cellStyle name="Total 18 2 2" xfId="18114"/>
    <cellStyle name="Total 18 2 2 2" xfId="18115"/>
    <cellStyle name="Total 18 2 3" xfId="18116"/>
    <cellStyle name="Total 18 2 3 2" xfId="18117"/>
    <cellStyle name="Total 18 2 4" xfId="18118"/>
    <cellStyle name="Total 18 2 5" xfId="18119"/>
    <cellStyle name="Total 18 3" xfId="18120"/>
    <cellStyle name="Total 18 3 2" xfId="18121"/>
    <cellStyle name="Total 18 3 2 2" xfId="18122"/>
    <cellStyle name="Total 18 3 3" xfId="18123"/>
    <cellStyle name="Total 18 3 3 2" xfId="18124"/>
    <cellStyle name="Total 18 3 4" xfId="18125"/>
    <cellStyle name="Total 18 4" xfId="18126"/>
    <cellStyle name="Total 18 4 2" xfId="18127"/>
    <cellStyle name="Total 18 4 2 2" xfId="18128"/>
    <cellStyle name="Total 18 4 3" xfId="18129"/>
    <cellStyle name="Total 18 4 3 2" xfId="18130"/>
    <cellStyle name="Total 18 4 4" xfId="18131"/>
    <cellStyle name="Total 18 5" xfId="18132"/>
    <cellStyle name="Total 18 5 2" xfId="18133"/>
    <cellStyle name="Total 18 5 2 2" xfId="18134"/>
    <cellStyle name="Total 18 5 3" xfId="18135"/>
    <cellStyle name="Total 18 5 3 2" xfId="18136"/>
    <cellStyle name="Total 18 5 4" xfId="18137"/>
    <cellStyle name="Total 18 5 4 2" xfId="18138"/>
    <cellStyle name="Total 18 5 5" xfId="18139"/>
    <cellStyle name="Total 18 6" xfId="18140"/>
    <cellStyle name="Total 18 6 2" xfId="18141"/>
    <cellStyle name="Total 18 6 2 2" xfId="18142"/>
    <cellStyle name="Total 18 6 3" xfId="18143"/>
    <cellStyle name="Total 18 6 3 2" xfId="18144"/>
    <cellStyle name="Total 18 6 4" xfId="18145"/>
    <cellStyle name="Total 18 7" xfId="18146"/>
    <cellStyle name="Total 18 7 2" xfId="18147"/>
    <cellStyle name="Total 18 8" xfId="18148"/>
    <cellStyle name="Total 18 8 2" xfId="18149"/>
    <cellStyle name="Total 18 9" xfId="18150"/>
    <cellStyle name="Total 18 9 2" xfId="18151"/>
    <cellStyle name="Total 19 12" xfId="18152"/>
    <cellStyle name="Total 19 10" xfId="18153"/>
    <cellStyle name="Total 19 11" xfId="18154"/>
    <cellStyle name="Total 19 2" xfId="18155"/>
    <cellStyle name="Total 19 2 2" xfId="18156"/>
    <cellStyle name="Total 19 2 2 2" xfId="18157"/>
    <cellStyle name="Total 19 2 3" xfId="18158"/>
    <cellStyle name="Total 19 2 3 2" xfId="18159"/>
    <cellStyle name="Total 19 2 4" xfId="18160"/>
    <cellStyle name="Total 19 2 5" xfId="18161"/>
    <cellStyle name="Total 19 3" xfId="18162"/>
    <cellStyle name="Total 19 3 2" xfId="18163"/>
    <cellStyle name="Total 19 3 2 2" xfId="18164"/>
    <cellStyle name="Total 19 3 3" xfId="18165"/>
    <cellStyle name="Total 19 3 3 2" xfId="18166"/>
    <cellStyle name="Total 19 3 4" xfId="18167"/>
    <cellStyle name="Total 19 4" xfId="18168"/>
    <cellStyle name="Total 19 4 2" xfId="18169"/>
    <cellStyle name="Total 19 4 2 2" xfId="18170"/>
    <cellStyle name="Total 19 4 3" xfId="18171"/>
    <cellStyle name="Total 19 4 3 2" xfId="18172"/>
    <cellStyle name="Total 19 4 4" xfId="18173"/>
    <cellStyle name="Total 19 5" xfId="18174"/>
    <cellStyle name="Total 19 5 2" xfId="18175"/>
    <cellStyle name="Total 19 5 2 2" xfId="18176"/>
    <cellStyle name="Total 19 5 3" xfId="18177"/>
    <cellStyle name="Total 19 5 3 2" xfId="18178"/>
    <cellStyle name="Total 19 5 4" xfId="18179"/>
    <cellStyle name="Total 19 5 4 2" xfId="18180"/>
    <cellStyle name="Total 19 5 5" xfId="18181"/>
    <cellStyle name="Total 19 6" xfId="18182"/>
    <cellStyle name="Total 19 6 2" xfId="18183"/>
    <cellStyle name="Total 19 6 2 2" xfId="18184"/>
    <cellStyle name="Total 19 6 3" xfId="18185"/>
    <cellStyle name="Total 19 6 3 2" xfId="18186"/>
    <cellStyle name="Total 19 6 4" xfId="18187"/>
    <cellStyle name="Total 19 7" xfId="18188"/>
    <cellStyle name="Total 19 7 2" xfId="18189"/>
    <cellStyle name="Total 19 8" xfId="18190"/>
    <cellStyle name="Total 19 8 2" xfId="18191"/>
    <cellStyle name="Total 19 9" xfId="18192"/>
    <cellStyle name="Total 19 9 2" xfId="18193"/>
    <cellStyle name="Total 2 22" xfId="18194"/>
    <cellStyle name="Total 2 10 11" xfId="18195"/>
    <cellStyle name="Total 2 10 10" xfId="18196"/>
    <cellStyle name="Total 2 10 2" xfId="18197"/>
    <cellStyle name="Total 2 10 2 2" xfId="18198"/>
    <cellStyle name="Total 2 10 2 2 2" xfId="18199"/>
    <cellStyle name="Total 2 10 2 3" xfId="18200"/>
    <cellStyle name="Total 2 10 2 3 2" xfId="18201"/>
    <cellStyle name="Total 2 10 2 4" xfId="18202"/>
    <cellStyle name="Total 2 10 3" xfId="18203"/>
    <cellStyle name="Total 2 10 3 2" xfId="18204"/>
    <cellStyle name="Total 2 10 3 2 2" xfId="18205"/>
    <cellStyle name="Total 2 10 3 3" xfId="18206"/>
    <cellStyle name="Total 2 10 3 3 2" xfId="18207"/>
    <cellStyle name="Total 2 10 3 4" xfId="18208"/>
    <cellStyle name="Total 2 10 4" xfId="18209"/>
    <cellStyle name="Total 2 10 4 2" xfId="18210"/>
    <cellStyle name="Total 2 10 4 2 2" xfId="18211"/>
    <cellStyle name="Total 2 10 4 3" xfId="18212"/>
    <cellStyle name="Total 2 10 4 3 2" xfId="18213"/>
    <cellStyle name="Total 2 10 4 4" xfId="18214"/>
    <cellStyle name="Total 2 10 4 4 2" xfId="18215"/>
    <cellStyle name="Total 2 10 4 5" xfId="18216"/>
    <cellStyle name="Total 2 10 5" xfId="18217"/>
    <cellStyle name="Total 2 10 5 2" xfId="18218"/>
    <cellStyle name="Total 2 10 5 2 2" xfId="18219"/>
    <cellStyle name="Total 2 10 5 3" xfId="18220"/>
    <cellStyle name="Total 2 10 5 3 2" xfId="18221"/>
    <cellStyle name="Total 2 10 5 4" xfId="18222"/>
    <cellStyle name="Total 2 10 6" xfId="18223"/>
    <cellStyle name="Total 2 10 6 2" xfId="18224"/>
    <cellStyle name="Total 2 10 7" xfId="18225"/>
    <cellStyle name="Total 2 10 7 2" xfId="18226"/>
    <cellStyle name="Total 2 10 8" xfId="18227"/>
    <cellStyle name="Total 2 10 8 2" xfId="18228"/>
    <cellStyle name="Total 2 10 9" xfId="18229"/>
    <cellStyle name="Total 2 11" xfId="18230"/>
    <cellStyle name="Total 2 11 10" xfId="18231"/>
    <cellStyle name="Total 2 11 2" xfId="18232"/>
    <cellStyle name="Total 2 11 2 2" xfId="18233"/>
    <cellStyle name="Total 2 11 2 2 2" xfId="18234"/>
    <cellStyle name="Total 2 11 2 3" xfId="18235"/>
    <cellStyle name="Total 2 11 2 3 2" xfId="18236"/>
    <cellStyle name="Total 2 11 2 4" xfId="18237"/>
    <cellStyle name="Total 2 11 3" xfId="18238"/>
    <cellStyle name="Total 2 11 3 2" xfId="18239"/>
    <cellStyle name="Total 2 11 3 2 2" xfId="18240"/>
    <cellStyle name="Total 2 11 3 3" xfId="18241"/>
    <cellStyle name="Total 2 11 3 3 2" xfId="18242"/>
    <cellStyle name="Total 2 11 3 4" xfId="18243"/>
    <cellStyle name="Total 2 11 4" xfId="18244"/>
    <cellStyle name="Total 2 11 4 2" xfId="18245"/>
    <cellStyle name="Total 2 11 4 2 2" xfId="18246"/>
    <cellStyle name="Total 2 11 4 3" xfId="18247"/>
    <cellStyle name="Total 2 11 4 3 2" xfId="18248"/>
    <cellStyle name="Total 2 11 4 4" xfId="18249"/>
    <cellStyle name="Total 2 11 4 4 2" xfId="18250"/>
    <cellStyle name="Total 2 11 4 5" xfId="18251"/>
    <cellStyle name="Total 2 11 5" xfId="18252"/>
    <cellStyle name="Total 2 11 5 2" xfId="18253"/>
    <cellStyle name="Total 2 11 5 2 2" xfId="18254"/>
    <cellStyle name="Total 2 11 5 3" xfId="18255"/>
    <cellStyle name="Total 2 11 5 3 2" xfId="18256"/>
    <cellStyle name="Total 2 11 5 4" xfId="18257"/>
    <cellStyle name="Total 2 11 6" xfId="18258"/>
    <cellStyle name="Total 2 11 6 2" xfId="18259"/>
    <cellStyle name="Total 2 11 7" xfId="18260"/>
    <cellStyle name="Total 2 11 7 2" xfId="18261"/>
    <cellStyle name="Total 2 11 8" xfId="18262"/>
    <cellStyle name="Total 2 11 8 2" xfId="18263"/>
    <cellStyle name="Total 2 11 9" xfId="18264"/>
    <cellStyle name="Total 2 12" xfId="18265"/>
    <cellStyle name="Total 2 12 2" xfId="18266"/>
    <cellStyle name="Total 2 12 2 2" xfId="18267"/>
    <cellStyle name="Total 2 12 3" xfId="18268"/>
    <cellStyle name="Total 2 12 3 2" xfId="18269"/>
    <cellStyle name="Total 2 12 4" xfId="18270"/>
    <cellStyle name="Total 2 12 5" xfId="18271"/>
    <cellStyle name="Total 2 13" xfId="18272"/>
    <cellStyle name="Total 2 13 2" xfId="18273"/>
    <cellStyle name="Total 2 13 2 2" xfId="18274"/>
    <cellStyle name="Total 2 13 3" xfId="18275"/>
    <cellStyle name="Total 2 13 3 2" xfId="18276"/>
    <cellStyle name="Total 2 13 4" xfId="18277"/>
    <cellStyle name="Total 2 14" xfId="18278"/>
    <cellStyle name="Total 2 14 2" xfId="18279"/>
    <cellStyle name="Total 2 14 2 2" xfId="18280"/>
    <cellStyle name="Total 2 14 3" xfId="18281"/>
    <cellStyle name="Total 2 14 3 2" xfId="18282"/>
    <cellStyle name="Total 2 14 4" xfId="18283"/>
    <cellStyle name="Total 2 15" xfId="18284"/>
    <cellStyle name="Total 2 15 2" xfId="18285"/>
    <cellStyle name="Total 2 15 2 2" xfId="18286"/>
    <cellStyle name="Total 2 15 3" xfId="18287"/>
    <cellStyle name="Total 2 15 3 2" xfId="18288"/>
    <cellStyle name="Total 2 15 4" xfId="18289"/>
    <cellStyle name="Total 2 15 4 2" xfId="18290"/>
    <cellStyle name="Total 2 15 5" xfId="18291"/>
    <cellStyle name="Total 2 16" xfId="18292"/>
    <cellStyle name="Total 2 16 2" xfId="18293"/>
    <cellStyle name="Total 2 16 2 2" xfId="18294"/>
    <cellStyle name="Total 2 16 3" xfId="18295"/>
    <cellStyle name="Total 2 16 3 2" xfId="18296"/>
    <cellStyle name="Total 2 16 4" xfId="18297"/>
    <cellStyle name="Total 2 17" xfId="18298"/>
    <cellStyle name="Total 2 17 2" xfId="18299"/>
    <cellStyle name="Total 2 18" xfId="18300"/>
    <cellStyle name="Total 2 18 2" xfId="18301"/>
    <cellStyle name="Total 2 19" xfId="18302"/>
    <cellStyle name="Total 2 19 2" xfId="18303"/>
    <cellStyle name="Total 2 2 11" xfId="18304"/>
    <cellStyle name="Total 2 2 10" xfId="18305"/>
    <cellStyle name="Total 2 2 2" xfId="18306"/>
    <cellStyle name="Total 2 2 2 2" xfId="18307"/>
    <cellStyle name="Total 2 2 2 2 2" xfId="18308"/>
    <cellStyle name="Total 2 2 2 3" xfId="18309"/>
    <cellStyle name="Total 2 2 2 3 2" xfId="18310"/>
    <cellStyle name="Total 2 2 2 4" xfId="18311"/>
    <cellStyle name="Total 2 2 3" xfId="18312"/>
    <cellStyle name="Total 2 2 3 2" xfId="18313"/>
    <cellStyle name="Total 2 2 3 2 2" xfId="18314"/>
    <cellStyle name="Total 2 2 3 3" xfId="18315"/>
    <cellStyle name="Total 2 2 3 3 2" xfId="18316"/>
    <cellStyle name="Total 2 2 3 4" xfId="18317"/>
    <cellStyle name="Total 2 2 4" xfId="18318"/>
    <cellStyle name="Total 2 2 4 2" xfId="18319"/>
    <cellStyle name="Total 2 2 4 2 2" xfId="18320"/>
    <cellStyle name="Total 2 2 4 3" xfId="18321"/>
    <cellStyle name="Total 2 2 4 3 2" xfId="18322"/>
    <cellStyle name="Total 2 2 4 4" xfId="18323"/>
    <cellStyle name="Total 2 2 4 4 2" xfId="18324"/>
    <cellStyle name="Total 2 2 4 5" xfId="18325"/>
    <cellStyle name="Total 2 2 5" xfId="18326"/>
    <cellStyle name="Total 2 2 5 2" xfId="18327"/>
    <cellStyle name="Total 2 2 5 2 2" xfId="18328"/>
    <cellStyle name="Total 2 2 5 3" xfId="18329"/>
    <cellStyle name="Total 2 2 5 3 2" xfId="18330"/>
    <cellStyle name="Total 2 2 5 4" xfId="18331"/>
    <cellStyle name="Total 2 2 6" xfId="18332"/>
    <cellStyle name="Total 2 2 6 2" xfId="18333"/>
    <cellStyle name="Total 2 2 7" xfId="18334"/>
    <cellStyle name="Total 2 2 7 2" xfId="18335"/>
    <cellStyle name="Total 2 2 8" xfId="18336"/>
    <cellStyle name="Total 2 2 8 2" xfId="18337"/>
    <cellStyle name="Total 2 2 9" xfId="18338"/>
    <cellStyle name="Total 2 20" xfId="18339"/>
    <cellStyle name="Total 2 21" xfId="18340"/>
    <cellStyle name="Total 2 3 11" xfId="18341"/>
    <cellStyle name="Total 2 3 10" xfId="18342"/>
    <cellStyle name="Total 2 3 2" xfId="18343"/>
    <cellStyle name="Total 2 3 2 2" xfId="18344"/>
    <cellStyle name="Total 2 3 2 2 2" xfId="18345"/>
    <cellStyle name="Total 2 3 2 3" xfId="18346"/>
    <cellStyle name="Total 2 3 2 3 2" xfId="18347"/>
    <cellStyle name="Total 2 3 2 4" xfId="18348"/>
    <cellStyle name="Total 2 3 3" xfId="18349"/>
    <cellStyle name="Total 2 3 3 2" xfId="18350"/>
    <cellStyle name="Total 2 3 3 2 2" xfId="18351"/>
    <cellStyle name="Total 2 3 3 3" xfId="18352"/>
    <cellStyle name="Total 2 3 3 3 2" xfId="18353"/>
    <cellStyle name="Total 2 3 3 4" xfId="18354"/>
    <cellStyle name="Total 2 3 4" xfId="18355"/>
    <cellStyle name="Total 2 3 4 2" xfId="18356"/>
    <cellStyle name="Total 2 3 4 2 2" xfId="18357"/>
    <cellStyle name="Total 2 3 4 3" xfId="18358"/>
    <cellStyle name="Total 2 3 4 3 2" xfId="18359"/>
    <cellStyle name="Total 2 3 4 4" xfId="18360"/>
    <cellStyle name="Total 2 3 4 4 2" xfId="18361"/>
    <cellStyle name="Total 2 3 4 5" xfId="18362"/>
    <cellStyle name="Total 2 3 5" xfId="18363"/>
    <cellStyle name="Total 2 3 5 2" xfId="18364"/>
    <cellStyle name="Total 2 3 5 2 2" xfId="18365"/>
    <cellStyle name="Total 2 3 5 3" xfId="18366"/>
    <cellStyle name="Total 2 3 5 3 2" xfId="18367"/>
    <cellStyle name="Total 2 3 5 4" xfId="18368"/>
    <cellStyle name="Total 2 3 6" xfId="18369"/>
    <cellStyle name="Total 2 3 6 2" xfId="18370"/>
    <cellStyle name="Total 2 3 7" xfId="18371"/>
    <cellStyle name="Total 2 3 7 2" xfId="18372"/>
    <cellStyle name="Total 2 3 8" xfId="18373"/>
    <cellStyle name="Total 2 3 8 2" xfId="18374"/>
    <cellStyle name="Total 2 3 9" xfId="18375"/>
    <cellStyle name="Total 2 4 11" xfId="18376"/>
    <cellStyle name="Total 2 4 10" xfId="18377"/>
    <cellStyle name="Total 2 4 2" xfId="18378"/>
    <cellStyle name="Total 2 4 2 2" xfId="18379"/>
    <cellStyle name="Total 2 4 2 2 2" xfId="18380"/>
    <cellStyle name="Total 2 4 2 3" xfId="18381"/>
    <cellStyle name="Total 2 4 2 3 2" xfId="18382"/>
    <cellStyle name="Total 2 4 2 4" xfId="18383"/>
    <cellStyle name="Total 2 4 3" xfId="18384"/>
    <cellStyle name="Total 2 4 3 2" xfId="18385"/>
    <cellStyle name="Total 2 4 3 2 2" xfId="18386"/>
    <cellStyle name="Total 2 4 3 3" xfId="18387"/>
    <cellStyle name="Total 2 4 3 3 2" xfId="18388"/>
    <cellStyle name="Total 2 4 3 4" xfId="18389"/>
    <cellStyle name="Total 2 4 4" xfId="18390"/>
    <cellStyle name="Total 2 4 4 2" xfId="18391"/>
    <cellStyle name="Total 2 4 4 2 2" xfId="18392"/>
    <cellStyle name="Total 2 4 4 3" xfId="18393"/>
    <cellStyle name="Total 2 4 4 3 2" xfId="18394"/>
    <cellStyle name="Total 2 4 4 4" xfId="18395"/>
    <cellStyle name="Total 2 4 4 4 2" xfId="18396"/>
    <cellStyle name="Total 2 4 4 5" xfId="18397"/>
    <cellStyle name="Total 2 4 5" xfId="18398"/>
    <cellStyle name="Total 2 4 5 2" xfId="18399"/>
    <cellStyle name="Total 2 4 5 2 2" xfId="18400"/>
    <cellStyle name="Total 2 4 5 3" xfId="18401"/>
    <cellStyle name="Total 2 4 5 3 2" xfId="18402"/>
    <cellStyle name="Total 2 4 5 4" xfId="18403"/>
    <cellStyle name="Total 2 4 6" xfId="18404"/>
    <cellStyle name="Total 2 4 6 2" xfId="18405"/>
    <cellStyle name="Total 2 4 7" xfId="18406"/>
    <cellStyle name="Total 2 4 7 2" xfId="18407"/>
    <cellStyle name="Total 2 4 8" xfId="18408"/>
    <cellStyle name="Total 2 4 8 2" xfId="18409"/>
    <cellStyle name="Total 2 4 9" xfId="18410"/>
    <cellStyle name="Total 2 5 11" xfId="18411"/>
    <cellStyle name="Total 2 5 10" xfId="18412"/>
    <cellStyle name="Total 2 5 2" xfId="18413"/>
    <cellStyle name="Total 2 5 2 2" xfId="18414"/>
    <cellStyle name="Total 2 5 2 2 2" xfId="18415"/>
    <cellStyle name="Total 2 5 2 3" xfId="18416"/>
    <cellStyle name="Total 2 5 2 3 2" xfId="18417"/>
    <cellStyle name="Total 2 5 2 4" xfId="18418"/>
    <cellStyle name="Total 2 5 3" xfId="18419"/>
    <cellStyle name="Total 2 5 3 2" xfId="18420"/>
    <cellStyle name="Total 2 5 3 2 2" xfId="18421"/>
    <cellStyle name="Total 2 5 3 3" xfId="18422"/>
    <cellStyle name="Total 2 5 3 3 2" xfId="18423"/>
    <cellStyle name="Total 2 5 3 4" xfId="18424"/>
    <cellStyle name="Total 2 5 4" xfId="18425"/>
    <cellStyle name="Total 2 5 4 2" xfId="18426"/>
    <cellStyle name="Total 2 5 4 2 2" xfId="18427"/>
    <cellStyle name="Total 2 5 4 3" xfId="18428"/>
    <cellStyle name="Total 2 5 4 3 2" xfId="18429"/>
    <cellStyle name="Total 2 5 4 4" xfId="18430"/>
    <cellStyle name="Total 2 5 4 4 2" xfId="18431"/>
    <cellStyle name="Total 2 5 4 5" xfId="18432"/>
    <cellStyle name="Total 2 5 5" xfId="18433"/>
    <cellStyle name="Total 2 5 5 2" xfId="18434"/>
    <cellStyle name="Total 2 5 5 2 2" xfId="18435"/>
    <cellStyle name="Total 2 5 5 3" xfId="18436"/>
    <cellStyle name="Total 2 5 5 3 2" xfId="18437"/>
    <cellStyle name="Total 2 5 5 4" xfId="18438"/>
    <cellStyle name="Total 2 5 6" xfId="18439"/>
    <cellStyle name="Total 2 5 6 2" xfId="18440"/>
    <cellStyle name="Total 2 5 7" xfId="18441"/>
    <cellStyle name="Total 2 5 7 2" xfId="18442"/>
    <cellStyle name="Total 2 5 8" xfId="18443"/>
    <cellStyle name="Total 2 5 8 2" xfId="18444"/>
    <cellStyle name="Total 2 5 9" xfId="18445"/>
    <cellStyle name="Total 2 6 11" xfId="18446"/>
    <cellStyle name="Total 2 6 10" xfId="18447"/>
    <cellStyle name="Total 2 6 2" xfId="18448"/>
    <cellStyle name="Total 2 6 2 2" xfId="18449"/>
    <cellStyle name="Total 2 6 2 2 2" xfId="18450"/>
    <cellStyle name="Total 2 6 2 3" xfId="18451"/>
    <cellStyle name="Total 2 6 2 3 2" xfId="18452"/>
    <cellStyle name="Total 2 6 2 4" xfId="18453"/>
    <cellStyle name="Total 2 6 3" xfId="18454"/>
    <cellStyle name="Total 2 6 3 2" xfId="18455"/>
    <cellStyle name="Total 2 6 3 2 2" xfId="18456"/>
    <cellStyle name="Total 2 6 3 3" xfId="18457"/>
    <cellStyle name="Total 2 6 3 3 2" xfId="18458"/>
    <cellStyle name="Total 2 6 3 4" xfId="18459"/>
    <cellStyle name="Total 2 6 4" xfId="18460"/>
    <cellStyle name="Total 2 6 4 2" xfId="18461"/>
    <cellStyle name="Total 2 6 4 2 2" xfId="18462"/>
    <cellStyle name="Total 2 6 4 3" xfId="18463"/>
    <cellStyle name="Total 2 6 4 3 2" xfId="18464"/>
    <cellStyle name="Total 2 6 4 4" xfId="18465"/>
    <cellStyle name="Total 2 6 4 4 2" xfId="18466"/>
    <cellStyle name="Total 2 6 4 5" xfId="18467"/>
    <cellStyle name="Total 2 6 5" xfId="18468"/>
    <cellStyle name="Total 2 6 5 2" xfId="18469"/>
    <cellStyle name="Total 2 6 5 2 2" xfId="18470"/>
    <cellStyle name="Total 2 6 5 3" xfId="18471"/>
    <cellStyle name="Total 2 6 5 3 2" xfId="18472"/>
    <cellStyle name="Total 2 6 5 4" xfId="18473"/>
    <cellStyle name="Total 2 6 6" xfId="18474"/>
    <cellStyle name="Total 2 6 6 2" xfId="18475"/>
    <cellStyle name="Total 2 6 7" xfId="18476"/>
    <cellStyle name="Total 2 6 7 2" xfId="18477"/>
    <cellStyle name="Total 2 6 8" xfId="18478"/>
    <cellStyle name="Total 2 6 8 2" xfId="18479"/>
    <cellStyle name="Total 2 6 9" xfId="18480"/>
    <cellStyle name="Total 2 7 11" xfId="18481"/>
    <cellStyle name="Total 2 7 10" xfId="18482"/>
    <cellStyle name="Total 2 7 2" xfId="18483"/>
    <cellStyle name="Total 2 7 2 2" xfId="18484"/>
    <cellStyle name="Total 2 7 2 2 2" xfId="18485"/>
    <cellStyle name="Total 2 7 2 3" xfId="18486"/>
    <cellStyle name="Total 2 7 2 3 2" xfId="18487"/>
    <cellStyle name="Total 2 7 2 4" xfId="18488"/>
    <cellStyle name="Total 2 7 3" xfId="18489"/>
    <cellStyle name="Total 2 7 3 2" xfId="18490"/>
    <cellStyle name="Total 2 7 3 2 2" xfId="18491"/>
    <cellStyle name="Total 2 7 3 3" xfId="18492"/>
    <cellStyle name="Total 2 7 3 3 2" xfId="18493"/>
    <cellStyle name="Total 2 7 3 4" xfId="18494"/>
    <cellStyle name="Total 2 7 4" xfId="18495"/>
    <cellStyle name="Total 2 7 4 2" xfId="18496"/>
    <cellStyle name="Total 2 7 4 2 2" xfId="18497"/>
    <cellStyle name="Total 2 7 4 3" xfId="18498"/>
    <cellStyle name="Total 2 7 4 3 2" xfId="18499"/>
    <cellStyle name="Total 2 7 4 4" xfId="18500"/>
    <cellStyle name="Total 2 7 4 4 2" xfId="18501"/>
    <cellStyle name="Total 2 7 4 5" xfId="18502"/>
    <cellStyle name="Total 2 7 5" xfId="18503"/>
    <cellStyle name="Total 2 7 5 2" xfId="18504"/>
    <cellStyle name="Total 2 7 5 2 2" xfId="18505"/>
    <cellStyle name="Total 2 7 5 3" xfId="18506"/>
    <cellStyle name="Total 2 7 5 3 2" xfId="18507"/>
    <cellStyle name="Total 2 7 5 4" xfId="18508"/>
    <cellStyle name="Total 2 7 6" xfId="18509"/>
    <cellStyle name="Total 2 7 6 2" xfId="18510"/>
    <cellStyle name="Total 2 7 7" xfId="18511"/>
    <cellStyle name="Total 2 7 7 2" xfId="18512"/>
    <cellStyle name="Total 2 7 8" xfId="18513"/>
    <cellStyle name="Total 2 7 8 2" xfId="18514"/>
    <cellStyle name="Total 2 7 9" xfId="18515"/>
    <cellStyle name="Total 2 8 11" xfId="18516"/>
    <cellStyle name="Total 2 8 10" xfId="18517"/>
    <cellStyle name="Total 2 8 2" xfId="18518"/>
    <cellStyle name="Total 2 8 2 2" xfId="18519"/>
    <cellStyle name="Total 2 8 2 2 2" xfId="18520"/>
    <cellStyle name="Total 2 8 2 3" xfId="18521"/>
    <cellStyle name="Total 2 8 2 3 2" xfId="18522"/>
    <cellStyle name="Total 2 8 2 4" xfId="18523"/>
    <cellStyle name="Total 2 8 3" xfId="18524"/>
    <cellStyle name="Total 2 8 3 2" xfId="18525"/>
    <cellStyle name="Total 2 8 3 2 2" xfId="18526"/>
    <cellStyle name="Total 2 8 3 3" xfId="18527"/>
    <cellStyle name="Total 2 8 3 3 2" xfId="18528"/>
    <cellStyle name="Total 2 8 3 4" xfId="18529"/>
    <cellStyle name="Total 2 8 4" xfId="18530"/>
    <cellStyle name="Total 2 8 4 2" xfId="18531"/>
    <cellStyle name="Total 2 8 4 2 2" xfId="18532"/>
    <cellStyle name="Total 2 8 4 3" xfId="18533"/>
    <cellStyle name="Total 2 8 4 3 2" xfId="18534"/>
    <cellStyle name="Total 2 8 4 4" xfId="18535"/>
    <cellStyle name="Total 2 8 4 4 2" xfId="18536"/>
    <cellStyle name="Total 2 8 4 5" xfId="18537"/>
    <cellStyle name="Total 2 8 5" xfId="18538"/>
    <cellStyle name="Total 2 8 5 2" xfId="18539"/>
    <cellStyle name="Total 2 8 5 2 2" xfId="18540"/>
    <cellStyle name="Total 2 8 5 3" xfId="18541"/>
    <cellStyle name="Total 2 8 5 3 2" xfId="18542"/>
    <cellStyle name="Total 2 8 5 4" xfId="18543"/>
    <cellStyle name="Total 2 8 6" xfId="18544"/>
    <cellStyle name="Total 2 8 6 2" xfId="18545"/>
    <cellStyle name="Total 2 8 7" xfId="18546"/>
    <cellStyle name="Total 2 8 7 2" xfId="18547"/>
    <cellStyle name="Total 2 8 8" xfId="18548"/>
    <cellStyle name="Total 2 8 8 2" xfId="18549"/>
    <cellStyle name="Total 2 8 9" xfId="18550"/>
    <cellStyle name="Total 2 9 11" xfId="18551"/>
    <cellStyle name="Total 2 9 10" xfId="18552"/>
    <cellStyle name="Total 2 9 2" xfId="18553"/>
    <cellStyle name="Total 2 9 2 2" xfId="18554"/>
    <cellStyle name="Total 2 9 2 2 2" xfId="18555"/>
    <cellStyle name="Total 2 9 2 3" xfId="18556"/>
    <cellStyle name="Total 2 9 2 3 2" xfId="18557"/>
    <cellStyle name="Total 2 9 2 4" xfId="18558"/>
    <cellStyle name="Total 2 9 3" xfId="18559"/>
    <cellStyle name="Total 2 9 3 2" xfId="18560"/>
    <cellStyle name="Total 2 9 3 2 2" xfId="18561"/>
    <cellStyle name="Total 2 9 3 3" xfId="18562"/>
    <cellStyle name="Total 2 9 3 3 2" xfId="18563"/>
    <cellStyle name="Total 2 9 3 4" xfId="18564"/>
    <cellStyle name="Total 2 9 4" xfId="18565"/>
    <cellStyle name="Total 2 9 4 2" xfId="18566"/>
    <cellStyle name="Total 2 9 4 2 2" xfId="18567"/>
    <cellStyle name="Total 2 9 4 3" xfId="18568"/>
    <cellStyle name="Total 2 9 4 3 2" xfId="18569"/>
    <cellStyle name="Total 2 9 4 4" xfId="18570"/>
    <cellStyle name="Total 2 9 4 4 2" xfId="18571"/>
    <cellStyle name="Total 2 9 4 5" xfId="18572"/>
    <cellStyle name="Total 2 9 5" xfId="18573"/>
    <cellStyle name="Total 2 9 5 2" xfId="18574"/>
    <cellStyle name="Total 2 9 5 2 2" xfId="18575"/>
    <cellStyle name="Total 2 9 5 3" xfId="18576"/>
    <cellStyle name="Total 2 9 5 3 2" xfId="18577"/>
    <cellStyle name="Total 2 9 5 4" xfId="18578"/>
    <cellStyle name="Total 2 9 6" xfId="18579"/>
    <cellStyle name="Total 2 9 6 2" xfId="18580"/>
    <cellStyle name="Total 2 9 7" xfId="18581"/>
    <cellStyle name="Total 2 9 7 2" xfId="18582"/>
    <cellStyle name="Total 2 9 8" xfId="18583"/>
    <cellStyle name="Total 2 9 8 2" xfId="18584"/>
    <cellStyle name="Total 2 9 9" xfId="18585"/>
    <cellStyle name="Total 20 12" xfId="18586"/>
    <cellStyle name="Total 20 10" xfId="18587"/>
    <cellStyle name="Total 20 11" xfId="18588"/>
    <cellStyle name="Total 20 2" xfId="18589"/>
    <cellStyle name="Total 20 2 2" xfId="18590"/>
    <cellStyle name="Total 20 2 2 2" xfId="18591"/>
    <cellStyle name="Total 20 2 3" xfId="18592"/>
    <cellStyle name="Total 20 2 3 2" xfId="18593"/>
    <cellStyle name="Total 20 2 4" xfId="18594"/>
    <cellStyle name="Total 20 2 5" xfId="18595"/>
    <cellStyle name="Total 20 3" xfId="18596"/>
    <cellStyle name="Total 20 3 2" xfId="18597"/>
    <cellStyle name="Total 20 3 2 2" xfId="18598"/>
    <cellStyle name="Total 20 3 3" xfId="18599"/>
    <cellStyle name="Total 20 3 3 2" xfId="18600"/>
    <cellStyle name="Total 20 3 4" xfId="18601"/>
    <cellStyle name="Total 20 4" xfId="18602"/>
    <cellStyle name="Total 20 4 2" xfId="18603"/>
    <cellStyle name="Total 20 4 2 2" xfId="18604"/>
    <cellStyle name="Total 20 4 3" xfId="18605"/>
    <cellStyle name="Total 20 4 3 2" xfId="18606"/>
    <cellStyle name="Total 20 4 4" xfId="18607"/>
    <cellStyle name="Total 20 5" xfId="18608"/>
    <cellStyle name="Total 20 5 2" xfId="18609"/>
    <cellStyle name="Total 20 5 2 2" xfId="18610"/>
    <cellStyle name="Total 20 5 3" xfId="18611"/>
    <cellStyle name="Total 20 5 3 2" xfId="18612"/>
    <cellStyle name="Total 20 5 4" xfId="18613"/>
    <cellStyle name="Total 20 5 4 2" xfId="18614"/>
    <cellStyle name="Total 20 5 5" xfId="18615"/>
    <cellStyle name="Total 20 6" xfId="18616"/>
    <cellStyle name="Total 20 6 2" xfId="18617"/>
    <cellStyle name="Total 20 6 2 2" xfId="18618"/>
    <cellStyle name="Total 20 6 3" xfId="18619"/>
    <cellStyle name="Total 20 6 3 2" xfId="18620"/>
    <cellStyle name="Total 20 6 4" xfId="18621"/>
    <cellStyle name="Total 20 7" xfId="18622"/>
    <cellStyle name="Total 20 7 2" xfId="18623"/>
    <cellStyle name="Total 20 8" xfId="18624"/>
    <cellStyle name="Total 20 8 2" xfId="18625"/>
    <cellStyle name="Total 20 9" xfId="18626"/>
    <cellStyle name="Total 20 9 2" xfId="18627"/>
    <cellStyle name="Total 21 12" xfId="18628"/>
    <cellStyle name="Total 21 10" xfId="18629"/>
    <cellStyle name="Total 21 11" xfId="18630"/>
    <cellStyle name="Total 21 2" xfId="18631"/>
    <cellStyle name="Total 21 2 2" xfId="18632"/>
    <cellStyle name="Total 21 2 2 2" xfId="18633"/>
    <cellStyle name="Total 21 2 3" xfId="18634"/>
    <cellStyle name="Total 21 2 3 2" xfId="18635"/>
    <cellStyle name="Total 21 2 4" xfId="18636"/>
    <cellStyle name="Total 21 2 5" xfId="18637"/>
    <cellStyle name="Total 21 3" xfId="18638"/>
    <cellStyle name="Total 21 3 2" xfId="18639"/>
    <cellStyle name="Total 21 3 2 2" xfId="18640"/>
    <cellStyle name="Total 21 3 3" xfId="18641"/>
    <cellStyle name="Total 21 3 3 2" xfId="18642"/>
    <cellStyle name="Total 21 3 4" xfId="18643"/>
    <cellStyle name="Total 21 4" xfId="18644"/>
    <cellStyle name="Total 21 4 2" xfId="18645"/>
    <cellStyle name="Total 21 4 2 2" xfId="18646"/>
    <cellStyle name="Total 21 4 3" xfId="18647"/>
    <cellStyle name="Total 21 4 3 2" xfId="18648"/>
    <cellStyle name="Total 21 4 4" xfId="18649"/>
    <cellStyle name="Total 21 5" xfId="18650"/>
    <cellStyle name="Total 21 5 2" xfId="18651"/>
    <cellStyle name="Total 21 5 2 2" xfId="18652"/>
    <cellStyle name="Total 21 5 3" xfId="18653"/>
    <cellStyle name="Total 21 5 3 2" xfId="18654"/>
    <cellStyle name="Total 21 5 4" xfId="18655"/>
    <cellStyle name="Total 21 5 4 2" xfId="18656"/>
    <cellStyle name="Total 21 5 5" xfId="18657"/>
    <cellStyle name="Total 21 6" xfId="18658"/>
    <cellStyle name="Total 21 6 2" xfId="18659"/>
    <cellStyle name="Total 21 6 2 2" xfId="18660"/>
    <cellStyle name="Total 21 6 3" xfId="18661"/>
    <cellStyle name="Total 21 6 3 2" xfId="18662"/>
    <cellStyle name="Total 21 6 4" xfId="18663"/>
    <cellStyle name="Total 21 7" xfId="18664"/>
    <cellStyle name="Total 21 7 2" xfId="18665"/>
    <cellStyle name="Total 21 8" xfId="18666"/>
    <cellStyle name="Total 21 8 2" xfId="18667"/>
    <cellStyle name="Total 21 9" xfId="18668"/>
    <cellStyle name="Total 21 9 2" xfId="18669"/>
    <cellStyle name="Total 22 12" xfId="18670"/>
    <cellStyle name="Total 22 10" xfId="18671"/>
    <cellStyle name="Total 22 11" xfId="18672"/>
    <cellStyle name="Total 22 2" xfId="18673"/>
    <cellStyle name="Total 22 2 2" xfId="18674"/>
    <cellStyle name="Total 22 2 2 2" xfId="18675"/>
    <cellStyle name="Total 22 2 3" xfId="18676"/>
    <cellStyle name="Total 22 2 3 2" xfId="18677"/>
    <cellStyle name="Total 22 2 4" xfId="18678"/>
    <cellStyle name="Total 22 2 5" xfId="18679"/>
    <cellStyle name="Total 22 3" xfId="18680"/>
    <cellStyle name="Total 22 3 2" xfId="18681"/>
    <cellStyle name="Total 22 3 2 2" xfId="18682"/>
    <cellStyle name="Total 22 3 3" xfId="18683"/>
    <cellStyle name="Total 22 3 3 2" xfId="18684"/>
    <cellStyle name="Total 22 3 4" xfId="18685"/>
    <cellStyle name="Total 22 4" xfId="18686"/>
    <cellStyle name="Total 22 4 2" xfId="18687"/>
    <cellStyle name="Total 22 4 2 2" xfId="18688"/>
    <cellStyle name="Total 22 4 3" xfId="18689"/>
    <cellStyle name="Total 22 4 3 2" xfId="18690"/>
    <cellStyle name="Total 22 4 4" xfId="18691"/>
    <cellStyle name="Total 22 5" xfId="18692"/>
    <cellStyle name="Total 22 5 2" xfId="18693"/>
    <cellStyle name="Total 22 5 2 2" xfId="18694"/>
    <cellStyle name="Total 22 5 3" xfId="18695"/>
    <cellStyle name="Total 22 5 3 2" xfId="18696"/>
    <cellStyle name="Total 22 5 4" xfId="18697"/>
    <cellStyle name="Total 22 5 4 2" xfId="18698"/>
    <cellStyle name="Total 22 5 5" xfId="18699"/>
    <cellStyle name="Total 22 6" xfId="18700"/>
    <cellStyle name="Total 22 6 2" xfId="18701"/>
    <cellStyle name="Total 22 6 2 2" xfId="18702"/>
    <cellStyle name="Total 22 6 3" xfId="18703"/>
    <cellStyle name="Total 22 6 3 2" xfId="18704"/>
    <cellStyle name="Total 22 6 4" xfId="18705"/>
    <cellStyle name="Total 22 7" xfId="18706"/>
    <cellStyle name="Total 22 7 2" xfId="18707"/>
    <cellStyle name="Total 22 8" xfId="18708"/>
    <cellStyle name="Total 22 8 2" xfId="18709"/>
    <cellStyle name="Total 22 9" xfId="18710"/>
    <cellStyle name="Total 22 9 2" xfId="18711"/>
    <cellStyle name="Total 23 12" xfId="18712"/>
    <cellStyle name="Total 23 10" xfId="18713"/>
    <cellStyle name="Total 23 11" xfId="18714"/>
    <cellStyle name="Total 23 2" xfId="18715"/>
    <cellStyle name="Total 23 2 2" xfId="18716"/>
    <cellStyle name="Total 23 2 2 2" xfId="18717"/>
    <cellStyle name="Total 23 2 3" xfId="18718"/>
    <cellStyle name="Total 23 2 3 2" xfId="18719"/>
    <cellStyle name="Total 23 2 4" xfId="18720"/>
    <cellStyle name="Total 23 2 5" xfId="18721"/>
    <cellStyle name="Total 23 3" xfId="18722"/>
    <cellStyle name="Total 23 3 2" xfId="18723"/>
    <cellStyle name="Total 23 3 2 2" xfId="18724"/>
    <cellStyle name="Total 23 3 3" xfId="18725"/>
    <cellStyle name="Total 23 3 3 2" xfId="18726"/>
    <cellStyle name="Total 23 3 4" xfId="18727"/>
    <cellStyle name="Total 23 4" xfId="18728"/>
    <cellStyle name="Total 23 4 2" xfId="18729"/>
    <cellStyle name="Total 23 4 2 2" xfId="18730"/>
    <cellStyle name="Total 23 4 3" xfId="18731"/>
    <cellStyle name="Total 23 4 3 2" xfId="18732"/>
    <cellStyle name="Total 23 4 4" xfId="18733"/>
    <cellStyle name="Total 23 5" xfId="18734"/>
    <cellStyle name="Total 23 5 2" xfId="18735"/>
    <cellStyle name="Total 23 5 2 2" xfId="18736"/>
    <cellStyle name="Total 23 5 3" xfId="18737"/>
    <cellStyle name="Total 23 5 3 2" xfId="18738"/>
    <cellStyle name="Total 23 5 4" xfId="18739"/>
    <cellStyle name="Total 23 5 4 2" xfId="18740"/>
    <cellStyle name="Total 23 5 5" xfId="18741"/>
    <cellStyle name="Total 23 6" xfId="18742"/>
    <cellStyle name="Total 23 6 2" xfId="18743"/>
    <cellStyle name="Total 23 6 2 2" xfId="18744"/>
    <cellStyle name="Total 23 6 3" xfId="18745"/>
    <cellStyle name="Total 23 6 3 2" xfId="18746"/>
    <cellStyle name="Total 23 6 4" xfId="18747"/>
    <cellStyle name="Total 23 7" xfId="18748"/>
    <cellStyle name="Total 23 7 2" xfId="18749"/>
    <cellStyle name="Total 23 8" xfId="18750"/>
    <cellStyle name="Total 23 8 2" xfId="18751"/>
    <cellStyle name="Total 23 9" xfId="18752"/>
    <cellStyle name="Total 23 9 2" xfId="18753"/>
    <cellStyle name="Total 24 12" xfId="18754"/>
    <cellStyle name="Total 24 10" xfId="18755"/>
    <cellStyle name="Total 24 11" xfId="18756"/>
    <cellStyle name="Total 24 2" xfId="18757"/>
    <cellStyle name="Total 24 2 2" xfId="18758"/>
    <cellStyle name="Total 24 2 2 2" xfId="18759"/>
    <cellStyle name="Total 24 2 3" xfId="18760"/>
    <cellStyle name="Total 24 2 3 2" xfId="18761"/>
    <cellStyle name="Total 24 2 4" xfId="18762"/>
    <cellStyle name="Total 24 2 5" xfId="18763"/>
    <cellStyle name="Total 24 3" xfId="18764"/>
    <cellStyle name="Total 24 3 2" xfId="18765"/>
    <cellStyle name="Total 24 3 2 2" xfId="18766"/>
    <cellStyle name="Total 24 3 3" xfId="18767"/>
    <cellStyle name="Total 24 3 3 2" xfId="18768"/>
    <cellStyle name="Total 24 3 4" xfId="18769"/>
    <cellStyle name="Total 24 4" xfId="18770"/>
    <cellStyle name="Total 24 4 2" xfId="18771"/>
    <cellStyle name="Total 24 4 2 2" xfId="18772"/>
    <cellStyle name="Total 24 4 3" xfId="18773"/>
    <cellStyle name="Total 24 4 3 2" xfId="18774"/>
    <cellStyle name="Total 24 4 4" xfId="18775"/>
    <cellStyle name="Total 24 5" xfId="18776"/>
    <cellStyle name="Total 24 5 2" xfId="18777"/>
    <cellStyle name="Total 24 5 2 2" xfId="18778"/>
    <cellStyle name="Total 24 5 3" xfId="18779"/>
    <cellStyle name="Total 24 5 3 2" xfId="18780"/>
    <cellStyle name="Total 24 5 4" xfId="18781"/>
    <cellStyle name="Total 24 5 4 2" xfId="18782"/>
    <cellStyle name="Total 24 5 5" xfId="18783"/>
    <cellStyle name="Total 24 6" xfId="18784"/>
    <cellStyle name="Total 24 6 2" xfId="18785"/>
    <cellStyle name="Total 24 6 2 2" xfId="18786"/>
    <cellStyle name="Total 24 6 3" xfId="18787"/>
    <cellStyle name="Total 24 6 3 2" xfId="18788"/>
    <cellStyle name="Total 24 6 4" xfId="18789"/>
    <cellStyle name="Total 24 7" xfId="18790"/>
    <cellStyle name="Total 24 7 2" xfId="18791"/>
    <cellStyle name="Total 24 8" xfId="18792"/>
    <cellStyle name="Total 24 8 2" xfId="18793"/>
    <cellStyle name="Total 24 9" xfId="18794"/>
    <cellStyle name="Total 24 9 2" xfId="18795"/>
    <cellStyle name="Total 25 12" xfId="18796"/>
    <cellStyle name="Total 25 10" xfId="18797"/>
    <cellStyle name="Total 25 11" xfId="18798"/>
    <cellStyle name="Total 25 2" xfId="18799"/>
    <cellStyle name="Total 25 2 2" xfId="18800"/>
    <cellStyle name="Total 25 2 2 2" xfId="18801"/>
    <cellStyle name="Total 25 2 3" xfId="18802"/>
    <cellStyle name="Total 25 2 3 2" xfId="18803"/>
    <cellStyle name="Total 25 2 4" xfId="18804"/>
    <cellStyle name="Total 25 2 5" xfId="18805"/>
    <cellStyle name="Total 25 3" xfId="18806"/>
    <cellStyle name="Total 25 3 2" xfId="18807"/>
    <cellStyle name="Total 25 3 2 2" xfId="18808"/>
    <cellStyle name="Total 25 3 3" xfId="18809"/>
    <cellStyle name="Total 25 3 3 2" xfId="18810"/>
    <cellStyle name="Total 25 3 4" xfId="18811"/>
    <cellStyle name="Total 25 4" xfId="18812"/>
    <cellStyle name="Total 25 4 2" xfId="18813"/>
    <cellStyle name="Total 25 4 2 2" xfId="18814"/>
    <cellStyle name="Total 25 4 3" xfId="18815"/>
    <cellStyle name="Total 25 4 3 2" xfId="18816"/>
    <cellStyle name="Total 25 4 4" xfId="18817"/>
    <cellStyle name="Total 25 5" xfId="18818"/>
    <cellStyle name="Total 25 5 2" xfId="18819"/>
    <cellStyle name="Total 25 5 2 2" xfId="18820"/>
    <cellStyle name="Total 25 5 3" xfId="18821"/>
    <cellStyle name="Total 25 5 3 2" xfId="18822"/>
    <cellStyle name="Total 25 5 4" xfId="18823"/>
    <cellStyle name="Total 25 5 4 2" xfId="18824"/>
    <cellStyle name="Total 25 5 5" xfId="18825"/>
    <cellStyle name="Total 25 6" xfId="18826"/>
    <cellStyle name="Total 25 6 2" xfId="18827"/>
    <cellStyle name="Total 25 6 2 2" xfId="18828"/>
    <cellStyle name="Total 25 6 3" xfId="18829"/>
    <cellStyle name="Total 25 6 3 2" xfId="18830"/>
    <cellStyle name="Total 25 6 4" xfId="18831"/>
    <cellStyle name="Total 25 7" xfId="18832"/>
    <cellStyle name="Total 25 7 2" xfId="18833"/>
    <cellStyle name="Total 25 8" xfId="18834"/>
    <cellStyle name="Total 25 8 2" xfId="18835"/>
    <cellStyle name="Total 25 9" xfId="18836"/>
    <cellStyle name="Total 25 9 2" xfId="18837"/>
    <cellStyle name="Total 26 12" xfId="18838"/>
    <cellStyle name="Total 26 10" xfId="18839"/>
    <cellStyle name="Total 26 11" xfId="18840"/>
    <cellStyle name="Total 26 2" xfId="18841"/>
    <cellStyle name="Total 26 2 2" xfId="18842"/>
    <cellStyle name="Total 26 2 2 2" xfId="18843"/>
    <cellStyle name="Total 26 2 3" xfId="18844"/>
    <cellStyle name="Total 26 2 3 2" xfId="18845"/>
    <cellStyle name="Total 26 2 4" xfId="18846"/>
    <cellStyle name="Total 26 2 5" xfId="18847"/>
    <cellStyle name="Total 26 3" xfId="18848"/>
    <cellStyle name="Total 26 3 2" xfId="18849"/>
    <cellStyle name="Total 26 3 2 2" xfId="18850"/>
    <cellStyle name="Total 26 3 3" xfId="18851"/>
    <cellStyle name="Total 26 3 3 2" xfId="18852"/>
    <cellStyle name="Total 26 3 4" xfId="18853"/>
    <cellStyle name="Total 26 4" xfId="18854"/>
    <cellStyle name="Total 26 4 2" xfId="18855"/>
    <cellStyle name="Total 26 4 2 2" xfId="18856"/>
    <cellStyle name="Total 26 4 3" xfId="18857"/>
    <cellStyle name="Total 26 4 3 2" xfId="18858"/>
    <cellStyle name="Total 26 4 4" xfId="18859"/>
    <cellStyle name="Total 26 5" xfId="18860"/>
    <cellStyle name="Total 26 5 2" xfId="18861"/>
    <cellStyle name="Total 26 5 2 2" xfId="18862"/>
    <cellStyle name="Total 26 5 3" xfId="18863"/>
    <cellStyle name="Total 26 5 3 2" xfId="18864"/>
    <cellStyle name="Total 26 5 4" xfId="18865"/>
    <cellStyle name="Total 26 5 4 2" xfId="18866"/>
    <cellStyle name="Total 26 5 5" xfId="18867"/>
    <cellStyle name="Total 26 6" xfId="18868"/>
    <cellStyle name="Total 26 6 2" xfId="18869"/>
    <cellStyle name="Total 26 6 2 2" xfId="18870"/>
    <cellStyle name="Total 26 6 3" xfId="18871"/>
    <cellStyle name="Total 26 6 3 2" xfId="18872"/>
    <cellStyle name="Total 26 6 4" xfId="18873"/>
    <cellStyle name="Total 26 7" xfId="18874"/>
    <cellStyle name="Total 26 7 2" xfId="18875"/>
    <cellStyle name="Total 26 8" xfId="18876"/>
    <cellStyle name="Total 26 8 2" xfId="18877"/>
    <cellStyle name="Total 26 9" xfId="18878"/>
    <cellStyle name="Total 26 9 2" xfId="18879"/>
    <cellStyle name="Total 27 12" xfId="18880"/>
    <cellStyle name="Total 27 10" xfId="18881"/>
    <cellStyle name="Total 27 11" xfId="18882"/>
    <cellStyle name="Total 27 2" xfId="18883"/>
    <cellStyle name="Total 27 2 2" xfId="18884"/>
    <cellStyle name="Total 27 2 2 2" xfId="18885"/>
    <cellStyle name="Total 27 2 3" xfId="18886"/>
    <cellStyle name="Total 27 2 3 2" xfId="18887"/>
    <cellStyle name="Total 27 2 4" xfId="18888"/>
    <cellStyle name="Total 27 2 5" xfId="18889"/>
    <cellStyle name="Total 27 3" xfId="18890"/>
    <cellStyle name="Total 27 3 2" xfId="18891"/>
    <cellStyle name="Total 27 3 2 2" xfId="18892"/>
    <cellStyle name="Total 27 3 3" xfId="18893"/>
    <cellStyle name="Total 27 3 3 2" xfId="18894"/>
    <cellStyle name="Total 27 3 4" xfId="18895"/>
    <cellStyle name="Total 27 4" xfId="18896"/>
    <cellStyle name="Total 27 4 2" xfId="18897"/>
    <cellStyle name="Total 27 4 2 2" xfId="18898"/>
    <cellStyle name="Total 27 4 3" xfId="18899"/>
    <cellStyle name="Total 27 4 3 2" xfId="18900"/>
    <cellStyle name="Total 27 4 4" xfId="18901"/>
    <cellStyle name="Total 27 5" xfId="18902"/>
    <cellStyle name="Total 27 5 2" xfId="18903"/>
    <cellStyle name="Total 27 5 2 2" xfId="18904"/>
    <cellStyle name="Total 27 5 3" xfId="18905"/>
    <cellStyle name="Total 27 5 3 2" xfId="18906"/>
    <cellStyle name="Total 27 5 4" xfId="18907"/>
    <cellStyle name="Total 27 5 4 2" xfId="18908"/>
    <cellStyle name="Total 27 5 5" xfId="18909"/>
    <cellStyle name="Total 27 6" xfId="18910"/>
    <cellStyle name="Total 27 6 2" xfId="18911"/>
    <cellStyle name="Total 27 6 2 2" xfId="18912"/>
    <cellStyle name="Total 27 6 3" xfId="18913"/>
    <cellStyle name="Total 27 6 3 2" xfId="18914"/>
    <cellStyle name="Total 27 6 4" xfId="18915"/>
    <cellStyle name="Total 27 7" xfId="18916"/>
    <cellStyle name="Total 27 7 2" xfId="18917"/>
    <cellStyle name="Total 27 8" xfId="18918"/>
    <cellStyle name="Total 27 8 2" xfId="18919"/>
    <cellStyle name="Total 27 9" xfId="18920"/>
    <cellStyle name="Total 27 9 2" xfId="18921"/>
    <cellStyle name="Total 28 12" xfId="18922"/>
    <cellStyle name="Total 28 10" xfId="18923"/>
    <cellStyle name="Total 28 11" xfId="18924"/>
    <cellStyle name="Total 28 2" xfId="18925"/>
    <cellStyle name="Total 28 2 2" xfId="18926"/>
    <cellStyle name="Total 28 2 2 2" xfId="18927"/>
    <cellStyle name="Total 28 2 3" xfId="18928"/>
    <cellStyle name="Total 28 2 3 2" xfId="18929"/>
    <cellStyle name="Total 28 2 4" xfId="18930"/>
    <cellStyle name="Total 28 2 5" xfId="18931"/>
    <cellStyle name="Total 28 3" xfId="18932"/>
    <cellStyle name="Total 28 3 2" xfId="18933"/>
    <cellStyle name="Total 28 3 2 2" xfId="18934"/>
    <cellStyle name="Total 28 3 3" xfId="18935"/>
    <cellStyle name="Total 28 3 3 2" xfId="18936"/>
    <cellStyle name="Total 28 3 4" xfId="18937"/>
    <cellStyle name="Total 28 4" xfId="18938"/>
    <cellStyle name="Total 28 4 2" xfId="18939"/>
    <cellStyle name="Total 28 4 2 2" xfId="18940"/>
    <cellStyle name="Total 28 4 3" xfId="18941"/>
    <cellStyle name="Total 28 4 3 2" xfId="18942"/>
    <cellStyle name="Total 28 4 4" xfId="18943"/>
    <cellStyle name="Total 28 5" xfId="18944"/>
    <cellStyle name="Total 28 5 2" xfId="18945"/>
    <cellStyle name="Total 28 5 2 2" xfId="18946"/>
    <cellStyle name="Total 28 5 3" xfId="18947"/>
    <cellStyle name="Total 28 5 3 2" xfId="18948"/>
    <cellStyle name="Total 28 5 4" xfId="18949"/>
    <cellStyle name="Total 28 5 4 2" xfId="18950"/>
    <cellStyle name="Total 28 5 5" xfId="18951"/>
    <cellStyle name="Total 28 6" xfId="18952"/>
    <cellStyle name="Total 28 6 2" xfId="18953"/>
    <cellStyle name="Total 28 6 2 2" xfId="18954"/>
    <cellStyle name="Total 28 6 3" xfId="18955"/>
    <cellStyle name="Total 28 6 3 2" xfId="18956"/>
    <cellStyle name="Total 28 6 4" xfId="18957"/>
    <cellStyle name="Total 28 7" xfId="18958"/>
    <cellStyle name="Total 28 7 2" xfId="18959"/>
    <cellStyle name="Total 28 8" xfId="18960"/>
    <cellStyle name="Total 28 8 2" xfId="18961"/>
    <cellStyle name="Total 28 9" xfId="18962"/>
    <cellStyle name="Total 28 9 2" xfId="18963"/>
    <cellStyle name="Total 29 12" xfId="18964"/>
    <cellStyle name="Total 29 10" xfId="18965"/>
    <cellStyle name="Total 29 11" xfId="18966"/>
    <cellStyle name="Total 29 2" xfId="18967"/>
    <cellStyle name="Total 29 2 2" xfId="18968"/>
    <cellStyle name="Total 29 2 2 2" xfId="18969"/>
    <cellStyle name="Total 29 2 3" xfId="18970"/>
    <cellStyle name="Total 29 2 3 2" xfId="18971"/>
    <cellStyle name="Total 29 2 4" xfId="18972"/>
    <cellStyle name="Total 29 2 5" xfId="18973"/>
    <cellStyle name="Total 29 3" xfId="18974"/>
    <cellStyle name="Total 29 3 2" xfId="18975"/>
    <cellStyle name="Total 29 3 2 2" xfId="18976"/>
    <cellStyle name="Total 29 3 3" xfId="18977"/>
    <cellStyle name="Total 29 3 3 2" xfId="18978"/>
    <cellStyle name="Total 29 3 4" xfId="18979"/>
    <cellStyle name="Total 29 4" xfId="18980"/>
    <cellStyle name="Total 29 4 2" xfId="18981"/>
    <cellStyle name="Total 29 4 2 2" xfId="18982"/>
    <cellStyle name="Total 29 4 3" xfId="18983"/>
    <cellStyle name="Total 29 4 3 2" xfId="18984"/>
    <cellStyle name="Total 29 4 4" xfId="18985"/>
    <cellStyle name="Total 29 5" xfId="18986"/>
    <cellStyle name="Total 29 5 2" xfId="18987"/>
    <cellStyle name="Total 29 5 2 2" xfId="18988"/>
    <cellStyle name="Total 29 5 3" xfId="18989"/>
    <cellStyle name="Total 29 5 3 2" xfId="18990"/>
    <cellStyle name="Total 29 5 4" xfId="18991"/>
    <cellStyle name="Total 29 5 4 2" xfId="18992"/>
    <cellStyle name="Total 29 5 5" xfId="18993"/>
    <cellStyle name="Total 29 6" xfId="18994"/>
    <cellStyle name="Total 29 6 2" xfId="18995"/>
    <cellStyle name="Total 29 6 2 2" xfId="18996"/>
    <cellStyle name="Total 29 6 3" xfId="18997"/>
    <cellStyle name="Total 29 6 3 2" xfId="18998"/>
    <cellStyle name="Total 29 6 4" xfId="18999"/>
    <cellStyle name="Total 29 7" xfId="19000"/>
    <cellStyle name="Total 29 7 2" xfId="19001"/>
    <cellStyle name="Total 29 8" xfId="19002"/>
    <cellStyle name="Total 29 8 2" xfId="19003"/>
    <cellStyle name="Total 29 9" xfId="19004"/>
    <cellStyle name="Total 29 9 2" xfId="19005"/>
    <cellStyle name="Total 3 13" xfId="19006"/>
    <cellStyle name="Total 3 10" xfId="19007"/>
    <cellStyle name="Total 3 10 2" xfId="19008"/>
    <cellStyle name="Total 3 11" xfId="19009"/>
    <cellStyle name="Total 3 12" xfId="19010"/>
    <cellStyle name="Total 3 2 11" xfId="19011"/>
    <cellStyle name="Total 3 2 10" xfId="19012"/>
    <cellStyle name="Total 3 2 2" xfId="19013"/>
    <cellStyle name="Total 3 2 2 2" xfId="19014"/>
    <cellStyle name="Total 3 2 2 2 2" xfId="19015"/>
    <cellStyle name="Total 3 2 2 3" xfId="19016"/>
    <cellStyle name="Total 3 2 2 3 2" xfId="19017"/>
    <cellStyle name="Total 3 2 2 4" xfId="19018"/>
    <cellStyle name="Total 3 2 3" xfId="19019"/>
    <cellStyle name="Total 3 2 3 2" xfId="19020"/>
    <cellStyle name="Total 3 2 3 2 2" xfId="19021"/>
    <cellStyle name="Total 3 2 3 3" xfId="19022"/>
    <cellStyle name="Total 3 2 3 3 2" xfId="19023"/>
    <cellStyle name="Total 3 2 3 4" xfId="19024"/>
    <cellStyle name="Total 3 2 4" xfId="19025"/>
    <cellStyle name="Total 3 2 4 2" xfId="19026"/>
    <cellStyle name="Total 3 2 4 2 2" xfId="19027"/>
    <cellStyle name="Total 3 2 4 3" xfId="19028"/>
    <cellStyle name="Total 3 2 4 3 2" xfId="19029"/>
    <cellStyle name="Total 3 2 4 4" xfId="19030"/>
    <cellStyle name="Total 3 2 4 4 2" xfId="19031"/>
    <cellStyle name="Total 3 2 4 5" xfId="19032"/>
    <cellStyle name="Total 3 2 5" xfId="19033"/>
    <cellStyle name="Total 3 2 5 2" xfId="19034"/>
    <cellStyle name="Total 3 2 5 2 2" xfId="19035"/>
    <cellStyle name="Total 3 2 5 3" xfId="19036"/>
    <cellStyle name="Total 3 2 5 3 2" xfId="19037"/>
    <cellStyle name="Total 3 2 5 4" xfId="19038"/>
    <cellStyle name="Total 3 2 6" xfId="19039"/>
    <cellStyle name="Total 3 2 6 2" xfId="19040"/>
    <cellStyle name="Total 3 2 7" xfId="19041"/>
    <cellStyle name="Total 3 2 7 2" xfId="19042"/>
    <cellStyle name="Total 3 2 8" xfId="19043"/>
    <cellStyle name="Total 3 2 8 2" xfId="19044"/>
    <cellStyle name="Total 3 2 9" xfId="19045"/>
    <cellStyle name="Total 3 3 6" xfId="19046"/>
    <cellStyle name="Total 3 3 2" xfId="19047"/>
    <cellStyle name="Total 3 3 2 2" xfId="19048"/>
    <cellStyle name="Total 3 3 3" xfId="19049"/>
    <cellStyle name="Total 3 3 3 2" xfId="19050"/>
    <cellStyle name="Total 3 3 4" xfId="19051"/>
    <cellStyle name="Total 3 3 5" xfId="19052"/>
    <cellStyle name="Total 3 4" xfId="19053"/>
    <cellStyle name="Total 3 4 2" xfId="19054"/>
    <cellStyle name="Total 3 4 2 2" xfId="19055"/>
    <cellStyle name="Total 3 4 3" xfId="19056"/>
    <cellStyle name="Total 3 4 3 2" xfId="19057"/>
    <cellStyle name="Total 3 4 4" xfId="19058"/>
    <cellStyle name="Total 3 5" xfId="19059"/>
    <cellStyle name="Total 3 5 2" xfId="19060"/>
    <cellStyle name="Total 3 5 2 2" xfId="19061"/>
    <cellStyle name="Total 3 5 3" xfId="19062"/>
    <cellStyle name="Total 3 5 3 2" xfId="19063"/>
    <cellStyle name="Total 3 5 4" xfId="19064"/>
    <cellStyle name="Total 3 6" xfId="19065"/>
    <cellStyle name="Total 3 6 2" xfId="19066"/>
    <cellStyle name="Total 3 6 2 2" xfId="19067"/>
    <cellStyle name="Total 3 6 3" xfId="19068"/>
    <cellStyle name="Total 3 6 3 2" xfId="19069"/>
    <cellStyle name="Total 3 6 4" xfId="19070"/>
    <cellStyle name="Total 3 6 4 2" xfId="19071"/>
    <cellStyle name="Total 3 6 5" xfId="19072"/>
    <cellStyle name="Total 3 7" xfId="19073"/>
    <cellStyle name="Total 3 7 2" xfId="19074"/>
    <cellStyle name="Total 3 7 2 2" xfId="19075"/>
    <cellStyle name="Total 3 7 3" xfId="19076"/>
    <cellStyle name="Total 3 7 3 2" xfId="19077"/>
    <cellStyle name="Total 3 7 4" xfId="19078"/>
    <cellStyle name="Total 3 8" xfId="19079"/>
    <cellStyle name="Total 3 8 2" xfId="19080"/>
    <cellStyle name="Total 3 9" xfId="19081"/>
    <cellStyle name="Total 3 9 2" xfId="19082"/>
    <cellStyle name="Total 30 12" xfId="19083"/>
    <cellStyle name="Total 30 10" xfId="19084"/>
    <cellStyle name="Total 30 11" xfId="19085"/>
    <cellStyle name="Total 30 2" xfId="19086"/>
    <cellStyle name="Total 30 2 2" xfId="19087"/>
    <cellStyle name="Total 30 2 2 2" xfId="19088"/>
    <cellStyle name="Total 30 2 3" xfId="19089"/>
    <cellStyle name="Total 30 2 3 2" xfId="19090"/>
    <cellStyle name="Total 30 2 4" xfId="19091"/>
    <cellStyle name="Total 30 2 5" xfId="19092"/>
    <cellStyle name="Total 30 3" xfId="19093"/>
    <cellStyle name="Total 30 3 2" xfId="19094"/>
    <cellStyle name="Total 30 3 2 2" xfId="19095"/>
    <cellStyle name="Total 30 3 3" xfId="19096"/>
    <cellStyle name="Total 30 3 3 2" xfId="19097"/>
    <cellStyle name="Total 30 3 4" xfId="19098"/>
    <cellStyle name="Total 30 4" xfId="19099"/>
    <cellStyle name="Total 30 4 2" xfId="19100"/>
    <cellStyle name="Total 30 4 2 2" xfId="19101"/>
    <cellStyle name="Total 30 4 3" xfId="19102"/>
    <cellStyle name="Total 30 4 3 2" xfId="19103"/>
    <cellStyle name="Total 30 4 4" xfId="19104"/>
    <cellStyle name="Total 30 5" xfId="19105"/>
    <cellStyle name="Total 30 5 2" xfId="19106"/>
    <cellStyle name="Total 30 5 2 2" xfId="19107"/>
    <cellStyle name="Total 30 5 3" xfId="19108"/>
    <cellStyle name="Total 30 5 3 2" xfId="19109"/>
    <cellStyle name="Total 30 5 4" xfId="19110"/>
    <cellStyle name="Total 30 5 4 2" xfId="19111"/>
    <cellStyle name="Total 30 5 5" xfId="19112"/>
    <cellStyle name="Total 30 6" xfId="19113"/>
    <cellStyle name="Total 30 6 2" xfId="19114"/>
    <cellStyle name="Total 30 6 2 2" xfId="19115"/>
    <cellStyle name="Total 30 6 3" xfId="19116"/>
    <cellStyle name="Total 30 6 3 2" xfId="19117"/>
    <cellStyle name="Total 30 6 4" xfId="19118"/>
    <cellStyle name="Total 30 7" xfId="19119"/>
    <cellStyle name="Total 30 7 2" xfId="19120"/>
    <cellStyle name="Total 30 8" xfId="19121"/>
    <cellStyle name="Total 30 8 2" xfId="19122"/>
    <cellStyle name="Total 30 9" xfId="19123"/>
    <cellStyle name="Total 30 9 2" xfId="19124"/>
    <cellStyle name="Total 31 12" xfId="19125"/>
    <cellStyle name="Total 31 10" xfId="19126"/>
    <cellStyle name="Total 31 11" xfId="19127"/>
    <cellStyle name="Total 31 2" xfId="19128"/>
    <cellStyle name="Total 31 2 2" xfId="19129"/>
    <cellStyle name="Total 31 2 2 2" xfId="19130"/>
    <cellStyle name="Total 31 2 3" xfId="19131"/>
    <cellStyle name="Total 31 2 3 2" xfId="19132"/>
    <cellStyle name="Total 31 2 4" xfId="19133"/>
    <cellStyle name="Total 31 2 5" xfId="19134"/>
    <cellStyle name="Total 31 3" xfId="19135"/>
    <cellStyle name="Total 31 3 2" xfId="19136"/>
    <cellStyle name="Total 31 3 2 2" xfId="19137"/>
    <cellStyle name="Total 31 3 3" xfId="19138"/>
    <cellStyle name="Total 31 3 3 2" xfId="19139"/>
    <cellStyle name="Total 31 3 4" xfId="19140"/>
    <cellStyle name="Total 31 4" xfId="19141"/>
    <cellStyle name="Total 31 4 2" xfId="19142"/>
    <cellStyle name="Total 31 4 2 2" xfId="19143"/>
    <cellStyle name="Total 31 4 3" xfId="19144"/>
    <cellStyle name="Total 31 4 3 2" xfId="19145"/>
    <cellStyle name="Total 31 4 4" xfId="19146"/>
    <cellStyle name="Total 31 5" xfId="19147"/>
    <cellStyle name="Total 31 5 2" xfId="19148"/>
    <cellStyle name="Total 31 5 2 2" xfId="19149"/>
    <cellStyle name="Total 31 5 3" xfId="19150"/>
    <cellStyle name="Total 31 5 3 2" xfId="19151"/>
    <cellStyle name="Total 31 5 4" xfId="19152"/>
    <cellStyle name="Total 31 5 4 2" xfId="19153"/>
    <cellStyle name="Total 31 5 5" xfId="19154"/>
    <cellStyle name="Total 31 6" xfId="19155"/>
    <cellStyle name="Total 31 6 2" xfId="19156"/>
    <cellStyle name="Total 31 6 2 2" xfId="19157"/>
    <cellStyle name="Total 31 6 3" xfId="19158"/>
    <cellStyle name="Total 31 6 3 2" xfId="19159"/>
    <cellStyle name="Total 31 6 4" xfId="19160"/>
    <cellStyle name="Total 31 7" xfId="19161"/>
    <cellStyle name="Total 31 7 2" xfId="19162"/>
    <cellStyle name="Total 31 8" xfId="19163"/>
    <cellStyle name="Total 31 8 2" xfId="19164"/>
    <cellStyle name="Total 31 9" xfId="19165"/>
    <cellStyle name="Total 31 9 2" xfId="19166"/>
    <cellStyle name="Total 32 12" xfId="19167"/>
    <cellStyle name="Total 32 10" xfId="19168"/>
    <cellStyle name="Total 32 11" xfId="19169"/>
    <cellStyle name="Total 32 2" xfId="19170"/>
    <cellStyle name="Total 32 2 2" xfId="19171"/>
    <cellStyle name="Total 32 2 2 2" xfId="19172"/>
    <cellStyle name="Total 32 2 3" xfId="19173"/>
    <cellStyle name="Total 32 2 3 2" xfId="19174"/>
    <cellStyle name="Total 32 2 4" xfId="19175"/>
    <cellStyle name="Total 32 2 5" xfId="19176"/>
    <cellStyle name="Total 32 3" xfId="19177"/>
    <cellStyle name="Total 32 3 2" xfId="19178"/>
    <cellStyle name="Total 32 3 2 2" xfId="19179"/>
    <cellStyle name="Total 32 3 3" xfId="19180"/>
    <cellStyle name="Total 32 3 3 2" xfId="19181"/>
    <cellStyle name="Total 32 3 4" xfId="19182"/>
    <cellStyle name="Total 32 4" xfId="19183"/>
    <cellStyle name="Total 32 4 2" xfId="19184"/>
    <cellStyle name="Total 32 4 2 2" xfId="19185"/>
    <cellStyle name="Total 32 4 3" xfId="19186"/>
    <cellStyle name="Total 32 4 3 2" xfId="19187"/>
    <cellStyle name="Total 32 4 4" xfId="19188"/>
    <cellStyle name="Total 32 5" xfId="19189"/>
    <cellStyle name="Total 32 5 2" xfId="19190"/>
    <cellStyle name="Total 32 5 2 2" xfId="19191"/>
    <cellStyle name="Total 32 5 3" xfId="19192"/>
    <cellStyle name="Total 32 5 3 2" xfId="19193"/>
    <cellStyle name="Total 32 5 4" xfId="19194"/>
    <cellStyle name="Total 32 5 4 2" xfId="19195"/>
    <cellStyle name="Total 32 5 5" xfId="19196"/>
    <cellStyle name="Total 32 6" xfId="19197"/>
    <cellStyle name="Total 32 6 2" xfId="19198"/>
    <cellStyle name="Total 32 6 2 2" xfId="19199"/>
    <cellStyle name="Total 32 6 3" xfId="19200"/>
    <cellStyle name="Total 32 6 3 2" xfId="19201"/>
    <cellStyle name="Total 32 6 4" xfId="19202"/>
    <cellStyle name="Total 32 7" xfId="19203"/>
    <cellStyle name="Total 32 7 2" xfId="19204"/>
    <cellStyle name="Total 32 8" xfId="19205"/>
    <cellStyle name="Total 32 8 2" xfId="19206"/>
    <cellStyle name="Total 32 9" xfId="19207"/>
    <cellStyle name="Total 32 9 2" xfId="19208"/>
    <cellStyle name="Total 33 12" xfId="19209"/>
    <cellStyle name="Total 33 10" xfId="19210"/>
    <cellStyle name="Total 33 11" xfId="19211"/>
    <cellStyle name="Total 33 2" xfId="19212"/>
    <cellStyle name="Total 33 2 2" xfId="19213"/>
    <cellStyle name="Total 33 2 2 2" xfId="19214"/>
    <cellStyle name="Total 33 2 3" xfId="19215"/>
    <cellStyle name="Total 33 2 3 2" xfId="19216"/>
    <cellStyle name="Total 33 2 4" xfId="19217"/>
    <cellStyle name="Total 33 2 5" xfId="19218"/>
    <cellStyle name="Total 33 3" xfId="19219"/>
    <cellStyle name="Total 33 3 2" xfId="19220"/>
    <cellStyle name="Total 33 3 2 2" xfId="19221"/>
    <cellStyle name="Total 33 3 3" xfId="19222"/>
    <cellStyle name="Total 33 3 3 2" xfId="19223"/>
    <cellStyle name="Total 33 3 4" xfId="19224"/>
    <cellStyle name="Total 33 4" xfId="19225"/>
    <cellStyle name="Total 33 4 2" xfId="19226"/>
    <cellStyle name="Total 33 4 2 2" xfId="19227"/>
    <cellStyle name="Total 33 4 3" xfId="19228"/>
    <cellStyle name="Total 33 4 3 2" xfId="19229"/>
    <cellStyle name="Total 33 4 4" xfId="19230"/>
    <cellStyle name="Total 33 5" xfId="19231"/>
    <cellStyle name="Total 33 5 2" xfId="19232"/>
    <cellStyle name="Total 33 5 2 2" xfId="19233"/>
    <cellStyle name="Total 33 5 3" xfId="19234"/>
    <cellStyle name="Total 33 5 3 2" xfId="19235"/>
    <cellStyle name="Total 33 5 4" xfId="19236"/>
    <cellStyle name="Total 33 5 4 2" xfId="19237"/>
    <cellStyle name="Total 33 5 5" xfId="19238"/>
    <cellStyle name="Total 33 6" xfId="19239"/>
    <cellStyle name="Total 33 6 2" xfId="19240"/>
    <cellStyle name="Total 33 6 2 2" xfId="19241"/>
    <cellStyle name="Total 33 6 3" xfId="19242"/>
    <cellStyle name="Total 33 6 3 2" xfId="19243"/>
    <cellStyle name="Total 33 6 4" xfId="19244"/>
    <cellStyle name="Total 33 7" xfId="19245"/>
    <cellStyle name="Total 33 7 2" xfId="19246"/>
    <cellStyle name="Total 33 8" xfId="19247"/>
    <cellStyle name="Total 33 8 2" xfId="19248"/>
    <cellStyle name="Total 33 9" xfId="19249"/>
    <cellStyle name="Total 33 9 2" xfId="19250"/>
    <cellStyle name="Total 34 12" xfId="19251"/>
    <cellStyle name="Total 34 10" xfId="19252"/>
    <cellStyle name="Total 34 11" xfId="19253"/>
    <cellStyle name="Total 34 2" xfId="19254"/>
    <cellStyle name="Total 34 2 2" xfId="19255"/>
    <cellStyle name="Total 34 2 2 2" xfId="19256"/>
    <cellStyle name="Total 34 2 3" xfId="19257"/>
    <cellStyle name="Total 34 2 3 2" xfId="19258"/>
    <cellStyle name="Total 34 2 4" xfId="19259"/>
    <cellStyle name="Total 34 2 5" xfId="19260"/>
    <cellStyle name="Total 34 3" xfId="19261"/>
    <cellStyle name="Total 34 3 2" xfId="19262"/>
    <cellStyle name="Total 34 3 2 2" xfId="19263"/>
    <cellStyle name="Total 34 3 3" xfId="19264"/>
    <cellStyle name="Total 34 3 3 2" xfId="19265"/>
    <cellStyle name="Total 34 3 4" xfId="19266"/>
    <cellStyle name="Total 34 4" xfId="19267"/>
    <cellStyle name="Total 34 4 2" xfId="19268"/>
    <cellStyle name="Total 34 4 2 2" xfId="19269"/>
    <cellStyle name="Total 34 4 3" xfId="19270"/>
    <cellStyle name="Total 34 4 3 2" xfId="19271"/>
    <cellStyle name="Total 34 4 4" xfId="19272"/>
    <cellStyle name="Total 34 5" xfId="19273"/>
    <cellStyle name="Total 34 5 2" xfId="19274"/>
    <cellStyle name="Total 34 5 2 2" xfId="19275"/>
    <cellStyle name="Total 34 5 3" xfId="19276"/>
    <cellStyle name="Total 34 5 3 2" xfId="19277"/>
    <cellStyle name="Total 34 5 4" xfId="19278"/>
    <cellStyle name="Total 34 5 4 2" xfId="19279"/>
    <cellStyle name="Total 34 5 5" xfId="19280"/>
    <cellStyle name="Total 34 6" xfId="19281"/>
    <cellStyle name="Total 34 6 2" xfId="19282"/>
    <cellStyle name="Total 34 6 2 2" xfId="19283"/>
    <cellStyle name="Total 34 6 3" xfId="19284"/>
    <cellStyle name="Total 34 6 3 2" xfId="19285"/>
    <cellStyle name="Total 34 6 4" xfId="19286"/>
    <cellStyle name="Total 34 7" xfId="19287"/>
    <cellStyle name="Total 34 7 2" xfId="19288"/>
    <cellStyle name="Total 34 8" xfId="19289"/>
    <cellStyle name="Total 34 8 2" xfId="19290"/>
    <cellStyle name="Total 34 9" xfId="19291"/>
    <cellStyle name="Total 34 9 2" xfId="19292"/>
    <cellStyle name="Total 35 12" xfId="19293"/>
    <cellStyle name="Total 35 10" xfId="19294"/>
    <cellStyle name="Total 35 11" xfId="19295"/>
    <cellStyle name="Total 35 2" xfId="19296"/>
    <cellStyle name="Total 35 2 2" xfId="19297"/>
    <cellStyle name="Total 35 2 2 2" xfId="19298"/>
    <cellStyle name="Total 35 2 3" xfId="19299"/>
    <cellStyle name="Total 35 2 3 2" xfId="19300"/>
    <cellStyle name="Total 35 2 4" xfId="19301"/>
    <cellStyle name="Total 35 2 5" xfId="19302"/>
    <cellStyle name="Total 35 3" xfId="19303"/>
    <cellStyle name="Total 35 3 2" xfId="19304"/>
    <cellStyle name="Total 35 3 2 2" xfId="19305"/>
    <cellStyle name="Total 35 3 3" xfId="19306"/>
    <cellStyle name="Total 35 3 3 2" xfId="19307"/>
    <cellStyle name="Total 35 3 4" xfId="19308"/>
    <cellStyle name="Total 35 4" xfId="19309"/>
    <cellStyle name="Total 35 4 2" xfId="19310"/>
    <cellStyle name="Total 35 4 2 2" xfId="19311"/>
    <cellStyle name="Total 35 4 3" xfId="19312"/>
    <cellStyle name="Total 35 4 3 2" xfId="19313"/>
    <cellStyle name="Total 35 4 4" xfId="19314"/>
    <cellStyle name="Total 35 5" xfId="19315"/>
    <cellStyle name="Total 35 5 2" xfId="19316"/>
    <cellStyle name="Total 35 5 2 2" xfId="19317"/>
    <cellStyle name="Total 35 5 3" xfId="19318"/>
    <cellStyle name="Total 35 5 3 2" xfId="19319"/>
    <cellStyle name="Total 35 5 4" xfId="19320"/>
    <cellStyle name="Total 35 5 4 2" xfId="19321"/>
    <cellStyle name="Total 35 5 5" xfId="19322"/>
    <cellStyle name="Total 35 6" xfId="19323"/>
    <cellStyle name="Total 35 6 2" xfId="19324"/>
    <cellStyle name="Total 35 6 2 2" xfId="19325"/>
    <cellStyle name="Total 35 6 3" xfId="19326"/>
    <cellStyle name="Total 35 6 3 2" xfId="19327"/>
    <cellStyle name="Total 35 6 4" xfId="19328"/>
    <cellStyle name="Total 35 7" xfId="19329"/>
    <cellStyle name="Total 35 7 2" xfId="19330"/>
    <cellStyle name="Total 35 8" xfId="19331"/>
    <cellStyle name="Total 35 8 2" xfId="19332"/>
    <cellStyle name="Total 35 9" xfId="19333"/>
    <cellStyle name="Total 35 9 2" xfId="19334"/>
    <cellStyle name="Total 36 12" xfId="19335"/>
    <cellStyle name="Total 36 10" xfId="19336"/>
    <cellStyle name="Total 36 11" xfId="19337"/>
    <cellStyle name="Total 36 2" xfId="19338"/>
    <cellStyle name="Total 36 2 2" xfId="19339"/>
    <cellStyle name="Total 36 2 2 2" xfId="19340"/>
    <cellStyle name="Total 36 2 3" xfId="19341"/>
    <cellStyle name="Total 36 2 3 2" xfId="19342"/>
    <cellStyle name="Total 36 2 4" xfId="19343"/>
    <cellStyle name="Total 36 2 5" xfId="19344"/>
    <cellStyle name="Total 36 3" xfId="19345"/>
    <cellStyle name="Total 36 3 2" xfId="19346"/>
    <cellStyle name="Total 36 3 2 2" xfId="19347"/>
    <cellStyle name="Total 36 3 3" xfId="19348"/>
    <cellStyle name="Total 36 3 3 2" xfId="19349"/>
    <cellStyle name="Total 36 3 4" xfId="19350"/>
    <cellStyle name="Total 36 4" xfId="19351"/>
    <cellStyle name="Total 36 4 2" xfId="19352"/>
    <cellStyle name="Total 36 4 2 2" xfId="19353"/>
    <cellStyle name="Total 36 4 3" xfId="19354"/>
    <cellStyle name="Total 36 4 3 2" xfId="19355"/>
    <cellStyle name="Total 36 4 4" xfId="19356"/>
    <cellStyle name="Total 36 5" xfId="19357"/>
    <cellStyle name="Total 36 5 2" xfId="19358"/>
    <cellStyle name="Total 36 5 2 2" xfId="19359"/>
    <cellStyle name="Total 36 5 3" xfId="19360"/>
    <cellStyle name="Total 36 5 3 2" xfId="19361"/>
    <cellStyle name="Total 36 5 4" xfId="19362"/>
    <cellStyle name="Total 36 5 4 2" xfId="19363"/>
    <cellStyle name="Total 36 5 5" xfId="19364"/>
    <cellStyle name="Total 36 6" xfId="19365"/>
    <cellStyle name="Total 36 6 2" xfId="19366"/>
    <cellStyle name="Total 36 6 2 2" xfId="19367"/>
    <cellStyle name="Total 36 6 3" xfId="19368"/>
    <cellStyle name="Total 36 6 3 2" xfId="19369"/>
    <cellStyle name="Total 36 6 4" xfId="19370"/>
    <cellStyle name="Total 36 7" xfId="19371"/>
    <cellStyle name="Total 36 7 2" xfId="19372"/>
    <cellStyle name="Total 36 8" xfId="19373"/>
    <cellStyle name="Total 36 8 2" xfId="19374"/>
    <cellStyle name="Total 36 9" xfId="19375"/>
    <cellStyle name="Total 36 9 2" xfId="19376"/>
    <cellStyle name="Total 37 12" xfId="19377"/>
    <cellStyle name="Total 37 10" xfId="19378"/>
    <cellStyle name="Total 37 11" xfId="19379"/>
    <cellStyle name="Total 37 2" xfId="19380"/>
    <cellStyle name="Total 37 2 2" xfId="19381"/>
    <cellStyle name="Total 37 2 2 2" xfId="19382"/>
    <cellStyle name="Total 37 2 3" xfId="19383"/>
    <cellStyle name="Total 37 2 3 2" xfId="19384"/>
    <cellStyle name="Total 37 2 4" xfId="19385"/>
    <cellStyle name="Total 37 2 5" xfId="19386"/>
    <cellStyle name="Total 37 3" xfId="19387"/>
    <cellStyle name="Total 37 3 2" xfId="19388"/>
    <cellStyle name="Total 37 3 2 2" xfId="19389"/>
    <cellStyle name="Total 37 3 3" xfId="19390"/>
    <cellStyle name="Total 37 3 3 2" xfId="19391"/>
    <cellStyle name="Total 37 3 4" xfId="19392"/>
    <cellStyle name="Total 37 4" xfId="19393"/>
    <cellStyle name="Total 37 4 2" xfId="19394"/>
    <cellStyle name="Total 37 4 2 2" xfId="19395"/>
    <cellStyle name="Total 37 4 3" xfId="19396"/>
    <cellStyle name="Total 37 4 3 2" xfId="19397"/>
    <cellStyle name="Total 37 4 4" xfId="19398"/>
    <cellStyle name="Total 37 5" xfId="19399"/>
    <cellStyle name="Total 37 5 2" xfId="19400"/>
    <cellStyle name="Total 37 5 2 2" xfId="19401"/>
    <cellStyle name="Total 37 5 3" xfId="19402"/>
    <cellStyle name="Total 37 5 3 2" xfId="19403"/>
    <cellStyle name="Total 37 5 4" xfId="19404"/>
    <cellStyle name="Total 37 5 4 2" xfId="19405"/>
    <cellStyle name="Total 37 5 5" xfId="19406"/>
    <cellStyle name="Total 37 6" xfId="19407"/>
    <cellStyle name="Total 37 6 2" xfId="19408"/>
    <cellStyle name="Total 37 6 2 2" xfId="19409"/>
    <cellStyle name="Total 37 6 3" xfId="19410"/>
    <cellStyle name="Total 37 6 3 2" xfId="19411"/>
    <cellStyle name="Total 37 6 4" xfId="19412"/>
    <cellStyle name="Total 37 7" xfId="19413"/>
    <cellStyle name="Total 37 7 2" xfId="19414"/>
    <cellStyle name="Total 37 8" xfId="19415"/>
    <cellStyle name="Total 37 8 2" xfId="19416"/>
    <cellStyle name="Total 37 9" xfId="19417"/>
    <cellStyle name="Total 37 9 2" xfId="19418"/>
    <cellStyle name="Total 38 12" xfId="19419"/>
    <cellStyle name="Total 38 10" xfId="19420"/>
    <cellStyle name="Total 38 11" xfId="19421"/>
    <cellStyle name="Total 38 2" xfId="19422"/>
    <cellStyle name="Total 38 2 2" xfId="19423"/>
    <cellStyle name="Total 38 2 2 2" xfId="19424"/>
    <cellStyle name="Total 38 2 3" xfId="19425"/>
    <cellStyle name="Total 38 2 3 2" xfId="19426"/>
    <cellStyle name="Total 38 2 4" xfId="19427"/>
    <cellStyle name="Total 38 2 5" xfId="19428"/>
    <cellStyle name="Total 38 3" xfId="19429"/>
    <cellStyle name="Total 38 3 2" xfId="19430"/>
    <cellStyle name="Total 38 3 2 2" xfId="19431"/>
    <cellStyle name="Total 38 3 3" xfId="19432"/>
    <cellStyle name="Total 38 3 3 2" xfId="19433"/>
    <cellStyle name="Total 38 3 4" xfId="19434"/>
    <cellStyle name="Total 38 4" xfId="19435"/>
    <cellStyle name="Total 38 4 2" xfId="19436"/>
    <cellStyle name="Total 38 4 2 2" xfId="19437"/>
    <cellStyle name="Total 38 4 3" xfId="19438"/>
    <cellStyle name="Total 38 4 3 2" xfId="19439"/>
    <cellStyle name="Total 38 4 4" xfId="19440"/>
    <cellStyle name="Total 38 5" xfId="19441"/>
    <cellStyle name="Total 38 5 2" xfId="19442"/>
    <cellStyle name="Total 38 5 2 2" xfId="19443"/>
    <cellStyle name="Total 38 5 3" xfId="19444"/>
    <cellStyle name="Total 38 5 3 2" xfId="19445"/>
    <cellStyle name="Total 38 5 4" xfId="19446"/>
    <cellStyle name="Total 38 5 4 2" xfId="19447"/>
    <cellStyle name="Total 38 5 5" xfId="19448"/>
    <cellStyle name="Total 38 6" xfId="19449"/>
    <cellStyle name="Total 38 6 2" xfId="19450"/>
    <cellStyle name="Total 38 6 2 2" xfId="19451"/>
    <cellStyle name="Total 38 6 3" xfId="19452"/>
    <cellStyle name="Total 38 6 3 2" xfId="19453"/>
    <cellStyle name="Total 38 6 4" xfId="19454"/>
    <cellStyle name="Total 38 7" xfId="19455"/>
    <cellStyle name="Total 38 7 2" xfId="19456"/>
    <cellStyle name="Total 38 8" xfId="19457"/>
    <cellStyle name="Total 38 8 2" xfId="19458"/>
    <cellStyle name="Total 38 9" xfId="19459"/>
    <cellStyle name="Total 38 9 2" xfId="19460"/>
    <cellStyle name="Total 39 12" xfId="19461"/>
    <cellStyle name="Total 39 10" xfId="19462"/>
    <cellStyle name="Total 39 11" xfId="19463"/>
    <cellStyle name="Total 39 2" xfId="19464"/>
    <cellStyle name="Total 39 2 2" xfId="19465"/>
    <cellStyle name="Total 39 2 2 2" xfId="19466"/>
    <cellStyle name="Total 39 2 3" xfId="19467"/>
    <cellStyle name="Total 39 2 3 2" xfId="19468"/>
    <cellStyle name="Total 39 2 4" xfId="19469"/>
    <cellStyle name="Total 39 2 5" xfId="19470"/>
    <cellStyle name="Total 39 3" xfId="19471"/>
    <cellStyle name="Total 39 3 2" xfId="19472"/>
    <cellStyle name="Total 39 3 2 2" xfId="19473"/>
    <cellStyle name="Total 39 3 3" xfId="19474"/>
    <cellStyle name="Total 39 3 3 2" xfId="19475"/>
    <cellStyle name="Total 39 3 4" xfId="19476"/>
    <cellStyle name="Total 39 4" xfId="19477"/>
    <cellStyle name="Total 39 4 2" xfId="19478"/>
    <cellStyle name="Total 39 4 2 2" xfId="19479"/>
    <cellStyle name="Total 39 4 3" xfId="19480"/>
    <cellStyle name="Total 39 4 3 2" xfId="19481"/>
    <cellStyle name="Total 39 4 4" xfId="19482"/>
    <cellStyle name="Total 39 5" xfId="19483"/>
    <cellStyle name="Total 39 5 2" xfId="19484"/>
    <cellStyle name="Total 39 5 2 2" xfId="19485"/>
    <cellStyle name="Total 39 5 3" xfId="19486"/>
    <cellStyle name="Total 39 5 3 2" xfId="19487"/>
    <cellStyle name="Total 39 5 4" xfId="19488"/>
    <cellStyle name="Total 39 5 4 2" xfId="19489"/>
    <cellStyle name="Total 39 5 5" xfId="19490"/>
    <cellStyle name="Total 39 6" xfId="19491"/>
    <cellStyle name="Total 39 6 2" xfId="19492"/>
    <cellStyle name="Total 39 6 2 2" xfId="19493"/>
    <cellStyle name="Total 39 6 3" xfId="19494"/>
    <cellStyle name="Total 39 6 3 2" xfId="19495"/>
    <cellStyle name="Total 39 6 4" xfId="19496"/>
    <cellStyle name="Total 39 7" xfId="19497"/>
    <cellStyle name="Total 39 7 2" xfId="19498"/>
    <cellStyle name="Total 39 8" xfId="19499"/>
    <cellStyle name="Total 39 8 2" xfId="19500"/>
    <cellStyle name="Total 39 9" xfId="19501"/>
    <cellStyle name="Total 39 9 2" xfId="19502"/>
    <cellStyle name="Total 4 13" xfId="19503"/>
    <cellStyle name="Total 4 10" xfId="19504"/>
    <cellStyle name="Total 4 10 2" xfId="19505"/>
    <cellStyle name="Total 4 11" xfId="19506"/>
    <cellStyle name="Total 4 12" xfId="19507"/>
    <cellStyle name="Total 4 2" xfId="19508"/>
    <cellStyle name="Total 4 2 10" xfId="19509"/>
    <cellStyle name="Total 4 2 2" xfId="19510"/>
    <cellStyle name="Total 4 2 2 2" xfId="19511"/>
    <cellStyle name="Total 4 2 2 2 2" xfId="19512"/>
    <cellStyle name="Total 4 2 2 3" xfId="19513"/>
    <cellStyle name="Total 4 2 2 3 2" xfId="19514"/>
    <cellStyle name="Total 4 2 2 4" xfId="19515"/>
    <cellStyle name="Total 4 2 3" xfId="19516"/>
    <cellStyle name="Total 4 2 3 2" xfId="19517"/>
    <cellStyle name="Total 4 2 3 2 2" xfId="19518"/>
    <cellStyle name="Total 4 2 3 3" xfId="19519"/>
    <cellStyle name="Total 4 2 3 3 2" xfId="19520"/>
    <cellStyle name="Total 4 2 3 4" xfId="19521"/>
    <cellStyle name="Total 4 2 4" xfId="19522"/>
    <cellStyle name="Total 4 2 4 2" xfId="19523"/>
    <cellStyle name="Total 4 2 4 2 2" xfId="19524"/>
    <cellStyle name="Total 4 2 4 3" xfId="19525"/>
    <cellStyle name="Total 4 2 4 3 2" xfId="19526"/>
    <cellStyle name="Total 4 2 4 4" xfId="19527"/>
    <cellStyle name="Total 4 2 4 4 2" xfId="19528"/>
    <cellStyle name="Total 4 2 4 5" xfId="19529"/>
    <cellStyle name="Total 4 2 5" xfId="19530"/>
    <cellStyle name="Total 4 2 5 2" xfId="19531"/>
    <cellStyle name="Total 4 2 5 2 2" xfId="19532"/>
    <cellStyle name="Total 4 2 5 3" xfId="19533"/>
    <cellStyle name="Total 4 2 5 3 2" xfId="19534"/>
    <cellStyle name="Total 4 2 5 4" xfId="19535"/>
    <cellStyle name="Total 4 2 6" xfId="19536"/>
    <cellStyle name="Total 4 2 6 2" xfId="19537"/>
    <cellStyle name="Total 4 2 7" xfId="19538"/>
    <cellStyle name="Total 4 2 7 2" xfId="19539"/>
    <cellStyle name="Total 4 2 8" xfId="19540"/>
    <cellStyle name="Total 4 2 8 2" xfId="19541"/>
    <cellStyle name="Total 4 2 9" xfId="19542"/>
    <cellStyle name="Total 4 3" xfId="19543"/>
    <cellStyle name="Total 4 3 2" xfId="19544"/>
    <cellStyle name="Total 4 3 2 2" xfId="19545"/>
    <cellStyle name="Total 4 3 3" xfId="19546"/>
    <cellStyle name="Total 4 3 3 2" xfId="19547"/>
    <cellStyle name="Total 4 3 4" xfId="19548"/>
    <cellStyle name="Total 4 3 5" xfId="19549"/>
    <cellStyle name="Total 4 4" xfId="19550"/>
    <cellStyle name="Total 4 4 2" xfId="19551"/>
    <cellStyle name="Total 4 4 2 2" xfId="19552"/>
    <cellStyle name="Total 4 4 3" xfId="19553"/>
    <cellStyle name="Total 4 4 3 2" xfId="19554"/>
    <cellStyle name="Total 4 4 4" xfId="19555"/>
    <cellStyle name="Total 4 5" xfId="19556"/>
    <cellStyle name="Total 4 5 2" xfId="19557"/>
    <cellStyle name="Total 4 5 2 2" xfId="19558"/>
    <cellStyle name="Total 4 5 3" xfId="19559"/>
    <cellStyle name="Total 4 5 3 2" xfId="19560"/>
    <cellStyle name="Total 4 5 4" xfId="19561"/>
    <cellStyle name="Total 4 6" xfId="19562"/>
    <cellStyle name="Total 4 6 2" xfId="19563"/>
    <cellStyle name="Total 4 6 2 2" xfId="19564"/>
    <cellStyle name="Total 4 6 3" xfId="19565"/>
    <cellStyle name="Total 4 6 3 2" xfId="19566"/>
    <cellStyle name="Total 4 6 4" xfId="19567"/>
    <cellStyle name="Total 4 6 4 2" xfId="19568"/>
    <cellStyle name="Total 4 6 5" xfId="19569"/>
    <cellStyle name="Total 4 7" xfId="19570"/>
    <cellStyle name="Total 4 7 2" xfId="19571"/>
    <cellStyle name="Total 4 7 2 2" xfId="19572"/>
    <cellStyle name="Total 4 7 3" xfId="19573"/>
    <cellStyle name="Total 4 7 3 2" xfId="19574"/>
    <cellStyle name="Total 4 7 4" xfId="19575"/>
    <cellStyle name="Total 4 8" xfId="19576"/>
    <cellStyle name="Total 4 8 2" xfId="19577"/>
    <cellStyle name="Total 4 9" xfId="19578"/>
    <cellStyle name="Total 4 9 2" xfId="19579"/>
    <cellStyle name="Total 40 12" xfId="19580"/>
    <cellStyle name="Total 40 10" xfId="19581"/>
    <cellStyle name="Total 40 11" xfId="19582"/>
    <cellStyle name="Total 40 2" xfId="19583"/>
    <cellStyle name="Total 40 2 2" xfId="19584"/>
    <cellStyle name="Total 40 2 2 2" xfId="19585"/>
    <cellStyle name="Total 40 2 3" xfId="19586"/>
    <cellStyle name="Total 40 2 3 2" xfId="19587"/>
    <cellStyle name="Total 40 2 4" xfId="19588"/>
    <cellStyle name="Total 40 2 5" xfId="19589"/>
    <cellStyle name="Total 40 3" xfId="19590"/>
    <cellStyle name="Total 40 3 2" xfId="19591"/>
    <cellStyle name="Total 40 3 2 2" xfId="19592"/>
    <cellStyle name="Total 40 3 3" xfId="19593"/>
    <cellStyle name="Total 40 3 3 2" xfId="19594"/>
    <cellStyle name="Total 40 3 4" xfId="19595"/>
    <cellStyle name="Total 40 4" xfId="19596"/>
    <cellStyle name="Total 40 4 2" xfId="19597"/>
    <cellStyle name="Total 40 4 2 2" xfId="19598"/>
    <cellStyle name="Total 40 4 3" xfId="19599"/>
    <cellStyle name="Total 40 4 3 2" xfId="19600"/>
    <cellStyle name="Total 40 4 4" xfId="19601"/>
    <cellStyle name="Total 40 5" xfId="19602"/>
    <cellStyle name="Total 40 5 2" xfId="19603"/>
    <cellStyle name="Total 40 5 2 2" xfId="19604"/>
    <cellStyle name="Total 40 5 3" xfId="19605"/>
    <cellStyle name="Total 40 5 3 2" xfId="19606"/>
    <cellStyle name="Total 40 5 4" xfId="19607"/>
    <cellStyle name="Total 40 5 4 2" xfId="19608"/>
    <cellStyle name="Total 40 5 5" xfId="19609"/>
    <cellStyle name="Total 40 6" xfId="19610"/>
    <cellStyle name="Total 40 6 2" xfId="19611"/>
    <cellStyle name="Total 40 6 2 2" xfId="19612"/>
    <cellStyle name="Total 40 6 3" xfId="19613"/>
    <cellStyle name="Total 40 6 3 2" xfId="19614"/>
    <cellStyle name="Total 40 6 4" xfId="19615"/>
    <cellStyle name="Total 40 7" xfId="19616"/>
    <cellStyle name="Total 40 7 2" xfId="19617"/>
    <cellStyle name="Total 40 8" xfId="19618"/>
    <cellStyle name="Total 40 8 2" xfId="19619"/>
    <cellStyle name="Total 40 9" xfId="19620"/>
    <cellStyle name="Total 40 9 2" xfId="19621"/>
    <cellStyle name="Total 41 12" xfId="19622"/>
    <cellStyle name="Total 41 10" xfId="19623"/>
    <cellStyle name="Total 41 11" xfId="19624"/>
    <cellStyle name="Total 41 2" xfId="19625"/>
    <cellStyle name="Total 41 2 2" xfId="19626"/>
    <cellStyle name="Total 41 2 2 2" xfId="19627"/>
    <cellStyle name="Total 41 2 3" xfId="19628"/>
    <cellStyle name="Total 41 2 3 2" xfId="19629"/>
    <cellStyle name="Total 41 2 4" xfId="19630"/>
    <cellStyle name="Total 41 2 5" xfId="19631"/>
    <cellStyle name="Total 41 3" xfId="19632"/>
    <cellStyle name="Total 41 3 2" xfId="19633"/>
    <cellStyle name="Total 41 3 2 2" xfId="19634"/>
    <cellStyle name="Total 41 3 3" xfId="19635"/>
    <cellStyle name="Total 41 3 3 2" xfId="19636"/>
    <cellStyle name="Total 41 3 4" xfId="19637"/>
    <cellStyle name="Total 41 4" xfId="19638"/>
    <cellStyle name="Total 41 4 2" xfId="19639"/>
    <cellStyle name="Total 41 4 2 2" xfId="19640"/>
    <cellStyle name="Total 41 4 3" xfId="19641"/>
    <cellStyle name="Total 41 4 3 2" xfId="19642"/>
    <cellStyle name="Total 41 4 4" xfId="19643"/>
    <cellStyle name="Total 41 5" xfId="19644"/>
    <cellStyle name="Total 41 5 2" xfId="19645"/>
    <cellStyle name="Total 41 5 2 2" xfId="19646"/>
    <cellStyle name="Total 41 5 3" xfId="19647"/>
    <cellStyle name="Total 41 5 3 2" xfId="19648"/>
    <cellStyle name="Total 41 5 4" xfId="19649"/>
    <cellStyle name="Total 41 5 4 2" xfId="19650"/>
    <cellStyle name="Total 41 5 5" xfId="19651"/>
    <cellStyle name="Total 41 6" xfId="19652"/>
    <cellStyle name="Total 41 6 2" xfId="19653"/>
    <cellStyle name="Total 41 6 2 2" xfId="19654"/>
    <cellStyle name="Total 41 6 3" xfId="19655"/>
    <cellStyle name="Total 41 6 3 2" xfId="19656"/>
    <cellStyle name="Total 41 6 4" xfId="19657"/>
    <cellStyle name="Total 41 7" xfId="19658"/>
    <cellStyle name="Total 41 7 2" xfId="19659"/>
    <cellStyle name="Total 41 8" xfId="19660"/>
    <cellStyle name="Total 41 8 2" xfId="19661"/>
    <cellStyle name="Total 41 9" xfId="19662"/>
    <cellStyle name="Total 41 9 2" xfId="19663"/>
    <cellStyle name="Total 42 12" xfId="19664"/>
    <cellStyle name="Total 42 10" xfId="19665"/>
    <cellStyle name="Total 42 11" xfId="19666"/>
    <cellStyle name="Total 42 2" xfId="19667"/>
    <cellStyle name="Total 42 2 2" xfId="19668"/>
    <cellStyle name="Total 42 2 2 2" xfId="19669"/>
    <cellStyle name="Total 42 2 3" xfId="19670"/>
    <cellStyle name="Total 42 2 3 2" xfId="19671"/>
    <cellStyle name="Total 42 2 4" xfId="19672"/>
    <cellStyle name="Total 42 2 5" xfId="19673"/>
    <cellStyle name="Total 42 3" xfId="19674"/>
    <cellStyle name="Total 42 3 2" xfId="19675"/>
    <cellStyle name="Total 42 3 2 2" xfId="19676"/>
    <cellStyle name="Total 42 3 3" xfId="19677"/>
    <cellStyle name="Total 42 3 3 2" xfId="19678"/>
    <cellStyle name="Total 42 3 4" xfId="19679"/>
    <cellStyle name="Total 42 4" xfId="19680"/>
    <cellStyle name="Total 42 4 2" xfId="19681"/>
    <cellStyle name="Total 42 4 2 2" xfId="19682"/>
    <cellStyle name="Total 42 4 3" xfId="19683"/>
    <cellStyle name="Total 42 4 3 2" xfId="19684"/>
    <cellStyle name="Total 42 4 4" xfId="19685"/>
    <cellStyle name="Total 42 5" xfId="19686"/>
    <cellStyle name="Total 42 5 2" xfId="19687"/>
    <cellStyle name="Total 42 5 2 2" xfId="19688"/>
    <cellStyle name="Total 42 5 3" xfId="19689"/>
    <cellStyle name="Total 42 5 3 2" xfId="19690"/>
    <cellStyle name="Total 42 5 4" xfId="19691"/>
    <cellStyle name="Total 42 5 4 2" xfId="19692"/>
    <cellStyle name="Total 42 5 5" xfId="19693"/>
    <cellStyle name="Total 42 6" xfId="19694"/>
    <cellStyle name="Total 42 6 2" xfId="19695"/>
    <cellStyle name="Total 42 6 2 2" xfId="19696"/>
    <cellStyle name="Total 42 6 3" xfId="19697"/>
    <cellStyle name="Total 42 6 3 2" xfId="19698"/>
    <cellStyle name="Total 42 6 4" xfId="19699"/>
    <cellStyle name="Total 42 7" xfId="19700"/>
    <cellStyle name="Total 42 7 2" xfId="19701"/>
    <cellStyle name="Total 42 8" xfId="19702"/>
    <cellStyle name="Total 42 8 2" xfId="19703"/>
    <cellStyle name="Total 42 9" xfId="19704"/>
    <cellStyle name="Total 42 9 2" xfId="19705"/>
    <cellStyle name="Total 5 13" xfId="19706"/>
    <cellStyle name="Total 5 10" xfId="19707"/>
    <cellStyle name="Total 5 10 2" xfId="19708"/>
    <cellStyle name="Total 5 11" xfId="19709"/>
    <cellStyle name="Total 5 12" xfId="19710"/>
    <cellStyle name="Total 5 2" xfId="19711"/>
    <cellStyle name="Total 5 2 10" xfId="19712"/>
    <cellStyle name="Total 5 2 2" xfId="19713"/>
    <cellStyle name="Total 5 2 2 2" xfId="19714"/>
    <cellStyle name="Total 5 2 2 2 2" xfId="19715"/>
    <cellStyle name="Total 5 2 2 3" xfId="19716"/>
    <cellStyle name="Total 5 2 2 3 2" xfId="19717"/>
    <cellStyle name="Total 5 2 2 4" xfId="19718"/>
    <cellStyle name="Total 5 2 3" xfId="19719"/>
    <cellStyle name="Total 5 2 3 2" xfId="19720"/>
    <cellStyle name="Total 5 2 3 2 2" xfId="19721"/>
    <cellStyle name="Total 5 2 3 3" xfId="19722"/>
    <cellStyle name="Total 5 2 3 3 2" xfId="19723"/>
    <cellStyle name="Total 5 2 3 4" xfId="19724"/>
    <cellStyle name="Total 5 2 4" xfId="19725"/>
    <cellStyle name="Total 5 2 4 2" xfId="19726"/>
    <cellStyle name="Total 5 2 4 2 2" xfId="19727"/>
    <cellStyle name="Total 5 2 4 3" xfId="19728"/>
    <cellStyle name="Total 5 2 4 3 2" xfId="19729"/>
    <cellStyle name="Total 5 2 4 4" xfId="19730"/>
    <cellStyle name="Total 5 2 4 4 2" xfId="19731"/>
    <cellStyle name="Total 5 2 4 5" xfId="19732"/>
    <cellStyle name="Total 5 2 5" xfId="19733"/>
    <cellStyle name="Total 5 2 5 2" xfId="19734"/>
    <cellStyle name="Total 5 2 5 2 2" xfId="19735"/>
    <cellStyle name="Total 5 2 5 3" xfId="19736"/>
    <cellStyle name="Total 5 2 5 3 2" xfId="19737"/>
    <cellStyle name="Total 5 2 5 4" xfId="19738"/>
    <cellStyle name="Total 5 2 6" xfId="19739"/>
    <cellStyle name="Total 5 2 6 2" xfId="19740"/>
    <cellStyle name="Total 5 2 7" xfId="19741"/>
    <cellStyle name="Total 5 2 7 2" xfId="19742"/>
    <cellStyle name="Total 5 2 8" xfId="19743"/>
    <cellStyle name="Total 5 2 8 2" xfId="19744"/>
    <cellStyle name="Total 5 2 9" xfId="19745"/>
    <cellStyle name="Total 5 3" xfId="19746"/>
    <cellStyle name="Total 5 3 2" xfId="19747"/>
    <cellStyle name="Total 5 3 2 2" xfId="19748"/>
    <cellStyle name="Total 5 3 3" xfId="19749"/>
    <cellStyle name="Total 5 3 3 2" xfId="19750"/>
    <cellStyle name="Total 5 3 4" xfId="19751"/>
    <cellStyle name="Total 5 3 5" xfId="19752"/>
    <cellStyle name="Total 5 4" xfId="19753"/>
    <cellStyle name="Total 5 4 2" xfId="19754"/>
    <cellStyle name="Total 5 4 2 2" xfId="19755"/>
    <cellStyle name="Total 5 4 3" xfId="19756"/>
    <cellStyle name="Total 5 4 3 2" xfId="19757"/>
    <cellStyle name="Total 5 4 4" xfId="19758"/>
    <cellStyle name="Total 5 5" xfId="19759"/>
    <cellStyle name="Total 5 5 2" xfId="19760"/>
    <cellStyle name="Total 5 5 2 2" xfId="19761"/>
    <cellStyle name="Total 5 5 3" xfId="19762"/>
    <cellStyle name="Total 5 5 3 2" xfId="19763"/>
    <cellStyle name="Total 5 5 4" xfId="19764"/>
    <cellStyle name="Total 5 6" xfId="19765"/>
    <cellStyle name="Total 5 6 2" xfId="19766"/>
    <cellStyle name="Total 5 6 2 2" xfId="19767"/>
    <cellStyle name="Total 5 6 3" xfId="19768"/>
    <cellStyle name="Total 5 6 3 2" xfId="19769"/>
    <cellStyle name="Total 5 6 4" xfId="19770"/>
    <cellStyle name="Total 5 6 4 2" xfId="19771"/>
    <cellStyle name="Total 5 6 5" xfId="19772"/>
    <cellStyle name="Total 5 7" xfId="19773"/>
    <cellStyle name="Total 5 7 2" xfId="19774"/>
    <cellStyle name="Total 5 7 2 2" xfId="19775"/>
    <cellStyle name="Total 5 7 3" xfId="19776"/>
    <cellStyle name="Total 5 7 3 2" xfId="19777"/>
    <cellStyle name="Total 5 7 4" xfId="19778"/>
    <cellStyle name="Total 5 8" xfId="19779"/>
    <cellStyle name="Total 5 8 2" xfId="19780"/>
    <cellStyle name="Total 5 9" xfId="19781"/>
    <cellStyle name="Total 5 9 2" xfId="19782"/>
    <cellStyle name="Total 6 13" xfId="19783"/>
    <cellStyle name="Total 6 10" xfId="19784"/>
    <cellStyle name="Total 6 10 2" xfId="19785"/>
    <cellStyle name="Total 6 11" xfId="19786"/>
    <cellStyle name="Total 6 12" xfId="19787"/>
    <cellStyle name="Total 6 2" xfId="19788"/>
    <cellStyle name="Total 6 2 10" xfId="19789"/>
    <cellStyle name="Total 6 2 2" xfId="19790"/>
    <cellStyle name="Total 6 2 2 2" xfId="19791"/>
    <cellStyle name="Total 6 2 2 2 2" xfId="19792"/>
    <cellStyle name="Total 6 2 2 3" xfId="19793"/>
    <cellStyle name="Total 6 2 2 3 2" xfId="19794"/>
    <cellStyle name="Total 6 2 2 4" xfId="19795"/>
    <cellStyle name="Total 6 2 3" xfId="19796"/>
    <cellStyle name="Total 6 2 3 2" xfId="19797"/>
    <cellStyle name="Total 6 2 3 2 2" xfId="19798"/>
    <cellStyle name="Total 6 2 3 3" xfId="19799"/>
    <cellStyle name="Total 6 2 3 3 2" xfId="19800"/>
    <cellStyle name="Total 6 2 3 4" xfId="19801"/>
    <cellStyle name="Total 6 2 4" xfId="19802"/>
    <cellStyle name="Total 6 2 4 2" xfId="19803"/>
    <cellStyle name="Total 6 2 4 2 2" xfId="19804"/>
    <cellStyle name="Total 6 2 4 3" xfId="19805"/>
    <cellStyle name="Total 6 2 4 3 2" xfId="19806"/>
    <cellStyle name="Total 6 2 4 4" xfId="19807"/>
    <cellStyle name="Total 6 2 4 4 2" xfId="19808"/>
    <cellStyle name="Total 6 2 4 5" xfId="19809"/>
    <cellStyle name="Total 6 2 5" xfId="19810"/>
    <cellStyle name="Total 6 2 5 2" xfId="19811"/>
    <cellStyle name="Total 6 2 5 2 2" xfId="19812"/>
    <cellStyle name="Total 6 2 5 3" xfId="19813"/>
    <cellStyle name="Total 6 2 5 3 2" xfId="19814"/>
    <cellStyle name="Total 6 2 5 4" xfId="19815"/>
    <cellStyle name="Total 6 2 6" xfId="19816"/>
    <cellStyle name="Total 6 2 6 2" xfId="19817"/>
    <cellStyle name="Total 6 2 7" xfId="19818"/>
    <cellStyle name="Total 6 2 7 2" xfId="19819"/>
    <cellStyle name="Total 6 2 8" xfId="19820"/>
    <cellStyle name="Total 6 2 8 2" xfId="19821"/>
    <cellStyle name="Total 6 2 9" xfId="19822"/>
    <cellStyle name="Total 6 3" xfId="19823"/>
    <cellStyle name="Total 6 3 2" xfId="19824"/>
    <cellStyle name="Total 6 3 2 2" xfId="19825"/>
    <cellStyle name="Total 6 3 3" xfId="19826"/>
    <cellStyle name="Total 6 3 3 2" xfId="19827"/>
    <cellStyle name="Total 6 3 4" xfId="19828"/>
    <cellStyle name="Total 6 3 5" xfId="19829"/>
    <cellStyle name="Total 6 4" xfId="19830"/>
    <cellStyle name="Total 6 4 2" xfId="19831"/>
    <cellStyle name="Total 6 4 2 2" xfId="19832"/>
    <cellStyle name="Total 6 4 3" xfId="19833"/>
    <cellStyle name="Total 6 4 3 2" xfId="19834"/>
    <cellStyle name="Total 6 4 4" xfId="19835"/>
    <cellStyle name="Total 6 5" xfId="19836"/>
    <cellStyle name="Total 6 5 2" xfId="19837"/>
    <cellStyle name="Total 6 5 2 2" xfId="19838"/>
    <cellStyle name="Total 6 5 3" xfId="19839"/>
    <cellStyle name="Total 6 5 3 2" xfId="19840"/>
    <cellStyle name="Total 6 5 4" xfId="19841"/>
    <cellStyle name="Total 6 6" xfId="19842"/>
    <cellStyle name="Total 6 6 2" xfId="19843"/>
    <cellStyle name="Total 6 6 2 2" xfId="19844"/>
    <cellStyle name="Total 6 6 3" xfId="19845"/>
    <cellStyle name="Total 6 6 3 2" xfId="19846"/>
    <cellStyle name="Total 6 6 4" xfId="19847"/>
    <cellStyle name="Total 6 6 4 2" xfId="19848"/>
    <cellStyle name="Total 6 6 5" xfId="19849"/>
    <cellStyle name="Total 6 7" xfId="19850"/>
    <cellStyle name="Total 6 7 2" xfId="19851"/>
    <cellStyle name="Total 6 7 2 2" xfId="19852"/>
    <cellStyle name="Total 6 7 3" xfId="19853"/>
    <cellStyle name="Total 6 7 3 2" xfId="19854"/>
    <cellStyle name="Total 6 7 4" xfId="19855"/>
    <cellStyle name="Total 6 8" xfId="19856"/>
    <cellStyle name="Total 6 8 2" xfId="19857"/>
    <cellStyle name="Total 6 9" xfId="19858"/>
    <cellStyle name="Total 6 9 2" xfId="19859"/>
    <cellStyle name="Total 7 12" xfId="19860"/>
    <cellStyle name="Total 7 10" xfId="19861"/>
    <cellStyle name="Total 7 11" xfId="19862"/>
    <cellStyle name="Total 7 2" xfId="19863"/>
    <cellStyle name="Total 7 2 2" xfId="19864"/>
    <cellStyle name="Total 7 2 2 2" xfId="19865"/>
    <cellStyle name="Total 7 2 3" xfId="19866"/>
    <cellStyle name="Total 7 2 3 2" xfId="19867"/>
    <cellStyle name="Total 7 2 4" xfId="19868"/>
    <cellStyle name="Total 7 2 5" xfId="19869"/>
    <cellStyle name="Total 7 3" xfId="19870"/>
    <cellStyle name="Total 7 3 2" xfId="19871"/>
    <cellStyle name="Total 7 3 2 2" xfId="19872"/>
    <cellStyle name="Total 7 3 3" xfId="19873"/>
    <cellStyle name="Total 7 3 3 2" xfId="19874"/>
    <cellStyle name="Total 7 3 4" xfId="19875"/>
    <cellStyle name="Total 7 4" xfId="19876"/>
    <cellStyle name="Total 7 4 2" xfId="19877"/>
    <cellStyle name="Total 7 4 2 2" xfId="19878"/>
    <cellStyle name="Total 7 4 3" xfId="19879"/>
    <cellStyle name="Total 7 4 3 2" xfId="19880"/>
    <cellStyle name="Total 7 4 4" xfId="19881"/>
    <cellStyle name="Total 7 5" xfId="19882"/>
    <cellStyle name="Total 7 5 2" xfId="19883"/>
    <cellStyle name="Total 7 5 2 2" xfId="19884"/>
    <cellStyle name="Total 7 5 3" xfId="19885"/>
    <cellStyle name="Total 7 5 3 2" xfId="19886"/>
    <cellStyle name="Total 7 5 4" xfId="19887"/>
    <cellStyle name="Total 7 5 4 2" xfId="19888"/>
    <cellStyle name="Total 7 5 5" xfId="19889"/>
    <cellStyle name="Total 7 6" xfId="19890"/>
    <cellStyle name="Total 7 6 2" xfId="19891"/>
    <cellStyle name="Total 7 6 2 2" xfId="19892"/>
    <cellStyle name="Total 7 6 3" xfId="19893"/>
    <cellStyle name="Total 7 6 3 2" xfId="19894"/>
    <cellStyle name="Total 7 6 4" xfId="19895"/>
    <cellStyle name="Total 7 7" xfId="19896"/>
    <cellStyle name="Total 7 7 2" xfId="19897"/>
    <cellStyle name="Total 7 8" xfId="19898"/>
    <cellStyle name="Total 7 8 2" xfId="19899"/>
    <cellStyle name="Total 7 9" xfId="19900"/>
    <cellStyle name="Total 7 9 2" xfId="19901"/>
    <cellStyle name="Total 8 12" xfId="19902"/>
    <cellStyle name="Total 8 10" xfId="19903"/>
    <cellStyle name="Total 8 11" xfId="19904"/>
    <cellStyle name="Total 8 2" xfId="19905"/>
    <cellStyle name="Total 8 2 2" xfId="19906"/>
    <cellStyle name="Total 8 2 2 2" xfId="19907"/>
    <cellStyle name="Total 8 2 3" xfId="19908"/>
    <cellStyle name="Total 8 2 3 2" xfId="19909"/>
    <cellStyle name="Total 8 2 4" xfId="19910"/>
    <cellStyle name="Total 8 2 5" xfId="19911"/>
    <cellStyle name="Total 8 3" xfId="19912"/>
    <cellStyle name="Total 8 3 2" xfId="19913"/>
    <cellStyle name="Total 8 3 2 2" xfId="19914"/>
    <cellStyle name="Total 8 3 3" xfId="19915"/>
    <cellStyle name="Total 8 3 3 2" xfId="19916"/>
    <cellStyle name="Total 8 3 4" xfId="19917"/>
    <cellStyle name="Total 8 4" xfId="19918"/>
    <cellStyle name="Total 8 4 2" xfId="19919"/>
    <cellStyle name="Total 8 4 2 2" xfId="19920"/>
    <cellStyle name="Total 8 4 3" xfId="19921"/>
    <cellStyle name="Total 8 4 3 2" xfId="19922"/>
    <cellStyle name="Total 8 4 4" xfId="19923"/>
    <cellStyle name="Total 8 5" xfId="19924"/>
    <cellStyle name="Total 8 5 2" xfId="19925"/>
    <cellStyle name="Total 8 5 2 2" xfId="19926"/>
    <cellStyle name="Total 8 5 3" xfId="19927"/>
    <cellStyle name="Total 8 5 3 2" xfId="19928"/>
    <cellStyle name="Total 8 5 4" xfId="19929"/>
    <cellStyle name="Total 8 5 4 2" xfId="19930"/>
    <cellStyle name="Total 8 5 5" xfId="19931"/>
    <cellStyle name="Total 8 6" xfId="19932"/>
    <cellStyle name="Total 8 6 2" xfId="19933"/>
    <cellStyle name="Total 8 6 2 2" xfId="19934"/>
    <cellStyle name="Total 8 6 3" xfId="19935"/>
    <cellStyle name="Total 8 6 3 2" xfId="19936"/>
    <cellStyle name="Total 8 6 4" xfId="19937"/>
    <cellStyle name="Total 8 7" xfId="19938"/>
    <cellStyle name="Total 8 7 2" xfId="19939"/>
    <cellStyle name="Total 8 8" xfId="19940"/>
    <cellStyle name="Total 8 8 2" xfId="19941"/>
    <cellStyle name="Total 8 9" xfId="19942"/>
    <cellStyle name="Total 8 9 2" xfId="19943"/>
    <cellStyle name="Total 9 12" xfId="19944"/>
    <cellStyle name="Total 9 10" xfId="19945"/>
    <cellStyle name="Total 9 11" xfId="19946"/>
    <cellStyle name="Total 9 2" xfId="19947"/>
    <cellStyle name="Total 9 2 2" xfId="19948"/>
    <cellStyle name="Total 9 2 2 2" xfId="19949"/>
    <cellStyle name="Total 9 2 3" xfId="19950"/>
    <cellStyle name="Total 9 2 3 2" xfId="19951"/>
    <cellStyle name="Total 9 2 4" xfId="19952"/>
    <cellStyle name="Total 9 2 5" xfId="19953"/>
    <cellStyle name="Total 9 3" xfId="19954"/>
    <cellStyle name="Total 9 3 2" xfId="19955"/>
    <cellStyle name="Total 9 3 2 2" xfId="19956"/>
    <cellStyle name="Total 9 3 3" xfId="19957"/>
    <cellStyle name="Total 9 3 3 2" xfId="19958"/>
    <cellStyle name="Total 9 3 4" xfId="19959"/>
    <cellStyle name="Total 9 4" xfId="19960"/>
    <cellStyle name="Total 9 4 2" xfId="19961"/>
    <cellStyle name="Total 9 4 2 2" xfId="19962"/>
    <cellStyle name="Total 9 4 3" xfId="19963"/>
    <cellStyle name="Total 9 4 3 2" xfId="19964"/>
    <cellStyle name="Total 9 4 4" xfId="19965"/>
    <cellStyle name="Total 9 5" xfId="19966"/>
    <cellStyle name="Total 9 5 2" xfId="19967"/>
    <cellStyle name="Total 9 5 2 2" xfId="19968"/>
    <cellStyle name="Total 9 5 3" xfId="19969"/>
    <cellStyle name="Total 9 5 3 2" xfId="19970"/>
    <cellStyle name="Total 9 5 4" xfId="19971"/>
    <cellStyle name="Total 9 5 4 2" xfId="19972"/>
    <cellStyle name="Total 9 5 5" xfId="19973"/>
    <cellStyle name="Total 9 6" xfId="19974"/>
    <cellStyle name="Total 9 6 2" xfId="19975"/>
    <cellStyle name="Total 9 6 2 2" xfId="19976"/>
    <cellStyle name="Total 9 6 3" xfId="19977"/>
    <cellStyle name="Total 9 6 3 2" xfId="19978"/>
    <cellStyle name="Total 9 6 4" xfId="19979"/>
    <cellStyle name="Total 9 7" xfId="19980"/>
    <cellStyle name="Total 9 7 2" xfId="19981"/>
    <cellStyle name="Total 9 8" xfId="19982"/>
    <cellStyle name="Total 9 8 2" xfId="19983"/>
    <cellStyle name="Total 9 9" xfId="19984"/>
    <cellStyle name="Total 9 9 2" xfId="19985"/>
    <cellStyle name="Überschrift 15" xfId="19986"/>
    <cellStyle name="Überschrift 1 12" xfId="19987"/>
    <cellStyle name="Überschrift 1 10" xfId="19988"/>
    <cellStyle name="Überschrift 1 11" xfId="19989"/>
    <cellStyle name="Überschrift 1 2" xfId="19990"/>
    <cellStyle name="Überschrift 1 2 2" xfId="19991"/>
    <cellStyle name="Überschrift 1 2 2 2" xfId="19992"/>
    <cellStyle name="Überschrift 1 2 3" xfId="19993"/>
    <cellStyle name="Überschrift 1 2 3 2" xfId="19994"/>
    <cellStyle name="Überschrift 1 2 4" xfId="19995"/>
    <cellStyle name="Überschrift 1 2 5" xfId="19996"/>
    <cellStyle name="Überschrift 1 3" xfId="19997"/>
    <cellStyle name="Überschrift 1 3 2" xfId="19998"/>
    <cellStyle name="Überschrift 1 3 2 2" xfId="19999"/>
    <cellStyle name="Überschrift 1 3 3" xfId="20000"/>
    <cellStyle name="Überschrift 1 3 3 2" xfId="20001"/>
    <cellStyle name="Überschrift 1 3 4" xfId="20002"/>
    <cellStyle name="Überschrift 1 4" xfId="20003"/>
    <cellStyle name="Überschrift 1 4 2" xfId="20004"/>
    <cellStyle name="Überschrift 1 4 2 2" xfId="20005"/>
    <cellStyle name="Überschrift 1 4 3" xfId="20006"/>
    <cellStyle name="Überschrift 1 4 3 2" xfId="20007"/>
    <cellStyle name="Überschrift 1 4 4" xfId="20008"/>
    <cellStyle name="Überschrift 1 5" xfId="20009"/>
    <cellStyle name="Überschrift 1 5 2" xfId="20010"/>
    <cellStyle name="Überschrift 1 5 2 2" xfId="20011"/>
    <cellStyle name="Überschrift 1 5 3" xfId="20012"/>
    <cellStyle name="Überschrift 1 5 3 2" xfId="20013"/>
    <cellStyle name="Überschrift 1 5 4" xfId="20014"/>
    <cellStyle name="Überschrift 1 5 4 2" xfId="20015"/>
    <cellStyle name="Überschrift 1 5 5" xfId="20016"/>
    <cellStyle name="Überschrift 1 6" xfId="20017"/>
    <cellStyle name="Überschrift 1 6 2" xfId="20018"/>
    <cellStyle name="Überschrift 1 6 2 2" xfId="20019"/>
    <cellStyle name="Überschrift 1 6 3" xfId="20020"/>
    <cellStyle name="Überschrift 1 6 3 2" xfId="20021"/>
    <cellStyle name="Überschrift 1 6 4" xfId="20022"/>
    <cellStyle name="Überschrift 1 7" xfId="20023"/>
    <cellStyle name="Überschrift 1 7 2" xfId="20024"/>
    <cellStyle name="Überschrift 1 8" xfId="20025"/>
    <cellStyle name="Überschrift 1 8 2" xfId="20026"/>
    <cellStyle name="Überschrift 1 9" xfId="20027"/>
    <cellStyle name="Überschrift 1 9 2" xfId="20028"/>
    <cellStyle name="Überschrift 10" xfId="20029"/>
    <cellStyle name="Überschrift 10 2" xfId="20030"/>
    <cellStyle name="Überschrift 11" xfId="20031"/>
    <cellStyle name="Überschrift 11 2" xfId="20032"/>
    <cellStyle name="Überschrift 12" xfId="20033"/>
    <cellStyle name="Überschrift 12 2" xfId="20034"/>
    <cellStyle name="Überschrift 13" xfId="20035"/>
    <cellStyle name="Überschrift 14" xfId="20036"/>
    <cellStyle name="Überschrift 2 12" xfId="20037"/>
    <cellStyle name="Überschrift 2 10" xfId="20038"/>
    <cellStyle name="Überschrift 2 11" xfId="20039"/>
    <cellStyle name="Überschrift 2 2" xfId="20040"/>
    <cellStyle name="Überschrift 2 2 2" xfId="20041"/>
    <cellStyle name="Überschrift 2 2 2 2" xfId="20042"/>
    <cellStyle name="Überschrift 2 2 3" xfId="20043"/>
    <cellStyle name="Überschrift 2 2 3 2" xfId="20044"/>
    <cellStyle name="Überschrift 2 2 4" xfId="20045"/>
    <cellStyle name="Überschrift 2 2 5" xfId="20046"/>
    <cellStyle name="Überschrift 2 3" xfId="20047"/>
    <cellStyle name="Überschrift 2 3 2" xfId="20048"/>
    <cellStyle name="Überschrift 2 3 2 2" xfId="20049"/>
    <cellStyle name="Überschrift 2 3 3" xfId="20050"/>
    <cellStyle name="Überschrift 2 3 3 2" xfId="20051"/>
    <cellStyle name="Überschrift 2 3 4" xfId="20052"/>
    <cellStyle name="Überschrift 2 4" xfId="20053"/>
    <cellStyle name="Überschrift 2 4 2" xfId="20054"/>
    <cellStyle name="Überschrift 2 4 2 2" xfId="20055"/>
    <cellStyle name="Überschrift 2 4 3" xfId="20056"/>
    <cellStyle name="Überschrift 2 4 3 2" xfId="20057"/>
    <cellStyle name="Überschrift 2 4 4" xfId="20058"/>
    <cellStyle name="Überschrift 2 5" xfId="20059"/>
    <cellStyle name="Überschrift 2 5 2" xfId="20060"/>
    <cellStyle name="Überschrift 2 5 2 2" xfId="20061"/>
    <cellStyle name="Überschrift 2 5 3" xfId="20062"/>
    <cellStyle name="Überschrift 2 5 3 2" xfId="20063"/>
    <cellStyle name="Überschrift 2 5 4" xfId="20064"/>
    <cellStyle name="Überschrift 2 5 4 2" xfId="20065"/>
    <cellStyle name="Überschrift 2 5 5" xfId="20066"/>
    <cellStyle name="Überschrift 2 6" xfId="20067"/>
    <cellStyle name="Überschrift 2 6 2" xfId="20068"/>
    <cellStyle name="Überschrift 2 6 2 2" xfId="20069"/>
    <cellStyle name="Überschrift 2 6 3" xfId="20070"/>
    <cellStyle name="Überschrift 2 6 3 2" xfId="20071"/>
    <cellStyle name="Überschrift 2 6 4" xfId="20072"/>
    <cellStyle name="Überschrift 2 7" xfId="20073"/>
    <cellStyle name="Überschrift 2 7 2" xfId="20074"/>
    <cellStyle name="Überschrift 2 8" xfId="20075"/>
    <cellStyle name="Überschrift 2 8 2" xfId="20076"/>
    <cellStyle name="Überschrift 2 9" xfId="20077"/>
    <cellStyle name="Überschrift 2 9 2" xfId="20078"/>
    <cellStyle name="Überschrift 3 12" xfId="20079"/>
    <cellStyle name="Überschrift 3 10" xfId="20080"/>
    <cellStyle name="Überschrift 3 11" xfId="20081"/>
    <cellStyle name="Überschrift 3 2" xfId="20082"/>
    <cellStyle name="Überschrift 3 2 2" xfId="20083"/>
    <cellStyle name="Überschrift 3 2 2 2" xfId="20084"/>
    <cellStyle name="Überschrift 3 2 3" xfId="20085"/>
    <cellStyle name="Überschrift 3 2 3 2" xfId="20086"/>
    <cellStyle name="Überschrift 3 2 4" xfId="20087"/>
    <cellStyle name="Überschrift 3 2 5" xfId="20088"/>
    <cellStyle name="Überschrift 3 3" xfId="20089"/>
    <cellStyle name="Überschrift 3 3 2" xfId="20090"/>
    <cellStyle name="Überschrift 3 3 2 2" xfId="20091"/>
    <cellStyle name="Überschrift 3 3 3" xfId="20092"/>
    <cellStyle name="Überschrift 3 3 3 2" xfId="20093"/>
    <cellStyle name="Überschrift 3 3 4" xfId="20094"/>
    <cellStyle name="Überschrift 3 4" xfId="20095"/>
    <cellStyle name="Überschrift 3 4 2" xfId="20096"/>
    <cellStyle name="Überschrift 3 4 2 2" xfId="20097"/>
    <cellStyle name="Überschrift 3 4 3" xfId="20098"/>
    <cellStyle name="Überschrift 3 4 3 2" xfId="20099"/>
    <cellStyle name="Überschrift 3 4 4" xfId="20100"/>
    <cellStyle name="Überschrift 3 5" xfId="20101"/>
    <cellStyle name="Überschrift 3 5 2" xfId="20102"/>
    <cellStyle name="Überschrift 3 5 2 2" xfId="20103"/>
    <cellStyle name="Überschrift 3 5 3" xfId="20104"/>
    <cellStyle name="Überschrift 3 5 3 2" xfId="20105"/>
    <cellStyle name="Überschrift 3 5 4" xfId="20106"/>
    <cellStyle name="Überschrift 3 5 4 2" xfId="20107"/>
    <cellStyle name="Überschrift 3 5 5" xfId="20108"/>
    <cellStyle name="Überschrift 3 6" xfId="20109"/>
    <cellStyle name="Überschrift 3 6 2" xfId="20110"/>
    <cellStyle name="Überschrift 3 6 2 2" xfId="20111"/>
    <cellStyle name="Überschrift 3 6 3" xfId="20112"/>
    <cellStyle name="Überschrift 3 6 3 2" xfId="20113"/>
    <cellStyle name="Überschrift 3 6 4" xfId="20114"/>
    <cellStyle name="Überschrift 3 7" xfId="20115"/>
    <cellStyle name="Überschrift 3 7 2" xfId="20116"/>
    <cellStyle name="Überschrift 3 8" xfId="20117"/>
    <cellStyle name="Überschrift 3 8 2" xfId="20118"/>
    <cellStyle name="Überschrift 3 9" xfId="20119"/>
    <cellStyle name="Überschrift 3 9 2" xfId="20120"/>
    <cellStyle name="Überschrift 4 12" xfId="20121"/>
    <cellStyle name="Überschrift 4 10" xfId="20122"/>
    <cellStyle name="Überschrift 4 11" xfId="20123"/>
    <cellStyle name="Überschrift 4 2" xfId="20124"/>
    <cellStyle name="Überschrift 4 2 2" xfId="20125"/>
    <cellStyle name="Überschrift 4 2 2 2" xfId="20126"/>
    <cellStyle name="Überschrift 4 2 3" xfId="20127"/>
    <cellStyle name="Überschrift 4 2 3 2" xfId="20128"/>
    <cellStyle name="Überschrift 4 2 4" xfId="20129"/>
    <cellStyle name="Überschrift 4 2 5" xfId="20130"/>
    <cellStyle name="Überschrift 4 3" xfId="20131"/>
    <cellStyle name="Überschrift 4 3 2" xfId="20132"/>
    <cellStyle name="Überschrift 4 3 2 2" xfId="20133"/>
    <cellStyle name="Überschrift 4 3 3" xfId="20134"/>
    <cellStyle name="Überschrift 4 3 3 2" xfId="20135"/>
    <cellStyle name="Überschrift 4 3 4" xfId="20136"/>
    <cellStyle name="Überschrift 4 4" xfId="20137"/>
    <cellStyle name="Überschrift 4 4 2" xfId="20138"/>
    <cellStyle name="Überschrift 4 4 2 2" xfId="20139"/>
    <cellStyle name="Überschrift 4 4 3" xfId="20140"/>
    <cellStyle name="Überschrift 4 4 3 2" xfId="20141"/>
    <cellStyle name="Überschrift 4 4 4" xfId="20142"/>
    <cellStyle name="Überschrift 4 5" xfId="20143"/>
    <cellStyle name="Überschrift 4 5 2" xfId="20144"/>
    <cellStyle name="Überschrift 4 5 2 2" xfId="20145"/>
    <cellStyle name="Überschrift 4 5 3" xfId="20146"/>
    <cellStyle name="Überschrift 4 5 3 2" xfId="20147"/>
    <cellStyle name="Überschrift 4 5 4" xfId="20148"/>
    <cellStyle name="Überschrift 4 5 4 2" xfId="20149"/>
    <cellStyle name="Überschrift 4 5 5" xfId="20150"/>
    <cellStyle name="Überschrift 4 6" xfId="20151"/>
    <cellStyle name="Überschrift 4 6 2" xfId="20152"/>
    <cellStyle name="Überschrift 4 6 2 2" xfId="20153"/>
    <cellStyle name="Überschrift 4 6 3" xfId="20154"/>
    <cellStyle name="Überschrift 4 6 3 2" xfId="20155"/>
    <cellStyle name="Überschrift 4 6 4" xfId="20156"/>
    <cellStyle name="Überschrift 4 7" xfId="20157"/>
    <cellStyle name="Überschrift 4 7 2" xfId="20158"/>
    <cellStyle name="Überschrift 4 8" xfId="20159"/>
    <cellStyle name="Überschrift 4 8 2" xfId="20160"/>
    <cellStyle name="Überschrift 4 9" xfId="20161"/>
    <cellStyle name="Überschrift 4 9 2" xfId="20162"/>
    <cellStyle name="Überschrift 5" xfId="20163"/>
    <cellStyle name="Überschrift 5 2" xfId="20164"/>
    <cellStyle name="Überschrift 5 2 2" xfId="20165"/>
    <cellStyle name="Überschrift 5 3" xfId="20166"/>
    <cellStyle name="Überschrift 5 3 2" xfId="20167"/>
    <cellStyle name="Überschrift 5 4" xfId="20168"/>
    <cellStyle name="Überschrift 5 5" xfId="20169"/>
    <cellStyle name="Überschrift 6" xfId="20170"/>
    <cellStyle name="Überschrift 6 2" xfId="20171"/>
    <cellStyle name="Überschrift 6 2 2" xfId="20172"/>
    <cellStyle name="Überschrift 6 3" xfId="20173"/>
    <cellStyle name="Überschrift 6 3 2" xfId="20174"/>
    <cellStyle name="Überschrift 6 4" xfId="20175"/>
    <cellStyle name="Überschrift 7" xfId="20176"/>
    <cellStyle name="Überschrift 7 2" xfId="20177"/>
    <cellStyle name="Überschrift 7 2 2" xfId="20178"/>
    <cellStyle name="Überschrift 7 3" xfId="20179"/>
    <cellStyle name="Überschrift 7 3 2" xfId="20180"/>
    <cellStyle name="Überschrift 7 4" xfId="20181"/>
    <cellStyle name="Überschrift 8" xfId="20182"/>
    <cellStyle name="Überschrift 8 2" xfId="20183"/>
    <cellStyle name="Überschrift 8 2 2" xfId="20184"/>
    <cellStyle name="Überschrift 8 3" xfId="20185"/>
    <cellStyle name="Überschrift 8 3 2" xfId="20186"/>
    <cellStyle name="Überschrift 8 4" xfId="20187"/>
    <cellStyle name="Überschrift 8 4 2" xfId="20188"/>
    <cellStyle name="Überschrift 8 5" xfId="20189"/>
    <cellStyle name="Überschrift 9" xfId="20190"/>
    <cellStyle name="Überschrift 9 2" xfId="20191"/>
    <cellStyle name="Überschrift 9 2 2" xfId="20192"/>
    <cellStyle name="Überschrift 9 3" xfId="20193"/>
    <cellStyle name="Überschrift 9 3 2" xfId="20194"/>
    <cellStyle name="Überschrift 9 4" xfId="20195"/>
    <cellStyle name="Verknüpfte Zelle 12" xfId="20196"/>
    <cellStyle name="Verknüpfte Zelle 10" xfId="20197"/>
    <cellStyle name="Verknüpfte Zelle 11" xfId="20198"/>
    <cellStyle name="Verknüpfte Zelle 2" xfId="20199"/>
    <cellStyle name="Verknüpfte Zelle 2 2" xfId="20200"/>
    <cellStyle name="Verknüpfte Zelle 2 2 2" xfId="20201"/>
    <cellStyle name="Verknüpfte Zelle 2 3" xfId="20202"/>
    <cellStyle name="Verknüpfte Zelle 2 3 2" xfId="20203"/>
    <cellStyle name="Verknüpfte Zelle 2 4" xfId="20204"/>
    <cellStyle name="Verknüpfte Zelle 2 5" xfId="20205"/>
    <cellStyle name="Verknüpfte Zelle 3" xfId="20206"/>
    <cellStyle name="Verknüpfte Zelle 3 2" xfId="20207"/>
    <cellStyle name="Verknüpfte Zelle 3 2 2" xfId="20208"/>
    <cellStyle name="Verknüpfte Zelle 3 3" xfId="20209"/>
    <cellStyle name="Verknüpfte Zelle 3 3 2" xfId="20210"/>
    <cellStyle name="Verknüpfte Zelle 3 4" xfId="20211"/>
    <cellStyle name="Verknüpfte Zelle 4" xfId="20212"/>
    <cellStyle name="Verknüpfte Zelle 4 2" xfId="20213"/>
    <cellStyle name="Verknüpfte Zelle 4 2 2" xfId="20214"/>
    <cellStyle name="Verknüpfte Zelle 4 3" xfId="20215"/>
    <cellStyle name="Verknüpfte Zelle 4 3 2" xfId="20216"/>
    <cellStyle name="Verknüpfte Zelle 4 4" xfId="20217"/>
    <cellStyle name="Verknüpfte Zelle 5" xfId="20218"/>
    <cellStyle name="Verknüpfte Zelle 5 2" xfId="20219"/>
    <cellStyle name="Verknüpfte Zelle 5 2 2" xfId="20220"/>
    <cellStyle name="Verknüpfte Zelle 5 3" xfId="20221"/>
    <cellStyle name="Verknüpfte Zelle 5 3 2" xfId="20222"/>
    <cellStyle name="Verknüpfte Zelle 5 4" xfId="20223"/>
    <cellStyle name="Verknüpfte Zelle 5 4 2" xfId="20224"/>
    <cellStyle name="Verknüpfte Zelle 5 5" xfId="20225"/>
    <cellStyle name="Verknüpfte Zelle 6" xfId="20226"/>
    <cellStyle name="Verknüpfte Zelle 6 2" xfId="20227"/>
    <cellStyle name="Verknüpfte Zelle 6 2 2" xfId="20228"/>
    <cellStyle name="Verknüpfte Zelle 6 3" xfId="20229"/>
    <cellStyle name="Verknüpfte Zelle 6 3 2" xfId="20230"/>
    <cellStyle name="Verknüpfte Zelle 6 4" xfId="20231"/>
    <cellStyle name="Verknüpfte Zelle 7" xfId="20232"/>
    <cellStyle name="Verknüpfte Zelle 7 2" xfId="20233"/>
    <cellStyle name="Verknüpfte Zelle 8" xfId="20234"/>
    <cellStyle name="Verknüpfte Zelle 8 2" xfId="20235"/>
    <cellStyle name="Verknüpfte Zelle 9" xfId="20236"/>
    <cellStyle name="Verknüpfte Zelle 9 2" xfId="20237"/>
    <cellStyle name="Warnender Text 12" xfId="20238"/>
    <cellStyle name="Warnender Text 10" xfId="20239"/>
    <cellStyle name="Warnender Text 11" xfId="20240"/>
    <cellStyle name="Warnender Text 2" xfId="20241"/>
    <cellStyle name="Warnender Text 2 2" xfId="20242"/>
    <cellStyle name="Warnender Text 2 2 2" xfId="20243"/>
    <cellStyle name="Warnender Text 2 3" xfId="20244"/>
    <cellStyle name="Warnender Text 2 3 2" xfId="20245"/>
    <cellStyle name="Warnender Text 2 4" xfId="20246"/>
    <cellStyle name="Warnender Text 2 5" xfId="20247"/>
    <cellStyle name="Warnender Text 3" xfId="20248"/>
    <cellStyle name="Warnender Text 3 2" xfId="20249"/>
    <cellStyle name="Warnender Text 3 2 2" xfId="20250"/>
    <cellStyle name="Warnender Text 3 3" xfId="20251"/>
    <cellStyle name="Warnender Text 3 3 2" xfId="20252"/>
    <cellStyle name="Warnender Text 3 4" xfId="20253"/>
    <cellStyle name="Warnender Text 4" xfId="20254"/>
    <cellStyle name="Warnender Text 4 2" xfId="20255"/>
    <cellStyle name="Warnender Text 4 2 2" xfId="20256"/>
    <cellStyle name="Warnender Text 4 3" xfId="20257"/>
    <cellStyle name="Warnender Text 4 3 2" xfId="20258"/>
    <cellStyle name="Warnender Text 4 4" xfId="20259"/>
    <cellStyle name="Warnender Text 5" xfId="20260"/>
    <cellStyle name="Warnender Text 5 2" xfId="20261"/>
    <cellStyle name="Warnender Text 5 2 2" xfId="20262"/>
    <cellStyle name="Warnender Text 5 3" xfId="20263"/>
    <cellStyle name="Warnender Text 5 3 2" xfId="20264"/>
    <cellStyle name="Warnender Text 5 4" xfId="20265"/>
    <cellStyle name="Warnender Text 5 4 2" xfId="20266"/>
    <cellStyle name="Warnender Text 5 5" xfId="20267"/>
    <cellStyle name="Warnender Text 6" xfId="20268"/>
    <cellStyle name="Warnender Text 6 2" xfId="20269"/>
    <cellStyle name="Warnender Text 6 2 2" xfId="20270"/>
    <cellStyle name="Warnender Text 6 3" xfId="20271"/>
    <cellStyle name="Warnender Text 6 3 2" xfId="20272"/>
    <cellStyle name="Warnender Text 6 4" xfId="20273"/>
    <cellStyle name="Warnender Text 7" xfId="20274"/>
    <cellStyle name="Warnender Text 7 2" xfId="20275"/>
    <cellStyle name="Warnender Text 8" xfId="20276"/>
    <cellStyle name="Warnender Text 8 2" xfId="20277"/>
    <cellStyle name="Warnender Text 9" xfId="20278"/>
    <cellStyle name="Warnender Text 9 2" xfId="20279"/>
    <cellStyle name="Warning Text 10 12" xfId="20280"/>
    <cellStyle name="Warning Text 10 10" xfId="20281"/>
    <cellStyle name="Warning Text 10 11" xfId="20282"/>
    <cellStyle name="Warning Text 10 2" xfId="20283"/>
    <cellStyle name="Warning Text 10 2 2" xfId="20284"/>
    <cellStyle name="Warning Text 10 2 2 2" xfId="20285"/>
    <cellStyle name="Warning Text 10 2 3" xfId="20286"/>
    <cellStyle name="Warning Text 10 2 3 2" xfId="20287"/>
    <cellStyle name="Warning Text 10 2 4" xfId="20288"/>
    <cellStyle name="Warning Text 10 2 5" xfId="20289"/>
    <cellStyle name="Warning Text 10 3" xfId="20290"/>
    <cellStyle name="Warning Text 10 3 2" xfId="20291"/>
    <cellStyle name="Warning Text 10 3 2 2" xfId="20292"/>
    <cellStyle name="Warning Text 10 3 3" xfId="20293"/>
    <cellStyle name="Warning Text 10 3 3 2" xfId="20294"/>
    <cellStyle name="Warning Text 10 3 4" xfId="20295"/>
    <cellStyle name="Warning Text 10 4" xfId="20296"/>
    <cellStyle name="Warning Text 10 4 2" xfId="20297"/>
    <cellStyle name="Warning Text 10 4 2 2" xfId="20298"/>
    <cellStyle name="Warning Text 10 4 3" xfId="20299"/>
    <cellStyle name="Warning Text 10 4 3 2" xfId="20300"/>
    <cellStyle name="Warning Text 10 4 4" xfId="20301"/>
    <cellStyle name="Warning Text 10 5" xfId="20302"/>
    <cellStyle name="Warning Text 10 5 2" xfId="20303"/>
    <cellStyle name="Warning Text 10 5 2 2" xfId="20304"/>
    <cellStyle name="Warning Text 10 5 3" xfId="20305"/>
    <cellStyle name="Warning Text 10 5 3 2" xfId="20306"/>
    <cellStyle name="Warning Text 10 5 4" xfId="20307"/>
    <cellStyle name="Warning Text 10 5 4 2" xfId="20308"/>
    <cellStyle name="Warning Text 10 5 5" xfId="20309"/>
    <cellStyle name="Warning Text 10 6" xfId="20310"/>
    <cellStyle name="Warning Text 10 6 2" xfId="20311"/>
    <cellStyle name="Warning Text 10 6 2 2" xfId="20312"/>
    <cellStyle name="Warning Text 10 6 3" xfId="20313"/>
    <cellStyle name="Warning Text 10 6 3 2" xfId="20314"/>
    <cellStyle name="Warning Text 10 6 4" xfId="20315"/>
    <cellStyle name="Warning Text 10 7" xfId="20316"/>
    <cellStyle name="Warning Text 10 7 2" xfId="20317"/>
    <cellStyle name="Warning Text 10 8" xfId="20318"/>
    <cellStyle name="Warning Text 10 8 2" xfId="20319"/>
    <cellStyle name="Warning Text 10 9" xfId="20320"/>
    <cellStyle name="Warning Text 10 9 2" xfId="20321"/>
    <cellStyle name="Warning Text 11 12" xfId="20322"/>
    <cellStyle name="Warning Text 11 10" xfId="20323"/>
    <cellStyle name="Warning Text 11 11" xfId="20324"/>
    <cellStyle name="Warning Text 11 2" xfId="20325"/>
    <cellStyle name="Warning Text 11 2 2" xfId="20326"/>
    <cellStyle name="Warning Text 11 2 2 2" xfId="20327"/>
    <cellStyle name="Warning Text 11 2 3" xfId="20328"/>
    <cellStyle name="Warning Text 11 2 3 2" xfId="20329"/>
    <cellStyle name="Warning Text 11 2 4" xfId="20330"/>
    <cellStyle name="Warning Text 11 2 5" xfId="20331"/>
    <cellStyle name="Warning Text 11 3" xfId="20332"/>
    <cellStyle name="Warning Text 11 3 2" xfId="20333"/>
    <cellStyle name="Warning Text 11 3 2 2" xfId="20334"/>
    <cellStyle name="Warning Text 11 3 3" xfId="20335"/>
    <cellStyle name="Warning Text 11 3 3 2" xfId="20336"/>
    <cellStyle name="Warning Text 11 3 4" xfId="20337"/>
    <cellStyle name="Warning Text 11 4" xfId="20338"/>
    <cellStyle name="Warning Text 11 4 2" xfId="20339"/>
    <cellStyle name="Warning Text 11 4 2 2" xfId="20340"/>
    <cellStyle name="Warning Text 11 4 3" xfId="20341"/>
    <cellStyle name="Warning Text 11 4 3 2" xfId="20342"/>
    <cellStyle name="Warning Text 11 4 4" xfId="20343"/>
    <cellStyle name="Warning Text 11 5" xfId="20344"/>
    <cellStyle name="Warning Text 11 5 2" xfId="20345"/>
    <cellStyle name="Warning Text 11 5 2 2" xfId="20346"/>
    <cellStyle name="Warning Text 11 5 3" xfId="20347"/>
    <cellStyle name="Warning Text 11 5 3 2" xfId="20348"/>
    <cellStyle name="Warning Text 11 5 4" xfId="20349"/>
    <cellStyle name="Warning Text 11 5 4 2" xfId="20350"/>
    <cellStyle name="Warning Text 11 5 5" xfId="20351"/>
    <cellStyle name="Warning Text 11 6" xfId="20352"/>
    <cellStyle name="Warning Text 11 6 2" xfId="20353"/>
    <cellStyle name="Warning Text 11 6 2 2" xfId="20354"/>
    <cellStyle name="Warning Text 11 6 3" xfId="20355"/>
    <cellStyle name="Warning Text 11 6 3 2" xfId="20356"/>
    <cellStyle name="Warning Text 11 6 4" xfId="20357"/>
    <cellStyle name="Warning Text 11 7" xfId="20358"/>
    <cellStyle name="Warning Text 11 7 2" xfId="20359"/>
    <cellStyle name="Warning Text 11 8" xfId="20360"/>
    <cellStyle name="Warning Text 11 8 2" xfId="20361"/>
    <cellStyle name="Warning Text 11 9" xfId="20362"/>
    <cellStyle name="Warning Text 11 9 2" xfId="20363"/>
    <cellStyle name="Warning Text 12 12" xfId="20364"/>
    <cellStyle name="Warning Text 12 10" xfId="20365"/>
    <cellStyle name="Warning Text 12 11" xfId="20366"/>
    <cellStyle name="Warning Text 12 2" xfId="20367"/>
    <cellStyle name="Warning Text 12 2 2" xfId="20368"/>
    <cellStyle name="Warning Text 12 2 2 2" xfId="20369"/>
    <cellStyle name="Warning Text 12 2 3" xfId="20370"/>
    <cellStyle name="Warning Text 12 2 3 2" xfId="20371"/>
    <cellStyle name="Warning Text 12 2 4" xfId="20372"/>
    <cellStyle name="Warning Text 12 2 5" xfId="20373"/>
    <cellStyle name="Warning Text 12 3" xfId="20374"/>
    <cellStyle name="Warning Text 12 3 2" xfId="20375"/>
    <cellStyle name="Warning Text 12 3 2 2" xfId="20376"/>
    <cellStyle name="Warning Text 12 3 3" xfId="20377"/>
    <cellStyle name="Warning Text 12 3 3 2" xfId="20378"/>
    <cellStyle name="Warning Text 12 3 4" xfId="20379"/>
    <cellStyle name="Warning Text 12 4" xfId="20380"/>
    <cellStyle name="Warning Text 12 4 2" xfId="20381"/>
    <cellStyle name="Warning Text 12 4 2 2" xfId="20382"/>
    <cellStyle name="Warning Text 12 4 3" xfId="20383"/>
    <cellStyle name="Warning Text 12 4 3 2" xfId="20384"/>
    <cellStyle name="Warning Text 12 4 4" xfId="20385"/>
    <cellStyle name="Warning Text 12 5" xfId="20386"/>
    <cellStyle name="Warning Text 12 5 2" xfId="20387"/>
    <cellStyle name="Warning Text 12 5 2 2" xfId="20388"/>
    <cellStyle name="Warning Text 12 5 3" xfId="20389"/>
    <cellStyle name="Warning Text 12 5 3 2" xfId="20390"/>
    <cellStyle name="Warning Text 12 5 4" xfId="20391"/>
    <cellStyle name="Warning Text 12 5 4 2" xfId="20392"/>
    <cellStyle name="Warning Text 12 5 5" xfId="20393"/>
    <cellStyle name="Warning Text 12 6" xfId="20394"/>
    <cellStyle name="Warning Text 12 6 2" xfId="20395"/>
    <cellStyle name="Warning Text 12 6 2 2" xfId="20396"/>
    <cellStyle name="Warning Text 12 6 3" xfId="20397"/>
    <cellStyle name="Warning Text 12 6 3 2" xfId="20398"/>
    <cellStyle name="Warning Text 12 6 4" xfId="20399"/>
    <cellStyle name="Warning Text 12 7" xfId="20400"/>
    <cellStyle name="Warning Text 12 7 2" xfId="20401"/>
    <cellStyle name="Warning Text 12 8" xfId="20402"/>
    <cellStyle name="Warning Text 12 8 2" xfId="20403"/>
    <cellStyle name="Warning Text 12 9" xfId="20404"/>
    <cellStyle name="Warning Text 12 9 2" xfId="20405"/>
    <cellStyle name="Warning Text 13 12" xfId="20406"/>
    <cellStyle name="Warning Text 13 10" xfId="20407"/>
    <cellStyle name="Warning Text 13 11" xfId="20408"/>
    <cellStyle name="Warning Text 13 2" xfId="20409"/>
    <cellStyle name="Warning Text 13 2 2" xfId="20410"/>
    <cellStyle name="Warning Text 13 2 2 2" xfId="20411"/>
    <cellStyle name="Warning Text 13 2 3" xfId="20412"/>
    <cellStyle name="Warning Text 13 2 3 2" xfId="20413"/>
    <cellStyle name="Warning Text 13 2 4" xfId="20414"/>
    <cellStyle name="Warning Text 13 2 5" xfId="20415"/>
    <cellStyle name="Warning Text 13 3" xfId="20416"/>
    <cellStyle name="Warning Text 13 3 2" xfId="20417"/>
    <cellStyle name="Warning Text 13 3 2 2" xfId="20418"/>
    <cellStyle name="Warning Text 13 3 3" xfId="20419"/>
    <cellStyle name="Warning Text 13 3 3 2" xfId="20420"/>
    <cellStyle name="Warning Text 13 3 4" xfId="20421"/>
    <cellStyle name="Warning Text 13 4" xfId="20422"/>
    <cellStyle name="Warning Text 13 4 2" xfId="20423"/>
    <cellStyle name="Warning Text 13 4 2 2" xfId="20424"/>
    <cellStyle name="Warning Text 13 4 3" xfId="20425"/>
    <cellStyle name="Warning Text 13 4 3 2" xfId="20426"/>
    <cellStyle name="Warning Text 13 4 4" xfId="20427"/>
    <cellStyle name="Warning Text 13 5" xfId="20428"/>
    <cellStyle name="Warning Text 13 5 2" xfId="20429"/>
    <cellStyle name="Warning Text 13 5 2 2" xfId="20430"/>
    <cellStyle name="Warning Text 13 5 3" xfId="20431"/>
    <cellStyle name="Warning Text 13 5 3 2" xfId="20432"/>
    <cellStyle name="Warning Text 13 5 4" xfId="20433"/>
    <cellStyle name="Warning Text 13 5 4 2" xfId="20434"/>
    <cellStyle name="Warning Text 13 5 5" xfId="20435"/>
    <cellStyle name="Warning Text 13 6" xfId="20436"/>
    <cellStyle name="Warning Text 13 6 2" xfId="20437"/>
    <cellStyle name="Warning Text 13 6 2 2" xfId="20438"/>
    <cellStyle name="Warning Text 13 6 3" xfId="20439"/>
    <cellStyle name="Warning Text 13 6 3 2" xfId="20440"/>
    <cellStyle name="Warning Text 13 6 4" xfId="20441"/>
    <cellStyle name="Warning Text 13 7" xfId="20442"/>
    <cellStyle name="Warning Text 13 7 2" xfId="20443"/>
    <cellStyle name="Warning Text 13 8" xfId="20444"/>
    <cellStyle name="Warning Text 13 8 2" xfId="20445"/>
    <cellStyle name="Warning Text 13 9" xfId="20446"/>
    <cellStyle name="Warning Text 13 9 2" xfId="20447"/>
    <cellStyle name="Warning Text 14 12" xfId="20448"/>
    <cellStyle name="Warning Text 14 10" xfId="20449"/>
    <cellStyle name="Warning Text 14 11" xfId="20450"/>
    <cellStyle name="Warning Text 14 2" xfId="20451"/>
    <cellStyle name="Warning Text 14 2 2" xfId="20452"/>
    <cellStyle name="Warning Text 14 2 2 2" xfId="20453"/>
    <cellStyle name="Warning Text 14 2 3" xfId="20454"/>
    <cellStyle name="Warning Text 14 2 3 2" xfId="20455"/>
    <cellStyle name="Warning Text 14 2 4" xfId="20456"/>
    <cellStyle name="Warning Text 14 2 5" xfId="20457"/>
    <cellStyle name="Warning Text 14 3" xfId="20458"/>
    <cellStyle name="Warning Text 14 3 2" xfId="20459"/>
    <cellStyle name="Warning Text 14 3 2 2" xfId="20460"/>
    <cellStyle name="Warning Text 14 3 3" xfId="20461"/>
    <cellStyle name="Warning Text 14 3 3 2" xfId="20462"/>
    <cellStyle name="Warning Text 14 3 4" xfId="20463"/>
    <cellStyle name="Warning Text 14 4" xfId="20464"/>
    <cellStyle name="Warning Text 14 4 2" xfId="20465"/>
    <cellStyle name="Warning Text 14 4 2 2" xfId="20466"/>
    <cellStyle name="Warning Text 14 4 3" xfId="20467"/>
    <cellStyle name="Warning Text 14 4 3 2" xfId="20468"/>
    <cellStyle name="Warning Text 14 4 4" xfId="20469"/>
    <cellStyle name="Warning Text 14 5" xfId="20470"/>
    <cellStyle name="Warning Text 14 5 2" xfId="20471"/>
    <cellStyle name="Warning Text 14 5 2 2" xfId="20472"/>
    <cellStyle name="Warning Text 14 5 3" xfId="20473"/>
    <cellStyle name="Warning Text 14 5 3 2" xfId="20474"/>
    <cellStyle name="Warning Text 14 5 4" xfId="20475"/>
    <cellStyle name="Warning Text 14 5 4 2" xfId="20476"/>
    <cellStyle name="Warning Text 14 5 5" xfId="20477"/>
    <cellStyle name="Warning Text 14 6" xfId="20478"/>
    <cellStyle name="Warning Text 14 6 2" xfId="20479"/>
    <cellStyle name="Warning Text 14 6 2 2" xfId="20480"/>
    <cellStyle name="Warning Text 14 6 3" xfId="20481"/>
    <cellStyle name="Warning Text 14 6 3 2" xfId="20482"/>
    <cellStyle name="Warning Text 14 6 4" xfId="20483"/>
    <cellStyle name="Warning Text 14 7" xfId="20484"/>
    <cellStyle name="Warning Text 14 7 2" xfId="20485"/>
    <cellStyle name="Warning Text 14 8" xfId="20486"/>
    <cellStyle name="Warning Text 14 8 2" xfId="20487"/>
    <cellStyle name="Warning Text 14 9" xfId="20488"/>
    <cellStyle name="Warning Text 14 9 2" xfId="20489"/>
    <cellStyle name="Warning Text 15 12" xfId="20490"/>
    <cellStyle name="Warning Text 15 10" xfId="20491"/>
    <cellStyle name="Warning Text 15 11" xfId="20492"/>
    <cellStyle name="Warning Text 15 2" xfId="20493"/>
    <cellStyle name="Warning Text 15 2 2" xfId="20494"/>
    <cellStyle name="Warning Text 15 2 2 2" xfId="20495"/>
    <cellStyle name="Warning Text 15 2 3" xfId="20496"/>
    <cellStyle name="Warning Text 15 2 3 2" xfId="20497"/>
    <cellStyle name="Warning Text 15 2 4" xfId="20498"/>
    <cellStyle name="Warning Text 15 2 5" xfId="20499"/>
    <cellStyle name="Warning Text 15 3" xfId="20500"/>
    <cellStyle name="Warning Text 15 3 2" xfId="20501"/>
    <cellStyle name="Warning Text 15 3 2 2" xfId="20502"/>
    <cellStyle name="Warning Text 15 3 3" xfId="20503"/>
    <cellStyle name="Warning Text 15 3 3 2" xfId="20504"/>
    <cellStyle name="Warning Text 15 3 4" xfId="20505"/>
    <cellStyle name="Warning Text 15 4" xfId="20506"/>
    <cellStyle name="Warning Text 15 4 2" xfId="20507"/>
    <cellStyle name="Warning Text 15 4 2 2" xfId="20508"/>
    <cellStyle name="Warning Text 15 4 3" xfId="20509"/>
    <cellStyle name="Warning Text 15 4 3 2" xfId="20510"/>
    <cellStyle name="Warning Text 15 4 4" xfId="20511"/>
    <cellStyle name="Warning Text 15 5" xfId="20512"/>
    <cellStyle name="Warning Text 15 5 2" xfId="20513"/>
    <cellStyle name="Warning Text 15 5 2 2" xfId="20514"/>
    <cellStyle name="Warning Text 15 5 3" xfId="20515"/>
    <cellStyle name="Warning Text 15 5 3 2" xfId="20516"/>
    <cellStyle name="Warning Text 15 5 4" xfId="20517"/>
    <cellStyle name="Warning Text 15 5 4 2" xfId="20518"/>
    <cellStyle name="Warning Text 15 5 5" xfId="20519"/>
    <cellStyle name="Warning Text 15 6" xfId="20520"/>
    <cellStyle name="Warning Text 15 6 2" xfId="20521"/>
    <cellStyle name="Warning Text 15 6 2 2" xfId="20522"/>
    <cellStyle name="Warning Text 15 6 3" xfId="20523"/>
    <cellStyle name="Warning Text 15 6 3 2" xfId="20524"/>
    <cellStyle name="Warning Text 15 6 4" xfId="20525"/>
    <cellStyle name="Warning Text 15 7" xfId="20526"/>
    <cellStyle name="Warning Text 15 7 2" xfId="20527"/>
    <cellStyle name="Warning Text 15 8" xfId="20528"/>
    <cellStyle name="Warning Text 15 8 2" xfId="20529"/>
    <cellStyle name="Warning Text 15 9" xfId="20530"/>
    <cellStyle name="Warning Text 15 9 2" xfId="20531"/>
    <cellStyle name="Warning Text 16 12" xfId="20532"/>
    <cellStyle name="Warning Text 16 10" xfId="20533"/>
    <cellStyle name="Warning Text 16 11" xfId="20534"/>
    <cellStyle name="Warning Text 16 2" xfId="20535"/>
    <cellStyle name="Warning Text 16 2 2" xfId="20536"/>
    <cellStyle name="Warning Text 16 2 2 2" xfId="20537"/>
    <cellStyle name="Warning Text 16 2 3" xfId="20538"/>
    <cellStyle name="Warning Text 16 2 3 2" xfId="20539"/>
    <cellStyle name="Warning Text 16 2 4" xfId="20540"/>
    <cellStyle name="Warning Text 16 2 5" xfId="20541"/>
    <cellStyle name="Warning Text 16 3" xfId="20542"/>
    <cellStyle name="Warning Text 16 3 2" xfId="20543"/>
    <cellStyle name="Warning Text 16 3 2 2" xfId="20544"/>
    <cellStyle name="Warning Text 16 3 3" xfId="20545"/>
    <cellStyle name="Warning Text 16 3 3 2" xfId="20546"/>
    <cellStyle name="Warning Text 16 3 4" xfId="20547"/>
    <cellStyle name="Warning Text 16 4" xfId="20548"/>
    <cellStyle name="Warning Text 16 4 2" xfId="20549"/>
    <cellStyle name="Warning Text 16 4 2 2" xfId="20550"/>
    <cellStyle name="Warning Text 16 4 3" xfId="20551"/>
    <cellStyle name="Warning Text 16 4 3 2" xfId="20552"/>
    <cellStyle name="Warning Text 16 4 4" xfId="20553"/>
    <cellStyle name="Warning Text 16 5" xfId="20554"/>
    <cellStyle name="Warning Text 16 5 2" xfId="20555"/>
    <cellStyle name="Warning Text 16 5 2 2" xfId="20556"/>
    <cellStyle name="Warning Text 16 5 3" xfId="20557"/>
    <cellStyle name="Warning Text 16 5 3 2" xfId="20558"/>
    <cellStyle name="Warning Text 16 5 4" xfId="20559"/>
    <cellStyle name="Warning Text 16 5 4 2" xfId="20560"/>
    <cellStyle name="Warning Text 16 5 5" xfId="20561"/>
    <cellStyle name="Warning Text 16 6" xfId="20562"/>
    <cellStyle name="Warning Text 16 6 2" xfId="20563"/>
    <cellStyle name="Warning Text 16 6 2 2" xfId="20564"/>
    <cellStyle name="Warning Text 16 6 3" xfId="20565"/>
    <cellStyle name="Warning Text 16 6 3 2" xfId="20566"/>
    <cellStyle name="Warning Text 16 6 4" xfId="20567"/>
    <cellStyle name="Warning Text 16 7" xfId="20568"/>
    <cellStyle name="Warning Text 16 7 2" xfId="20569"/>
    <cellStyle name="Warning Text 16 8" xfId="20570"/>
    <cellStyle name="Warning Text 16 8 2" xfId="20571"/>
    <cellStyle name="Warning Text 16 9" xfId="20572"/>
    <cellStyle name="Warning Text 16 9 2" xfId="20573"/>
    <cellStyle name="Warning Text 17 12" xfId="20574"/>
    <cellStyle name="Warning Text 17 10" xfId="20575"/>
    <cellStyle name="Warning Text 17 11" xfId="20576"/>
    <cellStyle name="Warning Text 17 2" xfId="20577"/>
    <cellStyle name="Warning Text 17 2 2" xfId="20578"/>
    <cellStyle name="Warning Text 17 2 2 2" xfId="20579"/>
    <cellStyle name="Warning Text 17 2 3" xfId="20580"/>
    <cellStyle name="Warning Text 17 2 3 2" xfId="20581"/>
    <cellStyle name="Warning Text 17 2 4" xfId="20582"/>
    <cellStyle name="Warning Text 17 2 5" xfId="20583"/>
    <cellStyle name="Warning Text 17 3" xfId="20584"/>
    <cellStyle name="Warning Text 17 3 2" xfId="20585"/>
    <cellStyle name="Warning Text 17 3 2 2" xfId="20586"/>
    <cellStyle name="Warning Text 17 3 3" xfId="20587"/>
    <cellStyle name="Warning Text 17 3 3 2" xfId="20588"/>
    <cellStyle name="Warning Text 17 3 4" xfId="20589"/>
    <cellStyle name="Warning Text 17 4" xfId="20590"/>
    <cellStyle name="Warning Text 17 4 2" xfId="20591"/>
    <cellStyle name="Warning Text 17 4 2 2" xfId="20592"/>
    <cellStyle name="Warning Text 17 4 3" xfId="20593"/>
    <cellStyle name="Warning Text 17 4 3 2" xfId="20594"/>
    <cellStyle name="Warning Text 17 4 4" xfId="20595"/>
    <cellStyle name="Warning Text 17 5" xfId="20596"/>
    <cellStyle name="Warning Text 17 5 2" xfId="20597"/>
    <cellStyle name="Warning Text 17 5 2 2" xfId="20598"/>
    <cellStyle name="Warning Text 17 5 3" xfId="20599"/>
    <cellStyle name="Warning Text 17 5 3 2" xfId="20600"/>
    <cellStyle name="Warning Text 17 5 4" xfId="20601"/>
    <cellStyle name="Warning Text 17 5 4 2" xfId="20602"/>
    <cellStyle name="Warning Text 17 5 5" xfId="20603"/>
    <cellStyle name="Warning Text 17 6" xfId="20604"/>
    <cellStyle name="Warning Text 17 6 2" xfId="20605"/>
    <cellStyle name="Warning Text 17 6 2 2" xfId="20606"/>
    <cellStyle name="Warning Text 17 6 3" xfId="20607"/>
    <cellStyle name="Warning Text 17 6 3 2" xfId="20608"/>
    <cellStyle name="Warning Text 17 6 4" xfId="20609"/>
    <cellStyle name="Warning Text 17 7" xfId="20610"/>
    <cellStyle name="Warning Text 17 7 2" xfId="20611"/>
    <cellStyle name="Warning Text 17 8" xfId="20612"/>
    <cellStyle name="Warning Text 17 8 2" xfId="20613"/>
    <cellStyle name="Warning Text 17 9" xfId="20614"/>
    <cellStyle name="Warning Text 17 9 2" xfId="20615"/>
    <cellStyle name="Warning Text 18 12" xfId="20616"/>
    <cellStyle name="Warning Text 18 10" xfId="20617"/>
    <cellStyle name="Warning Text 18 11" xfId="20618"/>
    <cellStyle name="Warning Text 18 2" xfId="20619"/>
    <cellStyle name="Warning Text 18 2 2" xfId="20620"/>
    <cellStyle name="Warning Text 18 2 2 2" xfId="20621"/>
    <cellStyle name="Warning Text 18 2 3" xfId="20622"/>
    <cellStyle name="Warning Text 18 2 3 2" xfId="20623"/>
    <cellStyle name="Warning Text 18 2 4" xfId="20624"/>
    <cellStyle name="Warning Text 18 2 5" xfId="20625"/>
    <cellStyle name="Warning Text 18 3" xfId="20626"/>
    <cellStyle name="Warning Text 18 3 2" xfId="20627"/>
    <cellStyle name="Warning Text 18 3 2 2" xfId="20628"/>
    <cellStyle name="Warning Text 18 3 3" xfId="20629"/>
    <cellStyle name="Warning Text 18 3 3 2" xfId="20630"/>
    <cellStyle name="Warning Text 18 3 4" xfId="20631"/>
    <cellStyle name="Warning Text 18 4" xfId="20632"/>
    <cellStyle name="Warning Text 18 4 2" xfId="20633"/>
    <cellStyle name="Warning Text 18 4 2 2" xfId="20634"/>
    <cellStyle name="Warning Text 18 4 3" xfId="20635"/>
    <cellStyle name="Warning Text 18 4 3 2" xfId="20636"/>
    <cellStyle name="Warning Text 18 4 4" xfId="20637"/>
    <cellStyle name="Warning Text 18 5" xfId="20638"/>
    <cellStyle name="Warning Text 18 5 2" xfId="20639"/>
    <cellStyle name="Warning Text 18 5 2 2" xfId="20640"/>
    <cellStyle name="Warning Text 18 5 3" xfId="20641"/>
    <cellStyle name="Warning Text 18 5 3 2" xfId="20642"/>
    <cellStyle name="Warning Text 18 5 4" xfId="20643"/>
    <cellStyle name="Warning Text 18 5 4 2" xfId="20644"/>
    <cellStyle name="Warning Text 18 5 5" xfId="20645"/>
    <cellStyle name="Warning Text 18 6" xfId="20646"/>
    <cellStyle name="Warning Text 18 6 2" xfId="20647"/>
    <cellStyle name="Warning Text 18 6 2 2" xfId="20648"/>
    <cellStyle name="Warning Text 18 6 3" xfId="20649"/>
    <cellStyle name="Warning Text 18 6 3 2" xfId="20650"/>
    <cellStyle name="Warning Text 18 6 4" xfId="20651"/>
    <cellStyle name="Warning Text 18 7" xfId="20652"/>
    <cellStyle name="Warning Text 18 7 2" xfId="20653"/>
    <cellStyle name="Warning Text 18 8" xfId="20654"/>
    <cellStyle name="Warning Text 18 8 2" xfId="20655"/>
    <cellStyle name="Warning Text 18 9" xfId="20656"/>
    <cellStyle name="Warning Text 18 9 2" xfId="20657"/>
    <cellStyle name="Warning Text 19 12" xfId="20658"/>
    <cellStyle name="Warning Text 19 10" xfId="20659"/>
    <cellStyle name="Warning Text 19 11" xfId="20660"/>
    <cellStyle name="Warning Text 19 2" xfId="20661"/>
    <cellStyle name="Warning Text 19 2 2" xfId="20662"/>
    <cellStyle name="Warning Text 19 2 2 2" xfId="20663"/>
    <cellStyle name="Warning Text 19 2 3" xfId="20664"/>
    <cellStyle name="Warning Text 19 2 3 2" xfId="20665"/>
    <cellStyle name="Warning Text 19 2 4" xfId="20666"/>
    <cellStyle name="Warning Text 19 2 5" xfId="20667"/>
    <cellStyle name="Warning Text 19 3" xfId="20668"/>
    <cellStyle name="Warning Text 19 3 2" xfId="20669"/>
    <cellStyle name="Warning Text 19 3 2 2" xfId="20670"/>
    <cellStyle name="Warning Text 19 3 3" xfId="20671"/>
    <cellStyle name="Warning Text 19 3 3 2" xfId="20672"/>
    <cellStyle name="Warning Text 19 3 4" xfId="20673"/>
    <cellStyle name="Warning Text 19 4" xfId="20674"/>
    <cellStyle name="Warning Text 19 4 2" xfId="20675"/>
    <cellStyle name="Warning Text 19 4 2 2" xfId="20676"/>
    <cellStyle name="Warning Text 19 4 3" xfId="20677"/>
    <cellStyle name="Warning Text 19 4 3 2" xfId="20678"/>
    <cellStyle name="Warning Text 19 4 4" xfId="20679"/>
    <cellStyle name="Warning Text 19 5" xfId="20680"/>
    <cellStyle name="Warning Text 19 5 2" xfId="20681"/>
    <cellStyle name="Warning Text 19 5 2 2" xfId="20682"/>
    <cellStyle name="Warning Text 19 5 3" xfId="20683"/>
    <cellStyle name="Warning Text 19 5 3 2" xfId="20684"/>
    <cellStyle name="Warning Text 19 5 4" xfId="20685"/>
    <cellStyle name="Warning Text 19 5 4 2" xfId="20686"/>
    <cellStyle name="Warning Text 19 5 5" xfId="20687"/>
    <cellStyle name="Warning Text 19 6" xfId="20688"/>
    <cellStyle name="Warning Text 19 6 2" xfId="20689"/>
    <cellStyle name="Warning Text 19 6 2 2" xfId="20690"/>
    <cellStyle name="Warning Text 19 6 3" xfId="20691"/>
    <cellStyle name="Warning Text 19 6 3 2" xfId="20692"/>
    <cellStyle name="Warning Text 19 6 4" xfId="20693"/>
    <cellStyle name="Warning Text 19 7" xfId="20694"/>
    <cellStyle name="Warning Text 19 7 2" xfId="20695"/>
    <cellStyle name="Warning Text 19 8" xfId="20696"/>
    <cellStyle name="Warning Text 19 8 2" xfId="20697"/>
    <cellStyle name="Warning Text 19 9" xfId="20698"/>
    <cellStyle name="Warning Text 19 9 2" xfId="20699"/>
    <cellStyle name="Warning Text 2 21" xfId="20700"/>
    <cellStyle name="Warning Text 2 10 11" xfId="20701"/>
    <cellStyle name="Warning Text 2 10 10" xfId="20702"/>
    <cellStyle name="Warning Text 2 10 2" xfId="20703"/>
    <cellStyle name="Warning Text 2 10 2 2" xfId="20704"/>
    <cellStyle name="Warning Text 2 10 2 2 2" xfId="20705"/>
    <cellStyle name="Warning Text 2 10 2 3" xfId="20706"/>
    <cellStyle name="Warning Text 2 10 2 3 2" xfId="20707"/>
    <cellStyle name="Warning Text 2 10 2 4" xfId="20708"/>
    <cellStyle name="Warning Text 2 10 3" xfId="20709"/>
    <cellStyle name="Warning Text 2 10 3 2" xfId="20710"/>
    <cellStyle name="Warning Text 2 10 3 2 2" xfId="20711"/>
    <cellStyle name="Warning Text 2 10 3 3" xfId="20712"/>
    <cellStyle name="Warning Text 2 10 3 3 2" xfId="20713"/>
    <cellStyle name="Warning Text 2 10 3 4" xfId="20714"/>
    <cellStyle name="Warning Text 2 10 4" xfId="20715"/>
    <cellStyle name="Warning Text 2 10 4 2" xfId="20716"/>
    <cellStyle name="Warning Text 2 10 4 2 2" xfId="20717"/>
    <cellStyle name="Warning Text 2 10 4 3" xfId="20718"/>
    <cellStyle name="Warning Text 2 10 4 3 2" xfId="20719"/>
    <cellStyle name="Warning Text 2 10 4 4" xfId="20720"/>
    <cellStyle name="Warning Text 2 10 4 4 2" xfId="20721"/>
    <cellStyle name="Warning Text 2 10 4 5" xfId="20722"/>
    <cellStyle name="Warning Text 2 10 5" xfId="20723"/>
    <cellStyle name="Warning Text 2 10 5 2" xfId="20724"/>
    <cellStyle name="Warning Text 2 10 5 2 2" xfId="20725"/>
    <cellStyle name="Warning Text 2 10 5 3" xfId="20726"/>
    <cellStyle name="Warning Text 2 10 5 3 2" xfId="20727"/>
    <cellStyle name="Warning Text 2 10 5 4" xfId="20728"/>
    <cellStyle name="Warning Text 2 10 6" xfId="20729"/>
    <cellStyle name="Warning Text 2 10 6 2" xfId="20730"/>
    <cellStyle name="Warning Text 2 10 7" xfId="20731"/>
    <cellStyle name="Warning Text 2 10 7 2" xfId="20732"/>
    <cellStyle name="Warning Text 2 10 8" xfId="20733"/>
    <cellStyle name="Warning Text 2 10 8 2" xfId="20734"/>
    <cellStyle name="Warning Text 2 10 9" xfId="20735"/>
    <cellStyle name="Warning Text 2 11" xfId="20736"/>
    <cellStyle name="Warning Text 2 11 2" xfId="20737"/>
    <cellStyle name="Warning Text 2 11 2 2" xfId="20738"/>
    <cellStyle name="Warning Text 2 11 3" xfId="20739"/>
    <cellStyle name="Warning Text 2 11 3 2" xfId="20740"/>
    <cellStyle name="Warning Text 2 11 4" xfId="20741"/>
    <cellStyle name="Warning Text 2 11 5" xfId="20742"/>
    <cellStyle name="Warning Text 2 12" xfId="20743"/>
    <cellStyle name="Warning Text 2 12 2" xfId="20744"/>
    <cellStyle name="Warning Text 2 12 2 2" xfId="20745"/>
    <cellStyle name="Warning Text 2 12 3" xfId="20746"/>
    <cellStyle name="Warning Text 2 12 3 2" xfId="20747"/>
    <cellStyle name="Warning Text 2 12 4" xfId="20748"/>
    <cellStyle name="Warning Text 2 13" xfId="20749"/>
    <cellStyle name="Warning Text 2 13 2" xfId="20750"/>
    <cellStyle name="Warning Text 2 13 2 2" xfId="20751"/>
    <cellStyle name="Warning Text 2 13 3" xfId="20752"/>
    <cellStyle name="Warning Text 2 13 3 2" xfId="20753"/>
    <cellStyle name="Warning Text 2 13 4" xfId="20754"/>
    <cellStyle name="Warning Text 2 14" xfId="20755"/>
    <cellStyle name="Warning Text 2 14 2" xfId="20756"/>
    <cellStyle name="Warning Text 2 14 2 2" xfId="20757"/>
    <cellStyle name="Warning Text 2 14 3" xfId="20758"/>
    <cellStyle name="Warning Text 2 14 3 2" xfId="20759"/>
    <cellStyle name="Warning Text 2 14 4" xfId="20760"/>
    <cellStyle name="Warning Text 2 14 4 2" xfId="20761"/>
    <cellStyle name="Warning Text 2 14 5" xfId="20762"/>
    <cellStyle name="Warning Text 2 15" xfId="20763"/>
    <cellStyle name="Warning Text 2 15 2" xfId="20764"/>
    <cellStyle name="Warning Text 2 15 2 2" xfId="20765"/>
    <cellStyle name="Warning Text 2 15 3" xfId="20766"/>
    <cellStyle name="Warning Text 2 15 3 2" xfId="20767"/>
    <cellStyle name="Warning Text 2 15 4" xfId="20768"/>
    <cellStyle name="Warning Text 2 16" xfId="20769"/>
    <cellStyle name="Warning Text 2 16 2" xfId="20770"/>
    <cellStyle name="Warning Text 2 17" xfId="20771"/>
    <cellStyle name="Warning Text 2 17 2" xfId="20772"/>
    <cellStyle name="Warning Text 2 18" xfId="20773"/>
    <cellStyle name="Warning Text 2 18 2" xfId="20774"/>
    <cellStyle name="Warning Text 2 19" xfId="20775"/>
    <cellStyle name="Warning Text 2 2 11" xfId="20776"/>
    <cellStyle name="Warning Text 2 2 10" xfId="20777"/>
    <cellStyle name="Warning Text 2 2 2" xfId="20778"/>
    <cellStyle name="Warning Text 2 2 2 2" xfId="20779"/>
    <cellStyle name="Warning Text 2 2 2 2 2" xfId="20780"/>
    <cellStyle name="Warning Text 2 2 2 3" xfId="20781"/>
    <cellStyle name="Warning Text 2 2 2 3 2" xfId="20782"/>
    <cellStyle name="Warning Text 2 2 2 4" xfId="20783"/>
    <cellStyle name="Warning Text 2 2 3" xfId="20784"/>
    <cellStyle name="Warning Text 2 2 3 2" xfId="20785"/>
    <cellStyle name="Warning Text 2 2 3 2 2" xfId="20786"/>
    <cellStyle name="Warning Text 2 2 3 3" xfId="20787"/>
    <cellStyle name="Warning Text 2 2 3 3 2" xfId="20788"/>
    <cellStyle name="Warning Text 2 2 3 4" xfId="20789"/>
    <cellStyle name="Warning Text 2 2 4" xfId="20790"/>
    <cellStyle name="Warning Text 2 2 4 2" xfId="20791"/>
    <cellStyle name="Warning Text 2 2 4 2 2" xfId="20792"/>
    <cellStyle name="Warning Text 2 2 4 3" xfId="20793"/>
    <cellStyle name="Warning Text 2 2 4 3 2" xfId="20794"/>
    <cellStyle name="Warning Text 2 2 4 4" xfId="20795"/>
    <cellStyle name="Warning Text 2 2 4 4 2" xfId="20796"/>
    <cellStyle name="Warning Text 2 2 4 5" xfId="20797"/>
    <cellStyle name="Warning Text 2 2 5" xfId="20798"/>
    <cellStyle name="Warning Text 2 2 5 2" xfId="20799"/>
    <cellStyle name="Warning Text 2 2 5 2 2" xfId="20800"/>
    <cellStyle name="Warning Text 2 2 5 3" xfId="20801"/>
    <cellStyle name="Warning Text 2 2 5 3 2" xfId="20802"/>
    <cellStyle name="Warning Text 2 2 5 4" xfId="20803"/>
    <cellStyle name="Warning Text 2 2 6" xfId="20804"/>
    <cellStyle name="Warning Text 2 2 6 2" xfId="20805"/>
    <cellStyle name="Warning Text 2 2 7" xfId="20806"/>
    <cellStyle name="Warning Text 2 2 7 2" xfId="20807"/>
    <cellStyle name="Warning Text 2 2 8" xfId="20808"/>
    <cellStyle name="Warning Text 2 2 8 2" xfId="20809"/>
    <cellStyle name="Warning Text 2 2 9" xfId="20810"/>
    <cellStyle name="Warning Text 2 20" xfId="20811"/>
    <cellStyle name="Warning Text 2 3 11" xfId="20812"/>
    <cellStyle name="Warning Text 2 3 10" xfId="20813"/>
    <cellStyle name="Warning Text 2 3 2" xfId="20814"/>
    <cellStyle name="Warning Text 2 3 2 2" xfId="20815"/>
    <cellStyle name="Warning Text 2 3 2 2 2" xfId="20816"/>
    <cellStyle name="Warning Text 2 3 2 3" xfId="20817"/>
    <cellStyle name="Warning Text 2 3 2 3 2" xfId="20818"/>
    <cellStyle name="Warning Text 2 3 2 4" xfId="20819"/>
    <cellStyle name="Warning Text 2 3 3" xfId="20820"/>
    <cellStyle name="Warning Text 2 3 3 2" xfId="20821"/>
    <cellStyle name="Warning Text 2 3 3 2 2" xfId="20822"/>
    <cellStyle name="Warning Text 2 3 3 3" xfId="20823"/>
    <cellStyle name="Warning Text 2 3 3 3 2" xfId="20824"/>
    <cellStyle name="Warning Text 2 3 3 4" xfId="20825"/>
    <cellStyle name="Warning Text 2 3 4" xfId="20826"/>
    <cellStyle name="Warning Text 2 3 4 2" xfId="20827"/>
    <cellStyle name="Warning Text 2 3 4 2 2" xfId="20828"/>
    <cellStyle name="Warning Text 2 3 4 3" xfId="20829"/>
    <cellStyle name="Warning Text 2 3 4 3 2" xfId="20830"/>
    <cellStyle name="Warning Text 2 3 4 4" xfId="20831"/>
    <cellStyle name="Warning Text 2 3 4 4 2" xfId="20832"/>
    <cellStyle name="Warning Text 2 3 4 5" xfId="20833"/>
    <cellStyle name="Warning Text 2 3 5" xfId="20834"/>
    <cellStyle name="Warning Text 2 3 5 2" xfId="20835"/>
    <cellStyle name="Warning Text 2 3 5 2 2" xfId="20836"/>
    <cellStyle name="Warning Text 2 3 5 3" xfId="20837"/>
    <cellStyle name="Warning Text 2 3 5 3 2" xfId="20838"/>
    <cellStyle name="Warning Text 2 3 5 4" xfId="20839"/>
    <cellStyle name="Warning Text 2 3 6" xfId="20840"/>
    <cellStyle name="Warning Text 2 3 6 2" xfId="20841"/>
    <cellStyle name="Warning Text 2 3 7" xfId="20842"/>
    <cellStyle name="Warning Text 2 3 7 2" xfId="20843"/>
    <cellStyle name="Warning Text 2 3 8" xfId="20844"/>
    <cellStyle name="Warning Text 2 3 8 2" xfId="20845"/>
    <cellStyle name="Warning Text 2 3 9" xfId="20846"/>
    <cellStyle name="Warning Text 2 4 11" xfId="20847"/>
    <cellStyle name="Warning Text 2 4 10" xfId="20848"/>
    <cellStyle name="Warning Text 2 4 2" xfId="20849"/>
    <cellStyle name="Warning Text 2 4 2 2" xfId="20850"/>
    <cellStyle name="Warning Text 2 4 2 2 2" xfId="20851"/>
    <cellStyle name="Warning Text 2 4 2 3" xfId="20852"/>
    <cellStyle name="Warning Text 2 4 2 3 2" xfId="20853"/>
    <cellStyle name="Warning Text 2 4 2 4" xfId="20854"/>
    <cellStyle name="Warning Text 2 4 3" xfId="20855"/>
    <cellStyle name="Warning Text 2 4 3 2" xfId="20856"/>
    <cellStyle name="Warning Text 2 4 3 2 2" xfId="20857"/>
    <cellStyle name="Warning Text 2 4 3 3" xfId="20858"/>
    <cellStyle name="Warning Text 2 4 3 3 2" xfId="20859"/>
    <cellStyle name="Warning Text 2 4 3 4" xfId="20860"/>
    <cellStyle name="Warning Text 2 4 4" xfId="20861"/>
    <cellStyle name="Warning Text 2 4 4 2" xfId="20862"/>
    <cellStyle name="Warning Text 2 4 4 2 2" xfId="20863"/>
    <cellStyle name="Warning Text 2 4 4 3" xfId="20864"/>
    <cellStyle name="Warning Text 2 4 4 3 2" xfId="20865"/>
    <cellStyle name="Warning Text 2 4 4 4" xfId="20866"/>
    <cellStyle name="Warning Text 2 4 4 4 2" xfId="20867"/>
    <cellStyle name="Warning Text 2 4 4 5" xfId="20868"/>
    <cellStyle name="Warning Text 2 4 5" xfId="20869"/>
    <cellStyle name="Warning Text 2 4 5 2" xfId="20870"/>
    <cellStyle name="Warning Text 2 4 5 2 2" xfId="20871"/>
    <cellStyle name="Warning Text 2 4 5 3" xfId="20872"/>
    <cellStyle name="Warning Text 2 4 5 3 2" xfId="20873"/>
    <cellStyle name="Warning Text 2 4 5 4" xfId="20874"/>
    <cellStyle name="Warning Text 2 4 6" xfId="20875"/>
    <cellStyle name="Warning Text 2 4 6 2" xfId="20876"/>
    <cellStyle name="Warning Text 2 4 7" xfId="20877"/>
    <cellStyle name="Warning Text 2 4 7 2" xfId="20878"/>
    <cellStyle name="Warning Text 2 4 8" xfId="20879"/>
    <cellStyle name="Warning Text 2 4 8 2" xfId="20880"/>
    <cellStyle name="Warning Text 2 4 9" xfId="20881"/>
    <cellStyle name="Warning Text 2 5 11" xfId="20882"/>
    <cellStyle name="Warning Text 2 5 10" xfId="20883"/>
    <cellStyle name="Warning Text 2 5 2" xfId="20884"/>
    <cellStyle name="Warning Text 2 5 2 2" xfId="20885"/>
    <cellStyle name="Warning Text 2 5 2 2 2" xfId="20886"/>
    <cellStyle name="Warning Text 2 5 2 3" xfId="20887"/>
    <cellStyle name="Warning Text 2 5 2 3 2" xfId="20888"/>
    <cellStyle name="Warning Text 2 5 2 4" xfId="20889"/>
    <cellStyle name="Warning Text 2 5 3" xfId="20890"/>
    <cellStyle name="Warning Text 2 5 3 2" xfId="20891"/>
    <cellStyle name="Warning Text 2 5 3 2 2" xfId="20892"/>
    <cellStyle name="Warning Text 2 5 3 3" xfId="20893"/>
    <cellStyle name="Warning Text 2 5 3 3 2" xfId="20894"/>
    <cellStyle name="Warning Text 2 5 3 4" xfId="20895"/>
    <cellStyle name="Warning Text 2 5 4" xfId="20896"/>
    <cellStyle name="Warning Text 2 5 4 2" xfId="20897"/>
    <cellStyle name="Warning Text 2 5 4 2 2" xfId="20898"/>
    <cellStyle name="Warning Text 2 5 4 3" xfId="20899"/>
    <cellStyle name="Warning Text 2 5 4 3 2" xfId="20900"/>
    <cellStyle name="Warning Text 2 5 4 4" xfId="20901"/>
    <cellStyle name="Warning Text 2 5 4 4 2" xfId="20902"/>
    <cellStyle name="Warning Text 2 5 4 5" xfId="20903"/>
    <cellStyle name="Warning Text 2 5 5" xfId="20904"/>
    <cellStyle name="Warning Text 2 5 5 2" xfId="20905"/>
    <cellStyle name="Warning Text 2 5 5 2 2" xfId="20906"/>
    <cellStyle name="Warning Text 2 5 5 3" xfId="20907"/>
    <cellStyle name="Warning Text 2 5 5 3 2" xfId="20908"/>
    <cellStyle name="Warning Text 2 5 5 4" xfId="20909"/>
    <cellStyle name="Warning Text 2 5 6" xfId="20910"/>
    <cellStyle name="Warning Text 2 5 6 2" xfId="20911"/>
    <cellStyle name="Warning Text 2 5 7" xfId="20912"/>
    <cellStyle name="Warning Text 2 5 7 2" xfId="20913"/>
    <cellStyle name="Warning Text 2 5 8" xfId="20914"/>
    <cellStyle name="Warning Text 2 5 8 2" xfId="20915"/>
    <cellStyle name="Warning Text 2 5 9" xfId="20916"/>
    <cellStyle name="Warning Text 2 6 11" xfId="20917"/>
    <cellStyle name="Warning Text 2 6 10" xfId="20918"/>
    <cellStyle name="Warning Text 2 6 2" xfId="20919"/>
    <cellStyle name="Warning Text 2 6 2 2" xfId="20920"/>
    <cellStyle name="Warning Text 2 6 2 2 2" xfId="20921"/>
    <cellStyle name="Warning Text 2 6 2 3" xfId="20922"/>
    <cellStyle name="Warning Text 2 6 2 3 2" xfId="20923"/>
    <cellStyle name="Warning Text 2 6 2 4" xfId="20924"/>
    <cellStyle name="Warning Text 2 6 3" xfId="20925"/>
    <cellStyle name="Warning Text 2 6 3 2" xfId="20926"/>
    <cellStyle name="Warning Text 2 6 3 2 2" xfId="20927"/>
    <cellStyle name="Warning Text 2 6 3 3" xfId="20928"/>
    <cellStyle name="Warning Text 2 6 3 3 2" xfId="20929"/>
    <cellStyle name="Warning Text 2 6 3 4" xfId="20930"/>
    <cellStyle name="Warning Text 2 6 4" xfId="20931"/>
    <cellStyle name="Warning Text 2 6 4 2" xfId="20932"/>
    <cellStyle name="Warning Text 2 6 4 2 2" xfId="20933"/>
    <cellStyle name="Warning Text 2 6 4 3" xfId="20934"/>
    <cellStyle name="Warning Text 2 6 4 3 2" xfId="20935"/>
    <cellStyle name="Warning Text 2 6 4 4" xfId="20936"/>
    <cellStyle name="Warning Text 2 6 4 4 2" xfId="20937"/>
    <cellStyle name="Warning Text 2 6 4 5" xfId="20938"/>
    <cellStyle name="Warning Text 2 6 5" xfId="20939"/>
    <cellStyle name="Warning Text 2 6 5 2" xfId="20940"/>
    <cellStyle name="Warning Text 2 6 5 2 2" xfId="20941"/>
    <cellStyle name="Warning Text 2 6 5 3" xfId="20942"/>
    <cellStyle name="Warning Text 2 6 5 3 2" xfId="20943"/>
    <cellStyle name="Warning Text 2 6 5 4" xfId="20944"/>
    <cellStyle name="Warning Text 2 6 6" xfId="20945"/>
    <cellStyle name="Warning Text 2 6 6 2" xfId="20946"/>
    <cellStyle name="Warning Text 2 6 7" xfId="20947"/>
    <cellStyle name="Warning Text 2 6 7 2" xfId="20948"/>
    <cellStyle name="Warning Text 2 6 8" xfId="20949"/>
    <cellStyle name="Warning Text 2 6 8 2" xfId="20950"/>
    <cellStyle name="Warning Text 2 6 9" xfId="20951"/>
    <cellStyle name="Warning Text 2 7 11" xfId="20952"/>
    <cellStyle name="Warning Text 2 7 10" xfId="20953"/>
    <cellStyle name="Warning Text 2 7 2" xfId="20954"/>
    <cellStyle name="Warning Text 2 7 2 2" xfId="20955"/>
    <cellStyle name="Warning Text 2 7 2 2 2" xfId="20956"/>
    <cellStyle name="Warning Text 2 7 2 3" xfId="20957"/>
    <cellStyle name="Warning Text 2 7 2 3 2" xfId="20958"/>
    <cellStyle name="Warning Text 2 7 2 4" xfId="20959"/>
    <cellStyle name="Warning Text 2 7 3" xfId="20960"/>
    <cellStyle name="Warning Text 2 7 3 2" xfId="20961"/>
    <cellStyle name="Warning Text 2 7 3 2 2" xfId="20962"/>
    <cellStyle name="Warning Text 2 7 3 3" xfId="20963"/>
    <cellStyle name="Warning Text 2 7 3 3 2" xfId="20964"/>
    <cellStyle name="Warning Text 2 7 3 4" xfId="20965"/>
    <cellStyle name="Warning Text 2 7 4" xfId="20966"/>
    <cellStyle name="Warning Text 2 7 4 2" xfId="20967"/>
    <cellStyle name="Warning Text 2 7 4 2 2" xfId="20968"/>
    <cellStyle name="Warning Text 2 7 4 3" xfId="20969"/>
    <cellStyle name="Warning Text 2 7 4 3 2" xfId="20970"/>
    <cellStyle name="Warning Text 2 7 4 4" xfId="20971"/>
    <cellStyle name="Warning Text 2 7 4 4 2" xfId="20972"/>
    <cellStyle name="Warning Text 2 7 4 5" xfId="20973"/>
    <cellStyle name="Warning Text 2 7 5" xfId="20974"/>
    <cellStyle name="Warning Text 2 7 5 2" xfId="20975"/>
    <cellStyle name="Warning Text 2 7 5 2 2" xfId="20976"/>
    <cellStyle name="Warning Text 2 7 5 3" xfId="20977"/>
    <cellStyle name="Warning Text 2 7 5 3 2" xfId="20978"/>
    <cellStyle name="Warning Text 2 7 5 4" xfId="20979"/>
    <cellStyle name="Warning Text 2 7 6" xfId="20980"/>
    <cellStyle name="Warning Text 2 7 6 2" xfId="20981"/>
    <cellStyle name="Warning Text 2 7 7" xfId="20982"/>
    <cellStyle name="Warning Text 2 7 7 2" xfId="20983"/>
    <cellStyle name="Warning Text 2 7 8" xfId="20984"/>
    <cellStyle name="Warning Text 2 7 8 2" xfId="20985"/>
    <cellStyle name="Warning Text 2 7 9" xfId="20986"/>
    <cellStyle name="Warning Text 2 8 11" xfId="20987"/>
    <cellStyle name="Warning Text 2 8 10" xfId="20988"/>
    <cellStyle name="Warning Text 2 8 2" xfId="20989"/>
    <cellStyle name="Warning Text 2 8 2 2" xfId="20990"/>
    <cellStyle name="Warning Text 2 8 2 2 2" xfId="20991"/>
    <cellStyle name="Warning Text 2 8 2 3" xfId="20992"/>
    <cellStyle name="Warning Text 2 8 2 3 2" xfId="20993"/>
    <cellStyle name="Warning Text 2 8 2 4" xfId="20994"/>
    <cellStyle name="Warning Text 2 8 3" xfId="20995"/>
    <cellStyle name="Warning Text 2 8 3 2" xfId="20996"/>
    <cellStyle name="Warning Text 2 8 3 2 2" xfId="20997"/>
    <cellStyle name="Warning Text 2 8 3 3" xfId="20998"/>
    <cellStyle name="Warning Text 2 8 3 3 2" xfId="20999"/>
    <cellStyle name="Warning Text 2 8 3 4" xfId="21000"/>
    <cellStyle name="Warning Text 2 8 4" xfId="21001"/>
    <cellStyle name="Warning Text 2 8 4 2" xfId="21002"/>
    <cellStyle name="Warning Text 2 8 4 2 2" xfId="21003"/>
    <cellStyle name="Warning Text 2 8 4 3" xfId="21004"/>
    <cellStyle name="Warning Text 2 8 4 3 2" xfId="21005"/>
    <cellStyle name="Warning Text 2 8 4 4" xfId="21006"/>
    <cellStyle name="Warning Text 2 8 4 4 2" xfId="21007"/>
    <cellStyle name="Warning Text 2 8 4 5" xfId="21008"/>
    <cellStyle name="Warning Text 2 8 5" xfId="21009"/>
    <cellStyle name="Warning Text 2 8 5 2" xfId="21010"/>
    <cellStyle name="Warning Text 2 8 5 2 2" xfId="21011"/>
    <cellStyle name="Warning Text 2 8 5 3" xfId="21012"/>
    <cellStyle name="Warning Text 2 8 5 3 2" xfId="21013"/>
    <cellStyle name="Warning Text 2 8 5 4" xfId="21014"/>
    <cellStyle name="Warning Text 2 8 6" xfId="21015"/>
    <cellStyle name="Warning Text 2 8 6 2" xfId="21016"/>
    <cellStyle name="Warning Text 2 8 7" xfId="21017"/>
    <cellStyle name="Warning Text 2 8 7 2" xfId="21018"/>
    <cellStyle name="Warning Text 2 8 8" xfId="21019"/>
    <cellStyle name="Warning Text 2 8 8 2" xfId="21020"/>
    <cellStyle name="Warning Text 2 8 9" xfId="21021"/>
    <cellStyle name="Warning Text 2 9 11" xfId="21022"/>
    <cellStyle name="Warning Text 2 9 10" xfId="21023"/>
    <cellStyle name="Warning Text 2 9 2" xfId="21024"/>
    <cellStyle name="Warning Text 2 9 2 2" xfId="21025"/>
    <cellStyle name="Warning Text 2 9 2 2 2" xfId="21026"/>
    <cellStyle name="Warning Text 2 9 2 3" xfId="21027"/>
    <cellStyle name="Warning Text 2 9 2 3 2" xfId="21028"/>
    <cellStyle name="Warning Text 2 9 2 4" xfId="21029"/>
    <cellStyle name="Warning Text 2 9 3" xfId="21030"/>
    <cellStyle name="Warning Text 2 9 3 2" xfId="21031"/>
    <cellStyle name="Warning Text 2 9 3 2 2" xfId="21032"/>
    <cellStyle name="Warning Text 2 9 3 3" xfId="21033"/>
    <cellStyle name="Warning Text 2 9 3 3 2" xfId="21034"/>
    <cellStyle name="Warning Text 2 9 3 4" xfId="21035"/>
    <cellStyle name="Warning Text 2 9 4" xfId="21036"/>
    <cellStyle name="Warning Text 2 9 4 2" xfId="21037"/>
    <cellStyle name="Warning Text 2 9 4 2 2" xfId="21038"/>
    <cellStyle name="Warning Text 2 9 4 3" xfId="21039"/>
    <cellStyle name="Warning Text 2 9 4 3 2" xfId="21040"/>
    <cellStyle name="Warning Text 2 9 4 4" xfId="21041"/>
    <cellStyle name="Warning Text 2 9 4 4 2" xfId="21042"/>
    <cellStyle name="Warning Text 2 9 4 5" xfId="21043"/>
    <cellStyle name="Warning Text 2 9 5" xfId="21044"/>
    <cellStyle name="Warning Text 2 9 5 2" xfId="21045"/>
    <cellStyle name="Warning Text 2 9 5 2 2" xfId="21046"/>
    <cellStyle name="Warning Text 2 9 5 3" xfId="21047"/>
    <cellStyle name="Warning Text 2 9 5 3 2" xfId="21048"/>
    <cellStyle name="Warning Text 2 9 5 4" xfId="21049"/>
    <cellStyle name="Warning Text 2 9 6" xfId="21050"/>
    <cellStyle name="Warning Text 2 9 6 2" xfId="21051"/>
    <cellStyle name="Warning Text 2 9 7" xfId="21052"/>
    <cellStyle name="Warning Text 2 9 7 2" xfId="21053"/>
    <cellStyle name="Warning Text 2 9 8" xfId="21054"/>
    <cellStyle name="Warning Text 2 9 8 2" xfId="21055"/>
    <cellStyle name="Warning Text 2 9 9" xfId="21056"/>
    <cellStyle name="Warning Text 20 12" xfId="21057"/>
    <cellStyle name="Warning Text 20 10" xfId="21058"/>
    <cellStyle name="Warning Text 20 11" xfId="21059"/>
    <cellStyle name="Warning Text 20 2" xfId="21060"/>
    <cellStyle name="Warning Text 20 2 2" xfId="21061"/>
    <cellStyle name="Warning Text 20 2 2 2" xfId="21062"/>
    <cellStyle name="Warning Text 20 2 3" xfId="21063"/>
    <cellStyle name="Warning Text 20 2 3 2" xfId="21064"/>
    <cellStyle name="Warning Text 20 2 4" xfId="21065"/>
    <cellStyle name="Warning Text 20 2 5" xfId="21066"/>
    <cellStyle name="Warning Text 20 3" xfId="21067"/>
    <cellStyle name="Warning Text 20 3 2" xfId="21068"/>
    <cellStyle name="Warning Text 20 3 2 2" xfId="21069"/>
    <cellStyle name="Warning Text 20 3 3" xfId="21070"/>
    <cellStyle name="Warning Text 20 3 3 2" xfId="21071"/>
    <cellStyle name="Warning Text 20 3 4" xfId="21072"/>
    <cellStyle name="Warning Text 20 4" xfId="21073"/>
    <cellStyle name="Warning Text 20 4 2" xfId="21074"/>
    <cellStyle name="Warning Text 20 4 2 2" xfId="21075"/>
    <cellStyle name="Warning Text 20 4 3" xfId="21076"/>
    <cellStyle name="Warning Text 20 4 3 2" xfId="21077"/>
    <cellStyle name="Warning Text 20 4 4" xfId="21078"/>
    <cellStyle name="Warning Text 20 5" xfId="21079"/>
    <cellStyle name="Warning Text 20 5 2" xfId="21080"/>
    <cellStyle name="Warning Text 20 5 2 2" xfId="21081"/>
    <cellStyle name="Warning Text 20 5 3" xfId="21082"/>
    <cellStyle name="Warning Text 20 5 3 2" xfId="21083"/>
    <cellStyle name="Warning Text 20 5 4" xfId="21084"/>
    <cellStyle name="Warning Text 20 5 4 2" xfId="21085"/>
    <cellStyle name="Warning Text 20 5 5" xfId="21086"/>
    <cellStyle name="Warning Text 20 6" xfId="21087"/>
    <cellStyle name="Warning Text 20 6 2" xfId="21088"/>
    <cellStyle name="Warning Text 20 6 2 2" xfId="21089"/>
    <cellStyle name="Warning Text 20 6 3" xfId="21090"/>
    <cellStyle name="Warning Text 20 6 3 2" xfId="21091"/>
    <cellStyle name="Warning Text 20 6 4" xfId="21092"/>
    <cellStyle name="Warning Text 20 7" xfId="21093"/>
    <cellStyle name="Warning Text 20 7 2" xfId="21094"/>
    <cellStyle name="Warning Text 20 8" xfId="21095"/>
    <cellStyle name="Warning Text 20 8 2" xfId="21096"/>
    <cellStyle name="Warning Text 20 9" xfId="21097"/>
    <cellStyle name="Warning Text 20 9 2" xfId="21098"/>
    <cellStyle name="Warning Text 21 12" xfId="21099"/>
    <cellStyle name="Warning Text 21 10" xfId="21100"/>
    <cellStyle name="Warning Text 21 11" xfId="21101"/>
    <cellStyle name="Warning Text 21 2" xfId="21102"/>
    <cellStyle name="Warning Text 21 2 2" xfId="21103"/>
    <cellStyle name="Warning Text 21 2 2 2" xfId="21104"/>
    <cellStyle name="Warning Text 21 2 3" xfId="21105"/>
    <cellStyle name="Warning Text 21 2 3 2" xfId="21106"/>
    <cellStyle name="Warning Text 21 2 4" xfId="21107"/>
    <cellStyle name="Warning Text 21 2 5" xfId="21108"/>
    <cellStyle name="Warning Text 21 3" xfId="21109"/>
    <cellStyle name="Warning Text 21 3 2" xfId="21110"/>
    <cellStyle name="Warning Text 21 3 2 2" xfId="21111"/>
    <cellStyle name="Warning Text 21 3 3" xfId="21112"/>
    <cellStyle name="Warning Text 21 3 3 2" xfId="21113"/>
    <cellStyle name="Warning Text 21 3 4" xfId="21114"/>
    <cellStyle name="Warning Text 21 4" xfId="21115"/>
    <cellStyle name="Warning Text 21 4 2" xfId="21116"/>
    <cellStyle name="Warning Text 21 4 2 2" xfId="21117"/>
    <cellStyle name="Warning Text 21 4 3" xfId="21118"/>
    <cellStyle name="Warning Text 21 4 3 2" xfId="21119"/>
    <cellStyle name="Warning Text 21 4 4" xfId="21120"/>
    <cellStyle name="Warning Text 21 5" xfId="21121"/>
    <cellStyle name="Warning Text 21 5 2" xfId="21122"/>
    <cellStyle name="Warning Text 21 5 2 2" xfId="21123"/>
    <cellStyle name="Warning Text 21 5 3" xfId="21124"/>
    <cellStyle name="Warning Text 21 5 3 2" xfId="21125"/>
    <cellStyle name="Warning Text 21 5 4" xfId="21126"/>
    <cellStyle name="Warning Text 21 5 4 2" xfId="21127"/>
    <cellStyle name="Warning Text 21 5 5" xfId="21128"/>
    <cellStyle name="Warning Text 21 6" xfId="21129"/>
    <cellStyle name="Warning Text 21 6 2" xfId="21130"/>
    <cellStyle name="Warning Text 21 6 2 2" xfId="21131"/>
    <cellStyle name="Warning Text 21 6 3" xfId="21132"/>
    <cellStyle name="Warning Text 21 6 3 2" xfId="21133"/>
    <cellStyle name="Warning Text 21 6 4" xfId="21134"/>
    <cellStyle name="Warning Text 21 7" xfId="21135"/>
    <cellStyle name="Warning Text 21 7 2" xfId="21136"/>
    <cellStyle name="Warning Text 21 8" xfId="21137"/>
    <cellStyle name="Warning Text 21 8 2" xfId="21138"/>
    <cellStyle name="Warning Text 21 9" xfId="21139"/>
    <cellStyle name="Warning Text 21 9 2" xfId="21140"/>
    <cellStyle name="Warning Text 22 12" xfId="21141"/>
    <cellStyle name="Warning Text 22 10" xfId="21142"/>
    <cellStyle name="Warning Text 22 11" xfId="21143"/>
    <cellStyle name="Warning Text 22 2" xfId="21144"/>
    <cellStyle name="Warning Text 22 2 2" xfId="21145"/>
    <cellStyle name="Warning Text 22 2 2 2" xfId="21146"/>
    <cellStyle name="Warning Text 22 2 3" xfId="21147"/>
    <cellStyle name="Warning Text 22 2 3 2" xfId="21148"/>
    <cellStyle name="Warning Text 22 2 4" xfId="21149"/>
    <cellStyle name="Warning Text 22 2 5" xfId="21150"/>
    <cellStyle name="Warning Text 22 3" xfId="21151"/>
    <cellStyle name="Warning Text 22 3 2" xfId="21152"/>
    <cellStyle name="Warning Text 22 3 2 2" xfId="21153"/>
    <cellStyle name="Warning Text 22 3 3" xfId="21154"/>
    <cellStyle name="Warning Text 22 3 3 2" xfId="21155"/>
    <cellStyle name="Warning Text 22 3 4" xfId="21156"/>
    <cellStyle name="Warning Text 22 4" xfId="21157"/>
    <cellStyle name="Warning Text 22 4 2" xfId="21158"/>
    <cellStyle name="Warning Text 22 4 2 2" xfId="21159"/>
    <cellStyle name="Warning Text 22 4 3" xfId="21160"/>
    <cellStyle name="Warning Text 22 4 3 2" xfId="21161"/>
    <cellStyle name="Warning Text 22 4 4" xfId="21162"/>
    <cellStyle name="Warning Text 22 5" xfId="21163"/>
    <cellStyle name="Warning Text 22 5 2" xfId="21164"/>
    <cellStyle name="Warning Text 22 5 2 2" xfId="21165"/>
    <cellStyle name="Warning Text 22 5 3" xfId="21166"/>
    <cellStyle name="Warning Text 22 5 3 2" xfId="21167"/>
    <cellStyle name="Warning Text 22 5 4" xfId="21168"/>
    <cellStyle name="Warning Text 22 5 4 2" xfId="21169"/>
    <cellStyle name="Warning Text 22 5 5" xfId="21170"/>
    <cellStyle name="Warning Text 22 6" xfId="21171"/>
    <cellStyle name="Warning Text 22 6 2" xfId="21172"/>
    <cellStyle name="Warning Text 22 6 2 2" xfId="21173"/>
    <cellStyle name="Warning Text 22 6 3" xfId="21174"/>
    <cellStyle name="Warning Text 22 6 3 2" xfId="21175"/>
    <cellStyle name="Warning Text 22 6 4" xfId="21176"/>
    <cellStyle name="Warning Text 22 7" xfId="21177"/>
    <cellStyle name="Warning Text 22 7 2" xfId="21178"/>
    <cellStyle name="Warning Text 22 8" xfId="21179"/>
    <cellStyle name="Warning Text 22 8 2" xfId="21180"/>
    <cellStyle name="Warning Text 22 9" xfId="21181"/>
    <cellStyle name="Warning Text 22 9 2" xfId="21182"/>
    <cellStyle name="Warning Text 23 12" xfId="21183"/>
    <cellStyle name="Warning Text 23 10" xfId="21184"/>
    <cellStyle name="Warning Text 23 11" xfId="21185"/>
    <cellStyle name="Warning Text 23 2" xfId="21186"/>
    <cellStyle name="Warning Text 23 2 2" xfId="21187"/>
    <cellStyle name="Warning Text 23 2 2 2" xfId="21188"/>
    <cellStyle name="Warning Text 23 2 3" xfId="21189"/>
    <cellStyle name="Warning Text 23 2 3 2" xfId="21190"/>
    <cellStyle name="Warning Text 23 2 4" xfId="21191"/>
    <cellStyle name="Warning Text 23 2 5" xfId="21192"/>
    <cellStyle name="Warning Text 23 3" xfId="21193"/>
    <cellStyle name="Warning Text 23 3 2" xfId="21194"/>
    <cellStyle name="Warning Text 23 3 2 2" xfId="21195"/>
    <cellStyle name="Warning Text 23 3 3" xfId="21196"/>
    <cellStyle name="Warning Text 23 3 3 2" xfId="21197"/>
    <cellStyle name="Warning Text 23 3 4" xfId="21198"/>
    <cellStyle name="Warning Text 23 4" xfId="21199"/>
    <cellStyle name="Warning Text 23 4 2" xfId="21200"/>
    <cellStyle name="Warning Text 23 4 2 2" xfId="21201"/>
    <cellStyle name="Warning Text 23 4 3" xfId="21202"/>
    <cellStyle name="Warning Text 23 4 3 2" xfId="21203"/>
    <cellStyle name="Warning Text 23 4 4" xfId="21204"/>
    <cellStyle name="Warning Text 23 5" xfId="21205"/>
    <cellStyle name="Warning Text 23 5 2" xfId="21206"/>
    <cellStyle name="Warning Text 23 5 2 2" xfId="21207"/>
    <cellStyle name="Warning Text 23 5 3" xfId="21208"/>
    <cellStyle name="Warning Text 23 5 3 2" xfId="21209"/>
    <cellStyle name="Warning Text 23 5 4" xfId="21210"/>
    <cellStyle name="Warning Text 23 5 4 2" xfId="21211"/>
    <cellStyle name="Warning Text 23 5 5" xfId="21212"/>
    <cellStyle name="Warning Text 23 6" xfId="21213"/>
    <cellStyle name="Warning Text 23 6 2" xfId="21214"/>
    <cellStyle name="Warning Text 23 6 2 2" xfId="21215"/>
    <cellStyle name="Warning Text 23 6 3" xfId="21216"/>
    <cellStyle name="Warning Text 23 6 3 2" xfId="21217"/>
    <cellStyle name="Warning Text 23 6 4" xfId="21218"/>
    <cellStyle name="Warning Text 23 7" xfId="21219"/>
    <cellStyle name="Warning Text 23 7 2" xfId="21220"/>
    <cellStyle name="Warning Text 23 8" xfId="21221"/>
    <cellStyle name="Warning Text 23 8 2" xfId="21222"/>
    <cellStyle name="Warning Text 23 9" xfId="21223"/>
    <cellStyle name="Warning Text 23 9 2" xfId="21224"/>
    <cellStyle name="Warning Text 24 12" xfId="21225"/>
    <cellStyle name="Warning Text 24 10" xfId="21226"/>
    <cellStyle name="Warning Text 24 11" xfId="21227"/>
    <cellStyle name="Warning Text 24 2" xfId="21228"/>
    <cellStyle name="Warning Text 24 2 2" xfId="21229"/>
    <cellStyle name="Warning Text 24 2 2 2" xfId="21230"/>
    <cellStyle name="Warning Text 24 2 3" xfId="21231"/>
    <cellStyle name="Warning Text 24 2 3 2" xfId="21232"/>
    <cellStyle name="Warning Text 24 2 4" xfId="21233"/>
    <cellStyle name="Warning Text 24 2 5" xfId="21234"/>
    <cellStyle name="Warning Text 24 3" xfId="21235"/>
    <cellStyle name="Warning Text 24 3 2" xfId="21236"/>
    <cellStyle name="Warning Text 24 3 2 2" xfId="21237"/>
    <cellStyle name="Warning Text 24 3 3" xfId="21238"/>
    <cellStyle name="Warning Text 24 3 3 2" xfId="21239"/>
    <cellStyle name="Warning Text 24 3 4" xfId="21240"/>
    <cellStyle name="Warning Text 24 4" xfId="21241"/>
    <cellStyle name="Warning Text 24 4 2" xfId="21242"/>
    <cellStyle name="Warning Text 24 4 2 2" xfId="21243"/>
    <cellStyle name="Warning Text 24 4 3" xfId="21244"/>
    <cellStyle name="Warning Text 24 4 3 2" xfId="21245"/>
    <cellStyle name="Warning Text 24 4 4" xfId="21246"/>
    <cellStyle name="Warning Text 24 5" xfId="21247"/>
    <cellStyle name="Warning Text 24 5 2" xfId="21248"/>
    <cellStyle name="Warning Text 24 5 2 2" xfId="21249"/>
    <cellStyle name="Warning Text 24 5 3" xfId="21250"/>
    <cellStyle name="Warning Text 24 5 3 2" xfId="21251"/>
    <cellStyle name="Warning Text 24 5 4" xfId="21252"/>
    <cellStyle name="Warning Text 24 5 4 2" xfId="21253"/>
    <cellStyle name="Warning Text 24 5 5" xfId="21254"/>
    <cellStyle name="Warning Text 24 6" xfId="21255"/>
    <cellStyle name="Warning Text 24 6 2" xfId="21256"/>
    <cellStyle name="Warning Text 24 6 2 2" xfId="21257"/>
    <cellStyle name="Warning Text 24 6 3" xfId="21258"/>
    <cellStyle name="Warning Text 24 6 3 2" xfId="21259"/>
    <cellStyle name="Warning Text 24 6 4" xfId="21260"/>
    <cellStyle name="Warning Text 24 7" xfId="21261"/>
    <cellStyle name="Warning Text 24 7 2" xfId="21262"/>
    <cellStyle name="Warning Text 24 8" xfId="21263"/>
    <cellStyle name="Warning Text 24 8 2" xfId="21264"/>
    <cellStyle name="Warning Text 24 9" xfId="21265"/>
    <cellStyle name="Warning Text 24 9 2" xfId="21266"/>
    <cellStyle name="Warning Text 25 12" xfId="21267"/>
    <cellStyle name="Warning Text 25 10" xfId="21268"/>
    <cellStyle name="Warning Text 25 11" xfId="21269"/>
    <cellStyle name="Warning Text 25 2" xfId="21270"/>
    <cellStyle name="Warning Text 25 2 2" xfId="21271"/>
    <cellStyle name="Warning Text 25 2 2 2" xfId="21272"/>
    <cellStyle name="Warning Text 25 2 3" xfId="21273"/>
    <cellStyle name="Warning Text 25 2 3 2" xfId="21274"/>
    <cellStyle name="Warning Text 25 2 4" xfId="21275"/>
    <cellStyle name="Warning Text 25 2 5" xfId="21276"/>
    <cellStyle name="Warning Text 25 3" xfId="21277"/>
    <cellStyle name="Warning Text 25 3 2" xfId="21278"/>
    <cellStyle name="Warning Text 25 3 2 2" xfId="21279"/>
    <cellStyle name="Warning Text 25 3 3" xfId="21280"/>
    <cellStyle name="Warning Text 25 3 3 2" xfId="21281"/>
    <cellStyle name="Warning Text 25 3 4" xfId="21282"/>
    <cellStyle name="Warning Text 25 4" xfId="21283"/>
    <cellStyle name="Warning Text 25 4 2" xfId="21284"/>
    <cellStyle name="Warning Text 25 4 2 2" xfId="21285"/>
    <cellStyle name="Warning Text 25 4 3" xfId="21286"/>
    <cellStyle name="Warning Text 25 4 3 2" xfId="21287"/>
    <cellStyle name="Warning Text 25 4 4" xfId="21288"/>
    <cellStyle name="Warning Text 25 5" xfId="21289"/>
    <cellStyle name="Warning Text 25 5 2" xfId="21290"/>
    <cellStyle name="Warning Text 25 5 2 2" xfId="21291"/>
    <cellStyle name="Warning Text 25 5 3" xfId="21292"/>
    <cellStyle name="Warning Text 25 5 3 2" xfId="21293"/>
    <cellStyle name="Warning Text 25 5 4" xfId="21294"/>
    <cellStyle name="Warning Text 25 5 4 2" xfId="21295"/>
    <cellStyle name="Warning Text 25 5 5" xfId="21296"/>
    <cellStyle name="Warning Text 25 6" xfId="21297"/>
    <cellStyle name="Warning Text 25 6 2" xfId="21298"/>
    <cellStyle name="Warning Text 25 6 2 2" xfId="21299"/>
    <cellStyle name="Warning Text 25 6 3" xfId="21300"/>
    <cellStyle name="Warning Text 25 6 3 2" xfId="21301"/>
    <cellStyle name="Warning Text 25 6 4" xfId="21302"/>
    <cellStyle name="Warning Text 25 7" xfId="21303"/>
    <cellStyle name="Warning Text 25 7 2" xfId="21304"/>
    <cellStyle name="Warning Text 25 8" xfId="21305"/>
    <cellStyle name="Warning Text 25 8 2" xfId="21306"/>
    <cellStyle name="Warning Text 25 9" xfId="21307"/>
    <cellStyle name="Warning Text 25 9 2" xfId="21308"/>
    <cellStyle name="Warning Text 26 12" xfId="21309"/>
    <cellStyle name="Warning Text 26 10" xfId="21310"/>
    <cellStyle name="Warning Text 26 11" xfId="21311"/>
    <cellStyle name="Warning Text 26 2" xfId="21312"/>
    <cellStyle name="Warning Text 26 2 2" xfId="21313"/>
    <cellStyle name="Warning Text 26 2 2 2" xfId="21314"/>
    <cellStyle name="Warning Text 26 2 3" xfId="21315"/>
    <cellStyle name="Warning Text 26 2 3 2" xfId="21316"/>
    <cellStyle name="Warning Text 26 2 4" xfId="21317"/>
    <cellStyle name="Warning Text 26 2 5" xfId="21318"/>
    <cellStyle name="Warning Text 26 3" xfId="21319"/>
    <cellStyle name="Warning Text 26 3 2" xfId="21320"/>
    <cellStyle name="Warning Text 26 3 2 2" xfId="21321"/>
    <cellStyle name="Warning Text 26 3 3" xfId="21322"/>
    <cellStyle name="Warning Text 26 3 3 2" xfId="21323"/>
    <cellStyle name="Warning Text 26 3 4" xfId="21324"/>
    <cellStyle name="Warning Text 26 4" xfId="21325"/>
    <cellStyle name="Warning Text 26 4 2" xfId="21326"/>
    <cellStyle name="Warning Text 26 4 2 2" xfId="21327"/>
    <cellStyle name="Warning Text 26 4 3" xfId="21328"/>
    <cellStyle name="Warning Text 26 4 3 2" xfId="21329"/>
    <cellStyle name="Warning Text 26 4 4" xfId="21330"/>
    <cellStyle name="Warning Text 26 5" xfId="21331"/>
    <cellStyle name="Warning Text 26 5 2" xfId="21332"/>
    <cellStyle name="Warning Text 26 5 2 2" xfId="21333"/>
    <cellStyle name="Warning Text 26 5 3" xfId="21334"/>
    <cellStyle name="Warning Text 26 5 3 2" xfId="21335"/>
    <cellStyle name="Warning Text 26 5 4" xfId="21336"/>
    <cellStyle name="Warning Text 26 5 4 2" xfId="21337"/>
    <cellStyle name="Warning Text 26 5 5" xfId="21338"/>
    <cellStyle name="Warning Text 26 6" xfId="21339"/>
    <cellStyle name="Warning Text 26 6 2" xfId="21340"/>
    <cellStyle name="Warning Text 26 6 2 2" xfId="21341"/>
    <cellStyle name="Warning Text 26 6 3" xfId="21342"/>
    <cellStyle name="Warning Text 26 6 3 2" xfId="21343"/>
    <cellStyle name="Warning Text 26 6 4" xfId="21344"/>
    <cellStyle name="Warning Text 26 7" xfId="21345"/>
    <cellStyle name="Warning Text 26 7 2" xfId="21346"/>
    <cellStyle name="Warning Text 26 8" xfId="21347"/>
    <cellStyle name="Warning Text 26 8 2" xfId="21348"/>
    <cellStyle name="Warning Text 26 9" xfId="21349"/>
    <cellStyle name="Warning Text 26 9 2" xfId="21350"/>
    <cellStyle name="Warning Text 27 12" xfId="21351"/>
    <cellStyle name="Warning Text 27 10" xfId="21352"/>
    <cellStyle name="Warning Text 27 11" xfId="21353"/>
    <cellStyle name="Warning Text 27 2" xfId="21354"/>
    <cellStyle name="Warning Text 27 2 2" xfId="21355"/>
    <cellStyle name="Warning Text 27 2 2 2" xfId="21356"/>
    <cellStyle name="Warning Text 27 2 3" xfId="21357"/>
    <cellStyle name="Warning Text 27 2 3 2" xfId="21358"/>
    <cellStyle name="Warning Text 27 2 4" xfId="21359"/>
    <cellStyle name="Warning Text 27 2 5" xfId="21360"/>
    <cellStyle name="Warning Text 27 3" xfId="21361"/>
    <cellStyle name="Warning Text 27 3 2" xfId="21362"/>
    <cellStyle name="Warning Text 27 3 2 2" xfId="21363"/>
    <cellStyle name="Warning Text 27 3 3" xfId="21364"/>
    <cellStyle name="Warning Text 27 3 3 2" xfId="21365"/>
    <cellStyle name="Warning Text 27 3 4" xfId="21366"/>
    <cellStyle name="Warning Text 27 4" xfId="21367"/>
    <cellStyle name="Warning Text 27 4 2" xfId="21368"/>
    <cellStyle name="Warning Text 27 4 2 2" xfId="21369"/>
    <cellStyle name="Warning Text 27 4 3" xfId="21370"/>
    <cellStyle name="Warning Text 27 4 3 2" xfId="21371"/>
    <cellStyle name="Warning Text 27 4 4" xfId="21372"/>
    <cellStyle name="Warning Text 27 5" xfId="21373"/>
    <cellStyle name="Warning Text 27 5 2" xfId="21374"/>
    <cellStyle name="Warning Text 27 5 2 2" xfId="21375"/>
    <cellStyle name="Warning Text 27 5 3" xfId="21376"/>
    <cellStyle name="Warning Text 27 5 3 2" xfId="21377"/>
    <cellStyle name="Warning Text 27 5 4" xfId="21378"/>
    <cellStyle name="Warning Text 27 5 4 2" xfId="21379"/>
    <cellStyle name="Warning Text 27 5 5" xfId="21380"/>
    <cellStyle name="Warning Text 27 6" xfId="21381"/>
    <cellStyle name="Warning Text 27 6 2" xfId="21382"/>
    <cellStyle name="Warning Text 27 6 2 2" xfId="21383"/>
    <cellStyle name="Warning Text 27 6 3" xfId="21384"/>
    <cellStyle name="Warning Text 27 6 3 2" xfId="21385"/>
    <cellStyle name="Warning Text 27 6 4" xfId="21386"/>
    <cellStyle name="Warning Text 27 7" xfId="21387"/>
    <cellStyle name="Warning Text 27 7 2" xfId="21388"/>
    <cellStyle name="Warning Text 27 8" xfId="21389"/>
    <cellStyle name="Warning Text 27 8 2" xfId="21390"/>
    <cellStyle name="Warning Text 27 9" xfId="21391"/>
    <cellStyle name="Warning Text 27 9 2" xfId="21392"/>
    <cellStyle name="Warning Text 28 12" xfId="21393"/>
    <cellStyle name="Warning Text 28 10" xfId="21394"/>
    <cellStyle name="Warning Text 28 11" xfId="21395"/>
    <cellStyle name="Warning Text 28 2" xfId="21396"/>
    <cellStyle name="Warning Text 28 2 2" xfId="21397"/>
    <cellStyle name="Warning Text 28 2 2 2" xfId="21398"/>
    <cellStyle name="Warning Text 28 2 3" xfId="21399"/>
    <cellStyle name="Warning Text 28 2 3 2" xfId="21400"/>
    <cellStyle name="Warning Text 28 2 4" xfId="21401"/>
    <cellStyle name="Warning Text 28 2 5" xfId="21402"/>
    <cellStyle name="Warning Text 28 3" xfId="21403"/>
    <cellStyle name="Warning Text 28 3 2" xfId="21404"/>
    <cellStyle name="Warning Text 28 3 2 2" xfId="21405"/>
    <cellStyle name="Warning Text 28 3 3" xfId="21406"/>
    <cellStyle name="Warning Text 28 3 3 2" xfId="21407"/>
    <cellStyle name="Warning Text 28 3 4" xfId="21408"/>
    <cellStyle name="Warning Text 28 4" xfId="21409"/>
    <cellStyle name="Warning Text 28 4 2" xfId="21410"/>
    <cellStyle name="Warning Text 28 4 2 2" xfId="21411"/>
    <cellStyle name="Warning Text 28 4 3" xfId="21412"/>
    <cellStyle name="Warning Text 28 4 3 2" xfId="21413"/>
    <cellStyle name="Warning Text 28 4 4" xfId="21414"/>
    <cellStyle name="Warning Text 28 5" xfId="21415"/>
    <cellStyle name="Warning Text 28 5 2" xfId="21416"/>
    <cellStyle name="Warning Text 28 5 2 2" xfId="21417"/>
    <cellStyle name="Warning Text 28 5 3" xfId="21418"/>
    <cellStyle name="Warning Text 28 5 3 2" xfId="21419"/>
    <cellStyle name="Warning Text 28 5 4" xfId="21420"/>
    <cellStyle name="Warning Text 28 5 4 2" xfId="21421"/>
    <cellStyle name="Warning Text 28 5 5" xfId="21422"/>
    <cellStyle name="Warning Text 28 6" xfId="21423"/>
    <cellStyle name="Warning Text 28 6 2" xfId="21424"/>
    <cellStyle name="Warning Text 28 6 2 2" xfId="21425"/>
    <cellStyle name="Warning Text 28 6 3" xfId="21426"/>
    <cellStyle name="Warning Text 28 6 3 2" xfId="21427"/>
    <cellStyle name="Warning Text 28 6 4" xfId="21428"/>
    <cellStyle name="Warning Text 28 7" xfId="21429"/>
    <cellStyle name="Warning Text 28 7 2" xfId="21430"/>
    <cellStyle name="Warning Text 28 8" xfId="21431"/>
    <cellStyle name="Warning Text 28 8 2" xfId="21432"/>
    <cellStyle name="Warning Text 28 9" xfId="21433"/>
    <cellStyle name="Warning Text 28 9 2" xfId="21434"/>
    <cellStyle name="Warning Text 29 12" xfId="21435"/>
    <cellStyle name="Warning Text 29 10" xfId="21436"/>
    <cellStyle name="Warning Text 29 11" xfId="21437"/>
    <cellStyle name="Warning Text 29 2" xfId="21438"/>
    <cellStyle name="Warning Text 29 2 2" xfId="21439"/>
    <cellStyle name="Warning Text 29 2 2 2" xfId="21440"/>
    <cellStyle name="Warning Text 29 2 3" xfId="21441"/>
    <cellStyle name="Warning Text 29 2 3 2" xfId="21442"/>
    <cellStyle name="Warning Text 29 2 4" xfId="21443"/>
    <cellStyle name="Warning Text 29 2 5" xfId="21444"/>
    <cellStyle name="Warning Text 29 3" xfId="21445"/>
    <cellStyle name="Warning Text 29 3 2" xfId="21446"/>
    <cellStyle name="Warning Text 29 3 2 2" xfId="21447"/>
    <cellStyle name="Warning Text 29 3 3" xfId="21448"/>
    <cellStyle name="Warning Text 29 3 3 2" xfId="21449"/>
    <cellStyle name="Warning Text 29 3 4" xfId="21450"/>
    <cellStyle name="Warning Text 29 4" xfId="21451"/>
    <cellStyle name="Warning Text 29 4 2" xfId="21452"/>
    <cellStyle name="Warning Text 29 4 2 2" xfId="21453"/>
    <cellStyle name="Warning Text 29 4 3" xfId="21454"/>
    <cellStyle name="Warning Text 29 4 3 2" xfId="21455"/>
    <cellStyle name="Warning Text 29 4 4" xfId="21456"/>
    <cellStyle name="Warning Text 29 5" xfId="21457"/>
    <cellStyle name="Warning Text 29 5 2" xfId="21458"/>
    <cellStyle name="Warning Text 29 5 2 2" xfId="21459"/>
    <cellStyle name="Warning Text 29 5 3" xfId="21460"/>
    <cellStyle name="Warning Text 29 5 3 2" xfId="21461"/>
    <cellStyle name="Warning Text 29 5 4" xfId="21462"/>
    <cellStyle name="Warning Text 29 5 4 2" xfId="21463"/>
    <cellStyle name="Warning Text 29 5 5" xfId="21464"/>
    <cellStyle name="Warning Text 29 6" xfId="21465"/>
    <cellStyle name="Warning Text 29 6 2" xfId="21466"/>
    <cellStyle name="Warning Text 29 6 2 2" xfId="21467"/>
    <cellStyle name="Warning Text 29 6 3" xfId="21468"/>
    <cellStyle name="Warning Text 29 6 3 2" xfId="21469"/>
    <cellStyle name="Warning Text 29 6 4" xfId="21470"/>
    <cellStyle name="Warning Text 29 7" xfId="21471"/>
    <cellStyle name="Warning Text 29 7 2" xfId="21472"/>
    <cellStyle name="Warning Text 29 8" xfId="21473"/>
    <cellStyle name="Warning Text 29 8 2" xfId="21474"/>
    <cellStyle name="Warning Text 29 9" xfId="21475"/>
    <cellStyle name="Warning Text 29 9 2" xfId="21476"/>
    <cellStyle name="Warning Text 3 12" xfId="21477"/>
    <cellStyle name="Warning Text 3 10" xfId="21478"/>
    <cellStyle name="Warning Text 3 11" xfId="21479"/>
    <cellStyle name="Warning Text 3 2 6" xfId="21480"/>
    <cellStyle name="Warning Text 3 2 2" xfId="21481"/>
    <cellStyle name="Warning Text 3 2 2 2" xfId="21482"/>
    <cellStyle name="Warning Text 3 2 3" xfId="21483"/>
    <cellStyle name="Warning Text 3 2 3 2" xfId="21484"/>
    <cellStyle name="Warning Text 3 2 4" xfId="21485"/>
    <cellStyle name="Warning Text 3 2 5" xfId="21486"/>
    <cellStyle name="Warning Text 3 3" xfId="21487"/>
    <cellStyle name="Warning Text 3 3 2" xfId="21488"/>
    <cellStyle name="Warning Text 3 3 2 2" xfId="21489"/>
    <cellStyle name="Warning Text 3 3 3" xfId="21490"/>
    <cellStyle name="Warning Text 3 3 3 2" xfId="21491"/>
    <cellStyle name="Warning Text 3 3 4" xfId="21492"/>
    <cellStyle name="Warning Text 3 4" xfId="21493"/>
    <cellStyle name="Warning Text 3 4 2" xfId="21494"/>
    <cellStyle name="Warning Text 3 4 2 2" xfId="21495"/>
    <cellStyle name="Warning Text 3 4 3" xfId="21496"/>
    <cellStyle name="Warning Text 3 4 3 2" xfId="21497"/>
    <cellStyle name="Warning Text 3 4 4" xfId="21498"/>
    <cellStyle name="Warning Text 3 5" xfId="21499"/>
    <cellStyle name="Warning Text 3 5 2" xfId="21500"/>
    <cellStyle name="Warning Text 3 5 2 2" xfId="21501"/>
    <cellStyle name="Warning Text 3 5 3" xfId="21502"/>
    <cellStyle name="Warning Text 3 5 3 2" xfId="21503"/>
    <cellStyle name="Warning Text 3 5 4" xfId="21504"/>
    <cellStyle name="Warning Text 3 5 4 2" xfId="21505"/>
    <cellStyle name="Warning Text 3 5 5" xfId="21506"/>
    <cellStyle name="Warning Text 3 6" xfId="21507"/>
    <cellStyle name="Warning Text 3 6 2" xfId="21508"/>
    <cellStyle name="Warning Text 3 6 2 2" xfId="21509"/>
    <cellStyle name="Warning Text 3 6 3" xfId="21510"/>
    <cellStyle name="Warning Text 3 6 3 2" xfId="21511"/>
    <cellStyle name="Warning Text 3 6 4" xfId="21512"/>
    <cellStyle name="Warning Text 3 7" xfId="21513"/>
    <cellStyle name="Warning Text 3 7 2" xfId="21514"/>
    <cellStyle name="Warning Text 3 8" xfId="21515"/>
    <cellStyle name="Warning Text 3 8 2" xfId="21516"/>
    <cellStyle name="Warning Text 3 9" xfId="21517"/>
    <cellStyle name="Warning Text 3 9 2" xfId="21518"/>
    <cellStyle name="Warning Text 30 12" xfId="21519"/>
    <cellStyle name="Warning Text 30 10" xfId="21520"/>
    <cellStyle name="Warning Text 30 11" xfId="21521"/>
    <cellStyle name="Warning Text 30 2" xfId="21522"/>
    <cellStyle name="Warning Text 30 2 2" xfId="21523"/>
    <cellStyle name="Warning Text 30 2 2 2" xfId="21524"/>
    <cellStyle name="Warning Text 30 2 3" xfId="21525"/>
    <cellStyle name="Warning Text 30 2 3 2" xfId="21526"/>
    <cellStyle name="Warning Text 30 2 4" xfId="21527"/>
    <cellStyle name="Warning Text 30 2 5" xfId="21528"/>
    <cellStyle name="Warning Text 30 3" xfId="21529"/>
    <cellStyle name="Warning Text 30 3 2" xfId="21530"/>
    <cellStyle name="Warning Text 30 3 2 2" xfId="21531"/>
    <cellStyle name="Warning Text 30 3 3" xfId="21532"/>
    <cellStyle name="Warning Text 30 3 3 2" xfId="21533"/>
    <cellStyle name="Warning Text 30 3 4" xfId="21534"/>
    <cellStyle name="Warning Text 30 4" xfId="21535"/>
    <cellStyle name="Warning Text 30 4 2" xfId="21536"/>
    <cellStyle name="Warning Text 30 4 2 2" xfId="21537"/>
    <cellStyle name="Warning Text 30 4 3" xfId="21538"/>
    <cellStyle name="Warning Text 30 4 3 2" xfId="21539"/>
    <cellStyle name="Warning Text 30 4 4" xfId="21540"/>
    <cellStyle name="Warning Text 30 5" xfId="21541"/>
    <cellStyle name="Warning Text 30 5 2" xfId="21542"/>
    <cellStyle name="Warning Text 30 5 2 2" xfId="21543"/>
    <cellStyle name="Warning Text 30 5 3" xfId="21544"/>
    <cellStyle name="Warning Text 30 5 3 2" xfId="21545"/>
    <cellStyle name="Warning Text 30 5 4" xfId="21546"/>
    <cellStyle name="Warning Text 30 5 4 2" xfId="21547"/>
    <cellStyle name="Warning Text 30 5 5" xfId="21548"/>
    <cellStyle name="Warning Text 30 6" xfId="21549"/>
    <cellStyle name="Warning Text 30 6 2" xfId="21550"/>
    <cellStyle name="Warning Text 30 6 2 2" xfId="21551"/>
    <cellStyle name="Warning Text 30 6 3" xfId="21552"/>
    <cellStyle name="Warning Text 30 6 3 2" xfId="21553"/>
    <cellStyle name="Warning Text 30 6 4" xfId="21554"/>
    <cellStyle name="Warning Text 30 7" xfId="21555"/>
    <cellStyle name="Warning Text 30 7 2" xfId="21556"/>
    <cellStyle name="Warning Text 30 8" xfId="21557"/>
    <cellStyle name="Warning Text 30 8 2" xfId="21558"/>
    <cellStyle name="Warning Text 30 9" xfId="21559"/>
    <cellStyle name="Warning Text 30 9 2" xfId="21560"/>
    <cellStyle name="Warning Text 31 12" xfId="21561"/>
    <cellStyle name="Warning Text 31 10" xfId="21562"/>
    <cellStyle name="Warning Text 31 11" xfId="21563"/>
    <cellStyle name="Warning Text 31 2" xfId="21564"/>
    <cellStyle name="Warning Text 31 2 2" xfId="21565"/>
    <cellStyle name="Warning Text 31 2 2 2" xfId="21566"/>
    <cellStyle name="Warning Text 31 2 3" xfId="21567"/>
    <cellStyle name="Warning Text 31 2 3 2" xfId="21568"/>
    <cellStyle name="Warning Text 31 2 4" xfId="21569"/>
    <cellStyle name="Warning Text 31 2 5" xfId="21570"/>
    <cellStyle name="Warning Text 31 3" xfId="21571"/>
    <cellStyle name="Warning Text 31 3 2" xfId="21572"/>
    <cellStyle name="Warning Text 31 3 2 2" xfId="21573"/>
    <cellStyle name="Warning Text 31 3 3" xfId="21574"/>
    <cellStyle name="Warning Text 31 3 3 2" xfId="21575"/>
    <cellStyle name="Warning Text 31 3 4" xfId="21576"/>
    <cellStyle name="Warning Text 31 4" xfId="21577"/>
    <cellStyle name="Warning Text 31 4 2" xfId="21578"/>
    <cellStyle name="Warning Text 31 4 2 2" xfId="21579"/>
    <cellStyle name="Warning Text 31 4 3" xfId="21580"/>
    <cellStyle name="Warning Text 31 4 3 2" xfId="21581"/>
    <cellStyle name="Warning Text 31 4 4" xfId="21582"/>
    <cellStyle name="Warning Text 31 5" xfId="21583"/>
    <cellStyle name="Warning Text 31 5 2" xfId="21584"/>
    <cellStyle name="Warning Text 31 5 2 2" xfId="21585"/>
    <cellStyle name="Warning Text 31 5 3" xfId="21586"/>
    <cellStyle name="Warning Text 31 5 3 2" xfId="21587"/>
    <cellStyle name="Warning Text 31 5 4" xfId="21588"/>
    <cellStyle name="Warning Text 31 5 4 2" xfId="21589"/>
    <cellStyle name="Warning Text 31 5 5" xfId="21590"/>
    <cellStyle name="Warning Text 31 6" xfId="21591"/>
    <cellStyle name="Warning Text 31 6 2" xfId="21592"/>
    <cellStyle name="Warning Text 31 6 2 2" xfId="21593"/>
    <cellStyle name="Warning Text 31 6 3" xfId="21594"/>
    <cellStyle name="Warning Text 31 6 3 2" xfId="21595"/>
    <cellStyle name="Warning Text 31 6 4" xfId="21596"/>
    <cellStyle name="Warning Text 31 7" xfId="21597"/>
    <cellStyle name="Warning Text 31 7 2" xfId="21598"/>
    <cellStyle name="Warning Text 31 8" xfId="21599"/>
    <cellStyle name="Warning Text 31 8 2" xfId="21600"/>
    <cellStyle name="Warning Text 31 9" xfId="21601"/>
    <cellStyle name="Warning Text 31 9 2" xfId="21602"/>
    <cellStyle name="Warning Text 32 12" xfId="21603"/>
    <cellStyle name="Warning Text 32 10" xfId="21604"/>
    <cellStyle name="Warning Text 32 11" xfId="21605"/>
    <cellStyle name="Warning Text 32 2" xfId="21606"/>
    <cellStyle name="Warning Text 32 2 2" xfId="21607"/>
    <cellStyle name="Warning Text 32 2 2 2" xfId="21608"/>
    <cellStyle name="Warning Text 32 2 3" xfId="21609"/>
    <cellStyle name="Warning Text 32 2 3 2" xfId="21610"/>
    <cellStyle name="Warning Text 32 2 4" xfId="21611"/>
    <cellStyle name="Warning Text 32 2 5" xfId="21612"/>
    <cellStyle name="Warning Text 32 3" xfId="21613"/>
    <cellStyle name="Warning Text 32 3 2" xfId="21614"/>
    <cellStyle name="Warning Text 32 3 2 2" xfId="21615"/>
    <cellStyle name="Warning Text 32 3 3" xfId="21616"/>
    <cellStyle name="Warning Text 32 3 3 2" xfId="21617"/>
    <cellStyle name="Warning Text 32 3 4" xfId="21618"/>
    <cellStyle name="Warning Text 32 4" xfId="21619"/>
    <cellStyle name="Warning Text 32 4 2" xfId="21620"/>
    <cellStyle name="Warning Text 32 4 2 2" xfId="21621"/>
    <cellStyle name="Warning Text 32 4 3" xfId="21622"/>
    <cellStyle name="Warning Text 32 4 3 2" xfId="21623"/>
    <cellStyle name="Warning Text 32 4 4" xfId="21624"/>
    <cellStyle name="Warning Text 32 5" xfId="21625"/>
    <cellStyle name="Warning Text 32 5 2" xfId="21626"/>
    <cellStyle name="Warning Text 32 5 2 2" xfId="21627"/>
    <cellStyle name="Warning Text 32 5 3" xfId="21628"/>
    <cellStyle name="Warning Text 32 5 3 2" xfId="21629"/>
    <cellStyle name="Warning Text 32 5 4" xfId="21630"/>
    <cellStyle name="Warning Text 32 5 4 2" xfId="21631"/>
    <cellStyle name="Warning Text 32 5 5" xfId="21632"/>
    <cellStyle name="Warning Text 32 6" xfId="21633"/>
    <cellStyle name="Warning Text 32 6 2" xfId="21634"/>
    <cellStyle name="Warning Text 32 6 2 2" xfId="21635"/>
    <cellStyle name="Warning Text 32 6 3" xfId="21636"/>
    <cellStyle name="Warning Text 32 6 3 2" xfId="21637"/>
    <cellStyle name="Warning Text 32 6 4" xfId="21638"/>
    <cellStyle name="Warning Text 32 7" xfId="21639"/>
    <cellStyle name="Warning Text 32 7 2" xfId="21640"/>
    <cellStyle name="Warning Text 32 8" xfId="21641"/>
    <cellStyle name="Warning Text 32 8 2" xfId="21642"/>
    <cellStyle name="Warning Text 32 9" xfId="21643"/>
    <cellStyle name="Warning Text 32 9 2" xfId="21644"/>
    <cellStyle name="Warning Text 33 12" xfId="21645"/>
    <cellStyle name="Warning Text 33 10" xfId="21646"/>
    <cellStyle name="Warning Text 33 11" xfId="21647"/>
    <cellStyle name="Warning Text 33 2" xfId="21648"/>
    <cellStyle name="Warning Text 33 2 2" xfId="21649"/>
    <cellStyle name="Warning Text 33 2 2 2" xfId="21650"/>
    <cellStyle name="Warning Text 33 2 3" xfId="21651"/>
    <cellStyle name="Warning Text 33 2 3 2" xfId="21652"/>
    <cellStyle name="Warning Text 33 2 4" xfId="21653"/>
    <cellStyle name="Warning Text 33 2 5" xfId="21654"/>
    <cellStyle name="Warning Text 33 3" xfId="21655"/>
    <cellStyle name="Warning Text 33 3 2" xfId="21656"/>
    <cellStyle name="Warning Text 33 3 2 2" xfId="21657"/>
    <cellStyle name="Warning Text 33 3 3" xfId="21658"/>
    <cellStyle name="Warning Text 33 3 3 2" xfId="21659"/>
    <cellStyle name="Warning Text 33 3 4" xfId="21660"/>
    <cellStyle name="Warning Text 33 4" xfId="21661"/>
    <cellStyle name="Warning Text 33 4 2" xfId="21662"/>
    <cellStyle name="Warning Text 33 4 2 2" xfId="21663"/>
    <cellStyle name="Warning Text 33 4 3" xfId="21664"/>
    <cellStyle name="Warning Text 33 4 3 2" xfId="21665"/>
    <cellStyle name="Warning Text 33 4 4" xfId="21666"/>
    <cellStyle name="Warning Text 33 5" xfId="21667"/>
    <cellStyle name="Warning Text 33 5 2" xfId="21668"/>
    <cellStyle name="Warning Text 33 5 2 2" xfId="21669"/>
    <cellStyle name="Warning Text 33 5 3" xfId="21670"/>
    <cellStyle name="Warning Text 33 5 3 2" xfId="21671"/>
    <cellStyle name="Warning Text 33 5 4" xfId="21672"/>
    <cellStyle name="Warning Text 33 5 4 2" xfId="21673"/>
    <cellStyle name="Warning Text 33 5 5" xfId="21674"/>
    <cellStyle name="Warning Text 33 6" xfId="21675"/>
    <cellStyle name="Warning Text 33 6 2" xfId="21676"/>
    <cellStyle name="Warning Text 33 6 2 2" xfId="21677"/>
    <cellStyle name="Warning Text 33 6 3" xfId="21678"/>
    <cellStyle name="Warning Text 33 6 3 2" xfId="21679"/>
    <cellStyle name="Warning Text 33 6 4" xfId="21680"/>
    <cellStyle name="Warning Text 33 7" xfId="21681"/>
    <cellStyle name="Warning Text 33 7 2" xfId="21682"/>
    <cellStyle name="Warning Text 33 8" xfId="21683"/>
    <cellStyle name="Warning Text 33 8 2" xfId="21684"/>
    <cellStyle name="Warning Text 33 9" xfId="21685"/>
    <cellStyle name="Warning Text 33 9 2" xfId="21686"/>
    <cellStyle name="Warning Text 34 12" xfId="21687"/>
    <cellStyle name="Warning Text 34 10" xfId="21688"/>
    <cellStyle name="Warning Text 34 11" xfId="21689"/>
    <cellStyle name="Warning Text 34 2" xfId="21690"/>
    <cellStyle name="Warning Text 34 2 2" xfId="21691"/>
    <cellStyle name="Warning Text 34 2 2 2" xfId="21692"/>
    <cellStyle name="Warning Text 34 2 3" xfId="21693"/>
    <cellStyle name="Warning Text 34 2 3 2" xfId="21694"/>
    <cellStyle name="Warning Text 34 2 4" xfId="21695"/>
    <cellStyle name="Warning Text 34 2 5" xfId="21696"/>
    <cellStyle name="Warning Text 34 3" xfId="21697"/>
    <cellStyle name="Warning Text 34 3 2" xfId="21698"/>
    <cellStyle name="Warning Text 34 3 2 2" xfId="21699"/>
    <cellStyle name="Warning Text 34 3 3" xfId="21700"/>
    <cellStyle name="Warning Text 34 3 3 2" xfId="21701"/>
    <cellStyle name="Warning Text 34 3 4" xfId="21702"/>
    <cellStyle name="Warning Text 34 4" xfId="21703"/>
    <cellStyle name="Warning Text 34 4 2" xfId="21704"/>
    <cellStyle name="Warning Text 34 4 2 2" xfId="21705"/>
    <cellStyle name="Warning Text 34 4 3" xfId="21706"/>
    <cellStyle name="Warning Text 34 4 3 2" xfId="21707"/>
    <cellStyle name="Warning Text 34 4 4" xfId="21708"/>
    <cellStyle name="Warning Text 34 5" xfId="21709"/>
    <cellStyle name="Warning Text 34 5 2" xfId="21710"/>
    <cellStyle name="Warning Text 34 5 2 2" xfId="21711"/>
    <cellStyle name="Warning Text 34 5 3" xfId="21712"/>
    <cellStyle name="Warning Text 34 5 3 2" xfId="21713"/>
    <cellStyle name="Warning Text 34 5 4" xfId="21714"/>
    <cellStyle name="Warning Text 34 5 4 2" xfId="21715"/>
    <cellStyle name="Warning Text 34 5 5" xfId="21716"/>
    <cellStyle name="Warning Text 34 6" xfId="21717"/>
    <cellStyle name="Warning Text 34 6 2" xfId="21718"/>
    <cellStyle name="Warning Text 34 6 2 2" xfId="21719"/>
    <cellStyle name="Warning Text 34 6 3" xfId="21720"/>
    <cellStyle name="Warning Text 34 6 3 2" xfId="21721"/>
    <cellStyle name="Warning Text 34 6 4" xfId="21722"/>
    <cellStyle name="Warning Text 34 7" xfId="21723"/>
    <cellStyle name="Warning Text 34 7 2" xfId="21724"/>
    <cellStyle name="Warning Text 34 8" xfId="21725"/>
    <cellStyle name="Warning Text 34 8 2" xfId="21726"/>
    <cellStyle name="Warning Text 34 9" xfId="21727"/>
    <cellStyle name="Warning Text 34 9 2" xfId="21728"/>
    <cellStyle name="Warning Text 35 12" xfId="21729"/>
    <cellStyle name="Warning Text 35 10" xfId="21730"/>
    <cellStyle name="Warning Text 35 11" xfId="21731"/>
    <cellStyle name="Warning Text 35 2" xfId="21732"/>
    <cellStyle name="Warning Text 35 2 2" xfId="21733"/>
    <cellStyle name="Warning Text 35 2 2 2" xfId="21734"/>
    <cellStyle name="Warning Text 35 2 3" xfId="21735"/>
    <cellStyle name="Warning Text 35 2 3 2" xfId="21736"/>
    <cellStyle name="Warning Text 35 2 4" xfId="21737"/>
    <cellStyle name="Warning Text 35 2 5" xfId="21738"/>
    <cellStyle name="Warning Text 35 3" xfId="21739"/>
    <cellStyle name="Warning Text 35 3 2" xfId="21740"/>
    <cellStyle name="Warning Text 35 3 2 2" xfId="21741"/>
    <cellStyle name="Warning Text 35 3 3" xfId="21742"/>
    <cellStyle name="Warning Text 35 3 3 2" xfId="21743"/>
    <cellStyle name="Warning Text 35 3 4" xfId="21744"/>
    <cellStyle name="Warning Text 35 4" xfId="21745"/>
    <cellStyle name="Warning Text 35 4 2" xfId="21746"/>
    <cellStyle name="Warning Text 35 4 2 2" xfId="21747"/>
    <cellStyle name="Warning Text 35 4 3" xfId="21748"/>
    <cellStyle name="Warning Text 35 4 3 2" xfId="21749"/>
    <cellStyle name="Warning Text 35 4 4" xfId="21750"/>
    <cellStyle name="Warning Text 35 5" xfId="21751"/>
    <cellStyle name="Warning Text 35 5 2" xfId="21752"/>
    <cellStyle name="Warning Text 35 5 2 2" xfId="21753"/>
    <cellStyle name="Warning Text 35 5 3" xfId="21754"/>
    <cellStyle name="Warning Text 35 5 3 2" xfId="21755"/>
    <cellStyle name="Warning Text 35 5 4" xfId="21756"/>
    <cellStyle name="Warning Text 35 5 4 2" xfId="21757"/>
    <cellStyle name="Warning Text 35 5 5" xfId="21758"/>
    <cellStyle name="Warning Text 35 6" xfId="21759"/>
    <cellStyle name="Warning Text 35 6 2" xfId="21760"/>
    <cellStyle name="Warning Text 35 6 2 2" xfId="21761"/>
    <cellStyle name="Warning Text 35 6 3" xfId="21762"/>
    <cellStyle name="Warning Text 35 6 3 2" xfId="21763"/>
    <cellStyle name="Warning Text 35 6 4" xfId="21764"/>
    <cellStyle name="Warning Text 35 7" xfId="21765"/>
    <cellStyle name="Warning Text 35 7 2" xfId="21766"/>
    <cellStyle name="Warning Text 35 8" xfId="21767"/>
    <cellStyle name="Warning Text 35 8 2" xfId="21768"/>
    <cellStyle name="Warning Text 35 9" xfId="21769"/>
    <cellStyle name="Warning Text 35 9 2" xfId="21770"/>
    <cellStyle name="Warning Text 36 12" xfId="21771"/>
    <cellStyle name="Warning Text 36 10" xfId="21772"/>
    <cellStyle name="Warning Text 36 11" xfId="21773"/>
    <cellStyle name="Warning Text 36 2" xfId="21774"/>
    <cellStyle name="Warning Text 36 2 2" xfId="21775"/>
    <cellStyle name="Warning Text 36 2 2 2" xfId="21776"/>
    <cellStyle name="Warning Text 36 2 3" xfId="21777"/>
    <cellStyle name="Warning Text 36 2 3 2" xfId="21778"/>
    <cellStyle name="Warning Text 36 2 4" xfId="21779"/>
    <cellStyle name="Warning Text 36 2 5" xfId="21780"/>
    <cellStyle name="Warning Text 36 3" xfId="21781"/>
    <cellStyle name="Warning Text 36 3 2" xfId="21782"/>
    <cellStyle name="Warning Text 36 3 2 2" xfId="21783"/>
    <cellStyle name="Warning Text 36 3 3" xfId="21784"/>
    <cellStyle name="Warning Text 36 3 3 2" xfId="21785"/>
    <cellStyle name="Warning Text 36 3 4" xfId="21786"/>
    <cellStyle name="Warning Text 36 4" xfId="21787"/>
    <cellStyle name="Warning Text 36 4 2" xfId="21788"/>
    <cellStyle name="Warning Text 36 4 2 2" xfId="21789"/>
    <cellStyle name="Warning Text 36 4 3" xfId="21790"/>
    <cellStyle name="Warning Text 36 4 3 2" xfId="21791"/>
    <cellStyle name="Warning Text 36 4 4" xfId="21792"/>
    <cellStyle name="Warning Text 36 5" xfId="21793"/>
    <cellStyle name="Warning Text 36 5 2" xfId="21794"/>
    <cellStyle name="Warning Text 36 5 2 2" xfId="21795"/>
    <cellStyle name="Warning Text 36 5 3" xfId="21796"/>
    <cellStyle name="Warning Text 36 5 3 2" xfId="21797"/>
    <cellStyle name="Warning Text 36 5 4" xfId="21798"/>
    <cellStyle name="Warning Text 36 5 4 2" xfId="21799"/>
    <cellStyle name="Warning Text 36 5 5" xfId="21800"/>
    <cellStyle name="Warning Text 36 6" xfId="21801"/>
    <cellStyle name="Warning Text 36 6 2" xfId="21802"/>
    <cellStyle name="Warning Text 36 6 2 2" xfId="21803"/>
    <cellStyle name="Warning Text 36 6 3" xfId="21804"/>
    <cellStyle name="Warning Text 36 6 3 2" xfId="21805"/>
    <cellStyle name="Warning Text 36 6 4" xfId="21806"/>
    <cellStyle name="Warning Text 36 7" xfId="21807"/>
    <cellStyle name="Warning Text 36 7 2" xfId="21808"/>
    <cellStyle name="Warning Text 36 8" xfId="21809"/>
    <cellStyle name="Warning Text 36 8 2" xfId="21810"/>
    <cellStyle name="Warning Text 36 9" xfId="21811"/>
    <cellStyle name="Warning Text 36 9 2" xfId="21812"/>
    <cellStyle name="Warning Text 37 12" xfId="21813"/>
    <cellStyle name="Warning Text 37 10" xfId="21814"/>
    <cellStyle name="Warning Text 37 11" xfId="21815"/>
    <cellStyle name="Warning Text 37 2" xfId="21816"/>
    <cellStyle name="Warning Text 37 2 2" xfId="21817"/>
    <cellStyle name="Warning Text 37 2 2 2" xfId="21818"/>
    <cellStyle name="Warning Text 37 2 3" xfId="21819"/>
    <cellStyle name="Warning Text 37 2 3 2" xfId="21820"/>
    <cellStyle name="Warning Text 37 2 4" xfId="21821"/>
    <cellStyle name="Warning Text 37 2 5" xfId="21822"/>
    <cellStyle name="Warning Text 37 3" xfId="21823"/>
    <cellStyle name="Warning Text 37 3 2" xfId="21824"/>
    <cellStyle name="Warning Text 37 3 2 2" xfId="21825"/>
    <cellStyle name="Warning Text 37 3 3" xfId="21826"/>
    <cellStyle name="Warning Text 37 3 3 2" xfId="21827"/>
    <cellStyle name="Warning Text 37 3 4" xfId="21828"/>
    <cellStyle name="Warning Text 37 4" xfId="21829"/>
    <cellStyle name="Warning Text 37 4 2" xfId="21830"/>
    <cellStyle name="Warning Text 37 4 2 2" xfId="21831"/>
    <cellStyle name="Warning Text 37 4 3" xfId="21832"/>
    <cellStyle name="Warning Text 37 4 3 2" xfId="21833"/>
    <cellStyle name="Warning Text 37 4 4" xfId="21834"/>
    <cellStyle name="Warning Text 37 5" xfId="21835"/>
    <cellStyle name="Warning Text 37 5 2" xfId="21836"/>
    <cellStyle name="Warning Text 37 5 2 2" xfId="21837"/>
    <cellStyle name="Warning Text 37 5 3" xfId="21838"/>
    <cellStyle name="Warning Text 37 5 3 2" xfId="21839"/>
    <cellStyle name="Warning Text 37 5 4" xfId="21840"/>
    <cellStyle name="Warning Text 37 5 4 2" xfId="21841"/>
    <cellStyle name="Warning Text 37 5 5" xfId="21842"/>
    <cellStyle name="Warning Text 37 6" xfId="21843"/>
    <cellStyle name="Warning Text 37 6 2" xfId="21844"/>
    <cellStyle name="Warning Text 37 6 2 2" xfId="21845"/>
    <cellStyle name="Warning Text 37 6 3" xfId="21846"/>
    <cellStyle name="Warning Text 37 6 3 2" xfId="21847"/>
    <cellStyle name="Warning Text 37 6 4" xfId="21848"/>
    <cellStyle name="Warning Text 37 7" xfId="21849"/>
    <cellStyle name="Warning Text 37 7 2" xfId="21850"/>
    <cellStyle name="Warning Text 37 8" xfId="21851"/>
    <cellStyle name="Warning Text 37 8 2" xfId="21852"/>
    <cellStyle name="Warning Text 37 9" xfId="21853"/>
    <cellStyle name="Warning Text 37 9 2" xfId="21854"/>
    <cellStyle name="Warning Text 38 12" xfId="21855"/>
    <cellStyle name="Warning Text 38 10" xfId="21856"/>
    <cellStyle name="Warning Text 38 11" xfId="21857"/>
    <cellStyle name="Warning Text 38 2" xfId="21858"/>
    <cellStyle name="Warning Text 38 2 2" xfId="21859"/>
    <cellStyle name="Warning Text 38 2 2 2" xfId="21860"/>
    <cellStyle name="Warning Text 38 2 3" xfId="21861"/>
    <cellStyle name="Warning Text 38 2 3 2" xfId="21862"/>
    <cellStyle name="Warning Text 38 2 4" xfId="21863"/>
    <cellStyle name="Warning Text 38 2 5" xfId="21864"/>
    <cellStyle name="Warning Text 38 3" xfId="21865"/>
    <cellStyle name="Warning Text 38 3 2" xfId="21866"/>
    <cellStyle name="Warning Text 38 3 2 2" xfId="21867"/>
    <cellStyle name="Warning Text 38 3 3" xfId="21868"/>
    <cellStyle name="Warning Text 38 3 3 2" xfId="21869"/>
    <cellStyle name="Warning Text 38 3 4" xfId="21870"/>
    <cellStyle name="Warning Text 38 4" xfId="21871"/>
    <cellStyle name="Warning Text 38 4 2" xfId="21872"/>
    <cellStyle name="Warning Text 38 4 2 2" xfId="21873"/>
    <cellStyle name="Warning Text 38 4 3" xfId="21874"/>
    <cellStyle name="Warning Text 38 4 3 2" xfId="21875"/>
    <cellStyle name="Warning Text 38 4 4" xfId="21876"/>
    <cellStyle name="Warning Text 38 5" xfId="21877"/>
    <cellStyle name="Warning Text 38 5 2" xfId="21878"/>
    <cellStyle name="Warning Text 38 5 2 2" xfId="21879"/>
    <cellStyle name="Warning Text 38 5 3" xfId="21880"/>
    <cellStyle name="Warning Text 38 5 3 2" xfId="21881"/>
    <cellStyle name="Warning Text 38 5 4" xfId="21882"/>
    <cellStyle name="Warning Text 38 5 4 2" xfId="21883"/>
    <cellStyle name="Warning Text 38 5 5" xfId="21884"/>
    <cellStyle name="Warning Text 38 6" xfId="21885"/>
    <cellStyle name="Warning Text 38 6 2" xfId="21886"/>
    <cellStyle name="Warning Text 38 6 2 2" xfId="21887"/>
    <cellStyle name="Warning Text 38 6 3" xfId="21888"/>
    <cellStyle name="Warning Text 38 6 3 2" xfId="21889"/>
    <cellStyle name="Warning Text 38 6 4" xfId="21890"/>
    <cellStyle name="Warning Text 38 7" xfId="21891"/>
    <cellStyle name="Warning Text 38 7 2" xfId="21892"/>
    <cellStyle name="Warning Text 38 8" xfId="21893"/>
    <cellStyle name="Warning Text 38 8 2" xfId="21894"/>
    <cellStyle name="Warning Text 38 9" xfId="21895"/>
    <cellStyle name="Warning Text 38 9 2" xfId="21896"/>
    <cellStyle name="Warning Text 39 12" xfId="21897"/>
    <cellStyle name="Warning Text 39 10" xfId="21898"/>
    <cellStyle name="Warning Text 39 11" xfId="21899"/>
    <cellStyle name="Warning Text 39 2" xfId="21900"/>
    <cellStyle name="Warning Text 39 2 2" xfId="21901"/>
    <cellStyle name="Warning Text 39 2 2 2" xfId="21902"/>
    <cellStyle name="Warning Text 39 2 3" xfId="21903"/>
    <cellStyle name="Warning Text 39 2 3 2" xfId="21904"/>
    <cellStyle name="Warning Text 39 2 4" xfId="21905"/>
    <cellStyle name="Warning Text 39 2 5" xfId="21906"/>
    <cellStyle name="Warning Text 39 3" xfId="21907"/>
    <cellStyle name="Warning Text 39 3 2" xfId="21908"/>
    <cellStyle name="Warning Text 39 3 2 2" xfId="21909"/>
    <cellStyle name="Warning Text 39 3 3" xfId="21910"/>
    <cellStyle name="Warning Text 39 3 3 2" xfId="21911"/>
    <cellStyle name="Warning Text 39 3 4" xfId="21912"/>
    <cellStyle name="Warning Text 39 4" xfId="21913"/>
    <cellStyle name="Warning Text 39 4 2" xfId="21914"/>
    <cellStyle name="Warning Text 39 4 2 2" xfId="21915"/>
    <cellStyle name="Warning Text 39 4 3" xfId="21916"/>
    <cellStyle name="Warning Text 39 4 3 2" xfId="21917"/>
    <cellStyle name="Warning Text 39 4 4" xfId="21918"/>
    <cellStyle name="Warning Text 39 5" xfId="21919"/>
    <cellStyle name="Warning Text 39 5 2" xfId="21920"/>
    <cellStyle name="Warning Text 39 5 2 2" xfId="21921"/>
    <cellStyle name="Warning Text 39 5 3" xfId="21922"/>
    <cellStyle name="Warning Text 39 5 3 2" xfId="21923"/>
    <cellStyle name="Warning Text 39 5 4" xfId="21924"/>
    <cellStyle name="Warning Text 39 5 4 2" xfId="21925"/>
    <cellStyle name="Warning Text 39 5 5" xfId="21926"/>
    <cellStyle name="Warning Text 39 6" xfId="21927"/>
    <cellStyle name="Warning Text 39 6 2" xfId="21928"/>
    <cellStyle name="Warning Text 39 6 2 2" xfId="21929"/>
    <cellStyle name="Warning Text 39 6 3" xfId="21930"/>
    <cellStyle name="Warning Text 39 6 3 2" xfId="21931"/>
    <cellStyle name="Warning Text 39 6 4" xfId="21932"/>
    <cellStyle name="Warning Text 39 7" xfId="21933"/>
    <cellStyle name="Warning Text 39 7 2" xfId="21934"/>
    <cellStyle name="Warning Text 39 8" xfId="21935"/>
    <cellStyle name="Warning Text 39 8 2" xfId="21936"/>
    <cellStyle name="Warning Text 39 9" xfId="21937"/>
    <cellStyle name="Warning Text 39 9 2" xfId="21938"/>
    <cellStyle name="Warning Text 4 13" xfId="21939"/>
    <cellStyle name="Warning Text 4 10" xfId="21940"/>
    <cellStyle name="Warning Text 4 10 2" xfId="21941"/>
    <cellStyle name="Warning Text 4 11" xfId="21942"/>
    <cellStyle name="Warning Text 4 12" xfId="21943"/>
    <cellStyle name="Warning Text 4 2" xfId="21944"/>
    <cellStyle name="Warning Text 4 2 10" xfId="21945"/>
    <cellStyle name="Warning Text 4 2 2" xfId="21946"/>
    <cellStyle name="Warning Text 4 2 2 2" xfId="21947"/>
    <cellStyle name="Warning Text 4 2 2 2 2" xfId="21948"/>
    <cellStyle name="Warning Text 4 2 2 3" xfId="21949"/>
    <cellStyle name="Warning Text 4 2 2 3 2" xfId="21950"/>
    <cellStyle name="Warning Text 4 2 2 4" xfId="21951"/>
    <cellStyle name="Warning Text 4 2 3" xfId="21952"/>
    <cellStyle name="Warning Text 4 2 3 2" xfId="21953"/>
    <cellStyle name="Warning Text 4 2 3 2 2" xfId="21954"/>
    <cellStyle name="Warning Text 4 2 3 3" xfId="21955"/>
    <cellStyle name="Warning Text 4 2 3 3 2" xfId="21956"/>
    <cellStyle name="Warning Text 4 2 3 4" xfId="21957"/>
    <cellStyle name="Warning Text 4 2 4" xfId="21958"/>
    <cellStyle name="Warning Text 4 2 4 2" xfId="21959"/>
    <cellStyle name="Warning Text 4 2 4 2 2" xfId="21960"/>
    <cellStyle name="Warning Text 4 2 4 3" xfId="21961"/>
    <cellStyle name="Warning Text 4 2 4 3 2" xfId="21962"/>
    <cellStyle name="Warning Text 4 2 4 4" xfId="21963"/>
    <cellStyle name="Warning Text 4 2 4 4 2" xfId="21964"/>
    <cellStyle name="Warning Text 4 2 4 5" xfId="21965"/>
    <cellStyle name="Warning Text 4 2 5" xfId="21966"/>
    <cellStyle name="Warning Text 4 2 5 2" xfId="21967"/>
    <cellStyle name="Warning Text 4 2 5 2 2" xfId="21968"/>
    <cellStyle name="Warning Text 4 2 5 3" xfId="21969"/>
    <cellStyle name="Warning Text 4 2 5 3 2" xfId="21970"/>
    <cellStyle name="Warning Text 4 2 5 4" xfId="21971"/>
    <cellStyle name="Warning Text 4 2 6" xfId="21972"/>
    <cellStyle name="Warning Text 4 2 6 2" xfId="21973"/>
    <cellStyle name="Warning Text 4 2 7" xfId="21974"/>
    <cellStyle name="Warning Text 4 2 7 2" xfId="21975"/>
    <cellStyle name="Warning Text 4 2 8" xfId="21976"/>
    <cellStyle name="Warning Text 4 2 8 2" xfId="21977"/>
    <cellStyle name="Warning Text 4 2 9" xfId="21978"/>
    <cellStyle name="Warning Text 4 3" xfId="21979"/>
    <cellStyle name="Warning Text 4 3 2" xfId="21980"/>
    <cellStyle name="Warning Text 4 3 2 2" xfId="21981"/>
    <cellStyle name="Warning Text 4 3 3" xfId="21982"/>
    <cellStyle name="Warning Text 4 3 3 2" xfId="21983"/>
    <cellStyle name="Warning Text 4 3 4" xfId="21984"/>
    <cellStyle name="Warning Text 4 3 5" xfId="21985"/>
    <cellStyle name="Warning Text 4 4" xfId="21986"/>
    <cellStyle name="Warning Text 4 4 2" xfId="21987"/>
    <cellStyle name="Warning Text 4 4 2 2" xfId="21988"/>
    <cellStyle name="Warning Text 4 4 3" xfId="21989"/>
    <cellStyle name="Warning Text 4 4 3 2" xfId="21990"/>
    <cellStyle name="Warning Text 4 4 4" xfId="21991"/>
    <cellStyle name="Warning Text 4 5" xfId="21992"/>
    <cellStyle name="Warning Text 4 5 2" xfId="21993"/>
    <cellStyle name="Warning Text 4 5 2 2" xfId="21994"/>
    <cellStyle name="Warning Text 4 5 3" xfId="21995"/>
    <cellStyle name="Warning Text 4 5 3 2" xfId="21996"/>
    <cellStyle name="Warning Text 4 5 4" xfId="21997"/>
    <cellStyle name="Warning Text 4 6" xfId="21998"/>
    <cellStyle name="Warning Text 4 6 2" xfId="21999"/>
    <cellStyle name="Warning Text 4 6 2 2" xfId="22000"/>
    <cellStyle name="Warning Text 4 6 3" xfId="22001"/>
    <cellStyle name="Warning Text 4 6 3 2" xfId="22002"/>
    <cellStyle name="Warning Text 4 6 4" xfId="22003"/>
    <cellStyle name="Warning Text 4 6 4 2" xfId="22004"/>
    <cellStyle name="Warning Text 4 6 5" xfId="22005"/>
    <cellStyle name="Warning Text 4 7" xfId="22006"/>
    <cellStyle name="Warning Text 4 7 2" xfId="22007"/>
    <cellStyle name="Warning Text 4 7 2 2" xfId="22008"/>
    <cellStyle name="Warning Text 4 7 3" xfId="22009"/>
    <cellStyle name="Warning Text 4 7 3 2" xfId="22010"/>
    <cellStyle name="Warning Text 4 7 4" xfId="22011"/>
    <cellStyle name="Warning Text 4 8" xfId="22012"/>
    <cellStyle name="Warning Text 4 8 2" xfId="22013"/>
    <cellStyle name="Warning Text 4 9" xfId="22014"/>
    <cellStyle name="Warning Text 4 9 2" xfId="22015"/>
    <cellStyle name="Warning Text 40 12" xfId="22016"/>
    <cellStyle name="Warning Text 40 10" xfId="22017"/>
    <cellStyle name="Warning Text 40 11" xfId="22018"/>
    <cellStyle name="Warning Text 40 2" xfId="22019"/>
    <cellStyle name="Warning Text 40 2 2" xfId="22020"/>
    <cellStyle name="Warning Text 40 2 2 2" xfId="22021"/>
    <cellStyle name="Warning Text 40 2 3" xfId="22022"/>
    <cellStyle name="Warning Text 40 2 3 2" xfId="22023"/>
    <cellStyle name="Warning Text 40 2 4" xfId="22024"/>
    <cellStyle name="Warning Text 40 2 5" xfId="22025"/>
    <cellStyle name="Warning Text 40 3" xfId="22026"/>
    <cellStyle name="Warning Text 40 3 2" xfId="22027"/>
    <cellStyle name="Warning Text 40 3 2 2" xfId="22028"/>
    <cellStyle name="Warning Text 40 3 3" xfId="22029"/>
    <cellStyle name="Warning Text 40 3 3 2" xfId="22030"/>
    <cellStyle name="Warning Text 40 3 4" xfId="22031"/>
    <cellStyle name="Warning Text 40 4" xfId="22032"/>
    <cellStyle name="Warning Text 40 4 2" xfId="22033"/>
    <cellStyle name="Warning Text 40 4 2 2" xfId="22034"/>
    <cellStyle name="Warning Text 40 4 3" xfId="22035"/>
    <cellStyle name="Warning Text 40 4 3 2" xfId="22036"/>
    <cellStyle name="Warning Text 40 4 4" xfId="22037"/>
    <cellStyle name="Warning Text 40 5" xfId="22038"/>
    <cellStyle name="Warning Text 40 5 2" xfId="22039"/>
    <cellStyle name="Warning Text 40 5 2 2" xfId="22040"/>
    <cellStyle name="Warning Text 40 5 3" xfId="22041"/>
    <cellStyle name="Warning Text 40 5 3 2" xfId="22042"/>
    <cellStyle name="Warning Text 40 5 4" xfId="22043"/>
    <cellStyle name="Warning Text 40 5 4 2" xfId="22044"/>
    <cellStyle name="Warning Text 40 5 5" xfId="22045"/>
    <cellStyle name="Warning Text 40 6" xfId="22046"/>
    <cellStyle name="Warning Text 40 6 2" xfId="22047"/>
    <cellStyle name="Warning Text 40 6 2 2" xfId="22048"/>
    <cellStyle name="Warning Text 40 6 3" xfId="22049"/>
    <cellStyle name="Warning Text 40 6 3 2" xfId="22050"/>
    <cellStyle name="Warning Text 40 6 4" xfId="22051"/>
    <cellStyle name="Warning Text 40 7" xfId="22052"/>
    <cellStyle name="Warning Text 40 7 2" xfId="22053"/>
    <cellStyle name="Warning Text 40 8" xfId="22054"/>
    <cellStyle name="Warning Text 40 8 2" xfId="22055"/>
    <cellStyle name="Warning Text 40 9" xfId="22056"/>
    <cellStyle name="Warning Text 40 9 2" xfId="22057"/>
    <cellStyle name="Warning Text 41 12" xfId="22058"/>
    <cellStyle name="Warning Text 41 10" xfId="22059"/>
    <cellStyle name="Warning Text 41 11" xfId="22060"/>
    <cellStyle name="Warning Text 41 2" xfId="22061"/>
    <cellStyle name="Warning Text 41 2 2" xfId="22062"/>
    <cellStyle name="Warning Text 41 2 2 2" xfId="22063"/>
    <cellStyle name="Warning Text 41 2 3" xfId="22064"/>
    <cellStyle name="Warning Text 41 2 3 2" xfId="22065"/>
    <cellStyle name="Warning Text 41 2 4" xfId="22066"/>
    <cellStyle name="Warning Text 41 2 5" xfId="22067"/>
    <cellStyle name="Warning Text 41 3" xfId="22068"/>
    <cellStyle name="Warning Text 41 3 2" xfId="22069"/>
    <cellStyle name="Warning Text 41 3 2 2" xfId="22070"/>
    <cellStyle name="Warning Text 41 3 3" xfId="22071"/>
    <cellStyle name="Warning Text 41 3 3 2" xfId="22072"/>
    <cellStyle name="Warning Text 41 3 4" xfId="22073"/>
    <cellStyle name="Warning Text 41 4" xfId="22074"/>
    <cellStyle name="Warning Text 41 4 2" xfId="22075"/>
    <cellStyle name="Warning Text 41 4 2 2" xfId="22076"/>
    <cellStyle name="Warning Text 41 4 3" xfId="22077"/>
    <cellStyle name="Warning Text 41 4 3 2" xfId="22078"/>
    <cellStyle name="Warning Text 41 4 4" xfId="22079"/>
    <cellStyle name="Warning Text 41 5" xfId="22080"/>
    <cellStyle name="Warning Text 41 5 2" xfId="22081"/>
    <cellStyle name="Warning Text 41 5 2 2" xfId="22082"/>
    <cellStyle name="Warning Text 41 5 3" xfId="22083"/>
    <cellStyle name="Warning Text 41 5 3 2" xfId="22084"/>
    <cellStyle name="Warning Text 41 5 4" xfId="22085"/>
    <cellStyle name="Warning Text 41 5 4 2" xfId="22086"/>
    <cellStyle name="Warning Text 41 5 5" xfId="22087"/>
    <cellStyle name="Warning Text 41 6" xfId="22088"/>
    <cellStyle name="Warning Text 41 6 2" xfId="22089"/>
    <cellStyle name="Warning Text 41 6 2 2" xfId="22090"/>
    <cellStyle name="Warning Text 41 6 3" xfId="22091"/>
    <cellStyle name="Warning Text 41 6 3 2" xfId="22092"/>
    <cellStyle name="Warning Text 41 6 4" xfId="22093"/>
    <cellStyle name="Warning Text 41 7" xfId="22094"/>
    <cellStyle name="Warning Text 41 7 2" xfId="22095"/>
    <cellStyle name="Warning Text 41 8" xfId="22096"/>
    <cellStyle name="Warning Text 41 8 2" xfId="22097"/>
    <cellStyle name="Warning Text 41 9" xfId="22098"/>
    <cellStyle name="Warning Text 41 9 2" xfId="22099"/>
    <cellStyle name="Warning Text 5 13" xfId="22100"/>
    <cellStyle name="Warning Text 5 10" xfId="22101"/>
    <cellStyle name="Warning Text 5 10 2" xfId="22102"/>
    <cellStyle name="Warning Text 5 11" xfId="22103"/>
    <cellStyle name="Warning Text 5 12" xfId="22104"/>
    <cellStyle name="Warning Text 5 2" xfId="22105"/>
    <cellStyle name="Warning Text 5 2 10" xfId="22106"/>
    <cellStyle name="Warning Text 5 2 2" xfId="22107"/>
    <cellStyle name="Warning Text 5 2 2 2" xfId="22108"/>
    <cellStyle name="Warning Text 5 2 2 2 2" xfId="22109"/>
    <cellStyle name="Warning Text 5 2 2 3" xfId="22110"/>
    <cellStyle name="Warning Text 5 2 2 3 2" xfId="22111"/>
    <cellStyle name="Warning Text 5 2 2 4" xfId="22112"/>
    <cellStyle name="Warning Text 5 2 3" xfId="22113"/>
    <cellStyle name="Warning Text 5 2 3 2" xfId="22114"/>
    <cellStyle name="Warning Text 5 2 3 2 2" xfId="22115"/>
    <cellStyle name="Warning Text 5 2 3 3" xfId="22116"/>
    <cellStyle name="Warning Text 5 2 3 3 2" xfId="22117"/>
    <cellStyle name="Warning Text 5 2 3 4" xfId="22118"/>
    <cellStyle name="Warning Text 5 2 4" xfId="22119"/>
    <cellStyle name="Warning Text 5 2 4 2" xfId="22120"/>
    <cellStyle name="Warning Text 5 2 4 2 2" xfId="22121"/>
    <cellStyle name="Warning Text 5 2 4 3" xfId="22122"/>
    <cellStyle name="Warning Text 5 2 4 3 2" xfId="22123"/>
    <cellStyle name="Warning Text 5 2 4 4" xfId="22124"/>
    <cellStyle name="Warning Text 5 2 4 4 2" xfId="22125"/>
    <cellStyle name="Warning Text 5 2 4 5" xfId="22126"/>
    <cellStyle name="Warning Text 5 2 5" xfId="22127"/>
    <cellStyle name="Warning Text 5 2 5 2" xfId="22128"/>
    <cellStyle name="Warning Text 5 2 5 2 2" xfId="22129"/>
    <cellStyle name="Warning Text 5 2 5 3" xfId="22130"/>
    <cellStyle name="Warning Text 5 2 5 3 2" xfId="22131"/>
    <cellStyle name="Warning Text 5 2 5 4" xfId="22132"/>
    <cellStyle name="Warning Text 5 2 6" xfId="22133"/>
    <cellStyle name="Warning Text 5 2 6 2" xfId="22134"/>
    <cellStyle name="Warning Text 5 2 7" xfId="22135"/>
    <cellStyle name="Warning Text 5 2 7 2" xfId="22136"/>
    <cellStyle name="Warning Text 5 2 8" xfId="22137"/>
    <cellStyle name="Warning Text 5 2 8 2" xfId="22138"/>
    <cellStyle name="Warning Text 5 2 9" xfId="22139"/>
    <cellStyle name="Warning Text 5 3" xfId="22140"/>
    <cellStyle name="Warning Text 5 3 2" xfId="22141"/>
    <cellStyle name="Warning Text 5 3 2 2" xfId="22142"/>
    <cellStyle name="Warning Text 5 3 3" xfId="22143"/>
    <cellStyle name="Warning Text 5 3 3 2" xfId="22144"/>
    <cellStyle name="Warning Text 5 3 4" xfId="22145"/>
    <cellStyle name="Warning Text 5 3 5" xfId="22146"/>
    <cellStyle name="Warning Text 5 4" xfId="22147"/>
    <cellStyle name="Warning Text 5 4 2" xfId="22148"/>
    <cellStyle name="Warning Text 5 4 2 2" xfId="22149"/>
    <cellStyle name="Warning Text 5 4 3" xfId="22150"/>
    <cellStyle name="Warning Text 5 4 3 2" xfId="22151"/>
    <cellStyle name="Warning Text 5 4 4" xfId="22152"/>
    <cellStyle name="Warning Text 5 5" xfId="22153"/>
    <cellStyle name="Warning Text 5 5 2" xfId="22154"/>
    <cellStyle name="Warning Text 5 5 2 2" xfId="22155"/>
    <cellStyle name="Warning Text 5 5 3" xfId="22156"/>
    <cellStyle name="Warning Text 5 5 3 2" xfId="22157"/>
    <cellStyle name="Warning Text 5 5 4" xfId="22158"/>
    <cellStyle name="Warning Text 5 6" xfId="22159"/>
    <cellStyle name="Warning Text 5 6 2" xfId="22160"/>
    <cellStyle name="Warning Text 5 6 2 2" xfId="22161"/>
    <cellStyle name="Warning Text 5 6 3" xfId="22162"/>
    <cellStyle name="Warning Text 5 6 3 2" xfId="22163"/>
    <cellStyle name="Warning Text 5 6 4" xfId="22164"/>
    <cellStyle name="Warning Text 5 6 4 2" xfId="22165"/>
    <cellStyle name="Warning Text 5 6 5" xfId="22166"/>
    <cellStyle name="Warning Text 5 7" xfId="22167"/>
    <cellStyle name="Warning Text 5 7 2" xfId="22168"/>
    <cellStyle name="Warning Text 5 7 2 2" xfId="22169"/>
    <cellStyle name="Warning Text 5 7 3" xfId="22170"/>
    <cellStyle name="Warning Text 5 7 3 2" xfId="22171"/>
    <cellStyle name="Warning Text 5 7 4" xfId="22172"/>
    <cellStyle name="Warning Text 5 8" xfId="22173"/>
    <cellStyle name="Warning Text 5 8 2" xfId="22174"/>
    <cellStyle name="Warning Text 5 9" xfId="22175"/>
    <cellStyle name="Warning Text 5 9 2" xfId="22176"/>
    <cellStyle name="Warning Text 6 13" xfId="22177"/>
    <cellStyle name="Warning Text 6 10" xfId="22178"/>
    <cellStyle name="Warning Text 6 10 2" xfId="22179"/>
    <cellStyle name="Warning Text 6 11" xfId="22180"/>
    <cellStyle name="Warning Text 6 12" xfId="22181"/>
    <cellStyle name="Warning Text 6 2" xfId="22182"/>
    <cellStyle name="Warning Text 6 2 10" xfId="22183"/>
    <cellStyle name="Warning Text 6 2 2" xfId="22184"/>
    <cellStyle name="Warning Text 6 2 2 2" xfId="22185"/>
    <cellStyle name="Warning Text 6 2 2 2 2" xfId="22186"/>
    <cellStyle name="Warning Text 6 2 2 3" xfId="22187"/>
    <cellStyle name="Warning Text 6 2 2 3 2" xfId="22188"/>
    <cellStyle name="Warning Text 6 2 2 4" xfId="22189"/>
    <cellStyle name="Warning Text 6 2 3" xfId="22190"/>
    <cellStyle name="Warning Text 6 2 3 2" xfId="22191"/>
    <cellStyle name="Warning Text 6 2 3 2 2" xfId="22192"/>
    <cellStyle name="Warning Text 6 2 3 3" xfId="22193"/>
    <cellStyle name="Warning Text 6 2 3 3 2" xfId="22194"/>
    <cellStyle name="Warning Text 6 2 3 4" xfId="22195"/>
    <cellStyle name="Warning Text 6 2 4" xfId="22196"/>
    <cellStyle name="Warning Text 6 2 4 2" xfId="22197"/>
    <cellStyle name="Warning Text 6 2 4 2 2" xfId="22198"/>
    <cellStyle name="Warning Text 6 2 4 3" xfId="22199"/>
    <cellStyle name="Warning Text 6 2 4 3 2" xfId="22200"/>
    <cellStyle name="Warning Text 6 2 4 4" xfId="22201"/>
    <cellStyle name="Warning Text 6 2 4 4 2" xfId="22202"/>
    <cellStyle name="Warning Text 6 2 4 5" xfId="22203"/>
    <cellStyle name="Warning Text 6 2 5" xfId="22204"/>
    <cellStyle name="Warning Text 6 2 5 2" xfId="22205"/>
    <cellStyle name="Warning Text 6 2 5 2 2" xfId="22206"/>
    <cellStyle name="Warning Text 6 2 5 3" xfId="22207"/>
    <cellStyle name="Warning Text 6 2 5 3 2" xfId="22208"/>
    <cellStyle name="Warning Text 6 2 5 4" xfId="22209"/>
    <cellStyle name="Warning Text 6 2 6" xfId="22210"/>
    <cellStyle name="Warning Text 6 2 6 2" xfId="22211"/>
    <cellStyle name="Warning Text 6 2 7" xfId="22212"/>
    <cellStyle name="Warning Text 6 2 7 2" xfId="22213"/>
    <cellStyle name="Warning Text 6 2 8" xfId="22214"/>
    <cellStyle name="Warning Text 6 2 8 2" xfId="22215"/>
    <cellStyle name="Warning Text 6 2 9" xfId="22216"/>
    <cellStyle name="Warning Text 6 3" xfId="22217"/>
    <cellStyle name="Warning Text 6 3 2" xfId="22218"/>
    <cellStyle name="Warning Text 6 3 2 2" xfId="22219"/>
    <cellStyle name="Warning Text 6 3 3" xfId="22220"/>
    <cellStyle name="Warning Text 6 3 3 2" xfId="22221"/>
    <cellStyle name="Warning Text 6 3 4" xfId="22222"/>
    <cellStyle name="Warning Text 6 3 5" xfId="22223"/>
    <cellStyle name="Warning Text 6 4" xfId="22224"/>
    <cellStyle name="Warning Text 6 4 2" xfId="22225"/>
    <cellStyle name="Warning Text 6 4 2 2" xfId="22226"/>
    <cellStyle name="Warning Text 6 4 3" xfId="22227"/>
    <cellStyle name="Warning Text 6 4 3 2" xfId="22228"/>
    <cellStyle name="Warning Text 6 4 4" xfId="22229"/>
    <cellStyle name="Warning Text 6 5" xfId="22230"/>
    <cellStyle name="Warning Text 6 5 2" xfId="22231"/>
    <cellStyle name="Warning Text 6 5 2 2" xfId="22232"/>
    <cellStyle name="Warning Text 6 5 3" xfId="22233"/>
    <cellStyle name="Warning Text 6 5 3 2" xfId="22234"/>
    <cellStyle name="Warning Text 6 5 4" xfId="22235"/>
    <cellStyle name="Warning Text 6 6" xfId="22236"/>
    <cellStyle name="Warning Text 6 6 2" xfId="22237"/>
    <cellStyle name="Warning Text 6 6 2 2" xfId="22238"/>
    <cellStyle name="Warning Text 6 6 3" xfId="22239"/>
    <cellStyle name="Warning Text 6 6 3 2" xfId="22240"/>
    <cellStyle name="Warning Text 6 6 4" xfId="22241"/>
    <cellStyle name="Warning Text 6 6 4 2" xfId="22242"/>
    <cellStyle name="Warning Text 6 6 5" xfId="22243"/>
    <cellStyle name="Warning Text 6 7" xfId="22244"/>
    <cellStyle name="Warning Text 6 7 2" xfId="22245"/>
    <cellStyle name="Warning Text 6 7 2 2" xfId="22246"/>
    <cellStyle name="Warning Text 6 7 3" xfId="22247"/>
    <cellStyle name="Warning Text 6 7 3 2" xfId="22248"/>
    <cellStyle name="Warning Text 6 7 4" xfId="22249"/>
    <cellStyle name="Warning Text 6 8" xfId="22250"/>
    <cellStyle name="Warning Text 6 8 2" xfId="22251"/>
    <cellStyle name="Warning Text 6 9" xfId="22252"/>
    <cellStyle name="Warning Text 6 9 2" xfId="22253"/>
    <cellStyle name="Warning Text 7 12" xfId="22254"/>
    <cellStyle name="Warning Text 7 10" xfId="22255"/>
    <cellStyle name="Warning Text 7 11" xfId="22256"/>
    <cellStyle name="Warning Text 7 2" xfId="22257"/>
    <cellStyle name="Warning Text 7 2 2" xfId="22258"/>
    <cellStyle name="Warning Text 7 2 2 2" xfId="22259"/>
    <cellStyle name="Warning Text 7 2 3" xfId="22260"/>
    <cellStyle name="Warning Text 7 2 3 2" xfId="22261"/>
    <cellStyle name="Warning Text 7 2 4" xfId="22262"/>
    <cellStyle name="Warning Text 7 2 5" xfId="22263"/>
    <cellStyle name="Warning Text 7 3" xfId="22264"/>
    <cellStyle name="Warning Text 7 3 2" xfId="22265"/>
    <cellStyle name="Warning Text 7 3 2 2" xfId="22266"/>
    <cellStyle name="Warning Text 7 3 3" xfId="22267"/>
    <cellStyle name="Warning Text 7 3 3 2" xfId="22268"/>
    <cellStyle name="Warning Text 7 3 4" xfId="22269"/>
    <cellStyle name="Warning Text 7 4" xfId="22270"/>
    <cellStyle name="Warning Text 7 4 2" xfId="22271"/>
    <cellStyle name="Warning Text 7 4 2 2" xfId="22272"/>
    <cellStyle name="Warning Text 7 4 3" xfId="22273"/>
    <cellStyle name="Warning Text 7 4 3 2" xfId="22274"/>
    <cellStyle name="Warning Text 7 4 4" xfId="22275"/>
    <cellStyle name="Warning Text 7 5" xfId="22276"/>
    <cellStyle name="Warning Text 7 5 2" xfId="22277"/>
    <cellStyle name="Warning Text 7 5 2 2" xfId="22278"/>
    <cellStyle name="Warning Text 7 5 3" xfId="22279"/>
    <cellStyle name="Warning Text 7 5 3 2" xfId="22280"/>
    <cellStyle name="Warning Text 7 5 4" xfId="22281"/>
    <cellStyle name="Warning Text 7 5 4 2" xfId="22282"/>
    <cellStyle name="Warning Text 7 5 5" xfId="22283"/>
    <cellStyle name="Warning Text 7 6" xfId="22284"/>
    <cellStyle name="Warning Text 7 6 2" xfId="22285"/>
    <cellStyle name="Warning Text 7 6 2 2" xfId="22286"/>
    <cellStyle name="Warning Text 7 6 3" xfId="22287"/>
    <cellStyle name="Warning Text 7 6 3 2" xfId="22288"/>
    <cellStyle name="Warning Text 7 6 4" xfId="22289"/>
    <cellStyle name="Warning Text 7 7" xfId="22290"/>
    <cellStyle name="Warning Text 7 7 2" xfId="22291"/>
    <cellStyle name="Warning Text 7 8" xfId="22292"/>
    <cellStyle name="Warning Text 7 8 2" xfId="22293"/>
    <cellStyle name="Warning Text 7 9" xfId="22294"/>
    <cellStyle name="Warning Text 7 9 2" xfId="22295"/>
    <cellStyle name="Warning Text 8 12" xfId="22296"/>
    <cellStyle name="Warning Text 8 10" xfId="22297"/>
    <cellStyle name="Warning Text 8 11" xfId="22298"/>
    <cellStyle name="Warning Text 8 2" xfId="22299"/>
    <cellStyle name="Warning Text 8 2 2" xfId="22300"/>
    <cellStyle name="Warning Text 8 2 2 2" xfId="22301"/>
    <cellStyle name="Warning Text 8 2 3" xfId="22302"/>
    <cellStyle name="Warning Text 8 2 3 2" xfId="22303"/>
    <cellStyle name="Warning Text 8 2 4" xfId="22304"/>
    <cellStyle name="Warning Text 8 2 5" xfId="22305"/>
    <cellStyle name="Warning Text 8 3" xfId="22306"/>
    <cellStyle name="Warning Text 8 3 2" xfId="22307"/>
    <cellStyle name="Warning Text 8 3 2 2" xfId="22308"/>
    <cellStyle name="Warning Text 8 3 3" xfId="22309"/>
    <cellStyle name="Warning Text 8 3 3 2" xfId="22310"/>
    <cellStyle name="Warning Text 8 3 4" xfId="22311"/>
    <cellStyle name="Warning Text 8 4" xfId="22312"/>
    <cellStyle name="Warning Text 8 4 2" xfId="22313"/>
    <cellStyle name="Warning Text 8 4 2 2" xfId="22314"/>
    <cellStyle name="Warning Text 8 4 3" xfId="22315"/>
    <cellStyle name="Warning Text 8 4 3 2" xfId="22316"/>
    <cellStyle name="Warning Text 8 4 4" xfId="22317"/>
    <cellStyle name="Warning Text 8 5" xfId="22318"/>
    <cellStyle name="Warning Text 8 5 2" xfId="22319"/>
    <cellStyle name="Warning Text 8 5 2 2" xfId="22320"/>
    <cellStyle name="Warning Text 8 5 3" xfId="22321"/>
    <cellStyle name="Warning Text 8 5 3 2" xfId="22322"/>
    <cellStyle name="Warning Text 8 5 4" xfId="22323"/>
    <cellStyle name="Warning Text 8 5 4 2" xfId="22324"/>
    <cellStyle name="Warning Text 8 5 5" xfId="22325"/>
    <cellStyle name="Warning Text 8 6" xfId="22326"/>
    <cellStyle name="Warning Text 8 6 2" xfId="22327"/>
    <cellStyle name="Warning Text 8 6 2 2" xfId="22328"/>
    <cellStyle name="Warning Text 8 6 3" xfId="22329"/>
    <cellStyle name="Warning Text 8 6 3 2" xfId="22330"/>
    <cellStyle name="Warning Text 8 6 4" xfId="22331"/>
    <cellStyle name="Warning Text 8 7" xfId="22332"/>
    <cellStyle name="Warning Text 8 7 2" xfId="22333"/>
    <cellStyle name="Warning Text 8 8" xfId="22334"/>
    <cellStyle name="Warning Text 8 8 2" xfId="22335"/>
    <cellStyle name="Warning Text 8 9" xfId="22336"/>
    <cellStyle name="Warning Text 8 9 2" xfId="22337"/>
    <cellStyle name="Warning Text 9 12" xfId="22338"/>
    <cellStyle name="Warning Text 9 10" xfId="22339"/>
    <cellStyle name="Warning Text 9 11" xfId="22340"/>
    <cellStyle name="Warning Text 9 2" xfId="22341"/>
    <cellStyle name="Warning Text 9 2 2" xfId="22342"/>
    <cellStyle name="Warning Text 9 2 2 2" xfId="22343"/>
    <cellStyle name="Warning Text 9 2 3" xfId="22344"/>
    <cellStyle name="Warning Text 9 2 3 2" xfId="22345"/>
    <cellStyle name="Warning Text 9 2 4" xfId="22346"/>
    <cellStyle name="Warning Text 9 2 5" xfId="22347"/>
    <cellStyle name="Warning Text 9 3" xfId="22348"/>
    <cellStyle name="Warning Text 9 3 2" xfId="22349"/>
    <cellStyle name="Warning Text 9 3 2 2" xfId="22350"/>
    <cellStyle name="Warning Text 9 3 3" xfId="22351"/>
    <cellStyle name="Warning Text 9 3 3 2" xfId="22352"/>
    <cellStyle name="Warning Text 9 3 4" xfId="22353"/>
    <cellStyle name="Warning Text 9 4" xfId="22354"/>
    <cellStyle name="Warning Text 9 4 2" xfId="22355"/>
    <cellStyle name="Warning Text 9 4 2 2" xfId="22356"/>
    <cellStyle name="Warning Text 9 4 3" xfId="22357"/>
    <cellStyle name="Warning Text 9 4 3 2" xfId="22358"/>
    <cellStyle name="Warning Text 9 4 4" xfId="22359"/>
    <cellStyle name="Warning Text 9 5" xfId="22360"/>
    <cellStyle name="Warning Text 9 5 2" xfId="22361"/>
    <cellStyle name="Warning Text 9 5 2 2" xfId="22362"/>
    <cellStyle name="Warning Text 9 5 3" xfId="22363"/>
    <cellStyle name="Warning Text 9 5 3 2" xfId="22364"/>
    <cellStyle name="Warning Text 9 5 4" xfId="22365"/>
    <cellStyle name="Warning Text 9 5 4 2" xfId="22366"/>
    <cellStyle name="Warning Text 9 5 5" xfId="22367"/>
    <cellStyle name="Warning Text 9 6" xfId="22368"/>
    <cellStyle name="Warning Text 9 6 2" xfId="22369"/>
    <cellStyle name="Warning Text 9 6 2 2" xfId="22370"/>
    <cellStyle name="Warning Text 9 6 3" xfId="22371"/>
    <cellStyle name="Warning Text 9 6 3 2" xfId="22372"/>
    <cellStyle name="Warning Text 9 6 4" xfId="22373"/>
    <cellStyle name="Warning Text 9 7" xfId="22374"/>
    <cellStyle name="Warning Text 9 7 2" xfId="22375"/>
    <cellStyle name="Warning Text 9 8" xfId="22376"/>
    <cellStyle name="Warning Text 9 8 2" xfId="22377"/>
    <cellStyle name="Warning Text 9 9" xfId="22378"/>
    <cellStyle name="Warning Text 9 9 2" xfId="22379"/>
    <cellStyle name="Zelle überprüfen 12" xfId="22380"/>
    <cellStyle name="Zelle überprüfen 10" xfId="22381"/>
    <cellStyle name="Zelle überprüfen 11" xfId="22382"/>
    <cellStyle name="Zelle überprüfen 2" xfId="22383"/>
    <cellStyle name="Zelle überprüfen 2 2" xfId="22384"/>
    <cellStyle name="Zelle überprüfen 2 2 2" xfId="22385"/>
    <cellStyle name="Zelle überprüfen 2 3" xfId="22386"/>
    <cellStyle name="Zelle überprüfen 2 3 2" xfId="22387"/>
    <cellStyle name="Zelle überprüfen 2 4" xfId="22388"/>
    <cellStyle name="Zelle überprüfen 2 5" xfId="22389"/>
    <cellStyle name="Zelle überprüfen 3" xfId="22390"/>
    <cellStyle name="Zelle überprüfen 3 2" xfId="22391"/>
    <cellStyle name="Zelle überprüfen 3 2 2" xfId="22392"/>
    <cellStyle name="Zelle überprüfen 3 3" xfId="22393"/>
    <cellStyle name="Zelle überprüfen 3 3 2" xfId="22394"/>
    <cellStyle name="Zelle überprüfen 3 4" xfId="22395"/>
    <cellStyle name="Zelle überprüfen 4" xfId="22396"/>
    <cellStyle name="Zelle überprüfen 4 2" xfId="22397"/>
    <cellStyle name="Zelle überprüfen 4 2 2" xfId="22398"/>
    <cellStyle name="Zelle überprüfen 4 3" xfId="22399"/>
    <cellStyle name="Zelle überprüfen 4 3 2" xfId="22400"/>
    <cellStyle name="Zelle überprüfen 4 4" xfId="22401"/>
    <cellStyle name="Zelle überprüfen 5" xfId="22402"/>
    <cellStyle name="Zelle überprüfen 5 2" xfId="22403"/>
    <cellStyle name="Zelle überprüfen 5 2 2" xfId="22404"/>
    <cellStyle name="Zelle überprüfen 5 3" xfId="22405"/>
    <cellStyle name="Zelle überprüfen 5 3 2" xfId="22406"/>
    <cellStyle name="Zelle überprüfen 5 4" xfId="22407"/>
    <cellStyle name="Zelle überprüfen 5 4 2" xfId="22408"/>
    <cellStyle name="Zelle überprüfen 5 5" xfId="22409"/>
    <cellStyle name="Zelle überprüfen 6" xfId="22410"/>
    <cellStyle name="Zelle überprüfen 6 2" xfId="22411"/>
    <cellStyle name="Zelle überprüfen 6 2 2" xfId="22412"/>
    <cellStyle name="Zelle überprüfen 6 3" xfId="22413"/>
    <cellStyle name="Zelle überprüfen 6 3 2" xfId="22414"/>
    <cellStyle name="Zelle überprüfen 6 4" xfId="22415"/>
    <cellStyle name="Zelle überprüfen 7" xfId="22416"/>
    <cellStyle name="Zelle überprüfen 7 2" xfId="22417"/>
    <cellStyle name="Zelle überprüfen 8" xfId="22418"/>
    <cellStyle name="Zelle überprüfen 8 2" xfId="22419"/>
    <cellStyle name="Zelle überprüfen 9" xfId="22420"/>
    <cellStyle name="Zelle überprüfen 9 2" xfId="22421"/>
    <cellStyle name="Гиперссылка 12" xfId="22422"/>
    <cellStyle name="Гиперссылка 10" xfId="22423"/>
    <cellStyle name="Гиперссылка 11" xfId="22424"/>
    <cellStyle name="Гиперссылка 2" xfId="22425"/>
    <cellStyle name="Гиперссылка 2 2" xfId="22426"/>
    <cellStyle name="Гиперссылка 2 2 2" xfId="22427"/>
    <cellStyle name="Гиперссылка 2 3" xfId="22428"/>
    <cellStyle name="Гиперссылка 2 3 2" xfId="22429"/>
    <cellStyle name="Гиперссылка 2 4" xfId="22430"/>
    <cellStyle name="Гиперссылка 2 5" xfId="22431"/>
    <cellStyle name="Гиперссылка 3" xfId="22432"/>
    <cellStyle name="Гиперссылка 3 2" xfId="22433"/>
    <cellStyle name="Гиперссылка 3 2 2" xfId="22434"/>
    <cellStyle name="Гиперссылка 3 3" xfId="22435"/>
    <cellStyle name="Гиперссылка 3 3 2" xfId="22436"/>
    <cellStyle name="Гиперссылка 3 4" xfId="22437"/>
    <cellStyle name="Гиперссылка 4" xfId="22438"/>
    <cellStyle name="Гиперссылка 4 2" xfId="22439"/>
    <cellStyle name="Гиперссылка 4 2 2" xfId="22440"/>
    <cellStyle name="Гиперссылка 4 3" xfId="22441"/>
    <cellStyle name="Гиперссылка 4 3 2" xfId="22442"/>
    <cellStyle name="Гиперссылка 4 4" xfId="22443"/>
    <cellStyle name="Гиперссылка 5" xfId="22444"/>
    <cellStyle name="Гиперссылка 5 2" xfId="22445"/>
    <cellStyle name="Гиперссылка 5 2 2" xfId="22446"/>
    <cellStyle name="Гиперссылка 5 3" xfId="22447"/>
    <cellStyle name="Гиперссылка 5 3 2" xfId="22448"/>
    <cellStyle name="Гиперссылка 5 4" xfId="22449"/>
    <cellStyle name="Гиперссылка 5 4 2" xfId="22450"/>
    <cellStyle name="Гиперссылка 5 5" xfId="22451"/>
    <cellStyle name="Гиперссылка 6" xfId="22452"/>
    <cellStyle name="Гиперссылка 6 2" xfId="22453"/>
    <cellStyle name="Гиперссылка 6 2 2" xfId="22454"/>
    <cellStyle name="Гиперссылка 6 3" xfId="22455"/>
    <cellStyle name="Гиперссылка 6 3 2" xfId="22456"/>
    <cellStyle name="Гиперссылка 6 4" xfId="22457"/>
    <cellStyle name="Гиперссылка 7" xfId="22458"/>
    <cellStyle name="Гиперссылка 7 2" xfId="22459"/>
    <cellStyle name="Гиперссылка 8" xfId="22460"/>
    <cellStyle name="Гиперссылка 8 2" xfId="22461"/>
    <cellStyle name="Гиперссылка 9" xfId="22462"/>
    <cellStyle name="Гиперссылка 9 2" xfId="22463"/>
    <cellStyle name="已访问的超链接 12" xfId="22464"/>
    <cellStyle name="已访问的超链接 10" xfId="22465"/>
    <cellStyle name="已访问的超链接 11" xfId="22466"/>
    <cellStyle name="已访问的超链接 2" xfId="22467"/>
    <cellStyle name="已访问的超链接 2 2" xfId="22468"/>
    <cellStyle name="已访问的超链接 2 2 2" xfId="22469"/>
    <cellStyle name="已访问的超链接 2 3" xfId="22470"/>
    <cellStyle name="已访问的超链接 2 3 2" xfId="22471"/>
    <cellStyle name="已访问的超链接 2 4" xfId="22472"/>
    <cellStyle name="已访问的超链接 2 5" xfId="22473"/>
    <cellStyle name="已访问的超链接 3" xfId="22474"/>
    <cellStyle name="已访问的超链接 3 2" xfId="22475"/>
    <cellStyle name="已访问的超链接 3 2 2" xfId="22476"/>
    <cellStyle name="已访问的超链接 3 3" xfId="22477"/>
    <cellStyle name="已访问的超链接 3 3 2" xfId="22478"/>
    <cellStyle name="已访问的超链接 3 4" xfId="22479"/>
    <cellStyle name="已访问的超链接 4" xfId="22480"/>
    <cellStyle name="已访问的超链接 4 2" xfId="22481"/>
    <cellStyle name="已访问的超链接 4 2 2" xfId="22482"/>
    <cellStyle name="已访问的超链接 4 3" xfId="22483"/>
    <cellStyle name="已访问的超链接 4 3 2" xfId="22484"/>
    <cellStyle name="已访问的超链接 4 4" xfId="22485"/>
    <cellStyle name="已访问的超链接 5" xfId="22486"/>
    <cellStyle name="已访问的超链接 5 2" xfId="22487"/>
    <cellStyle name="已访问的超链接 5 2 2" xfId="22488"/>
    <cellStyle name="已访问的超链接 5 3" xfId="22489"/>
    <cellStyle name="已访问的超链接 5 3 2" xfId="22490"/>
    <cellStyle name="已访问的超链接 5 4" xfId="22491"/>
    <cellStyle name="已访问的超链接 5 4 2" xfId="22492"/>
    <cellStyle name="已访问的超链接 5 5" xfId="22493"/>
    <cellStyle name="已访问的超链接 6" xfId="22494"/>
    <cellStyle name="已访问的超链接 6 2" xfId="22495"/>
    <cellStyle name="已访问的超链接 6 2 2" xfId="22496"/>
    <cellStyle name="已访问的超链接 6 3" xfId="22497"/>
    <cellStyle name="已访问的超链接 6 3 2" xfId="22498"/>
    <cellStyle name="已访问的超链接 6 4" xfId="22499"/>
    <cellStyle name="已访问的超链接 7" xfId="22500"/>
    <cellStyle name="已访问的超链接 7 2" xfId="22501"/>
    <cellStyle name="已访问的超链接 8" xfId="22502"/>
    <cellStyle name="已访问的超链接 8 2" xfId="22503"/>
    <cellStyle name="已访问的超链接 9" xfId="22504"/>
    <cellStyle name="已访问的超链接 9 2" xfId="22505"/>
    <cellStyle name="Percent 24" xfId="22506"/>
    <cellStyle name="Normal 39 2" xfId="2250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4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15" Type="http://schemas.openxmlformats.org/officeDocument/2006/relationships/calcChain" Target="calcChain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'Major refurbishment speed'!$B$3:$B$43</c:f>
              <c:numCache>
                <c:formatCode>General</c:formatCode>
                <c:ptCount val="4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  <c:pt idx="19">
                  <c:v>2031</c:v>
                </c:pt>
                <c:pt idx="20">
                  <c:v>2032</c:v>
                </c:pt>
                <c:pt idx="21">
                  <c:v>2033</c:v>
                </c:pt>
                <c:pt idx="22">
                  <c:v>2034</c:v>
                </c:pt>
                <c:pt idx="23">
                  <c:v>2035</c:v>
                </c:pt>
                <c:pt idx="24">
                  <c:v>2036</c:v>
                </c:pt>
                <c:pt idx="25">
                  <c:v>2037</c:v>
                </c:pt>
                <c:pt idx="26">
                  <c:v>2038</c:v>
                </c:pt>
                <c:pt idx="27">
                  <c:v>2039</c:v>
                </c:pt>
                <c:pt idx="28">
                  <c:v>2040</c:v>
                </c:pt>
                <c:pt idx="29">
                  <c:v>2041</c:v>
                </c:pt>
                <c:pt idx="30">
                  <c:v>2042</c:v>
                </c:pt>
                <c:pt idx="31">
                  <c:v>2043</c:v>
                </c:pt>
                <c:pt idx="32">
                  <c:v>2044</c:v>
                </c:pt>
                <c:pt idx="33">
                  <c:v>2045</c:v>
                </c:pt>
                <c:pt idx="34">
                  <c:v>2046</c:v>
                </c:pt>
                <c:pt idx="35">
                  <c:v>2047</c:v>
                </c:pt>
                <c:pt idx="36">
                  <c:v>2048</c:v>
                </c:pt>
                <c:pt idx="37">
                  <c:v>2049</c:v>
                </c:pt>
                <c:pt idx="38">
                  <c:v>2050</c:v>
                </c:pt>
                <c:pt idx="39">
                  <c:v>2051</c:v>
                </c:pt>
                <c:pt idx="40">
                  <c:v>2052</c:v>
                </c:pt>
              </c:numCache>
            </c:numRef>
          </c:xVal>
          <c:yVal>
            <c:numRef>
              <c:f>'Major refurbishment speed'!$F$3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5A-4661-ADBC-6728FCBC960D}"/>
            </c:ext>
          </c:extLst>
        </c:ser>
        <c:ser>
          <c:idx val="1"/>
          <c:order val="1"/>
          <c:marker>
            <c:symbol val="none"/>
          </c:marker>
          <c:xVal>
            <c:numRef>
              <c:f>'Major refurbishment speed'!$B$3:$B$48</c:f>
              <c:numCache>
                <c:formatCode>General</c:formatCode>
                <c:ptCount val="4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  <c:pt idx="19">
                  <c:v>2031</c:v>
                </c:pt>
                <c:pt idx="20">
                  <c:v>2032</c:v>
                </c:pt>
                <c:pt idx="21">
                  <c:v>2033</c:v>
                </c:pt>
                <c:pt idx="22">
                  <c:v>2034</c:v>
                </c:pt>
                <c:pt idx="23">
                  <c:v>2035</c:v>
                </c:pt>
                <c:pt idx="24">
                  <c:v>2036</c:v>
                </c:pt>
                <c:pt idx="25">
                  <c:v>2037</c:v>
                </c:pt>
                <c:pt idx="26">
                  <c:v>2038</c:v>
                </c:pt>
                <c:pt idx="27">
                  <c:v>2039</c:v>
                </c:pt>
                <c:pt idx="28">
                  <c:v>2040</c:v>
                </c:pt>
                <c:pt idx="29">
                  <c:v>2041</c:v>
                </c:pt>
                <c:pt idx="30">
                  <c:v>2042</c:v>
                </c:pt>
                <c:pt idx="31">
                  <c:v>2043</c:v>
                </c:pt>
                <c:pt idx="32">
                  <c:v>2044</c:v>
                </c:pt>
                <c:pt idx="33">
                  <c:v>2045</c:v>
                </c:pt>
                <c:pt idx="34">
                  <c:v>2046</c:v>
                </c:pt>
                <c:pt idx="35">
                  <c:v>2047</c:v>
                </c:pt>
                <c:pt idx="36">
                  <c:v>2048</c:v>
                </c:pt>
                <c:pt idx="37">
                  <c:v>2049</c:v>
                </c:pt>
                <c:pt idx="38">
                  <c:v>2050</c:v>
                </c:pt>
                <c:pt idx="39">
                  <c:v>2051</c:v>
                </c:pt>
                <c:pt idx="40">
                  <c:v>2052</c:v>
                </c:pt>
                <c:pt idx="41">
                  <c:v>2053</c:v>
                </c:pt>
                <c:pt idx="42">
                  <c:v>2054</c:v>
                </c:pt>
                <c:pt idx="43">
                  <c:v>2055</c:v>
                </c:pt>
                <c:pt idx="44">
                  <c:v>2056</c:v>
                </c:pt>
                <c:pt idx="45">
                  <c:v>2057</c:v>
                </c:pt>
              </c:numCache>
            </c:numRef>
          </c:xVal>
          <c:yVal>
            <c:numRef>
              <c:f>'Major refurbishment speed'!$F$3:$F$48</c:f>
              <c:numCache>
                <c:formatCode>0.00</c:formatCode>
                <c:ptCount val="46"/>
                <c:pt idx="0">
                  <c:v>0</c:v>
                </c:pt>
                <c:pt idx="1">
                  <c:v>1.48999999999999</c:v>
                </c:pt>
                <c:pt idx="2">
                  <c:v>2.95779899999999</c:v>
                </c:pt>
                <c:pt idx="3">
                  <c:v>4.40372779489999</c:v>
                </c:pt>
                <c:pt idx="4">
                  <c:v>5.82811225075598</c:v>
                </c:pt>
                <c:pt idx="5">
                  <c:v>7.23127337821971</c:v>
                </c:pt>
                <c:pt idx="6">
                  <c:v>8.61352740488424</c:v>
                </c:pt>
                <c:pt idx="7">
                  <c:v>9.97518584655147</c:v>
                </c:pt>
                <c:pt idx="8">
                  <c:v>11.3165555774379</c:v>
                </c:pt>
                <c:pt idx="9">
                  <c:v>12.637938899334</c:v>
                </c:pt>
                <c:pt idx="10">
                  <c:v>13.939633609734</c:v>
                </c:pt>
                <c:pt idx="11">
                  <c:v>15.2219330689489</c:v>
                </c:pt>
                <c:pt idx="12">
                  <c:v>16.4851262662216</c:v>
                </c:pt>
                <c:pt idx="13">
                  <c:v>17.7294978848549</c:v>
                </c:pt>
                <c:pt idx="14">
                  <c:v>18.9553283663705</c:v>
                </c:pt>
                <c:pt idx="15">
                  <c:v>20.1628939737116</c:v>
                </c:pt>
                <c:pt idx="16">
                  <c:v>21.3524668535033</c:v>
                </c:pt>
                <c:pt idx="17">
                  <c:v>22.5243150973861</c:v>
                </c:pt>
                <c:pt idx="18">
                  <c:v>23.6787028024351</c:v>
                </c:pt>
                <c:pt idx="19">
                  <c:v>24.8158901306788</c:v>
                </c:pt>
                <c:pt idx="20">
                  <c:v>25.9361333677317</c:v>
                </c:pt>
                <c:pt idx="21">
                  <c:v>27.0396849805525</c:v>
                </c:pt>
                <c:pt idx="22">
                  <c:v>28.1267936743422</c:v>
                </c:pt>
                <c:pt idx="23">
                  <c:v>29.1977044485945</c:v>
                </c:pt>
                <c:pt idx="24">
                  <c:v>30.2526586523105</c:v>
                </c:pt>
                <c:pt idx="25">
                  <c:v>31.291894038391</c:v>
                </c:pt>
                <c:pt idx="26">
                  <c:v>32.315644817219</c:v>
                </c:pt>
                <c:pt idx="27">
                  <c:v>33.3241417094425</c:v>
                </c:pt>
                <c:pt idx="28">
                  <c:v>34.3176119979718</c:v>
                </c:pt>
                <c:pt idx="29">
                  <c:v>35.296279579202</c:v>
                </c:pt>
                <c:pt idx="30">
                  <c:v>36.2603650134719</c:v>
                </c:pt>
                <c:pt idx="31">
                  <c:v>37.2100855747711</c:v>
                </c:pt>
                <c:pt idx="32">
                  <c:v>38.1456552997071</c:v>
                </c:pt>
                <c:pt idx="33">
                  <c:v>39.0672850357414</c:v>
                </c:pt>
                <c:pt idx="34">
                  <c:v>39.9751824887089</c:v>
                </c:pt>
                <c:pt idx="35">
                  <c:v>40.8695522696271</c:v>
                </c:pt>
                <c:pt idx="36">
                  <c:v>41.7505959408097</c:v>
                </c:pt>
                <c:pt idx="37">
                  <c:v>42.6185120612916</c:v>
                </c:pt>
                <c:pt idx="38">
                  <c:v>43.4734962315784</c:v>
                </c:pt>
                <c:pt idx="39">
                  <c:v>44.3157411377278</c:v>
                </c:pt>
                <c:pt idx="40">
                  <c:v>45.1454365947757</c:v>
                </c:pt>
                <c:pt idx="41">
                  <c:v>45.9627695895135</c:v>
                </c:pt>
                <c:pt idx="42">
                  <c:v>46.7679243226298</c:v>
                </c:pt>
                <c:pt idx="43">
                  <c:v>47.5610822502226</c:v>
                </c:pt>
                <c:pt idx="44">
                  <c:v>48.3424221246943</c:v>
                </c:pt>
                <c:pt idx="45">
                  <c:v>49.1121200350363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5A-4661-ADBC-6728FCBC9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62078947"/>
        <c:axId val="56498404"/>
      </c:scatterChart>
      <c:valAx>
        <c:axId val="620789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56498404"/>
        <c:crosses val="autoZero"/>
        <c:crossBetween val="midCat"/>
      </c:valAx>
      <c:valAx>
        <c:axId val="564984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 w="9525" cap="flat" cmpd="sng"/>
          <a:effectLst/>
        </c:spPr>
        <c:crossAx val="62078947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11</xdr:col>
      <xdr:colOff>38100</xdr:colOff>
      <xdr:row>9</xdr:row>
      <xdr:rowOff>14287</xdr:rowOff>
    </xdr:from>
    <xdr:to>
      <xdr:col>18</xdr:col>
      <xdr:colOff>342900</xdr:colOff>
      <xdr:row>23</xdr:row>
      <xdr:rowOff>90487</xdr:rowOff>
    </xdr:to>
    <xdr:graphicFrame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6772275" y="1638300"/>
        <a:ext cx="4572000" cy="26098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2</xdr:col>
      <xdr:colOff>257175</xdr:colOff>
      <xdr:row>14</xdr:row>
      <xdr:rowOff>114300</xdr:rowOff>
    </xdr:from>
    <xdr:to>
      <xdr:col>16</xdr:col>
      <xdr:colOff>285750</xdr:colOff>
      <xdr:row>23</xdr:row>
      <xdr:rowOff>85725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1476375" y="2657475"/>
          <a:ext cx="8562975" cy="1600200"/>
        </a:xfrm>
        <a:prstGeom prst="rect"/>
        <a:solidFill>
          <a:schemeClr val="bg1"/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/>
          <a:r>
            <a:rPr lang="en-US" sz="1100">
              <a:solidFill>
                <a:schemeClr val="tx1"/>
              </a:solidFill>
            </a:rPr>
            <a:t>In the BPIE report, pp  107 Table 3B1 – "Adjustments to current building stock to determine the 2050 practical limit" is assumed a 0.2% demolition rate of the building  stock each year for the period 2011-2050. Here replaced the "non country specific  values" (in green) with this value.</a:t>
          </a:r>
        </a:p>
        <a:p>
          <a:r>
            <a:rPr lang="en-US" sz="1100">
              <a:solidFill>
                <a:schemeClr val="tx1"/>
              </a:solidFill>
            </a:rPr>
            <a:t>In Table 3A1 – Renovation type and cost estimates they provide ranges for  types of renovations. A minor renovation would allow for 15% savings  and a moderate 45%. In our current inputs (see pp 47-48 of the JET report 2013) we consider savings of 10-73% for heating which seem to be overestimated? Suggest considering instead 15% for all countries and types of buildings?</a:t>
          </a:r>
        </a:p>
        <a:p>
          <a:endParaRPr lang="en-US" sz="1100"/>
        </a:p>
        <a:p>
          <a:r>
            <a:rPr lang="en-US" sz="1100">
              <a:solidFill>
                <a:schemeClr val="tx1"/>
              </a:solidFill>
            </a:rPr>
            <a:t>Economidou, M., Atanasiu, B., Despret, C., Economidou, M., Maio, J., Nolte, I., Rapf, O., 2011. Europe’s buildings under the microscope. A country-by-country review of the energy performance of buildings. BPIE Buildings Performance Institute Europe.</a:t>
          </a: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Wolfgang\c\temphold\TMPL_RES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3.bin" /><Relationship Id="rId1" Type="http://schemas.openxmlformats.org/officeDocument/2006/relationships/comments" Target="../comments4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 /><Relationship Id="rId1" Type="http://schemas.openxmlformats.org/officeDocument/2006/relationships/drawing" Target="../drawings/drawing1.x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0"/>
  <sheetViews>
    <sheetView workbookViewId="0" topLeftCell="A1">
      <selection pane="topLeft" activeCell="B9" sqref="B9"/>
    </sheetView>
  </sheetViews>
  <sheetFormatPr defaultColWidth="9.11428571428571" defaultRowHeight="13.2"/>
  <cols>
    <col min="1" max="1" width="9.14285714285714" style="2"/>
    <col min="2" max="2" width="39.5714285714286" style="2" bestFit="1" customWidth="1"/>
    <col min="3" max="3" width="9.14285714285714" style="2"/>
    <col min="4" max="4" width="13.4285714285714" style="2" bestFit="1" customWidth="1"/>
    <col min="5" max="5" width="9.14285714285714" style="2"/>
    <col min="6" max="6" width="9.85714285714286" style="2" bestFit="1" customWidth="1"/>
    <col min="7" max="7" width="9.14285714285714" style="2"/>
    <col min="8" max="8" width="16.2857142857143" style="2" bestFit="1" customWidth="1"/>
    <col min="9" max="9" width="13.4285714285714" style="2" bestFit="1" customWidth="1"/>
    <col min="10" max="16384" width="9.14285714285714" style="2"/>
  </cols>
  <sheetData>
    <row r="2" spans="2:2" ht="13.2">
      <c r="B2" s="1" t="s">
        <v>10</v>
      </c>
    </row>
    <row r="3" spans="2:10" ht="13.2">
      <c r="B3" s="2" t="s">
        <v>4</v>
      </c>
      <c r="C3" s="2" t="s">
        <v>1</v>
      </c>
      <c r="D3" s="2" t="s">
        <v>0</v>
      </c>
      <c r="E3" s="2" t="s">
        <v>2</v>
      </c>
      <c r="F3" s="2" t="s">
        <v>3</v>
      </c>
      <c r="G3" s="2" t="s">
        <v>5</v>
      </c>
      <c r="H3" s="2" t="s">
        <v>6</v>
      </c>
      <c r="I3" s="2" t="s">
        <v>7</v>
      </c>
      <c r="J3" s="2" t="s">
        <v>8</v>
      </c>
    </row>
    <row r="4" spans="4:9" ht="13.2">
      <c r="D4" s="3" t="s">
        <v>11</v>
      </c>
      <c r="F4" s="2">
        <v>1</v>
      </c>
      <c r="G4" s="1"/>
      <c r="H4" s="1" t="s">
        <v>74</v>
      </c>
      <c r="I4" s="1"/>
    </row>
    <row r="5" spans="4:8" ht="13.2">
      <c r="D5" s="4" t="s">
        <v>9</v>
      </c>
      <c r="F5" s="2">
        <v>1</v>
      </c>
      <c r="G5" s="1"/>
      <c r="H5" s="1" t="s">
        <v>74</v>
      </c>
    </row>
    <row r="6" spans="4:7" ht="13.2">
      <c r="D6" s="4"/>
      <c r="G6" s="1"/>
    </row>
    <row r="8" spans="2:2" ht="13.2">
      <c r="B8" s="1" t="s">
        <v>106</v>
      </c>
    </row>
    <row r="9" spans="2:8" ht="13.2">
      <c r="B9" s="2" t="s">
        <v>4</v>
      </c>
      <c r="C9" s="2" t="s">
        <v>1</v>
      </c>
      <c r="D9" s="2" t="s">
        <v>0</v>
      </c>
      <c r="E9" s="2" t="s">
        <v>2</v>
      </c>
      <c r="F9" s="2" t="s">
        <v>3</v>
      </c>
      <c r="G9" s="2" t="s">
        <v>5</v>
      </c>
      <c r="H9" s="2" t="s">
        <v>6</v>
      </c>
    </row>
    <row r="10" spans="4:8" ht="13.2">
      <c r="D10" s="3" t="s">
        <v>11</v>
      </c>
      <c r="F10" s="2">
        <v>1</v>
      </c>
      <c r="G10" s="1"/>
      <c r="H10" s="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W49"/>
  <sheetViews>
    <sheetView workbookViewId="0" topLeftCell="A25">
      <selection pane="topLeft" activeCell="D20" sqref="D20"/>
    </sheetView>
  </sheetViews>
  <sheetFormatPr defaultRowHeight="14.4"/>
  <cols>
    <col min="3" max="3" width="11.5714285714286" bestFit="1" customWidth="1"/>
    <col min="4" max="4" width="17" bestFit="1" customWidth="1"/>
  </cols>
  <sheetData>
    <row r="1" spans="1:49" ht="14.4">
      <c r="A1" t="s">
        <v>242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54</v>
      </c>
    </row>
    <row r="2" spans="1:49" ht="14.4">
      <c r="A2" t="s">
        <v>49</v>
      </c>
      <c r="B2" t="s">
        <v>9</v>
      </c>
      <c r="C2" t="s">
        <v>50</v>
      </c>
      <c r="D2" t="s">
        <v>51</v>
      </c>
      <c r="E2" t="s">
        <v>52</v>
      </c>
      <c r="F2" t="s">
        <v>254</v>
      </c>
      <c r="G2" t="s">
        <v>255</v>
      </c>
      <c r="H2" t="s">
        <v>52</v>
      </c>
      <c r="I2" t="s">
        <v>52</v>
      </c>
      <c r="J2" t="s">
        <v>52</v>
      </c>
      <c r="K2" t="s">
        <v>52</v>
      </c>
      <c r="L2">
        <v>0.0096401693011622103</v>
      </c>
      <c r="M2">
        <v>0.0030415222889943099</v>
      </c>
      <c r="N2">
        <v>0.0042581434154369702</v>
      </c>
      <c r="O2">
        <v>0.0034102939388338601</v>
      </c>
      <c r="P2">
        <v>0.0036540878403332499</v>
      </c>
      <c r="Q2">
        <v>0.0035508103674260398</v>
      </c>
      <c r="R2">
        <v>0.0031439568442420199</v>
      </c>
      <c r="S2">
        <v>0.00282814602417679</v>
      </c>
      <c r="T2">
        <v>0.0032488705943226602</v>
      </c>
      <c r="U2">
        <v>0.0028361456877566298</v>
      </c>
      <c r="V2">
        <v>0.00276541346183358</v>
      </c>
      <c r="W2">
        <v>0.0056266963289672497</v>
      </c>
      <c r="X2">
        <v>0.0038085079249353302</v>
      </c>
      <c r="Y2">
        <v>0.0026293573109243702</v>
      </c>
      <c r="Z2">
        <v>0.0046456785706277598</v>
      </c>
      <c r="AA2">
        <v>0.0030876066146761599</v>
      </c>
      <c r="AB2">
        <v>0.0027436497090527899</v>
      </c>
      <c r="AC2">
        <v>0.0029710596309351299</v>
      </c>
      <c r="AD2">
        <v>0.0022971797935458001</v>
      </c>
      <c r="AE2">
        <v>0.0024563524698412598</v>
      </c>
      <c r="AF2">
        <v>0.00375506972701621</v>
      </c>
      <c r="AG2">
        <v>0.0024095486640133101</v>
      </c>
      <c r="AH2">
        <v>0.0028929006536856398</v>
      </c>
      <c r="AI2">
        <v>0.0018737845806433399</v>
      </c>
      <c r="AJ2">
        <v>0.0079551734298874497</v>
      </c>
      <c r="AK2">
        <v>0.0052408564883108097</v>
      </c>
      <c r="AL2">
        <v>0.0040527979453475601</v>
      </c>
      <c r="AM2">
        <v>0.00333257110748839</v>
      </c>
      <c r="AN2">
        <v>0.0074120673285544801</v>
      </c>
      <c r="AO2">
        <v>0.0031582031254655</v>
      </c>
      <c r="AP2">
        <v>0.015925988068439</v>
      </c>
      <c r="AQ2">
        <v>0.0026716940978137199</v>
      </c>
      <c r="AR2">
        <v>0.0048263692079581399</v>
      </c>
      <c r="AS2">
        <v>0.00265130540461551</v>
      </c>
      <c r="AT2">
        <v>0.0023401915005250799</v>
      </c>
      <c r="AU2">
        <v>0.0036328190444342499</v>
      </c>
      <c r="AV2">
        <v>0.0020315868994864</v>
      </c>
      <c r="AW2" t="s">
        <v>52</v>
      </c>
    </row>
    <row r="3" spans="1:49" ht="14.4">
      <c r="A3" t="s">
        <v>49</v>
      </c>
      <c r="B3" t="s">
        <v>9</v>
      </c>
      <c r="C3" t="s">
        <v>50</v>
      </c>
      <c r="D3" t="s">
        <v>53</v>
      </c>
      <c r="E3" t="s">
        <v>52</v>
      </c>
      <c r="F3" t="s">
        <v>254</v>
      </c>
      <c r="G3" t="s">
        <v>255</v>
      </c>
      <c r="H3" t="s">
        <v>52</v>
      </c>
      <c r="I3" t="s">
        <v>52</v>
      </c>
      <c r="J3" t="s">
        <v>52</v>
      </c>
      <c r="K3" t="s">
        <v>52</v>
      </c>
      <c r="L3">
        <v>0.00330236288590315</v>
      </c>
      <c r="M3">
        <v>0.00031367532348014699</v>
      </c>
      <c r="N3">
        <v>0.0081355237794084601</v>
      </c>
      <c r="O3">
        <v>0.00106447799615975</v>
      </c>
      <c r="P3">
        <v>0.00053515446359399504</v>
      </c>
      <c r="Q3">
        <v>0.00031900864114235299</v>
      </c>
      <c r="R3">
        <v>0.0075016642333142003</v>
      </c>
      <c r="S3">
        <v>5.7915380213620601E-05</v>
      </c>
      <c r="T3">
        <v>0.00027938653494462702</v>
      </c>
      <c r="U3">
        <v>0.000215866298642578</v>
      </c>
      <c r="V3">
        <v>1.13004932928846E-05</v>
      </c>
      <c r="W3">
        <v>0.0024745307312944</v>
      </c>
      <c r="X3">
        <v>0.0017885701039009299</v>
      </c>
      <c r="Y3">
        <v>7.7066364963614001E-05</v>
      </c>
      <c r="Z3">
        <v>0.0021914252725928102</v>
      </c>
      <c r="AA3">
        <v>0.0040321318774958004</v>
      </c>
      <c r="AB3">
        <v>6.3675396170606604E-05</v>
      </c>
      <c r="AC3">
        <v>0.000182029993205651</v>
      </c>
      <c r="AD3">
        <v>6.6958366412724304E-05</v>
      </c>
      <c r="AE3">
        <v>0.0018281929071075</v>
      </c>
      <c r="AF3">
        <v>0.0068175809723035096</v>
      </c>
      <c r="AH3">
        <v>0.0029769779379129101</v>
      </c>
      <c r="AJ3">
        <v>0.0032922643511000302</v>
      </c>
      <c r="AK3">
        <v>0.0096533092678208407</v>
      </c>
      <c r="AL3">
        <v>0.0086615593488368996</v>
      </c>
      <c r="AM3">
        <v>0.00068788026038014299</v>
      </c>
      <c r="AN3">
        <v>0.00024065938248666799</v>
      </c>
      <c r="AO3">
        <v>3.7704132590165203E-05</v>
      </c>
      <c r="AP3">
        <v>0.00137016530675495</v>
      </c>
      <c r="AQ3">
        <v>8.1424878342299905E-05</v>
      </c>
      <c r="AR3">
        <v>0.0088705237189384608</v>
      </c>
      <c r="AS3">
        <v>0.00015883063644810401</v>
      </c>
      <c r="AT3">
        <v>0.00060158929463398803</v>
      </c>
      <c r="AU3">
        <v>0.00019404844073037401</v>
      </c>
      <c r="AV3">
        <v>0.00012129151854895301</v>
      </c>
      <c r="AW3" t="s">
        <v>52</v>
      </c>
    </row>
    <row r="4" spans="1:49" ht="14.4">
      <c r="A4" t="s">
        <v>49</v>
      </c>
      <c r="B4" t="s">
        <v>9</v>
      </c>
      <c r="C4" t="s">
        <v>50</v>
      </c>
      <c r="D4" t="s">
        <v>256</v>
      </c>
      <c r="E4" t="s">
        <v>52</v>
      </c>
      <c r="F4" t="s">
        <v>254</v>
      </c>
      <c r="G4" t="s">
        <v>257</v>
      </c>
      <c r="H4" t="s">
        <v>52</v>
      </c>
      <c r="I4" t="s">
        <v>52</v>
      </c>
      <c r="J4" t="s">
        <v>52</v>
      </c>
      <c r="K4" t="s">
        <v>52</v>
      </c>
      <c r="L4">
        <v>0.0229815947732099</v>
      </c>
      <c r="M4">
        <v>0.096111982475514599</v>
      </c>
      <c r="N4">
        <v>0.028884986448762199</v>
      </c>
      <c r="O4">
        <v>0.084974408923019606</v>
      </c>
      <c r="P4">
        <v>0.033193905682892898</v>
      </c>
      <c r="Q4">
        <v>0.10020342437514999</v>
      </c>
      <c r="R4">
        <v>0.034305089351124599</v>
      </c>
      <c r="S4">
        <v>0.083067980047309004</v>
      </c>
      <c r="T4">
        <v>0.103488272283027</v>
      </c>
      <c r="U4">
        <v>0.078256877958979704</v>
      </c>
      <c r="V4">
        <v>0.085208712478506199</v>
      </c>
      <c r="W4">
        <v>0.054265074770306503</v>
      </c>
      <c r="X4">
        <v>0.059224175579336201</v>
      </c>
      <c r="Y4">
        <v>0.14164619924338601</v>
      </c>
      <c r="Z4">
        <v>0.096680431348909399</v>
      </c>
      <c r="AA4">
        <v>0.055515125077622102</v>
      </c>
      <c r="AB4">
        <v>0.068911089829873803</v>
      </c>
      <c r="AC4">
        <v>0.091948721273386505</v>
      </c>
      <c r="AD4">
        <v>0.195554525402653</v>
      </c>
      <c r="AE4">
        <v>0.072728604847432196</v>
      </c>
      <c r="AF4">
        <v>0.027913236170514801</v>
      </c>
      <c r="AG4">
        <v>0.064323140679598295</v>
      </c>
      <c r="AH4">
        <v>0.123841703275718</v>
      </c>
      <c r="AI4">
        <v>0.084406724288791299</v>
      </c>
      <c r="AJ4">
        <v>0.055533011413607697</v>
      </c>
      <c r="AK4">
        <v>0.030888509309316501</v>
      </c>
      <c r="AL4">
        <v>0.013402284020441199</v>
      </c>
      <c r="AM4">
        <v>0.098131719342793494</v>
      </c>
      <c r="AN4">
        <v>0.077260407779173396</v>
      </c>
      <c r="AO4">
        <v>0.103941981395015</v>
      </c>
      <c r="AP4">
        <v>0.020709666898726699</v>
      </c>
      <c r="AQ4">
        <v>0.056147167617868303</v>
      </c>
      <c r="AR4">
        <v>0.040957779866900301</v>
      </c>
      <c r="AS4">
        <v>0.099843971308971102</v>
      </c>
      <c r="AT4">
        <v>0.077196421151980305</v>
      </c>
      <c r="AU4">
        <v>0.080024813551638194</v>
      </c>
      <c r="AV4">
        <v>0.080194294506847105</v>
      </c>
      <c r="AW4" t="s">
        <v>52</v>
      </c>
    </row>
    <row r="5" spans="1:49" ht="14.4">
      <c r="A5" t="s">
        <v>49</v>
      </c>
      <c r="B5" t="s">
        <v>9</v>
      </c>
      <c r="C5" t="s">
        <v>50</v>
      </c>
      <c r="D5" t="s">
        <v>256</v>
      </c>
      <c r="E5" t="s">
        <v>52</v>
      </c>
      <c r="F5" t="s">
        <v>254</v>
      </c>
      <c r="G5" t="s">
        <v>258</v>
      </c>
      <c r="H5" t="s">
        <v>52</v>
      </c>
      <c r="I5" t="s">
        <v>52</v>
      </c>
      <c r="J5" t="s">
        <v>52</v>
      </c>
      <c r="K5" t="s">
        <v>52</v>
      </c>
      <c r="L5">
        <v>0.0229815947732099</v>
      </c>
      <c r="M5">
        <v>0.089511840486235603</v>
      </c>
      <c r="N5">
        <v>0.028884986448762199</v>
      </c>
      <c r="O5">
        <v>0.084974408923019606</v>
      </c>
      <c r="P5">
        <v>0.033193905682892898</v>
      </c>
      <c r="Q5">
        <v>0.093322317444945097</v>
      </c>
      <c r="R5">
        <v>0.032334029561530801</v>
      </c>
      <c r="S5">
        <v>0.071271835905554901</v>
      </c>
      <c r="T5">
        <v>0.089392888704069695</v>
      </c>
      <c r="U5">
        <v>0.0760402584828022</v>
      </c>
      <c r="V5">
        <v>0.085208712478506199</v>
      </c>
      <c r="W5">
        <v>0.054265074770306503</v>
      </c>
      <c r="X5">
        <v>0.0540161225158678</v>
      </c>
      <c r="Y5">
        <v>0.13093621822277601</v>
      </c>
      <c r="Z5">
        <v>0.096680431348909399</v>
      </c>
      <c r="AA5">
        <v>0.058254327436148397</v>
      </c>
      <c r="AB5">
        <v>0.068911089829873803</v>
      </c>
      <c r="AC5">
        <v>0.093135935319220597</v>
      </c>
      <c r="AD5">
        <v>0.180768493255345</v>
      </c>
      <c r="AE5">
        <v>0.069373490348884598</v>
      </c>
      <c r="AF5">
        <v>0.027913236170514801</v>
      </c>
      <c r="AG5">
        <v>0.064323140679598295</v>
      </c>
      <c r="AH5">
        <v>0.12588378951170701</v>
      </c>
      <c r="AI5">
        <v>0.083252978952673001</v>
      </c>
      <c r="AJ5">
        <v>0.055533011413607697</v>
      </c>
      <c r="AK5">
        <v>0.030888509309316501</v>
      </c>
      <c r="AL5">
        <v>0.013385958481887899</v>
      </c>
      <c r="AM5">
        <v>0.080500611969044497</v>
      </c>
      <c r="AN5">
        <v>0.076916431928901699</v>
      </c>
      <c r="AO5">
        <v>0.076433835420691695</v>
      </c>
      <c r="AP5">
        <v>0.018977565076528102</v>
      </c>
      <c r="AQ5">
        <v>0.051310149428083797</v>
      </c>
      <c r="AR5">
        <v>0.040957779866900301</v>
      </c>
      <c r="AS5">
        <v>0.099399449775721294</v>
      </c>
      <c r="AT5">
        <v>0.077196421151980305</v>
      </c>
      <c r="AU5">
        <v>0.068925799749166905</v>
      </c>
      <c r="AV5">
        <v>0.083760800253918105</v>
      </c>
      <c r="AW5" t="s">
        <v>52</v>
      </c>
    </row>
    <row r="6" spans="1:49" ht="14.4">
      <c r="A6" t="s">
        <v>49</v>
      </c>
      <c r="B6" t="s">
        <v>9</v>
      </c>
      <c r="C6" t="s">
        <v>50</v>
      </c>
      <c r="D6" t="s">
        <v>55</v>
      </c>
      <c r="E6" t="s">
        <v>52</v>
      </c>
      <c r="F6" t="s">
        <v>254</v>
      </c>
      <c r="G6" t="s">
        <v>255</v>
      </c>
      <c r="H6" t="s">
        <v>52</v>
      </c>
      <c r="I6" t="s">
        <v>52</v>
      </c>
      <c r="J6" t="s">
        <v>52</v>
      </c>
      <c r="K6" t="s">
        <v>52</v>
      </c>
      <c r="L6">
        <v>0.0106716014597119</v>
      </c>
      <c r="M6">
        <v>0.011251381070904501</v>
      </c>
      <c r="N6">
        <v>0.0056302138477458902</v>
      </c>
      <c r="O6">
        <v>0.0095272111428894597</v>
      </c>
      <c r="P6">
        <v>0.0075855179072439301</v>
      </c>
      <c r="Q6">
        <v>0.0085103268836431399</v>
      </c>
      <c r="R6">
        <v>0.0094679450592003497</v>
      </c>
      <c r="S6">
        <v>0.0071258839317191397</v>
      </c>
      <c r="T6">
        <v>0.0092098032071248094</v>
      </c>
      <c r="U6">
        <v>0.0097229186384835391</v>
      </c>
      <c r="V6">
        <v>0.0089376628770996402</v>
      </c>
      <c r="W6">
        <v>0.010422414784520599</v>
      </c>
      <c r="X6">
        <v>0.012010717894111501</v>
      </c>
      <c r="Y6">
        <v>0.011359969680153299</v>
      </c>
      <c r="Z6">
        <v>0.0099539709135063395</v>
      </c>
      <c r="AA6">
        <v>0.0061370922585661696</v>
      </c>
      <c r="AB6">
        <v>0.00533599819909683</v>
      </c>
      <c r="AC6">
        <v>0.010752265164529699</v>
      </c>
      <c r="AD6">
        <v>0.010532394176564999</v>
      </c>
      <c r="AE6">
        <v>0.0084432134067511204</v>
      </c>
      <c r="AF6">
        <v>0.0042840393102842704</v>
      </c>
      <c r="AG6">
        <v>0.0073425045027849098</v>
      </c>
      <c r="AH6">
        <v>0.0076613003004918599</v>
      </c>
      <c r="AI6">
        <v>0.010300904857021599</v>
      </c>
      <c r="AJ6">
        <v>0.0075894074581261102</v>
      </c>
      <c r="AK6">
        <v>0.0062653175584339704</v>
      </c>
      <c r="AL6">
        <v>0.0046083001257302501</v>
      </c>
      <c r="AM6">
        <v>0.0092443660202145804</v>
      </c>
      <c r="AN6">
        <v>0.015409945950424799</v>
      </c>
      <c r="AO6">
        <v>0.0091778714021296705</v>
      </c>
      <c r="AP6">
        <v>0.0148175868446371</v>
      </c>
      <c r="AQ6">
        <v>0.0061500457353994703</v>
      </c>
      <c r="AR6">
        <v>0.0069275620095682897</v>
      </c>
      <c r="AS6">
        <v>0.0092939987570087694</v>
      </c>
      <c r="AT6">
        <v>0.012373113152046601</v>
      </c>
      <c r="AU6">
        <v>0.0093921415348432093</v>
      </c>
      <c r="AV6">
        <v>0.0092111061387550198</v>
      </c>
      <c r="AW6" t="s">
        <v>52</v>
      </c>
    </row>
    <row r="7" spans="1:49" ht="14.4">
      <c r="A7" t="s">
        <v>49</v>
      </c>
      <c r="B7" t="s">
        <v>9</v>
      </c>
      <c r="C7" t="s">
        <v>238</v>
      </c>
      <c r="D7" t="s">
        <v>239</v>
      </c>
      <c r="E7" t="s">
        <v>52</v>
      </c>
      <c r="F7" t="s">
        <v>254</v>
      </c>
      <c r="G7" t="s">
        <v>259</v>
      </c>
      <c r="H7" t="s">
        <v>52</v>
      </c>
      <c r="I7" t="s">
        <v>52</v>
      </c>
      <c r="J7" t="s">
        <v>52</v>
      </c>
      <c r="K7" t="s">
        <v>52</v>
      </c>
      <c r="L7">
        <v>0.0229815947732099</v>
      </c>
      <c r="M7">
        <v>0.071890665023460004</v>
      </c>
      <c r="N7">
        <v>0.028884986448762199</v>
      </c>
      <c r="O7">
        <v>0.084974408923019606</v>
      </c>
      <c r="P7">
        <v>0.031492589695529302</v>
      </c>
      <c r="Q7">
        <v>0.074951016828653003</v>
      </c>
      <c r="R7">
        <v>0.033773547366728801</v>
      </c>
      <c r="S7">
        <v>0.071271835905554901</v>
      </c>
      <c r="T7">
        <v>0.059582739973136102</v>
      </c>
      <c r="U7">
        <v>0.053832596824278302</v>
      </c>
      <c r="V7">
        <v>0.071252783667832401</v>
      </c>
      <c r="W7">
        <v>0.054265074770306503</v>
      </c>
      <c r="X7">
        <v>0.0540161225158678</v>
      </c>
      <c r="Y7">
        <v>0.109493170863551</v>
      </c>
      <c r="Z7">
        <v>0.047847184093846903</v>
      </c>
      <c r="AA7">
        <v>0.050537164804352601</v>
      </c>
      <c r="AB7">
        <v>0.060626468289098699</v>
      </c>
      <c r="AC7">
        <v>0.081340753256539</v>
      </c>
      <c r="AD7">
        <v>0.151164557732057</v>
      </c>
      <c r="AE7">
        <v>0.065300665574093003</v>
      </c>
      <c r="AF7">
        <v>0.027913236170514801</v>
      </c>
      <c r="AG7">
        <v>0.042648736011182797</v>
      </c>
      <c r="AH7">
        <v>0.073175769542811506</v>
      </c>
      <c r="AI7">
        <v>0.077790350158054106</v>
      </c>
      <c r="AJ7">
        <v>0.055533011413607697</v>
      </c>
      <c r="AK7">
        <v>0.0292846704077326</v>
      </c>
      <c r="AL7">
        <v>0.011388099254478</v>
      </c>
      <c r="AM7">
        <v>0.078159088799739707</v>
      </c>
      <c r="AN7">
        <v>0.056327586585327501</v>
      </c>
      <c r="AO7">
        <v>0.055780750128074402</v>
      </c>
      <c r="AP7">
        <v>0.018661057683002299</v>
      </c>
      <c r="AQ7">
        <v>0.051310149428083797</v>
      </c>
      <c r="AR7">
        <v>0.040957779866900301</v>
      </c>
      <c r="AS7">
        <v>0.072792392644412604</v>
      </c>
      <c r="AT7">
        <v>0.071119405571934899</v>
      </c>
      <c r="AU7">
        <v>0.068925799749166905</v>
      </c>
      <c r="AV7">
        <v>0.067033609587677803</v>
      </c>
      <c r="AW7" t="s">
        <v>52</v>
      </c>
    </row>
    <row r="8" spans="1:49" ht="14.4">
      <c r="A8" t="s">
        <v>49</v>
      </c>
      <c r="B8" t="s">
        <v>9</v>
      </c>
      <c r="C8" t="s">
        <v>238</v>
      </c>
      <c r="D8" t="s">
        <v>239</v>
      </c>
      <c r="E8" t="s">
        <v>52</v>
      </c>
      <c r="F8" t="s">
        <v>254</v>
      </c>
      <c r="G8" t="s">
        <v>260</v>
      </c>
      <c r="H8" t="s">
        <v>52</v>
      </c>
      <c r="I8" t="s">
        <v>52</v>
      </c>
      <c r="J8" t="s">
        <v>52</v>
      </c>
      <c r="K8" t="s">
        <v>52</v>
      </c>
      <c r="L8">
        <v>0.022400084052281801</v>
      </c>
      <c r="M8">
        <v>0.050185499003167697</v>
      </c>
      <c r="N8">
        <v>0.025445408199328501</v>
      </c>
      <c r="O8">
        <v>0.072602692911767505</v>
      </c>
      <c r="P8">
        <v>0.027563116629795499</v>
      </c>
      <c r="Q8">
        <v>0.052321872097209003</v>
      </c>
      <c r="R8">
        <v>0.0328933280957188</v>
      </c>
      <c r="S8">
        <v>0.064471406318958202</v>
      </c>
      <c r="T8">
        <v>0.048282125568867303</v>
      </c>
      <c r="U8">
        <v>0.045793921752111</v>
      </c>
      <c r="V8">
        <v>0.053095940825699198</v>
      </c>
      <c r="W8">
        <v>0.052891988043197197</v>
      </c>
      <c r="X8">
        <v>0.036094596179828499</v>
      </c>
      <c r="Y8">
        <v>0.090150810706378107</v>
      </c>
      <c r="Z8">
        <v>0.0410467206272698</v>
      </c>
      <c r="AA8">
        <v>0.050537164804352601</v>
      </c>
      <c r="AB8">
        <v>0.046299777330498303</v>
      </c>
      <c r="AC8">
        <v>0.055143942082230897</v>
      </c>
      <c r="AD8">
        <v>0.12446079807660899</v>
      </c>
      <c r="AE8">
        <v>0.050378568939634799</v>
      </c>
      <c r="AF8">
        <v>0.0245893723988037</v>
      </c>
      <c r="AG8">
        <v>0.042648736011182797</v>
      </c>
      <c r="AH8">
        <v>0.060325010407258302</v>
      </c>
      <c r="AI8">
        <v>0.046670033055058999</v>
      </c>
      <c r="AJ8">
        <v>0.048554390407706399</v>
      </c>
      <c r="AK8">
        <v>0.025584080027696601</v>
      </c>
      <c r="AL8">
        <v>0.010584510164637099</v>
      </c>
      <c r="AM8">
        <v>0.0514273356297325</v>
      </c>
      <c r="AN8">
        <v>0.055473812309762199</v>
      </c>
      <c r="AO8">
        <v>0.055780750128074402</v>
      </c>
      <c r="AP8">
        <v>0.018200930176988799</v>
      </c>
      <c r="AQ8">
        <v>0.0441573798298509</v>
      </c>
      <c r="AR8">
        <v>0.036080592577054101</v>
      </c>
      <c r="AS8">
        <v>0.0716890563208777</v>
      </c>
      <c r="AT8">
        <v>0.054753715417747102</v>
      </c>
      <c r="AU8">
        <v>0.058733337506959298</v>
      </c>
      <c r="AV8">
        <v>0.042175088770149097</v>
      </c>
      <c r="AW8" t="s">
        <v>52</v>
      </c>
    </row>
    <row r="9" spans="1:49" ht="14.4">
      <c r="A9" t="s">
        <v>49</v>
      </c>
      <c r="B9" t="s">
        <v>9</v>
      </c>
      <c r="C9" t="s">
        <v>238</v>
      </c>
      <c r="D9" t="s">
        <v>239</v>
      </c>
      <c r="E9" t="s">
        <v>52</v>
      </c>
      <c r="F9" t="s">
        <v>254</v>
      </c>
      <c r="G9" t="s">
        <v>261</v>
      </c>
      <c r="H9" t="s">
        <v>52</v>
      </c>
      <c r="I9" t="s">
        <v>52</v>
      </c>
      <c r="J9" t="s">
        <v>52</v>
      </c>
      <c r="K9" t="s">
        <v>52</v>
      </c>
      <c r="L9">
        <v>0.022400084052281801</v>
      </c>
      <c r="M9">
        <v>0.042973890871063201</v>
      </c>
      <c r="N9">
        <v>0.024328910715478599</v>
      </c>
      <c r="O9">
        <v>0.072602692911767505</v>
      </c>
      <c r="P9">
        <v>0.0225210921435927</v>
      </c>
      <c r="Q9">
        <v>0.044803269198006097</v>
      </c>
      <c r="R9">
        <v>0.028197795155329001</v>
      </c>
      <c r="S9">
        <v>0.049699372320393502</v>
      </c>
      <c r="T9">
        <v>0.028782762121924599</v>
      </c>
      <c r="U9">
        <v>0.045793921752111</v>
      </c>
      <c r="V9">
        <v>0.046604477742973903</v>
      </c>
      <c r="W9">
        <v>0.052891988043197197</v>
      </c>
      <c r="X9">
        <v>0.036094596179828499</v>
      </c>
      <c r="Y9">
        <v>0.089156054015020997</v>
      </c>
      <c r="Z9">
        <v>0.024415124576611099</v>
      </c>
      <c r="AA9">
        <v>0.036811367013121002</v>
      </c>
      <c r="AB9">
        <v>0.046299777330498303</v>
      </c>
      <c r="AC9">
        <v>0.047731529794813599</v>
      </c>
      <c r="AD9">
        <v>0.123087452560044</v>
      </c>
      <c r="AE9">
        <v>0.046881089508293401</v>
      </c>
      <c r="AF9">
        <v>0.023510436183764399</v>
      </c>
      <c r="AG9">
        <v>0.042648736011182797</v>
      </c>
      <c r="AH9">
        <v>0.051585466105801898</v>
      </c>
      <c r="AI9">
        <v>0.045991888674445501</v>
      </c>
      <c r="AJ9">
        <v>0.046216871702283599</v>
      </c>
      <c r="AK9">
        <v>0.020806594965233901</v>
      </c>
      <c r="AL9">
        <v>0.010430531952087299</v>
      </c>
      <c r="AM9">
        <v>0.0460579391924038</v>
      </c>
      <c r="AN9">
        <v>0.0506232707341304</v>
      </c>
      <c r="AO9">
        <v>0.055780750128074402</v>
      </c>
      <c r="AP9">
        <v>0.016922283579913901</v>
      </c>
      <c r="AQ9">
        <v>0.0441573798298509</v>
      </c>
      <c r="AR9">
        <v>0.0344974428585458</v>
      </c>
      <c r="AS9">
        <v>0.065420679699121201</v>
      </c>
      <c r="AT9">
        <v>0.040423455695716801</v>
      </c>
      <c r="AU9">
        <v>0.0541808832866724</v>
      </c>
      <c r="AV9">
        <v>0.031101521059548901</v>
      </c>
      <c r="AW9" t="s">
        <v>52</v>
      </c>
    </row>
    <row r="10" spans="1:49" ht="14.4">
      <c r="A10" t="s">
        <v>49</v>
      </c>
      <c r="B10" t="s">
        <v>9</v>
      </c>
      <c r="C10" t="s">
        <v>238</v>
      </c>
      <c r="D10" t="s">
        <v>239</v>
      </c>
      <c r="E10" t="s">
        <v>52</v>
      </c>
      <c r="F10" t="s">
        <v>254</v>
      </c>
      <c r="G10" t="s">
        <v>262</v>
      </c>
      <c r="H10" t="s">
        <v>52</v>
      </c>
      <c r="I10" t="s">
        <v>52</v>
      </c>
      <c r="J10" t="s">
        <v>52</v>
      </c>
      <c r="K10" t="s">
        <v>52</v>
      </c>
      <c r="L10">
        <v>0.00907244197529254</v>
      </c>
      <c r="M10">
        <v>0.038216552583321697</v>
      </c>
      <c r="N10">
        <v>0.0210762458021891</v>
      </c>
      <c r="O10">
        <v>0.0435688687086562</v>
      </c>
      <c r="P10">
        <v>0.015681843388374101</v>
      </c>
      <c r="Q10">
        <v>0.039843413256379301</v>
      </c>
      <c r="R10">
        <v>0.0248119102780349</v>
      </c>
      <c r="S10">
        <v>0.039103012687011302</v>
      </c>
      <c r="T10">
        <v>0.0310080366281567</v>
      </c>
      <c r="U10">
        <v>0.033433574510270299</v>
      </c>
      <c r="V10">
        <v>0.046604477742973903</v>
      </c>
      <c r="W10">
        <v>0.021422218388099799</v>
      </c>
      <c r="X10">
        <v>0.024680364621511901</v>
      </c>
      <c r="Y10">
        <v>0.079872548283868097</v>
      </c>
      <c r="Z10">
        <v>0.023614074304208001</v>
      </c>
      <c r="AA10">
        <v>0.023518729888444001</v>
      </c>
      <c r="AB10">
        <v>0.028633312411506399</v>
      </c>
      <c r="AC10">
        <v>0.030803334387112899</v>
      </c>
      <c r="AD10">
        <v>0.11027078986788701</v>
      </c>
      <c r="AE10">
        <v>0.044205442267773898</v>
      </c>
      <c r="AF10">
        <v>0.020367197599621498</v>
      </c>
      <c r="AG10">
        <v>0.025955618683214499</v>
      </c>
      <c r="AH10">
        <v>0.041764704592126597</v>
      </c>
      <c r="AI10">
        <v>0.029800539441301701</v>
      </c>
      <c r="AJ10">
        <v>0.040108513311255797</v>
      </c>
      <c r="AK10">
        <v>0.014447878104839201</v>
      </c>
      <c r="AL10">
        <v>0.010027607457583101</v>
      </c>
      <c r="AM10">
        <v>0.032873120141762399</v>
      </c>
      <c r="AN10">
        <v>0.044068049574439501</v>
      </c>
      <c r="AO10">
        <v>0.044694994036883602</v>
      </c>
      <c r="AP10">
        <v>0.011554767195799001</v>
      </c>
      <c r="AQ10">
        <v>0.034372643701706597</v>
      </c>
      <c r="AR10">
        <v>0.029885291361240601</v>
      </c>
      <c r="AS10">
        <v>0.056949338009301999</v>
      </c>
      <c r="AT10">
        <v>0.023933423025691899</v>
      </c>
      <c r="AU10">
        <v>0.0325578535568199</v>
      </c>
      <c r="AV10">
        <v>0.026105855839287699</v>
      </c>
      <c r="AW10" t="s">
        <v>52</v>
      </c>
    </row>
    <row r="11" spans="1:49" ht="14.4">
      <c r="A11" t="s">
        <v>49</v>
      </c>
      <c r="B11" t="s">
        <v>9</v>
      </c>
      <c r="C11" t="s">
        <v>238</v>
      </c>
      <c r="D11" t="s">
        <v>51</v>
      </c>
      <c r="E11" t="s">
        <v>52</v>
      </c>
      <c r="F11" t="s">
        <v>254</v>
      </c>
      <c r="G11" t="s">
        <v>255</v>
      </c>
      <c r="H11" t="s">
        <v>52</v>
      </c>
      <c r="I11" t="s">
        <v>52</v>
      </c>
      <c r="J11" t="s">
        <v>52</v>
      </c>
      <c r="K11" t="s">
        <v>52</v>
      </c>
      <c r="L11">
        <v>0.0096401693011622103</v>
      </c>
      <c r="M11">
        <v>0.0030415222889943099</v>
      </c>
      <c r="N11">
        <v>0.0042581434154369702</v>
      </c>
      <c r="O11">
        <v>0.0034102939388338601</v>
      </c>
      <c r="P11">
        <v>0.0036540878403332499</v>
      </c>
      <c r="Q11">
        <v>0.0035508103674260398</v>
      </c>
      <c r="R11">
        <v>0.0031439568442420199</v>
      </c>
      <c r="S11">
        <v>0.00282814602417679</v>
      </c>
      <c r="T11">
        <v>0.0032488705943226602</v>
      </c>
      <c r="U11">
        <v>0.0028361456877566298</v>
      </c>
      <c r="V11">
        <v>0.00276541346183358</v>
      </c>
      <c r="W11">
        <v>0.0056266963289672497</v>
      </c>
      <c r="X11">
        <v>0.0038085079249353302</v>
      </c>
      <c r="Y11">
        <v>0.0026293573109243702</v>
      </c>
      <c r="Z11">
        <v>0.0046456785706277598</v>
      </c>
      <c r="AA11">
        <v>0.0030876066146761599</v>
      </c>
      <c r="AB11">
        <v>0.0027436497090527899</v>
      </c>
      <c r="AC11">
        <v>0.0029710596309351299</v>
      </c>
      <c r="AD11">
        <v>0.0022971797935458001</v>
      </c>
      <c r="AE11">
        <v>0.0024563524698412598</v>
      </c>
      <c r="AF11">
        <v>0.00375506972701621</v>
      </c>
      <c r="AG11">
        <v>0.0024095486640133101</v>
      </c>
      <c r="AH11">
        <v>0.0028929006536856398</v>
      </c>
      <c r="AI11">
        <v>0.0018737845806433399</v>
      </c>
      <c r="AJ11">
        <v>0.0079551734298874497</v>
      </c>
      <c r="AK11">
        <v>0.0052408564883108097</v>
      </c>
      <c r="AL11">
        <v>0.0040527979453475601</v>
      </c>
      <c r="AM11">
        <v>0.00333257110748839</v>
      </c>
      <c r="AN11">
        <v>0.0074120673285544801</v>
      </c>
      <c r="AO11">
        <v>0.0031582031254655</v>
      </c>
      <c r="AP11">
        <v>0.015925988068439</v>
      </c>
      <c r="AQ11">
        <v>0.0026716940978137199</v>
      </c>
      <c r="AR11">
        <v>0.0048263692079581399</v>
      </c>
      <c r="AS11">
        <v>0.00265130540461551</v>
      </c>
      <c r="AT11">
        <v>0.0023401915005250799</v>
      </c>
      <c r="AU11">
        <v>0.0036328190444342499</v>
      </c>
      <c r="AV11">
        <v>0.0020315868994864</v>
      </c>
      <c r="AW11" t="s">
        <v>52</v>
      </c>
    </row>
    <row r="12" spans="1:49" ht="14.4">
      <c r="A12" t="s">
        <v>49</v>
      </c>
      <c r="B12" t="s">
        <v>9</v>
      </c>
      <c r="C12" t="s">
        <v>238</v>
      </c>
      <c r="D12" t="s">
        <v>53</v>
      </c>
      <c r="E12" t="s">
        <v>52</v>
      </c>
      <c r="F12" t="s">
        <v>254</v>
      </c>
      <c r="G12" t="s">
        <v>255</v>
      </c>
      <c r="H12" t="s">
        <v>52</v>
      </c>
      <c r="I12" t="s">
        <v>52</v>
      </c>
      <c r="J12" t="s">
        <v>52</v>
      </c>
      <c r="K12" t="s">
        <v>52</v>
      </c>
      <c r="L12">
        <v>0.00330236288590315</v>
      </c>
      <c r="M12">
        <v>0.00031367532348014699</v>
      </c>
      <c r="N12">
        <v>0.0081355237794084601</v>
      </c>
      <c r="O12">
        <v>0.00106447799615975</v>
      </c>
      <c r="P12">
        <v>0.00053515446359399504</v>
      </c>
      <c r="Q12">
        <v>0.00031900864114235299</v>
      </c>
      <c r="R12">
        <v>0.0075016642333142003</v>
      </c>
      <c r="S12">
        <v>5.7915380213620601E-05</v>
      </c>
      <c r="T12">
        <v>0.00027938653494462702</v>
      </c>
      <c r="U12">
        <v>0.000215866298642578</v>
      </c>
      <c r="V12">
        <v>1.13004932928846E-05</v>
      </c>
      <c r="W12">
        <v>0.0024745307312944</v>
      </c>
      <c r="X12">
        <v>0.0017885701039009299</v>
      </c>
      <c r="Y12">
        <v>7.7066364963614001E-05</v>
      </c>
      <c r="Z12">
        <v>0.0021914252725928102</v>
      </c>
      <c r="AA12">
        <v>0.0040321318774958004</v>
      </c>
      <c r="AB12">
        <v>6.3675396170606604E-05</v>
      </c>
      <c r="AC12">
        <v>0.000182029993205651</v>
      </c>
      <c r="AD12">
        <v>6.6958366412724304E-05</v>
      </c>
      <c r="AE12">
        <v>0.0018281929071075</v>
      </c>
      <c r="AF12">
        <v>0.0068175809723035096</v>
      </c>
      <c r="AH12">
        <v>0.0029769779379129101</v>
      </c>
      <c r="AJ12">
        <v>0.0032922643511000302</v>
      </c>
      <c r="AK12">
        <v>0.0096533092678208407</v>
      </c>
      <c r="AL12">
        <v>0.0086615593488368996</v>
      </c>
      <c r="AM12">
        <v>0.00068788026038014299</v>
      </c>
      <c r="AN12">
        <v>0.00024065938248666799</v>
      </c>
      <c r="AO12">
        <v>3.7704132590165203E-05</v>
      </c>
      <c r="AP12">
        <v>0.00137016530675495</v>
      </c>
      <c r="AQ12">
        <v>8.1424878342299905E-05</v>
      </c>
      <c r="AR12">
        <v>0.0088705237189384608</v>
      </c>
      <c r="AS12">
        <v>0.00015883063644810401</v>
      </c>
      <c r="AT12">
        <v>0.00060158929463398803</v>
      </c>
      <c r="AU12">
        <v>0.00019404844073037401</v>
      </c>
      <c r="AV12">
        <v>0.00012129151854895301</v>
      </c>
      <c r="AW12" t="s">
        <v>52</v>
      </c>
    </row>
    <row r="13" spans="1:49" ht="14.4">
      <c r="A13" t="s">
        <v>49</v>
      </c>
      <c r="B13" t="s">
        <v>9</v>
      </c>
      <c r="C13" t="s">
        <v>238</v>
      </c>
      <c r="D13" t="s">
        <v>55</v>
      </c>
      <c r="E13" t="s">
        <v>52</v>
      </c>
      <c r="F13" t="s">
        <v>254</v>
      </c>
      <c r="G13" t="s">
        <v>255</v>
      </c>
      <c r="H13" t="s">
        <v>52</v>
      </c>
      <c r="I13" t="s">
        <v>52</v>
      </c>
      <c r="J13" t="s">
        <v>52</v>
      </c>
      <c r="K13" t="s">
        <v>52</v>
      </c>
      <c r="L13">
        <v>0.0106716014597119</v>
      </c>
      <c r="M13">
        <v>0.011251381070904501</v>
      </c>
      <c r="N13">
        <v>0.0056302138477458902</v>
      </c>
      <c r="O13">
        <v>0.0095272111428894597</v>
      </c>
      <c r="P13">
        <v>0.0075855179072439301</v>
      </c>
      <c r="Q13">
        <v>0.0085103268836431399</v>
      </c>
      <c r="R13">
        <v>0.0094679450592003497</v>
      </c>
      <c r="S13">
        <v>0.0071258839317191397</v>
      </c>
      <c r="T13">
        <v>0.0092098032071248094</v>
      </c>
      <c r="U13">
        <v>0.0097229186384835391</v>
      </c>
      <c r="V13">
        <v>0.0089376628770996402</v>
      </c>
      <c r="W13">
        <v>0.010422414784520599</v>
      </c>
      <c r="X13">
        <v>0.012010717894111501</v>
      </c>
      <c r="Y13">
        <v>0.011359969680153299</v>
      </c>
      <c r="Z13">
        <v>0.0099539709135063395</v>
      </c>
      <c r="AA13">
        <v>0.0061370922585661696</v>
      </c>
      <c r="AB13">
        <v>0.00533599819909683</v>
      </c>
      <c r="AC13">
        <v>0.010752265164529699</v>
      </c>
      <c r="AD13">
        <v>0.010532394176564999</v>
      </c>
      <c r="AE13">
        <v>0.0084432134067511204</v>
      </c>
      <c r="AF13">
        <v>0.0042840393102842704</v>
      </c>
      <c r="AG13">
        <v>0.0073425045027849098</v>
      </c>
      <c r="AH13">
        <v>0.0076613003004918599</v>
      </c>
      <c r="AI13">
        <v>0.010300904857021599</v>
      </c>
      <c r="AJ13">
        <v>0.0075894074581261102</v>
      </c>
      <c r="AK13">
        <v>0.0062653175584339704</v>
      </c>
      <c r="AL13">
        <v>0.0046083001257302501</v>
      </c>
      <c r="AM13">
        <v>0.0092443660202145804</v>
      </c>
      <c r="AN13">
        <v>0.015409945950424799</v>
      </c>
      <c r="AO13">
        <v>0.0091778714021296705</v>
      </c>
      <c r="AP13">
        <v>0.0148175868446371</v>
      </c>
      <c r="AQ13">
        <v>0.0061500457353994703</v>
      </c>
      <c r="AR13">
        <v>0.0069275620095682897</v>
      </c>
      <c r="AS13">
        <v>0.0092939987570087694</v>
      </c>
      <c r="AT13">
        <v>0.012373113152046601</v>
      </c>
      <c r="AU13">
        <v>0.0093921415348432093</v>
      </c>
      <c r="AV13">
        <v>0.0092111061387550198</v>
      </c>
      <c r="AW13" t="s">
        <v>52</v>
      </c>
    </row>
    <row r="14" spans="1:49" ht="14.4">
      <c r="A14" t="s">
        <v>49</v>
      </c>
      <c r="B14" t="s">
        <v>9</v>
      </c>
      <c r="C14" t="s">
        <v>56</v>
      </c>
      <c r="D14" t="s">
        <v>57</v>
      </c>
      <c r="E14" t="s">
        <v>52</v>
      </c>
      <c r="F14" t="s">
        <v>254</v>
      </c>
      <c r="G14" t="s">
        <v>255</v>
      </c>
      <c r="H14" t="s">
        <v>52</v>
      </c>
      <c r="I14" t="s">
        <v>52</v>
      </c>
      <c r="J14" t="s">
        <v>52</v>
      </c>
      <c r="K14" t="s">
        <v>52</v>
      </c>
      <c r="L14">
        <v>0.0096401693011622103</v>
      </c>
      <c r="M14">
        <v>0.0030415222889943099</v>
      </c>
      <c r="N14">
        <v>0.0042581434154369702</v>
      </c>
      <c r="O14">
        <v>0.0034102939388338601</v>
      </c>
      <c r="P14">
        <v>0.0036540878403332499</v>
      </c>
      <c r="Q14">
        <v>0.0035508103674260398</v>
      </c>
      <c r="R14">
        <v>0.0031439568442420199</v>
      </c>
      <c r="S14">
        <v>0.00282814602417679</v>
      </c>
      <c r="T14">
        <v>0.0032488705943226602</v>
      </c>
      <c r="U14">
        <v>0.0028361456877566298</v>
      </c>
      <c r="V14">
        <v>0.00276541346183358</v>
      </c>
      <c r="W14">
        <v>0.0056266963289672497</v>
      </c>
      <c r="X14">
        <v>0.0038085079249353302</v>
      </c>
      <c r="Y14">
        <v>0.0026293573109243702</v>
      </c>
      <c r="Z14">
        <v>0.0046456785706277598</v>
      </c>
      <c r="AA14">
        <v>0.0030876066146761599</v>
      </c>
      <c r="AB14">
        <v>0.0027436497090527899</v>
      </c>
      <c r="AC14">
        <v>0.0029710596309351299</v>
      </c>
      <c r="AD14">
        <v>0.0022971797935458001</v>
      </c>
      <c r="AE14">
        <v>0.0024563524698412598</v>
      </c>
      <c r="AF14">
        <v>0.00375506972701621</v>
      </c>
      <c r="AG14">
        <v>0.0024095486640133101</v>
      </c>
      <c r="AH14">
        <v>0.0028929006536856398</v>
      </c>
      <c r="AI14">
        <v>0.0018737845806433399</v>
      </c>
      <c r="AJ14">
        <v>0.0079551734298874497</v>
      </c>
      <c r="AK14">
        <v>0.0052408564883108097</v>
      </c>
      <c r="AL14">
        <v>0.0040527979453475601</v>
      </c>
      <c r="AM14">
        <v>0.0033325711074883801</v>
      </c>
      <c r="AN14">
        <v>0.0074120673285544801</v>
      </c>
      <c r="AO14">
        <v>0.0031582031254655</v>
      </c>
      <c r="AP14">
        <v>0.015925988068439</v>
      </c>
      <c r="AQ14">
        <v>0.0026716940978137199</v>
      </c>
      <c r="AR14">
        <v>0.0048263692079581399</v>
      </c>
      <c r="AS14">
        <v>0.00265130540461551</v>
      </c>
      <c r="AT14">
        <v>0.0023401915005250799</v>
      </c>
      <c r="AU14">
        <v>0.0036328190444342499</v>
      </c>
      <c r="AV14">
        <v>0.0020315868994864</v>
      </c>
      <c r="AW14" t="s">
        <v>52</v>
      </c>
    </row>
    <row r="15" spans="1:49" ht="14.4">
      <c r="A15" t="s">
        <v>49</v>
      </c>
      <c r="B15" t="s">
        <v>9</v>
      </c>
      <c r="C15" t="s">
        <v>56</v>
      </c>
      <c r="D15" t="s">
        <v>58</v>
      </c>
      <c r="E15" t="s">
        <v>52</v>
      </c>
      <c r="F15" t="s">
        <v>254</v>
      </c>
      <c r="G15" t="s">
        <v>255</v>
      </c>
      <c r="H15" t="s">
        <v>52</v>
      </c>
      <c r="I15" t="s">
        <v>52</v>
      </c>
      <c r="J15" t="s">
        <v>52</v>
      </c>
      <c r="K15" t="s">
        <v>52</v>
      </c>
      <c r="L15">
        <v>0.00165118144295158</v>
      </c>
      <c r="M15">
        <v>0.00015683766174007301</v>
      </c>
      <c r="N15">
        <v>0.00406776188970423</v>
      </c>
      <c r="O15">
        <v>0.000532238998079876</v>
      </c>
      <c r="P15">
        <v>0.00026757723179699698</v>
      </c>
      <c r="Q15">
        <v>0.00015950432057117701</v>
      </c>
      <c r="R15">
        <v>0.0037508321166571002</v>
      </c>
      <c r="S15">
        <v>2.8957690106810301E-05</v>
      </c>
      <c r="T15">
        <v>0.00013969326747231299</v>
      </c>
      <c r="U15">
        <v>0.000107933149321289</v>
      </c>
      <c r="W15">
        <v>0.0012372653656472</v>
      </c>
      <c r="X15">
        <v>0.00089428505195046604</v>
      </c>
      <c r="Y15">
        <v>3.8533182481807001E-05</v>
      </c>
      <c r="Z15">
        <v>0.0010957126362964101</v>
      </c>
      <c r="AA15">
        <v>0.0020160659387479002</v>
      </c>
      <c r="AB15">
        <v>3.1837698085303302E-05</v>
      </c>
      <c r="AC15">
        <v>9.1014996602825594E-05</v>
      </c>
      <c r="AD15">
        <v>3.34791832063622E-05</v>
      </c>
      <c r="AE15">
        <v>0.00091409645355375205</v>
      </c>
      <c r="AF15">
        <v>0.00340879048615176</v>
      </c>
      <c r="AH15">
        <v>0.00148848896895646</v>
      </c>
      <c r="AJ15">
        <v>0.0016461321755500201</v>
      </c>
      <c r="AK15">
        <v>0.0048266546339104204</v>
      </c>
      <c r="AL15">
        <v>0.0043307796744184498</v>
      </c>
      <c r="AM15">
        <v>0.00034394013019007101</v>
      </c>
      <c r="AN15">
        <v>0.000120329691243334</v>
      </c>
      <c r="AO15">
        <v>1.8852066295082602E-05</v>
      </c>
      <c r="AP15">
        <v>0.00068508265337747501</v>
      </c>
      <c r="AQ15">
        <v>4.0712439171149899E-05</v>
      </c>
      <c r="AR15">
        <v>0.0044352618594692304</v>
      </c>
      <c r="AS15">
        <v>7.9415318224052196E-05</v>
      </c>
      <c r="AT15">
        <v>0.00030079464731699401</v>
      </c>
      <c r="AU15">
        <v>9.7024220365186898E-05</v>
      </c>
      <c r="AV15">
        <v>6.0645759274476699E-05</v>
      </c>
      <c r="AW15" t="s">
        <v>52</v>
      </c>
    </row>
    <row r="16" spans="1:49" ht="14.4">
      <c r="A16" t="s">
        <v>49</v>
      </c>
      <c r="B16" t="s">
        <v>9</v>
      </c>
      <c r="C16" t="s">
        <v>56</v>
      </c>
      <c r="D16" t="s">
        <v>59</v>
      </c>
      <c r="E16" t="s">
        <v>52</v>
      </c>
      <c r="F16" t="s">
        <v>254</v>
      </c>
      <c r="G16" t="s">
        <v>257</v>
      </c>
      <c r="H16" t="s">
        <v>52</v>
      </c>
      <c r="I16" t="s">
        <v>52</v>
      </c>
      <c r="J16" t="s">
        <v>52</v>
      </c>
      <c r="K16" t="s">
        <v>52</v>
      </c>
      <c r="L16">
        <v>0.0060880977934958998</v>
      </c>
      <c r="M16">
        <v>0.022601569575050599</v>
      </c>
      <c r="N16">
        <v>0.0091043410140506393</v>
      </c>
      <c r="O16">
        <v>0.020609630026187601</v>
      </c>
      <c r="P16">
        <v>0.0088744950984732708</v>
      </c>
      <c r="Q16">
        <v>0.0235637077640161</v>
      </c>
      <c r="R16">
        <v>0.0089824859126322095</v>
      </c>
      <c r="S16">
        <v>0.0183484947759559</v>
      </c>
      <c r="T16">
        <v>0.023674127113296299</v>
      </c>
      <c r="U16">
        <v>0.015649148064391102</v>
      </c>
      <c r="V16">
        <v>0.0193318982418214</v>
      </c>
      <c r="W16">
        <v>0.018048127196654499</v>
      </c>
      <c r="X16">
        <v>0.019734330188172</v>
      </c>
      <c r="Y16">
        <v>0.024911494095498001</v>
      </c>
      <c r="Z16">
        <v>0.022031529218869299</v>
      </c>
      <c r="AA16">
        <v>0.016856260920338099</v>
      </c>
      <c r="AB16">
        <v>0.015120218360694901</v>
      </c>
      <c r="AC16">
        <v>0.013860579132030801</v>
      </c>
      <c r="AD16">
        <v>0.0448845403061751</v>
      </c>
      <c r="AE16">
        <v>0.019679654901891701</v>
      </c>
      <c r="AF16">
        <v>0.0087980522806508192</v>
      </c>
      <c r="AG16">
        <v>0.014054508913929399</v>
      </c>
      <c r="AH16">
        <v>0.035825439813603303</v>
      </c>
      <c r="AI16">
        <v>0.0182032972165613</v>
      </c>
      <c r="AJ16">
        <v>0.015730896115243202</v>
      </c>
      <c r="AK16">
        <v>0.0098556185572069507</v>
      </c>
      <c r="AL16">
        <v>0.00385672905941172</v>
      </c>
      <c r="AM16">
        <v>0.023533097082905002</v>
      </c>
      <c r="AN16">
        <v>0.0170782553282657</v>
      </c>
      <c r="AO16">
        <v>0.020002400143382299</v>
      </c>
      <c r="AP16">
        <v>0.00554846923154983</v>
      </c>
      <c r="AQ16">
        <v>0.0093377490585145207</v>
      </c>
      <c r="AR16">
        <v>0.012909599100838699</v>
      </c>
      <c r="AS16">
        <v>0.022070305917571</v>
      </c>
      <c r="AT16">
        <v>0.017217397896658701</v>
      </c>
      <c r="AU16">
        <v>0.018403180470035502</v>
      </c>
      <c r="AV16">
        <v>0.012767179345547001</v>
      </c>
      <c r="AW16" t="s">
        <v>52</v>
      </c>
    </row>
    <row r="17" spans="1:49" ht="14.4">
      <c r="A17" t="s">
        <v>49</v>
      </c>
      <c r="B17" t="s">
        <v>9</v>
      </c>
      <c r="C17" t="s">
        <v>56</v>
      </c>
      <c r="D17" t="s">
        <v>59</v>
      </c>
      <c r="E17" t="s">
        <v>52</v>
      </c>
      <c r="F17" t="s">
        <v>254</v>
      </c>
      <c r="G17" t="s">
        <v>258</v>
      </c>
      <c r="H17" t="s">
        <v>52</v>
      </c>
      <c r="I17" t="s">
        <v>52</v>
      </c>
      <c r="J17" t="s">
        <v>52</v>
      </c>
      <c r="K17" t="s">
        <v>52</v>
      </c>
      <c r="L17">
        <v>0.0060880977934958998</v>
      </c>
      <c r="M17">
        <v>0.020416160107840101</v>
      </c>
      <c r="N17">
        <v>0.0091043410140506393</v>
      </c>
      <c r="O17">
        <v>0.020609630026187601</v>
      </c>
      <c r="P17">
        <v>0.0088744950984732708</v>
      </c>
      <c r="Q17">
        <v>0.021285266443422698</v>
      </c>
      <c r="R17">
        <v>0.0082479205953364092</v>
      </c>
      <c r="S17">
        <v>0.016537173934559699</v>
      </c>
      <c r="T17">
        <v>0.019539948840506499</v>
      </c>
      <c r="U17">
        <v>0.0153705003521007</v>
      </c>
      <c r="V17">
        <v>0.0193318982418214</v>
      </c>
      <c r="W17">
        <v>0.018048127196654499</v>
      </c>
      <c r="X17">
        <v>0.017732098425851099</v>
      </c>
      <c r="Y17">
        <v>0.023407045361051801</v>
      </c>
      <c r="Z17">
        <v>0.022031529218869299</v>
      </c>
      <c r="AA17">
        <v>0.017984771281976002</v>
      </c>
      <c r="AB17">
        <v>0.015120218360694901</v>
      </c>
      <c r="AC17">
        <v>0.0140042232572398</v>
      </c>
      <c r="AD17">
        <v>0.042214283954036098</v>
      </c>
      <c r="AE17">
        <v>0.018540688893318499</v>
      </c>
      <c r="AF17">
        <v>0.0087980522806508192</v>
      </c>
      <c r="AG17">
        <v>0.014054508913929399</v>
      </c>
      <c r="AH17">
        <v>0.039854127823102901</v>
      </c>
      <c r="AI17">
        <v>0.0179374072306582</v>
      </c>
      <c r="AJ17">
        <v>0.015730896115243202</v>
      </c>
      <c r="AK17">
        <v>0.0098556185572069507</v>
      </c>
      <c r="AL17">
        <v>0.00385363297500345</v>
      </c>
      <c r="AM17">
        <v>0.019804702977157099</v>
      </c>
      <c r="AN17">
        <v>0.017000619623506401</v>
      </c>
      <c r="AO17">
        <v>0.0148551795797965</v>
      </c>
      <c r="AP17">
        <v>0.00489166927476629</v>
      </c>
      <c r="AQ17">
        <v>0.0085744441301385099</v>
      </c>
      <c r="AR17">
        <v>0.012909599100838699</v>
      </c>
      <c r="AS17">
        <v>0.021969976948292301</v>
      </c>
      <c r="AT17">
        <v>0.017217397896658701</v>
      </c>
      <c r="AU17">
        <v>0.015857881575712201</v>
      </c>
      <c r="AV17">
        <v>0.013317988803745301</v>
      </c>
      <c r="AW17" t="s">
        <v>52</v>
      </c>
    </row>
    <row r="18" spans="1:49" ht="14.4">
      <c r="A18" t="s">
        <v>49</v>
      </c>
      <c r="B18" t="s">
        <v>9</v>
      </c>
      <c r="C18" t="s">
        <v>56</v>
      </c>
      <c r="D18" t="s">
        <v>59</v>
      </c>
      <c r="E18" t="s">
        <v>52</v>
      </c>
      <c r="F18" t="s">
        <v>254</v>
      </c>
      <c r="G18" t="s">
        <v>259</v>
      </c>
      <c r="H18" t="s">
        <v>52</v>
      </c>
      <c r="I18" t="s">
        <v>52</v>
      </c>
      <c r="J18" t="s">
        <v>52</v>
      </c>
      <c r="K18" t="s">
        <v>52</v>
      </c>
      <c r="L18">
        <v>0.0060880977934958998</v>
      </c>
      <c r="M18">
        <v>0.0166687087339966</v>
      </c>
      <c r="N18">
        <v>0.0091043410140506393</v>
      </c>
      <c r="O18">
        <v>0.020609630026187601</v>
      </c>
      <c r="P18">
        <v>0.0084074089311359894</v>
      </c>
      <c r="Q18">
        <v>0.0173782878267436</v>
      </c>
      <c r="R18">
        <v>0.0083150517150978806</v>
      </c>
      <c r="S18">
        <v>0.016537173934559699</v>
      </c>
      <c r="T18">
        <v>0.013309584808677</v>
      </c>
      <c r="U18">
        <v>0.011065874851371201</v>
      </c>
      <c r="V18">
        <v>0.016029881933771199</v>
      </c>
      <c r="W18">
        <v>0.018048127196654499</v>
      </c>
      <c r="X18">
        <v>0.017732098425851099</v>
      </c>
      <c r="Y18">
        <v>0.019809326208381502</v>
      </c>
      <c r="Z18">
        <v>0.01117579207179</v>
      </c>
      <c r="AA18">
        <v>0.015678446814958499</v>
      </c>
      <c r="AB18">
        <v>0.013219247091195501</v>
      </c>
      <c r="AC18">
        <v>0.012580411175430999</v>
      </c>
      <c r="AD18">
        <v>0.034942161227721001</v>
      </c>
      <c r="AE18">
        <v>0.017698754588421899</v>
      </c>
      <c r="AF18">
        <v>0.0087980522806508192</v>
      </c>
      <c r="AG18">
        <v>0.0092842662990525199</v>
      </c>
      <c r="AH18">
        <v>0.0218624084670287</v>
      </c>
      <c r="AI18">
        <v>0.016770417193253801</v>
      </c>
      <c r="AJ18">
        <v>0.015730896115243202</v>
      </c>
      <c r="AK18">
        <v>0.0093165388748974107</v>
      </c>
      <c r="AL18">
        <v>0.0030869372742214399</v>
      </c>
      <c r="AM18">
        <v>0.019468230229631098</v>
      </c>
      <c r="AN18">
        <v>0.012444089307065699</v>
      </c>
      <c r="AO18">
        <v>0.010761353420575199</v>
      </c>
      <c r="AP18">
        <v>0.0048331538989692703</v>
      </c>
      <c r="AQ18">
        <v>0.0085744441301385099</v>
      </c>
      <c r="AR18">
        <v>0.012909599100838699</v>
      </c>
      <c r="AS18">
        <v>0.0160815523947553</v>
      </c>
      <c r="AT18">
        <v>0.016352583357347399</v>
      </c>
      <c r="AU18">
        <v>0.015857881575712201</v>
      </c>
      <c r="AV18">
        <v>0.011171578625321499</v>
      </c>
      <c r="AW18" t="s">
        <v>52</v>
      </c>
    </row>
    <row r="19" spans="1:49" ht="14.4">
      <c r="A19" t="s">
        <v>49</v>
      </c>
      <c r="B19" t="s">
        <v>9</v>
      </c>
      <c r="C19" t="s">
        <v>56</v>
      </c>
      <c r="D19" t="s">
        <v>59</v>
      </c>
      <c r="E19" t="s">
        <v>52</v>
      </c>
      <c r="F19" t="s">
        <v>254</v>
      </c>
      <c r="G19" t="s">
        <v>260</v>
      </c>
      <c r="H19" t="s">
        <v>52</v>
      </c>
      <c r="I19" t="s">
        <v>52</v>
      </c>
      <c r="J19" t="s">
        <v>52</v>
      </c>
      <c r="K19" t="s">
        <v>52</v>
      </c>
      <c r="L19">
        <v>0.0059848034186892598</v>
      </c>
      <c r="M19">
        <v>0.011780817084640899</v>
      </c>
      <c r="N19">
        <v>0.0079623413488393406</v>
      </c>
      <c r="O19">
        <v>0.017770166421951498</v>
      </c>
      <c r="P19">
        <v>0.0073156621469549401</v>
      </c>
      <c r="Q19">
        <v>0.012282320928288201</v>
      </c>
      <c r="R19">
        <v>0.0081564800524736095</v>
      </c>
      <c r="S19">
        <v>0.0150798953535089</v>
      </c>
      <c r="T19">
        <v>0.0113828283974631</v>
      </c>
      <c r="U19">
        <v>0.0093897102282499995</v>
      </c>
      <c r="V19">
        <v>0.012056867278809899</v>
      </c>
      <c r="W19">
        <v>0.0177219323508255</v>
      </c>
      <c r="X19">
        <v>0.012484202234593299</v>
      </c>
      <c r="Y19">
        <v>0.016350683167116201</v>
      </c>
      <c r="Z19">
        <v>0.0096436847582319993</v>
      </c>
      <c r="AA19">
        <v>0.015678446814958499</v>
      </c>
      <c r="AB19">
        <v>0.0099250209597574902</v>
      </c>
      <c r="AC19">
        <v>0.0088154862923351604</v>
      </c>
      <c r="AD19">
        <v>0.0282788199286036</v>
      </c>
      <c r="AE19">
        <v>0.0131335602785042</v>
      </c>
      <c r="AF19">
        <v>0.0076944718300164796</v>
      </c>
      <c r="AG19">
        <v>0.0092842662990525199</v>
      </c>
      <c r="AH19">
        <v>0.0185376095049468</v>
      </c>
      <c r="AI19">
        <v>0.0104381034555498</v>
      </c>
      <c r="AJ19">
        <v>0.013721543283188999</v>
      </c>
      <c r="AK19">
        <v>0.00803920860915734</v>
      </c>
      <c r="AL19">
        <v>0.0029331040021370702</v>
      </c>
      <c r="AM19">
        <v>0.0117797392209319</v>
      </c>
      <c r="AN19">
        <v>0.0122513665158806</v>
      </c>
      <c r="AO19">
        <v>0.010761353420575199</v>
      </c>
      <c r="AP19">
        <v>0.0046817560278282497</v>
      </c>
      <c r="AQ19">
        <v>0.0074368789095440001</v>
      </c>
      <c r="AR19">
        <v>0.0112902882876324</v>
      </c>
      <c r="AS19">
        <v>0.015832495867786602</v>
      </c>
      <c r="AT19">
        <v>0.012085741531962501</v>
      </c>
      <c r="AU19">
        <v>0.013488830426644199</v>
      </c>
      <c r="AV19">
        <v>0.0072616011709378103</v>
      </c>
      <c r="AW19" t="s">
        <v>52</v>
      </c>
    </row>
    <row r="20" spans="1:49" ht="14.4">
      <c r="A20" t="s">
        <v>49</v>
      </c>
      <c r="B20" t="s">
        <v>9</v>
      </c>
      <c r="C20" t="s">
        <v>56</v>
      </c>
      <c r="D20" t="s">
        <v>59</v>
      </c>
      <c r="E20" t="s">
        <v>52</v>
      </c>
      <c r="F20" t="s">
        <v>254</v>
      </c>
      <c r="G20" t="s">
        <v>261</v>
      </c>
      <c r="H20" t="s">
        <v>52</v>
      </c>
      <c r="I20" t="s">
        <v>52</v>
      </c>
      <c r="J20" t="s">
        <v>52</v>
      </c>
      <c r="K20" t="s">
        <v>52</v>
      </c>
      <c r="L20">
        <v>0.0059848034186892598</v>
      </c>
      <c r="M20">
        <v>0.00991664231007886</v>
      </c>
      <c r="N20">
        <v>0.0075614718625154403</v>
      </c>
      <c r="O20">
        <v>0.017770166421951498</v>
      </c>
      <c r="P20">
        <v>0.0059838939398687398</v>
      </c>
      <c r="Q20">
        <v>0.010338789110156401</v>
      </c>
      <c r="R20">
        <v>0.0070446675386751896</v>
      </c>
      <c r="S20">
        <v>0.011459274625076701</v>
      </c>
      <c r="T20">
        <v>0.0064976086695099997</v>
      </c>
      <c r="U20">
        <v>0.0093897102282499995</v>
      </c>
      <c r="V20">
        <v>0.010809644079409399</v>
      </c>
      <c r="W20">
        <v>0.0177219323508255</v>
      </c>
      <c r="X20">
        <v>0.012484202234593299</v>
      </c>
      <c r="Y20">
        <v>0.016204096674071199</v>
      </c>
      <c r="Z20">
        <v>0.0056458803956586298</v>
      </c>
      <c r="AA20">
        <v>0.011296876802297001</v>
      </c>
      <c r="AB20">
        <v>0.0099250209597574902</v>
      </c>
      <c r="AC20">
        <v>0.0077612232801897397</v>
      </c>
      <c r="AD20">
        <v>0.027995605585803801</v>
      </c>
      <c r="AE20">
        <v>0.012062826788343599</v>
      </c>
      <c r="AF20">
        <v>0.0073070884166587897</v>
      </c>
      <c r="AG20">
        <v>0.0092842662990525199</v>
      </c>
      <c r="AH20">
        <v>0.015897113072543601</v>
      </c>
      <c r="AI20">
        <v>0.0103588677074177</v>
      </c>
      <c r="AJ20">
        <v>0.013009838939551901</v>
      </c>
      <c r="AK20">
        <v>0.0065706152232219203</v>
      </c>
      <c r="AL20">
        <v>0.0029037035612631702</v>
      </c>
      <c r="AM20">
        <v>0.010552299090781</v>
      </c>
      <c r="AN20">
        <v>0.011006240755065601</v>
      </c>
      <c r="AO20">
        <v>0.010761353420575199</v>
      </c>
      <c r="AP20">
        <v>0.0043016582947847798</v>
      </c>
      <c r="AQ20">
        <v>0.0074368789095440001</v>
      </c>
      <c r="AR20">
        <v>0.0107218710510401</v>
      </c>
      <c r="AS20">
        <v>0.0142234142655487</v>
      </c>
      <c r="AT20">
        <v>0.0090735225661761603</v>
      </c>
      <c r="AU20">
        <v>0.0128477698364656</v>
      </c>
      <c r="AV20">
        <v>0.0051886343411161797</v>
      </c>
      <c r="AW20" t="s">
        <v>52</v>
      </c>
    </row>
    <row r="21" spans="1:49" ht="14.4">
      <c r="A21" t="s">
        <v>49</v>
      </c>
      <c r="B21" t="s">
        <v>9</v>
      </c>
      <c r="C21" t="s">
        <v>56</v>
      </c>
      <c r="D21" t="s">
        <v>59</v>
      </c>
      <c r="E21" t="s">
        <v>52</v>
      </c>
      <c r="F21" t="s">
        <v>254</v>
      </c>
      <c r="G21" t="s">
        <v>262</v>
      </c>
      <c r="H21" t="s">
        <v>52</v>
      </c>
      <c r="I21" t="s">
        <v>52</v>
      </c>
      <c r="J21" t="s">
        <v>52</v>
      </c>
      <c r="K21" t="s">
        <v>52</v>
      </c>
      <c r="L21">
        <v>0.0023973966957213599</v>
      </c>
      <c r="M21">
        <v>0.0089647781804402804</v>
      </c>
      <c r="N21">
        <v>0.0065004651334270797</v>
      </c>
      <c r="O21">
        <v>0.0106081681546468</v>
      </c>
      <c r="P21">
        <v>0.00403312394589307</v>
      </c>
      <c r="Q21">
        <v>0.0093464045721103495</v>
      </c>
      <c r="R21">
        <v>0.00651019685862015</v>
      </c>
      <c r="S21">
        <v>0.00920546126411575</v>
      </c>
      <c r="T21">
        <v>0.0071493454233859397</v>
      </c>
      <c r="U21">
        <v>0.0069368216555966804</v>
      </c>
      <c r="V21">
        <v>0.010809644079409399</v>
      </c>
      <c r="W21">
        <v>0.0068099725224947697</v>
      </c>
      <c r="X21">
        <v>0.0080128508579767801</v>
      </c>
      <c r="Y21">
        <v>0.0145242780377468</v>
      </c>
      <c r="Z21">
        <v>0.0054596278750131703</v>
      </c>
      <c r="AA21">
        <v>0.0067215634719197098</v>
      </c>
      <c r="AB21">
        <v>0.00618038253631213</v>
      </c>
      <c r="AC21">
        <v>0.0051816529682993497</v>
      </c>
      <c r="AD21">
        <v>0.025312848471945201</v>
      </c>
      <c r="AE21">
        <v>0.011437455210641601</v>
      </c>
      <c r="AF21">
        <v>0.0062817761334045298</v>
      </c>
      <c r="AG21">
        <v>0.00543825114772656</v>
      </c>
      <c r="AH21">
        <v>0.012705261899808</v>
      </c>
      <c r="AI21">
        <v>0.00639717240418712</v>
      </c>
      <c r="AJ21">
        <v>0.0111904525417239</v>
      </c>
      <c r="AK21">
        <v>0.0042298007781281103</v>
      </c>
      <c r="AL21">
        <v>0.00275344464840284</v>
      </c>
      <c r="AM21">
        <v>0.0078121082932049203</v>
      </c>
      <c r="AN21">
        <v>0.0095212160972628496</v>
      </c>
      <c r="AO21">
        <v>0.0085096927408361608</v>
      </c>
      <c r="AP21">
        <v>0.0029593185123942801</v>
      </c>
      <c r="AQ21">
        <v>0.0056691671983411501</v>
      </c>
      <c r="AR21">
        <v>0.0092174050501857303</v>
      </c>
      <c r="AS21">
        <v>0.0123043102433363</v>
      </c>
      <c r="AT21">
        <v>0.00544014982621776</v>
      </c>
      <c r="AU21">
        <v>0.0074386773388463298</v>
      </c>
      <c r="AV21">
        <v>0.0043657947328125399</v>
      </c>
      <c r="AW21" t="s">
        <v>52</v>
      </c>
    </row>
    <row r="22" spans="1:49" ht="14.4">
      <c r="A22" t="s">
        <v>49</v>
      </c>
      <c r="B22" t="s">
        <v>9</v>
      </c>
      <c r="C22" t="s">
        <v>56</v>
      </c>
      <c r="D22" t="s">
        <v>60</v>
      </c>
      <c r="E22" t="s">
        <v>52</v>
      </c>
      <c r="F22" t="s">
        <v>254</v>
      </c>
      <c r="G22" t="s">
        <v>255</v>
      </c>
      <c r="H22" t="s">
        <v>52</v>
      </c>
      <c r="I22" t="s">
        <v>52</v>
      </c>
      <c r="J22" t="s">
        <v>52</v>
      </c>
      <c r="K22" t="s">
        <v>52</v>
      </c>
      <c r="L22">
        <v>0.0053358007298559404</v>
      </c>
      <c r="M22">
        <v>0.0056256905354522598</v>
      </c>
      <c r="N22">
        <v>0.0028151069238729499</v>
      </c>
      <c r="O22">
        <v>0.0047636055714447298</v>
      </c>
      <c r="P22">
        <v>0.0037927589536219698</v>
      </c>
      <c r="Q22">
        <v>0.00425516344182157</v>
      </c>
      <c r="R22">
        <v>0.0047339725296001696</v>
      </c>
      <c r="S22">
        <v>0.0035629419658595699</v>
      </c>
      <c r="T22">
        <v>0.0046049016035624004</v>
      </c>
      <c r="U22">
        <v>0.0048614593192417696</v>
      </c>
      <c r="V22">
        <v>0.0044688314385498201</v>
      </c>
      <c r="W22">
        <v>0.00521120739226031</v>
      </c>
      <c r="X22">
        <v>0.0060053589470557703</v>
      </c>
      <c r="Y22">
        <v>0.0056799848400766401</v>
      </c>
      <c r="Z22">
        <v>0.0049769854567531698</v>
      </c>
      <c r="AA22">
        <v>0.00306854612928309</v>
      </c>
      <c r="AB22">
        <v>0.0026679990995484202</v>
      </c>
      <c r="AC22">
        <v>0.0053761325822648696</v>
      </c>
      <c r="AD22">
        <v>0.00526619708828251</v>
      </c>
      <c r="AE22">
        <v>0.0042216067033755602</v>
      </c>
      <c r="AF22">
        <v>0.00214201965514213</v>
      </c>
      <c r="AG22">
        <v>0.0036712522513924501</v>
      </c>
      <c r="AH22">
        <v>0.00383065015024593</v>
      </c>
      <c r="AI22">
        <v>0.0051504524285107996</v>
      </c>
      <c r="AJ22">
        <v>0.0037947037290630499</v>
      </c>
      <c r="AK22">
        <v>0.0031326587792169899</v>
      </c>
      <c r="AL22">
        <v>0.0023041500628651298</v>
      </c>
      <c r="AM22">
        <v>0.0046221830101072902</v>
      </c>
      <c r="AN22">
        <v>0.0077049729752123796</v>
      </c>
      <c r="AO22">
        <v>0.00458893570106483</v>
      </c>
      <c r="AP22">
        <v>0.0074087934223185702</v>
      </c>
      <c r="AQ22">
        <v>0.0030750228676997299</v>
      </c>
      <c r="AR22">
        <v>0.0034637810047841401</v>
      </c>
      <c r="AS22">
        <v>0.0046469993785043899</v>
      </c>
      <c r="AT22">
        <v>0.0061865565760232796</v>
      </c>
      <c r="AU22">
        <v>0.0046960707674216099</v>
      </c>
      <c r="AV22">
        <v>0.0046055530693775099</v>
      </c>
      <c r="AW22" t="s">
        <v>52</v>
      </c>
    </row>
    <row r="23" spans="1:49" ht="14.4">
      <c r="A23" t="s">
        <v>49</v>
      </c>
      <c r="B23" t="s">
        <v>9</v>
      </c>
      <c r="C23" t="s">
        <v>61</v>
      </c>
      <c r="D23" t="s">
        <v>62</v>
      </c>
      <c r="E23" t="s">
        <v>52</v>
      </c>
      <c r="F23" t="s">
        <v>254</v>
      </c>
      <c r="G23" t="s">
        <v>255</v>
      </c>
      <c r="H23" t="s">
        <v>52</v>
      </c>
      <c r="I23" t="s">
        <v>52</v>
      </c>
      <c r="J23" t="s">
        <v>52</v>
      </c>
      <c r="K23" t="s">
        <v>52</v>
      </c>
      <c r="L23">
        <v>0.0096401693011622103</v>
      </c>
      <c r="M23">
        <v>0.0030415222889943099</v>
      </c>
      <c r="N23">
        <v>0.0042581434154369702</v>
      </c>
      <c r="O23">
        <v>0.0034102939388338601</v>
      </c>
      <c r="P23">
        <v>0.0036540878403332499</v>
      </c>
      <c r="Q23">
        <v>0.0035508103674260398</v>
      </c>
      <c r="R23">
        <v>0.0031439568442420199</v>
      </c>
      <c r="S23">
        <v>0.00282814602417679</v>
      </c>
      <c r="T23">
        <v>0.0032488705943226602</v>
      </c>
      <c r="U23">
        <v>0.0028361456877566298</v>
      </c>
      <c r="V23">
        <v>0.00276541346183358</v>
      </c>
      <c r="W23">
        <v>0.0056266963289672497</v>
      </c>
      <c r="X23">
        <v>0.0038085079249353302</v>
      </c>
      <c r="Y23">
        <v>0.0026293573109243702</v>
      </c>
      <c r="Z23">
        <v>0.0046456785706277598</v>
      </c>
      <c r="AA23">
        <v>0.0030876066146761599</v>
      </c>
      <c r="AB23">
        <v>0.0027436497090527899</v>
      </c>
      <c r="AC23">
        <v>0.0029710596309351299</v>
      </c>
      <c r="AD23">
        <v>0.0022971797935458001</v>
      </c>
      <c r="AE23">
        <v>0.0024563524698412598</v>
      </c>
      <c r="AF23">
        <v>0.00375506972701621</v>
      </c>
      <c r="AG23">
        <v>0.0024095486640133101</v>
      </c>
      <c r="AH23">
        <v>0.0028929006536856398</v>
      </c>
      <c r="AI23">
        <v>0.0018737845806433399</v>
      </c>
      <c r="AJ23">
        <v>0.0079551734298874497</v>
      </c>
      <c r="AK23">
        <v>0.0052408564883108097</v>
      </c>
      <c r="AL23">
        <v>0.0040527979453475601</v>
      </c>
      <c r="AM23">
        <v>0.00333257110748839</v>
      </c>
      <c r="AN23">
        <v>0.0074120673285544801</v>
      </c>
      <c r="AO23">
        <v>0.0031582031254655</v>
      </c>
      <c r="AP23">
        <v>0.015925988068439</v>
      </c>
      <c r="AQ23">
        <v>0.0026716940978137199</v>
      </c>
      <c r="AR23">
        <v>0.0048263692079581399</v>
      </c>
      <c r="AS23">
        <v>0.00265130540461551</v>
      </c>
      <c r="AT23">
        <v>0.0023401915005250799</v>
      </c>
      <c r="AU23">
        <v>0.0036328190444342499</v>
      </c>
      <c r="AV23">
        <v>0.0020315868994864</v>
      </c>
      <c r="AW23" t="s">
        <v>52</v>
      </c>
    </row>
    <row r="24" spans="1:49" ht="14.4">
      <c r="A24" t="s">
        <v>49</v>
      </c>
      <c r="B24" t="s">
        <v>9</v>
      </c>
      <c r="C24" t="s">
        <v>61</v>
      </c>
      <c r="D24" t="s">
        <v>63</v>
      </c>
      <c r="E24" t="s">
        <v>52</v>
      </c>
      <c r="F24" t="s">
        <v>254</v>
      </c>
      <c r="G24" t="s">
        <v>255</v>
      </c>
      <c r="H24" t="s">
        <v>52</v>
      </c>
      <c r="I24" t="s">
        <v>52</v>
      </c>
      <c r="J24" t="s">
        <v>52</v>
      </c>
      <c r="K24" t="s">
        <v>52</v>
      </c>
      <c r="L24">
        <v>0.00330236288590315</v>
      </c>
      <c r="M24">
        <v>0.00031367532348014699</v>
      </c>
      <c r="N24">
        <v>0.0081355237794084601</v>
      </c>
      <c r="O24">
        <v>0.00106447799615975</v>
      </c>
      <c r="P24">
        <v>0.00053515446359399504</v>
      </c>
      <c r="Q24">
        <v>0.00031900864114235299</v>
      </c>
      <c r="R24">
        <v>0.0075016642333142003</v>
      </c>
      <c r="S24">
        <v>5.7915380213620601E-05</v>
      </c>
      <c r="T24">
        <v>0.00027938653494462702</v>
      </c>
      <c r="U24">
        <v>0.000215866298642578</v>
      </c>
      <c r="V24">
        <v>1.13004932928846E-05</v>
      </c>
      <c r="W24">
        <v>0.0024745307312944</v>
      </c>
      <c r="X24">
        <v>0.0017885701039009299</v>
      </c>
      <c r="Y24">
        <v>7.7066364963614001E-05</v>
      </c>
      <c r="Z24">
        <v>0.0021914252725928102</v>
      </c>
      <c r="AA24">
        <v>0.0040321318774958004</v>
      </c>
      <c r="AB24">
        <v>6.3675396170606604E-05</v>
      </c>
      <c r="AC24">
        <v>0.000182029993205651</v>
      </c>
      <c r="AD24">
        <v>6.6958366412724304E-05</v>
      </c>
      <c r="AE24">
        <v>0.0018281929071075</v>
      </c>
      <c r="AF24">
        <v>0.0068175809723035096</v>
      </c>
      <c r="AH24">
        <v>0.0029769779379129101</v>
      </c>
      <c r="AJ24">
        <v>0.0032922643511000302</v>
      </c>
      <c r="AK24">
        <v>0.0096533092678208407</v>
      </c>
      <c r="AL24">
        <v>0.0086615593488368996</v>
      </c>
      <c r="AM24">
        <v>0.00068788026038014299</v>
      </c>
      <c r="AN24">
        <v>0.00024065938248666799</v>
      </c>
      <c r="AO24">
        <v>3.7704132590165203E-05</v>
      </c>
      <c r="AP24">
        <v>0.00137016530675495</v>
      </c>
      <c r="AQ24">
        <v>8.1424878342299905E-05</v>
      </c>
      <c r="AR24">
        <v>0.0088705237189384608</v>
      </c>
      <c r="AS24">
        <v>0.00015883063644810401</v>
      </c>
      <c r="AT24">
        <v>0.00060158929463398803</v>
      </c>
      <c r="AU24">
        <v>0.00019404844073037401</v>
      </c>
      <c r="AV24">
        <v>0.00012129151854895301</v>
      </c>
      <c r="AW24" t="s">
        <v>52</v>
      </c>
    </row>
    <row r="25" spans="1:49" ht="14.4">
      <c r="A25" t="s">
        <v>49</v>
      </c>
      <c r="B25" t="s">
        <v>9</v>
      </c>
      <c r="C25" t="s">
        <v>61</v>
      </c>
      <c r="D25" t="s">
        <v>64</v>
      </c>
      <c r="E25" t="s">
        <v>52</v>
      </c>
      <c r="F25" t="s">
        <v>254</v>
      </c>
      <c r="G25" t="s">
        <v>257</v>
      </c>
      <c r="H25" t="s">
        <v>52</v>
      </c>
      <c r="I25" t="s">
        <v>52</v>
      </c>
      <c r="J25" t="s">
        <v>52</v>
      </c>
      <c r="K25" t="s">
        <v>52</v>
      </c>
      <c r="L25">
        <v>0.0131137676289043</v>
      </c>
      <c r="M25">
        <v>0.0511459958478288</v>
      </c>
      <c r="N25">
        <v>0.014836167164299301</v>
      </c>
      <c r="O25">
        <v>0.047088522567780698</v>
      </c>
      <c r="P25">
        <v>0.0175417265190899</v>
      </c>
      <c r="Q25">
        <v>0.055121989706262302</v>
      </c>
      <c r="R25">
        <v>0.020334626319502801</v>
      </c>
      <c r="S25">
        <v>0.0451901868098082</v>
      </c>
      <c r="T25">
        <v>0.056942728706083898</v>
      </c>
      <c r="U25">
        <v>0.0402089659044901</v>
      </c>
      <c r="V25">
        <v>0.043264963902756498</v>
      </c>
      <c r="W25">
        <v>0.031915753232030698</v>
      </c>
      <c r="X25">
        <v>0.033175662618808201</v>
      </c>
      <c r="Y25">
        <v>0.072863642561511899</v>
      </c>
      <c r="Z25">
        <v>0.053688645777055101</v>
      </c>
      <c r="AA25">
        <v>0.027390225135076201</v>
      </c>
      <c r="AB25">
        <v>0.0362625237597392</v>
      </c>
      <c r="AC25">
        <v>0.051098752735828798</v>
      </c>
      <c r="AD25">
        <v>0.101376574645691</v>
      </c>
      <c r="AE25">
        <v>0.040384525237026701</v>
      </c>
      <c r="AF25">
        <v>0.014337048025171301</v>
      </c>
      <c r="AG25">
        <v>0.034286568360683001</v>
      </c>
      <c r="AH25">
        <v>0.069501470909864096</v>
      </c>
      <c r="AI25">
        <v>0.044486294528909197</v>
      </c>
      <c r="AJ25">
        <v>0.029157722692805799</v>
      </c>
      <c r="AK25">
        <v>0.0163477645909933</v>
      </c>
      <c r="AL25">
        <v>0.0078981698470906303</v>
      </c>
      <c r="AM25">
        <v>0.057861354319047403</v>
      </c>
      <c r="AN25">
        <v>0.037931759282697097</v>
      </c>
      <c r="AO25">
        <v>0.055065929108046301</v>
      </c>
      <c r="AP25">
        <v>0.0116929418106338</v>
      </c>
      <c r="AQ25">
        <v>0.029875731701069101</v>
      </c>
      <c r="AR25">
        <v>0.0210371041669624</v>
      </c>
      <c r="AS25">
        <v>0.048250417073644303</v>
      </c>
      <c r="AT25">
        <v>0.040882287830305203</v>
      </c>
      <c r="AU25">
        <v>0.043090098600754599</v>
      </c>
      <c r="AV25">
        <v>0.045352857681419403</v>
      </c>
      <c r="AW25" t="s">
        <v>52</v>
      </c>
    </row>
    <row r="26" spans="1:49" ht="14.4">
      <c r="A26" t="s">
        <v>49</v>
      </c>
      <c r="B26" t="s">
        <v>9</v>
      </c>
      <c r="C26" t="s">
        <v>61</v>
      </c>
      <c r="D26" t="s">
        <v>64</v>
      </c>
      <c r="E26" t="s">
        <v>52</v>
      </c>
      <c r="F26" t="s">
        <v>254</v>
      </c>
      <c r="G26" t="s">
        <v>258</v>
      </c>
      <c r="H26" t="s">
        <v>52</v>
      </c>
      <c r="I26" t="s">
        <v>52</v>
      </c>
      <c r="J26" t="s">
        <v>52</v>
      </c>
      <c r="K26" t="s">
        <v>52</v>
      </c>
      <c r="L26">
        <v>0.0131137676289043</v>
      </c>
      <c r="M26">
        <v>0.048066752771376897</v>
      </c>
      <c r="N26">
        <v>0.014836167164299301</v>
      </c>
      <c r="O26">
        <v>0.047088522567780698</v>
      </c>
      <c r="P26">
        <v>0.0175417265190899</v>
      </c>
      <c r="Q26">
        <v>0.051842902296567399</v>
      </c>
      <c r="R26">
        <v>0.019325446139374099</v>
      </c>
      <c r="S26">
        <v>0.037075547729895499</v>
      </c>
      <c r="T26">
        <v>0.050682764415281599</v>
      </c>
      <c r="U26">
        <v>0.0387052583542319</v>
      </c>
      <c r="V26">
        <v>0.043264963902756498</v>
      </c>
      <c r="W26">
        <v>0.031915753232030698</v>
      </c>
      <c r="X26">
        <v>0.0300804472073972</v>
      </c>
      <c r="Y26">
        <v>0.065771110104724403</v>
      </c>
      <c r="Z26">
        <v>0.053688645777055101</v>
      </c>
      <c r="AA26">
        <v>0.028825578324047901</v>
      </c>
      <c r="AB26">
        <v>0.0362625237597392</v>
      </c>
      <c r="AC26">
        <v>0.051977601623066201</v>
      </c>
      <c r="AD26">
        <v>0.091480345025322998</v>
      </c>
      <c r="AE26">
        <v>0.038497210551517898</v>
      </c>
      <c r="AF26">
        <v>0.014337048025171301</v>
      </c>
      <c r="AG26">
        <v>0.034286568360683001</v>
      </c>
      <c r="AH26">
        <v>0.0699054099466071</v>
      </c>
      <c r="AI26">
        <v>0.044147558281851601</v>
      </c>
      <c r="AJ26">
        <v>0.029157722692805799</v>
      </c>
      <c r="AK26">
        <v>0.0163477645909933</v>
      </c>
      <c r="AL26">
        <v>0.0078850140012408192</v>
      </c>
      <c r="AM26">
        <v>0.046160272284254698</v>
      </c>
      <c r="AN26">
        <v>0.037829878650314799</v>
      </c>
      <c r="AO26">
        <v>0.040013616393288702</v>
      </c>
      <c r="AP26">
        <v>0.0108093080724787</v>
      </c>
      <c r="AQ26">
        <v>0.027121093594552802</v>
      </c>
      <c r="AR26">
        <v>0.0210371041669624</v>
      </c>
      <c r="AS26">
        <v>0.048118862179825701</v>
      </c>
      <c r="AT26">
        <v>0.040882287830305203</v>
      </c>
      <c r="AU26">
        <v>0.036479459339563598</v>
      </c>
      <c r="AV26">
        <v>0.0475690563296624</v>
      </c>
      <c r="AW26" t="s">
        <v>52</v>
      </c>
    </row>
    <row r="27" spans="1:49" ht="14.4">
      <c r="A27" t="s">
        <v>49</v>
      </c>
      <c r="B27" t="s">
        <v>9</v>
      </c>
      <c r="C27" t="s">
        <v>61</v>
      </c>
      <c r="D27" t="s">
        <v>64</v>
      </c>
      <c r="E27" t="s">
        <v>52</v>
      </c>
      <c r="F27" t="s">
        <v>254</v>
      </c>
      <c r="G27" t="s">
        <v>259</v>
      </c>
      <c r="H27" t="s">
        <v>52</v>
      </c>
      <c r="I27" t="s">
        <v>52</v>
      </c>
      <c r="J27" t="s">
        <v>52</v>
      </c>
      <c r="K27" t="s">
        <v>52</v>
      </c>
      <c r="L27">
        <v>0.0131137676289043</v>
      </c>
      <c r="M27">
        <v>0.037759791325544301</v>
      </c>
      <c r="N27">
        <v>0.014836167164299301</v>
      </c>
      <c r="O27">
        <v>0.047088522567780698</v>
      </c>
      <c r="P27">
        <v>0.016527601530419</v>
      </c>
      <c r="Q27">
        <v>0.040681870918489398</v>
      </c>
      <c r="R27">
        <v>0.0193034666445644</v>
      </c>
      <c r="S27">
        <v>0.037075547729895499</v>
      </c>
      <c r="T27">
        <v>0.031722685695914701</v>
      </c>
      <c r="U27">
        <v>0.0258958991930766</v>
      </c>
      <c r="V27">
        <v>0.035066754554904697</v>
      </c>
      <c r="W27">
        <v>0.031915753232030698</v>
      </c>
      <c r="X27">
        <v>0.0300804472073972</v>
      </c>
      <c r="Y27">
        <v>0.053919939974217103</v>
      </c>
      <c r="Z27">
        <v>0.024597627973761901</v>
      </c>
      <c r="AA27">
        <v>0.025940092427612998</v>
      </c>
      <c r="AB27">
        <v>0.031627861734114603</v>
      </c>
      <c r="AC27">
        <v>0.043210895504617403</v>
      </c>
      <c r="AD27">
        <v>0.074983828617065498</v>
      </c>
      <c r="AE27">
        <v>0.036350518648653601</v>
      </c>
      <c r="AF27">
        <v>0.014337048025171301</v>
      </c>
      <c r="AG27">
        <v>0.022069173637654899</v>
      </c>
      <c r="AH27">
        <v>0.038475607914846097</v>
      </c>
      <c r="AI27">
        <v>0.040924387673671403</v>
      </c>
      <c r="AJ27">
        <v>0.029157722692805799</v>
      </c>
      <c r="AK27">
        <v>0.015395285994425899</v>
      </c>
      <c r="AL27">
        <v>0.0067946142280909203</v>
      </c>
      <c r="AM27">
        <v>0.044317570329077301</v>
      </c>
      <c r="AN27">
        <v>0.025650985055915801</v>
      </c>
      <c r="AO27">
        <v>0.028813786998474401</v>
      </c>
      <c r="AP27">
        <v>0.010584869662796601</v>
      </c>
      <c r="AQ27">
        <v>0.027121093594552802</v>
      </c>
      <c r="AR27">
        <v>0.0210371041669624</v>
      </c>
      <c r="AS27">
        <v>0.032686599456826698</v>
      </c>
      <c r="AT27">
        <v>0.037224286511368103</v>
      </c>
      <c r="AU27">
        <v>0.036479459339563598</v>
      </c>
      <c r="AV27">
        <v>0.036601650333104599</v>
      </c>
      <c r="AW27" t="s">
        <v>52</v>
      </c>
    </row>
    <row r="28" spans="1:49" ht="14.4">
      <c r="A28" t="s">
        <v>49</v>
      </c>
      <c r="B28" t="s">
        <v>9</v>
      </c>
      <c r="C28" t="s">
        <v>61</v>
      </c>
      <c r="D28" t="s">
        <v>64</v>
      </c>
      <c r="E28" t="s">
        <v>52</v>
      </c>
      <c r="F28" t="s">
        <v>254</v>
      </c>
      <c r="G28" t="s">
        <v>260</v>
      </c>
      <c r="H28" t="s">
        <v>52</v>
      </c>
      <c r="I28" t="s">
        <v>52</v>
      </c>
      <c r="J28" t="s">
        <v>52</v>
      </c>
      <c r="K28" t="s">
        <v>52</v>
      </c>
      <c r="L28">
        <v>0.012706431679567899</v>
      </c>
      <c r="M28">
        <v>0.025729751367853802</v>
      </c>
      <c r="N28">
        <v>0.0127981724106451</v>
      </c>
      <c r="O28">
        <v>0.039651635523151603</v>
      </c>
      <c r="P28">
        <v>0.0142115733330943</v>
      </c>
      <c r="Q28">
        <v>0.027688810782444302</v>
      </c>
      <c r="R28">
        <v>0.0186642210138903</v>
      </c>
      <c r="S28">
        <v>0.032838127711735901</v>
      </c>
      <c r="T28">
        <v>0.024363123493605299</v>
      </c>
      <c r="U28">
        <v>0.021563683380741799</v>
      </c>
      <c r="V28">
        <v>0.026423333676229999</v>
      </c>
      <c r="W28">
        <v>0.030952744147715799</v>
      </c>
      <c r="X28">
        <v>0.019615290525966299</v>
      </c>
      <c r="Y28">
        <v>0.044159950430049603</v>
      </c>
      <c r="Z28">
        <v>0.020908265659498701</v>
      </c>
      <c r="AA28">
        <v>0.025940092427612998</v>
      </c>
      <c r="AB28">
        <v>0.023589938333096899</v>
      </c>
      <c r="AC28">
        <v>0.027941655303521499</v>
      </c>
      <c r="AD28">
        <v>0.061411610415876297</v>
      </c>
      <c r="AE28">
        <v>0.028899396432420298</v>
      </c>
      <c r="AF28">
        <v>0.012367615601378</v>
      </c>
      <c r="AG28">
        <v>0.022069173637654899</v>
      </c>
      <c r="AH28">
        <v>0.032556930606979999</v>
      </c>
      <c r="AI28">
        <v>0.0233409883873981</v>
      </c>
      <c r="AJ28">
        <v>0.025002602833604001</v>
      </c>
      <c r="AK28">
        <v>0.0132230576384656</v>
      </c>
      <c r="AL28">
        <v>0.00614698601456342</v>
      </c>
      <c r="AM28">
        <v>0.028677654668520899</v>
      </c>
      <c r="AN28">
        <v>0.025394544706047899</v>
      </c>
      <c r="AO28">
        <v>0.028813786998474401</v>
      </c>
      <c r="AP28">
        <v>0.0103073791870036</v>
      </c>
      <c r="AQ28">
        <v>0.023260763177516599</v>
      </c>
      <c r="AR28">
        <v>0.018147307398729998</v>
      </c>
      <c r="AS28">
        <v>0.032355575632725002</v>
      </c>
      <c r="AT28">
        <v>0.0291267429387033</v>
      </c>
      <c r="AU28">
        <v>0.031279398063906699</v>
      </c>
      <c r="AV28">
        <v>0.021537147692926199</v>
      </c>
      <c r="AW28" t="s">
        <v>52</v>
      </c>
    </row>
    <row r="29" spans="1:49" ht="14.4">
      <c r="A29" t="s">
        <v>49</v>
      </c>
      <c r="B29" t="s">
        <v>9</v>
      </c>
      <c r="C29" t="s">
        <v>61</v>
      </c>
      <c r="D29" t="s">
        <v>64</v>
      </c>
      <c r="E29" t="s">
        <v>52</v>
      </c>
      <c r="F29" t="s">
        <v>254</v>
      </c>
      <c r="G29" t="s">
        <v>261</v>
      </c>
      <c r="H29" t="s">
        <v>52</v>
      </c>
      <c r="I29" t="s">
        <v>52</v>
      </c>
      <c r="J29" t="s">
        <v>52</v>
      </c>
      <c r="K29" t="s">
        <v>52</v>
      </c>
      <c r="L29">
        <v>0.012706431679567899</v>
      </c>
      <c r="M29">
        <v>0.022061439520773</v>
      </c>
      <c r="N29">
        <v>0.0120839392125898</v>
      </c>
      <c r="O29">
        <v>0.039651635523151603</v>
      </c>
      <c r="P29">
        <v>0.0110398586123389</v>
      </c>
      <c r="Q29">
        <v>0.0237482429412007</v>
      </c>
      <c r="R29">
        <v>0.0173013999600296</v>
      </c>
      <c r="S29">
        <v>0.024847261558901601</v>
      </c>
      <c r="T29">
        <v>0.0145170918709756</v>
      </c>
      <c r="U29">
        <v>0.021563683380741799</v>
      </c>
      <c r="V29">
        <v>0.022536889602733302</v>
      </c>
      <c r="W29">
        <v>0.030952744147715799</v>
      </c>
      <c r="X29">
        <v>0.019615290525966299</v>
      </c>
      <c r="Y29">
        <v>0.043525692992611997</v>
      </c>
      <c r="Z29">
        <v>0.0122517297196064</v>
      </c>
      <c r="AA29">
        <v>0.018497521521377</v>
      </c>
      <c r="AB29">
        <v>0.023589938333096899</v>
      </c>
      <c r="AC29">
        <v>0.024045092342076801</v>
      </c>
      <c r="AD29">
        <v>0.060527150799806202</v>
      </c>
      <c r="AE29">
        <v>0.026795522379135399</v>
      </c>
      <c r="AF29">
        <v>0.0116774106752478</v>
      </c>
      <c r="AG29">
        <v>0.022069173637654899</v>
      </c>
      <c r="AH29">
        <v>0.028008284929148398</v>
      </c>
      <c r="AI29">
        <v>0.022863792408700401</v>
      </c>
      <c r="AJ29">
        <v>0.023527269053031999</v>
      </c>
      <c r="AK29">
        <v>0.0102273845269639</v>
      </c>
      <c r="AL29">
        <v>0.0060224940517223701</v>
      </c>
      <c r="AM29">
        <v>0.025789602037917199</v>
      </c>
      <c r="AN29">
        <v>0.022697436349307699</v>
      </c>
      <c r="AO29">
        <v>0.028813786998474401</v>
      </c>
      <c r="AP29">
        <v>0.0095785472573775704</v>
      </c>
      <c r="AQ29">
        <v>0.023260763177516599</v>
      </c>
      <c r="AR29">
        <v>0.017134552687853698</v>
      </c>
      <c r="AS29">
        <v>0.0289298689026108</v>
      </c>
      <c r="AT29">
        <v>0.020659410597322202</v>
      </c>
      <c r="AU29">
        <v>0.028151683972501299</v>
      </c>
      <c r="AV29">
        <v>0.016478947796157498</v>
      </c>
      <c r="AW29" t="s">
        <v>52</v>
      </c>
    </row>
    <row r="30" spans="1:49" ht="14.4">
      <c r="A30" t="s">
        <v>49</v>
      </c>
      <c r="B30" t="s">
        <v>9</v>
      </c>
      <c r="C30" t="s">
        <v>61</v>
      </c>
      <c r="D30" t="s">
        <v>64</v>
      </c>
      <c r="E30" t="s">
        <v>52</v>
      </c>
      <c r="F30" t="s">
        <v>254</v>
      </c>
      <c r="G30" t="s">
        <v>262</v>
      </c>
      <c r="H30" t="s">
        <v>52</v>
      </c>
      <c r="I30" t="s">
        <v>52</v>
      </c>
      <c r="J30" t="s">
        <v>52</v>
      </c>
      <c r="K30" t="s">
        <v>52</v>
      </c>
      <c r="L30">
        <v>0.0045375000542220998</v>
      </c>
      <c r="M30">
        <v>0.019275440265662799</v>
      </c>
      <c r="N30">
        <v>0.010524796046342899</v>
      </c>
      <c r="O30">
        <v>0.0232129835471712</v>
      </c>
      <c r="P30">
        <v>0.0075046921478922699</v>
      </c>
      <c r="Q30">
        <v>0.020729087314293401</v>
      </c>
      <c r="R30">
        <v>0.0143200403058332</v>
      </c>
      <c r="S30">
        <v>0.019541419109130601</v>
      </c>
      <c r="T30">
        <v>0.015706077630989999</v>
      </c>
      <c r="U30">
        <v>0.0154728847471451</v>
      </c>
      <c r="V30">
        <v>0.022536889602733302</v>
      </c>
      <c r="W30">
        <v>0.0110338689939075</v>
      </c>
      <c r="X30">
        <v>0.013060898786311099</v>
      </c>
      <c r="Y30">
        <v>0.038986089231661601</v>
      </c>
      <c r="Z30">
        <v>0.0118549894061894</v>
      </c>
      <c r="AA30">
        <v>0.011631408421087499</v>
      </c>
      <c r="AB30">
        <v>0.014432789146392601</v>
      </c>
      <c r="AC30">
        <v>0.015172218892261899</v>
      </c>
      <c r="AD30">
        <v>0.054212330418214702</v>
      </c>
      <c r="AE30">
        <v>0.026018573734932202</v>
      </c>
      <c r="AF30">
        <v>0.010170720287828301</v>
      </c>
      <c r="AG30">
        <v>0.012651995992278399</v>
      </c>
      <c r="AH30">
        <v>0.0226220982166788</v>
      </c>
      <c r="AI30">
        <v>0.0140862220788828</v>
      </c>
      <c r="AJ30">
        <v>0.020544978004433299</v>
      </c>
      <c r="AK30">
        <v>0.0069508974761988097</v>
      </c>
      <c r="AL30">
        <v>0.0057951457846353999</v>
      </c>
      <c r="AM30">
        <v>0.0178733516334861</v>
      </c>
      <c r="AN30">
        <v>0.020730322227651199</v>
      </c>
      <c r="AO30">
        <v>0.022664164165627099</v>
      </c>
      <c r="AP30">
        <v>0.0063944258358742904</v>
      </c>
      <c r="AQ30">
        <v>0.018767063051203101</v>
      </c>
      <c r="AR30">
        <v>0.014923748722361199</v>
      </c>
      <c r="AS30">
        <v>0.0263904996542072</v>
      </c>
      <c r="AT30">
        <v>0.011464475031722999</v>
      </c>
      <c r="AU30">
        <v>0.017061767537593701</v>
      </c>
      <c r="AV30">
        <v>0.0137187975561816</v>
      </c>
      <c r="AW30" t="s">
        <v>52</v>
      </c>
    </row>
    <row r="31" spans="1:49" ht="14.4">
      <c r="A31" t="s">
        <v>49</v>
      </c>
      <c r="B31" t="s">
        <v>9</v>
      </c>
      <c r="C31" t="s">
        <v>61</v>
      </c>
      <c r="D31" t="s">
        <v>65</v>
      </c>
      <c r="E31" t="s">
        <v>52</v>
      </c>
      <c r="F31" t="s">
        <v>254</v>
      </c>
      <c r="G31" t="s">
        <v>255</v>
      </c>
      <c r="H31" t="s">
        <v>52</v>
      </c>
      <c r="I31" t="s">
        <v>52</v>
      </c>
      <c r="J31" t="s">
        <v>52</v>
      </c>
      <c r="K31" t="s">
        <v>52</v>
      </c>
      <c r="L31">
        <v>0.0106716014597119</v>
      </c>
      <c r="M31">
        <v>0.011251381070904501</v>
      </c>
      <c r="N31">
        <v>0.0056302138477458902</v>
      </c>
      <c r="O31">
        <v>0.0095272111428894597</v>
      </c>
      <c r="P31">
        <v>0.0075855179072439301</v>
      </c>
      <c r="Q31">
        <v>0.0085103268836431399</v>
      </c>
      <c r="R31">
        <v>0.0094679450592003497</v>
      </c>
      <c r="S31">
        <v>0.0071258839317191397</v>
      </c>
      <c r="T31">
        <v>0.0092098032071248094</v>
      </c>
      <c r="U31">
        <v>0.0097229186384835391</v>
      </c>
      <c r="V31">
        <v>0.0089376628770996402</v>
      </c>
      <c r="W31">
        <v>0.010422414784520599</v>
      </c>
      <c r="X31">
        <v>0.012010717894111501</v>
      </c>
      <c r="Y31">
        <v>0.011359969680153299</v>
      </c>
      <c r="Z31">
        <v>0.0099539709135063395</v>
      </c>
      <c r="AA31">
        <v>0.0061370922585661696</v>
      </c>
      <c r="AB31">
        <v>0.00533599819909683</v>
      </c>
      <c r="AC31">
        <v>0.010752265164529699</v>
      </c>
      <c r="AD31">
        <v>0.010532394176564999</v>
      </c>
      <c r="AE31">
        <v>0.0084432134067511204</v>
      </c>
      <c r="AF31">
        <v>0.0042840393102842704</v>
      </c>
      <c r="AG31">
        <v>0.0073425045027849098</v>
      </c>
      <c r="AH31">
        <v>0.0076613003004918599</v>
      </c>
      <c r="AI31">
        <v>0.010300904857021599</v>
      </c>
      <c r="AJ31">
        <v>0.0075894074581261102</v>
      </c>
      <c r="AK31">
        <v>0.0062653175584339704</v>
      </c>
      <c r="AL31">
        <v>0.0046083001257302501</v>
      </c>
      <c r="AM31">
        <v>0.0092443660202145804</v>
      </c>
      <c r="AN31">
        <v>0.015409945950424799</v>
      </c>
      <c r="AO31">
        <v>0.0091778714021296705</v>
      </c>
      <c r="AP31">
        <v>0.0148175868446371</v>
      </c>
      <c r="AQ31">
        <v>0.0061500457353994703</v>
      </c>
      <c r="AR31">
        <v>0.0069275620095682897</v>
      </c>
      <c r="AS31">
        <v>0.0092939987570087694</v>
      </c>
      <c r="AT31">
        <v>0.012373113152046601</v>
      </c>
      <c r="AU31">
        <v>0.0093921415348432093</v>
      </c>
      <c r="AV31">
        <v>0.0092111061387550198</v>
      </c>
      <c r="AW31" t="s">
        <v>52</v>
      </c>
    </row>
    <row r="32" spans="1:49" ht="14.4">
      <c r="A32" t="s">
        <v>49</v>
      </c>
      <c r="B32" t="s">
        <v>11</v>
      </c>
      <c r="C32" t="s">
        <v>50</v>
      </c>
      <c r="D32" t="s">
        <v>52</v>
      </c>
      <c r="E32" t="s">
        <v>52</v>
      </c>
      <c r="F32" t="s">
        <v>52</v>
      </c>
      <c r="G32" t="s">
        <v>257</v>
      </c>
      <c r="H32" t="s">
        <v>52</v>
      </c>
      <c r="I32" t="s">
        <v>52</v>
      </c>
      <c r="J32" t="s">
        <v>52</v>
      </c>
      <c r="K32" t="s">
        <v>52</v>
      </c>
      <c r="L32">
        <v>7.1060888712241397</v>
      </c>
      <c r="M32">
        <v>244.728938699097</v>
      </c>
      <c r="N32">
        <v>29.1075161543497</v>
      </c>
      <c r="O32">
        <v>376.060486524216</v>
      </c>
      <c r="P32">
        <v>87.260262363001999</v>
      </c>
      <c r="Q32">
        <v>202.87574694946099</v>
      </c>
      <c r="R32">
        <v>3.20376134917406</v>
      </c>
      <c r="S32">
        <v>247.83001714924399</v>
      </c>
      <c r="T32">
        <v>1672.68283163193</v>
      </c>
      <c r="U32">
        <v>358.06514760756801</v>
      </c>
      <c r="V32">
        <v>20.940127776042502</v>
      </c>
      <c r="W32">
        <v>60.668506255746202</v>
      </c>
      <c r="X32">
        <v>127.039848002768</v>
      </c>
      <c r="Y32">
        <v>111.650230725554</v>
      </c>
      <c r="Z32">
        <v>1676.3358896187999</v>
      </c>
      <c r="AA32">
        <v>94.298145039859406</v>
      </c>
      <c r="AB32">
        <v>293.18281213521198</v>
      </c>
      <c r="AC32">
        <v>78.4192740181511</v>
      </c>
      <c r="AD32">
        <v>6.1429929449196701</v>
      </c>
      <c r="AE32">
        <v>508.827786899047</v>
      </c>
      <c r="AF32">
        <v>17.1341199132338</v>
      </c>
      <c r="AG32">
        <v>67.066682592128998</v>
      </c>
      <c r="AH32">
        <v>14.8103993517646</v>
      </c>
      <c r="AI32">
        <v>38.565279561532797</v>
      </c>
      <c r="AJ32">
        <v>5.5810510836935796</v>
      </c>
      <c r="AK32">
        <v>16.468824362270102</v>
      </c>
      <c r="AL32">
        <v>0.77894954316550202</v>
      </c>
      <c r="AM32">
        <v>144.57043395471001</v>
      </c>
      <c r="AN32">
        <v>88.2665296328761</v>
      </c>
      <c r="AO32">
        <v>680.48064779497702</v>
      </c>
      <c r="AP32">
        <v>55.552390290687399</v>
      </c>
      <c r="AQ32">
        <v>218.45730286903299</v>
      </c>
      <c r="AR32">
        <v>86.003989705101603</v>
      </c>
      <c r="AS32">
        <v>380.67209163992197</v>
      </c>
      <c r="AT32">
        <v>62.074832529094799</v>
      </c>
      <c r="AU32">
        <v>104.06477940104401</v>
      </c>
      <c r="AV32">
        <v>1548.85139511387</v>
      </c>
      <c r="AW32" t="s">
        <v>52</v>
      </c>
    </row>
    <row r="33" spans="1:49" ht="14.4">
      <c r="A33" t="s">
        <v>49</v>
      </c>
      <c r="B33" t="s">
        <v>11</v>
      </c>
      <c r="C33" t="s">
        <v>50</v>
      </c>
      <c r="D33" t="s">
        <v>52</v>
      </c>
      <c r="E33" t="s">
        <v>52</v>
      </c>
      <c r="F33" t="s">
        <v>52</v>
      </c>
      <c r="G33" t="s">
        <v>258</v>
      </c>
      <c r="H33" t="s">
        <v>52</v>
      </c>
      <c r="I33" t="s">
        <v>52</v>
      </c>
      <c r="J33" t="s">
        <v>52</v>
      </c>
      <c r="K33" t="s">
        <v>52</v>
      </c>
      <c r="L33">
        <v>25.861613876731401</v>
      </c>
      <c r="M33">
        <v>295.27190550464297</v>
      </c>
      <c r="N33">
        <v>66.455661529947903</v>
      </c>
      <c r="O33">
        <v>208.922492420065</v>
      </c>
      <c r="P33">
        <v>180.64217892773499</v>
      </c>
      <c r="Q33">
        <v>244.77492813425999</v>
      </c>
      <c r="R33">
        <v>10.674429380949601</v>
      </c>
      <c r="S33">
        <v>336.591459192711</v>
      </c>
      <c r="T33">
        <v>2538.9735799197201</v>
      </c>
      <c r="U33">
        <v>260.00650286617201</v>
      </c>
      <c r="V33">
        <v>30.9559619822308</v>
      </c>
      <c r="W33">
        <v>220.79452026243601</v>
      </c>
      <c r="X33">
        <v>225.830435548124</v>
      </c>
      <c r="Y33">
        <v>204.21026210127201</v>
      </c>
      <c r="Z33">
        <v>1133.79500277124</v>
      </c>
      <c r="AA33">
        <v>171.33427438973399</v>
      </c>
      <c r="AB33">
        <v>395.01158653862899</v>
      </c>
      <c r="AC33">
        <v>71.157683020458407</v>
      </c>
      <c r="AD33">
        <v>11.235643591743999</v>
      </c>
      <c r="AE33">
        <v>713.73549839862005</v>
      </c>
      <c r="AF33">
        <v>39.119080705113603</v>
      </c>
      <c r="AG33">
        <v>71.672234337955601</v>
      </c>
      <c r="AH33">
        <v>13.6218918170468</v>
      </c>
      <c r="AI33">
        <v>46.771100327471899</v>
      </c>
      <c r="AJ33">
        <v>12.742153601583199</v>
      </c>
      <c r="AK33">
        <v>34.093002205320197</v>
      </c>
      <c r="AL33">
        <v>0.81665532170306498</v>
      </c>
      <c r="AM33">
        <v>162.71433930297201</v>
      </c>
      <c r="AN33">
        <v>117.429418498936</v>
      </c>
      <c r="AO33">
        <v>755.06274448196598</v>
      </c>
      <c r="AP33">
        <v>75.148461890449397</v>
      </c>
      <c r="AQ33">
        <v>632.987851715744</v>
      </c>
      <c r="AR33">
        <v>196.35656988936401</v>
      </c>
      <c r="AS33">
        <v>345.239517639224</v>
      </c>
      <c r="AT33">
        <v>41.492685427550498</v>
      </c>
      <c r="AU33">
        <v>133.70725975459399</v>
      </c>
      <c r="AV33">
        <v>974.58960667921701</v>
      </c>
      <c r="AW33" t="s">
        <v>52</v>
      </c>
    </row>
    <row r="34" spans="1:49" ht="14.4">
      <c r="A34" t="s">
        <v>49</v>
      </c>
      <c r="B34" t="s">
        <v>11</v>
      </c>
      <c r="C34" t="s">
        <v>238</v>
      </c>
      <c r="D34" t="s">
        <v>52</v>
      </c>
      <c r="E34" t="s">
        <v>52</v>
      </c>
      <c r="F34" t="s">
        <v>52</v>
      </c>
      <c r="G34" t="s">
        <v>259</v>
      </c>
      <c r="H34" t="s">
        <v>52</v>
      </c>
      <c r="I34" t="s">
        <v>52</v>
      </c>
      <c r="J34" t="s">
        <v>52</v>
      </c>
      <c r="K34" t="s">
        <v>52</v>
      </c>
      <c r="L34">
        <v>20.606959007251501</v>
      </c>
      <c r="M34">
        <v>151.92494499666299</v>
      </c>
      <c r="N34">
        <v>49.616283038400397</v>
      </c>
      <c r="O34">
        <v>113.066291408395</v>
      </c>
      <c r="P34">
        <v>104.734532605505</v>
      </c>
      <c r="Q34">
        <v>125.942959015363</v>
      </c>
      <c r="R34">
        <v>14.4502726853793</v>
      </c>
      <c r="S34">
        <v>137.919270294802</v>
      </c>
      <c r="T34">
        <v>1308.7090807244799</v>
      </c>
      <c r="U34">
        <v>160.60969552325699</v>
      </c>
      <c r="V34">
        <v>24.045370170485299</v>
      </c>
      <c r="W34">
        <v>175.93270279885701</v>
      </c>
      <c r="X34">
        <v>186.45602003573299</v>
      </c>
      <c r="Y34">
        <v>162.21315907568899</v>
      </c>
      <c r="Z34">
        <v>1252.36999350114</v>
      </c>
      <c r="AA34">
        <v>132.34861543181299</v>
      </c>
      <c r="AB34">
        <v>236.90752942957599</v>
      </c>
      <c r="AC34">
        <v>60.133431237365997</v>
      </c>
      <c r="AD34">
        <v>8.92496401753532</v>
      </c>
      <c r="AE34">
        <v>403.80456887207799</v>
      </c>
      <c r="AF34">
        <v>29.206591820506802</v>
      </c>
      <c r="AG34">
        <v>47.179043328148303</v>
      </c>
      <c r="AH34">
        <v>7.3560417286278499</v>
      </c>
      <c r="AI34">
        <v>37.812350741585099</v>
      </c>
      <c r="AJ34">
        <v>9.51338509105085</v>
      </c>
      <c r="AK34">
        <v>19.766782444099601</v>
      </c>
      <c r="AL34">
        <v>0.53660700198845002</v>
      </c>
      <c r="AM34">
        <v>100.251318866814</v>
      </c>
      <c r="AN34">
        <v>75.379176457848104</v>
      </c>
      <c r="AO34">
        <v>433.94372960419003</v>
      </c>
      <c r="AP34">
        <v>84.219719420740603</v>
      </c>
      <c r="AQ34">
        <v>456.669181371972</v>
      </c>
      <c r="AR34">
        <v>146.60125147786999</v>
      </c>
      <c r="AS34">
        <v>187.86913597220499</v>
      </c>
      <c r="AT34">
        <v>35.720098690027797</v>
      </c>
      <c r="AU34">
        <v>54.728975273093198</v>
      </c>
      <c r="AV34">
        <v>428.16240396679302</v>
      </c>
      <c r="AW34" t="s">
        <v>52</v>
      </c>
    </row>
    <row r="35" spans="1:49" ht="14.4">
      <c r="A35" t="s">
        <v>49</v>
      </c>
      <c r="B35" t="s">
        <v>11</v>
      </c>
      <c r="C35" t="s">
        <v>238</v>
      </c>
      <c r="D35" t="s">
        <v>52</v>
      </c>
      <c r="E35" t="s">
        <v>52</v>
      </c>
      <c r="F35" t="s">
        <v>52</v>
      </c>
      <c r="G35" t="s">
        <v>260</v>
      </c>
      <c r="H35" t="s">
        <v>52</v>
      </c>
      <c r="I35" t="s">
        <v>52</v>
      </c>
      <c r="J35" t="s">
        <v>52</v>
      </c>
      <c r="K35" t="s">
        <v>52</v>
      </c>
      <c r="L35">
        <v>15.774387907230899</v>
      </c>
      <c r="M35">
        <v>120.54340766726899</v>
      </c>
      <c r="N35">
        <v>41.933569844009497</v>
      </c>
      <c r="O35">
        <v>113.066291408395</v>
      </c>
      <c r="P35">
        <v>98.695124628582704</v>
      </c>
      <c r="Q35">
        <v>99.928247146935504</v>
      </c>
      <c r="R35">
        <v>20.860764410120499</v>
      </c>
      <c r="S35">
        <v>159.86160308350699</v>
      </c>
      <c r="T35">
        <v>912.14145381840399</v>
      </c>
      <c r="U35">
        <v>65.784462570504999</v>
      </c>
      <c r="V35">
        <v>22.613386062675399</v>
      </c>
      <c r="W35">
        <v>134.67444170389999</v>
      </c>
      <c r="X35">
        <v>118.13656236797</v>
      </c>
      <c r="Y35">
        <v>128.53246834783101</v>
      </c>
      <c r="Z35">
        <v>922.92144269410505</v>
      </c>
      <c r="AA35">
        <v>104.928117753444</v>
      </c>
      <c r="AB35">
        <v>322.05482306960499</v>
      </c>
      <c r="AC35">
        <v>52.333780651589898</v>
      </c>
      <c r="AD35">
        <v>7.0718532431399703</v>
      </c>
      <c r="AE35">
        <v>292.52111310299199</v>
      </c>
      <c r="AF35">
        <v>24.6841678378611</v>
      </c>
      <c r="AG35">
        <v>47.179043328148303</v>
      </c>
      <c r="AH35">
        <v>5.7173903406803399</v>
      </c>
      <c r="AI35">
        <v>36.500011475123699</v>
      </c>
      <c r="AJ35">
        <v>8.0403080146045607</v>
      </c>
      <c r="AK35">
        <v>18.626951477166902</v>
      </c>
      <c r="AL35">
        <v>0.616376579101101</v>
      </c>
      <c r="AM35">
        <v>97.511531668585206</v>
      </c>
      <c r="AN35">
        <v>63.401944480743602</v>
      </c>
      <c r="AO35">
        <v>448.60135533899398</v>
      </c>
      <c r="AP35">
        <v>71.982216618097794</v>
      </c>
      <c r="AQ35">
        <v>624.76474677037004</v>
      </c>
      <c r="AR35">
        <v>123.90113570798199</v>
      </c>
      <c r="AS35">
        <v>129.419261606547</v>
      </c>
      <c r="AT35">
        <v>19.404940788077301</v>
      </c>
      <c r="AU35">
        <v>63.484777969432301</v>
      </c>
      <c r="AV35">
        <v>303.99210417641899</v>
      </c>
      <c r="AW35" t="s">
        <v>52</v>
      </c>
    </row>
    <row r="36" spans="1:49" ht="14.4">
      <c r="A36" t="s">
        <v>49</v>
      </c>
      <c r="B36" t="s">
        <v>11</v>
      </c>
      <c r="C36" t="s">
        <v>238</v>
      </c>
      <c r="D36" t="s">
        <v>52</v>
      </c>
      <c r="E36" t="s">
        <v>52</v>
      </c>
      <c r="F36" t="s">
        <v>52</v>
      </c>
      <c r="G36" t="s">
        <v>261</v>
      </c>
      <c r="H36" t="s">
        <v>52</v>
      </c>
      <c r="I36" t="s">
        <v>52</v>
      </c>
      <c r="J36" t="s">
        <v>52</v>
      </c>
      <c r="K36" t="s">
        <v>52</v>
      </c>
      <c r="L36">
        <v>10.6121962776984</v>
      </c>
      <c r="M36">
        <v>143.870845978321</v>
      </c>
      <c r="N36">
        <v>20.553204563272701</v>
      </c>
      <c r="O36">
        <v>83.286956670148896</v>
      </c>
      <c r="P36">
        <v>56.998205552704697</v>
      </c>
      <c r="Q36">
        <v>119.266260448219</v>
      </c>
      <c r="R36">
        <v>17.987548650858098</v>
      </c>
      <c r="S36">
        <v>82.519377737161605</v>
      </c>
      <c r="T36">
        <v>839.50054556575697</v>
      </c>
      <c r="U36">
        <v>65.836609892093406</v>
      </c>
      <c r="V36">
        <v>7.3370537714334496</v>
      </c>
      <c r="W36">
        <v>90.602032697325797</v>
      </c>
      <c r="X36">
        <v>116.97492460196</v>
      </c>
      <c r="Y36">
        <v>93.848682411488397</v>
      </c>
      <c r="Z36">
        <v>555.95651360638396</v>
      </c>
      <c r="AA36">
        <v>56.1645465467736</v>
      </c>
      <c r="AB36">
        <v>132.83257396412</v>
      </c>
      <c r="AC36">
        <v>67.997343026040298</v>
      </c>
      <c r="AD36">
        <v>5.1635521950769103</v>
      </c>
      <c r="AE36">
        <v>108.231714560828</v>
      </c>
      <c r="AF36">
        <v>12.0986301174211</v>
      </c>
      <c r="AG36">
        <v>14.6711592678598</v>
      </c>
      <c r="AH36">
        <v>4.5488610217862204</v>
      </c>
      <c r="AI36">
        <v>11.425109521226</v>
      </c>
      <c r="AJ36">
        <v>3.9408544512338</v>
      </c>
      <c r="AK36">
        <v>10.7573987378941</v>
      </c>
      <c r="AL36">
        <v>0.59693101520703595</v>
      </c>
      <c r="AM36">
        <v>86.021987473322497</v>
      </c>
      <c r="AN36">
        <v>69.830033543698406</v>
      </c>
      <c r="AO36">
        <v>448.60135533899398</v>
      </c>
      <c r="AP36">
        <v>78.393356583245307</v>
      </c>
      <c r="AQ36">
        <v>86.036626743798394</v>
      </c>
      <c r="AR36">
        <v>60.728561801464302</v>
      </c>
      <c r="AS36">
        <v>105.966750773519</v>
      </c>
      <c r="AT36">
        <v>19.404940788077301</v>
      </c>
      <c r="AU36">
        <v>33.777188329420902</v>
      </c>
      <c r="AV36">
        <v>303.99210417641899</v>
      </c>
      <c r="AW36" t="s">
        <v>52</v>
      </c>
    </row>
    <row r="37" spans="1:49" ht="14.4">
      <c r="A37" t="s">
        <v>49</v>
      </c>
      <c r="B37" t="s">
        <v>11</v>
      </c>
      <c r="C37" t="s">
        <v>238</v>
      </c>
      <c r="D37" t="s">
        <v>52</v>
      </c>
      <c r="E37" t="s">
        <v>52</v>
      </c>
      <c r="F37" t="s">
        <v>52</v>
      </c>
      <c r="G37" t="s">
        <v>262</v>
      </c>
      <c r="H37" t="s">
        <v>52</v>
      </c>
      <c r="I37" t="s">
        <v>52</v>
      </c>
      <c r="J37" t="s">
        <v>52</v>
      </c>
      <c r="K37" t="s">
        <v>52</v>
      </c>
      <c r="L37">
        <v>5.4044127146963401</v>
      </c>
      <c r="M37">
        <v>58.821699220737997</v>
      </c>
      <c r="N37">
        <v>15.4347295427409</v>
      </c>
      <c r="O37">
        <v>55.984699156776998</v>
      </c>
      <c r="P37">
        <v>88.682046404681799</v>
      </c>
      <c r="Q37">
        <v>48.762096667760296</v>
      </c>
      <c r="R37">
        <v>38.675330032484602</v>
      </c>
      <c r="S37">
        <v>62.336668628559401</v>
      </c>
      <c r="T37">
        <v>461.637086112703</v>
      </c>
      <c r="U37">
        <v>87.078871290688298</v>
      </c>
      <c r="V37">
        <v>5.7760409414806704</v>
      </c>
      <c r="W37">
        <v>46.140380810310198</v>
      </c>
      <c r="X37">
        <v>198.546824564069</v>
      </c>
      <c r="Y37">
        <v>91.666666069515102</v>
      </c>
      <c r="Z37">
        <v>757.48228431523796</v>
      </c>
      <c r="AA37">
        <v>77.010151925427806</v>
      </c>
      <c r="AB37">
        <v>156.67274299196799</v>
      </c>
      <c r="AC37">
        <v>135.452305413152</v>
      </c>
      <c r="AD37">
        <v>5.0434977096778697</v>
      </c>
      <c r="AE37">
        <v>84.687064655640896</v>
      </c>
      <c r="AF37">
        <v>9.0856432205100592</v>
      </c>
      <c r="AG37">
        <v>12.857879782292899</v>
      </c>
      <c r="AH37">
        <v>6.2567927073512504</v>
      </c>
      <c r="AI37">
        <v>13.255013264649399</v>
      </c>
      <c r="AJ37">
        <v>2.9594422823384301</v>
      </c>
      <c r="AK37">
        <v>16.737160842466501</v>
      </c>
      <c r="AL37">
        <v>0.22260315556722701</v>
      </c>
      <c r="AM37">
        <v>44.719465985035598</v>
      </c>
      <c r="AN37">
        <v>49.3054003367089</v>
      </c>
      <c r="AO37">
        <v>558.17775197097706</v>
      </c>
      <c r="AP37">
        <v>44.519214779684098</v>
      </c>
      <c r="AQ37">
        <v>84.564117239625801</v>
      </c>
      <c r="AR37">
        <v>45.605001596694002</v>
      </c>
      <c r="AS37">
        <v>29.5638793265278</v>
      </c>
      <c r="AT37">
        <v>16.9672607812794</v>
      </c>
      <c r="AU37">
        <v>41.740025513100697</v>
      </c>
      <c r="AV37">
        <v>251.389929404219</v>
      </c>
      <c r="AW37" t="s">
        <v>52</v>
      </c>
    </row>
    <row r="38" spans="1:49" ht="14.4">
      <c r="A38" t="s">
        <v>49</v>
      </c>
      <c r="B38" t="s">
        <v>11</v>
      </c>
      <c r="C38" t="s">
        <v>56</v>
      </c>
      <c r="D38" t="s">
        <v>52</v>
      </c>
      <c r="E38" t="s">
        <v>52</v>
      </c>
      <c r="F38" t="s">
        <v>52</v>
      </c>
      <c r="G38" t="s">
        <v>257</v>
      </c>
      <c r="H38" t="s">
        <v>52</v>
      </c>
      <c r="I38" t="s">
        <v>52</v>
      </c>
      <c r="J38" t="s">
        <v>52</v>
      </c>
      <c r="K38" t="s">
        <v>52</v>
      </c>
      <c r="L38">
        <v>16.371367137160401</v>
      </c>
      <c r="M38">
        <v>353.94295821763399</v>
      </c>
      <c r="N38">
        <v>35.381252957228</v>
      </c>
      <c r="O38">
        <v>358.308086490145</v>
      </c>
      <c r="P38">
        <v>109.917120600476</v>
      </c>
      <c r="Q38">
        <v>397.35844425136798</v>
      </c>
      <c r="R38">
        <v>2.5286018964208599</v>
      </c>
      <c r="S38">
        <v>532.79970810153497</v>
      </c>
      <c r="T38">
        <v>4002.9176360012598</v>
      </c>
      <c r="U38">
        <v>382.94240472377498</v>
      </c>
      <c r="V38">
        <v>91.537888851347205</v>
      </c>
      <c r="W38">
        <v>139.771174773506</v>
      </c>
      <c r="X38">
        <v>970.51998456202705</v>
      </c>
      <c r="Y38">
        <v>156.19788070804401</v>
      </c>
      <c r="Z38">
        <v>2447.18837835461</v>
      </c>
      <c r="AA38">
        <v>74.868894817319401</v>
      </c>
      <c r="AB38">
        <v>250.853746745124</v>
      </c>
      <c r="AC38">
        <v>24.952699163763199</v>
      </c>
      <c r="AD38">
        <v>9.4665630514884107</v>
      </c>
      <c r="AE38">
        <v>4107.5884773512898</v>
      </c>
      <c r="AF38">
        <v>20.827150885528599</v>
      </c>
      <c r="AG38">
        <v>186.703496135731</v>
      </c>
      <c r="AH38">
        <v>19.252162893617001</v>
      </c>
      <c r="AI38">
        <v>120.54421417464199</v>
      </c>
      <c r="AJ38">
        <v>12.8579079094257</v>
      </c>
      <c r="AK38">
        <v>22.754685433208198</v>
      </c>
      <c r="AL38">
        <v>3.5661613679711199</v>
      </c>
      <c r="AM38">
        <v>393.08475119009103</v>
      </c>
      <c r="AN38">
        <v>219.26345602994601</v>
      </c>
      <c r="AO38">
        <v>1378.2357576796801</v>
      </c>
      <c r="AP38">
        <v>69.7680646909822</v>
      </c>
      <c r="AQ38">
        <v>212.997377468347</v>
      </c>
      <c r="AR38">
        <v>104.541002363484</v>
      </c>
      <c r="AS38">
        <v>783.731208503179</v>
      </c>
      <c r="AT38">
        <v>146.8358600315</v>
      </c>
      <c r="AU38">
        <v>139.96452575991799</v>
      </c>
      <c r="AV38">
        <v>1596.5037647952399</v>
      </c>
      <c r="AW38" t="s">
        <v>52</v>
      </c>
    </row>
    <row r="39" spans="1:49" ht="14.4">
      <c r="A39" t="s">
        <v>49</v>
      </c>
      <c r="B39" t="s">
        <v>11</v>
      </c>
      <c r="C39" t="s">
        <v>56</v>
      </c>
      <c r="D39" t="s">
        <v>52</v>
      </c>
      <c r="E39" t="s">
        <v>52</v>
      </c>
      <c r="F39" t="s">
        <v>52</v>
      </c>
      <c r="G39" t="s">
        <v>258</v>
      </c>
      <c r="H39" t="s">
        <v>52</v>
      </c>
      <c r="I39" t="s">
        <v>52</v>
      </c>
      <c r="J39" t="s">
        <v>52</v>
      </c>
      <c r="K39" t="s">
        <v>52</v>
      </c>
      <c r="L39">
        <v>59.581294747094297</v>
      </c>
      <c r="M39">
        <v>427.04149443221098</v>
      </c>
      <c r="N39">
        <v>80.779292831540502</v>
      </c>
      <c r="O39">
        <v>199.06004796110099</v>
      </c>
      <c r="P39">
        <v>227.545364052807</v>
      </c>
      <c r="Q39">
        <v>479.423420974019</v>
      </c>
      <c r="R39">
        <v>8.4249041779713405</v>
      </c>
      <c r="S39">
        <v>723.62433441365295</v>
      </c>
      <c r="T39">
        <v>6076.0485659353599</v>
      </c>
      <c r="U39">
        <v>278.07094914614498</v>
      </c>
      <c r="V39">
        <v>135.32120899748901</v>
      </c>
      <c r="W39">
        <v>508.67758883894402</v>
      </c>
      <c r="X39">
        <v>1725.22995160562</v>
      </c>
      <c r="Y39">
        <v>285.688707956717</v>
      </c>
      <c r="Z39">
        <v>1655.1634856718799</v>
      </c>
      <c r="AA39">
        <v>136.03245071750399</v>
      </c>
      <c r="AB39">
        <v>337.98071506747101</v>
      </c>
      <c r="AC39">
        <v>22.642089968710302</v>
      </c>
      <c r="AD39">
        <v>17.314512557475702</v>
      </c>
      <c r="AE39">
        <v>5761.7366515410404</v>
      </c>
      <c r="AF39">
        <v>47.5506766892237</v>
      </c>
      <c r="AG39">
        <v>199.52465530665901</v>
      </c>
      <c r="AH39">
        <v>17.7072119361702</v>
      </c>
      <c r="AI39">
        <v>146.193301310386</v>
      </c>
      <c r="AJ39">
        <v>29.356018269677801</v>
      </c>
      <c r="AK39">
        <v>47.105702483112601</v>
      </c>
      <c r="AL39">
        <v>3.7387847322823502</v>
      </c>
      <c r="AM39">
        <v>442.41774635611898</v>
      </c>
      <c r="AN39">
        <v>291.70717651137102</v>
      </c>
      <c r="AO39">
        <v>1529.29326808768</v>
      </c>
      <c r="AP39">
        <v>94.378706715696396</v>
      </c>
      <c r="AQ39">
        <v>617.167522504864</v>
      </c>
      <c r="AR39">
        <v>238.67860906541199</v>
      </c>
      <c r="AS39">
        <v>710.78229879373703</v>
      </c>
      <c r="AT39">
        <v>98.149506032340099</v>
      </c>
      <c r="AU39">
        <v>179.83292051279801</v>
      </c>
      <c r="AV39">
        <v>1004.57408703131</v>
      </c>
      <c r="AW39" t="s">
        <v>52</v>
      </c>
    </row>
    <row r="40" spans="1:49" ht="14.4">
      <c r="A40" t="s">
        <v>49</v>
      </c>
      <c r="B40" t="s">
        <v>11</v>
      </c>
      <c r="C40" t="s">
        <v>56</v>
      </c>
      <c r="D40" t="s">
        <v>52</v>
      </c>
      <c r="E40" t="s">
        <v>52</v>
      </c>
      <c r="F40" t="s">
        <v>52</v>
      </c>
      <c r="G40" t="s">
        <v>259</v>
      </c>
      <c r="H40" t="s">
        <v>52</v>
      </c>
      <c r="I40" t="s">
        <v>52</v>
      </c>
      <c r="J40" t="s">
        <v>52</v>
      </c>
      <c r="K40" t="s">
        <v>52</v>
      </c>
      <c r="L40">
        <v>47.4753549528874</v>
      </c>
      <c r="M40">
        <v>219.72376763046299</v>
      </c>
      <c r="N40">
        <v>60.310410949191699</v>
      </c>
      <c r="O40">
        <v>107.728857385474</v>
      </c>
      <c r="P40">
        <v>131.928531265967</v>
      </c>
      <c r="Q40">
        <v>246.67560815549501</v>
      </c>
      <c r="R40">
        <v>11.405027695171</v>
      </c>
      <c r="S40">
        <v>296.507048661483</v>
      </c>
      <c r="T40">
        <v>3131.8876242162501</v>
      </c>
      <c r="U40">
        <v>171.76835957527101</v>
      </c>
      <c r="V40">
        <v>105.112177231966</v>
      </c>
      <c r="W40">
        <v>405.32266358453899</v>
      </c>
      <c r="X40">
        <v>1424.4293938594301</v>
      </c>
      <c r="Y40">
        <v>226.93505876276001</v>
      </c>
      <c r="Z40">
        <v>1828.2644382164799</v>
      </c>
      <c r="AA40">
        <v>105.07942191009001</v>
      </c>
      <c r="AB40">
        <v>202.70336093963101</v>
      </c>
      <c r="AC40">
        <v>19.134217169665799</v>
      </c>
      <c r="AD40">
        <v>13.753675995043499</v>
      </c>
      <c r="AE40">
        <v>3259.77282866008</v>
      </c>
      <c r="AF40">
        <v>35.501683061522101</v>
      </c>
      <c r="AG40">
        <v>131.33931772462799</v>
      </c>
      <c r="AH40">
        <v>9.56218061702128</v>
      </c>
      <c r="AI40">
        <v>118.19077050816399</v>
      </c>
      <c r="AJ40">
        <v>21.9174179869146</v>
      </c>
      <c r="AK40">
        <v>27.3114162036122</v>
      </c>
      <c r="AL40">
        <v>2.4566766577683499</v>
      </c>
      <c r="AM40">
        <v>272.58176969701299</v>
      </c>
      <c r="AN40">
        <v>187.249898818757</v>
      </c>
      <c r="AO40">
        <v>878.90341466635596</v>
      </c>
      <c r="AP40">
        <v>105.77126928393599</v>
      </c>
      <c r="AQ40">
        <v>445.25560246965301</v>
      </c>
      <c r="AR40">
        <v>178.199195523236</v>
      </c>
      <c r="AS40">
        <v>386.786707535201</v>
      </c>
      <c r="AT40">
        <v>84.494652629178603</v>
      </c>
      <c r="AU40">
        <v>73.609103036717798</v>
      </c>
      <c r="AV40">
        <v>441.33536118002598</v>
      </c>
      <c r="AW40" t="s">
        <v>52</v>
      </c>
    </row>
    <row r="41" spans="1:49" ht="14.4">
      <c r="A41" t="s">
        <v>49</v>
      </c>
      <c r="B41" t="s">
        <v>11</v>
      </c>
      <c r="C41" t="s">
        <v>56</v>
      </c>
      <c r="D41" t="s">
        <v>52</v>
      </c>
      <c r="E41" t="s">
        <v>52</v>
      </c>
      <c r="F41" t="s">
        <v>52</v>
      </c>
      <c r="G41" t="s">
        <v>260</v>
      </c>
      <c r="H41" t="s">
        <v>52</v>
      </c>
      <c r="I41" t="s">
        <v>52</v>
      </c>
      <c r="J41" t="s">
        <v>52</v>
      </c>
      <c r="K41" t="s">
        <v>52</v>
      </c>
      <c r="L41">
        <v>36.3418331058352</v>
      </c>
      <c r="M41">
        <v>174.33774089073401</v>
      </c>
      <c r="N41">
        <v>50.971791415763697</v>
      </c>
      <c r="O41">
        <v>107.728857385474</v>
      </c>
      <c r="P41">
        <v>124.321009617759</v>
      </c>
      <c r="Q41">
        <v>195.72242330653799</v>
      </c>
      <c r="R41">
        <v>16.464574822908801</v>
      </c>
      <c r="S41">
        <v>343.67998049341998</v>
      </c>
      <c r="T41">
        <v>2182.8568112074499</v>
      </c>
      <c r="U41">
        <v>70.354963219765395</v>
      </c>
      <c r="V41">
        <v>98.852387248851798</v>
      </c>
      <c r="W41">
        <v>310.269793846082</v>
      </c>
      <c r="X41">
        <v>902.50339943003803</v>
      </c>
      <c r="Y41">
        <v>179.816011374439</v>
      </c>
      <c r="Z41">
        <v>1347.32104865266</v>
      </c>
      <c r="AA41">
        <v>83.308661142180895</v>
      </c>
      <c r="AB41">
        <v>275.55728262504601</v>
      </c>
      <c r="AC41">
        <v>16.6523995669641</v>
      </c>
      <c r="AD41">
        <v>10.8979686640244</v>
      </c>
      <c r="AE41">
        <v>2361.4204736861502</v>
      </c>
      <c r="AF41">
        <v>30.004510920095299</v>
      </c>
      <c r="AG41">
        <v>131.33931772462799</v>
      </c>
      <c r="AH41">
        <v>7.4320838723404297</v>
      </c>
      <c r="AI41">
        <v>114.08876716721301</v>
      </c>
      <c r="AJ41">
        <v>18.523668474789101</v>
      </c>
      <c r="AK41">
        <v>25.736531771727499</v>
      </c>
      <c r="AL41">
        <v>2.8218751314493198</v>
      </c>
      <c r="AM41">
        <v>265.13233111078898</v>
      </c>
      <c r="AN41">
        <v>157.49717955025</v>
      </c>
      <c r="AO41">
        <v>908.59075989190103</v>
      </c>
      <c r="AP41">
        <v>90.402229667039606</v>
      </c>
      <c r="AQ41">
        <v>609.14993845063998</v>
      </c>
      <c r="AR41">
        <v>150.60637262643399</v>
      </c>
      <c r="AS41">
        <v>266.44956783023298</v>
      </c>
      <c r="AT41">
        <v>45.901713357699002</v>
      </c>
      <c r="AU41">
        <v>85.385438691239997</v>
      </c>
      <c r="AV41">
        <v>313.344805264549</v>
      </c>
      <c r="AW41" t="s">
        <v>52</v>
      </c>
    </row>
    <row r="42" spans="1:49" ht="14.4">
      <c r="A42" t="s">
        <v>49</v>
      </c>
      <c r="B42" t="s">
        <v>11</v>
      </c>
      <c r="C42" t="s">
        <v>56</v>
      </c>
      <c r="D42" t="s">
        <v>52</v>
      </c>
      <c r="E42" t="s">
        <v>52</v>
      </c>
      <c r="F42" t="s">
        <v>52</v>
      </c>
      <c r="G42" t="s">
        <v>261</v>
      </c>
      <c r="H42" t="s">
        <v>52</v>
      </c>
      <c r="I42" t="s">
        <v>52</v>
      </c>
      <c r="J42" t="s">
        <v>52</v>
      </c>
      <c r="K42" t="s">
        <v>52</v>
      </c>
      <c r="L42">
        <v>24.448914802817399</v>
      </c>
      <c r="M42">
        <v>208.07540414928701</v>
      </c>
      <c r="N42">
        <v>24.983173620128099</v>
      </c>
      <c r="O42">
        <v>79.355292947393906</v>
      </c>
      <c r="P42">
        <v>71.797613989340505</v>
      </c>
      <c r="Q42">
        <v>233.598428673629</v>
      </c>
      <c r="R42">
        <v>14.196859464032199</v>
      </c>
      <c r="S42">
        <v>177.40506528151201</v>
      </c>
      <c r="T42">
        <v>2009.01896984216</v>
      </c>
      <c r="U42">
        <v>70.410733575697506</v>
      </c>
      <c r="V42">
        <v>32.073271940309198</v>
      </c>
      <c r="W42">
        <v>208.733547742052</v>
      </c>
      <c r="X42">
        <v>893.62907625932303</v>
      </c>
      <c r="Y42">
        <v>131.293640905676</v>
      </c>
      <c r="Z42">
        <v>811.60961081462005</v>
      </c>
      <c r="AA42">
        <v>44.592367390635403</v>
      </c>
      <c r="AB42">
        <v>113.654510051329</v>
      </c>
      <c r="AC42">
        <v>21.636482429960701</v>
      </c>
      <c r="AD42">
        <v>7.9572112262919399</v>
      </c>
      <c r="AE42">
        <v>873.71671724805901</v>
      </c>
      <c r="AF42">
        <v>14.7063284393796</v>
      </c>
      <c r="AG42">
        <v>40.842287434014501</v>
      </c>
      <c r="AH42">
        <v>5.9131027659574498</v>
      </c>
      <c r="AI42">
        <v>35.711678088524202</v>
      </c>
      <c r="AJ42">
        <v>9.0791399072591599</v>
      </c>
      <c r="AK42">
        <v>14.8633089391105</v>
      </c>
      <c r="AL42">
        <v>2.7328500856734199</v>
      </c>
      <c r="AM42">
        <v>233.89243995367099</v>
      </c>
      <c r="AN42">
        <v>173.465237085468</v>
      </c>
      <c r="AO42">
        <v>908.59075989190103</v>
      </c>
      <c r="AP42">
        <v>98.453959313429493</v>
      </c>
      <c r="AQ42">
        <v>83.886304655323798</v>
      </c>
      <c r="AR42">
        <v>73.817793158045802</v>
      </c>
      <c r="AS42">
        <v>218.16532251448101</v>
      </c>
      <c r="AT42">
        <v>45.901713357699002</v>
      </c>
      <c r="AU42">
        <v>45.429473576373098</v>
      </c>
      <c r="AV42">
        <v>313.344805264549</v>
      </c>
      <c r="AW42" t="s">
        <v>52</v>
      </c>
    </row>
    <row r="43" spans="1:49" ht="14.4">
      <c r="A43" t="s">
        <v>49</v>
      </c>
      <c r="B43" t="s">
        <v>11</v>
      </c>
      <c r="C43" t="s">
        <v>56</v>
      </c>
      <c r="D43" t="s">
        <v>52</v>
      </c>
      <c r="E43" t="s">
        <v>52</v>
      </c>
      <c r="F43" t="s">
        <v>52</v>
      </c>
      <c r="G43" t="s">
        <v>262</v>
      </c>
      <c r="H43" t="s">
        <v>52</v>
      </c>
      <c r="I43" t="s">
        <v>52</v>
      </c>
      <c r="J43" t="s">
        <v>52</v>
      </c>
      <c r="K43" t="s">
        <v>52</v>
      </c>
      <c r="L43">
        <v>12.450959496343801</v>
      </c>
      <c r="M43">
        <v>85.071779170236496</v>
      </c>
      <c r="N43">
        <v>18.761479591122999</v>
      </c>
      <c r="O43">
        <v>53.341872242404499</v>
      </c>
      <c r="P43">
        <v>111.708066487472</v>
      </c>
      <c r="Q43">
        <v>95.506886168916395</v>
      </c>
      <c r="R43">
        <v>30.524905636324899</v>
      </c>
      <c r="S43">
        <v>134.015077073241</v>
      </c>
      <c r="T43">
        <v>1104.7493275398199</v>
      </c>
      <c r="U43">
        <v>93.128841484552794</v>
      </c>
      <c r="V43">
        <v>25.2494444808022</v>
      </c>
      <c r="W43">
        <v>106.300544192864</v>
      </c>
      <c r="X43">
        <v>1516.7970061374899</v>
      </c>
      <c r="Y43">
        <v>128.24101552307101</v>
      </c>
      <c r="Z43">
        <v>1105.80573646687</v>
      </c>
      <c r="AA43">
        <v>61.142930880915202</v>
      </c>
      <c r="AB43">
        <v>134.052689876805</v>
      </c>
      <c r="AC43">
        <v>43.100381511185901</v>
      </c>
      <c r="AD43">
        <v>7.7722031421488502</v>
      </c>
      <c r="AE43">
        <v>683.64900643531598</v>
      </c>
      <c r="AF43">
        <v>11.043932411111999</v>
      </c>
      <c r="AG43">
        <v>35.794391722735099</v>
      </c>
      <c r="AH43">
        <v>8.1332575531914895</v>
      </c>
      <c r="AI43">
        <v>41.431442375834997</v>
      </c>
      <c r="AJ43">
        <v>6.8181128892991296</v>
      </c>
      <c r="AK43">
        <v>23.125441235978901</v>
      </c>
      <c r="AL43">
        <v>1.0191144994402299</v>
      </c>
      <c r="AM43">
        <v>121.59152932741701</v>
      </c>
      <c r="AN43">
        <v>122.479863247509</v>
      </c>
      <c r="AO43">
        <v>1130.5252241933699</v>
      </c>
      <c r="AP43">
        <v>55.911535768091198</v>
      </c>
      <c r="AQ43">
        <v>82.450597729682499</v>
      </c>
      <c r="AR43">
        <v>55.434551304587799</v>
      </c>
      <c r="AS43">
        <v>60.866387059806897</v>
      </c>
      <c r="AT43">
        <v>40.135465980196997</v>
      </c>
      <c r="AU43">
        <v>56.1392904474787</v>
      </c>
      <c r="AV43">
        <v>259.12425813836097</v>
      </c>
      <c r="AW43" t="s">
        <v>52</v>
      </c>
    </row>
    <row r="44" spans="1:49" ht="14.4">
      <c r="A44" t="s">
        <v>49</v>
      </c>
      <c r="B44" t="s">
        <v>11</v>
      </c>
      <c r="C44" t="s">
        <v>61</v>
      </c>
      <c r="D44" t="s">
        <v>52</v>
      </c>
      <c r="E44" t="s">
        <v>52</v>
      </c>
      <c r="F44" t="s">
        <v>52</v>
      </c>
      <c r="G44" t="s">
        <v>257</v>
      </c>
      <c r="H44" t="s">
        <v>52</v>
      </c>
      <c r="I44" t="s">
        <v>52</v>
      </c>
      <c r="J44" t="s">
        <v>52</v>
      </c>
      <c r="K44" t="s">
        <v>52</v>
      </c>
      <c r="L44">
        <v>4.0179287542902902</v>
      </c>
      <c r="M44">
        <v>113.410971592264</v>
      </c>
      <c r="N44">
        <v>10.4169021853751</v>
      </c>
      <c r="O44">
        <v>627.44323762396198</v>
      </c>
      <c r="P44">
        <v>47.424055632066299</v>
      </c>
      <c r="Q44">
        <v>227.595900989521</v>
      </c>
      <c r="R44">
        <v>3.2719264842628699</v>
      </c>
      <c r="S44">
        <v>146.899244036044</v>
      </c>
      <c r="T44">
        <v>1748.7138694333801</v>
      </c>
      <c r="U44">
        <v>190.63363375254099</v>
      </c>
      <c r="V44">
        <v>9.7146733726103101</v>
      </c>
      <c r="W44">
        <v>34.303220826847102</v>
      </c>
      <c r="X44">
        <v>281.63613362378402</v>
      </c>
      <c r="Y44">
        <v>84.388177566401495</v>
      </c>
      <c r="Z44">
        <v>1490.4977480094699</v>
      </c>
      <c r="AA44">
        <v>33.747110125566103</v>
      </c>
      <c r="AB44">
        <v>108.280350021768</v>
      </c>
      <c r="AC44">
        <v>117.95555387988701</v>
      </c>
      <c r="AD44">
        <v>5.7381538683203797</v>
      </c>
      <c r="AE44">
        <v>904.90396192841899</v>
      </c>
      <c r="AF44">
        <v>6.1319025031949597</v>
      </c>
      <c r="AG44">
        <v>33.914401992610699</v>
      </c>
      <c r="AH44">
        <v>19.164005754618401</v>
      </c>
      <c r="AI44">
        <v>15.401856931807099</v>
      </c>
      <c r="AJ44">
        <v>3.1556410333033802</v>
      </c>
      <c r="AK44">
        <v>8.9504480229728909</v>
      </c>
      <c r="AL44">
        <v>9.9532441626703108</v>
      </c>
      <c r="AM44">
        <v>763.45682869292796</v>
      </c>
      <c r="AN44">
        <v>69.326306429116499</v>
      </c>
      <c r="AO44">
        <v>255.35418991897399</v>
      </c>
      <c r="AP44">
        <v>44.845556447716199</v>
      </c>
      <c r="AQ44">
        <v>62.738770865280202</v>
      </c>
      <c r="AR44">
        <v>30.778825082818901</v>
      </c>
      <c r="AS44">
        <v>182.62480285689901</v>
      </c>
      <c r="AT44">
        <v>20.645008115907601</v>
      </c>
      <c r="AU44">
        <v>30.969177837785601</v>
      </c>
      <c r="AV44">
        <v>5377.2361719486798</v>
      </c>
      <c r="AW44" t="s">
        <v>52</v>
      </c>
    </row>
    <row r="45" spans="1:49" ht="14.4">
      <c r="A45" t="s">
        <v>49</v>
      </c>
      <c r="B45" t="s">
        <v>11</v>
      </c>
      <c r="C45" t="s">
        <v>61</v>
      </c>
      <c r="D45" t="s">
        <v>52</v>
      </c>
      <c r="E45" t="s">
        <v>52</v>
      </c>
      <c r="F45" t="s">
        <v>52</v>
      </c>
      <c r="G45" t="s">
        <v>258</v>
      </c>
      <c r="H45" t="s">
        <v>52</v>
      </c>
      <c r="I45" t="s">
        <v>52</v>
      </c>
      <c r="J45" t="s">
        <v>52</v>
      </c>
      <c r="K45" t="s">
        <v>52</v>
      </c>
      <c r="L45">
        <v>14.622688220021001</v>
      </c>
      <c r="M45">
        <v>136.83332206312701</v>
      </c>
      <c r="N45">
        <v>23.782933663971001</v>
      </c>
      <c r="O45">
        <v>348.57957630194198</v>
      </c>
      <c r="P45">
        <v>98.175097243334406</v>
      </c>
      <c r="Q45">
        <v>274.60044458759398</v>
      </c>
      <c r="R45">
        <v>10.901544899693199</v>
      </c>
      <c r="S45">
        <v>199.51187298922801</v>
      </c>
      <c r="T45">
        <v>2654.3814699160698</v>
      </c>
      <c r="U45">
        <v>138.42727998479199</v>
      </c>
      <c r="V45">
        <v>14.3612810202799</v>
      </c>
      <c r="W45">
        <v>124.841761456798</v>
      </c>
      <c r="X45">
        <v>500.64614939529002</v>
      </c>
      <c r="Y45">
        <v>154.34748094201001</v>
      </c>
      <c r="Z45">
        <v>1008.10279658167</v>
      </c>
      <c r="AA45">
        <v>61.316546827832802</v>
      </c>
      <c r="AB45">
        <v>145.88847327561299</v>
      </c>
      <c r="AC45">
        <v>107.032920395882</v>
      </c>
      <c r="AD45">
        <v>10.495185704609</v>
      </c>
      <c r="AE45">
        <v>1269.31369885664</v>
      </c>
      <c r="AF45">
        <v>13.9998079920697</v>
      </c>
      <c r="AG45">
        <v>36.243345773170702</v>
      </c>
      <c r="AH45">
        <v>17.626129246783002</v>
      </c>
      <c r="AI45">
        <v>18.6790243446193</v>
      </c>
      <c r="AJ45">
        <v>7.2046756345400604</v>
      </c>
      <c r="AK45">
        <v>18.5288055463697</v>
      </c>
      <c r="AL45">
        <v>10.435040221761399</v>
      </c>
      <c r="AM45">
        <v>859.27232884995396</v>
      </c>
      <c r="AN45">
        <v>92.231425484955196</v>
      </c>
      <c r="AO45">
        <v>283.34154112973602</v>
      </c>
      <c r="AP45">
        <v>60.664798976834497</v>
      </c>
      <c r="AQ45">
        <v>181.78783344729001</v>
      </c>
      <c r="AR45">
        <v>70.271443676159194</v>
      </c>
      <c r="AS45">
        <v>165.626270567039</v>
      </c>
      <c r="AT45">
        <v>13.7997444777815</v>
      </c>
      <c r="AU45">
        <v>39.790637421958301</v>
      </c>
      <c r="AV45">
        <v>3383.5386031049402</v>
      </c>
      <c r="AW45" t="s">
        <v>52</v>
      </c>
    </row>
    <row r="46" spans="1:49" ht="14.4">
      <c r="A46" t="s">
        <v>49</v>
      </c>
      <c r="B46" t="s">
        <v>11</v>
      </c>
      <c r="C46" t="s">
        <v>61</v>
      </c>
      <c r="D46" t="s">
        <v>52</v>
      </c>
      <c r="E46" t="s">
        <v>52</v>
      </c>
      <c r="F46" t="s">
        <v>52</v>
      </c>
      <c r="G46" t="s">
        <v>259</v>
      </c>
      <c r="H46" t="s">
        <v>52</v>
      </c>
      <c r="I46" t="s">
        <v>52</v>
      </c>
      <c r="J46" t="s">
        <v>52</v>
      </c>
      <c r="K46" t="s">
        <v>52</v>
      </c>
      <c r="L46">
        <v>11.6515983171843</v>
      </c>
      <c r="M46">
        <v>70.4042428033314</v>
      </c>
      <c r="N46">
        <v>17.756512251756298</v>
      </c>
      <c r="O46">
        <v>188.64699294284799</v>
      </c>
      <c r="P46">
        <v>56.920941633426501</v>
      </c>
      <c r="Q46">
        <v>141.288949819756</v>
      </c>
      <c r="R46">
        <v>14.7577252957065</v>
      </c>
      <c r="S46">
        <v>81.750535215063806</v>
      </c>
      <c r="T46">
        <v>1368.19585712105</v>
      </c>
      <c r="U46">
        <v>85.508489385411707</v>
      </c>
      <c r="V46">
        <v>11.155276597548999</v>
      </c>
      <c r="W46">
        <v>99.475967470382002</v>
      </c>
      <c r="X46">
        <v>413.35654441745299</v>
      </c>
      <c r="Y46">
        <v>122.604967161551</v>
      </c>
      <c r="Z46">
        <v>1113.5325960315599</v>
      </c>
      <c r="AA46">
        <v>47.364487372001598</v>
      </c>
      <c r="AB46">
        <v>87.496364546760304</v>
      </c>
      <c r="AC46">
        <v>90.450622976435994</v>
      </c>
      <c r="AD46">
        <v>8.3367858731132198</v>
      </c>
      <c r="AE46">
        <v>718.12971623272995</v>
      </c>
      <c r="AF46">
        <v>10.452359059051201</v>
      </c>
      <c r="AG46">
        <v>23.857584410256798</v>
      </c>
      <c r="AH46">
        <v>9.5183946543508693</v>
      </c>
      <c r="AI46">
        <v>15.1011589439664</v>
      </c>
      <c r="AJ46">
        <v>5.3790635327904299</v>
      </c>
      <c r="AK46">
        <v>10.742816545706299</v>
      </c>
      <c r="AL46">
        <v>6.8566450254079703</v>
      </c>
      <c r="AM46">
        <v>529.413600559006</v>
      </c>
      <c r="AN46">
        <v>59.2043202245125</v>
      </c>
      <c r="AO46">
        <v>162.83982491282001</v>
      </c>
      <c r="AP46">
        <v>67.987716847654497</v>
      </c>
      <c r="AQ46">
        <v>131.15085993947099</v>
      </c>
      <c r="AR46">
        <v>52.465173902182997</v>
      </c>
      <c r="AS46">
        <v>90.128918492594096</v>
      </c>
      <c r="AT46">
        <v>11.879882672434199</v>
      </c>
      <c r="AU46">
        <v>16.287079815740199</v>
      </c>
      <c r="AV46">
        <v>1486.47596105208</v>
      </c>
      <c r="AW46" t="s">
        <v>52</v>
      </c>
    </row>
    <row r="47" spans="1:49" ht="14.4">
      <c r="A47" t="s">
        <v>49</v>
      </c>
      <c r="B47" t="s">
        <v>11</v>
      </c>
      <c r="C47" t="s">
        <v>61</v>
      </c>
      <c r="D47" t="s">
        <v>52</v>
      </c>
      <c r="E47" t="s">
        <v>52</v>
      </c>
      <c r="F47" t="s">
        <v>52</v>
      </c>
      <c r="G47" t="s">
        <v>260</v>
      </c>
      <c r="H47" t="s">
        <v>52</v>
      </c>
      <c r="I47" t="s">
        <v>52</v>
      </c>
      <c r="J47" t="s">
        <v>52</v>
      </c>
      <c r="K47" t="s">
        <v>52</v>
      </c>
      <c r="L47">
        <v>8.9191632559576792</v>
      </c>
      <c r="M47">
        <v>55.861579162880801</v>
      </c>
      <c r="N47">
        <v>15.007048111982799</v>
      </c>
      <c r="O47">
        <v>188.64699294284799</v>
      </c>
      <c r="P47">
        <v>53.6386546894472</v>
      </c>
      <c r="Q47">
        <v>112.10437810181401</v>
      </c>
      <c r="R47">
        <v>21.304610461399701</v>
      </c>
      <c r="S47">
        <v>94.756676021272497</v>
      </c>
      <c r="T47">
        <v>953.60242899196805</v>
      </c>
      <c r="U47">
        <v>35.0236017888503</v>
      </c>
      <c r="V47">
        <v>10.4909416884728</v>
      </c>
      <c r="W47">
        <v>76.147698346597593</v>
      </c>
      <c r="X47">
        <v>261.89833495546401</v>
      </c>
      <c r="Y47">
        <v>97.148216277730398</v>
      </c>
      <c r="Z47">
        <v>820.60662212394402</v>
      </c>
      <c r="AA47">
        <v>37.551329812448103</v>
      </c>
      <c r="AB47">
        <v>118.943565327741</v>
      </c>
      <c r="AC47">
        <v>78.718658909772302</v>
      </c>
      <c r="AD47">
        <v>6.6057998775462101</v>
      </c>
      <c r="AE47">
        <v>520.22220682520697</v>
      </c>
      <c r="AF47">
        <v>8.8338888323852203</v>
      </c>
      <c r="AG47">
        <v>23.857584410256798</v>
      </c>
      <c r="AH47">
        <v>7.3980517869792299</v>
      </c>
      <c r="AI47">
        <v>14.577048607989701</v>
      </c>
      <c r="AJ47">
        <v>4.5461554662016397</v>
      </c>
      <c r="AK47">
        <v>10.123343194112399</v>
      </c>
      <c r="AL47">
        <v>7.8759229551807302</v>
      </c>
      <c r="AM47">
        <v>514.94515643502905</v>
      </c>
      <c r="AN47">
        <v>49.797161501144103</v>
      </c>
      <c r="AO47">
        <v>168.34018140021601</v>
      </c>
      <c r="AP47">
        <v>58.108796789609798</v>
      </c>
      <c r="AQ47">
        <v>179.42623925843299</v>
      </c>
      <c r="AR47">
        <v>44.341331100972802</v>
      </c>
      <c r="AS47">
        <v>62.087995563219899</v>
      </c>
      <c r="AT47">
        <v>6.4537453221608603</v>
      </c>
      <c r="AU47">
        <v>18.892764586093602</v>
      </c>
      <c r="AV47">
        <v>1055.3868135580899</v>
      </c>
      <c r="AW47" t="s">
        <v>52</v>
      </c>
    </row>
    <row r="48" spans="1:49" ht="14.4">
      <c r="A48" t="s">
        <v>49</v>
      </c>
      <c r="B48" t="s">
        <v>11</v>
      </c>
      <c r="C48" t="s">
        <v>61</v>
      </c>
      <c r="D48" t="s">
        <v>52</v>
      </c>
      <c r="E48" t="s">
        <v>52</v>
      </c>
      <c r="F48" t="s">
        <v>52</v>
      </c>
      <c r="G48" t="s">
        <v>261</v>
      </c>
      <c r="H48" t="s">
        <v>52</v>
      </c>
      <c r="I48" t="s">
        <v>52</v>
      </c>
      <c r="J48" t="s">
        <v>52</v>
      </c>
      <c r="K48" t="s">
        <v>52</v>
      </c>
      <c r="L48">
        <v>6.0003539701005</v>
      </c>
      <c r="M48">
        <v>66.671855453368494</v>
      </c>
      <c r="N48">
        <v>7.3555132769246203</v>
      </c>
      <c r="O48">
        <v>138.96125654669001</v>
      </c>
      <c r="P48">
        <v>30.97728562647</v>
      </c>
      <c r="Q48">
        <v>133.79870394821299</v>
      </c>
      <c r="R48">
        <v>18.370262451940199</v>
      </c>
      <c r="S48">
        <v>48.9126956748498</v>
      </c>
      <c r="T48">
        <v>877.65966127329204</v>
      </c>
      <c r="U48">
        <v>35.051364986333503</v>
      </c>
      <c r="V48">
        <v>3.4038512882573002</v>
      </c>
      <c r="W48">
        <v>51.228252132600097</v>
      </c>
      <c r="X48">
        <v>259.323086525669</v>
      </c>
      <c r="Y48">
        <v>70.933299682835795</v>
      </c>
      <c r="Z48">
        <v>494.32332544640002</v>
      </c>
      <c r="AA48">
        <v>20.099983267595299</v>
      </c>
      <c r="AB48">
        <v>49.058665814604502</v>
      </c>
      <c r="AC48">
        <v>102.27924651713499</v>
      </c>
      <c r="AD48">
        <v>4.8232607896706998</v>
      </c>
      <c r="AE48">
        <v>192.48026509965399</v>
      </c>
      <c r="AF48">
        <v>4.3298179701044699</v>
      </c>
      <c r="AG48">
        <v>7.4189384934063698</v>
      </c>
      <c r="AH48">
        <v>5.8860262122563398</v>
      </c>
      <c r="AI48">
        <v>4.56285820501793</v>
      </c>
      <c r="AJ48">
        <v>2.2282401336415401</v>
      </c>
      <c r="AK48">
        <v>5.84641235755113</v>
      </c>
      <c r="AL48">
        <v>7.6274518609788</v>
      </c>
      <c r="AM48">
        <v>454.270433848317</v>
      </c>
      <c r="AN48">
        <v>54.8459118483661</v>
      </c>
      <c r="AO48">
        <v>168.34018140021601</v>
      </c>
      <c r="AP48">
        <v>63.284292167878398</v>
      </c>
      <c r="AQ48">
        <v>24.708865945016498</v>
      </c>
      <c r="AR48">
        <v>21.733338041962401</v>
      </c>
      <c r="AS48">
        <v>50.836815711999698</v>
      </c>
      <c r="AT48">
        <v>6.4537453221608603</v>
      </c>
      <c r="AU48">
        <v>10.051928791420901</v>
      </c>
      <c r="AV48">
        <v>1055.3868135580899</v>
      </c>
      <c r="AW48" t="s">
        <v>52</v>
      </c>
    </row>
    <row r="49" spans="1:49" ht="14.4">
      <c r="A49" t="s">
        <v>49</v>
      </c>
      <c r="B49" t="s">
        <v>11</v>
      </c>
      <c r="C49" t="s">
        <v>61</v>
      </c>
      <c r="D49" t="s">
        <v>52</v>
      </c>
      <c r="E49" t="s">
        <v>52</v>
      </c>
      <c r="F49" t="s">
        <v>52</v>
      </c>
      <c r="G49" t="s">
        <v>262</v>
      </c>
      <c r="H49" t="s">
        <v>52</v>
      </c>
      <c r="I49" t="s">
        <v>52</v>
      </c>
      <c r="J49" t="s">
        <v>52</v>
      </c>
      <c r="K49" t="s">
        <v>52</v>
      </c>
      <c r="L49">
        <v>3.0557660676554099</v>
      </c>
      <c r="M49">
        <v>27.258836224244401</v>
      </c>
      <c r="N49">
        <v>5.5237302644398101</v>
      </c>
      <c r="O49">
        <v>93.408433364002505</v>
      </c>
      <c r="P49">
        <v>48.1967643503706</v>
      </c>
      <c r="Q49">
        <v>54.703696681899103</v>
      </c>
      <c r="R49">
        <v>39.498209394877797</v>
      </c>
      <c r="S49">
        <v>36.949557614508997</v>
      </c>
      <c r="T49">
        <v>482.620590026917</v>
      </c>
      <c r="U49">
        <v>46.360730074201797</v>
      </c>
      <c r="V49">
        <v>2.67965657771712</v>
      </c>
      <c r="W49">
        <v>26.088719990876299</v>
      </c>
      <c r="X49">
        <v>440.16079122107999</v>
      </c>
      <c r="Y49">
        <v>69.284074407414195</v>
      </c>
      <c r="Z49">
        <v>673.50800392735005</v>
      </c>
      <c r="AA49">
        <v>27.560139987010999</v>
      </c>
      <c r="AB49">
        <v>57.863485674655003</v>
      </c>
      <c r="AC49">
        <v>203.74266287670201</v>
      </c>
      <c r="AD49">
        <v>4.7111182044555404</v>
      </c>
      <c r="AE49">
        <v>150.608245665998</v>
      </c>
      <c r="AF49">
        <v>3.2515401251482898</v>
      </c>
      <c r="AG49">
        <v>6.50199602627311</v>
      </c>
      <c r="AH49">
        <v>8.0960147394572495</v>
      </c>
      <c r="AI49">
        <v>5.2936688195297998</v>
      </c>
      <c r="AJ49">
        <v>1.6733295147801399</v>
      </c>
      <c r="AK49">
        <v>9.0962830665579002</v>
      </c>
      <c r="AL49">
        <v>2.8443736544701301</v>
      </c>
      <c r="AM49">
        <v>236.15742685307401</v>
      </c>
      <c r="AN49">
        <v>38.725452406138402</v>
      </c>
      <c r="AO49">
        <v>209.45934046354699</v>
      </c>
      <c r="AP49">
        <v>35.9388488769494</v>
      </c>
      <c r="AQ49">
        <v>24.285975818818201</v>
      </c>
      <c r="AR49">
        <v>16.320968037172999</v>
      </c>
      <c r="AS49">
        <v>14.1830666136653</v>
      </c>
      <c r="AT49">
        <v>5.6430154099900802</v>
      </c>
      <c r="AU49">
        <v>12.421630839069101</v>
      </c>
      <c r="AV49">
        <v>872.76482813033897</v>
      </c>
      <c r="AW49" t="s">
        <v>52</v>
      </c>
    </row>
  </sheetData>
  <pageMargins left="0.7" right="0.7" top="0.75" bottom="0.75" header="0.3" footer="0.3"/>
  <pageSetup orientation="portrait" paperSize="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82"/>
  <sheetViews>
    <sheetView zoomScale="130" zoomScaleNormal="130" workbookViewId="0" topLeftCell="A1">
      <selection pane="topLeft" activeCell="E4" sqref="E4"/>
    </sheetView>
  </sheetViews>
  <sheetFormatPr defaultRowHeight="14.4"/>
  <cols>
    <col min="1" max="1" width="10.7142857142857" bestFit="1" customWidth="1"/>
    <col min="2" max="2" width="22.4285714285714" customWidth="1"/>
    <col min="3" max="3" width="13.7142857142857" customWidth="1"/>
    <col min="4" max="4" width="15.2857142857143" bestFit="1" customWidth="1"/>
    <col min="5" max="5" width="8" bestFit="1" customWidth="1"/>
    <col min="6" max="6" width="8.71428571428571" bestFit="1" customWidth="1"/>
    <col min="7" max="7" width="8" bestFit="1" customWidth="1"/>
    <col min="8" max="8" width="8.71428571428571" bestFit="1" customWidth="1"/>
    <col min="9" max="9" width="8" bestFit="1" customWidth="1"/>
    <col min="10" max="10" width="8.71428571428571" bestFit="1" customWidth="1"/>
    <col min="11" max="11" width="8" bestFit="1" customWidth="1"/>
    <col min="12" max="12" width="9" bestFit="1" customWidth="1"/>
    <col min="13" max="13" width="9.71428571428571" bestFit="1" customWidth="1"/>
    <col min="14" max="14" width="8.71428571428571" bestFit="1" customWidth="1"/>
    <col min="15" max="15" width="8" bestFit="1" customWidth="1"/>
    <col min="16" max="16" width="9" bestFit="1" customWidth="1"/>
    <col min="17" max="17" width="8.71428571428571" bestFit="1" customWidth="1"/>
    <col min="18" max="18" width="9" bestFit="1" customWidth="1"/>
    <col min="19" max="19" width="9.71428571428571" bestFit="1" customWidth="1"/>
    <col min="20" max="20" width="8" bestFit="1" customWidth="1"/>
    <col min="21" max="21" width="8.71428571428571" bestFit="1" customWidth="1"/>
    <col min="22" max="22" width="10" bestFit="1" customWidth="1"/>
    <col min="23" max="23" width="9" bestFit="1" customWidth="1"/>
    <col min="24" max="24" width="9.71428571428571" bestFit="1" customWidth="1"/>
    <col min="25" max="25" width="8" bestFit="1" customWidth="1"/>
    <col min="26" max="26" width="7.71428571428571" bestFit="1" customWidth="1"/>
    <col min="27" max="27" width="7" bestFit="1" customWidth="1"/>
    <col min="28" max="30" width="7.71428571428571" bestFit="1" customWidth="1"/>
    <col min="31" max="31" width="8" bestFit="1" customWidth="1"/>
    <col min="32" max="32" width="8.71428571428571" bestFit="1" customWidth="1"/>
    <col min="33" max="33" width="9" bestFit="1" customWidth="1"/>
    <col min="34" max="34" width="8.71428571428571" bestFit="1" customWidth="1"/>
    <col min="35" max="35" width="8" bestFit="1" customWidth="1"/>
    <col min="36" max="38" width="8.71428571428571" bestFit="1" customWidth="1"/>
    <col min="39" max="39" width="8" bestFit="1" customWidth="1"/>
    <col min="40" max="40" width="9" bestFit="1" customWidth="1"/>
    <col min="41" max="41" width="9.71428571428571" bestFit="1" customWidth="1"/>
    <col min="42" max="42" width="9.28571428571429" bestFit="1" customWidth="1"/>
  </cols>
  <sheetData>
    <row r="1" spans="5:41" ht="14.4">
      <c r="E1" t="str">
        <f>OldHouses!L1</f>
        <v>AL</v>
      </c>
      <c r="F1" t="str">
        <f>OldHouses!M1</f>
        <v>AT</v>
      </c>
      <c r="G1" t="str">
        <f>OldHouses!N1</f>
        <v>BA</v>
      </c>
      <c r="H1" t="str">
        <f>OldHouses!O1</f>
        <v>BE</v>
      </c>
      <c r="I1" t="str">
        <f>OldHouses!P1</f>
        <v>BG</v>
      </c>
      <c r="J1" t="str">
        <f>OldHouses!Q1</f>
        <v>CH</v>
      </c>
      <c r="K1" t="str">
        <f>OldHouses!R1</f>
        <v>CY</v>
      </c>
      <c r="L1" t="str">
        <f>OldHouses!S1</f>
        <v>CZ</v>
      </c>
      <c r="M1" t="str">
        <f>OldHouses!T1</f>
        <v>DE</v>
      </c>
      <c r="N1" t="str">
        <f>OldHouses!U1</f>
        <v>DK</v>
      </c>
      <c r="O1" t="str">
        <f>OldHouses!V1</f>
        <v>EE</v>
      </c>
      <c r="P1" t="str">
        <f>OldHouses!W1</f>
        <v>EL</v>
      </c>
      <c r="Q1" t="str">
        <f>OldHouses!X1</f>
        <v>ES</v>
      </c>
      <c r="R1" t="str">
        <f>OldHouses!Y1</f>
        <v>FI</v>
      </c>
      <c r="S1" t="str">
        <f>OldHouses!Z1</f>
        <v>FR</v>
      </c>
      <c r="T1" t="str">
        <f>OldHouses!AA1</f>
        <v>HR</v>
      </c>
      <c r="U1" t="str">
        <f>OldHouses!AB1</f>
        <v>HU</v>
      </c>
      <c r="V1" t="str">
        <f>OldHouses!AC1</f>
        <v>IE</v>
      </c>
      <c r="W1" t="str">
        <f>OldHouses!AD1</f>
        <v>IS</v>
      </c>
      <c r="X1" t="str">
        <f>OldHouses!AE1</f>
        <v>IT</v>
      </c>
      <c r="Y1" t="str">
        <f>OldHouses!AF1</f>
        <v>KS</v>
      </c>
      <c r="Z1" t="str">
        <f>OldHouses!AG1</f>
        <v>LT</v>
      </c>
      <c r="AA1" t="str">
        <f>OldHouses!AH1</f>
        <v>LU</v>
      </c>
      <c r="AB1" t="str">
        <f>OldHouses!AI1</f>
        <v>LV</v>
      </c>
      <c r="AC1" t="str">
        <f>OldHouses!AJ1</f>
        <v>ME</v>
      </c>
      <c r="AD1" t="str">
        <f>OldHouses!AK1</f>
        <v>MK</v>
      </c>
      <c r="AE1" t="str">
        <f>OldHouses!AL1</f>
        <v>MT</v>
      </c>
      <c r="AF1" t="str">
        <f>OldHouses!AM1</f>
        <v>NL</v>
      </c>
      <c r="AG1" t="str">
        <f>OldHouses!AN1</f>
        <v>NO</v>
      </c>
      <c r="AH1" t="str">
        <f>OldHouses!AO1</f>
        <v>PL</v>
      </c>
      <c r="AI1" t="str">
        <f>OldHouses!AP1</f>
        <v>PT</v>
      </c>
      <c r="AJ1" t="str">
        <f>OldHouses!AQ1</f>
        <v>RO</v>
      </c>
      <c r="AK1" t="str">
        <f>OldHouses!AR1</f>
        <v>RS</v>
      </c>
      <c r="AL1" t="str">
        <f>OldHouses!AS1</f>
        <v>SE</v>
      </c>
      <c r="AM1" t="str">
        <f>OldHouses!AT1</f>
        <v>SI</v>
      </c>
      <c r="AN1" t="str">
        <f>OldHouses!AU1</f>
        <v>SK</v>
      </c>
      <c r="AO1" t="str">
        <f>OldHouses!AV1</f>
        <v>UK</v>
      </c>
    </row>
    <row r="2" spans="4:41" ht="14.4">
      <c r="D2" t="s">
        <v>50</v>
      </c>
      <c r="E2" s="5">
        <f>SUMIFS(OldHouses!L$2:L$82,OldHouses!$B$2:$B$82,"PASTI",OldHouses!$C$2:$C$82,Stock!$D2)</f>
        <v>32.967702747955542</v>
      </c>
      <c r="F2" s="5">
        <f>SUMIFS(OldHouses!M$2:M$82,OldHouses!$B$2:$B$82,"PASTI",OldHouses!$C$2:$C$82,Stock!$D2)</f>
        <v>540.00084420373992</v>
      </c>
      <c r="G2" s="5">
        <f>SUMIFS(OldHouses!N$2:N$82,OldHouses!$B$2:$B$82,"PASTI",OldHouses!$C$2:$C$82,Stock!$D2)</f>
        <v>95.5631776842976</v>
      </c>
      <c r="H2" s="5">
        <f>SUMIFS(OldHouses!O$2:O$82,OldHouses!$B$2:$B$82,"PASTI",OldHouses!$C$2:$C$82,Stock!$D2)</f>
        <v>584.98297894428106</v>
      </c>
      <c r="I2" s="5">
        <f>SUMIFS(OldHouses!P$2:P$82,OldHouses!$B$2:$B$82,"PASTI",OldHouses!$C$2:$C$82,Stock!$D2)</f>
        <v>267.90244129073699</v>
      </c>
      <c r="J2" s="5">
        <f>SUMIFS(OldHouses!Q$2:Q$82,OldHouses!$B$2:$B$82,"PASTI",OldHouses!$C$2:$C$82,Stock!$D2)</f>
        <v>447.65067508372101</v>
      </c>
      <c r="K2" s="5">
        <f>SUMIFS(OldHouses!R$2:R$82,OldHouses!$B$2:$B$82,"PASTI",OldHouses!$C$2:$C$82,Stock!$D2)</f>
        <v>13.878190730123661</v>
      </c>
      <c r="L2" s="5">
        <f>SUMIFS(OldHouses!S$2:S$82,OldHouses!$B$2:$B$82,"PASTI",OldHouses!$C$2:$C$82,Stock!$D2)</f>
        <v>584.42147634195499</v>
      </c>
      <c r="M2" s="5">
        <f>SUMIFS(OldHouses!T$2:T$82,OldHouses!$B$2:$B$82,"PASTI",OldHouses!$C$2:$C$82,Stock!$D2)</f>
        <v>4211.6564115516503</v>
      </c>
      <c r="N2" s="5">
        <f>SUMIFS(OldHouses!U$2:U$82,OldHouses!$B$2:$B$82,"PASTI",OldHouses!$C$2:$C$82,Stock!$D2)</f>
        <v>618.07165047373996</v>
      </c>
      <c r="O2" s="5">
        <f>SUMIFS(OldHouses!V$2:V$82,OldHouses!$B$2:$B$82,"PASTI",OldHouses!$C$2:$C$82,Stock!$D2)</f>
        <v>51.896089758273305</v>
      </c>
      <c r="P2" s="5">
        <f>SUMIFS(OldHouses!W$2:W$82,OldHouses!$B$2:$B$82,"PASTI",OldHouses!$C$2:$C$82,Stock!$D2)</f>
        <v>281.46302651818223</v>
      </c>
      <c r="Q2" s="5">
        <f>SUMIFS(OldHouses!X$2:X$82,OldHouses!$B$2:$B$82,"PASTI",OldHouses!$C$2:$C$82,Stock!$D2)</f>
        <v>352.870283550892</v>
      </c>
      <c r="R2" s="5">
        <f>SUMIFS(OldHouses!Y$2:Y$82,OldHouses!$B$2:$B$82,"PASTI",OldHouses!$C$2:$C$82,Stock!$D2)</f>
        <v>315.86049282682598</v>
      </c>
      <c r="S2" s="5">
        <f>SUMIFS(OldHouses!Z$2:Z$82,OldHouses!$B$2:$B$82,"PASTI",OldHouses!$C$2:$C$82,Stock!$D2)</f>
        <v>2810.1308923900397</v>
      </c>
      <c r="T2" s="5">
        <f>SUMIFS(OldHouses!AA$2:AA$82,OldHouses!$B$2:$B$82,"PASTI",OldHouses!$C$2:$C$82,Stock!$D2)</f>
        <v>265.63241942959337</v>
      </c>
      <c r="U2" s="5">
        <f>SUMIFS(OldHouses!AB$2:AB$82,OldHouses!$B$2:$B$82,"PASTI",OldHouses!$C$2:$C$82,Stock!$D2)</f>
        <v>688.19439867384096</v>
      </c>
      <c r="V2" s="5">
        <f>SUMIFS(OldHouses!AC$2:AC$82,OldHouses!$B$2:$B$82,"PASTI",OldHouses!$C$2:$C$82,Stock!$D2)</f>
        <v>149.57695703860952</v>
      </c>
      <c r="W2" s="5">
        <f>SUMIFS(OldHouses!AD$2:AD$82,OldHouses!$B$2:$B$82,"PASTI",OldHouses!$C$2:$C$82,Stock!$D2)</f>
        <v>17.37863653666367</v>
      </c>
      <c r="X2" s="5">
        <f>SUMIFS(OldHouses!AE$2:AE$82,OldHouses!$B$2:$B$82,"PASTI",OldHouses!$C$2:$C$82,Stock!$D2)</f>
        <v>1222.5632852976671</v>
      </c>
      <c r="Y2" s="5">
        <f>SUMIFS(OldHouses!AF$2:AF$82,OldHouses!$B$2:$B$82,"PASTI",OldHouses!$C$2:$C$82,Stock!$D2)</f>
        <v>56.253200618347407</v>
      </c>
      <c r="Z2" s="5">
        <f>SUMIFS(OldHouses!AG$2:AG$82,OldHouses!$B$2:$B$82,"PASTI",OldHouses!$C$2:$C$82,Stock!$D2)</f>
        <v>138.7389169300846</v>
      </c>
      <c r="AA2" s="5">
        <f>SUMIFS(OldHouses!AH$2:AH$82,OldHouses!$B$2:$B$82,"PASTI",OldHouses!$C$2:$C$82,Stock!$D2)</f>
        <v>28.4322911688114</v>
      </c>
      <c r="AB2" s="5">
        <f>SUMIFS(OldHouses!AI$2:AI$82,OldHouses!$B$2:$B$82,"PASTI",OldHouses!$C$2:$C$82,Stock!$D2)</f>
        <v>85.336379889004689</v>
      </c>
      <c r="AC2" s="5">
        <f>SUMIFS(OldHouses!AJ$2:AJ$82,OldHouses!$B$2:$B$82,"PASTI",OldHouses!$C$2:$C$82,Stock!$D2)</f>
        <v>18.323204685276778</v>
      </c>
      <c r="AD2" s="5">
        <f>SUMIFS(OldHouses!AK$2:AK$82,OldHouses!$B$2:$B$82,"PASTI",OldHouses!$C$2:$C$82,Stock!$D2)</f>
        <v>50.561826567590302</v>
      </c>
      <c r="AE2" s="5">
        <f>SUMIFS(OldHouses!AL$2:AL$82,OldHouses!$B$2:$B$82,"PASTI",OldHouses!$C$2:$C$82,Stock!$D2)</f>
        <v>1.595604864868567</v>
      </c>
      <c r="AF2" s="5">
        <f>SUMIFS(OldHouses!AM$2:AM$82,OldHouses!$B$2:$B$82,"PASTI",OldHouses!$C$2:$C$82,Stock!$D2)</f>
        <v>307.28477325768199</v>
      </c>
      <c r="AG2" s="5">
        <f>SUMIFS(OldHouses!AN$2:AN$82,OldHouses!$B$2:$B$82,"PASTI",OldHouses!$C$2:$C$82,Stock!$D2)</f>
        <v>205.69594813181209</v>
      </c>
      <c r="AH2" s="5">
        <f>SUMIFS(OldHouses!AO$2:AO$82,OldHouses!$B$2:$B$82,"PASTI",OldHouses!$C$2:$C$82,Stock!$D2)</f>
        <v>1435.543392276943</v>
      </c>
      <c r="AI2" s="5">
        <f>SUMIFS(OldHouses!AP$2:AP$82,OldHouses!$B$2:$B$82,"PASTI",OldHouses!$C$2:$C$82,Stock!$D2)</f>
        <v>130.70085218113678</v>
      </c>
      <c r="AJ2" s="5">
        <f>SUMIFS(OldHouses!AQ$2:AQ$82,OldHouses!$B$2:$B$82,"PASTI",OldHouses!$C$2:$C$82,Stock!$D2)</f>
        <v>851.44515458477701</v>
      </c>
      <c r="AK2" s="5">
        <f>SUMIFS(OldHouses!AR$2:AR$82,OldHouses!$B$2:$B$82,"PASTI",OldHouses!$C$2:$C$82,Stock!$D2)</f>
        <v>282.3605595944656</v>
      </c>
      <c r="AL2" s="5">
        <f>SUMIFS(OldHouses!AS$2:AS$82,OldHouses!$B$2:$B$82,"PASTI",OldHouses!$C$2:$C$82,Stock!$D2)</f>
        <v>725.91160927914598</v>
      </c>
      <c r="AM2" s="5">
        <f>SUMIFS(OldHouses!AT$2:AT$82,OldHouses!$B$2:$B$82,"PASTI",OldHouses!$C$2:$C$82,Stock!$D2)</f>
        <v>103.5675179566453</v>
      </c>
      <c r="AN2" s="5">
        <f>SUMIFS(OldHouses!AU$2:AU$82,OldHouses!$B$2:$B$82,"PASTI",OldHouses!$C$2:$C$82,Stock!$D2)</f>
        <v>237.772039155638</v>
      </c>
      <c r="AO2" s="5">
        <f>SUMIFS(OldHouses!AV$2:AV$82,OldHouses!$B$2:$B$82,"PASTI",OldHouses!$C$2:$C$82,Stock!$D2)</f>
        <v>2523.4410017930868</v>
      </c>
    </row>
    <row r="3" spans="4:41" s="35" customFormat="1" ht="14.4">
      <c r="D3" s="35" t="s">
        <v>238</v>
      </c>
      <c r="E3" s="5">
        <f>SUMIFS(OldHouses!L$2:L$82,OldHouses!$B$2:$B$82,"PASTI",OldHouses!$C$2:$C$82,Stock!$D3)</f>
        <v>52.397955906877144</v>
      </c>
      <c r="F3" s="5">
        <f>SUMIFS(OldHouses!M$2:M$82,OldHouses!$B$2:$B$82,"PASTI",OldHouses!$C$2:$C$82,Stock!$D3)</f>
        <v>475.16089786299096</v>
      </c>
      <c r="G3" s="5">
        <f>SUMIFS(OldHouses!N$2:N$82,OldHouses!$B$2:$B$82,"PASTI",OldHouses!$C$2:$C$82,Stock!$D3)</f>
        <v>127.53778698842349</v>
      </c>
      <c r="H3" s="5">
        <f>SUMIFS(OldHouses!O$2:O$82,OldHouses!$B$2:$B$82,"PASTI",OldHouses!$C$2:$C$82,Stock!$D3)</f>
        <v>365.40423864371587</v>
      </c>
      <c r="I3" s="5">
        <f>SUMIFS(OldHouses!P$2:P$82,OldHouses!$B$2:$B$82,"PASTI",OldHouses!$C$2:$C$82,Stock!$D3)</f>
        <v>349.10990919147417</v>
      </c>
      <c r="J3" s="5">
        <f>SUMIFS(OldHouses!Q$2:Q$82,OldHouses!$B$2:$B$82,"PASTI",OldHouses!$C$2:$C$82,Stock!$D3)</f>
        <v>393.89956327827781</v>
      </c>
      <c r="K3" s="5">
        <f>SUMIFS(OldHouses!R$2:R$82,OldHouses!$B$2:$B$82,"PASTI",OldHouses!$C$2:$C$82,Stock!$D3)</f>
        <v>91.973915778842496</v>
      </c>
      <c r="L3" s="5">
        <f>SUMIFS(OldHouses!S$2:S$82,OldHouses!$B$2:$B$82,"PASTI",OldHouses!$C$2:$C$82,Stock!$D3)</f>
        <v>442.63691974403002</v>
      </c>
      <c r="M3" s="5">
        <f>SUMIFS(OldHouses!T$2:T$82,OldHouses!$B$2:$B$82,"PASTI",OldHouses!$C$2:$C$82,Stock!$D3)</f>
        <v>3521.9881662213438</v>
      </c>
      <c r="N3" s="5">
        <f>SUMIFS(OldHouses!U$2:U$82,OldHouses!$B$2:$B$82,"PASTI",OldHouses!$C$2:$C$82,Stock!$D3)</f>
        <v>379.30963927654369</v>
      </c>
      <c r="O3" s="5">
        <f>SUMIFS(OldHouses!V$2:V$82,OldHouses!$B$2:$B$82,"PASTI",OldHouses!$C$2:$C$82,Stock!$D3)</f>
        <v>59.771850946074821</v>
      </c>
      <c r="P3" s="5">
        <f>SUMIFS(OldHouses!W$2:W$82,OldHouses!$B$2:$B$82,"PASTI",OldHouses!$C$2:$C$82,Stock!$D3)</f>
        <v>447.34955801039303</v>
      </c>
      <c r="Q3" s="5">
        <f>SUMIFS(OldHouses!X$2:X$82,OldHouses!$B$2:$B$82,"PASTI",OldHouses!$C$2:$C$82,Stock!$D3)</f>
        <v>620.11433156973192</v>
      </c>
      <c r="R3" s="5">
        <f>SUMIFS(OldHouses!Y$2:Y$82,OldHouses!$B$2:$B$82,"PASTI",OldHouses!$C$2:$C$82,Stock!$D3)</f>
        <v>476.26097590452349</v>
      </c>
      <c r="S3" s="5">
        <f>SUMIFS(OldHouses!Z$2:Z$82,OldHouses!$B$2:$B$82,"PASTI",OldHouses!$C$2:$C$82,Stock!$D3)</f>
        <v>3488.730234116867</v>
      </c>
      <c r="T3" s="5">
        <f>SUMIFS(OldHouses!AA$2:AA$82,OldHouses!$B$2:$B$82,"PASTI",OldHouses!$C$2:$C$82,Stock!$D3)</f>
        <v>370.45143165745839</v>
      </c>
      <c r="U3" s="5">
        <f>SUMIFS(OldHouses!AB$2:AB$82,OldHouses!$B$2:$B$82,"PASTI",OldHouses!$C$2:$C$82,Stock!$D3)</f>
        <v>848.46766945526895</v>
      </c>
      <c r="V3" s="5">
        <f>SUMIFS(OldHouses!AC$2:AC$82,OldHouses!$B$2:$B$82,"PASTI",OldHouses!$C$2:$C$82,Stock!$D3)</f>
        <v>315.91686032814823</v>
      </c>
      <c r="W3" s="5">
        <f>SUMIFS(OldHouses!AD$2:AD$82,OldHouses!$B$2:$B$82,"PASTI",OldHouses!$C$2:$C$82,Stock!$D3)</f>
        <v>26.203867165430069</v>
      </c>
      <c r="X3" s="5">
        <f>SUMIFS(OldHouses!AE$2:AE$82,OldHouses!$B$2:$B$82,"PASTI",OldHouses!$C$2:$C$82,Stock!$D3)</f>
        <v>889.2444611915389</v>
      </c>
      <c r="Y3" s="5">
        <f>SUMIFS(OldHouses!AF$2:AF$82,OldHouses!$B$2:$B$82,"PASTI",OldHouses!$C$2:$C$82,Stock!$D3)</f>
        <v>75.075032996299058</v>
      </c>
      <c r="Z3" s="5">
        <f>SUMIFS(OldHouses!AG$2:AG$82,OldHouses!$B$2:$B$82,"PASTI",OldHouses!$C$2:$C$82,Stock!$D3)</f>
        <v>121.88712570644931</v>
      </c>
      <c r="AA3" s="5">
        <f>SUMIFS(OldHouses!AH$2:AH$82,OldHouses!$B$2:$B$82,"PASTI",OldHouses!$C$2:$C$82,Stock!$D3)</f>
        <v>23.879085798445658</v>
      </c>
      <c r="AB3" s="5">
        <f>SUMIFS(OldHouses!AI$2:AI$82,OldHouses!$B$2:$B$82,"PASTI",OldHouses!$C$2:$C$82,Stock!$D3)</f>
        <v>98.992485002584203</v>
      </c>
      <c r="AC3" s="5">
        <f>SUMIFS(OldHouses!AJ$2:AJ$82,OldHouses!$B$2:$B$82,"PASTI",OldHouses!$C$2:$C$82,Stock!$D3)</f>
        <v>24.453989839227642</v>
      </c>
      <c r="AD3" s="5">
        <f>SUMIFS(OldHouses!AK$2:AK$82,OldHouses!$B$2:$B$82,"PASTI",OldHouses!$C$2:$C$82,Stock!$D3)</f>
        <v>65.888293501627103</v>
      </c>
      <c r="AE3" s="5">
        <f>SUMIFS(OldHouses!AL$2:AL$82,OldHouses!$B$2:$B$82,"PASTI",OldHouses!$C$2:$C$82,Stock!$D3)</f>
        <v>1.972517751863814</v>
      </c>
      <c r="AF3" s="5">
        <f>SUMIFS(OldHouses!AM$2:AM$82,OldHouses!$B$2:$B$82,"PASTI",OldHouses!$C$2:$C$82,Stock!$D3)</f>
        <v>328.50430399375728</v>
      </c>
      <c r="AG3" s="5">
        <f>SUMIFS(OldHouses!AN$2:AN$82,OldHouses!$B$2:$B$82,"PASTI",OldHouses!$C$2:$C$82,Stock!$D3)</f>
        <v>257.91655481899897</v>
      </c>
      <c r="AH3" s="5">
        <f>SUMIFS(OldHouses!AO$2:AO$82,OldHouses!$B$2:$B$82,"PASTI",OldHouses!$C$2:$C$82,Stock!$D3)</f>
        <v>1889.3241922531552</v>
      </c>
      <c r="AI3" s="5">
        <f>SUMIFS(OldHouses!AP$2:AP$82,OldHouses!$B$2:$B$82,"PASTI",OldHouses!$C$2:$C$82,Stock!$D3)</f>
        <v>279.11450740176781</v>
      </c>
      <c r="AJ3" s="5">
        <f>SUMIFS(OldHouses!AQ$2:AQ$82,OldHouses!$B$2:$B$82,"PASTI",OldHouses!$C$2:$C$82,Stock!$D3)</f>
        <v>1252.0346721257663</v>
      </c>
      <c r="AK3" s="5">
        <f>SUMIFS(OldHouses!AR$2:AR$82,OldHouses!$B$2:$B$82,"PASTI",OldHouses!$C$2:$C$82,Stock!$D3)</f>
        <v>376.83595058401033</v>
      </c>
      <c r="AL3" s="5">
        <f>SUMIFS(OldHouses!AS$2:AS$82,OldHouses!$B$2:$B$82,"PASTI",OldHouses!$C$2:$C$82,Stock!$D3)</f>
        <v>452.81902767879876</v>
      </c>
      <c r="AM3" s="5">
        <f>SUMIFS(OldHouses!AT$2:AT$82,OldHouses!$B$2:$B$82,"PASTI",OldHouses!$C$2:$C$82,Stock!$D3)</f>
        <v>91.497241047461785</v>
      </c>
      <c r="AN3" s="5">
        <f>SUMIFS(OldHouses!AU$2:AU$82,OldHouses!$B$2:$B$82,"PASTI",OldHouses!$C$2:$C$82,Stock!$D3)</f>
        <v>193.7309670850471</v>
      </c>
      <c r="AO3" s="5">
        <f>SUMIFS(OldHouses!AV$2:AV$82,OldHouses!$B$2:$B$82,"PASTI",OldHouses!$C$2:$C$82,Stock!$D3)</f>
        <v>1287.53654172385</v>
      </c>
    </row>
    <row r="4" spans="4:41" ht="14.4">
      <c r="D4" t="s">
        <v>56</v>
      </c>
      <c r="E4" s="5">
        <f>SUMIFS(OldHouses!L$2:L$82,OldHouses!$B$2:$B$82,"PASTI",OldHouses!$C$2:$C$82,Stock!$D4)</f>
        <v>196.6697242421385</v>
      </c>
      <c r="F4" s="5">
        <f>SUMIFS(OldHouses!M$2:M$82,OldHouses!$B$2:$B$82,"PASTI",OldHouses!$C$2:$C$82,Stock!$D4)</f>
        <v>1468.1931444905656</v>
      </c>
      <c r="G4" s="5">
        <f>SUMIFS(OldHouses!N$2:N$82,OldHouses!$B$2:$B$82,"PASTI",OldHouses!$C$2:$C$82,Stock!$D4)</f>
        <v>271.18740136497502</v>
      </c>
      <c r="H4" s="5">
        <f>SUMIFS(OldHouses!O$2:O$82,OldHouses!$B$2:$B$82,"PASTI",OldHouses!$C$2:$C$82,Stock!$D4)</f>
        <v>905.52301441199245</v>
      </c>
      <c r="I4" s="5">
        <f>SUMIFS(OldHouses!P$2:P$82,OldHouses!$B$2:$B$82,"PASTI",OldHouses!$C$2:$C$82,Stock!$D4)</f>
        <v>777.2177060138215</v>
      </c>
      <c r="J4" s="5">
        <f>SUMIFS(OldHouses!Q$2:Q$82,OldHouses!$B$2:$B$82,"PASTI",OldHouses!$C$2:$C$82,Stock!$D4)</f>
        <v>1648.2852115299656</v>
      </c>
      <c r="K4" s="5">
        <f>SUMIFS(OldHouses!R$2:R$82,OldHouses!$B$2:$B$82,"PASTI",OldHouses!$C$2:$C$82,Stock!$D4)</f>
        <v>83.5448736928291</v>
      </c>
      <c r="L4" s="5">
        <f>SUMIFS(OldHouses!S$2:S$82,OldHouses!$B$2:$B$82,"PASTI",OldHouses!$C$2:$C$82,Stock!$D4)</f>
        <v>2208.0312140248443</v>
      </c>
      <c r="M4" s="5">
        <f>SUMIFS(OldHouses!T$2:T$82,OldHouses!$B$2:$B$82,"PASTI",OldHouses!$C$2:$C$82,Stock!$D4)</f>
        <v>18507.478934742296</v>
      </c>
      <c r="N4" s="5">
        <f>SUMIFS(OldHouses!U$2:U$82,OldHouses!$B$2:$B$82,"PASTI",OldHouses!$C$2:$C$82,Stock!$D4)</f>
        <v>1066.6762517252066</v>
      </c>
      <c r="O4" s="5">
        <f>SUMIFS(OldHouses!V$2:V$82,OldHouses!$B$2:$B$82,"PASTI",OldHouses!$C$2:$C$82,Stock!$D4)</f>
        <v>488.14637875076545</v>
      </c>
      <c r="P4" s="5">
        <f>SUMIFS(OldHouses!W$2:W$82,OldHouses!$B$2:$B$82,"PASTI",OldHouses!$C$2:$C$82,Stock!$D4)</f>
        <v>1679.0753129779869</v>
      </c>
      <c r="Q4" s="5">
        <f>SUMIFS(OldHouses!X$2:X$82,OldHouses!$B$2:$B$82,"PASTI",OldHouses!$C$2:$C$82,Stock!$D4)</f>
        <v>7433.1088118539292</v>
      </c>
      <c r="R4" s="5">
        <f>SUMIFS(OldHouses!Y$2:Y$82,OldHouses!$B$2:$B$82,"PASTI",OldHouses!$C$2:$C$82,Stock!$D4)</f>
        <v>1108.172315230707</v>
      </c>
      <c r="S4" s="5">
        <f>SUMIFS(OldHouses!Z$2:Z$82,OldHouses!$B$2:$B$82,"PASTI",OldHouses!$C$2:$C$82,Stock!$D4)</f>
        <v>9195.3526981771211</v>
      </c>
      <c r="T4" s="5">
        <f>SUMIFS(OldHouses!AA$2:AA$82,OldHouses!$B$2:$B$82,"PASTI",OldHouses!$C$2:$C$82,Stock!$D4)</f>
        <v>505.02472685864484</v>
      </c>
      <c r="U4" s="5">
        <f>SUMIFS(OldHouses!AB$2:AB$82,OldHouses!$B$2:$B$82,"PASTI",OldHouses!$C$2:$C$82,Stock!$D4)</f>
        <v>1314.802305305406</v>
      </c>
      <c r="V4" s="5">
        <f>SUMIFS(OldHouses!AC$2:AC$82,OldHouses!$B$2:$B$82,"PASTI",OldHouses!$C$2:$C$82,Stock!$D4)</f>
        <v>148.11826981024998</v>
      </c>
      <c r="W4" s="5">
        <f>SUMIFS(OldHouses!AD$2:AD$82,OldHouses!$B$2:$B$82,"PASTI",OldHouses!$C$2:$C$82,Stock!$D4)</f>
        <v>67.1621346364728</v>
      </c>
      <c r="X4" s="5">
        <f>SUMIFS(OldHouses!AE$2:AE$82,OldHouses!$B$2:$B$82,"PASTI",OldHouses!$C$2:$C$82,Stock!$D4)</f>
        <v>17047.884154921936</v>
      </c>
      <c r="Y4" s="5">
        <f>SUMIFS(OldHouses!AF$2:AF$82,OldHouses!$B$2:$B$82,"PASTI",OldHouses!$C$2:$C$82,Stock!$D4)</f>
        <v>159.6342824068613</v>
      </c>
      <c r="Z4" s="5">
        <f>SUMIFS(OldHouses!AG$2:AG$82,OldHouses!$B$2:$B$82,"PASTI",OldHouses!$C$2:$C$82,Stock!$D4)</f>
        <v>725.54346604839554</v>
      </c>
      <c r="AA4" s="5">
        <f>SUMIFS(OldHouses!AH$2:AH$82,OldHouses!$B$2:$B$82,"PASTI",OldHouses!$C$2:$C$82,Stock!$D4)</f>
        <v>67.999999638297837</v>
      </c>
      <c r="AB4" s="5">
        <f>SUMIFS(OldHouses!AI$2:AI$82,OldHouses!$B$2:$B$82,"PASTI",OldHouses!$C$2:$C$82,Stock!$D4)</f>
        <v>576.16017362476418</v>
      </c>
      <c r="AC4" s="5">
        <f>SUMIFS(OldHouses!AJ$2:AJ$82,OldHouses!$B$2:$B$82,"PASTI",OldHouses!$C$2:$C$82,Stock!$D4)</f>
        <v>98.552265437365492</v>
      </c>
      <c r="AD4" s="5">
        <f>SUMIFS(OldHouses!AK$2:AK$82,OldHouses!$B$2:$B$82,"PASTI",OldHouses!$C$2:$C$82,Stock!$D4)</f>
        <v>160.89708606674992</v>
      </c>
      <c r="AE4" s="5">
        <f>SUMIFS(OldHouses!AL$2:AL$82,OldHouses!$B$2:$B$82,"PASTI",OldHouses!$C$2:$C$82,Stock!$D4)</f>
        <v>16.335462474584791</v>
      </c>
      <c r="AF4" s="5">
        <f>SUMIFS(OldHouses!AM$2:AM$82,OldHouses!$B$2:$B$82,"PASTI",OldHouses!$C$2:$C$82,Stock!$D4)</f>
        <v>1728.7005676351</v>
      </c>
      <c r="AG4" s="5">
        <f>SUMIFS(OldHouses!AN$2:AN$82,OldHouses!$B$2:$B$82,"PASTI",OldHouses!$C$2:$C$82,Stock!$D4)</f>
        <v>1151.6628112433011</v>
      </c>
      <c r="AH4" s="5">
        <f>SUMIFS(OldHouses!AO$2:AO$82,OldHouses!$B$2:$B$82,"PASTI",OldHouses!$C$2:$C$82,Stock!$D4)</f>
        <v>6734.1391844108875</v>
      </c>
      <c r="AI4" s="5">
        <f>SUMIFS(OldHouses!AP$2:AP$82,OldHouses!$B$2:$B$82,"PASTI",OldHouses!$C$2:$C$82,Stock!$D4)</f>
        <v>514.68576543917493</v>
      </c>
      <c r="AJ4" s="5">
        <f>SUMIFS(OldHouses!AQ$2:AQ$82,OldHouses!$B$2:$B$82,"PASTI",OldHouses!$C$2:$C$82,Stock!$D4)</f>
        <v>2050.9073432785103</v>
      </c>
      <c r="AK4" s="5">
        <f>SUMIFS(OldHouses!AR$2:AR$82,OldHouses!$B$2:$B$82,"PASTI",OldHouses!$C$2:$C$82,Stock!$D4)</f>
        <v>801.27752404119951</v>
      </c>
      <c r="AL4" s="5">
        <f>SUMIFS(OldHouses!AS$2:AS$82,OldHouses!$B$2:$B$82,"PASTI",OldHouses!$C$2:$C$82,Stock!$D4)</f>
        <v>2426.7814922366379</v>
      </c>
      <c r="AM4" s="5">
        <f>SUMIFS(OldHouses!AT$2:AT$82,OldHouses!$B$2:$B$82,"PASTI",OldHouses!$C$2:$C$82,Stock!$D4)</f>
        <v>461.41891138861371</v>
      </c>
      <c r="AN4" s="5">
        <f>SUMIFS(OldHouses!AU$2:AU$82,OldHouses!$B$2:$B$82,"PASTI",OldHouses!$C$2:$C$82,Stock!$D4)</f>
        <v>580.3607520245256</v>
      </c>
      <c r="AO4" s="5">
        <f>SUMIFS(OldHouses!AV$2:AV$82,OldHouses!$B$2:$B$82,"PASTI",OldHouses!$C$2:$C$82,Stock!$D4)</f>
        <v>3928.2270816740343</v>
      </c>
    </row>
    <row r="5" spans="4:41" ht="14.4">
      <c r="D5" t="s">
        <v>61</v>
      </c>
      <c r="E5" s="5">
        <f>SUMIFS(OldHouses!L$2:L$82,OldHouses!$B$2:$B$82,"PASTI",OldHouses!$C$2:$C$82,Stock!$D5)</f>
        <v>48.267498585209182</v>
      </c>
      <c r="F5" s="5">
        <f>SUMIFS(OldHouses!M$2:M$82,OldHouses!$B$2:$B$82,"PASTI",OldHouses!$C$2:$C$82,Stock!$D5)</f>
        <v>470.44080729921609</v>
      </c>
      <c r="G5" s="5">
        <f>SUMIFS(OldHouses!N$2:N$82,OldHouses!$B$2:$B$82,"PASTI",OldHouses!$C$2:$C$82,Stock!$D5)</f>
        <v>79.842639754449635</v>
      </c>
      <c r="H5" s="5">
        <f>SUMIFS(OldHouses!O$2:O$82,OldHouses!$B$2:$B$82,"PASTI",OldHouses!$C$2:$C$82,Stock!$D5)</f>
        <v>1585.6864897222927</v>
      </c>
      <c r="I5" s="5">
        <f>SUMIFS(OldHouses!P$2:P$82,OldHouses!$B$2:$B$82,"PASTI",OldHouses!$C$2:$C$82,Stock!$D5)</f>
        <v>335.33279917511499</v>
      </c>
      <c r="J5" s="5">
        <f>SUMIFS(OldHouses!Q$2:Q$82,OldHouses!$B$2:$B$82,"PASTI",OldHouses!$C$2:$C$82,Stock!$D5)</f>
        <v>944.09207412879709</v>
      </c>
      <c r="K5" s="5">
        <f>SUMIFS(OldHouses!R$2:R$82,OldHouses!$B$2:$B$82,"PASTI",OldHouses!$C$2:$C$82,Stock!$D5)</f>
        <v>108.10427898788026</v>
      </c>
      <c r="L5" s="5">
        <f>SUMIFS(OldHouses!S$2:S$82,OldHouses!$B$2:$B$82,"PASTI",OldHouses!$C$2:$C$82,Stock!$D5)</f>
        <v>608.7805815509671</v>
      </c>
      <c r="M5" s="5">
        <f>SUMIFS(OldHouses!T$2:T$82,OldHouses!$B$2:$B$82,"PASTI",OldHouses!$C$2:$C$82,Stock!$D5)</f>
        <v>8085.1738767626766</v>
      </c>
      <c r="N5" s="5">
        <f>SUMIFS(OldHouses!U$2:U$82,OldHouses!$B$2:$B$82,"PASTI",OldHouses!$C$2:$C$82,Stock!$D5)</f>
        <v>531.00509997213032</v>
      </c>
      <c r="O5" s="5">
        <f>SUMIFS(OldHouses!V$2:V$82,OldHouses!$B$2:$B$82,"PASTI",OldHouses!$C$2:$C$82,Stock!$D5)</f>
        <v>51.805680544886428</v>
      </c>
      <c r="P5" s="5">
        <f>SUMIFS(OldHouses!W$2:W$82,OldHouses!$B$2:$B$82,"PASTI",OldHouses!$C$2:$C$82,Stock!$D5)</f>
        <v>412.08562022410109</v>
      </c>
      <c r="Q5" s="5">
        <f>SUMIFS(OldHouses!X$2:X$82,OldHouses!$B$2:$B$82,"PASTI",OldHouses!$C$2:$C$82,Stock!$D5)</f>
        <v>2157.0210401387399</v>
      </c>
      <c r="R5" s="5">
        <f>SUMIFS(OldHouses!Y$2:Y$82,OldHouses!$B$2:$B$82,"PASTI",OldHouses!$C$2:$C$82,Stock!$D5)</f>
        <v>598.70621603794291</v>
      </c>
      <c r="S5" s="5">
        <f>SUMIFS(OldHouses!Z$2:Z$82,OldHouses!$B$2:$B$82,"PASTI",OldHouses!$C$2:$C$82,Stock!$D5)</f>
        <v>5600.5710921203936</v>
      </c>
      <c r="T5" s="5">
        <f>SUMIFS(OldHouses!AA$2:AA$82,OldHouses!$B$2:$B$82,"PASTI",OldHouses!$C$2:$C$82,Stock!$D5)</f>
        <v>227.6395973924549</v>
      </c>
      <c r="U5" s="5">
        <f>SUMIFS(OldHouses!AB$2:AB$82,OldHouses!$B$2:$B$82,"PASTI",OldHouses!$C$2:$C$82,Stock!$D5)</f>
        <v>567.53090466114179</v>
      </c>
      <c r="V5" s="5">
        <f>SUMIFS(OldHouses!AC$2:AC$82,OldHouses!$B$2:$B$82,"PASTI",OldHouses!$C$2:$C$82,Stock!$D5)</f>
        <v>700.17966555581438</v>
      </c>
      <c r="W5" s="5">
        <f>SUMIFS(OldHouses!AD$2:AD$82,OldHouses!$B$2:$B$82,"PASTI",OldHouses!$C$2:$C$82,Stock!$D5)</f>
        <v>40.71030431771505</v>
      </c>
      <c r="X5" s="5">
        <f>SUMIFS(OldHouses!AE$2:AE$82,OldHouses!$B$2:$B$82,"PASTI",OldHouses!$C$2:$C$82,Stock!$D5)</f>
        <v>3755.6580946086474</v>
      </c>
      <c r="Y5" s="5">
        <f>SUMIFS(OldHouses!AF$2:AF$82,OldHouses!$B$2:$B$82,"PASTI",OldHouses!$C$2:$C$82,Stock!$D5)</f>
        <v>46.999316481953841</v>
      </c>
      <c r="Z5" s="5">
        <f>SUMIFS(OldHouses!AG$2:AG$82,OldHouses!$B$2:$B$82,"PASTI",OldHouses!$C$2:$C$82,Stock!$D5)</f>
        <v>131.79385110597451</v>
      </c>
      <c r="AA5" s="5">
        <f>SUMIFS(OldHouses!AH$2:AH$82,OldHouses!$B$2:$B$82,"PASTI",OldHouses!$C$2:$C$82,Stock!$D5)</f>
        <v>67.68862239444509</v>
      </c>
      <c r="AB5" s="5">
        <f>SUMIFS(OldHouses!AI$2:AI$82,OldHouses!$B$2:$B$82,"PASTI",OldHouses!$C$2:$C$82,Stock!$D5)</f>
        <v>73.615615852930219</v>
      </c>
      <c r="AC5" s="5">
        <f>SUMIFS(OldHouses!AJ$2:AJ$82,OldHouses!$B$2:$B$82,"PASTI",OldHouses!$C$2:$C$82,Stock!$D5)</f>
        <v>24.187105315257188</v>
      </c>
      <c r="AD5" s="5">
        <f>SUMIFS(OldHouses!AK$2:AK$82,OldHouses!$B$2:$B$82,"PASTI",OldHouses!$C$2:$C$82,Stock!$D5)</f>
        <v>63.28810873327032</v>
      </c>
      <c r="AE5" s="5">
        <f>SUMIFS(OldHouses!AL$2:AL$82,OldHouses!$B$2:$B$82,"PASTI",OldHouses!$C$2:$C$82,Stock!$D5)</f>
        <v>45.592677880469346</v>
      </c>
      <c r="AF5" s="5">
        <f>SUMIFS(OldHouses!AM$2:AM$82,OldHouses!$B$2:$B$82,"PASTI",OldHouses!$C$2:$C$82,Stock!$D5)</f>
        <v>3357.5157752383084</v>
      </c>
      <c r="AG5" s="5">
        <f>SUMIFS(OldHouses!AN$2:AN$82,OldHouses!$B$2:$B$82,"PASTI",OldHouses!$C$2:$C$82,Stock!$D5)</f>
        <v>364.13057789423277</v>
      </c>
      <c r="AH5" s="5">
        <f>SUMIFS(OldHouses!AO$2:AO$82,OldHouses!$B$2:$B$82,"PASTI",OldHouses!$C$2:$C$82,Stock!$D5)</f>
        <v>1247.6752592255091</v>
      </c>
      <c r="AI5" s="5">
        <f>SUMIFS(OldHouses!AP$2:AP$82,OldHouses!$B$2:$B$82,"PASTI",OldHouses!$C$2:$C$82,Stock!$D5)</f>
        <v>330.83001010664282</v>
      </c>
      <c r="AJ5" s="5">
        <f>SUMIFS(OldHouses!AQ$2:AQ$82,OldHouses!$B$2:$B$82,"PASTI",OldHouses!$C$2:$C$82,Stock!$D5)</f>
        <v>604.09854527430878</v>
      </c>
      <c r="AK5" s="5">
        <f>SUMIFS(OldHouses!AR$2:AR$82,OldHouses!$B$2:$B$82,"PASTI",OldHouses!$C$2:$C$82,Stock!$D5)</f>
        <v>235.91107984126933</v>
      </c>
      <c r="AL5" s="5">
        <f>SUMIFS(OldHouses!AS$2:AS$82,OldHouses!$B$2:$B$82,"PASTI",OldHouses!$C$2:$C$82,Stock!$D5)</f>
        <v>565.48786980541706</v>
      </c>
      <c r="AM5" s="5">
        <f>SUMIFS(OldHouses!AT$2:AT$82,OldHouses!$B$2:$B$82,"PASTI",OldHouses!$C$2:$C$82,Stock!$D5)</f>
        <v>64.875141320435105</v>
      </c>
      <c r="AN5" s="5">
        <f>SUMIFS(OldHouses!AU$2:AU$82,OldHouses!$B$2:$B$82,"PASTI",OldHouses!$C$2:$C$82,Stock!$D5)</f>
        <v>128.41321929206771</v>
      </c>
      <c r="AO5" s="5">
        <f>SUMIFS(OldHouses!AV$2:AV$82,OldHouses!$B$2:$B$82,"PASTI",OldHouses!$C$2:$C$82,Stock!$D5)</f>
        <v>13230.78919135222</v>
      </c>
    </row>
    <row r="6" spans="5:41" ht="14.4">
      <c r="E6">
        <f>E3/SUM(E2:E5)</f>
        <v>0.15863608477089225</v>
      </c>
      <c r="F6" s="35">
        <f t="shared" si="0" ref="F6:U6">F3/SUM(F2:F5)</f>
        <v>0.16086451031507021</v>
      </c>
      <c r="G6" s="35">
        <f t="shared" si="0"/>
        <v>0.22214056670298757</v>
      </c>
      <c r="H6" s="35">
        <f t="shared" si="0"/>
        <v>0.10617288084260385</v>
      </c>
      <c r="I6" s="35">
        <f t="shared" si="0"/>
        <v>0.20184863941010339</v>
      </c>
      <c r="J6" s="35">
        <f t="shared" si="0"/>
        <v>0.11470817614026506</v>
      </c>
      <c r="K6" s="35">
        <f t="shared" si="0"/>
        <v>0.30915471090562147</v>
      </c>
      <c r="L6" s="35">
        <f t="shared" si="0"/>
        <v>0.11515397182355619</v>
      </c>
      <c r="M6" s="35">
        <f t="shared" si="0"/>
        <v>0.10260320611571289</v>
      </c>
      <c r="N6" s="35">
        <f t="shared" si="0"/>
        <v>0.14616588949272952</v>
      </c>
      <c r="O6" s="35">
        <f t="shared" si="0"/>
        <v>0.091728079165886281</v>
      </c>
      <c r="P6" s="35">
        <f t="shared" si="0"/>
        <v>0.15863608477089236</v>
      </c>
      <c r="Q6" s="35">
        <f t="shared" si="0"/>
        <v>0.058705633977589371</v>
      </c>
      <c r="R6" s="35">
        <f t="shared" si="0"/>
        <v>0.19058062261085376</v>
      </c>
      <c r="S6" s="35">
        <f t="shared" si="0"/>
        <v>0.16538354137650829</v>
      </c>
      <c r="T6" s="35">
        <f t="shared" si="0"/>
        <v>0.270649808585818</v>
      </c>
      <c r="U6" s="35">
        <f t="shared" si="0"/>
        <v>0.24816286670271623</v>
      </c>
      <c r="V6" s="35">
        <f t="shared" si="1" ref="V6">V3/SUM(V2:V5)</f>
        <v>0.24046189943802632</v>
      </c>
      <c r="W6" s="35">
        <f t="shared" si="2" ref="W6">W3/SUM(W2:W5)</f>
        <v>0.17301427543964848</v>
      </c>
      <c r="X6" s="35">
        <f t="shared" si="3" ref="X6">X3/SUM(X2:X5)</f>
        <v>0.038805624236417667</v>
      </c>
      <c r="Y6" s="35">
        <f t="shared" si="4" ref="Y6">Y3/SUM(Y2:Y5)</f>
        <v>0.22214056670298737</v>
      </c>
      <c r="Z6" s="35">
        <f t="shared" si="5" ref="Z6">Z3/SUM(Z2:Z5)</f>
        <v>0.10902604690841231</v>
      </c>
      <c r="AA6" s="35">
        <f t="shared" si="6" ref="AA6">AA3/SUM(AA2:AA5)</f>
        <v>0.12701641449713869</v>
      </c>
      <c r="AB6" s="35">
        <f t="shared" si="7" ref="AB6">AB3/SUM(AB2:AB5)</f>
        <v>0.11868113249822156</v>
      </c>
      <c r="AC6" s="35">
        <f t="shared" si="8" ref="AC6">AC3/SUM(AC2:AC5)</f>
        <v>0.14774345877878703</v>
      </c>
      <c r="AD6" s="35">
        <f t="shared" si="9" ref="AD6">AD3/SUM(AD2:AD5)</f>
        <v>0.19342766479429815</v>
      </c>
      <c r="AE6" s="35">
        <f t="shared" si="10" ref="AE6">AE3/SUM(AE2:AE5)</f>
        <v>0.030116493099972819</v>
      </c>
      <c r="AF6" s="35">
        <f t="shared" si="11" ref="AF6">AF3/SUM(AF2:AF5)</f>
        <v>0.057410694306296146</v>
      </c>
      <c r="AG6" s="35">
        <f t="shared" si="12" ref="AG6">AG3/SUM(AG2:AG5)</f>
        <v>0.13029998336869034</v>
      </c>
      <c r="AH6" s="35">
        <f t="shared" si="13" ref="AH6">AH3/SUM(AH2:AH5)</f>
        <v>0.16709802111234662</v>
      </c>
      <c r="AI6" s="35">
        <f t="shared" si="14" ref="AI6">AI3/SUM(AI2:AI5)</f>
        <v>0.22234333204294118</v>
      </c>
      <c r="AJ6" s="35">
        <f t="shared" si="15" ref="AJ6:AK6">AJ3/SUM(AJ2:AJ5)</f>
        <v>0.26311619852293106</v>
      </c>
      <c r="AK6" s="35">
        <f t="shared" si="15"/>
        <v>0.22214056670298746</v>
      </c>
      <c r="AL6" s="35">
        <f t="shared" si="16" ref="AL6">AL3/SUM(AL2:AL5)</f>
        <v>0.10856366046208642</v>
      </c>
      <c r="AM6" s="35">
        <f t="shared" si="17" ref="AM6">AM3/SUM(AM2:AM5)</f>
        <v>0.12684012389086213</v>
      </c>
      <c r="AN6" s="35">
        <f t="shared" si="18" ref="AN6">AN3/SUM(AN2:AN5)</f>
        <v>0.16989816588252182</v>
      </c>
      <c r="AO6" s="35">
        <f t="shared" si="19" ref="AO6">AO3/SUM(AO2:AO5)</f>
        <v>0.061398994820309138</v>
      </c>
    </row>
    <row r="8" spans="4:41" ht="14.4">
      <c r="D8" s="7" t="s">
        <v>66</v>
      </c>
      <c r="E8" t="str">
        <f>E1</f>
        <v>AL</v>
      </c>
      <c r="F8" t="str">
        <f t="shared" si="20" ref="F8:AO8">F1</f>
        <v>AT</v>
      </c>
      <c r="G8" t="str">
        <f t="shared" si="20"/>
        <v>BA</v>
      </c>
      <c r="H8" t="str">
        <f t="shared" si="20"/>
        <v>BE</v>
      </c>
      <c r="I8" t="str">
        <f t="shared" si="20"/>
        <v>BG</v>
      </c>
      <c r="J8" t="str">
        <f t="shared" si="20"/>
        <v>CH</v>
      </c>
      <c r="K8" t="str">
        <f t="shared" si="20"/>
        <v>CY</v>
      </c>
      <c r="L8" t="str">
        <f t="shared" si="20"/>
        <v>CZ</v>
      </c>
      <c r="M8" t="str">
        <f t="shared" si="20"/>
        <v>DE</v>
      </c>
      <c r="N8" t="str">
        <f t="shared" si="20"/>
        <v>DK</v>
      </c>
      <c r="O8" t="str">
        <f t="shared" si="20"/>
        <v>EE</v>
      </c>
      <c r="P8" t="str">
        <f t="shared" si="20"/>
        <v>EL</v>
      </c>
      <c r="Q8" t="str">
        <f t="shared" si="20"/>
        <v>ES</v>
      </c>
      <c r="R8" t="str">
        <f t="shared" si="20"/>
        <v>FI</v>
      </c>
      <c r="S8" t="str">
        <f t="shared" si="20"/>
        <v>FR</v>
      </c>
      <c r="T8" t="str">
        <f t="shared" si="20"/>
        <v>HR</v>
      </c>
      <c r="U8" t="str">
        <f t="shared" si="20"/>
        <v>HU</v>
      </c>
      <c r="V8" t="str">
        <f t="shared" si="20"/>
        <v>IE</v>
      </c>
      <c r="W8" t="str">
        <f t="shared" si="20"/>
        <v>IS</v>
      </c>
      <c r="X8" t="str">
        <f t="shared" si="20"/>
        <v>IT</v>
      </c>
      <c r="Y8" t="str">
        <f t="shared" si="20"/>
        <v>KS</v>
      </c>
      <c r="Z8" t="str">
        <f t="shared" si="20"/>
        <v>LT</v>
      </c>
      <c r="AA8" t="str">
        <f t="shared" si="20"/>
        <v>LU</v>
      </c>
      <c r="AB8" t="str">
        <f t="shared" si="20"/>
        <v>LV</v>
      </c>
      <c r="AC8" t="str">
        <f t="shared" si="20"/>
        <v>ME</v>
      </c>
      <c r="AD8" t="str">
        <f t="shared" si="20"/>
        <v>MK</v>
      </c>
      <c r="AE8" t="str">
        <f t="shared" si="20"/>
        <v>MT</v>
      </c>
      <c r="AF8" t="str">
        <f t="shared" si="20"/>
        <v>NL</v>
      </c>
      <c r="AG8" t="str">
        <f t="shared" si="20"/>
        <v>NO</v>
      </c>
      <c r="AH8" t="str">
        <f t="shared" si="20"/>
        <v>PL</v>
      </c>
      <c r="AI8" t="str">
        <f t="shared" si="20"/>
        <v>PT</v>
      </c>
      <c r="AJ8" t="str">
        <f t="shared" si="20"/>
        <v>RO</v>
      </c>
      <c r="AK8" t="str">
        <f t="shared" si="20"/>
        <v>RS</v>
      </c>
      <c r="AL8" t="str">
        <f t="shared" si="20"/>
        <v>SE</v>
      </c>
      <c r="AM8" t="str">
        <f t="shared" si="20"/>
        <v>SI</v>
      </c>
      <c r="AN8" t="str">
        <f t="shared" si="20"/>
        <v>SK</v>
      </c>
      <c r="AO8" t="str">
        <f t="shared" si="20"/>
        <v>UK</v>
      </c>
    </row>
    <row r="9" spans="4:41" ht="14.4">
      <c r="D9" t="str">
        <f>D2</f>
        <v>Rdw_DetH</v>
      </c>
      <c r="E9" s="6">
        <v>0.0030000000000000001</v>
      </c>
      <c r="F9" s="6">
        <v>0.0030000000000000001</v>
      </c>
      <c r="G9" s="6">
        <v>0.0030000000000000001</v>
      </c>
      <c r="H9" s="6">
        <v>0.0030000000000000001</v>
      </c>
      <c r="I9" s="6">
        <v>0.0030000000000000001</v>
      </c>
      <c r="J9" s="6">
        <v>0.0030000000000000001</v>
      </c>
      <c r="K9" s="6">
        <v>0.0030000000000000001</v>
      </c>
      <c r="L9" s="6">
        <v>0.0030000000000000001</v>
      </c>
      <c r="M9" s="6">
        <v>0.0030000000000000001</v>
      </c>
      <c r="N9" s="6">
        <v>0.0030000000000000001</v>
      </c>
      <c r="O9" s="6">
        <v>0.0030000000000000001</v>
      </c>
      <c r="P9" s="6">
        <v>0.0030000000000000001</v>
      </c>
      <c r="Q9" s="6">
        <v>0.0030000000000000001</v>
      </c>
      <c r="R9" s="6">
        <v>0.0030000000000000001</v>
      </c>
      <c r="S9" s="6">
        <v>0.0030000000000000001</v>
      </c>
      <c r="T9" s="6">
        <v>0.0030000000000000001</v>
      </c>
      <c r="U9" s="6">
        <v>0.0030000000000000001</v>
      </c>
      <c r="V9" s="6">
        <v>0.0030000000000000001</v>
      </c>
      <c r="W9" s="6">
        <v>0.0030000000000000001</v>
      </c>
      <c r="X9" s="6">
        <v>0.0030000000000000001</v>
      </c>
      <c r="Y9" s="6">
        <v>0.0030000000000000001</v>
      </c>
      <c r="Z9" s="6">
        <v>0.0030000000000000001</v>
      </c>
      <c r="AA9" s="6">
        <v>0.0030000000000000001</v>
      </c>
      <c r="AB9" s="6">
        <v>0.0030000000000000001</v>
      </c>
      <c r="AC9" s="6">
        <v>0.0030000000000000001</v>
      </c>
      <c r="AD9" s="6">
        <v>0.0030000000000000001</v>
      </c>
      <c r="AE9" s="6">
        <v>0.0030000000000000001</v>
      </c>
      <c r="AF9" s="6">
        <v>0.0030000000000000001</v>
      </c>
      <c r="AG9" s="6">
        <v>0.0030000000000000001</v>
      </c>
      <c r="AH9" s="6">
        <v>0.0030000000000000001</v>
      </c>
      <c r="AI9" s="6">
        <v>0.0030000000000000001</v>
      </c>
      <c r="AJ9" s="6">
        <v>0.0030000000000000001</v>
      </c>
      <c r="AK9" s="6">
        <v>0.0030000000000000001</v>
      </c>
      <c r="AL9" s="6">
        <v>0.0030000000000000001</v>
      </c>
      <c r="AM9" s="6">
        <v>0.0030000000000000001</v>
      </c>
      <c r="AN9" s="6">
        <v>0.0030000000000000001</v>
      </c>
      <c r="AO9" s="6">
        <v>0.0030000000000000001</v>
      </c>
    </row>
    <row r="10" spans="4:41" s="35" customFormat="1" ht="14.4">
      <c r="D10" s="35" t="str">
        <f>D3</f>
        <v>Rdw_DetH-70</v>
      </c>
      <c r="E10" s="6">
        <v>0.001</v>
      </c>
      <c r="F10" s="6">
        <v>0.001</v>
      </c>
      <c r="G10" s="6">
        <v>0.001</v>
      </c>
      <c r="H10" s="6">
        <v>0.001</v>
      </c>
      <c r="I10" s="6">
        <v>0.001</v>
      </c>
      <c r="J10" s="6">
        <v>0.001</v>
      </c>
      <c r="K10" s="6">
        <v>0.001</v>
      </c>
      <c r="L10" s="6">
        <v>0.001</v>
      </c>
      <c r="M10" s="6">
        <v>0.001</v>
      </c>
      <c r="N10" s="6">
        <v>0.001</v>
      </c>
      <c r="O10" s="6">
        <v>0.001</v>
      </c>
      <c r="P10" s="6">
        <v>0.001</v>
      </c>
      <c r="Q10" s="6">
        <v>0.001</v>
      </c>
      <c r="R10" s="6">
        <v>0.001</v>
      </c>
      <c r="S10" s="6">
        <v>0.001</v>
      </c>
      <c r="T10" s="6">
        <v>0.001</v>
      </c>
      <c r="U10" s="6">
        <v>0.001</v>
      </c>
      <c r="V10" s="6">
        <v>0.001</v>
      </c>
      <c r="W10" s="6">
        <v>0.001</v>
      </c>
      <c r="X10" s="6">
        <v>0.001</v>
      </c>
      <c r="Y10" s="6">
        <v>0.001</v>
      </c>
      <c r="Z10" s="6">
        <v>0.001</v>
      </c>
      <c r="AA10" s="6">
        <v>0.001</v>
      </c>
      <c r="AB10" s="6">
        <v>0.001</v>
      </c>
      <c r="AC10" s="6">
        <v>0.001</v>
      </c>
      <c r="AD10" s="6">
        <v>0.001</v>
      </c>
      <c r="AE10" s="6">
        <v>0.001</v>
      </c>
      <c r="AF10" s="6">
        <v>0.001</v>
      </c>
      <c r="AG10" s="6">
        <v>0.001</v>
      </c>
      <c r="AH10" s="6">
        <v>0.001</v>
      </c>
      <c r="AI10" s="6">
        <v>0.001</v>
      </c>
      <c r="AJ10" s="6">
        <v>0.001</v>
      </c>
      <c r="AK10" s="6">
        <v>0.001</v>
      </c>
      <c r="AL10" s="6">
        <v>0.001</v>
      </c>
      <c r="AM10" s="6">
        <v>0.001</v>
      </c>
      <c r="AN10" s="6">
        <v>0.001</v>
      </c>
      <c r="AO10" s="6">
        <v>0.001</v>
      </c>
    </row>
    <row r="11" spans="4:41" ht="14.4">
      <c r="D11" t="str">
        <f>D4</f>
        <v>Rdw_Flat</v>
      </c>
      <c r="E11" s="6">
        <f>E12</f>
        <v>0.002</v>
      </c>
      <c r="F11" s="6">
        <f t="shared" si="21" ref="F11:AO11">F12</f>
        <v>0.002</v>
      </c>
      <c r="G11" s="6">
        <f t="shared" si="21"/>
        <v>0.002</v>
      </c>
      <c r="H11" s="6">
        <f t="shared" si="21"/>
        <v>0.0025000000000000001</v>
      </c>
      <c r="I11" s="6">
        <f t="shared" si="21"/>
        <v>0.002</v>
      </c>
      <c r="J11" s="6">
        <f t="shared" si="21"/>
        <v>0.002</v>
      </c>
      <c r="K11" s="6">
        <f t="shared" si="21"/>
        <v>0.002</v>
      </c>
      <c r="L11" s="6">
        <f t="shared" si="21"/>
        <v>0.002</v>
      </c>
      <c r="M11" s="6">
        <f t="shared" si="21"/>
        <v>0.002</v>
      </c>
      <c r="N11" s="6">
        <f t="shared" si="21"/>
        <v>0.002</v>
      </c>
      <c r="O11" s="6">
        <f t="shared" si="21"/>
        <v>0.002</v>
      </c>
      <c r="P11" s="6">
        <f t="shared" si="21"/>
        <v>0.002</v>
      </c>
      <c r="Q11" s="6">
        <f t="shared" si="21"/>
        <v>0.0020999999999999999</v>
      </c>
      <c r="R11" s="6">
        <f t="shared" si="21"/>
        <v>0.002</v>
      </c>
      <c r="S11" s="6">
        <f t="shared" si="21"/>
        <v>0.002</v>
      </c>
      <c r="T11" s="6">
        <f t="shared" si="21"/>
        <v>0.002</v>
      </c>
      <c r="U11" s="6">
        <f t="shared" si="21"/>
        <v>0.002</v>
      </c>
      <c r="V11" s="6">
        <f t="shared" si="21"/>
        <v>0.012999999999999999</v>
      </c>
      <c r="W11" s="6">
        <f t="shared" si="21"/>
        <v>0.002</v>
      </c>
      <c r="X11" s="6">
        <f t="shared" si="21"/>
        <v>0.002</v>
      </c>
      <c r="Y11" s="6">
        <f t="shared" si="21"/>
        <v>0.002</v>
      </c>
      <c r="Z11" s="6">
        <f t="shared" si="21"/>
        <v>0.002</v>
      </c>
      <c r="AA11" s="6">
        <f t="shared" si="21"/>
        <v>0.002</v>
      </c>
      <c r="AB11" s="6">
        <f t="shared" si="21"/>
        <v>0.002</v>
      </c>
      <c r="AC11" s="6">
        <f t="shared" si="21"/>
        <v>0.002</v>
      </c>
      <c r="AD11" s="6">
        <f t="shared" si="21"/>
        <v>0.002</v>
      </c>
      <c r="AE11" s="6">
        <f t="shared" si="21"/>
        <v>0.002</v>
      </c>
      <c r="AF11" s="6">
        <f t="shared" si="21"/>
        <v>0.002</v>
      </c>
      <c r="AG11" s="6">
        <f t="shared" si="21"/>
        <v>0.002</v>
      </c>
      <c r="AH11" s="6">
        <f t="shared" si="21"/>
        <v>0.002</v>
      </c>
      <c r="AI11" s="6">
        <f t="shared" si="21"/>
        <v>0.002</v>
      </c>
      <c r="AJ11" s="6">
        <f t="shared" si="21"/>
        <v>0.002</v>
      </c>
      <c r="AK11" s="6">
        <f t="shared" si="21"/>
        <v>0.002</v>
      </c>
      <c r="AL11" s="6">
        <f t="shared" si="21"/>
        <v>0.0012000000000000008</v>
      </c>
      <c r="AM11" s="6">
        <f t="shared" si="21"/>
        <v>0.002</v>
      </c>
      <c r="AN11" s="6">
        <f t="shared" si="21"/>
        <v>0.002</v>
      </c>
      <c r="AO11" s="6">
        <f t="shared" si="21"/>
        <v>0.0044299999999999999</v>
      </c>
    </row>
    <row r="12" spans="4:41" ht="14.4">
      <c r="D12" t="str">
        <f>D5</f>
        <v>Rdw_SDetH</v>
      </c>
      <c r="E12" s="6">
        <v>0.002</v>
      </c>
      <c r="F12" s="6">
        <f>HLOOKUP(F8,Demolition!$G$3:$AJ$4,2,FALSE)</f>
        <v>0.002</v>
      </c>
      <c r="G12" s="6">
        <v>0.002</v>
      </c>
      <c r="H12" s="6">
        <f>HLOOKUP(H8,Demolition!$G$3:$AJ$4,2,FALSE)</f>
        <v>0.0025000000000000001</v>
      </c>
      <c r="I12" s="6">
        <f>HLOOKUP(I8,Demolition!$G$3:$AJ$4,2,FALSE)</f>
        <v>0.002</v>
      </c>
      <c r="J12" s="6">
        <f>HLOOKUP(J8,Demolition!$G$3:$AJ$4,2,FALSE)</f>
        <v>0.002</v>
      </c>
      <c r="K12" s="6">
        <f>HLOOKUP(K8,Demolition!$G$3:$AJ$4,2,FALSE)</f>
        <v>0.002</v>
      </c>
      <c r="L12" s="6">
        <f>HLOOKUP(L8,Demolition!$G$3:$AJ$4,2,FALSE)</f>
        <v>0.002</v>
      </c>
      <c r="M12" s="6">
        <f>HLOOKUP(M8,Demolition!$G$3:$AJ$4,2,FALSE)</f>
        <v>0.002</v>
      </c>
      <c r="N12" s="6">
        <f>HLOOKUP(N8,Demolition!$G$3:$AJ$4,2,FALSE)</f>
        <v>0.002</v>
      </c>
      <c r="O12" s="6">
        <f>HLOOKUP(O8,Demolition!$G$3:$AJ$4,2,FALSE)</f>
        <v>0.002</v>
      </c>
      <c r="P12" s="6">
        <v>0.002</v>
      </c>
      <c r="Q12" s="6">
        <f>HLOOKUP(Q8,Demolition!$G$3:$AJ$4,2,FALSE)</f>
        <v>0.0020999999999999999</v>
      </c>
      <c r="R12" s="6">
        <f>HLOOKUP(R8,Demolition!$G$3:$AJ$4,2,FALSE)</f>
        <v>0.002</v>
      </c>
      <c r="S12" s="6">
        <f>HLOOKUP(S8,Demolition!$G$3:$AJ$4,2,FALSE)</f>
        <v>0.002</v>
      </c>
      <c r="T12" s="6">
        <v>0.002</v>
      </c>
      <c r="U12" s="6">
        <f>HLOOKUP(U8,Demolition!$G$3:$AJ$4,2,FALSE)</f>
        <v>0.002</v>
      </c>
      <c r="V12" s="6">
        <f>HLOOKUP(V8,Demolition!$G$3:$AJ$4,2,FALSE)</f>
        <v>0.012999999999999999</v>
      </c>
      <c r="W12" s="6">
        <f>HLOOKUP(W8,Demolition!$G$3:$AJ$4,2,FALSE)</f>
        <v>0.002</v>
      </c>
      <c r="X12" s="6">
        <f>HLOOKUP(X8,Demolition!$G$3:$AJ$4,2,FALSE)</f>
        <v>0.002</v>
      </c>
      <c r="Y12" s="6">
        <v>0.002</v>
      </c>
      <c r="Z12" s="6">
        <f>HLOOKUP(Z8,Demolition!$G$3:$AJ$4,2,FALSE)</f>
        <v>0.002</v>
      </c>
      <c r="AA12" s="6">
        <f>HLOOKUP(AA8,Demolition!$G$3:$AJ$4,2,FALSE)</f>
        <v>0.002</v>
      </c>
      <c r="AB12" s="6">
        <f>HLOOKUP(AB8,Demolition!$G$3:$AJ$4,2,FALSE)</f>
        <v>0.002</v>
      </c>
      <c r="AC12" s="6">
        <v>0.002</v>
      </c>
      <c r="AD12" s="6">
        <v>0.002</v>
      </c>
      <c r="AE12" s="6">
        <f>HLOOKUP(AE8,Demolition!$G$3:$AJ$4,2,FALSE)</f>
        <v>0.002</v>
      </c>
      <c r="AF12" s="6">
        <f>HLOOKUP(AF8,Demolition!$G$3:$AJ$4,2,FALSE)</f>
        <v>0.002</v>
      </c>
      <c r="AG12" s="6">
        <f>HLOOKUP(AG8,Demolition!$G$3:$AJ$4,2,FALSE)</f>
        <v>0.002</v>
      </c>
      <c r="AH12" s="6">
        <f>HLOOKUP(AH8,Demolition!$G$3:$AJ$4,2,FALSE)</f>
        <v>0.002</v>
      </c>
      <c r="AI12" s="6">
        <f>HLOOKUP(AI8,Demolition!$G$3:$AJ$4,2,FALSE)</f>
        <v>0.002</v>
      </c>
      <c r="AJ12" s="6">
        <f>HLOOKUP(AJ8,Demolition!$G$3:$AJ$4,2,FALSE)</f>
        <v>0.002</v>
      </c>
      <c r="AK12" s="6">
        <v>0.002</v>
      </c>
      <c r="AL12" s="6">
        <f>HLOOKUP(AL8,Demolition!$G$3:$AJ$4,2,FALSE)</f>
        <v>0.0012000000000000008</v>
      </c>
      <c r="AM12" s="6">
        <f>HLOOKUP(AM8,Demolition!$G$3:$AJ$4,2,FALSE)</f>
        <v>0.002</v>
      </c>
      <c r="AN12" s="6">
        <f>HLOOKUP(AN8,Demolition!$G$3:$AJ$4,2,FALSE)</f>
        <v>0.002</v>
      </c>
      <c r="AO12" s="6">
        <f>HLOOKUP(AO8,Demolition!$G$3:$AJ$4,2,FALSE)</f>
        <v>0.0044299999999999999</v>
      </c>
    </row>
    <row r="13" spans="2:2" ht="14.4">
      <c r="B13" s="9" t="s">
        <v>71</v>
      </c>
    </row>
    <row r="14" spans="4:4" ht="14.4">
      <c r="D14" s="9" t="s">
        <v>70</v>
      </c>
    </row>
    <row r="15" spans="2:42" ht="15" thickBot="1">
      <c r="B15" s="7" t="s">
        <v>69</v>
      </c>
      <c r="C15" s="7" t="s">
        <v>67</v>
      </c>
      <c r="D15" s="7" t="s">
        <v>2</v>
      </c>
      <c r="E15" s="8" t="str">
        <f>E$1</f>
        <v>AL</v>
      </c>
      <c r="F15" s="8" t="str">
        <f t="shared" si="22" ref="F15:AO15">F$1</f>
        <v>AT</v>
      </c>
      <c r="G15" s="8" t="str">
        <f t="shared" si="22"/>
        <v>BA</v>
      </c>
      <c r="H15" s="8" t="str">
        <f t="shared" si="22"/>
        <v>BE</v>
      </c>
      <c r="I15" s="8" t="str">
        <f t="shared" si="22"/>
        <v>BG</v>
      </c>
      <c r="J15" s="8" t="str">
        <f t="shared" si="22"/>
        <v>CH</v>
      </c>
      <c r="K15" s="8" t="str">
        <f t="shared" si="22"/>
        <v>CY</v>
      </c>
      <c r="L15" s="8" t="str">
        <f t="shared" si="22"/>
        <v>CZ</v>
      </c>
      <c r="M15" s="8" t="str">
        <f t="shared" si="22"/>
        <v>DE</v>
      </c>
      <c r="N15" s="8" t="str">
        <f t="shared" si="22"/>
        <v>DK</v>
      </c>
      <c r="O15" s="8" t="str">
        <f t="shared" si="22"/>
        <v>EE</v>
      </c>
      <c r="P15" s="8" t="str">
        <f t="shared" si="22"/>
        <v>EL</v>
      </c>
      <c r="Q15" s="8" t="str">
        <f t="shared" si="22"/>
        <v>ES</v>
      </c>
      <c r="R15" s="8" t="str">
        <f t="shared" si="22"/>
        <v>FI</v>
      </c>
      <c r="S15" s="8" t="str">
        <f t="shared" si="22"/>
        <v>FR</v>
      </c>
      <c r="T15" s="8" t="str">
        <f t="shared" si="22"/>
        <v>HR</v>
      </c>
      <c r="U15" s="8" t="str">
        <f t="shared" si="22"/>
        <v>HU</v>
      </c>
      <c r="V15" s="8" t="str">
        <f t="shared" si="22"/>
        <v>IE</v>
      </c>
      <c r="W15" s="8" t="str">
        <f t="shared" si="22"/>
        <v>IS</v>
      </c>
      <c r="X15" s="8" t="str">
        <f t="shared" si="22"/>
        <v>IT</v>
      </c>
      <c r="Y15" s="8" t="str">
        <f t="shared" si="22"/>
        <v>KS</v>
      </c>
      <c r="Z15" s="8" t="str">
        <f t="shared" si="22"/>
        <v>LT</v>
      </c>
      <c r="AA15" s="8" t="str">
        <f t="shared" si="22"/>
        <v>LU</v>
      </c>
      <c r="AB15" s="8" t="str">
        <f t="shared" si="22"/>
        <v>LV</v>
      </c>
      <c r="AC15" s="8" t="str">
        <f t="shared" si="22"/>
        <v>ME</v>
      </c>
      <c r="AD15" s="8" t="str">
        <f t="shared" si="22"/>
        <v>MK</v>
      </c>
      <c r="AE15" s="8" t="str">
        <f t="shared" si="22"/>
        <v>MT</v>
      </c>
      <c r="AF15" s="8" t="str">
        <f t="shared" si="22"/>
        <v>NL</v>
      </c>
      <c r="AG15" s="8" t="str">
        <f t="shared" si="22"/>
        <v>NO</v>
      </c>
      <c r="AH15" s="8" t="str">
        <f t="shared" si="22"/>
        <v>PL</v>
      </c>
      <c r="AI15" s="8" t="str">
        <f t="shared" si="22"/>
        <v>PT</v>
      </c>
      <c r="AJ15" s="8" t="str">
        <f t="shared" si="22"/>
        <v>RO</v>
      </c>
      <c r="AK15" s="8" t="str">
        <f t="shared" si="22"/>
        <v>RS</v>
      </c>
      <c r="AL15" s="8" t="str">
        <f t="shared" si="22"/>
        <v>SE</v>
      </c>
      <c r="AM15" s="8" t="str">
        <f t="shared" si="22"/>
        <v>SI</v>
      </c>
      <c r="AN15" s="8" t="str">
        <f t="shared" si="22"/>
        <v>SK</v>
      </c>
      <c r="AO15" s="8" t="str">
        <f t="shared" si="22"/>
        <v>UK</v>
      </c>
      <c r="AP15" t="s">
        <v>68</v>
      </c>
    </row>
    <row r="16" spans="2:42" ht="15" thickTop="1">
      <c r="B16" t="str">
        <f>"UCR_OldStock-"&amp;MID(C16,5,20)</f>
        <v>UCR_OldStock-DetH</v>
      </c>
      <c r="C16" s="7" t="str">
        <f>D9</f>
        <v>Rdw_DetH</v>
      </c>
      <c r="D16">
        <v>2012</v>
      </c>
      <c r="E16" s="39">
        <f>E2*(1-E$9)^2</f>
        <v>32.770193240792544</v>
      </c>
      <c r="F16" s="39">
        <f t="shared" si="23" ref="F16:AO16">F2*(1-F$9)^2</f>
        <v>536.76569914611537</v>
      </c>
      <c r="G16" s="39">
        <f t="shared" si="23"/>
        <v>94.990658686790979</v>
      </c>
      <c r="H16" s="39">
        <f>H2*(1-H$9)^2</f>
        <v>581.47834591742594</v>
      </c>
      <c r="I16" s="39">
        <f t="shared" si="23"/>
        <v>266.29743776496417</v>
      </c>
      <c r="J16" s="39">
        <f t="shared" si="23"/>
        <v>444.96879988929447</v>
      </c>
      <c r="K16" s="39">
        <f t="shared" si="23"/>
        <v>13.795046489459491</v>
      </c>
      <c r="L16" s="39">
        <f t="shared" si="23"/>
        <v>580.92020727719034</v>
      </c>
      <c r="M16" s="39">
        <f t="shared" si="23"/>
        <v>4186.4243779900444</v>
      </c>
      <c r="N16" s="39">
        <f t="shared" si="23"/>
        <v>614.36878321575182</v>
      </c>
      <c r="O16" s="39">
        <f t="shared" si="23"/>
        <v>51.585180284531489</v>
      </c>
      <c r="P16" s="39">
        <f t="shared" si="23"/>
        <v>279.77678152631182</v>
      </c>
      <c r="Q16" s="39">
        <f t="shared" si="23"/>
        <v>350.75623768213859</v>
      </c>
      <c r="R16" s="39">
        <f t="shared" si="23"/>
        <v>313.9681726143005</v>
      </c>
      <c r="S16" s="39">
        <f t="shared" si="23"/>
        <v>2793.295398213731</v>
      </c>
      <c r="T16" s="39">
        <f t="shared" si="23"/>
        <v>264.04101560479069</v>
      </c>
      <c r="U16" s="39">
        <f t="shared" si="23"/>
        <v>684.07142603138595</v>
      </c>
      <c r="V16" s="39">
        <f t="shared" si="23"/>
        <v>148.68084148899121</v>
      </c>
      <c r="W16" s="39">
        <f t="shared" si="23"/>
        <v>17.274521125172519</v>
      </c>
      <c r="X16" s="39">
        <f t="shared" si="23"/>
        <v>1215.2389086554488</v>
      </c>
      <c r="Y16" s="39">
        <f t="shared" si="23"/>
        <v>55.916187693442886</v>
      </c>
      <c r="Z16" s="39">
        <f t="shared" si="23"/>
        <v>137.90773207875645</v>
      </c>
      <c r="AA16" s="39">
        <f t="shared" si="23"/>
        <v>28.261953312419053</v>
      </c>
      <c r="AB16" s="39">
        <f t="shared" si="23"/>
        <v>84.82512963708966</v>
      </c>
      <c r="AC16" s="39">
        <f t="shared" si="23"/>
        <v>18.213430366007284</v>
      </c>
      <c r="AD16" s="39">
        <f t="shared" si="23"/>
        <v>50.258910664623869</v>
      </c>
      <c r="AE16" s="39">
        <f t="shared" si="23"/>
        <v>1.5860455961231394</v>
      </c>
      <c r="AF16" s="39">
        <f t="shared" si="23"/>
        <v>305.44383018109522</v>
      </c>
      <c r="AG16" s="39">
        <f t="shared" si="23"/>
        <v>204.46362370655442</v>
      </c>
      <c r="AH16" s="39">
        <f t="shared" si="23"/>
        <v>1426.943051813812</v>
      </c>
      <c r="AI16" s="39">
        <f t="shared" si="23"/>
        <v>129.91782337571959</v>
      </c>
      <c r="AJ16" s="39">
        <f t="shared" si="23"/>
        <v>846.34414666365967</v>
      </c>
      <c r="AK16" s="39">
        <f t="shared" si="23"/>
        <v>280.66893748193519</v>
      </c>
      <c r="AL16" s="39">
        <f t="shared" si="23"/>
        <v>721.56267282795466</v>
      </c>
      <c r="AM16" s="39">
        <f t="shared" si="23"/>
        <v>102.94704495656704</v>
      </c>
      <c r="AN16" s="39">
        <f t="shared" si="23"/>
        <v>236.34754686905657</v>
      </c>
      <c r="AO16" s="39">
        <f t="shared" si="23"/>
        <v>2508.3230667513444</v>
      </c>
      <c r="AP16">
        <v>1</v>
      </c>
    </row>
    <row r="17" spans="4:41" ht="14.4">
      <c r="D17">
        <f>D16+2</f>
        <v>2014</v>
      </c>
      <c r="E17" s="39">
        <f>E16*(1-E$9)^2</f>
        <v>32.573867013086954</v>
      </c>
      <c r="F17" s="39">
        <f t="shared" si="24" ref="F17:AO24">F16*(1-F$9)^2</f>
        <v>533.549935842531</v>
      </c>
      <c r="G17" s="39">
        <f t="shared" si="24"/>
        <v>94.421569650598414</v>
      </c>
      <c r="H17" s="39">
        <f t="shared" si="24"/>
        <v>577.99470914703465</v>
      </c>
      <c r="I17" s="39">
        <f t="shared" si="24"/>
        <v>264.7020498153143</v>
      </c>
      <c r="J17" s="39">
        <f t="shared" si="24"/>
        <v>442.30299180915773</v>
      </c>
      <c r="K17" s="39">
        <f t="shared" si="24"/>
        <v>13.712400365941139</v>
      </c>
      <c r="L17" s="39">
        <f t="shared" si="24"/>
        <v>577.43991431539268</v>
      </c>
      <c r="M17" s="39">
        <f t="shared" si="24"/>
        <v>4161.3435095415061</v>
      </c>
      <c r="N17" s="39">
        <f t="shared" si="24"/>
        <v>610.68809983550625</v>
      </c>
      <c r="O17" s="39">
        <f t="shared" si="24"/>
        <v>51.276133469446862</v>
      </c>
      <c r="P17" s="39">
        <f t="shared" si="24"/>
        <v>278.1006388281877</v>
      </c>
      <c r="Q17" s="39">
        <f t="shared" si="24"/>
        <v>348.65485706218493</v>
      </c>
      <c r="R17" s="39">
        <f t="shared" si="24"/>
        <v>312.08718929216826</v>
      </c>
      <c r="S17" s="39">
        <f t="shared" si="24"/>
        <v>2776.5607654830328</v>
      </c>
      <c r="T17" s="39">
        <f t="shared" si="24"/>
        <v>262.4591458803024</v>
      </c>
      <c r="U17" s="39">
        <f t="shared" si="24"/>
        <v>679.97315411803197</v>
      </c>
      <c r="V17" s="39">
        <f t="shared" si="24"/>
        <v>147.79009456763066</v>
      </c>
      <c r="W17" s="39">
        <f t="shared" si="24"/>
        <v>17.171029469111613</v>
      </c>
      <c r="X17" s="39">
        <f t="shared" si="24"/>
        <v>1207.958412353694</v>
      </c>
      <c r="Y17" s="39">
        <f t="shared" si="24"/>
        <v>55.58119381297147</v>
      </c>
      <c r="Z17" s="39">
        <f t="shared" si="24"/>
        <v>137.08152685587262</v>
      </c>
      <c r="AA17" s="39">
        <f t="shared" si="24"/>
        <v>28.09263595012435</v>
      </c>
      <c r="AB17" s="39">
        <f t="shared" si="24"/>
        <v>84.316942285433853</v>
      </c>
      <c r="AC17" s="39">
        <f t="shared" si="24"/>
        <v>18.104313704684536</v>
      </c>
      <c r="AD17" s="39">
        <f t="shared" si="24"/>
        <v>49.957809530832108</v>
      </c>
      <c r="AE17" s="39">
        <f t="shared" si="24"/>
        <v>1.5765435969567658</v>
      </c>
      <c r="AF17" s="39">
        <f t="shared" si="24"/>
        <v>303.61391619448028</v>
      </c>
      <c r="AG17" s="39">
        <f t="shared" si="24"/>
        <v>203.23868213692845</v>
      </c>
      <c r="AH17" s="39">
        <f t="shared" si="24"/>
        <v>1418.3942359903954</v>
      </c>
      <c r="AI17" s="39">
        <f t="shared" si="24"/>
        <v>129.13948569587566</v>
      </c>
      <c r="AJ17" s="39">
        <f t="shared" si="24"/>
        <v>841.2736988809977</v>
      </c>
      <c r="AK17" s="39">
        <f t="shared" si="24"/>
        <v>278.98744987748091</v>
      </c>
      <c r="AL17" s="39">
        <f t="shared" si="24"/>
        <v>717.23979085504243</v>
      </c>
      <c r="AM17" s="39">
        <f t="shared" si="24"/>
        <v>102.33028921023225</v>
      </c>
      <c r="AN17" s="39">
        <f t="shared" si="24"/>
        <v>234.93158871576406</v>
      </c>
      <c r="AO17" s="39">
        <f t="shared" si="24"/>
        <v>2493.2957032584372</v>
      </c>
    </row>
    <row r="18" spans="4:41" ht="14.4">
      <c r="D18">
        <f t="shared" si="25" ref="D18:D43">D17+2</f>
        <v>2016</v>
      </c>
      <c r="E18" s="39">
        <f t="shared" si="26" ref="E18:E43">E17*(1-E$9)^2</f>
        <v>32.37871697581155</v>
      </c>
      <c r="F18" s="39">
        <f t="shared" si="24"/>
        <v>530.35343817689841</v>
      </c>
      <c r="G18" s="39">
        <f t="shared" si="24"/>
        <v>93.855890026821683</v>
      </c>
      <c r="H18" s="39">
        <f t="shared" si="24"/>
        <v>574.5319428445348</v>
      </c>
      <c r="I18" s="39">
        <f t="shared" si="24"/>
        <v>263.11621983487078</v>
      </c>
      <c r="J18" s="39">
        <f t="shared" si="24"/>
        <v>439.65315458522906</v>
      </c>
      <c r="K18" s="39">
        <f t="shared" si="24"/>
        <v>13.630249375348786</v>
      </c>
      <c r="L18" s="39">
        <f t="shared" si="24"/>
        <v>573.98047178872923</v>
      </c>
      <c r="M18" s="39">
        <f t="shared" si="24"/>
        <v>4136.4129005758432</v>
      </c>
      <c r="N18" s="39">
        <f t="shared" si="24"/>
        <v>607.02946742939173</v>
      </c>
      <c r="O18" s="39">
        <f t="shared" si="24"/>
        <v>50.968938153831409</v>
      </c>
      <c r="P18" s="39">
        <f t="shared" si="24"/>
        <v>276.43453790096805</v>
      </c>
      <c r="Q18" s="39">
        <f t="shared" si="24"/>
        <v>346.56606581352537</v>
      </c>
      <c r="R18" s="39">
        <f t="shared" si="24"/>
        <v>310.21747494111889</v>
      </c>
      <c r="S18" s="39">
        <f t="shared" si="24"/>
        <v>2759.9263899370239</v>
      </c>
      <c r="T18" s="39">
        <f t="shared" si="24"/>
        <v>260.88675313733353</v>
      </c>
      <c r="U18" s="39">
        <f t="shared" si="24"/>
        <v>675.89943495171087</v>
      </c>
      <c r="V18" s="39">
        <f t="shared" si="24"/>
        <v>146.90468411107599</v>
      </c>
      <c r="W18" s="39">
        <f t="shared" si="24"/>
        <v>17.068157831562164</v>
      </c>
      <c r="X18" s="39">
        <f t="shared" si="24"/>
        <v>1200.7215335052831</v>
      </c>
      <c r="Y18" s="39">
        <f t="shared" si="24"/>
        <v>55.248206880837962</v>
      </c>
      <c r="Z18" s="39">
        <f t="shared" si="24"/>
        <v>136.26027142847909</v>
      </c>
      <c r="AA18" s="39">
        <f t="shared" si="24"/>
        <v>27.924332968147155</v>
      </c>
      <c r="AB18" s="39">
        <f t="shared" si="24"/>
        <v>83.811799484201828</v>
      </c>
      <c r="AC18" s="39">
        <f t="shared" si="24"/>
        <v>17.995850761279772</v>
      </c>
      <c r="AD18" s="39">
        <f t="shared" si="24"/>
        <v>49.658512293932894</v>
      </c>
      <c r="AE18" s="39">
        <f t="shared" si="24"/>
        <v>1.5670985242673978</v>
      </c>
      <c r="AF18" s="39">
        <f t="shared" si="24"/>
        <v>301.79496522255914</v>
      </c>
      <c r="AG18" s="39">
        <f t="shared" si="24"/>
        <v>202.02107919224611</v>
      </c>
      <c r="AH18" s="39">
        <f t="shared" si="24"/>
        <v>1409.8966361225769</v>
      </c>
      <c r="AI18" s="39">
        <f t="shared" si="24"/>
        <v>128.36581103707167</v>
      </c>
      <c r="AJ18" s="39">
        <f t="shared" si="24"/>
        <v>836.23362815100165</v>
      </c>
      <c r="AK18" s="39">
        <f t="shared" si="24"/>
        <v>277.31603606526494</v>
      </c>
      <c r="AL18" s="39">
        <f t="shared" si="24"/>
        <v>712.94280726802992</v>
      </c>
      <c r="AM18" s="39">
        <f t="shared" si="24"/>
        <v>101.71722844757376</v>
      </c>
      <c r="AN18" s="39">
        <f t="shared" si="24"/>
        <v>233.52411356776793</v>
      </c>
      <c r="AO18" s="39">
        <f t="shared" si="24"/>
        <v>2478.358368700216</v>
      </c>
    </row>
    <row r="19" spans="4:41" ht="14.4">
      <c r="D19">
        <f t="shared" si="25"/>
        <v>2018</v>
      </c>
      <c r="E19" s="39">
        <f t="shared" si="26"/>
        <v>32.184736082409465</v>
      </c>
      <c r="F19" s="39">
        <f t="shared" si="24"/>
        <v>527.17609072878065</v>
      </c>
      <c r="G19" s="39">
        <f t="shared" si="24"/>
        <v>93.293599389671002</v>
      </c>
      <c r="H19" s="39">
        <f t="shared" si="24"/>
        <v>571.0899219749532</v>
      </c>
      <c r="I19" s="39">
        <f t="shared" si="24"/>
        <v>261.53989056184008</v>
      </c>
      <c r="J19" s="39">
        <f t="shared" si="24"/>
        <v>437.01919253610896</v>
      </c>
      <c r="K19" s="39">
        <f t="shared" si="24"/>
        <v>13.548590551341071</v>
      </c>
      <c r="L19" s="39">
        <f t="shared" si="24"/>
        <v>570.54175478224295</v>
      </c>
      <c r="M19" s="39">
        <f>M18*(1-M$9)^2</f>
        <v>4111.6316508884938</v>
      </c>
      <c r="N19" s="39">
        <f t="shared" si="24"/>
        <v>603.39275389002228</v>
      </c>
      <c r="O19" s="39">
        <f t="shared" si="24"/>
        <v>50.663583245351809</v>
      </c>
      <c r="P19" s="39">
        <f t="shared" si="24"/>
        <v>274.77841858440337</v>
      </c>
      <c r="Q19" s="39">
        <f t="shared" si="24"/>
        <v>344.48978851323653</v>
      </c>
      <c r="R19" s="39">
        <f t="shared" si="24"/>
        <v>308.35896204874666</v>
      </c>
      <c r="S19" s="39">
        <f t="shared" si="24"/>
        <v>2743.3916709349114</v>
      </c>
      <c r="T19" s="39">
        <f t="shared" si="24"/>
        <v>259.32378059928777</v>
      </c>
      <c r="U19" s="39">
        <f t="shared" si="24"/>
        <v>671.85012143691517</v>
      </c>
      <c r="V19" s="39">
        <f t="shared" si="24"/>
        <v>146.02457814856655</v>
      </c>
      <c r="W19" s="39">
        <f t="shared" si="24"/>
        <v>16.965902497993277</v>
      </c>
      <c r="X19" s="39">
        <f t="shared" si="24"/>
        <v>1193.5280107980529</v>
      </c>
      <c r="Y19" s="39">
        <f t="shared" si="24"/>
        <v>54.917214873414864</v>
      </c>
      <c r="Z19" s="39">
        <f t="shared" si="24"/>
        <v>135.44393614235108</v>
      </c>
      <c r="AA19" s="39">
        <f t="shared" si="24"/>
        <v>27.757038289334986</v>
      </c>
      <c r="AB19" s="39">
        <f t="shared" si="24"/>
        <v>83.309682993491975</v>
      </c>
      <c r="AC19" s="39">
        <f t="shared" si="24"/>
        <v>17.888037619368944</v>
      </c>
      <c r="AD19" s="39">
        <f t="shared" si="24"/>
        <v>49.361008146779945</v>
      </c>
      <c r="AE19" s="39">
        <f t="shared" si="24"/>
        <v>1.557710037008512</v>
      </c>
      <c r="AF19" s="39">
        <f t="shared" si="24"/>
        <v>299.98691158591078</v>
      </c>
      <c r="AG19" s="39">
        <f t="shared" si="24"/>
        <v>200.81077090680537</v>
      </c>
      <c r="AH19" s="39">
        <f t="shared" si="24"/>
        <v>1401.4499453755666</v>
      </c>
      <c r="AI19" s="39">
        <f t="shared" si="24"/>
        <v>127.59677146314857</v>
      </c>
      <c r="AJ19" s="39">
        <f t="shared" si="24"/>
        <v>831.22375248474907</v>
      </c>
      <c r="AK19" s="39">
        <f t="shared" si="24"/>
        <v>275.65463569319792</v>
      </c>
      <c r="AL19" s="39">
        <f t="shared" si="24"/>
        <v>708.67156690968716</v>
      </c>
      <c r="AM19" s="39">
        <f t="shared" si="24"/>
        <v>101.10784053194435</v>
      </c>
      <c r="AN19" s="39">
        <f t="shared" si="24"/>
        <v>232.12507060338345</v>
      </c>
      <c r="AO19" s="39">
        <f t="shared" si="24"/>
        <v>2463.510523713333</v>
      </c>
    </row>
    <row r="20" spans="4:41" ht="14.4">
      <c r="D20">
        <f t="shared" si="25"/>
        <v>2020</v>
      </c>
      <c r="E20" s="39">
        <f t="shared" si="26"/>
        <v>31.991917328539753</v>
      </c>
      <c r="F20" s="39">
        <f t="shared" si="24"/>
        <v>524.01777876922449</v>
      </c>
      <c r="G20" s="39">
        <f t="shared" si="24"/>
        <v>92.734677435727491</v>
      </c>
      <c r="H20" s="39">
        <f t="shared" si="24"/>
        <v>567.66852225240132</v>
      </c>
      <c r="I20" s="39">
        <f t="shared" si="24"/>
        <v>259.97300507748412</v>
      </c>
      <c r="J20" s="39">
        <f t="shared" si="24"/>
        <v>434.40101055362516</v>
      </c>
      <c r="K20" s="39">
        <f t="shared" si="24"/>
        <v>13.467420945347987</v>
      </c>
      <c r="L20" s="39">
        <f t="shared" si="24"/>
        <v>567.12363912934256</v>
      </c>
      <c r="M20" s="39">
        <f t="shared" si="24"/>
        <v>4086.9988656680212</v>
      </c>
      <c r="N20" s="39">
        <f t="shared" si="24"/>
        <v>599.77782790146716</v>
      </c>
      <c r="O20" s="39">
        <f t="shared" si="24"/>
        <v>50.360057718128907</v>
      </c>
      <c r="P20" s="39">
        <f t="shared" si="24"/>
        <v>273.1322210786642</v>
      </c>
      <c r="Q20" s="39">
        <f t="shared" si="24"/>
        <v>342.42595019025373</v>
      </c>
      <c r="R20" s="39">
        <f t="shared" si="24"/>
        <v>306.51158350711262</v>
      </c>
      <c r="S20" s="39">
        <f t="shared" si="24"/>
        <v>2726.9560114343403</v>
      </c>
      <c r="T20" s="39">
        <f t="shared" si="24"/>
        <v>257.77017182971747</v>
      </c>
      <c r="U20" s="39">
        <f t="shared" si="24"/>
        <v>667.82506735938659</v>
      </c>
      <c r="V20" s="39">
        <f t="shared" si="24"/>
        <v>145.14974490087849</v>
      </c>
      <c r="W20" s="39">
        <f t="shared" si="24"/>
        <v>16.864259776127799</v>
      </c>
      <c r="X20" s="39">
        <f t="shared" si="24"/>
        <v>1186.3775844853619</v>
      </c>
      <c r="Y20" s="39">
        <f t="shared" si="24"/>
        <v>54.588205839108234</v>
      </c>
      <c r="Z20" s="39">
        <f t="shared" si="24"/>
        <v>134.63249152092226</v>
      </c>
      <c r="AA20" s="39">
        <f t="shared" si="24"/>
        <v>27.590745872943582</v>
      </c>
      <c r="AB20" s="39">
        <f t="shared" si="24"/>
        <v>82.810574682677967</v>
      </c>
      <c r="AC20" s="39">
        <f t="shared" si="24"/>
        <v>17.780870385991307</v>
      </c>
      <c r="AD20" s="39">
        <f t="shared" si="24"/>
        <v>49.065286346972584</v>
      </c>
      <c r="AE20" s="39">
        <f t="shared" si="24"/>
        <v>1.5483777961767939</v>
      </c>
      <c r="AF20" s="39">
        <f t="shared" si="24"/>
        <v>298.18968999859959</v>
      </c>
      <c r="AG20" s="39">
        <f t="shared" si="24"/>
        <v>199.60771357830271</v>
      </c>
      <c r="AH20" s="39">
        <f t="shared" si="24"/>
        <v>1393.0538587528215</v>
      </c>
      <c r="AI20" s="39">
        <f t="shared" si="24"/>
        <v>126.83233920531285</v>
      </c>
      <c r="AJ20" s="39">
        <f t="shared" si="24"/>
        <v>826.24389098361291</v>
      </c>
      <c r="AK20" s="39">
        <f t="shared" si="24"/>
        <v>274.00318877076</v>
      </c>
      <c r="AL20" s="39">
        <f t="shared" si="24"/>
        <v>704.42591555233128</v>
      </c>
      <c r="AM20" s="39">
        <f t="shared" si="24"/>
        <v>100.50210345931747</v>
      </c>
      <c r="AN20" s="39">
        <f t="shared" si="24"/>
        <v>230.7344093053986</v>
      </c>
      <c r="AO20" s="39">
        <f t="shared" si="24"/>
        <v>2448.7516321657663</v>
      </c>
    </row>
    <row r="21" spans="4:41" ht="14.4">
      <c r="D21">
        <f t="shared" si="25"/>
        <v>2022</v>
      </c>
      <c r="E21" s="39">
        <f t="shared" si="26"/>
        <v>31.800253751824471</v>
      </c>
      <c r="F21" s="39">
        <f t="shared" si="24"/>
        <v>520.87838825661811</v>
      </c>
      <c r="G21" s="39">
        <f t="shared" si="24"/>
        <v>92.179103983210055</v>
      </c>
      <c r="H21" s="39">
        <f t="shared" si="24"/>
        <v>564.26762013558721</v>
      </c>
      <c r="I21" s="39">
        <f t="shared" si="24"/>
        <v>258.41550680406493</v>
      </c>
      <c r="J21" s="39">
        <f t="shared" si="24"/>
        <v>431.7985140993984</v>
      </c>
      <c r="K21" s="39">
        <f t="shared" si="24"/>
        <v>13.386737626464408</v>
      </c>
      <c r="L21" s="39">
        <f t="shared" si="24"/>
        <v>563.72600140731868</v>
      </c>
      <c r="M21" s="39">
        <f t="shared" si="24"/>
        <v>4062.5136554638043</v>
      </c>
      <c r="N21" s="39">
        <f t="shared" si="24"/>
        <v>596.18455893450948</v>
      </c>
      <c r="O21" s="39">
        <f t="shared" si="24"/>
        <v>50.058350612339595</v>
      </c>
      <c r="P21" s="39">
        <f t="shared" si="24"/>
        <v>271.49588594218193</v>
      </c>
      <c r="Q21" s="39">
        <f t="shared" si="24"/>
        <v>340.37447632266395</v>
      </c>
      <c r="R21" s="39">
        <f t="shared" si="24"/>
        <v>304.67527261032154</v>
      </c>
      <c r="S21" s="39">
        <f t="shared" si="24"/>
        <v>2710.6188179698374</v>
      </c>
      <c r="T21" s="39">
        <f t="shared" si="24"/>
        <v>256.22587073028564</v>
      </c>
      <c r="U21" s="39">
        <f t="shared" si="24"/>
        <v>663.82412738083656</v>
      </c>
      <c r="V21" s="39">
        <f t="shared" si="24"/>
        <v>144.28015277917734</v>
      </c>
      <c r="W21" s="39">
        <f t="shared" si="24"/>
        <v>16.76322599580902</v>
      </c>
      <c r="X21" s="39">
        <f t="shared" si="24"/>
        <v>1179.2699963767102</v>
      </c>
      <c r="Y21" s="39">
        <f t="shared" si="24"/>
        <v>54.261167897926136</v>
      </c>
      <c r="Z21" s="39">
        <f t="shared" si="24"/>
        <v>133.82590826422043</v>
      </c>
      <c r="AA21" s="39">
        <f t="shared" si="24"/>
        <v>27.425449714418779</v>
      </c>
      <c r="AB21" s="39">
        <f t="shared" si="24"/>
        <v>82.31445652975404</v>
      </c>
      <c r="AC21" s="39">
        <f t="shared" si="24"/>
        <v>17.674345191508834</v>
      </c>
      <c r="AD21" s="39">
        <f t="shared" si="24"/>
        <v>48.771336216467873</v>
      </c>
      <c r="AE21" s="39">
        <f t="shared" si="24"/>
        <v>1.5391014647998988</v>
      </c>
      <c r="AF21" s="39">
        <f t="shared" si="24"/>
        <v>296.40323556581797</v>
      </c>
      <c r="AG21" s="39">
        <f t="shared" si="24"/>
        <v>198.4118637662551</v>
      </c>
      <c r="AH21" s="39">
        <f t="shared" si="24"/>
        <v>1384.7080730850334</v>
      </c>
      <c r="AI21" s="39">
        <f t="shared" si="24"/>
        <v>126.07248666113382</v>
      </c>
      <c r="AJ21" s="39">
        <f t="shared" si="24"/>
        <v>821.29386383273015</v>
      </c>
      <c r="AK21" s="39">
        <f t="shared" si="24"/>
        <v>272.36163566683439</v>
      </c>
      <c r="AL21" s="39">
        <f t="shared" si="24"/>
        <v>700.20569989225726</v>
      </c>
      <c r="AM21" s="39">
        <f t="shared" si="24"/>
        <v>99.899995357492699</v>
      </c>
      <c r="AN21" s="39">
        <f t="shared" si="24"/>
        <v>229.35207945924998</v>
      </c>
      <c r="AO21" s="39">
        <f t="shared" si="24"/>
        <v>2434.0811611374611</v>
      </c>
    </row>
    <row r="22" spans="4:41" ht="14.4">
      <c r="D22">
        <f t="shared" si="25"/>
        <v>2024</v>
      </c>
      <c r="E22" s="39">
        <f t="shared" si="26"/>
        <v>31.609738431597293</v>
      </c>
      <c r="F22" s="39">
        <f t="shared" si="24"/>
        <v>517.75780583257267</v>
      </c>
      <c r="G22" s="39">
        <f t="shared" si="24"/>
        <v>91.626858971246648</v>
      </c>
      <c r="H22" s="39">
        <f t="shared" si="24"/>
        <v>560.88709282335492</v>
      </c>
      <c r="I22" s="39">
        <f t="shared" si="24"/>
        <v>256.86733950280177</v>
      </c>
      <c r="J22" s="39">
        <f t="shared" si="24"/>
        <v>429.21160920142893</v>
      </c>
      <c r="K22" s="39">
        <f t="shared" si="24"/>
        <v>13.30653768134426</v>
      </c>
      <c r="L22" s="39">
        <f t="shared" si="24"/>
        <v>560.34871893288744</v>
      </c>
      <c r="M22" s="39">
        <f t="shared" si="24"/>
        <v>4038.1751361539209</v>
      </c>
      <c r="N22" s="39">
        <f t="shared" si="24"/>
        <v>592.61281724193282</v>
      </c>
      <c r="O22" s="39">
        <f t="shared" si="24"/>
        <v>49.758451033821068</v>
      </c>
      <c r="P22" s="39">
        <f t="shared" si="24"/>
        <v>269.86935408950234</v>
      </c>
      <c r="Q22" s="39">
        <f t="shared" si="24"/>
        <v>338.33529283501491</v>
      </c>
      <c r="R22" s="39">
        <f t="shared" si="24"/>
        <v>302.84996305211314</v>
      </c>
      <c r="S22" s="39">
        <f t="shared" si="24"/>
        <v>2694.3795006313803</v>
      </c>
      <c r="T22" s="39">
        <f t="shared" si="24"/>
        <v>254.69082153874049</v>
      </c>
      <c r="U22" s="39">
        <f t="shared" si="24"/>
        <v>659.84715703369795</v>
      </c>
      <c r="V22" s="39">
        <f t="shared" si="24"/>
        <v>143.41577038387729</v>
      </c>
      <c r="W22" s="39">
        <f t="shared" si="24"/>
        <v>16.662797508868127</v>
      </c>
      <c r="X22" s="39">
        <f t="shared" si="24"/>
        <v>1172.2049898284174</v>
      </c>
      <c r="Y22" s="39">
        <f t="shared" si="24"/>
        <v>53.936089241049665</v>
      </c>
      <c r="Z22" s="39">
        <f t="shared" si="24"/>
        <v>133.02415724780948</v>
      </c>
      <c r="AA22" s="39">
        <f t="shared" si="24"/>
        <v>27.261143845179696</v>
      </c>
      <c r="AB22" s="39">
        <f t="shared" si="24"/>
        <v>81.821310620684287</v>
      </c>
      <c r="AC22" s="39">
        <f t="shared" si="24"/>
        <v>17.568458189466504</v>
      </c>
      <c r="AD22" s="39">
        <f t="shared" si="24"/>
        <v>48.479147141195014</v>
      </c>
      <c r="AE22" s="39">
        <f t="shared" si="24"/>
        <v>1.5298807079242827</v>
      </c>
      <c r="AF22" s="39">
        <f t="shared" si="24"/>
        <v>294.62748378154316</v>
      </c>
      <c r="AG22" s="39">
        <f t="shared" si="24"/>
        <v>197.22317829043146</v>
      </c>
      <c r="AH22" s="39">
        <f t="shared" si="24"/>
        <v>1376.4122870191811</v>
      </c>
      <c r="AI22" s="39">
        <f t="shared" si="24"/>
        <v>125.31718639354698</v>
      </c>
      <c r="AJ22" s="39">
        <f t="shared" si="24"/>
        <v>816.37349229450831</v>
      </c>
      <c r="AK22" s="39">
        <f t="shared" si="24"/>
        <v>270.7299171075544</v>
      </c>
      <c r="AL22" s="39">
        <f t="shared" si="24"/>
        <v>696.01076754420274</v>
      </c>
      <c r="AM22" s="39">
        <f t="shared" si="24"/>
        <v>99.301494485305966</v>
      </c>
      <c r="AN22" s="39">
        <f t="shared" si="24"/>
        <v>227.97803115120962</v>
      </c>
      <c r="AO22" s="39">
        <f t="shared" si="24"/>
        <v>2419.4985809010868</v>
      </c>
    </row>
    <row r="23" spans="4:41" ht="14.4">
      <c r="D23">
        <f t="shared" si="25"/>
        <v>2026</v>
      </c>
      <c r="E23" s="39">
        <f t="shared" si="26"/>
        <v>31.420364488653593</v>
      </c>
      <c r="F23" s="39">
        <f t="shared" si="24"/>
        <v>514.65591881782973</v>
      </c>
      <c r="G23" s="39">
        <f t="shared" si="24"/>
        <v>91.077922459149917</v>
      </c>
      <c r="H23" s="39">
        <f t="shared" si="24"/>
        <v>557.52681825025024</v>
      </c>
      <c r="I23" s="39">
        <f t="shared" si="24"/>
        <v>255.3284472718405</v>
      </c>
      <c r="J23" s="39">
        <f t="shared" si="24"/>
        <v>426.64020245070316</v>
      </c>
      <c r="K23" s="39">
        <f t="shared" si="24"/>
        <v>13.226818214095326</v>
      </c>
      <c r="L23" s="39">
        <f t="shared" si="24"/>
        <v>556.99166975776052</v>
      </c>
      <c r="M23" s="39">
        <f t="shared" si="24"/>
        <v>4013.982428913223</v>
      </c>
      <c r="N23" s="39">
        <f t="shared" si="24"/>
        <v>589.06247385383642</v>
      </c>
      <c r="O23" s="39">
        <f t="shared" si="24"/>
        <v>49.460348153677444</v>
      </c>
      <c r="P23" s="39">
        <f t="shared" si="24"/>
        <v>268.25256678915213</v>
      </c>
      <c r="Q23" s="39">
        <f t="shared" si="24"/>
        <v>336.30832609564033</v>
      </c>
      <c r="R23" s="39">
        <f t="shared" si="24"/>
        <v>301.03558892346791</v>
      </c>
      <c r="S23" s="39">
        <f t="shared" si="24"/>
        <v>2678.2374730430979</v>
      </c>
      <c r="T23" s="39">
        <f t="shared" si="24"/>
        <v>253.16496882690191</v>
      </c>
      <c r="U23" s="39">
        <f t="shared" si="24"/>
        <v>655.89401271590907</v>
      </c>
      <c r="V23" s="39">
        <f t="shared" si="24"/>
        <v>142.5565665035075</v>
      </c>
      <c r="W23" s="39">
        <f t="shared" si="24"/>
        <v>16.5629706889925</v>
      </c>
      <c r="X23" s="39">
        <f t="shared" si="24"/>
        <v>1165.1823097343554</v>
      </c>
      <c r="Y23" s="39">
        <f t="shared" si="24"/>
        <v>53.61295813040654</v>
      </c>
      <c r="Z23" s="39">
        <f t="shared" si="24"/>
        <v>132.22720952173785</v>
      </c>
      <c r="AA23" s="39">
        <f t="shared" si="24"/>
        <v>27.097822332403226</v>
      </c>
      <c r="AB23" s="39">
        <f t="shared" si="24"/>
        <v>81.331119148755775</v>
      </c>
      <c r="AC23" s="39">
        <f t="shared" si="24"/>
        <v>17.46320555645341</v>
      </c>
      <c r="AD23" s="39">
        <f t="shared" si="24"/>
        <v>48.188708570672119</v>
      </c>
      <c r="AE23" s="39">
        <f t="shared" si="24"/>
        <v>1.5207151926031084</v>
      </c>
      <c r="AF23" s="39">
        <f t="shared" si="24"/>
        <v>292.86237052620794</v>
      </c>
      <c r="AG23" s="39">
        <f t="shared" si="24"/>
        <v>196.04161422929349</v>
      </c>
      <c r="AH23" s="39">
        <f t="shared" si="24"/>
        <v>1368.1662010076493</v>
      </c>
      <c r="AI23" s="39">
        <f t="shared" si="24"/>
        <v>124.56641112986324</v>
      </c>
      <c r="AJ23" s="39">
        <f t="shared" si="24"/>
        <v>811.48259870217191</v>
      </c>
      <c r="AK23" s="39">
        <f t="shared" si="24"/>
        <v>269.10797417416308</v>
      </c>
      <c r="AL23" s="39">
        <f t="shared" si="24"/>
        <v>691.84096703584544</v>
      </c>
      <c r="AM23" s="39">
        <f t="shared" si="24"/>
        <v>98.706579231844501</v>
      </c>
      <c r="AN23" s="39">
        <f t="shared" si="24"/>
        <v>226.61221476658272</v>
      </c>
      <c r="AO23" s="39">
        <f t="shared" si="24"/>
        <v>2405.0033649029083</v>
      </c>
    </row>
    <row r="24" spans="4:41" ht="14.4">
      <c r="D24">
        <f t="shared" si="25"/>
        <v>2028</v>
      </c>
      <c r="E24" s="39">
        <f>E23*(1-E$9)^2</f>
        <v>31.232125085002071</v>
      </c>
      <c r="F24" s="39">
        <f t="shared" si="24"/>
        <v>511.57261520819213</v>
      </c>
      <c r="G24" s="39">
        <f t="shared" si="24"/>
        <v>90.532274625697156</v>
      </c>
      <c r="H24" s="39">
        <f t="shared" si="24"/>
        <v>554.18667508211297</v>
      </c>
      <c r="I24" s="39">
        <f t="shared" si="27" ref="I24:I43">I23*(1-I$9)^2</f>
        <v>253.7987745442349</v>
      </c>
      <c r="J24" s="39">
        <f t="shared" si="28" ref="J24:J43">J23*(1-J$9)^2</f>
        <v>424.08420099782103</v>
      </c>
      <c r="K24" s="39">
        <f t="shared" si="29" ref="K24:K43">K23*(1-K$9)^2</f>
        <v>13.147576346174681</v>
      </c>
      <c r="L24" s="39">
        <f t="shared" si="30" ref="L24:L43">L23*(1-L$9)^2</f>
        <v>553.65473266424181</v>
      </c>
      <c r="M24" s="39">
        <f t="shared" si="31" ref="M24:M43">M23*(1-M$9)^2</f>
        <v>3989.9346601816042</v>
      </c>
      <c r="N24" s="39">
        <f t="shared" si="32" ref="N24:N43">N23*(1-N$9)^2</f>
        <v>585.53340057297805</v>
      </c>
      <c r="O24" s="39">
        <f t="shared" si="33" ref="O24:O43">O23*(1-O$9)^2</f>
        <v>49.164031207888762</v>
      </c>
      <c r="P24" s="39">
        <f t="shared" si="34" ref="P24:P43">P23*(1-P$9)^2</f>
        <v>266.6454656615183</v>
      </c>
      <c r="Q24" s="39">
        <f t="shared" si="35" ref="Q24:Q43">Q23*(1-Q$9)^2</f>
        <v>334.29350291400135</v>
      </c>
      <c r="R24" s="39">
        <f t="shared" si="36" ref="R24:R43">R23*(1-R$9)^2</f>
        <v>299.23208471022741</v>
      </c>
      <c r="S24" s="39">
        <f t="shared" si="37" ref="S24:S43">S23*(1-S$9)^2</f>
        <v>2662.192152342097</v>
      </c>
      <c r="T24" s="39">
        <f t="shared" si="38" ref="T24:T43">T23*(1-T$9)^2</f>
        <v>251.64825749865994</v>
      </c>
      <c r="U24" s="39">
        <f t="shared" si="39" ref="U24:U43">U23*(1-U$9)^2</f>
        <v>651.96455168572811</v>
      </c>
      <c r="V24" s="39">
        <f t="shared" si="40" ref="V24:V43">V23*(1-V$9)^2</f>
        <v>141.70251011358499</v>
      </c>
      <c r="W24" s="39">
        <f t="shared" si="41" ref="W24:W43">W23*(1-W$9)^2</f>
        <v>16.463741931594747</v>
      </c>
      <c r="X24" s="39">
        <f t="shared" si="42" ref="X24:X43">X23*(1-X$9)^2</f>
        <v>1158.201702516737</v>
      </c>
      <c r="Y24" s="39">
        <f t="shared" si="43" ref="Y24:Y43">Y23*(1-Y$9)^2</f>
        <v>53.291762898247278</v>
      </c>
      <c r="Z24" s="39">
        <f t="shared" si="44" ref="Z24:Z43">Z23*(1-Z$9)^2</f>
        <v>131.43503630949311</v>
      </c>
      <c r="AA24" s="39">
        <f t="shared" si="45" ref="AA24:AA43">AA23*(1-AA$9)^2</f>
        <v>26.935479278809797</v>
      </c>
      <c r="AB24" s="39">
        <f t="shared" si="46" ref="AB24:AB43">AB23*(1-AB$9)^2</f>
        <v>80.843864413935577</v>
      </c>
      <c r="AC24" s="39">
        <f t="shared" si="47" ref="AC24:AC43">AC23*(1-AC$9)^2</f>
        <v>17.358583491964698</v>
      </c>
      <c r="AD24" s="39">
        <f t="shared" si="48" ref="AD24:AD43">AD23*(1-AD$9)^2</f>
        <v>47.900010017625227</v>
      </c>
      <c r="AE24" s="39">
        <f t="shared" si="49" ref="AE24:AE43">AE23*(1-AE$9)^2</f>
        <v>1.5116045878842232</v>
      </c>
      <c r="AF24" s="39">
        <f t="shared" si="50" ref="AF24:AF43">AF23*(1-AF$9)^2</f>
        <v>291.10783206438543</v>
      </c>
      <c r="AG24" s="39">
        <f t="shared" si="51" ref="AG24:AG43">AG23*(1-AG$9)^2</f>
        <v>194.86712891844579</v>
      </c>
      <c r="AH24" s="39">
        <f t="shared" si="52" ref="AH24:AH43">AH23*(1-AH$9)^2</f>
        <v>1359.9695172974125</v>
      </c>
      <c r="AI24" s="39">
        <f t="shared" si="53" ref="AI24:AI43">AI23*(1-AI$9)^2</f>
        <v>123.82013376078423</v>
      </c>
      <c r="AJ24" s="39">
        <f t="shared" si="54" ref="AJ24:AJ43">AJ23*(1-AJ$9)^2</f>
        <v>806.62100645334726</v>
      </c>
      <c r="AK24" s="39">
        <f t="shared" si="55" ref="AK24:AK43">AK23*(1-AK$9)^2</f>
        <v>267.49574830088568</v>
      </c>
      <c r="AL24" s="39">
        <f t="shared" si="56" ref="AL24:AL43">AL23*(1-AL$9)^2</f>
        <v>687.69614780233371</v>
      </c>
      <c r="AM24" s="39">
        <f t="shared" si="57" ref="AM24:AM43">AM23*(1-AM$9)^2</f>
        <v>98.115228115666525</v>
      </c>
      <c r="AN24" s="39">
        <f t="shared" si="58" ref="AN24:AN43">AN23*(1-AN$9)^2</f>
        <v>225.25458098791614</v>
      </c>
      <c r="AO24" s="39">
        <f t="shared" si="59" ref="AO24:AO43">AO23*(1-AO$9)^2</f>
        <v>2390.5949897437749</v>
      </c>
    </row>
    <row r="25" spans="4:41" ht="14.4">
      <c r="D25">
        <f t="shared" si="25"/>
        <v>2030</v>
      </c>
      <c r="E25" s="39">
        <f t="shared" si="26"/>
        <v>31.045013423617824</v>
      </c>
      <c r="F25" s="39">
        <f t="shared" si="60" ref="F25:F43">F24*(1-F$9)^2</f>
        <v>508.50778367047985</v>
      </c>
      <c r="G25" s="39">
        <f t="shared" si="61" ref="G25:G43">G24*(1-G$9)^2</f>
        <v>89.989895768414613</v>
      </c>
      <c r="H25" s="39">
        <f t="shared" si="62" ref="H25:H43">H24*(1-H$9)^2</f>
        <v>550.86654271169607</v>
      </c>
      <c r="I25" s="39">
        <f t="shared" si="27"/>
        <v>252.2782660859404</v>
      </c>
      <c r="J25" s="39">
        <f t="shared" si="28"/>
        <v>421.54351254964308</v>
      </c>
      <c r="K25" s="39">
        <f t="shared" si="29"/>
        <v>13.068809216284748</v>
      </c>
      <c r="L25" s="39">
        <f t="shared" si="30"/>
        <v>550.33778716085033</v>
      </c>
      <c r="M25" s="39">
        <f t="shared" si="31"/>
        <v>3966.0309616324562</v>
      </c>
      <c r="N25" s="39">
        <f t="shared" si="32"/>
        <v>582.02546997014531</v>
      </c>
      <c r="O25" s="39">
        <f t="shared" si="33"/>
        <v>48.869489496922299</v>
      </c>
      <c r="P25" s="39">
        <f t="shared" si="34"/>
        <v>265.04799267674014</v>
      </c>
      <c r="Q25" s="39">
        <f t="shared" si="35"/>
        <v>332.2907505380436</v>
      </c>
      <c r="R25" s="39">
        <f t="shared" si="36"/>
        <v>297.43938529072847</v>
      </c>
      <c r="S25" s="39">
        <f t="shared" si="37"/>
        <v>2646.2429591574155</v>
      </c>
      <c r="T25" s="39">
        <f t="shared" si="38"/>
        <v>250.14063278798548</v>
      </c>
      <c r="U25" s="39">
        <f t="shared" si="39"/>
        <v>648.05863205657897</v>
      </c>
      <c r="V25" s="39">
        <f t="shared" si="40"/>
        <v>140.85357037549451</v>
      </c>
      <c r="W25" s="39">
        <f t="shared" si="41"/>
        <v>16.365107653682564</v>
      </c>
      <c r="X25" s="39">
        <f t="shared" si="42"/>
        <v>1151.2629161169593</v>
      </c>
      <c r="Y25" s="39">
        <f t="shared" si="43"/>
        <v>52.972491946723878</v>
      </c>
      <c r="Z25" s="39">
        <f t="shared" si="44"/>
        <v>130.64760900696294</v>
      </c>
      <c r="AA25" s="39">
        <f t="shared" si="45"/>
        <v>26.774108822450447</v>
      </c>
      <c r="AB25" s="39">
        <f t="shared" si="46"/>
        <v>80.359528822231695</v>
      </c>
      <c r="AC25" s="39">
        <f t="shared" si="47"/>
        <v>17.254588218264338</v>
      </c>
      <c r="AD25" s="39">
        <f t="shared" si="48"/>
        <v>47.613041057609635</v>
      </c>
      <c r="AE25" s="39">
        <f t="shared" si="49"/>
        <v>1.5025485647982089</v>
      </c>
      <c r="AF25" s="39">
        <f t="shared" si="50"/>
        <v>289.36380504248768</v>
      </c>
      <c r="AG25" s="39">
        <f t="shared" si="51"/>
        <v>193.69967994909538</v>
      </c>
      <c r="AH25" s="39">
        <f t="shared" si="52"/>
        <v>1351.8219399192837</v>
      </c>
      <c r="AI25" s="39">
        <f t="shared" si="53"/>
        <v>123.07832733942338</v>
      </c>
      <c r="AJ25" s="39">
        <f t="shared" si="54"/>
        <v>801.78854000368528</v>
      </c>
      <c r="AK25" s="39">
        <f t="shared" si="55"/>
        <v>265.89318127281507</v>
      </c>
      <c r="AL25" s="39">
        <f t="shared" si="56"/>
        <v>683.57616018084991</v>
      </c>
      <c r="AM25" s="39">
        <f t="shared" si="57"/>
        <v>97.527419784025568</v>
      </c>
      <c r="AN25" s="39">
        <f t="shared" si="58"/>
        <v>223.90508079321754</v>
      </c>
      <c r="AO25" s="39">
        <f t="shared" si="59"/>
        <v>2376.2729351602202</v>
      </c>
    </row>
    <row r="26" spans="4:41" ht="14.4">
      <c r="D26">
        <f t="shared" si="25"/>
        <v>2032</v>
      </c>
      <c r="E26" s="39">
        <f t="shared" si="26"/>
        <v>30.859022748196931</v>
      </c>
      <c r="F26" s="39">
        <f t="shared" si="60"/>
        <v>505.46131353851001</v>
      </c>
      <c r="G26" s="39">
        <f t="shared" si="61"/>
        <v>89.450766302866043</v>
      </c>
      <c r="H26" s="39">
        <f t="shared" si="62"/>
        <v>547.56630125431036</v>
      </c>
      <c r="I26" s="39">
        <f t="shared" si="27"/>
        <v>250.76686699381955</v>
      </c>
      <c r="J26" s="39">
        <f t="shared" si="28"/>
        <v>419.01804536595819</v>
      </c>
      <c r="K26" s="39">
        <f t="shared" si="29"/>
        <v>12.990513980269986</v>
      </c>
      <c r="L26" s="39">
        <f t="shared" si="30"/>
        <v>547.04071347796969</v>
      </c>
      <c r="M26" s="39">
        <f t="shared" si="31"/>
        <v>3942.2704701413163</v>
      </c>
      <c r="N26" s="39">
        <f t="shared" si="32"/>
        <v>578.53855537955417</v>
      </c>
      <c r="O26" s="39">
        <f t="shared" si="33"/>
        <v>48.576712385346241</v>
      </c>
      <c r="P26" s="39">
        <f t="shared" si="34"/>
        <v>263.46009015261382</v>
      </c>
      <c r="Q26" s="39">
        <f t="shared" si="35"/>
        <v>330.29999665157021</v>
      </c>
      <c r="R26" s="39">
        <f t="shared" si="36"/>
        <v>295.65742593345175</v>
      </c>
      <c r="S26" s="39">
        <f t="shared" si="37"/>
        <v>2630.3893175891035</v>
      </c>
      <c r="T26" s="39">
        <f t="shared" si="38"/>
        <v>248.64204025695267</v>
      </c>
      <c r="U26" s="39">
        <f t="shared" si="39"/>
        <v>644.17611279192806</v>
      </c>
      <c r="V26" s="39">
        <f t="shared" si="40"/>
        <v>140.00971663537493</v>
      </c>
      <c r="W26" s="39">
        <f t="shared" si="41"/>
        <v>16.267064293729351</v>
      </c>
      <c r="X26" s="39">
        <f t="shared" si="42"/>
        <v>1144.3656999865027</v>
      </c>
      <c r="Y26" s="39">
        <f t="shared" si="43"/>
        <v>52.655133747471055</v>
      </c>
      <c r="Z26" s="39">
        <f t="shared" si="44"/>
        <v>129.86489918140222</v>
      </c>
      <c r="AA26" s="39">
        <f t="shared" si="45"/>
        <v>26.613705136495149</v>
      </c>
      <c r="AB26" s="39">
        <f t="shared" si="46"/>
        <v>79.878094885057706</v>
      </c>
      <c r="AC26" s="39">
        <f t="shared" si="47"/>
        <v>17.151215980248718</v>
      </c>
      <c r="AD26" s="39">
        <f t="shared" si="48"/>
        <v>47.327791328633495</v>
      </c>
      <c r="AE26" s="39">
        <f t="shared" si="49"/>
        <v>1.4935467963465028</v>
      </c>
      <c r="AF26" s="39">
        <f t="shared" si="50"/>
        <v>287.63022648647814</v>
      </c>
      <c r="AG26" s="39">
        <f t="shared" si="51"/>
        <v>192.53922516652037</v>
      </c>
      <c r="AH26" s="39">
        <f t="shared" si="52"/>
        <v>1343.7231746772275</v>
      </c>
      <c r="AI26" s="39">
        <f t="shared" si="53"/>
        <v>122.34096508033289</v>
      </c>
      <c r="AJ26" s="39">
        <f t="shared" si="54"/>
        <v>796.98502486052325</v>
      </c>
      <c r="AK26" s="39">
        <f t="shared" si="55"/>
        <v>264.30021522380963</v>
      </c>
      <c r="AL26" s="39">
        <f t="shared" si="56"/>
        <v>679.48085540520651</v>
      </c>
      <c r="AM26" s="39">
        <f t="shared" si="57"/>
        <v>96.94313301209948</v>
      </c>
      <c r="AN26" s="39">
        <f t="shared" si="58"/>
        <v>222.56366545418538</v>
      </c>
      <c r="AO26" s="39">
        <f t="shared" si="59"/>
        <v>2362.0366840056754</v>
      </c>
    </row>
    <row r="27" spans="4:41" ht="14.4">
      <c r="D27">
        <f t="shared" si="25"/>
        <v>2034</v>
      </c>
      <c r="E27" s="39">
        <f t="shared" si="26"/>
        <v>30.674146342912486</v>
      </c>
      <c r="F27" s="39">
        <f t="shared" si="60"/>
        <v>502.43309480910079</v>
      </c>
      <c r="G27" s="39">
        <f t="shared" si="61"/>
        <v>88.914866761945575</v>
      </c>
      <c r="H27" s="39">
        <f t="shared" si="62"/>
        <v>544.28583154349576</v>
      </c>
      <c r="I27" s="39">
        <f t="shared" si="27"/>
        <v>249.26452269365959</v>
      </c>
      <c r="J27" s="39">
        <f t="shared" si="28"/>
        <v>416.50770825617076</v>
      </c>
      <c r="K27" s="39">
        <f t="shared" si="29"/>
        <v>12.912687811014189</v>
      </c>
      <c r="L27" s="39">
        <f t="shared" si="30"/>
        <v>543.76339256352321</v>
      </c>
      <c r="M27" s="39">
        <f t="shared" si="31"/>
        <v>3918.6523277546999</v>
      </c>
      <c r="N27" s="39">
        <f t="shared" si="32"/>
        <v>575.07253089427525</v>
      </c>
      <c r="O27" s="39">
        <f t="shared" si="33"/>
        <v>48.285689301445636</v>
      </c>
      <c r="P27" s="39">
        <f t="shared" si="34"/>
        <v>261.88170075250952</v>
      </c>
      <c r="Q27" s="39">
        <f t="shared" si="35"/>
        <v>328.32116937163067</v>
      </c>
      <c r="R27" s="39">
        <f t="shared" si="36"/>
        <v>293.88614229468448</v>
      </c>
      <c r="S27" s="39">
        <f t="shared" si="37"/>
        <v>2614.6306551874272</v>
      </c>
      <c r="T27" s="39">
        <f t="shared" si="38"/>
        <v>247.15242579377326</v>
      </c>
      <c r="U27" s="39">
        <f t="shared" si="39"/>
        <v>640.31685370019159</v>
      </c>
      <c r="V27" s="39">
        <f t="shared" si="40"/>
        <v>139.17091842301241</v>
      </c>
      <c r="W27" s="39">
        <f t="shared" si="41"/>
        <v>16.16960831154562</v>
      </c>
      <c r="X27" s="39">
        <f t="shared" si="42"/>
        <v>1137.5098050778836</v>
      </c>
      <c r="Y27" s="39">
        <f t="shared" si="43"/>
        <v>52.339676841189956</v>
      </c>
      <c r="Z27" s="39">
        <f t="shared" si="44"/>
        <v>129.08687857040644</v>
      </c>
      <c r="AA27" s="39">
        <f t="shared" si="45"/>
        <v>26.454262429022407</v>
      </c>
      <c r="AB27" s="39">
        <f t="shared" si="46"/>
        <v>79.399545218601332</v>
      </c>
      <c r="AC27" s="39">
        <f t="shared" si="47"/>
        <v>17.048463045311049</v>
      </c>
      <c r="AD27" s="39">
        <f t="shared" si="48"/>
        <v>47.04425053078365</v>
      </c>
      <c r="AE27" s="39">
        <f t="shared" si="49"/>
        <v>1.484598957489591</v>
      </c>
      <c r="AF27" s="39">
        <f t="shared" si="50"/>
        <v>285.90703379959763</v>
      </c>
      <c r="AG27" s="39">
        <f t="shared" si="51"/>
        <v>191.38572266854774</v>
      </c>
      <c r="AH27" s="39">
        <f t="shared" si="52"/>
        <v>1335.6729291377362</v>
      </c>
      <c r="AI27" s="39">
        <f t="shared" si="53"/>
        <v>121.60802035853662</v>
      </c>
      <c r="AJ27" s="39">
        <f t="shared" si="54"/>
        <v>792.21028757658394</v>
      </c>
      <c r="AK27" s="39">
        <f t="shared" si="55"/>
        <v>262.71679263440382</v>
      </c>
      <c r="AL27" s="39">
        <f t="shared" si="56"/>
        <v>675.41008560047396</v>
      </c>
      <c r="AM27" s="39">
        <f t="shared" si="57"/>
        <v>96.362346702224002</v>
      </c>
      <c r="AN27" s="39">
        <f t="shared" si="58"/>
        <v>221.23028653444936</v>
      </c>
      <c r="AO27" s="39">
        <f t="shared" si="59"/>
        <v>2347.8857222317974</v>
      </c>
    </row>
    <row r="28" spans="4:41" ht="14.4">
      <c r="D28">
        <f t="shared" si="25"/>
        <v>2036</v>
      </c>
      <c r="E28" s="39">
        <f t="shared" si="26"/>
        <v>30.490377532172097</v>
      </c>
      <c r="F28" s="39">
        <f t="shared" si="60"/>
        <v>499.42301813809951</v>
      </c>
      <c r="G28" s="39">
        <f t="shared" si="61"/>
        <v>88.382177795174755</v>
      </c>
      <c r="H28" s="39">
        <f t="shared" si="62"/>
        <v>541.0250151267187</v>
      </c>
      <c r="I28" s="39">
        <f t="shared" si="27"/>
        <v>247.77117893820187</v>
      </c>
      <c r="J28" s="39">
        <f t="shared" si="28"/>
        <v>414.01241057600805</v>
      </c>
      <c r="K28" s="39">
        <f t="shared" si="29"/>
        <v>12.835327898338404</v>
      </c>
      <c r="L28" s="39">
        <f t="shared" si="30"/>
        <v>540.50570607867519</v>
      </c>
      <c r="M28" s="39">
        <f t="shared" si="31"/>
        <v>3895.1756816591214</v>
      </c>
      <c r="N28" s="39">
        <f t="shared" si="32"/>
        <v>571.62727136168769</v>
      </c>
      <c r="O28" s="39">
        <f t="shared" si="33"/>
        <v>47.996409736840675</v>
      </c>
      <c r="P28" s="39">
        <f t="shared" si="34"/>
        <v>260.31276748330123</v>
      </c>
      <c r="Q28" s="39">
        <f t="shared" si="35"/>
        <v>326.35419724592526</v>
      </c>
      <c r="R28" s="39">
        <f t="shared" si="36"/>
        <v>292.125470416197</v>
      </c>
      <c r="S28" s="39">
        <f t="shared" si="37"/>
        <v>2598.9664029321993</v>
      </c>
      <c r="T28" s="39">
        <f t="shared" si="38"/>
        <v>245.67173561084277</v>
      </c>
      <c r="U28" s="39">
        <f t="shared" si="39"/>
        <v>636.48071542967375</v>
      </c>
      <c r="V28" s="39">
        <f t="shared" si="40"/>
        <v>138.33714545074014</v>
      </c>
      <c r="W28" s="39">
        <f t="shared" si="41"/>
        <v>16.072736188151151</v>
      </c>
      <c r="X28" s="39">
        <f t="shared" si="42"/>
        <v>1130.694983835662</v>
      </c>
      <c r="Y28" s="39">
        <f t="shared" si="43"/>
        <v>52.026109837234387</v>
      </c>
      <c r="Z28" s="39">
        <f t="shared" si="44"/>
        <v>128.31351908089113</v>
      </c>
      <c r="AA28" s="39">
        <f t="shared" si="45"/>
        <v>26.295774942810134</v>
      </c>
      <c r="AB28" s="39">
        <f t="shared" si="46"/>
        <v>78.923862543196691</v>
      </c>
      <c r="AC28" s="39">
        <f t="shared" si="47"/>
        <v>16.94632570320659</v>
      </c>
      <c r="AD28" s="39">
        <f t="shared" si="48"/>
        <v>46.762408425853728</v>
      </c>
      <c r="AE28" s="39">
        <f t="shared" si="49"/>
        <v>1.4757047251352708</v>
      </c>
      <c r="AF28" s="39">
        <f t="shared" si="50"/>
        <v>284.19416476010423</v>
      </c>
      <c r="AG28" s="39">
        <f t="shared" si="51"/>
        <v>190.23913080404049</v>
      </c>
      <c r="AH28" s="39">
        <f t="shared" si="52"/>
        <v>1327.670912619272</v>
      </c>
      <c r="AI28" s="39">
        <f t="shared" si="53"/>
        <v>120.87946670856863</v>
      </c>
      <c r="AJ28" s="39">
        <f t="shared" si="54"/>
        <v>787.46415574371269</v>
      </c>
      <c r="AK28" s="39">
        <f t="shared" si="55"/>
        <v>261.1428563297311</v>
      </c>
      <c r="AL28" s="39">
        <f t="shared" si="56"/>
        <v>671.36370377764149</v>
      </c>
      <c r="AM28" s="39">
        <f t="shared" si="57"/>
        <v>95.785039883130978</v>
      </c>
      <c r="AN28" s="39">
        <f t="shared" si="58"/>
        <v>219.90489588782148</v>
      </c>
      <c r="AO28" s="39">
        <f t="shared" si="59"/>
        <v>2333.8195388699069</v>
      </c>
    </row>
    <row r="29" spans="4:41" ht="14.4">
      <c r="D29">
        <f t="shared" si="25"/>
        <v>2038</v>
      </c>
      <c r="E29" s="39">
        <f t="shared" si="26"/>
        <v>30.307709680376856</v>
      </c>
      <c r="F29" s="39">
        <f t="shared" si="60"/>
        <v>496.43097483643419</v>
      </c>
      <c r="G29" s="39">
        <f t="shared" si="61"/>
        <v>87.852680168003872</v>
      </c>
      <c r="H29" s="39">
        <f t="shared" si="62"/>
        <v>537.78373426109454</v>
      </c>
      <c r="I29" s="39">
        <f t="shared" si="27"/>
        <v>246.28678180518313</v>
      </c>
      <c r="J29" s="39">
        <f t="shared" si="28"/>
        <v>411.53206222424723</v>
      </c>
      <c r="K29" s="39">
        <f t="shared" si="29"/>
        <v>12.75843144889946</v>
      </c>
      <c r="L29" s="39">
        <f t="shared" si="30"/>
        <v>537.26753639355786</v>
      </c>
      <c r="M29" s="39">
        <f t="shared" si="31"/>
        <v>3871.8396841503018</v>
      </c>
      <c r="N29" s="39">
        <f t="shared" si="32"/>
        <v>568.20265237895978</v>
      </c>
      <c r="O29" s="39">
        <f t="shared" si="33"/>
        <v>47.708863246107263</v>
      </c>
      <c r="P29" s="39">
        <f t="shared" si="34"/>
        <v>258.7532336933088</v>
      </c>
      <c r="Q29" s="39">
        <f t="shared" si="35"/>
        <v>324.39900925022494</v>
      </c>
      <c r="R29" s="39">
        <f t="shared" si="36"/>
        <v>290.37534672293356</v>
      </c>
      <c r="S29" s="39">
        <f t="shared" si="37"/>
        <v>2583.3959952122327</v>
      </c>
      <c r="T29" s="39">
        <f t="shared" si="38"/>
        <v>244.19991624279822</v>
      </c>
      <c r="U29" s="39">
        <f t="shared" si="39"/>
        <v>632.66755946353464</v>
      </c>
      <c r="V29" s="39">
        <f t="shared" si="40"/>
        <v>137.50836761234476</v>
      </c>
      <c r="W29" s="39">
        <f t="shared" si="41"/>
        <v>15.976444425647937</v>
      </c>
      <c r="X29" s="39">
        <f t="shared" si="42"/>
        <v>1123.9209901875026</v>
      </c>
      <c r="Y29" s="39">
        <f t="shared" si="43"/>
        <v>51.714421413199517</v>
      </c>
      <c r="Z29" s="39">
        <f t="shared" si="44"/>
        <v>127.54479278807752</v>
      </c>
      <c r="AA29" s="39">
        <f t="shared" si="45"/>
        <v>26.138236955127759</v>
      </c>
      <c r="AB29" s="39">
        <f t="shared" si="46"/>
        <v>78.451029682700408</v>
      </c>
      <c r="AC29" s="39">
        <f t="shared" si="47"/>
        <v>16.844800265918678</v>
      </c>
      <c r="AD29" s="39">
        <f t="shared" si="48"/>
        <v>46.482254836974441</v>
      </c>
      <c r="AE29" s="39">
        <f t="shared" si="49"/>
        <v>1.4668637781269855</v>
      </c>
      <c r="AF29" s="39">
        <f t="shared" si="50"/>
        <v>282.49155751902646</v>
      </c>
      <c r="AG29" s="39">
        <f t="shared" si="51"/>
        <v>189.09940817139349</v>
      </c>
      <c r="AH29" s="39">
        <f t="shared" si="52"/>
        <v>1319.7168361817701</v>
      </c>
      <c r="AI29" s="39">
        <f t="shared" si="53"/>
        <v>120.15527782351759</v>
      </c>
      <c r="AJ29" s="39">
        <f t="shared" si="54"/>
        <v>782.7464579866521</v>
      </c>
      <c r="AK29" s="39">
        <f t="shared" si="55"/>
        <v>259.57834947745971</v>
      </c>
      <c r="AL29" s="39">
        <f t="shared" si="56"/>
        <v>667.34156382830963</v>
      </c>
      <c r="AM29" s="39">
        <f t="shared" si="57"/>
        <v>95.211191709191141</v>
      </c>
      <c r="AN29" s="39">
        <f t="shared" si="58"/>
        <v>218.58744565655755</v>
      </c>
      <c r="AO29" s="39">
        <f t="shared" si="59"/>
        <v>2319.8376260125374</v>
      </c>
    </row>
    <row r="30" spans="4:41" ht="14.4">
      <c r="D30">
        <f t="shared" si="25"/>
        <v>2040</v>
      </c>
      <c r="E30" s="39">
        <f t="shared" si="26"/>
        <v>30.12613619168172</v>
      </c>
      <c r="F30" s="39">
        <f t="shared" si="60"/>
        <v>493.45685686618913</v>
      </c>
      <c r="G30" s="39">
        <f t="shared" si="61"/>
        <v>87.326354761117358</v>
      </c>
      <c r="H30" s="39">
        <f t="shared" si="62"/>
        <v>534.56187190913636</v>
      </c>
      <c r="I30" s="39">
        <f t="shared" si="27"/>
        <v>244.81127769538827</v>
      </c>
      <c r="J30" s="39">
        <f t="shared" si="28"/>
        <v>409.06657363946175</v>
      </c>
      <c r="K30" s="39">
        <f t="shared" si="29"/>
        <v>12.681995686089103</v>
      </c>
      <c r="L30" s="39">
        <f t="shared" si="30"/>
        <v>534.04876658302408</v>
      </c>
      <c r="M30" s="39">
        <f t="shared" si="31"/>
        <v>3848.6434926025572</v>
      </c>
      <c r="N30" s="39">
        <f t="shared" si="32"/>
        <v>564.79855028855741</v>
      </c>
      <c r="O30" s="39">
        <f t="shared" si="33"/>
        <v>47.423039446399834</v>
      </c>
      <c r="P30" s="39">
        <f t="shared" si="34"/>
        <v>257.20304307025219</v>
      </c>
      <c r="Q30" s="39">
        <f t="shared" si="35"/>
        <v>322.45553478580683</v>
      </c>
      <c r="R30" s="39">
        <f t="shared" si="36"/>
        <v>288.63570802071649</v>
      </c>
      <c r="S30" s="39">
        <f t="shared" si="37"/>
        <v>2567.9188698049165</v>
      </c>
      <c r="T30" s="39">
        <f t="shared" si="38"/>
        <v>242.73691454458762</v>
      </c>
      <c r="U30" s="39">
        <f t="shared" si="39"/>
        <v>628.87724811478859</v>
      </c>
      <c r="V30" s="39">
        <f t="shared" si="40"/>
        <v>136.6845549819792</v>
      </c>
      <c r="W30" s="39">
        <f t="shared" si="41"/>
        <v>15.88072954709388</v>
      </c>
      <c r="X30" s="39">
        <f t="shared" si="42"/>
        <v>1117.1875795352894</v>
      </c>
      <c r="Y30" s="39">
        <f t="shared" si="43"/>
        <v>51.40460031451304</v>
      </c>
      <c r="Z30" s="39">
        <f t="shared" si="44"/>
        <v>126.78067193448415</v>
      </c>
      <c r="AA30" s="39">
        <f t="shared" si="45"/>
        <v>25.98164277752959</v>
      </c>
      <c r="AB30" s="39">
        <f t="shared" si="46"/>
        <v>77.981029563871346</v>
      </c>
      <c r="AC30" s="39">
        <f t="shared" si="47"/>
        <v>16.743883067525559</v>
      </c>
      <c r="AD30" s="39">
        <f t="shared" si="48"/>
        <v>46.203779648246126</v>
      </c>
      <c r="AE30" s="39">
        <f t="shared" si="49"/>
        <v>1.4580757972322269</v>
      </c>
      <c r="AF30" s="39">
        <f t="shared" si="50"/>
        <v>280.79915059792995</v>
      </c>
      <c r="AG30" s="39">
        <f t="shared" si="51"/>
        <v>187.96651361703869</v>
      </c>
      <c r="AH30" s="39">
        <f t="shared" si="52"/>
        <v>1311.8104126162052</v>
      </c>
      <c r="AI30" s="39">
        <f t="shared" si="53"/>
        <v>119.43542755407691</v>
      </c>
      <c r="AJ30" s="39">
        <f t="shared" si="54"/>
        <v>778.0570239568541</v>
      </c>
      <c r="AK30" s="39">
        <f t="shared" si="55"/>
        <v>258.02321558574027</v>
      </c>
      <c r="AL30" s="39">
        <f t="shared" si="56"/>
        <v>663.34352051941426</v>
      </c>
      <c r="AM30" s="39">
        <f t="shared" si="57"/>
        <v>94.640781459661383</v>
      </c>
      <c r="AN30" s="39">
        <f t="shared" si="58"/>
        <v>217.27788826962913</v>
      </c>
      <c r="AO30" s="39">
        <f t="shared" si="59"/>
        <v>2305.9394787950964</v>
      </c>
    </row>
    <row r="31" spans="4:41" ht="14.4">
      <c r="D31">
        <f t="shared" si="25"/>
        <v>2042</v>
      </c>
      <c r="E31" s="39">
        <f t="shared" si="26"/>
        <v>29.945650509757357</v>
      </c>
      <c r="F31" s="39">
        <f t="shared" si="60"/>
        <v>490.50055683670382</v>
      </c>
      <c r="G31" s="39">
        <f t="shared" si="61"/>
        <v>86.803182569743512</v>
      </c>
      <c r="H31" s="39">
        <f t="shared" si="62"/>
        <v>531.35931173452877</v>
      </c>
      <c r="I31" s="39">
        <f t="shared" si="27"/>
        <v>243.34461333071522</v>
      </c>
      <c r="J31" s="39">
        <f t="shared" si="28"/>
        <v>406.61585579678774</v>
      </c>
      <c r="K31" s="39">
        <f t="shared" si="29"/>
        <v>12.606017849933743</v>
      </c>
      <c r="L31" s="39">
        <f t="shared" si="30"/>
        <v>530.84928042242518</v>
      </c>
      <c r="M31" s="39">
        <f t="shared" si="31"/>
        <v>3825.5862694383754</v>
      </c>
      <c r="N31" s="39">
        <f t="shared" si="32"/>
        <v>561.41484217377865</v>
      </c>
      <c r="O31" s="39">
        <f t="shared" si="33"/>
        <v>47.138928017076452</v>
      </c>
      <c r="P31" s="39">
        <f t="shared" si="34"/>
        <v>255.66213963921831</v>
      </c>
      <c r="Q31" s="39">
        <f t="shared" si="35"/>
        <v>320.52370367690509</v>
      </c>
      <c r="R31" s="39">
        <f t="shared" si="36"/>
        <v>286.90649149396438</v>
      </c>
      <c r="S31" s="39">
        <f t="shared" si="37"/>
        <v>2552.5344678559154</v>
      </c>
      <c r="T31" s="39">
        <f t="shared" si="38"/>
        <v>241.28267768955101</v>
      </c>
      <c r="U31" s="39">
        <f t="shared" si="39"/>
        <v>625.10964452133294</v>
      </c>
      <c r="V31" s="39">
        <f t="shared" si="40"/>
        <v>135.86567781308216</v>
      </c>
      <c r="W31" s="39">
        <f t="shared" si="41"/>
        <v>15.785588096377241</v>
      </c>
      <c r="X31" s="39">
        <f t="shared" si="42"/>
        <v>1110.4945087462936</v>
      </c>
      <c r="Y31" s="39">
        <f t="shared" si="43"/>
        <v>51.096635354028791</v>
      </c>
      <c r="Z31" s="39">
        <f t="shared" si="44"/>
        <v>126.02112892892465</v>
      </c>
      <c r="AA31" s="39">
        <f t="shared" si="45"/>
        <v>25.82598675564941</v>
      </c>
      <c r="AB31" s="39">
        <f t="shared" si="46"/>
        <v>77.513845215754188</v>
      </c>
      <c r="AC31" s="39">
        <f t="shared" si="47"/>
        <v>16.643570464068013</v>
      </c>
      <c r="AD31" s="39">
        <f t="shared" si="48"/>
        <v>45.926972804373484</v>
      </c>
      <c r="AE31" s="39">
        <f t="shared" si="49"/>
        <v>1.4493404651310087</v>
      </c>
      <c r="AF31" s="39">
        <f t="shared" si="50"/>
        <v>279.11688288669774</v>
      </c>
      <c r="AG31" s="39">
        <f t="shared" si="51"/>
        <v>186.84040623395902</v>
      </c>
      <c r="AH31" s="39">
        <f t="shared" si="52"/>
        <v>1303.9513564342217</v>
      </c>
      <c r="AI31" s="39">
        <f t="shared" si="53"/>
        <v>118.71988990760043</v>
      </c>
      <c r="AJ31" s="39">
        <f t="shared" si="54"/>
        <v>773.39568432632859</v>
      </c>
      <c r="AK31" s="39">
        <f t="shared" si="55"/>
        <v>256.47739850116614</v>
      </c>
      <c r="AL31" s="39">
        <f t="shared" si="56"/>
        <v>659.36942948798242</v>
      </c>
      <c r="AM31" s="39">
        <f t="shared" si="57"/>
        <v>94.073788537936551</v>
      </c>
      <c r="AN31" s="39">
        <f t="shared" si="58"/>
        <v>215.97617644100578</v>
      </c>
      <c r="AO31" s="39">
        <f t="shared" si="59"/>
        <v>2292.1245953776352</v>
      </c>
    </row>
    <row r="32" spans="4:41" ht="14.4">
      <c r="D32">
        <f t="shared" si="25"/>
        <v>2044</v>
      </c>
      <c r="E32" s="39">
        <f t="shared" si="26"/>
        <v>29.766246117553401</v>
      </c>
      <c r="F32" s="39">
        <f t="shared" si="60"/>
        <v>487.56196800069512</v>
      </c>
      <c r="G32" s="39">
        <f t="shared" si="61"/>
        <v>86.283144702968187</v>
      </c>
      <c r="H32" s="39">
        <f t="shared" si="62"/>
        <v>528.1759380979272</v>
      </c>
      <c r="I32" s="39">
        <f t="shared" si="27"/>
        <v>241.8867357522509</v>
      </c>
      <c r="J32" s="39">
        <f t="shared" si="28"/>
        <v>404.17982020470919</v>
      </c>
      <c r="K32" s="39">
        <f t="shared" si="29"/>
        <v>12.53049519699479</v>
      </c>
      <c r="L32" s="39">
        <f t="shared" si="30"/>
        <v>527.6689623834144</v>
      </c>
      <c r="M32" s="39">
        <f t="shared" si="31"/>
        <v>3802.6671820981701</v>
      </c>
      <c r="N32" s="39">
        <f t="shared" si="32"/>
        <v>558.05140585431559</v>
      </c>
      <c r="O32" s="39">
        <f t="shared" si="33"/>
        <v>46.856518699326152</v>
      </c>
      <c r="P32" s="39">
        <f t="shared" si="34"/>
        <v>254.13046776063976</v>
      </c>
      <c r="Q32" s="39">
        <f t="shared" si="35"/>
        <v>318.60344616817673</v>
      </c>
      <c r="R32" s="39">
        <f t="shared" si="36"/>
        <v>285.18763470342407</v>
      </c>
      <c r="S32" s="39">
        <f t="shared" si="37"/>
        <v>2537.2422338589909</v>
      </c>
      <c r="T32" s="39">
        <f t="shared" si="38"/>
        <v>239.83715316751292</v>
      </c>
      <c r="U32" s="39">
        <f t="shared" si="39"/>
        <v>621.36461264100569</v>
      </c>
      <c r="V32" s="39">
        <f t="shared" si="40"/>
        <v>135.051706537304</v>
      </c>
      <c r="W32" s="39">
        <f t="shared" si="41"/>
        <v>15.691016638091845</v>
      </c>
      <c r="X32" s="39">
        <f t="shared" si="42"/>
        <v>1103.8415361443947</v>
      </c>
      <c r="Y32" s="39">
        <f t="shared" si="43"/>
        <v>50.790515411622806</v>
      </c>
      <c r="Z32" s="39">
        <f t="shared" si="44"/>
        <v>125.26613634551147</v>
      </c>
      <c r="AA32" s="39">
        <f t="shared" si="45"/>
        <v>25.671263268996316</v>
      </c>
      <c r="AB32" s="39">
        <f t="shared" si="46"/>
        <v>77.049459769066601</v>
      </c>
      <c r="AC32" s="39">
        <f t="shared" si="47"/>
        <v>16.543858833417783</v>
      </c>
      <c r="AD32" s="39">
        <f t="shared" si="48"/>
        <v>45.651824310302487</v>
      </c>
      <c r="AE32" s="39">
        <f t="shared" si="49"/>
        <v>1.4406574664044089</v>
      </c>
      <c r="AF32" s="39">
        <f t="shared" si="50"/>
        <v>277.44469364132357</v>
      </c>
      <c r="AG32" s="39">
        <f t="shared" si="51"/>
        <v>185.72104536021138</v>
      </c>
      <c r="AH32" s="39">
        <f t="shared" si="52"/>
        <v>1296.1393838578242</v>
      </c>
      <c r="AI32" s="39">
        <f t="shared" si="53"/>
        <v>118.008639047164</v>
      </c>
      <c r="AJ32" s="39">
        <f t="shared" si="54"/>
        <v>768.76227078152954</v>
      </c>
      <c r="AK32" s="39">
        <f t="shared" si="55"/>
        <v>254.94084240674565</v>
      </c>
      <c r="AL32" s="39">
        <f t="shared" si="56"/>
        <v>655.41914723591992</v>
      </c>
      <c r="AM32" s="39">
        <f t="shared" si="57"/>
        <v>93.510192470805777</v>
      </c>
      <c r="AN32" s="39">
        <f t="shared" si="58"/>
        <v>214.68226316794772</v>
      </c>
      <c r="AO32" s="39">
        <f t="shared" si="59"/>
        <v>2278.3924769267278</v>
      </c>
    </row>
    <row r="33" spans="4:41" ht="14.4">
      <c r="D33">
        <f t="shared" si="25"/>
        <v>2046</v>
      </c>
      <c r="E33" s="39">
        <f t="shared" si="26"/>
        <v>29.587916537063141</v>
      </c>
      <c r="F33" s="39">
        <f t="shared" si="60"/>
        <v>484.64098425040299</v>
      </c>
      <c r="G33" s="39">
        <f t="shared" si="61"/>
        <v>85.766222383052707</v>
      </c>
      <c r="H33" s="39">
        <f t="shared" si="62"/>
        <v>525.01163605278259</v>
      </c>
      <c r="I33" s="39">
        <f t="shared" si="27"/>
        <v>240.43759231835918</v>
      </c>
      <c r="J33" s="39">
        <f t="shared" si="28"/>
        <v>401.75837890186278</v>
      </c>
      <c r="K33" s="39">
        <f t="shared" si="29"/>
        <v>12.455425000269596</v>
      </c>
      <c r="L33" s="39">
        <f t="shared" si="30"/>
        <v>524.50769762977541</v>
      </c>
      <c r="M33" s="39">
        <f t="shared" si="31"/>
        <v>3779.8854030102202</v>
      </c>
      <c r="N33" s="39">
        <f t="shared" si="32"/>
        <v>554.70811988184244</v>
      </c>
      <c r="O33" s="39">
        <f t="shared" si="33"/>
        <v>46.575801295798492</v>
      </c>
      <c r="P33" s="39">
        <f t="shared" si="34"/>
        <v>252.60797212828578</v>
      </c>
      <c r="Q33" s="39">
        <f t="shared" si="35"/>
        <v>316.69469292218321</v>
      </c>
      <c r="R33" s="39">
        <f t="shared" si="36"/>
        <v>283.47907558391586</v>
      </c>
      <c r="S33" s="39">
        <f t="shared" si="37"/>
        <v>2522.0416156359415</v>
      </c>
      <c r="T33" s="39">
        <f t="shared" si="38"/>
        <v>238.40028878288635</v>
      </c>
      <c r="U33" s="39">
        <f t="shared" si="39"/>
        <v>617.64201724667339</v>
      </c>
      <c r="V33" s="39">
        <f t="shared" si="40"/>
        <v>134.24261176343902</v>
      </c>
      <c r="W33" s="39">
        <f t="shared" si="41"/>
        <v>15.597011757413037</v>
      </c>
      <c r="X33" s="39">
        <f t="shared" si="42"/>
        <v>1097.2284215013538</v>
      </c>
      <c r="Y33" s="39">
        <f t="shared" si="43"/>
        <v>50.486229433791777</v>
      </c>
      <c r="Z33" s="39">
        <f t="shared" si="44"/>
        <v>124.51566692266552</v>
      </c>
      <c r="AA33" s="39">
        <f t="shared" si="45"/>
        <v>25.51746673075176</v>
      </c>
      <c r="AB33" s="39">
        <f t="shared" si="46"/>
        <v>76.587856455590128</v>
      </c>
      <c r="AC33" s="39">
        <f t="shared" si="47"/>
        <v>16.444744575146778</v>
      </c>
      <c r="AD33" s="39">
        <f t="shared" si="48"/>
        <v>45.378324230859469</v>
      </c>
      <c r="AE33" s="39">
        <f t="shared" si="49"/>
        <v>1.4320264875231801</v>
      </c>
      <c r="AF33" s="39">
        <f t="shared" si="50"/>
        <v>275.78252248171839</v>
      </c>
      <c r="AG33" s="39">
        <f t="shared" si="51"/>
        <v>184.60839057745835</v>
      </c>
      <c r="AH33" s="39">
        <f t="shared" si="52"/>
        <v>1288.3742128091321</v>
      </c>
      <c r="AI33" s="39">
        <f t="shared" si="53"/>
        <v>117.30164929063244</v>
      </c>
      <c r="AJ33" s="39">
        <f t="shared" si="54"/>
        <v>764.15661601727743</v>
      </c>
      <c r="AK33" s="39">
        <f t="shared" si="55"/>
        <v>253.41349181988684</v>
      </c>
      <c r="AL33" s="39">
        <f t="shared" si="56"/>
        <v>651.4925311248295</v>
      </c>
      <c r="AM33" s="39">
        <f t="shared" si="57"/>
        <v>92.949972907713189</v>
      </c>
      <c r="AN33" s="39">
        <f t="shared" si="58"/>
        <v>213.39610172930855</v>
      </c>
      <c r="AO33" s="39">
        <f t="shared" si="59"/>
        <v>2264.7426275974599</v>
      </c>
    </row>
    <row r="34" spans="4:41" ht="14.4">
      <c r="D34">
        <f t="shared" si="25"/>
        <v>2048</v>
      </c>
      <c r="E34" s="39">
        <f t="shared" si="26"/>
        <v>29.410655329089597</v>
      </c>
      <c r="F34" s="39">
        <f t="shared" si="60"/>
        <v>481.73750011375887</v>
      </c>
      <c r="G34" s="39">
        <f t="shared" si="61"/>
        <v>85.252396944755844</v>
      </c>
      <c r="H34" s="39">
        <f t="shared" si="62"/>
        <v>521.86629134119039</v>
      </c>
      <c r="I34" s="39">
        <f t="shared" si="27"/>
        <v>238.99713070277988</v>
      </c>
      <c r="J34" s="39">
        <f t="shared" si="28"/>
        <v>399.35144445386175</v>
      </c>
      <c r="K34" s="39">
        <f t="shared" si="29"/>
        <v>12.38080454909298</v>
      </c>
      <c r="L34" s="39">
        <f t="shared" si="30"/>
        <v>521.36537201327542</v>
      </c>
      <c r="M34" s="39">
        <f t="shared" si="31"/>
        <v>3757.2401095607861</v>
      </c>
      <c r="N34" s="39">
        <f t="shared" si="32"/>
        <v>551.3848635356303</v>
      </c>
      <c r="O34" s="39">
        <f t="shared" si="33"/>
        <v>46.296765670235366</v>
      </c>
      <c r="P34" s="39">
        <f t="shared" si="34"/>
        <v>251.09459776726524</v>
      </c>
      <c r="Q34" s="39">
        <f t="shared" si="35"/>
        <v>314.79737501688641</v>
      </c>
      <c r="R34" s="39">
        <f t="shared" si="36"/>
        <v>281.78075244209265</v>
      </c>
      <c r="S34" s="39">
        <f t="shared" si="37"/>
        <v>2506.9320643166666</v>
      </c>
      <c r="T34" s="39">
        <f t="shared" si="38"/>
        <v>236.97203265278807</v>
      </c>
      <c r="U34" s="39">
        <f t="shared" si="39"/>
        <v>613.94172392134863</v>
      </c>
      <c r="V34" s="39">
        <f t="shared" si="40"/>
        <v>133.43836427636427</v>
      </c>
      <c r="W34" s="39">
        <f t="shared" si="41"/>
        <v>15.503570059974376</v>
      </c>
      <c r="X34" s="39">
        <f t="shared" si="42"/>
        <v>1090.6549260281392</v>
      </c>
      <c r="Y34" s="39">
        <f t="shared" si="43"/>
        <v>50.183766433253929</v>
      </c>
      <c r="Z34" s="39">
        <f t="shared" si="44"/>
        <v>123.76969356213183</v>
      </c>
      <c r="AA34" s="39">
        <f t="shared" si="45"/>
        <v>25.364591587567826</v>
      </c>
      <c r="AB34" s="39">
        <f t="shared" si="46"/>
        <v>76.129018607564689</v>
      </c>
      <c r="AC34" s="39">
        <f t="shared" si="47"/>
        <v>16.346224110397074</v>
      </c>
      <c r="AD34" s="39">
        <f t="shared" si="48"/>
        <v>45.106462690392391</v>
      </c>
      <c r="AE34" s="39">
        <f t="shared" si="49"/>
        <v>1.4234472168364287</v>
      </c>
      <c r="AF34" s="39">
        <f t="shared" si="50"/>
        <v>274.1303093895304</v>
      </c>
      <c r="AG34" s="39">
        <f t="shared" si="51"/>
        <v>183.5024017095088</v>
      </c>
      <c r="AH34" s="39">
        <f t="shared" si="52"/>
        <v>1280.6555629001928</v>
      </c>
      <c r="AI34" s="39">
        <f t="shared" si="53"/>
        <v>116.59889510973227</v>
      </c>
      <c r="AJ34" s="39">
        <f t="shared" si="54"/>
        <v>759.578553730718</v>
      </c>
      <c r="AK34" s="39">
        <f t="shared" si="55"/>
        <v>251.8952915903939</v>
      </c>
      <c r="AL34" s="39">
        <f t="shared" si="56"/>
        <v>647.58943937086065</v>
      </c>
      <c r="AM34" s="39">
        <f t="shared" si="57"/>
        <v>92.393109620023083</v>
      </c>
      <c r="AN34" s="39">
        <f t="shared" si="58"/>
        <v>212.11764568384828</v>
      </c>
      <c r="AO34" s="39">
        <f t="shared" si="59"/>
        <v>2251.1745545155236</v>
      </c>
    </row>
    <row r="35" spans="4:41" ht="14.4">
      <c r="D35">
        <f t="shared" si="25"/>
        <v>2050</v>
      </c>
      <c r="E35" s="39">
        <f t="shared" si="26"/>
        <v>29.234456093013023</v>
      </c>
      <c r="F35" s="39">
        <f t="shared" si="60"/>
        <v>478.85141075057737</v>
      </c>
      <c r="G35" s="39">
        <f t="shared" si="61"/>
        <v>84.74164983465981</v>
      </c>
      <c r="H35" s="39">
        <f t="shared" si="62"/>
        <v>518.73979038976529</v>
      </c>
      <c r="I35" s="39">
        <f t="shared" si="27"/>
        <v>237.56529889273955</v>
      </c>
      <c r="J35" s="39">
        <f t="shared" si="28"/>
        <v>396.95892995013867</v>
      </c>
      <c r="K35" s="39">
        <f t="shared" si="29"/>
        <v>12.306631149039365</v>
      </c>
      <c r="L35" s="39">
        <f t="shared" si="30"/>
        <v>518.24187206954389</v>
      </c>
      <c r="M35" s="39">
        <f t="shared" si="31"/>
        <v>3734.7304840644074</v>
      </c>
      <c r="N35" s="39">
        <f t="shared" si="32"/>
        <v>548.08151681818833</v>
      </c>
      <c r="O35" s="39">
        <f t="shared" si="33"/>
        <v>46.019401747104986</v>
      </c>
      <c r="P35" s="39">
        <f t="shared" si="34"/>
        <v>249.59029003204157</v>
      </c>
      <c r="Q35" s="39">
        <f t="shared" si="35"/>
        <v>312.91142394316023</v>
      </c>
      <c r="R35" s="39">
        <f t="shared" si="36"/>
        <v>280.09260395421205</v>
      </c>
      <c r="S35" s="39">
        <f t="shared" si="37"/>
        <v>2491.9130343193456</v>
      </c>
      <c r="T35" s="39">
        <f t="shared" si="38"/>
        <v>235.55233320516524</v>
      </c>
      <c r="U35" s="39">
        <f t="shared" si="39"/>
        <v>610.26359905333584</v>
      </c>
      <c r="V35" s="39">
        <f t="shared" si="40"/>
        <v>132.63893503598459</v>
      </c>
      <c r="W35" s="39">
        <f t="shared" si="41"/>
        <v>15.41068817174507</v>
      </c>
      <c r="X35" s="39">
        <f t="shared" si="42"/>
        <v>1084.1208123663048</v>
      </c>
      <c r="Y35" s="39">
        <f t="shared" si="43"/>
        <v>49.883115488552306</v>
      </c>
      <c r="Z35" s="39">
        <f t="shared" si="44"/>
        <v>123.0281893280011</v>
      </c>
      <c r="AA35" s="39">
        <f t="shared" si="45"/>
        <v>25.212632319366708</v>
      </c>
      <c r="AB35" s="39">
        <f t="shared" si="46"/>
        <v>75.672929657086769</v>
      </c>
      <c r="AC35" s="39">
        <f t="shared" si="47"/>
        <v>16.248293881751685</v>
      </c>
      <c r="AD35" s="39">
        <f t="shared" si="48"/>
        <v>44.836229872414251</v>
      </c>
      <c r="AE35" s="39">
        <f t="shared" si="49"/>
        <v>1.4149193445603616</v>
      </c>
      <c r="AF35" s="39">
        <f t="shared" si="50"/>
        <v>272.48799470597771</v>
      </c>
      <c r="AG35" s="39">
        <f t="shared" si="51"/>
        <v>182.40303882086715</v>
      </c>
      <c r="AH35" s="39">
        <f t="shared" si="52"/>
        <v>1272.9831554228576</v>
      </c>
      <c r="AI35" s="39">
        <f t="shared" si="53"/>
        <v>115.90035112912986</v>
      </c>
      <c r="AJ35" s="39">
        <f t="shared" si="54"/>
        <v>755.02791861531728</v>
      </c>
      <c r="AK35" s="39">
        <f t="shared" si="55"/>
        <v>250.38618689847584</v>
      </c>
      <c r="AL35" s="39">
        <f t="shared" si="56"/>
        <v>643.70973103958988</v>
      </c>
      <c r="AM35" s="39">
        <f t="shared" si="57"/>
        <v>91.839582500289524</v>
      </c>
      <c r="AN35" s="39">
        <f t="shared" si="58"/>
        <v>210.84684886855635</v>
      </c>
      <c r="AO35" s="39">
        <f t="shared" si="59"/>
        <v>2237.6877677594211</v>
      </c>
    </row>
    <row r="36" spans="4:41" ht="14.4">
      <c r="D36">
        <f t="shared" si="25"/>
        <v>2052</v>
      </c>
      <c r="E36" s="39">
        <f t="shared" si="26"/>
        <v>29.059312466559781</v>
      </c>
      <c r="F36" s="39">
        <f t="shared" si="60"/>
        <v>475.98261194877068</v>
      </c>
      <c r="G36" s="39">
        <f t="shared" si="61"/>
        <v>84.23396261050037</v>
      </c>
      <c r="H36" s="39">
        <f t="shared" si="62"/>
        <v>515.63202030554021</v>
      </c>
      <c r="I36" s="39">
        <f t="shared" si="27"/>
        <v>236.14204518707317</v>
      </c>
      <c r="J36" s="39">
        <f t="shared" si="28"/>
        <v>394.58074900080737</v>
      </c>
      <c r="K36" s="39">
        <f t="shared" si="29"/>
        <v>12.23290212182547</v>
      </c>
      <c r="L36" s="39">
        <f t="shared" si="30"/>
        <v>515.13708501397525</v>
      </c>
      <c r="M36" s="39">
        <f t="shared" si="31"/>
        <v>3712.3557137343778</v>
      </c>
      <c r="N36" s="39">
        <f t="shared" si="32"/>
        <v>544.79796045093053</v>
      </c>
      <c r="O36" s="39">
        <f t="shared" si="33"/>
        <v>45.743699511238084</v>
      </c>
      <c r="P36" s="39">
        <f t="shared" si="34"/>
        <v>248.0949946044596</v>
      </c>
      <c r="Q36" s="39">
        <f t="shared" si="35"/>
        <v>311.03677160231678</v>
      </c>
      <c r="R36" s="39">
        <f t="shared" si="36"/>
        <v>278.41456916392235</v>
      </c>
      <c r="S36" s="39">
        <f t="shared" si="37"/>
        <v>2476.9839833307383</v>
      </c>
      <c r="T36" s="39">
        <f t="shared" si="38"/>
        <v>234.14113917693311</v>
      </c>
      <c r="U36" s="39">
        <f t="shared" si="39"/>
        <v>606.60750983140736</v>
      </c>
      <c r="V36" s="39">
        <f t="shared" si="40"/>
        <v>131.844295176184</v>
      </c>
      <c r="W36" s="39">
        <f t="shared" si="41"/>
        <v>15.318362738908146</v>
      </c>
      <c r="X36" s="39">
        <f t="shared" si="42"/>
        <v>1077.6258445794183</v>
      </c>
      <c r="Y36" s="39">
        <f t="shared" si="43"/>
        <v>49.584265743660389</v>
      </c>
      <c r="Z36" s="39">
        <f t="shared" si="44"/>
        <v>122.29112744573706</v>
      </c>
      <c r="AA36" s="39">
        <f t="shared" si="45"/>
        <v>25.061583439141383</v>
      </c>
      <c r="AB36" s="39">
        <f t="shared" si="46"/>
        <v>75.219573135511169</v>
      </c>
      <c r="AC36" s="39">
        <f t="shared" si="47"/>
        <v>16.150950353106111</v>
      </c>
      <c r="AD36" s="39">
        <f t="shared" si="48"/>
        <v>44.567616019248618</v>
      </c>
      <c r="AE36" s="39">
        <f t="shared" si="49"/>
        <v>1.4064425627671004</v>
      </c>
      <c r="AF36" s="39">
        <f t="shared" si="50"/>
        <v>270.85551912969419</v>
      </c>
      <c r="AG36" s="39">
        <f t="shared" si="51"/>
        <v>181.31026221529135</v>
      </c>
      <c r="AH36" s="39">
        <f t="shared" si="52"/>
        <v>1265.3567133387194</v>
      </c>
      <c r="AI36" s="39">
        <f t="shared" si="53"/>
        <v>115.20599212551525</v>
      </c>
      <c r="AJ36" s="39">
        <f t="shared" si="54"/>
        <v>750.50454635489291</v>
      </c>
      <c r="AK36" s="39">
        <f t="shared" si="55"/>
        <v>248.88612325276708</v>
      </c>
      <c r="AL36" s="39">
        <f t="shared" si="56"/>
        <v>639.85326604093177</v>
      </c>
      <c r="AM36" s="39">
        <f t="shared" si="57"/>
        <v>91.289371561530288</v>
      </c>
      <c r="AN36" s="39">
        <f t="shared" si="58"/>
        <v>209.58366539698483</v>
      </c>
      <c r="AO36" s="39">
        <f t="shared" si="59"/>
        <v>2224.2817803427747</v>
      </c>
    </row>
    <row r="37" spans="4:41" ht="14.4">
      <c r="D37">
        <f t="shared" si="25"/>
        <v>2054</v>
      </c>
      <c r="E37" s="39">
        <f t="shared" si="26"/>
        <v>28.885218125572621</v>
      </c>
      <c r="F37" s="39">
        <f t="shared" si="60"/>
        <v>473.13100012058561</v>
      </c>
      <c r="G37" s="39">
        <f t="shared" si="61"/>
        <v>83.729316940500865</v>
      </c>
      <c r="H37" s="39">
        <f t="shared" si="62"/>
        <v>512.54286887188971</v>
      </c>
      <c r="I37" s="39">
        <f t="shared" si="27"/>
        <v>234.72731819435742</v>
      </c>
      <c r="J37" s="39">
        <f t="shared" si="28"/>
        <v>392.21681573354357</v>
      </c>
      <c r="K37" s="39">
        <f t="shared" si="29"/>
        <v>12.159614805213614</v>
      </c>
      <c r="L37" s="39">
        <f t="shared" si="30"/>
        <v>512.05089873765655</v>
      </c>
      <c r="M37" s="39">
        <f t="shared" si="31"/>
        <v>3690.1149906533951</v>
      </c>
      <c r="N37" s="39">
        <f t="shared" si="32"/>
        <v>541.53407586986907</v>
      </c>
      <c r="O37" s="39">
        <f t="shared" si="33"/>
        <v>45.469649007466259</v>
      </c>
      <c r="P37" s="39">
        <f t="shared" si="34"/>
        <v>246.6086574917843</v>
      </c>
      <c r="Q37" s="39">
        <f t="shared" si="35"/>
        <v>309.17335030364728</v>
      </c>
      <c r="R37" s="39">
        <f t="shared" si="36"/>
        <v>276.74658748006129</v>
      </c>
      <c r="S37" s="39">
        <f t="shared" si="37"/>
        <v>2462.1443722866038</v>
      </c>
      <c r="T37" s="39">
        <f t="shared" si="38"/>
        <v>232.73839961212411</v>
      </c>
      <c r="U37" s="39">
        <f t="shared" si="39"/>
        <v>602.9733242400074</v>
      </c>
      <c r="V37" s="39">
        <f t="shared" si="40"/>
        <v>131.0544160037835</v>
      </c>
      <c r="W37" s="39">
        <f t="shared" si="41"/>
        <v>15.226590427739348</v>
      </c>
      <c r="X37" s="39">
        <f t="shared" si="42"/>
        <v>1071.169788144543</v>
      </c>
      <c r="Y37" s="39">
        <f t="shared" si="43"/>
        <v>49.287206407590119</v>
      </c>
      <c r="Z37" s="39">
        <f t="shared" si="44"/>
        <v>121.55848130120965</v>
      </c>
      <c r="AA37" s="39">
        <f t="shared" si="45"/>
        <v>24.911439492757488</v>
      </c>
      <c r="AB37" s="39">
        <f t="shared" si="46"/>
        <v>74.768932672856323</v>
      </c>
      <c r="AC37" s="39">
        <f t="shared" si="47"/>
        <v>16.054190009540655</v>
      </c>
      <c r="AD37" s="39">
        <f t="shared" si="48"/>
        <v>44.300611431677304</v>
      </c>
      <c r="AE37" s="39">
        <f t="shared" si="49"/>
        <v>1.3980165653735628</v>
      </c>
      <c r="AF37" s="39">
        <f t="shared" si="50"/>
        <v>269.23282371458822</v>
      </c>
      <c r="AG37" s="39">
        <f t="shared" si="51"/>
        <v>180.22403243435954</v>
      </c>
      <c r="AH37" s="39">
        <f t="shared" si="52"/>
        <v>1257.7759612691073</v>
      </c>
      <c r="AI37" s="39">
        <f t="shared" si="53"/>
        <v>114.5157930266913</v>
      </c>
      <c r="AJ37" s="39">
        <f t="shared" si="54"/>
        <v>746.00827361768074</v>
      </c>
      <c r="AK37" s="39">
        <f t="shared" si="55"/>
        <v>247.39504648835975</v>
      </c>
      <c r="AL37" s="39">
        <f t="shared" si="56"/>
        <v>636.01990512408054</v>
      </c>
      <c r="AM37" s="39">
        <f t="shared" si="57"/>
        <v>90.742456936505164</v>
      </c>
      <c r="AN37" s="39">
        <f t="shared" si="58"/>
        <v>208.32804965759149</v>
      </c>
      <c r="AO37" s="39">
        <f t="shared" si="59"/>
        <v>2210.9561081967413</v>
      </c>
    </row>
    <row r="38" spans="4:41" ht="14.4">
      <c r="D38">
        <f t="shared" si="25"/>
        <v>2056</v>
      </c>
      <c r="E38" s="39">
        <f t="shared" si="26"/>
        <v>28.712166783782315</v>
      </c>
      <c r="F38" s="39">
        <f t="shared" si="60"/>
        <v>470.29647229886319</v>
      </c>
      <c r="G38" s="39">
        <f t="shared" si="61"/>
        <v>83.227694602710329</v>
      </c>
      <c r="H38" s="39">
        <f t="shared" si="62"/>
        <v>509.47222454447825</v>
      </c>
      <c r="I38" s="39">
        <f t="shared" si="27"/>
        <v>233.32106683105505</v>
      </c>
      <c r="J38" s="39">
        <f t="shared" si="28"/>
        <v>389.86704479048393</v>
      </c>
      <c r="K38" s="39">
        <f t="shared" si="29"/>
        <v>12.086766552915581</v>
      </c>
      <c r="L38" s="39">
        <f t="shared" si="30"/>
        <v>508.98320180331928</v>
      </c>
      <c r="M38" s="39">
        <f t="shared" si="31"/>
        <v>3668.0075117443907</v>
      </c>
      <c r="N38" s="39">
        <f t="shared" si="32"/>
        <v>538.28974522133274</v>
      </c>
      <c r="O38" s="39">
        <f t="shared" si="33"/>
        <v>45.197240340262532</v>
      </c>
      <c r="P38" s="39">
        <f t="shared" si="34"/>
        <v>245.13122502475102</v>
      </c>
      <c r="Q38" s="39">
        <f t="shared" si="35"/>
        <v>307.32109276197815</v>
      </c>
      <c r="R38" s="39">
        <f t="shared" si="36"/>
        <v>275.08859867446824</v>
      </c>
      <c r="S38" s="39">
        <f t="shared" si="37"/>
        <v>2447.3936653522346</v>
      </c>
      <c r="T38" s="39">
        <f t="shared" si="38"/>
        <v>231.3440638600479</v>
      </c>
      <c r="U38" s="39">
        <f t="shared" si="39"/>
        <v>599.36091105448554</v>
      </c>
      <c r="V38" s="39">
        <f t="shared" si="40"/>
        <v>130.26926899750484</v>
      </c>
      <c r="W38" s="39">
        <f t="shared" si="41"/>
        <v>15.135367924486761</v>
      </c>
      <c r="X38" s="39">
        <f t="shared" si="42"/>
        <v>1064.752409943769</v>
      </c>
      <c r="Y38" s="39">
        <f t="shared" si="43"/>
        <v>48.99192675400225</v>
      </c>
      <c r="Z38" s="39">
        <f t="shared" si="44"/>
        <v>120.83022443973411</v>
      </c>
      <c r="AA38" s="39">
        <f t="shared" si="45"/>
        <v>24.762195058756379</v>
      </c>
      <c r="AB38" s="39">
        <f t="shared" si="46"/>
        <v>74.320991997213241</v>
      </c>
      <c r="AC38" s="39">
        <f t="shared" si="47"/>
        <v>15.958009357193497</v>
      </c>
      <c r="AD38" s="39">
        <f t="shared" si="48"/>
        <v>44.035206468590125</v>
      </c>
      <c r="AE38" s="39">
        <f t="shared" si="49"/>
        <v>1.3896410481304098</v>
      </c>
      <c r="AF38" s="39">
        <f t="shared" si="50"/>
        <v>267.61984986771415</v>
      </c>
      <c r="AG38" s="39">
        <f t="shared" si="51"/>
        <v>179.14431025604529</v>
      </c>
      <c r="AH38" s="39">
        <f t="shared" si="52"/>
        <v>1250.2406254851442</v>
      </c>
      <c r="AI38" s="39">
        <f t="shared" si="53"/>
        <v>113.82972891066839</v>
      </c>
      <c r="AJ38" s="39">
        <f t="shared" si="54"/>
        <v>741.5389380504372</v>
      </c>
      <c r="AK38" s="39">
        <f t="shared" si="55"/>
        <v>245.91290276484798</v>
      </c>
      <c r="AL38" s="39">
        <f t="shared" si="56"/>
        <v>632.20950987248216</v>
      </c>
      <c r="AM38" s="39">
        <f t="shared" si="57"/>
        <v>90.198818876998558</v>
      </c>
      <c r="AN38" s="39">
        <f t="shared" si="58"/>
        <v>207.07995631209286</v>
      </c>
      <c r="AO38" s="39">
        <f t="shared" si="59"/>
        <v>2197.7102701525346</v>
      </c>
    </row>
    <row r="39" spans="4:41" ht="14.4">
      <c r="D39">
        <f t="shared" si="25"/>
        <v>2058</v>
      </c>
      <c r="E39" s="39">
        <f t="shared" si="26"/>
        <v>28.540152192580678</v>
      </c>
      <c r="F39" s="39">
        <f t="shared" si="60"/>
        <v>467.47892613332073</v>
      </c>
      <c r="G39" s="39">
        <f t="shared" si="61"/>
        <v>82.729077484345495</v>
      </c>
      <c r="H39" s="39">
        <f t="shared" si="62"/>
        <v>506.41997644723227</v>
      </c>
      <c r="I39" s="39">
        <f t="shared" si="27"/>
        <v>231.92324031967021</v>
      </c>
      <c r="J39" s="39">
        <f t="shared" si="28"/>
        <v>387.53135132514416</v>
      </c>
      <c r="K39" s="39">
        <f t="shared" si="29"/>
        <v>12.014354734497063</v>
      </c>
      <c r="L39" s="39">
        <f t="shared" si="30"/>
        <v>505.93388344131563</v>
      </c>
      <c r="M39" s="39">
        <f t="shared" si="31"/>
        <v>3646.0324787415302</v>
      </c>
      <c r="N39" s="39">
        <f t="shared" si="32"/>
        <v>535.06485135771175</v>
      </c>
      <c r="O39" s="39">
        <f t="shared" si="33"/>
        <v>44.926463673384021</v>
      </c>
      <c r="P39" s="39">
        <f t="shared" si="34"/>
        <v>243.66264385562775</v>
      </c>
      <c r="Q39" s="39">
        <f t="shared" si="35"/>
        <v>305.47993209524117</v>
      </c>
      <c r="R39" s="39">
        <f t="shared" si="36"/>
        <v>273.44054287980953</v>
      </c>
      <c r="S39" s="39">
        <f t="shared" si="37"/>
        <v>2432.7313299031093</v>
      </c>
      <c r="T39" s="39">
        <f t="shared" si="38"/>
        <v>229.95808157346235</v>
      </c>
      <c r="U39" s="39">
        <f t="shared" si="39"/>
        <v>595.77013983635811</v>
      </c>
      <c r="V39" s="39">
        <f t="shared" si="40"/>
        <v>129.48882580694078</v>
      </c>
      <c r="W39" s="39">
        <f t="shared" si="41"/>
        <v>15.044691935251162</v>
      </c>
      <c r="X39" s="39">
        <f t="shared" si="42"/>
        <v>1058.3734782557958</v>
      </c>
      <c r="Y39" s="39">
        <f t="shared" si="43"/>
        <v>48.698416120819026</v>
      </c>
      <c r="Z39" s="39">
        <f t="shared" si="44"/>
        <v>120.10633056511567</v>
      </c>
      <c r="AA39" s="39">
        <f t="shared" si="45"/>
        <v>24.613844748159369</v>
      </c>
      <c r="AB39" s="39">
        <f t="shared" si="46"/>
        <v>73.875734934157933</v>
      </c>
      <c r="AC39" s="39">
        <f t="shared" si="47"/>
        <v>15.862404923134552</v>
      </c>
      <c r="AD39" s="39">
        <f t="shared" si="48"/>
        <v>43.771391546636806</v>
      </c>
      <c r="AE39" s="39">
        <f t="shared" si="49"/>
        <v>1.3813157086110606</v>
      </c>
      <c r="AF39" s="39">
        <f t="shared" si="50"/>
        <v>266.01653934715671</v>
      </c>
      <c r="AG39" s="39">
        <f t="shared" si="51"/>
        <v>178.07105669330133</v>
      </c>
      <c r="AH39" s="39">
        <f t="shared" si="52"/>
        <v>1242.7504338978626</v>
      </c>
      <c r="AI39" s="39">
        <f t="shared" si="53"/>
        <v>113.14777500476458</v>
      </c>
      <c r="AJ39" s="39">
        <f t="shared" si="54"/>
        <v>737.096378272577</v>
      </c>
      <c r="AK39" s="39">
        <f t="shared" si="55"/>
        <v>244.43963856438378</v>
      </c>
      <c r="AL39" s="39">
        <f t="shared" si="56"/>
        <v>628.42194269883612</v>
      </c>
      <c r="AM39" s="39">
        <f t="shared" si="57"/>
        <v>89.658437753106469</v>
      </c>
      <c r="AN39" s="39">
        <f t="shared" si="58"/>
        <v>205.83934029382712</v>
      </c>
      <c r="AO39" s="39">
        <f t="shared" si="59"/>
        <v>2184.5437879240508</v>
      </c>
    </row>
    <row r="40" spans="4:41" ht="14.4">
      <c r="D40">
        <f t="shared" si="25"/>
        <v>2060</v>
      </c>
      <c r="E40" s="39">
        <f>E39*(1-E$9)^2</f>
        <v>28.369168140794926</v>
      </c>
      <c r="F40" s="39">
        <f t="shared" si="60"/>
        <v>464.67825988685604</v>
      </c>
      <c r="G40" s="39">
        <f t="shared" si="61"/>
        <v>82.233447581136787</v>
      </c>
      <c r="H40" s="39">
        <f t="shared" si="62"/>
        <v>503.38601436833693</v>
      </c>
      <c r="I40" s="39">
        <f t="shared" si="27"/>
        <v>230.53378818691507</v>
      </c>
      <c r="J40" s="39">
        <f t="shared" si="28"/>
        <v>385.20965099935523</v>
      </c>
      <c r="K40" s="39">
        <f t="shared" si="29"/>
        <v>11.942376735282691</v>
      </c>
      <c r="L40" s="39">
        <f t="shared" si="30"/>
        <v>502.90283354561871</v>
      </c>
      <c r="M40" s="39">
        <f>M39*(1-M$9)^2</f>
        <v>3624.1890981613897</v>
      </c>
      <c r="N40" s="39">
        <f t="shared" si="32"/>
        <v>531.85927783322768</v>
      </c>
      <c r="O40" s="39">
        <f t="shared" si="33"/>
        <v>44.657309229516777</v>
      </c>
      <c r="P40" s="39">
        <f t="shared" si="34"/>
        <v>242.2028609562887</v>
      </c>
      <c r="Q40" s="39">
        <f t="shared" si="35"/>
        <v>303.64980182205858</v>
      </c>
      <c r="R40" s="39">
        <f t="shared" si="36"/>
        <v>271.80236058741662</v>
      </c>
      <c r="S40" s="39">
        <f t="shared" si="37"/>
        <v>2418.1568365056601</v>
      </c>
      <c r="T40" s="39">
        <f t="shared" si="38"/>
        <v>228.58040270675573</v>
      </c>
      <c r="U40" s="39">
        <f t="shared" si="39"/>
        <v>592.20088092859851</v>
      </c>
      <c r="V40" s="39">
        <f t="shared" si="40"/>
        <v>128.71305825153141</v>
      </c>
      <c r="W40" s="39">
        <f t="shared" si="41"/>
        <v>14.954559185867073</v>
      </c>
      <c r="X40" s="39">
        <f t="shared" si="42"/>
        <v>1052.0327627475654</v>
      </c>
      <c r="Y40" s="39">
        <f t="shared" si="43"/>
        <v>48.406663909839203</v>
      </c>
      <c r="Z40" s="39">
        <f t="shared" si="44"/>
        <v>119.38677353870007</v>
      </c>
      <c r="AA40" s="39">
        <f t="shared" si="45"/>
        <v>24.466383204273146</v>
      </c>
      <c r="AB40" s="39">
        <f t="shared" si="46"/>
        <v>73.433145406167398</v>
      </c>
      <c r="AC40" s="39">
        <f t="shared" si="47"/>
        <v>15.767373255240052</v>
      </c>
      <c r="AD40" s="39">
        <f t="shared" si="48"/>
        <v>43.509157139880905</v>
      </c>
      <c r="AE40" s="39">
        <f t="shared" si="49"/>
        <v>1.3730402462007718</v>
      </c>
      <c r="AF40" s="39">
        <f t="shared" si="50"/>
        <v>264.42283425992792</v>
      </c>
      <c r="AG40" s="39">
        <f t="shared" si="51"/>
        <v>177.00423299265177</v>
      </c>
      <c r="AH40" s="39">
        <f t="shared" si="52"/>
        <v>1235.3051160483806</v>
      </c>
      <c r="AI40" s="39">
        <f t="shared" si="53"/>
        <v>112.46990668471105</v>
      </c>
      <c r="AJ40" s="39">
        <f t="shared" si="54"/>
        <v>732.68043387034606</v>
      </c>
      <c r="AK40" s="39">
        <f t="shared" si="55"/>
        <v>242.97520068974458</v>
      </c>
      <c r="AL40" s="39">
        <f t="shared" si="56"/>
        <v>624.65706684012741</v>
      </c>
      <c r="AM40" s="39">
        <f t="shared" si="57"/>
        <v>89.121294052527617</v>
      </c>
      <c r="AN40" s="39">
        <f t="shared" si="58"/>
        <v>204.60615680612682</v>
      </c>
      <c r="AO40" s="39">
        <f t="shared" si="59"/>
        <v>2171.4561860905978</v>
      </c>
    </row>
    <row r="41" spans="4:41" ht="14.4">
      <c r="D41">
        <f t="shared" si="25"/>
        <v>2062</v>
      </c>
      <c r="E41" s="39">
        <f t="shared" si="26"/>
        <v>28.199208454463424</v>
      </c>
      <c r="F41" s="39">
        <f t="shared" si="60"/>
        <v>461.89437243187388</v>
      </c>
      <c r="G41" s="39">
        <f t="shared" si="61"/>
        <v>81.740786996678196</v>
      </c>
      <c r="H41" s="39">
        <f t="shared" si="62"/>
        <v>500.37022875625627</v>
      </c>
      <c r="I41" s="39">
        <f t="shared" si="27"/>
        <v>229.15266026188726</v>
      </c>
      <c r="J41" s="39">
        <f t="shared" si="28"/>
        <v>382.90185998021809</v>
      </c>
      <c r="K41" s="39">
        <f t="shared" si="29"/>
        <v>11.870829956261613</v>
      </c>
      <c r="L41" s="39">
        <f t="shared" si="30"/>
        <v>499.8899426698469</v>
      </c>
      <c r="M41" s="39">
        <f t="shared" si="31"/>
        <v>3602.4765812743049</v>
      </c>
      <c r="N41" s="39">
        <f t="shared" si="32"/>
        <v>528.67290889972878</v>
      </c>
      <c r="O41" s="39">
        <f t="shared" si="33"/>
        <v>44.389767289922744</v>
      </c>
      <c r="P41" s="39">
        <f t="shared" si="34"/>
        <v>240.75182361629959</v>
      </c>
      <c r="Q41" s="39">
        <f t="shared" si="35"/>
        <v>301.83063585934264</v>
      </c>
      <c r="R41" s="39">
        <f t="shared" si="36"/>
        <v>270.17399264513739</v>
      </c>
      <c r="S41" s="39">
        <f t="shared" si="37"/>
        <v>2403.6696588981549</v>
      </c>
      <c r="T41" s="39">
        <f t="shared" si="38"/>
        <v>227.21097751413956</v>
      </c>
      <c r="U41" s="39">
        <f t="shared" si="39"/>
        <v>588.65300545095533</v>
      </c>
      <c r="V41" s="39">
        <f t="shared" si="40"/>
        <v>127.94193831954648</v>
      </c>
      <c r="W41" s="39">
        <f t="shared" si="41"/>
        <v>14.864966421784544</v>
      </c>
      <c r="X41" s="39">
        <f t="shared" si="42"/>
        <v>1045.7300344659448</v>
      </c>
      <c r="Y41" s="39">
        <f t="shared" si="43"/>
        <v>48.116659586355361</v>
      </c>
      <c r="Z41" s="39">
        <f t="shared" si="44"/>
        <v>118.67152737842972</v>
      </c>
      <c r="AA41" s="39">
        <f t="shared" si="45"/>
        <v>24.319805102496346</v>
      </c>
      <c r="AB41" s="39">
        <f t="shared" si="46"/>
        <v>72.993207432039057</v>
      </c>
      <c r="AC41" s="39">
        <f t="shared" si="47"/>
        <v>15.67291092206791</v>
      </c>
      <c r="AD41" s="39">
        <f t="shared" si="48"/>
        <v>43.248493779455877</v>
      </c>
      <c r="AE41" s="39">
        <f t="shared" si="49"/>
        <v>1.3648143620857831</v>
      </c>
      <c r="AF41" s="39">
        <f t="shared" si="50"/>
        <v>262.83867705987672</v>
      </c>
      <c r="AG41" s="39">
        <f t="shared" si="51"/>
        <v>175.9438006327928</v>
      </c>
      <c r="AH41" s="39">
        <f t="shared" si="52"/>
        <v>1227.9044030981347</v>
      </c>
      <c r="AI41" s="39">
        <f t="shared" si="53"/>
        <v>111.79609947376295</v>
      </c>
      <c r="AJ41" s="39">
        <f t="shared" si="54"/>
        <v>728.2909453910288</v>
      </c>
      <c r="AK41" s="39">
        <f t="shared" si="55"/>
        <v>241.51953626241232</v>
      </c>
      <c r="AL41" s="39">
        <f t="shared" si="56"/>
        <v>620.91474635268821</v>
      </c>
      <c r="AM41" s="39">
        <f t="shared" si="57"/>
        <v>88.58736837985893</v>
      </c>
      <c r="AN41" s="39">
        <f t="shared" si="58"/>
        <v>203.38036132070133</v>
      </c>
      <c r="AO41" s="39">
        <f t="shared" si="59"/>
        <v>2158.4469920797292</v>
      </c>
    </row>
    <row r="42" spans="4:41" ht="14.4">
      <c r="D42">
        <f t="shared" si="25"/>
        <v>2064</v>
      </c>
      <c r="E42" s="39">
        <f t="shared" si="26"/>
        <v>28.030266996612735</v>
      </c>
      <c r="F42" s="39">
        <f t="shared" si="60"/>
        <v>459.12716324663455</v>
      </c>
      <c r="G42" s="39">
        <f t="shared" si="61"/>
        <v>81.251077941781105</v>
      </c>
      <c r="H42" s="39">
        <f t="shared" si="62"/>
        <v>497.37251071577754</v>
      </c>
      <c r="I42" s="39">
        <f t="shared" si="27"/>
        <v>227.77980667425831</v>
      </c>
      <c r="J42" s="39">
        <f t="shared" si="28"/>
        <v>380.60789493707659</v>
      </c>
      <c r="K42" s="39">
        <f t="shared" si="29"/>
        <v>11.79971181399365</v>
      </c>
      <c r="L42" s="39">
        <f t="shared" si="30"/>
        <v>496.89510202331189</v>
      </c>
      <c r="M42" s="39">
        <f t="shared" si="31"/>
        <v>3580.8941440758908</v>
      </c>
      <c r="N42" s="39">
        <f t="shared" si="32"/>
        <v>525.50562950251049</v>
      </c>
      <c r="O42" s="39">
        <f t="shared" si="33"/>
        <v>44.123828194088816</v>
      </c>
      <c r="P42" s="39">
        <f t="shared" si="34"/>
        <v>239.30947944101433</v>
      </c>
      <c r="Q42" s="39">
        <f t="shared" si="35"/>
        <v>300.02236851990932</v>
      </c>
      <c r="R42" s="39">
        <f t="shared" si="36"/>
        <v>268.55538025520036</v>
      </c>
      <c r="S42" s="39">
        <f t="shared" si="37"/>
        <v>2389.2692739716963</v>
      </c>
      <c r="T42" s="39">
        <f t="shared" si="38"/>
        <v>225.84975654785237</v>
      </c>
      <c r="U42" s="39">
        <f t="shared" si="39"/>
        <v>585.12638529529863</v>
      </c>
      <c r="V42" s="39">
        <f t="shared" si="40"/>
        <v>127.17543816707408</v>
      </c>
      <c r="W42" s="39">
        <f t="shared" si="41"/>
        <v>14.775910407951633</v>
      </c>
      <c r="X42" s="39">
        <f t="shared" si="42"/>
        <v>1039.4650658294593</v>
      </c>
      <c r="Y42" s="39">
        <f t="shared" si="43"/>
        <v>47.828392678773504</v>
      </c>
      <c r="Z42" s="39">
        <f t="shared" si="44"/>
        <v>117.96056625790554</v>
      </c>
      <c r="AA42" s="39">
        <f t="shared" si="45"/>
        <v>24.174105150127293</v>
      </c>
      <c r="AB42" s="39">
        <f t="shared" si="46"/>
        <v>72.555905126313718</v>
      </c>
      <c r="AC42" s="39">
        <f t="shared" si="47"/>
        <v>15.579014512733801</v>
      </c>
      <c r="AD42" s="39">
        <f t="shared" si="48"/>
        <v>42.989392053223156</v>
      </c>
      <c r="AE42" s="39">
        <f t="shared" si="49"/>
        <v>1.3566377592425272</v>
      </c>
      <c r="AF42" s="39">
        <f t="shared" si="50"/>
        <v>261.26401054561103</v>
      </c>
      <c r="AG42" s="39">
        <f t="shared" si="51"/>
        <v>174.88972132320174</v>
      </c>
      <c r="AH42" s="39">
        <f t="shared" si="52"/>
        <v>1220.5480278191737</v>
      </c>
      <c r="AI42" s="39">
        <f t="shared" si="53"/>
        <v>111.12632904181564</v>
      </c>
      <c r="AJ42" s="39">
        <f t="shared" si="54"/>
        <v>723.92775433719112</v>
      </c>
      <c r="AK42" s="39">
        <f t="shared" si="55"/>
        <v>240.0725927206642</v>
      </c>
      <c r="AL42" s="39">
        <f t="shared" si="56"/>
        <v>617.19484610728932</v>
      </c>
      <c r="AM42" s="39">
        <f t="shared" si="57"/>
        <v>88.056641455895203</v>
      </c>
      <c r="AN42" s="39">
        <f t="shared" si="58"/>
        <v>202.16190957602902</v>
      </c>
      <c r="AO42" s="39">
        <f t="shared" si="59"/>
        <v>2145.5157361501797</v>
      </c>
    </row>
    <row r="43" spans="4:41" ht="14.4">
      <c r="D43">
        <f t="shared" si="25"/>
        <v>2066</v>
      </c>
      <c r="E43" s="39">
        <f t="shared" si="26"/>
        <v>27.86233766703603</v>
      </c>
      <c r="F43" s="39">
        <f t="shared" si="60"/>
        <v>456.376532411624</v>
      </c>
      <c r="G43" s="39">
        <f t="shared" si="61"/>
        <v>80.764302733831897</v>
      </c>
      <c r="H43" s="39">
        <f t="shared" si="62"/>
        <v>494.39275200407934</v>
      </c>
      <c r="I43" s="39">
        <f t="shared" si="27"/>
        <v>226.41517785247282</v>
      </c>
      <c r="J43" s="39">
        <f t="shared" si="28"/>
        <v>378.32767303850858</v>
      </c>
      <c r="K43" s="39">
        <f t="shared" si="29"/>
        <v>11.729019740516014</v>
      </c>
      <c r="L43" s="39">
        <f t="shared" si="30"/>
        <v>493.91820346709022</v>
      </c>
      <c r="M43" s="39">
        <f t="shared" si="31"/>
        <v>3559.4410072587325</v>
      </c>
      <c r="N43" s="39">
        <f t="shared" si="32"/>
        <v>522.35732527616096</v>
      </c>
      <c r="O43" s="39">
        <f t="shared" si="33"/>
        <v>43.859482339378033</v>
      </c>
      <c r="P43" s="39">
        <f t="shared" si="34"/>
        <v>237.87577634968324</v>
      </c>
      <c r="Q43" s="39">
        <f t="shared" si="35"/>
        <v>298.22493451010655</v>
      </c>
      <c r="R43" s="39">
        <f t="shared" si="36"/>
        <v>266.94646497209146</v>
      </c>
      <c r="S43" s="39">
        <f t="shared" si="37"/>
        <v>2374.9551617513321</v>
      </c>
      <c r="T43" s="39">
        <f t="shared" si="38"/>
        <v>224.4966906563742</v>
      </c>
      <c r="U43" s="39">
        <f t="shared" si="39"/>
        <v>581.62089312099454</v>
      </c>
      <c r="V43" s="39">
        <f t="shared" si="40"/>
        <v>126.41353011701514</v>
      </c>
      <c r="W43" s="39">
        <f t="shared" si="41"/>
        <v>14.687387928697595</v>
      </c>
      <c r="X43" s="39">
        <f t="shared" si="42"/>
        <v>1033.2376306200749</v>
      </c>
      <c r="Y43" s="39">
        <f t="shared" si="43"/>
        <v>47.541852778234976</v>
      </c>
      <c r="Z43" s="39">
        <f t="shared" si="44"/>
        <v>117.25386450545443</v>
      </c>
      <c r="AA43" s="39">
        <f t="shared" si="45"/>
        <v>24.02927808617288</v>
      </c>
      <c r="AB43" s="39">
        <f t="shared" si="46"/>
        <v>72.12122269870197</v>
      </c>
      <c r="AC43" s="39">
        <f t="shared" si="47"/>
        <v>15.485680636788013</v>
      </c>
      <c r="AD43" s="39">
        <f t="shared" si="48"/>
        <v>42.731842605432298</v>
      </c>
      <c r="AE43" s="39">
        <f t="shared" si="49"/>
        <v>1.3485101424269053</v>
      </c>
      <c r="AF43" s="39">
        <f t="shared" si="50"/>
        <v>259.69877785843227</v>
      </c>
      <c r="AG43" s="39">
        <f t="shared" si="51"/>
        <v>173.84195700275444</v>
      </c>
      <c r="AH43" s="39">
        <f t="shared" si="52"/>
        <v>1213.2357245845092</v>
      </c>
      <c r="AI43" s="39">
        <f t="shared" si="53"/>
        <v>110.46057120452612</v>
      </c>
      <c r="AJ43" s="39">
        <f t="shared" si="54"/>
        <v>719.59070316095699</v>
      </c>
      <c r="AK43" s="39">
        <f t="shared" si="55"/>
        <v>238.63431781767471</v>
      </c>
      <c r="AL43" s="39">
        <f t="shared" si="56"/>
        <v>613.49723178426052</v>
      </c>
      <c r="AM43" s="39">
        <f t="shared" si="57"/>
        <v>87.529094116932939</v>
      </c>
      <c r="AN43" s="39">
        <f t="shared" si="58"/>
        <v>200.95075757575904</v>
      </c>
      <c r="AO43" s="39">
        <f t="shared" si="59"/>
        <v>2132.6619513749042</v>
      </c>
    </row>
    <row r="45" spans="4:4" s="35" customFormat="1" ht="14.4">
      <c r="D45" s="9" t="s">
        <v>70</v>
      </c>
    </row>
    <row r="46" spans="2:42" s="35" customFormat="1" ht="15" thickBot="1">
      <c r="B46" s="7" t="s">
        <v>69</v>
      </c>
      <c r="C46" s="7" t="s">
        <v>67</v>
      </c>
      <c r="D46" s="7" t="s">
        <v>2</v>
      </c>
      <c r="E46" s="8" t="str">
        <f>E$1</f>
        <v>AL</v>
      </c>
      <c r="F46" s="8" t="str">
        <f t="shared" si="63" ref="F46:AO46">F$1</f>
        <v>AT</v>
      </c>
      <c r="G46" s="8" t="str">
        <f t="shared" si="63"/>
        <v>BA</v>
      </c>
      <c r="H46" s="8" t="str">
        <f t="shared" si="63"/>
        <v>BE</v>
      </c>
      <c r="I46" s="8" t="str">
        <f t="shared" si="63"/>
        <v>BG</v>
      </c>
      <c r="J46" s="8" t="str">
        <f t="shared" si="63"/>
        <v>CH</v>
      </c>
      <c r="K46" s="8" t="str">
        <f t="shared" si="63"/>
        <v>CY</v>
      </c>
      <c r="L46" s="8" t="str">
        <f t="shared" si="63"/>
        <v>CZ</v>
      </c>
      <c r="M46" s="8" t="str">
        <f t="shared" si="63"/>
        <v>DE</v>
      </c>
      <c r="N46" s="8" t="str">
        <f t="shared" si="63"/>
        <v>DK</v>
      </c>
      <c r="O46" s="8" t="str">
        <f t="shared" si="63"/>
        <v>EE</v>
      </c>
      <c r="P46" s="8" t="str">
        <f t="shared" si="63"/>
        <v>EL</v>
      </c>
      <c r="Q46" s="8" t="str">
        <f t="shared" si="63"/>
        <v>ES</v>
      </c>
      <c r="R46" s="8" t="str">
        <f t="shared" si="63"/>
        <v>FI</v>
      </c>
      <c r="S46" s="8" t="str">
        <f t="shared" si="63"/>
        <v>FR</v>
      </c>
      <c r="T46" s="8" t="str">
        <f t="shared" si="63"/>
        <v>HR</v>
      </c>
      <c r="U46" s="8" t="str">
        <f t="shared" si="63"/>
        <v>HU</v>
      </c>
      <c r="V46" s="8" t="str">
        <f t="shared" si="63"/>
        <v>IE</v>
      </c>
      <c r="W46" s="8" t="str">
        <f t="shared" si="63"/>
        <v>IS</v>
      </c>
      <c r="X46" s="8" t="str">
        <f t="shared" si="63"/>
        <v>IT</v>
      </c>
      <c r="Y46" s="8" t="str">
        <f t="shared" si="63"/>
        <v>KS</v>
      </c>
      <c r="Z46" s="8" t="str">
        <f t="shared" si="63"/>
        <v>LT</v>
      </c>
      <c r="AA46" s="8" t="str">
        <f t="shared" si="63"/>
        <v>LU</v>
      </c>
      <c r="AB46" s="8" t="str">
        <f t="shared" si="63"/>
        <v>LV</v>
      </c>
      <c r="AC46" s="8" t="str">
        <f t="shared" si="63"/>
        <v>ME</v>
      </c>
      <c r="AD46" s="8" t="str">
        <f t="shared" si="63"/>
        <v>MK</v>
      </c>
      <c r="AE46" s="8" t="str">
        <f t="shared" si="63"/>
        <v>MT</v>
      </c>
      <c r="AF46" s="8" t="str">
        <f t="shared" si="63"/>
        <v>NL</v>
      </c>
      <c r="AG46" s="8" t="str">
        <f t="shared" si="63"/>
        <v>NO</v>
      </c>
      <c r="AH46" s="8" t="str">
        <f t="shared" si="63"/>
        <v>PL</v>
      </c>
      <c r="AI46" s="8" t="str">
        <f t="shared" si="63"/>
        <v>PT</v>
      </c>
      <c r="AJ46" s="8" t="str">
        <f t="shared" si="63"/>
        <v>RO</v>
      </c>
      <c r="AK46" s="8" t="str">
        <f t="shared" si="63"/>
        <v>RS</v>
      </c>
      <c r="AL46" s="8" t="str">
        <f t="shared" si="63"/>
        <v>SE</v>
      </c>
      <c r="AM46" s="8" t="str">
        <f t="shared" si="63"/>
        <v>SI</v>
      </c>
      <c r="AN46" s="8" t="str">
        <f t="shared" si="63"/>
        <v>SK</v>
      </c>
      <c r="AO46" s="8" t="str">
        <f t="shared" si="63"/>
        <v>UK</v>
      </c>
      <c r="AP46" s="35" t="s">
        <v>68</v>
      </c>
    </row>
    <row r="47" spans="2:42" s="35" customFormat="1" ht="15" thickTop="1">
      <c r="B47" s="35" t="str">
        <f>"UCR_OldStock-"&amp;MID(C47,5,20)</f>
        <v>UCR_OldStock-DetH-70</v>
      </c>
      <c r="C47" s="7" t="str">
        <f>D10</f>
        <v>Rdw_DetH-70</v>
      </c>
      <c r="D47" s="35">
        <v>2012</v>
      </c>
      <c r="E47" s="39">
        <f>E3*(1-E$10)^2</f>
        <v>52.293212393019296</v>
      </c>
      <c r="F47" s="39">
        <f t="shared" si="64" ref="F47:AO47">F3*(1-F$10)^2</f>
        <v>474.21105122816283</v>
      </c>
      <c r="G47" s="39">
        <f t="shared" si="64"/>
        <v>127.28283895223363</v>
      </c>
      <c r="H47" s="39">
        <f t="shared" si="64"/>
        <v>364.6737955706671</v>
      </c>
      <c r="I47" s="39">
        <f t="shared" si="64"/>
        <v>348.4120384830004</v>
      </c>
      <c r="J47" s="39">
        <f t="shared" si="64"/>
        <v>393.11215805128455</v>
      </c>
      <c r="K47" s="39">
        <f t="shared" si="64"/>
        <v>91.790059921200594</v>
      </c>
      <c r="L47" s="39">
        <f t="shared" si="64"/>
        <v>441.75208854146172</v>
      </c>
      <c r="M47" s="39">
        <f t="shared" si="64"/>
        <v>3514.9477118770674</v>
      </c>
      <c r="N47" s="39">
        <f t="shared" si="64"/>
        <v>378.55139930762988</v>
      </c>
      <c r="O47" s="39">
        <f t="shared" si="64"/>
        <v>59.652367016033622</v>
      </c>
      <c r="P47" s="39">
        <f t="shared" si="64"/>
        <v>446.45530624393024</v>
      </c>
      <c r="Q47" s="39">
        <f t="shared" si="64"/>
        <v>618.87472302092408</v>
      </c>
      <c r="R47" s="39">
        <f t="shared" si="64"/>
        <v>475.30893021369036</v>
      </c>
      <c r="S47" s="39">
        <f t="shared" si="64"/>
        <v>3481.7562623788676</v>
      </c>
      <c r="T47" s="39">
        <f t="shared" si="64"/>
        <v>369.71089924557515</v>
      </c>
      <c r="U47" s="39">
        <f t="shared" si="64"/>
        <v>846.7715825840279</v>
      </c>
      <c r="V47" s="39">
        <f t="shared" si="64"/>
        <v>315.28534252435225</v>
      </c>
      <c r="W47" s="39">
        <f t="shared" si="64"/>
        <v>26.151485634966374</v>
      </c>
      <c r="X47" s="39">
        <f t="shared" si="64"/>
        <v>887.466861513617</v>
      </c>
      <c r="Y47" s="39">
        <f t="shared" si="64"/>
        <v>74.924958005339462</v>
      </c>
      <c r="Z47" s="39">
        <f t="shared" si="64"/>
        <v>121.64347334216212</v>
      </c>
      <c r="AA47" s="39">
        <f t="shared" si="64"/>
        <v>23.831351505934567</v>
      </c>
      <c r="AB47" s="39">
        <f t="shared" si="64"/>
        <v>98.794599025064045</v>
      </c>
      <c r="AC47" s="39">
        <f t="shared" si="64"/>
        <v>24.405106313539026</v>
      </c>
      <c r="AD47" s="39">
        <f t="shared" si="64"/>
        <v>65.75658280291735</v>
      </c>
      <c r="AE47" s="39">
        <f t="shared" si="64"/>
        <v>1.9685746888778382</v>
      </c>
      <c r="AF47" s="39">
        <f t="shared" si="64"/>
        <v>327.84762389007375</v>
      </c>
      <c r="AG47" s="39">
        <f t="shared" si="64"/>
        <v>257.4009796259158</v>
      </c>
      <c r="AH47" s="39">
        <f t="shared" si="64"/>
        <v>1885.5474331928413</v>
      </c>
      <c r="AI47" s="39">
        <f t="shared" si="64"/>
        <v>278.55655750147167</v>
      </c>
      <c r="AJ47" s="39">
        <f t="shared" si="64"/>
        <v>1249.531854816187</v>
      </c>
      <c r="AK47" s="39">
        <f t="shared" si="64"/>
        <v>376.08265551879293</v>
      </c>
      <c r="AL47" s="39">
        <f t="shared" si="64"/>
        <v>451.91384244246888</v>
      </c>
      <c r="AM47" s="39">
        <f t="shared" si="64"/>
        <v>91.314338062607916</v>
      </c>
      <c r="AN47" s="39">
        <f t="shared" si="64"/>
        <v>193.34369888184409</v>
      </c>
      <c r="AO47" s="39">
        <f t="shared" si="64"/>
        <v>1284.9627561769439</v>
      </c>
      <c r="AP47" s="35">
        <v>1</v>
      </c>
    </row>
    <row r="48" spans="4:41" s="35" customFormat="1" ht="14.4">
      <c r="D48" s="35">
        <f>D47+2</f>
        <v>2014</v>
      </c>
      <c r="E48" s="39">
        <f>E47*(1-E$10)^2</f>
        <v>52.188678261445652</v>
      </c>
      <c r="F48" s="39">
        <f t="shared" si="65" ref="F48:AO55">F47*(1-F$10)^2</f>
        <v>473.26310333675775</v>
      </c>
      <c r="G48" s="39">
        <f t="shared" si="65"/>
        <v>127.02840055716813</v>
      </c>
      <c r="H48" s="39">
        <f t="shared" si="65"/>
        <v>363.94481265332132</v>
      </c>
      <c r="I48" s="39">
        <f t="shared" si="65"/>
        <v>347.7155628180729</v>
      </c>
      <c r="J48" s="39">
        <f t="shared" si="65"/>
        <v>392.32632684734006</v>
      </c>
      <c r="K48" s="39">
        <f t="shared" si="65"/>
        <v>91.606571591418117</v>
      </c>
      <c r="L48" s="39">
        <f t="shared" si="65"/>
        <v>440.86902611646735</v>
      </c>
      <c r="M48" s="39">
        <f t="shared" si="65"/>
        <v>3507.9213314010253</v>
      </c>
      <c r="N48" s="39">
        <f t="shared" si="65"/>
        <v>377.79467506041397</v>
      </c>
      <c r="O48" s="39">
        <f t="shared" si="65"/>
        <v>59.533121934368573</v>
      </c>
      <c r="P48" s="39">
        <f t="shared" si="65"/>
        <v>445.56284208674862</v>
      </c>
      <c r="Q48" s="39">
        <f t="shared" si="65"/>
        <v>617.63759244960522</v>
      </c>
      <c r="R48" s="39">
        <f t="shared" si="65"/>
        <v>474.35878766219321</v>
      </c>
      <c r="S48" s="39">
        <f t="shared" si="65"/>
        <v>3474.7962316103722</v>
      </c>
      <c r="T48" s="39">
        <f t="shared" si="65"/>
        <v>368.97184715798323</v>
      </c>
      <c r="U48" s="39">
        <f t="shared" si="65"/>
        <v>845.0788861904424</v>
      </c>
      <c r="V48" s="39">
        <f t="shared" si="65"/>
        <v>314.65508712464606</v>
      </c>
      <c r="W48" s="39">
        <f t="shared" si="65"/>
        <v>26.099208815182077</v>
      </c>
      <c r="X48" s="39">
        <f t="shared" si="65"/>
        <v>885.69281525745134</v>
      </c>
      <c r="Y48" s="39">
        <f t="shared" si="65"/>
        <v>74.775183014286796</v>
      </c>
      <c r="Z48" s="39">
        <f t="shared" si="65"/>
        <v>121.40030803895115</v>
      </c>
      <c r="AA48" s="39">
        <f t="shared" si="65"/>
        <v>23.783712634274206</v>
      </c>
      <c r="AB48" s="39">
        <f t="shared" si="65"/>
        <v>98.597108621612946</v>
      </c>
      <c r="AC48" s="39">
        <f t="shared" si="65"/>
        <v>24.35632050601826</v>
      </c>
      <c r="AD48" s="39">
        <f t="shared" si="65"/>
        <v>65.625135393894325</v>
      </c>
      <c r="AE48" s="39">
        <f t="shared" si="65"/>
        <v>1.9646395080747714</v>
      </c>
      <c r="AF48" s="39">
        <f t="shared" si="65"/>
        <v>327.1922564899175</v>
      </c>
      <c r="AG48" s="39">
        <f t="shared" si="65"/>
        <v>256.88643506764362</v>
      </c>
      <c r="AH48" s="39">
        <f t="shared" si="65"/>
        <v>1881.7782238738889</v>
      </c>
      <c r="AI48" s="39">
        <f t="shared" si="65"/>
        <v>277.99972294302626</v>
      </c>
      <c r="AJ48" s="39">
        <f t="shared" si="65"/>
        <v>1247.0340406384094</v>
      </c>
      <c r="AK48" s="39">
        <f t="shared" si="65"/>
        <v>375.33086629041088</v>
      </c>
      <c r="AL48" s="39">
        <f t="shared" si="65"/>
        <v>451.0104666714264</v>
      </c>
      <c r="AM48" s="39">
        <f t="shared" si="65"/>
        <v>91.131800700820762</v>
      </c>
      <c r="AN48" s="39">
        <f t="shared" si="65"/>
        <v>192.95720482777929</v>
      </c>
      <c r="AO48" s="39">
        <f t="shared" si="65"/>
        <v>1282.3941156273463</v>
      </c>
    </row>
    <row r="49" spans="4:41" s="35" customFormat="1" ht="14.4">
      <c r="D49" s="35">
        <f t="shared" si="66" ref="D49:D74">D48+2</f>
        <v>2016</v>
      </c>
      <c r="E49" s="39">
        <f t="shared" si="67" ref="E49:E74">E48*(1-E$10)^2</f>
        <v>52.084353093601024</v>
      </c>
      <c r="F49" s="39">
        <f t="shared" si="65"/>
        <v>472.31705039318757</v>
      </c>
      <c r="G49" s="39">
        <f t="shared" si="65"/>
        <v>126.77447078445435</v>
      </c>
      <c r="H49" s="39">
        <f t="shared" si="65"/>
        <v>363.21728697282737</v>
      </c>
      <c r="I49" s="39">
        <f t="shared" si="65"/>
        <v>347.02047940799957</v>
      </c>
      <c r="J49" s="39">
        <f t="shared" si="65"/>
        <v>391.54206651997225</v>
      </c>
      <c r="K49" s="39">
        <f t="shared" si="65"/>
        <v>91.423450054806878</v>
      </c>
      <c r="L49" s="39">
        <f t="shared" si="65"/>
        <v>439.98772893326054</v>
      </c>
      <c r="M49" s="39">
        <f t="shared" si="65"/>
        <v>3500.9089966595548</v>
      </c>
      <c r="N49" s="39">
        <f t="shared" si="65"/>
        <v>377.03946350496818</v>
      </c>
      <c r="O49" s="39">
        <f t="shared" si="65"/>
        <v>59.414115223621771</v>
      </c>
      <c r="P49" s="39">
        <f t="shared" si="65"/>
        <v>444.67216196541722</v>
      </c>
      <c r="Q49" s="39">
        <f t="shared" si="65"/>
        <v>616.40293490229851</v>
      </c>
      <c r="R49" s="39">
        <f t="shared" si="65"/>
        <v>473.41054444565651</v>
      </c>
      <c r="S49" s="39">
        <f t="shared" si="65"/>
        <v>3467.8501139433829</v>
      </c>
      <c r="T49" s="39">
        <f t="shared" si="65"/>
        <v>368.23427243551441</v>
      </c>
      <c r="U49" s="39">
        <f t="shared" si="65"/>
        <v>843.38957349694772</v>
      </c>
      <c r="V49" s="39">
        <f t="shared" si="65"/>
        <v>314.02609160548388</v>
      </c>
      <c r="W49" s="39">
        <f t="shared" si="65"/>
        <v>26.04703649676053</v>
      </c>
      <c r="X49" s="39">
        <f t="shared" si="65"/>
        <v>883.92231531975176</v>
      </c>
      <c r="Y49" s="39">
        <f t="shared" si="65"/>
        <v>74.625707423441241</v>
      </c>
      <c r="Z49" s="39">
        <f t="shared" si="65"/>
        <v>121.1576288231813</v>
      </c>
      <c r="AA49" s="39">
        <f t="shared" si="65"/>
        <v>23.736168992718291</v>
      </c>
      <c r="AB49" s="39">
        <f t="shared" si="65"/>
        <v>98.400013001478342</v>
      </c>
      <c r="AC49" s="39">
        <f t="shared" si="65"/>
        <v>24.307632221326731</v>
      </c>
      <c r="AD49" s="39">
        <f t="shared" si="65"/>
        <v>65.493950748241929</v>
      </c>
      <c r="AE49" s="39">
        <f t="shared" si="65"/>
        <v>1.96071219369813</v>
      </c>
      <c r="AF49" s="39">
        <f t="shared" si="65"/>
        <v>326.53819916919417</v>
      </c>
      <c r="AG49" s="39">
        <f t="shared" si="65"/>
        <v>256.37291908394343</v>
      </c>
      <c r="AH49" s="39">
        <f t="shared" si="65"/>
        <v>1878.016549204365</v>
      </c>
      <c r="AI49" s="39">
        <f t="shared" si="65"/>
        <v>277.44400149686317</v>
      </c>
      <c r="AJ49" s="39">
        <f t="shared" si="65"/>
        <v>1244.5412195911731</v>
      </c>
      <c r="AK49" s="39">
        <f t="shared" si="65"/>
        <v>374.58057988869638</v>
      </c>
      <c r="AL49" s="39">
        <f t="shared" si="65"/>
        <v>450.10889674855025</v>
      </c>
      <c r="AM49" s="39">
        <f t="shared" si="65"/>
        <v>90.949628231219819</v>
      </c>
      <c r="AN49" s="39">
        <f t="shared" si="65"/>
        <v>192.57148337532857</v>
      </c>
      <c r="AO49" s="39">
        <f t="shared" si="65"/>
        <v>1279.8306097902073</v>
      </c>
    </row>
    <row r="50" spans="4:41" s="35" customFormat="1" ht="14.4">
      <c r="D50" s="35">
        <f t="shared" si="66"/>
        <v>2018</v>
      </c>
      <c r="E50" s="39">
        <f t="shared" si="67"/>
        <v>51.980236471766915</v>
      </c>
      <c r="F50" s="39">
        <f t="shared" si="65"/>
        <v>471.37288860945159</v>
      </c>
      <c r="G50" s="39">
        <f t="shared" si="65"/>
        <v>126.52104861735623</v>
      </c>
      <c r="H50" s="39">
        <f t="shared" si="65"/>
        <v>362.49121561616869</v>
      </c>
      <c r="I50" s="39">
        <f t="shared" si="65"/>
        <v>346.32678546966298</v>
      </c>
      <c r="J50" s="39">
        <f t="shared" si="65"/>
        <v>390.75937392899885</v>
      </c>
      <c r="K50" s="39">
        <f t="shared" si="65"/>
        <v>91.240694578147327</v>
      </c>
      <c r="L50" s="39">
        <f t="shared" si="65"/>
        <v>439.10819346312297</v>
      </c>
      <c r="M50" s="39">
        <f t="shared" si="65"/>
        <v>3493.9106795752323</v>
      </c>
      <c r="N50" s="39">
        <f t="shared" si="65"/>
        <v>376.28576161742177</v>
      </c>
      <c r="O50" s="39">
        <f t="shared" si="65"/>
        <v>59.295346407289749</v>
      </c>
      <c r="P50" s="39">
        <f t="shared" si="65"/>
        <v>443.78326231364838</v>
      </c>
      <c r="Q50" s="39">
        <f t="shared" si="65"/>
        <v>615.17074543542878</v>
      </c>
      <c r="R50" s="39">
        <f t="shared" si="65"/>
        <v>472.46419676730966</v>
      </c>
      <c r="S50" s="39">
        <f t="shared" si="65"/>
        <v>3460.9178815656101</v>
      </c>
      <c r="T50" s="39">
        <f t="shared" si="65"/>
        <v>367.49817212491581</v>
      </c>
      <c r="U50" s="39">
        <f t="shared" si="65"/>
        <v>841.70363773952738</v>
      </c>
      <c r="V50" s="39">
        <f t="shared" si="65"/>
        <v>313.3983534483645</v>
      </c>
      <c r="W50" s="39">
        <f t="shared" si="65"/>
        <v>25.994968470803506</v>
      </c>
      <c r="X50" s="39">
        <f t="shared" si="65"/>
        <v>882.15535461142758</v>
      </c>
      <c r="Y50" s="39">
        <f t="shared" si="65"/>
        <v>74.476530634301781</v>
      </c>
      <c r="Z50" s="39">
        <f t="shared" si="65"/>
        <v>120.91543472316376</v>
      </c>
      <c r="AA50" s="39">
        <f t="shared" si="65"/>
        <v>23.688720390901846</v>
      </c>
      <c r="AB50" s="39">
        <f t="shared" si="65"/>
        <v>98.203311375488383</v>
      </c>
      <c r="AC50" s="39">
        <f t="shared" si="65"/>
        <v>24.259041264516298</v>
      </c>
      <c r="AD50" s="39">
        <f t="shared" si="65"/>
        <v>65.363028340696189</v>
      </c>
      <c r="AE50" s="39">
        <f t="shared" si="65"/>
        <v>1.9567927300229275</v>
      </c>
      <c r="AF50" s="39">
        <f t="shared" si="65"/>
        <v>325.88544930905493</v>
      </c>
      <c r="AG50" s="39">
        <f t="shared" si="65"/>
        <v>255.86042961869464</v>
      </c>
      <c r="AH50" s="39">
        <f t="shared" si="65"/>
        <v>1874.2623941225056</v>
      </c>
      <c r="AI50" s="39">
        <f t="shared" si="65"/>
        <v>276.88939093787093</v>
      </c>
      <c r="AJ50" s="39">
        <f t="shared" si="65"/>
        <v>1242.0533816932104</v>
      </c>
      <c r="AK50" s="39">
        <f t="shared" si="65"/>
        <v>373.83179330949889</v>
      </c>
      <c r="AL50" s="39">
        <f t="shared" si="65"/>
        <v>449.20912906394989</v>
      </c>
      <c r="AM50" s="39">
        <f t="shared" si="65"/>
        <v>90.76781992438562</v>
      </c>
      <c r="AN50" s="39">
        <f t="shared" si="65"/>
        <v>192.18653298006129</v>
      </c>
      <c r="AO50" s="39">
        <f t="shared" si="65"/>
        <v>1277.2722284012366</v>
      </c>
    </row>
    <row r="51" spans="4:41" s="35" customFormat="1" ht="14.4">
      <c r="D51" s="35">
        <f t="shared" si="66"/>
        <v>2020</v>
      </c>
      <c r="E51" s="39">
        <f t="shared" si="67"/>
        <v>51.876327979059852</v>
      </c>
      <c r="F51" s="39">
        <f t="shared" si="65"/>
        <v>470.43061420512129</v>
      </c>
      <c r="G51" s="39">
        <f t="shared" si="65"/>
        <v>126.26813304117013</v>
      </c>
      <c r="H51" s="39">
        <f t="shared" si="65"/>
        <v>361.76659567615195</v>
      </c>
      <c r="I51" s="39">
        <f t="shared" si="65"/>
        <v>345.63447822550916</v>
      </c>
      <c r="J51" s="39">
        <f t="shared" si="65"/>
        <v>389.9782459405148</v>
      </c>
      <c r="K51" s="39">
        <f t="shared" si="65"/>
        <v>91.058304429685606</v>
      </c>
      <c r="L51" s="39">
        <f t="shared" si="65"/>
        <v>438.23041618439021</v>
      </c>
      <c r="M51" s="39">
        <f t="shared" si="65"/>
        <v>3486.9263521267617</v>
      </c>
      <c r="N51" s="39">
        <f t="shared" si="65"/>
        <v>375.53356637994858</v>
      </c>
      <c r="O51" s="39">
        <f t="shared" si="65"/>
        <v>59.176815009821581</v>
      </c>
      <c r="P51" s="39">
        <f t="shared" si="65"/>
        <v>442.8961395722834</v>
      </c>
      <c r="Q51" s="39">
        <f t="shared" si="65"/>
        <v>613.94101911530333</v>
      </c>
      <c r="R51" s="39">
        <f t="shared" si="65"/>
        <v>471.51974083797182</v>
      </c>
      <c r="S51" s="39">
        <f t="shared" si="65"/>
        <v>3453.9995067203604</v>
      </c>
      <c r="T51" s="39">
        <f t="shared" si="65"/>
        <v>366.76354327883814</v>
      </c>
      <c r="U51" s="39">
        <f t="shared" si="65"/>
        <v>840.02107216768604</v>
      </c>
      <c r="V51" s="39">
        <f t="shared" si="65"/>
        <v>312.7718701398212</v>
      </c>
      <c r="W51" s="39">
        <f t="shared" si="65"/>
        <v>25.943004528830372</v>
      </c>
      <c r="X51" s="39">
        <f t="shared" si="65"/>
        <v>880.39192605755932</v>
      </c>
      <c r="Y51" s="39">
        <f t="shared" si="65"/>
        <v>74.32765204956381</v>
      </c>
      <c r="Z51" s="39">
        <f t="shared" si="65"/>
        <v>120.67372476915216</v>
      </c>
      <c r="AA51" s="39">
        <f t="shared" si="65"/>
        <v>23.641366638840434</v>
      </c>
      <c r="AB51" s="39">
        <f t="shared" si="65"/>
        <v>98.00700295604878</v>
      </c>
      <c r="AC51" s="39">
        <f t="shared" si="65"/>
        <v>24.210547441028531</v>
      </c>
      <c r="AD51" s="39">
        <f t="shared" si="65"/>
        <v>65.232367647043134</v>
      </c>
      <c r="AE51" s="39">
        <f t="shared" si="65"/>
        <v>1.9528811013556118</v>
      </c>
      <c r="AF51" s="39">
        <f t="shared" si="65"/>
        <v>325.23400429588617</v>
      </c>
      <c r="AG51" s="39">
        <f t="shared" si="65"/>
        <v>255.34896461988689</v>
      </c>
      <c r="AH51" s="39">
        <f t="shared" si="65"/>
        <v>1870.5157435966548</v>
      </c>
      <c r="AI51" s="39">
        <f t="shared" si="65"/>
        <v>276.33588904538612</v>
      </c>
      <c r="AJ51" s="39">
        <f t="shared" si="65"/>
        <v>1239.5705169832058</v>
      </c>
      <c r="AK51" s="39">
        <f t="shared" si="65"/>
        <v>373.08450355467323</v>
      </c>
      <c r="AL51" s="39">
        <f t="shared" si="65"/>
        <v>448.31116001495104</v>
      </c>
      <c r="AM51" s="39">
        <f t="shared" si="65"/>
        <v>90.586375052356772</v>
      </c>
      <c r="AN51" s="39">
        <f t="shared" si="65"/>
        <v>191.80235210063415</v>
      </c>
      <c r="AO51" s="39">
        <f t="shared" si="65"/>
        <v>1274.7189612166626</v>
      </c>
    </row>
    <row r="52" spans="4:41" s="35" customFormat="1" ht="14.4">
      <c r="D52" s="35">
        <f t="shared" si="66"/>
        <v>2022</v>
      </c>
      <c r="E52" s="39">
        <f t="shared" si="67"/>
        <v>51.772627199429714</v>
      </c>
      <c r="F52" s="39">
        <f t="shared" si="65"/>
        <v>469.49022340732529</v>
      </c>
      <c r="G52" s="39">
        <f t="shared" si="65"/>
        <v>126.01572304322083</v>
      </c>
      <c r="H52" s="39">
        <f t="shared" si="65"/>
        <v>361.04342425139532</v>
      </c>
      <c r="I52" s="39">
        <f t="shared" si="65"/>
        <v>344.94355490353638</v>
      </c>
      <c r="J52" s="39">
        <f t="shared" si="65"/>
        <v>389.19867942687972</v>
      </c>
      <c r="K52" s="39">
        <f t="shared" si="65"/>
        <v>90.876278879130666</v>
      </c>
      <c r="L52" s="39">
        <f t="shared" si="65"/>
        <v>437.35439358243764</v>
      </c>
      <c r="M52" s="39">
        <f t="shared" si="65"/>
        <v>3479.9559863488603</v>
      </c>
      <c r="N52" s="39">
        <f t="shared" si="65"/>
        <v>374.78287478075509</v>
      </c>
      <c r="O52" s="39">
        <f t="shared" si="65"/>
        <v>59.058520556616948</v>
      </c>
      <c r="P52" s="39">
        <f t="shared" si="65"/>
        <v>442.0107901892784</v>
      </c>
      <c r="Q52" s="39">
        <f t="shared" si="65"/>
        <v>612.7137510180919</v>
      </c>
      <c r="R52" s="39">
        <f t="shared" si="65"/>
        <v>470.57717287603674</v>
      </c>
      <c r="S52" s="39">
        <f t="shared" si="65"/>
        <v>3447.0949617064266</v>
      </c>
      <c r="T52" s="39">
        <f t="shared" si="65"/>
        <v>366.03038295582377</v>
      </c>
      <c r="U52" s="39">
        <f t="shared" si="65"/>
        <v>838.34187004442288</v>
      </c>
      <c r="V52" s="39">
        <f t="shared" si="65"/>
        <v>312.14663917141172</v>
      </c>
      <c r="W52" s="39">
        <f t="shared" si="65"/>
        <v>25.891144462777241</v>
      </c>
      <c r="X52" s="39">
        <f t="shared" si="65"/>
        <v>878.63202259737022</v>
      </c>
      <c r="Y52" s="39">
        <f t="shared" si="65"/>
        <v>74.179071073116731</v>
      </c>
      <c r="Z52" s="39">
        <f t="shared" si="65"/>
        <v>120.43249799333863</v>
      </c>
      <c r="AA52" s="39">
        <f t="shared" si="65"/>
        <v>23.594107546929393</v>
      </c>
      <c r="AB52" s="39">
        <f t="shared" si="65"/>
        <v>97.811086957139636</v>
      </c>
      <c r="AC52" s="39">
        <f t="shared" si="65"/>
        <v>24.162150556693916</v>
      </c>
      <c r="AD52" s="39">
        <f t="shared" si="65"/>
        <v>65.101968144116697</v>
      </c>
      <c r="AE52" s="39">
        <f t="shared" si="65"/>
        <v>1.9489772920340021</v>
      </c>
      <c r="AF52" s="39">
        <f t="shared" si="65"/>
        <v>324.58386152129867</v>
      </c>
      <c r="AG52" s="39">
        <f t="shared" si="65"/>
        <v>254.83852203961175</v>
      </c>
      <c r="AH52" s="39">
        <f t="shared" si="65"/>
        <v>1866.7765826252053</v>
      </c>
      <c r="AI52" s="39">
        <f t="shared" si="65"/>
        <v>275.78349360318441</v>
      </c>
      <c r="AJ52" s="39">
        <f t="shared" si="65"/>
        <v>1237.0926155197565</v>
      </c>
      <c r="AK52" s="39">
        <f t="shared" si="65"/>
        <v>372.33870763206744</v>
      </c>
      <c r="AL52" s="39">
        <f t="shared" si="65"/>
        <v>447.41498600608116</v>
      </c>
      <c r="AM52" s="39">
        <f t="shared" si="65"/>
        <v>90.405292888627116</v>
      </c>
      <c r="AN52" s="39">
        <f t="shared" si="65"/>
        <v>191.41893919878498</v>
      </c>
      <c r="AO52" s="39">
        <f t="shared" si="65"/>
        <v>1272.1707980131905</v>
      </c>
    </row>
    <row r="53" spans="4:41" s="35" customFormat="1" ht="14.4">
      <c r="D53" s="35">
        <f t="shared" si="66"/>
        <v>2024</v>
      </c>
      <c r="E53" s="39">
        <f t="shared" si="67"/>
        <v>51.669133717658056</v>
      </c>
      <c r="F53" s="39">
        <f t="shared" si="65"/>
        <v>468.55171245073404</v>
      </c>
      <c r="G53" s="39">
        <f t="shared" si="65"/>
        <v>125.76381761285744</v>
      </c>
      <c r="H53" s="39">
        <f t="shared" si="65"/>
        <v>360.32169844631682</v>
      </c>
      <c r="I53" s="39">
        <f t="shared" si="65"/>
        <v>344.2540127372842</v>
      </c>
      <c r="J53" s="39">
        <f t="shared" si="65"/>
        <v>388.42067126670543</v>
      </c>
      <c r="K53" s="39">
        <f t="shared" si="65"/>
        <v>90.694617197651283</v>
      </c>
      <c r="L53" s="39">
        <f t="shared" si="65"/>
        <v>436.48012214966633</v>
      </c>
      <c r="M53" s="39">
        <f t="shared" si="65"/>
        <v>3472.9995543321488</v>
      </c>
      <c r="N53" s="39">
        <f t="shared" si="65"/>
        <v>374.03368381406835</v>
      </c>
      <c r="O53" s="39">
        <f t="shared" si="65"/>
        <v>58.940462574024274</v>
      </c>
      <c r="P53" s="39">
        <f t="shared" si="65"/>
        <v>441.12721061969006</v>
      </c>
      <c r="Q53" s="39">
        <f t="shared" si="65"/>
        <v>611.48893622980677</v>
      </c>
      <c r="R53" s="39">
        <f t="shared" si="65"/>
        <v>469.63648910745758</v>
      </c>
      <c r="S53" s="39">
        <f t="shared" si="65"/>
        <v>3440.2042188779756</v>
      </c>
      <c r="T53" s="39">
        <f t="shared" si="65"/>
        <v>365.29868822029511</v>
      </c>
      <c r="U53" s="39">
        <f t="shared" si="65"/>
        <v>836.66602464620405</v>
      </c>
      <c r="V53" s="39">
        <f t="shared" si="65"/>
        <v>311.52265803970806</v>
      </c>
      <c r="W53" s="39">
        <f t="shared" si="65"/>
        <v>25.83938806499615</v>
      </c>
      <c r="X53" s="39">
        <f t="shared" si="65"/>
        <v>876.87563718419813</v>
      </c>
      <c r="Y53" s="39">
        <f t="shared" si="65"/>
        <v>74.030787110041572</v>
      </c>
      <c r="Z53" s="39">
        <f t="shared" si="65"/>
        <v>120.19175342984995</v>
      </c>
      <c r="AA53" s="39">
        <f t="shared" si="65"/>
        <v>23.546942925943082</v>
      </c>
      <c r="AB53" s="39">
        <f t="shared" si="65"/>
        <v>97.615562594312323</v>
      </c>
      <c r="AC53" s="39">
        <f t="shared" si="65"/>
        <v>24.113850417731086</v>
      </c>
      <c r="AD53" s="39">
        <f t="shared" si="65"/>
        <v>64.971829309796604</v>
      </c>
      <c r="AE53" s="39">
        <f t="shared" si="65"/>
        <v>1.9450812864272262</v>
      </c>
      <c r="AF53" s="39">
        <f t="shared" si="65"/>
        <v>323.93501838211762</v>
      </c>
      <c r="AG53" s="39">
        <f t="shared" si="65"/>
        <v>254.32909983405457</v>
      </c>
      <c r="AH53" s="39">
        <f t="shared" si="65"/>
        <v>1863.0448962365376</v>
      </c>
      <c r="AI53" s="39">
        <f t="shared" si="65"/>
        <v>275.23220239947165</v>
      </c>
      <c r="AJ53" s="39">
        <f t="shared" si="65"/>
        <v>1234.6196673813324</v>
      </c>
      <c r="AK53" s="39">
        <f t="shared" si="65"/>
        <v>371.59440255551095</v>
      </c>
      <c r="AL53" s="39">
        <f t="shared" si="65"/>
        <v>446.52060344905505</v>
      </c>
      <c r="AM53" s="39">
        <f t="shared" si="65"/>
        <v>90.224572708142759</v>
      </c>
      <c r="AN53" s="39">
        <f t="shared" si="65"/>
        <v>191.03629273932663</v>
      </c>
      <c r="AO53" s="39">
        <f t="shared" si="65"/>
        <v>1269.6277285879621</v>
      </c>
    </row>
    <row r="54" spans="4:41" s="35" customFormat="1" ht="14.4">
      <c r="D54" s="35">
        <f t="shared" si="66"/>
        <v>2026</v>
      </c>
      <c r="E54" s="39">
        <f t="shared" si="67"/>
        <v>51.565847119356462</v>
      </c>
      <c r="F54" s="39">
        <f t="shared" si="65"/>
        <v>467.61507757754504</v>
      </c>
      <c r="G54" s="39">
        <f t="shared" si="65"/>
        <v>125.51241574144935</v>
      </c>
      <c r="H54" s="39">
        <f t="shared" si="65"/>
        <v>359.60141537112264</v>
      </c>
      <c r="I54" s="39">
        <f t="shared" si="65"/>
        <v>343.5658489658224</v>
      </c>
      <c r="J54" s="39">
        <f t="shared" si="65"/>
        <v>387.6442183448433</v>
      </c>
      <c r="K54" s="39">
        <f t="shared" si="65"/>
        <v>90.513318657873185</v>
      </c>
      <c r="L54" s="39">
        <f t="shared" si="65"/>
        <v>435.60759838548915</v>
      </c>
      <c r="M54" s="39">
        <f t="shared" si="65"/>
        <v>3466.0570282230387</v>
      </c>
      <c r="N54" s="39">
        <f t="shared" si="65"/>
        <v>373.28599048012404</v>
      </c>
      <c r="O54" s="39">
        <f t="shared" si="65"/>
        <v>58.822640589338803</v>
      </c>
      <c r="P54" s="39">
        <f t="shared" si="65"/>
        <v>440.24539732566132</v>
      </c>
      <c r="Q54" s="39">
        <f t="shared" si="65"/>
        <v>610.26656984628335</v>
      </c>
      <c r="R54" s="39">
        <f t="shared" si="65"/>
        <v>468.69768576573176</v>
      </c>
      <c r="S54" s="39">
        <f t="shared" si="65"/>
        <v>3433.3272506444387</v>
      </c>
      <c r="T54" s="39">
        <f t="shared" si="65"/>
        <v>364.56845614254274</v>
      </c>
      <c r="U54" s="39">
        <f t="shared" si="65"/>
        <v>834.99352926293636</v>
      </c>
      <c r="V54" s="39">
        <f t="shared" si="65"/>
        <v>310.89992424628667</v>
      </c>
      <c r="W54" s="39">
        <f t="shared" si="65"/>
        <v>25.787735128254223</v>
      </c>
      <c r="X54" s="39">
        <f t="shared" si="65"/>
        <v>875.12276278546699</v>
      </c>
      <c r="Y54" s="39">
        <f t="shared" si="65"/>
        <v>73.882799566608597</v>
      </c>
      <c r="Z54" s="39">
        <f t="shared" si="65"/>
        <v>119.95149011474369</v>
      </c>
      <c r="AA54" s="39">
        <f t="shared" si="65"/>
        <v>23.499872587034123</v>
      </c>
      <c r="AB54" s="39">
        <f t="shared" si="65"/>
        <v>97.42042908468629</v>
      </c>
      <c r="AC54" s="39">
        <f t="shared" si="65"/>
        <v>24.065646830746044</v>
      </c>
      <c r="AD54" s="39">
        <f t="shared" si="65"/>
        <v>64.841950623006326</v>
      </c>
      <c r="AE54" s="39">
        <f t="shared" si="65"/>
        <v>1.9411930689356582</v>
      </c>
      <c r="AF54" s="39">
        <f t="shared" si="65"/>
        <v>323.28747228037179</v>
      </c>
      <c r="AG54" s="39">
        <f t="shared" si="65"/>
        <v>253.82069596348632</v>
      </c>
      <c r="AH54" s="39">
        <f t="shared" si="65"/>
        <v>1859.3206694889609</v>
      </c>
      <c r="AI54" s="39">
        <f t="shared" si="65"/>
        <v>274.68201322687509</v>
      </c>
      <c r="AJ54" s="39">
        <f t="shared" si="65"/>
        <v>1232.1516626662371</v>
      </c>
      <c r="AK54" s="39">
        <f t="shared" si="65"/>
        <v>370.85158534480252</v>
      </c>
      <c r="AL54" s="39">
        <f t="shared" si="65"/>
        <v>445.62800876276037</v>
      </c>
      <c r="AM54" s="39">
        <f t="shared" si="65"/>
        <v>90.044213787299185</v>
      </c>
      <c r="AN54" s="39">
        <f t="shared" si="65"/>
        <v>190.65441119014071</v>
      </c>
      <c r="AO54" s="39">
        <f t="shared" si="65"/>
        <v>1267.0897427585148</v>
      </c>
    </row>
    <row r="55" spans="4:41" s="35" customFormat="1" ht="14.4">
      <c r="D55" s="35">
        <f t="shared" si="66"/>
        <v>2028</v>
      </c>
      <c r="E55" s="39">
        <f t="shared" si="67"/>
        <v>51.462766990964873</v>
      </c>
      <c r="F55" s="39">
        <f t="shared" si="65"/>
        <v>466.68031503746755</v>
      </c>
      <c r="G55" s="39">
        <f t="shared" si="65"/>
        <v>125.26151642238219</v>
      </c>
      <c r="H55" s="39">
        <f t="shared" si="65"/>
        <v>358.88257214179578</v>
      </c>
      <c r="I55" s="39">
        <f t="shared" si="68" ref="I55:I74">I54*(1-I$10)^2</f>
        <v>342.87906083373974</v>
      </c>
      <c r="J55" s="39">
        <f t="shared" si="69" ref="J55:J74">J54*(1-J$10)^2</f>
        <v>386.86931755237197</v>
      </c>
      <c r="K55" s="39">
        <f t="shared" si="70" ref="K55:K74">K54*(1-K$10)^2</f>
        <v>90.3323825338761</v>
      </c>
      <c r="L55" s="39">
        <f t="shared" si="71" ref="L55:L74">L54*(1-L$10)^2</f>
        <v>434.73681879631658</v>
      </c>
      <c r="M55" s="39">
        <f t="shared" si="72" ref="M55:M74">M54*(1-M$10)^2</f>
        <v>3459.1283802236212</v>
      </c>
      <c r="N55" s="39">
        <f t="shared" si="73" ref="N55:N74">N54*(1-N$10)^2</f>
        <v>372.53979178515431</v>
      </c>
      <c r="O55" s="39">
        <f t="shared" si="74" ref="O55:O74">O54*(1-O$10)^2</f>
        <v>58.705054130800718</v>
      </c>
      <c r="P55" s="39">
        <f t="shared" si="75" ref="P55:P74">P54*(1-P$10)^2</f>
        <v>439.36534677640731</v>
      </c>
      <c r="Q55" s="39">
        <f t="shared" si="76" ref="Q55:Q74">Q54*(1-Q$10)^2</f>
        <v>609.04664697316059</v>
      </c>
      <c r="R55" s="39">
        <f t="shared" si="77" ref="R55:R74">R54*(1-R$10)^2</f>
        <v>467.76075909188609</v>
      </c>
      <c r="S55" s="39">
        <f t="shared" si="78" ref="S55:S74">S54*(1-S$10)^2</f>
        <v>3426.4640294704004</v>
      </c>
      <c r="T55" s="39">
        <f t="shared" si="79" ref="T55:T74">T54*(1-T$10)^2</f>
        <v>363.83968379871379</v>
      </c>
      <c r="U55" s="39">
        <f t="shared" si="80" ref="U55:U74">U54*(1-U$10)^2</f>
        <v>833.32437719793973</v>
      </c>
      <c r="V55" s="39">
        <f t="shared" si="81" ref="V55:V74">V54*(1-V$10)^2</f>
        <v>310.27843529771837</v>
      </c>
      <c r="W55" s="39">
        <f t="shared" si="82" ref="W55:W74">W54*(1-W$10)^2</f>
        <v>25.736185445732843</v>
      </c>
      <c r="X55" s="39">
        <f t="shared" si="83" ref="X55:X74">X54*(1-X$10)^2</f>
        <v>873.37339238265884</v>
      </c>
      <c r="Y55" s="39">
        <f t="shared" si="84" ref="Y55:Y74">Y54*(1-Y$10)^2</f>
        <v>73.735107850274943</v>
      </c>
      <c r="Z55" s="39">
        <f t="shared" si="85" ref="Z55:Z74">Z54*(1-Z$10)^2</f>
        <v>119.71170708600432</v>
      </c>
      <c r="AA55" s="39">
        <f t="shared" si="86" ref="AA55:AA74">AA54*(1-AA$10)^2</f>
        <v>23.452896341732643</v>
      </c>
      <c r="AB55" s="39">
        <f t="shared" si="87" ref="AB55:AB74">AB54*(1-AB$10)^2</f>
        <v>97.225685646946005</v>
      </c>
      <c r="AC55" s="39">
        <f t="shared" si="88" ref="AC55:AC74">AC54*(1-AC$10)^2</f>
        <v>24.017539602731382</v>
      </c>
      <c r="AD55" s="39">
        <f t="shared" si="89" ref="AD55:AD74">AD54*(1-AD$10)^2</f>
        <v>64.712331563710933</v>
      </c>
      <c r="AE55" s="39">
        <f t="shared" si="90" ref="AE55:AE74">AE54*(1-AE$10)^2</f>
        <v>1.937312623990856</v>
      </c>
      <c r="AF55" s="39">
        <f t="shared" si="91" ref="AF55:AF74">AF54*(1-AF$10)^2</f>
        <v>322.64122062328335</v>
      </c>
      <c r="AG55" s="39">
        <f t="shared" si="92" ref="AG55:AG74">AG54*(1-AG$10)^2</f>
        <v>253.31330839225532</v>
      </c>
      <c r="AH55" s="39">
        <f t="shared" si="93" ref="AH55:AH74">AH54*(1-AH$10)^2</f>
        <v>1855.6038874706526</v>
      </c>
      <c r="AI55" s="39">
        <f t="shared" si="94" ref="AI55:AI74">AI54*(1-AI$10)^2</f>
        <v>274.13292388243457</v>
      </c>
      <c r="AJ55" s="39">
        <f t="shared" si="95" ref="AJ55:AJ74">AJ54*(1-AJ$10)^2</f>
        <v>1229.6885914925674</v>
      </c>
      <c r="AK55" s="39">
        <f t="shared" si="96" ref="AK55:AK74">AK54*(1-AK$10)^2</f>
        <v>370.11025302569828</v>
      </c>
      <c r="AL55" s="39">
        <f t="shared" si="97" ref="AL55:AL74">AL54*(1-AL$10)^2</f>
        <v>444.73719837324364</v>
      </c>
      <c r="AM55" s="39">
        <f t="shared" si="98" ref="AM55:AM74">AM54*(1-AM$10)^2</f>
        <v>89.864215403938374</v>
      </c>
      <c r="AN55" s="39">
        <f t="shared" si="99" ref="AN55:AN74">AN54*(1-AN$10)^2</f>
        <v>190.27329302217163</v>
      </c>
      <c r="AO55" s="39">
        <f t="shared" si="100" ref="AO55:AO74">AO54*(1-AO$10)^2</f>
        <v>1264.5568303627406</v>
      </c>
    </row>
    <row r="56" spans="4:41" s="35" customFormat="1" ht="14.4">
      <c r="D56" s="35">
        <f t="shared" si="66"/>
        <v>2030</v>
      </c>
      <c r="E56" s="39">
        <f t="shared" si="67"/>
        <v>51.359892919749939</v>
      </c>
      <c r="F56" s="39">
        <f t="shared" si="101" ref="F56:F74">F55*(1-F$10)^2</f>
        <v>465.74742108770766</v>
      </c>
      <c r="G56" s="39">
        <f t="shared" si="102" ref="G56:G74">G55*(1-G$10)^2</f>
        <v>125.01111865105385</v>
      </c>
      <c r="H56" s="39">
        <f t="shared" si="103" ref="H56:H74">H55*(1-H$10)^2</f>
        <v>358.16516588008432</v>
      </c>
      <c r="I56" s="39">
        <f t="shared" si="68"/>
        <v>342.19364559113313</v>
      </c>
      <c r="J56" s="39">
        <f t="shared" si="69"/>
        <v>386.09596578658477</v>
      </c>
      <c r="K56" s="39">
        <f t="shared" si="70"/>
        <v>90.151808101190881</v>
      </c>
      <c r="L56" s="39">
        <f t="shared" si="71"/>
        <v>433.86777989554275</v>
      </c>
      <c r="M56" s="39">
        <f t="shared" si="72"/>
        <v>3452.2135825915543</v>
      </c>
      <c r="N56" s="39">
        <f t="shared" si="73"/>
        <v>371.79508474137577</v>
      </c>
      <c r="O56" s="39">
        <f t="shared" si="74"/>
        <v>58.587702727593246</v>
      </c>
      <c r="P56" s="39">
        <f t="shared" si="75"/>
        <v>438.48705544820126</v>
      </c>
      <c r="Q56" s="39">
        <f t="shared" si="76"/>
        <v>607.82916272586124</v>
      </c>
      <c r="R56" s="39">
        <f t="shared" si="77"/>
        <v>466.82570533446142</v>
      </c>
      <c r="S56" s="39">
        <f t="shared" si="78"/>
        <v>3419.6145278754893</v>
      </c>
      <c r="T56" s="39">
        <f t="shared" si="79"/>
        <v>363.11236827080018</v>
      </c>
      <c r="U56" s="39">
        <f t="shared" si="80"/>
        <v>831.65856176792101</v>
      </c>
      <c r="V56" s="39">
        <f t="shared" si="81"/>
        <v>309.65818870555825</v>
      </c>
      <c r="W56" s="39">
        <f t="shared" si="82"/>
        <v>25.684738811026826</v>
      </c>
      <c r="X56" s="39">
        <f t="shared" si="83"/>
        <v>871.62751897128589</v>
      </c>
      <c r="Y56" s="39">
        <f t="shared" si="84"/>
        <v>73.587711369682239</v>
      </c>
      <c r="Z56" s="39">
        <f t="shared" si="85"/>
        <v>119.4724033835394</v>
      </c>
      <c r="AA56" s="39">
        <f t="shared" si="86"/>
        <v>23.406014001945522</v>
      </c>
      <c r="AB56" s="39">
        <f t="shared" si="87"/>
        <v>97.03133150133776</v>
      </c>
      <c r="AC56" s="39">
        <f t="shared" si="88"/>
        <v>23.969528541065522</v>
      </c>
      <c r="AD56" s="39">
        <f t="shared" si="89"/>
        <v>64.582971612915074</v>
      </c>
      <c r="AE56" s="39">
        <f t="shared" si="90"/>
        <v>1.9334399360554984</v>
      </c>
      <c r="AF56" s="39">
        <f t="shared" si="91"/>
        <v>321.99626082325739</v>
      </c>
      <c r="AG56" s="39">
        <f t="shared" si="92"/>
        <v>252.8069350887792</v>
      </c>
      <c r="AH56" s="39">
        <f t="shared" si="93"/>
        <v>1851.8945352995988</v>
      </c>
      <c r="AI56" s="39">
        <f t="shared" si="94"/>
        <v>273.58493216759359</v>
      </c>
      <c r="AJ56" s="39">
        <f t="shared" si="95"/>
        <v>1227.2304439981738</v>
      </c>
      <c r="AK56" s="39">
        <f t="shared" si="96"/>
        <v>369.3704026298999</v>
      </c>
      <c r="AL56" s="39">
        <f t="shared" si="97"/>
        <v>443.84816871369554</v>
      </c>
      <c r="AM56" s="39">
        <f t="shared" si="98"/>
        <v>89.684576837345901</v>
      </c>
      <c r="AN56" s="39">
        <f t="shared" si="99"/>
        <v>189.89293670942033</v>
      </c>
      <c r="AO56" s="39">
        <f t="shared" si="100"/>
        <v>1262.0289812588455</v>
      </c>
    </row>
    <row r="57" spans="4:41" s="35" customFormat="1" ht="14.4">
      <c r="D57" s="35">
        <f t="shared" si="66"/>
        <v>2032</v>
      </c>
      <c r="E57" s="39">
        <f t="shared" si="67"/>
        <v>51.257224493803363</v>
      </c>
      <c r="F57" s="39">
        <f t="shared" si="101"/>
        <v>464.81639199295336</v>
      </c>
      <c r="G57" s="39">
        <f t="shared" si="102"/>
        <v>124.7612214248704</v>
      </c>
      <c r="H57" s="39">
        <f t="shared" si="103"/>
        <v>357.44919371349005</v>
      </c>
      <c r="I57" s="39">
        <f t="shared" si="68"/>
        <v>341.50960049359645</v>
      </c>
      <c r="J57" s="39">
        <f t="shared" si="69"/>
        <v>385.32415995097739</v>
      </c>
      <c r="K57" s="39">
        <f t="shared" si="70"/>
        <v>89.971594636796596</v>
      </c>
      <c r="L57" s="39">
        <f t="shared" si="71"/>
        <v>433.0004782035316</v>
      </c>
      <c r="M57" s="39">
        <f t="shared" si="72"/>
        <v>3445.312607639954</v>
      </c>
      <c r="N57" s="39">
        <f t="shared" si="73"/>
        <v>371.05186636697778</v>
      </c>
      <c r="O57" s="39">
        <f t="shared" si="74"/>
        <v>58.470585909840786</v>
      </c>
      <c r="P57" s="39">
        <f t="shared" si="75"/>
        <v>437.61051982436032</v>
      </c>
      <c r="Q57" s="39">
        <f t="shared" si="76"/>
        <v>606.61411222957224</v>
      </c>
      <c r="R57" s="39">
        <f t="shared" si="77"/>
        <v>465.89252074949786</v>
      </c>
      <c r="S57" s="39">
        <f t="shared" si="78"/>
        <v>3412.7787184342665</v>
      </c>
      <c r="T57" s="39">
        <f t="shared" si="79"/>
        <v>362.38650664662686</v>
      </c>
      <c r="U57" s="39">
        <f t="shared" si="80"/>
        <v>829.99607630294702</v>
      </c>
      <c r="V57" s="39">
        <f t="shared" si="81"/>
        <v>309.03918198633585</v>
      </c>
      <c r="W57" s="39">
        <f t="shared" si="82"/>
        <v>25.633395018143585</v>
      </c>
      <c r="X57" s="39">
        <f t="shared" si="83"/>
        <v>869.8851355608623</v>
      </c>
      <c r="Y57" s="39">
        <f t="shared" si="84"/>
        <v>73.440609534654243</v>
      </c>
      <c r="Z57" s="39">
        <f t="shared" si="85"/>
        <v>119.2335780491757</v>
      </c>
      <c r="AA57" s="39">
        <f t="shared" si="86"/>
        <v>23.359225379955632</v>
      </c>
      <c r="AB57" s="39">
        <f t="shared" si="87"/>
        <v>96.837365869666584</v>
      </c>
      <c r="AC57" s="39">
        <f t="shared" si="88"/>
        <v>23.921613453511931</v>
      </c>
      <c r="AD57" s="39">
        <f t="shared" si="89"/>
        <v>64.453870252660863</v>
      </c>
      <c r="AE57" s="39">
        <f t="shared" si="90"/>
        <v>1.9295749896233234</v>
      </c>
      <c r="AF57" s="39">
        <f t="shared" si="91"/>
        <v>321.3525902978717</v>
      </c>
      <c r="AG57" s="39">
        <f t="shared" si="92"/>
        <v>252.30157402553672</v>
      </c>
      <c r="AH57" s="39">
        <f t="shared" si="93"/>
        <v>1848.1925981235349</v>
      </c>
      <c r="AI57" s="39">
        <f t="shared" si="94"/>
        <v>273.03803588819056</v>
      </c>
      <c r="AJ57" s="39">
        <f t="shared" si="95"/>
        <v>1224.7772103406214</v>
      </c>
      <c r="AK57" s="39">
        <f t="shared" si="96"/>
        <v>368.63203119504271</v>
      </c>
      <c r="AL57" s="39">
        <f t="shared" si="97"/>
        <v>442.96091622443686</v>
      </c>
      <c r="AM57" s="39">
        <f t="shared" si="98"/>
        <v>89.505297368248051</v>
      </c>
      <c r="AN57" s="39">
        <f t="shared" si="99"/>
        <v>189.5133407289382</v>
      </c>
      <c r="AO57" s="39">
        <f t="shared" si="100"/>
        <v>1259.5061853253092</v>
      </c>
    </row>
    <row r="58" spans="4:41" s="35" customFormat="1" ht="14.4">
      <c r="D58" s="35">
        <f t="shared" si="66"/>
        <v>2034</v>
      </c>
      <c r="E58" s="39">
        <f t="shared" si="67"/>
        <v>51.154761302040249</v>
      </c>
      <c r="F58" s="39">
        <f t="shared" si="101"/>
        <v>463.88722402535944</v>
      </c>
      <c r="G58" s="39">
        <f t="shared" si="102"/>
        <v>124.51182374324209</v>
      </c>
      <c r="H58" s="39">
        <f t="shared" si="103"/>
        <v>356.73465277525679</v>
      </c>
      <c r="I58" s="39">
        <f t="shared" si="68"/>
        <v>340.82692280220976</v>
      </c>
      <c r="J58" s="39">
        <f t="shared" si="69"/>
        <v>384.55389695523542</v>
      </c>
      <c r="K58" s="39">
        <f t="shared" si="70"/>
        <v>89.791741419117642</v>
      </c>
      <c r="L58" s="39">
        <f t="shared" si="71"/>
        <v>432.13491024760276</v>
      </c>
      <c r="M58" s="39">
        <f t="shared" si="72"/>
        <v>3438.425427737282</v>
      </c>
      <c r="N58" s="39">
        <f t="shared" si="73"/>
        <v>370.31013368611019</v>
      </c>
      <c r="O58" s="39">
        <f t="shared" si="74"/>
        <v>58.353703208607016</v>
      </c>
      <c r="P58" s="39">
        <f t="shared" si="75"/>
        <v>436.73573639523141</v>
      </c>
      <c r="Q58" s="39">
        <f t="shared" si="76"/>
        <v>605.40149061922534</v>
      </c>
      <c r="R58" s="39">
        <f t="shared" si="77"/>
        <v>464.96120160051964</v>
      </c>
      <c r="S58" s="39">
        <f t="shared" si="78"/>
        <v>3405.9565737761163</v>
      </c>
      <c r="T58" s="39">
        <f t="shared" si="79"/>
        <v>361.66209601984025</v>
      </c>
      <c r="U58" s="39">
        <f t="shared" si="80"/>
        <v>828.33691414641748</v>
      </c>
      <c r="V58" s="39">
        <f t="shared" si="81"/>
        <v>308.42141266154516</v>
      </c>
      <c r="W58" s="39">
        <f t="shared" si="82"/>
        <v>25.582153861502317</v>
      </c>
      <c r="X58" s="39">
        <f t="shared" si="83"/>
        <v>868.14623517487621</v>
      </c>
      <c r="Y58" s="39">
        <f t="shared" si="84"/>
        <v>73.293801756194469</v>
      </c>
      <c r="Z58" s="39">
        <f t="shared" si="85"/>
        <v>118.9952301266554</v>
      </c>
      <c r="AA58" s="39">
        <f t="shared" si="86"/>
        <v>23.312530288421101</v>
      </c>
      <c r="AB58" s="39">
        <f t="shared" si="87"/>
        <v>96.643787975293122</v>
      </c>
      <c r="AC58" s="39">
        <f t="shared" si="88"/>
        <v>23.873794148218362</v>
      </c>
      <c r="AD58" s="39">
        <f t="shared" si="89"/>
        <v>64.325026966025803</v>
      </c>
      <c r="AE58" s="39">
        <f t="shared" si="90"/>
        <v>1.9257177692190663</v>
      </c>
      <c r="AF58" s="39">
        <f t="shared" si="91"/>
        <v>320.71020646986625</v>
      </c>
      <c r="AG58" s="39">
        <f t="shared" si="92"/>
        <v>251.79722317905967</v>
      </c>
      <c r="AH58" s="39">
        <f t="shared" si="93"/>
        <v>1844.498061119886</v>
      </c>
      <c r="AI58" s="39">
        <f t="shared" si="94"/>
        <v>272.49223285445009</v>
      </c>
      <c r="AJ58" s="39">
        <f t="shared" si="95"/>
        <v>1222.3288806971505</v>
      </c>
      <c r="AK58" s="39">
        <f t="shared" si="96"/>
        <v>367.89513576468386</v>
      </c>
      <c r="AL58" s="39">
        <f t="shared" si="97"/>
        <v>442.0754373529042</v>
      </c>
      <c r="AM58" s="39">
        <f t="shared" si="98"/>
        <v>89.326376278808922</v>
      </c>
      <c r="AN58" s="39">
        <f t="shared" si="99"/>
        <v>189.13450356082106</v>
      </c>
      <c r="AO58" s="39">
        <f t="shared" si="100"/>
        <v>1256.9884324608438</v>
      </c>
    </row>
    <row r="59" spans="4:41" s="35" customFormat="1" ht="14.4">
      <c r="D59" s="35">
        <f t="shared" si="66"/>
        <v>2036</v>
      </c>
      <c r="E59" s="39">
        <f t="shared" si="67"/>
        <v>51.05250293419747</v>
      </c>
      <c r="F59" s="39">
        <f t="shared" si="101"/>
        <v>462.95991346453275</v>
      </c>
      <c r="G59" s="39">
        <f t="shared" si="102"/>
        <v>124.26292460757935</v>
      </c>
      <c r="H59" s="39">
        <f t="shared" si="103"/>
        <v>356.02154020435904</v>
      </c>
      <c r="I59" s="39">
        <f t="shared" si="68"/>
        <v>340.14560978352813</v>
      </c>
      <c r="J59" s="39">
        <f t="shared" si="69"/>
        <v>383.7851737152219</v>
      </c>
      <c r="K59" s="39">
        <f t="shared" si="70"/>
        <v>89.612247728020833</v>
      </c>
      <c r="L59" s="39">
        <f t="shared" si="71"/>
        <v>431.27107256201782</v>
      </c>
      <c r="M59" s="39">
        <f t="shared" si="72"/>
        <v>3431.5520153072353</v>
      </c>
      <c r="N59" s="39">
        <f t="shared" si="73"/>
        <v>369.56988372887167</v>
      </c>
      <c r="O59" s="39">
        <f t="shared" si="74"/>
        <v>58.237054155893013</v>
      </c>
      <c r="P59" s="39">
        <f t="shared" si="75"/>
        <v>435.86270165817734</v>
      </c>
      <c r="Q59" s="39">
        <f t="shared" si="76"/>
        <v>604.1912930394775</v>
      </c>
      <c r="R59" s="39">
        <f t="shared" si="77"/>
        <v>464.03174415852021</v>
      </c>
      <c r="S59" s="39">
        <f t="shared" si="78"/>
        <v>3399.1480665851382</v>
      </c>
      <c r="T59" s="39">
        <f t="shared" si="79"/>
        <v>360.93913348989662</v>
      </c>
      <c r="U59" s="39">
        <f t="shared" si="80"/>
        <v>826.68106865503887</v>
      </c>
      <c r="V59" s="39">
        <f t="shared" si="81"/>
        <v>307.80487825763475</v>
      </c>
      <c r="W59" s="39">
        <f t="shared" si="82"/>
        <v>25.531015135933174</v>
      </c>
      <c r="X59" s="39">
        <f t="shared" si="83"/>
        <v>866.41081085076166</v>
      </c>
      <c r="Y59" s="39">
        <f t="shared" si="84"/>
        <v>73.147287446483844</v>
      </c>
      <c r="Z59" s="39">
        <f t="shared" si="85"/>
        <v>118.75735866163222</v>
      </c>
      <c r="AA59" s="39">
        <f t="shared" si="86"/>
        <v>23.265928540374549</v>
      </c>
      <c r="AB59" s="39">
        <f t="shared" si="87"/>
        <v>96.450597043130514</v>
      </c>
      <c r="AC59" s="39">
        <f t="shared" si="88"/>
        <v>23.826070433716076</v>
      </c>
      <c r="AD59" s="39">
        <f t="shared" si="89"/>
        <v>64.196441237120723</v>
      </c>
      <c r="AE59" s="39">
        <f t="shared" si="90"/>
        <v>1.9218682593983976</v>
      </c>
      <c r="AF59" s="39">
        <f t="shared" si="91"/>
        <v>320.06910676713301</v>
      </c>
      <c r="AG59" s="39">
        <f t="shared" si="92"/>
        <v>251.29388052992473</v>
      </c>
      <c r="AH59" s="39">
        <f t="shared" si="93"/>
        <v>1840.8109094957074</v>
      </c>
      <c r="AI59" s="39">
        <f t="shared" si="94"/>
        <v>271.94752088097408</v>
      </c>
      <c r="AJ59" s="39">
        <f t="shared" si="95"/>
        <v>1219.8854452646369</v>
      </c>
      <c r="AK59" s="39">
        <f t="shared" si="96"/>
        <v>367.15971338829024</v>
      </c>
      <c r="AL59" s="39">
        <f t="shared" si="97"/>
        <v>441.19172855363576</v>
      </c>
      <c r="AM59" s="39">
        <f t="shared" si="98"/>
        <v>89.147812852627581</v>
      </c>
      <c r="AN59" s="39">
        <f t="shared" si="99"/>
        <v>188.75642368820297</v>
      </c>
      <c r="AO59" s="39">
        <f t="shared" si="100"/>
        <v>1254.4757125843546</v>
      </c>
    </row>
    <row r="60" spans="4:41" s="35" customFormat="1" ht="14.4">
      <c r="D60" s="35">
        <f t="shared" si="66"/>
        <v>2038</v>
      </c>
      <c r="E60" s="39">
        <f t="shared" si="67"/>
        <v>50.950448980832007</v>
      </c>
      <c r="F60" s="39">
        <f t="shared" si="101"/>
        <v>462.03445659751713</v>
      </c>
      <c r="G60" s="39">
        <f t="shared" si="102"/>
        <v>124.01452302128881</v>
      </c>
      <c r="H60" s="39">
        <f t="shared" si="103"/>
        <v>355.30985314549054</v>
      </c>
      <c r="I60" s="39">
        <f t="shared" si="68"/>
        <v>339.46565870957085</v>
      </c>
      <c r="J60" s="39">
        <f t="shared" si="69"/>
        <v>383.01798715296519</v>
      </c>
      <c r="K60" s="39">
        <f t="shared" si="70"/>
        <v>89.433112844812527</v>
      </c>
      <c r="L60" s="39">
        <f t="shared" si="71"/>
        <v>430.40896168796638</v>
      </c>
      <c r="M60" s="39">
        <f t="shared" si="72"/>
        <v>3424.6923428286364</v>
      </c>
      <c r="N60" s="39">
        <f t="shared" si="73"/>
        <v>368.83111353129766</v>
      </c>
      <c r="O60" s="39">
        <f t="shared" si="74"/>
        <v>58.120638284635383</v>
      </c>
      <c r="P60" s="39">
        <f t="shared" si="75"/>
        <v>434.99141211756267</v>
      </c>
      <c r="Q60" s="39">
        <f t="shared" si="76"/>
        <v>602.98351464469158</v>
      </c>
      <c r="R60" s="39">
        <f t="shared" si="77"/>
        <v>463.10414470194735</v>
      </c>
      <c r="S60" s="39">
        <f t="shared" si="78"/>
        <v>3392.3531696000346</v>
      </c>
      <c r="T60" s="39">
        <f t="shared" si="79"/>
        <v>360.21761616205032</v>
      </c>
      <c r="U60" s="39">
        <f t="shared" si="80"/>
        <v>825.0285331987975</v>
      </c>
      <c r="V60" s="39">
        <f t="shared" si="81"/>
        <v>307.18957630599778</v>
      </c>
      <c r="W60" s="39">
        <f t="shared" si="82"/>
        <v>25.479978636676446</v>
      </c>
      <c r="X60" s="39">
        <f t="shared" si="83"/>
        <v>864.67885563987102</v>
      </c>
      <c r="Y60" s="39">
        <f t="shared" si="84"/>
        <v>73.001066018878319</v>
      </c>
      <c r="Z60" s="39">
        <f t="shared" si="85"/>
        <v>118.51996270166762</v>
      </c>
      <c r="AA60" s="39">
        <f t="shared" si="86"/>
        <v>23.219419949222342</v>
      </c>
      <c r="AB60" s="39">
        <f t="shared" si="87"/>
        <v>96.257792299641295</v>
      </c>
      <c r="AC60" s="39">
        <f t="shared" si="88"/>
        <v>23.778442118919077</v>
      </c>
      <c r="AD60" s="39">
        <f t="shared" si="89"/>
        <v>64.068112551087722</v>
      </c>
      <c r="AE60" s="39">
        <f t="shared" si="90"/>
        <v>1.9180264447478603</v>
      </c>
      <c r="AF60" s="39">
        <f t="shared" si="91"/>
        <v>319.42928862270554</v>
      </c>
      <c r="AG60" s="39">
        <f t="shared" si="92"/>
        <v>250.79154406274543</v>
      </c>
      <c r="AH60" s="39">
        <f t="shared" si="93"/>
        <v>1837.1311284876256</v>
      </c>
      <c r="AI60" s="39">
        <f t="shared" si="94"/>
        <v>271.40389778673301</v>
      </c>
      <c r="AJ60" s="39">
        <f t="shared" si="95"/>
        <v>1217.4468942595529</v>
      </c>
      <c r="AK60" s="39">
        <f t="shared" si="96"/>
        <v>366.42576112122708</v>
      </c>
      <c r="AL60" s="39">
        <f t="shared" si="97"/>
        <v>440.30978628825704</v>
      </c>
      <c r="AM60" s="39">
        <f t="shared" si="98"/>
        <v>88.969606374735179</v>
      </c>
      <c r="AN60" s="39">
        <f t="shared" si="99"/>
        <v>188.37909959725025</v>
      </c>
      <c r="AO60" s="39">
        <f t="shared" si="100"/>
        <v>1251.9680156348984</v>
      </c>
    </row>
    <row r="61" spans="4:41" s="35" customFormat="1" ht="14.4">
      <c r="D61" s="35">
        <f t="shared" si="66"/>
        <v>2040</v>
      </c>
      <c r="E61" s="39">
        <f t="shared" si="67"/>
        <v>50.848599033319324</v>
      </c>
      <c r="F61" s="39">
        <f t="shared" si="101"/>
        <v>461.1108497187787</v>
      </c>
      <c r="G61" s="39">
        <f t="shared" si="102"/>
        <v>123.76661798976926</v>
      </c>
      <c r="H61" s="39">
        <f t="shared" si="103"/>
        <v>354.59958874905271</v>
      </c>
      <c r="I61" s="39">
        <f t="shared" si="68"/>
        <v>338.78706685781043</v>
      </c>
      <c r="J61" s="39">
        <f t="shared" si="69"/>
        <v>382.25233419664642</v>
      </c>
      <c r="K61" s="39">
        <f t="shared" si="70"/>
        <v>89.254336052235743</v>
      </c>
      <c r="L61" s="39">
        <f t="shared" si="71"/>
        <v>429.54857417355214</v>
      </c>
      <c r="M61" s="39">
        <f t="shared" si="72"/>
        <v>3417.8463828353219</v>
      </c>
      <c r="N61" s="39">
        <f t="shared" si="73"/>
        <v>368.09382013534861</v>
      </c>
      <c r="O61" s="39">
        <f t="shared" si="74"/>
        <v>58.0044551287044</v>
      </c>
      <c r="P61" s="39">
        <f t="shared" si="75"/>
        <v>434.12186428473967</v>
      </c>
      <c r="Q61" s="39">
        <f t="shared" si="76"/>
        <v>601.77815059891691</v>
      </c>
      <c r="R61" s="39">
        <f t="shared" si="77"/>
        <v>462.17839951668816</v>
      </c>
      <c r="S61" s="39">
        <f t="shared" si="78"/>
        <v>3385.5718556140041</v>
      </c>
      <c r="T61" s="39">
        <f t="shared" si="79"/>
        <v>359.49754114734242</v>
      </c>
      <c r="U61" s="39">
        <f t="shared" si="80"/>
        <v>823.3793011609331</v>
      </c>
      <c r="V61" s="39">
        <f t="shared" si="81"/>
        <v>306.57550434296212</v>
      </c>
      <c r="W61" s="39">
        <f t="shared" si="82"/>
        <v>25.429044159381732</v>
      </c>
      <c r="X61" s="39">
        <f t="shared" si="83"/>
        <v>862.95036260744689</v>
      </c>
      <c r="Y61" s="39">
        <f t="shared" si="84"/>
        <v>72.855136887906582</v>
      </c>
      <c r="Z61" s="39">
        <f t="shared" si="85"/>
        <v>118.283041296227</v>
      </c>
      <c r="AA61" s="39">
        <f t="shared" si="86"/>
        <v>23.173004328743847</v>
      </c>
      <c r="AB61" s="39">
        <f t="shared" si="87"/>
        <v>96.065372972834311</v>
      </c>
      <c r="AC61" s="39">
        <f t="shared" si="88"/>
        <v>23.730909013123359</v>
      </c>
      <c r="AD61" s="39">
        <f t="shared" si="89"/>
        <v>63.940040394098098</v>
      </c>
      <c r="AE61" s="39">
        <f t="shared" si="90"/>
        <v>1.9141923098848095</v>
      </c>
      <c r="AF61" s="39">
        <f t="shared" si="91"/>
        <v>318.79074947474874</v>
      </c>
      <c r="AG61" s="39">
        <f t="shared" si="92"/>
        <v>250.29021176616402</v>
      </c>
      <c r="AH61" s="39">
        <f t="shared" si="93"/>
        <v>1833.4587033617788</v>
      </c>
      <c r="AI61" s="39">
        <f t="shared" si="94"/>
        <v>270.86136139505732</v>
      </c>
      <c r="AJ61" s="39">
        <f t="shared" si="95"/>
        <v>1215.0132179179282</v>
      </c>
      <c r="AK61" s="39">
        <f t="shared" si="96"/>
        <v>365.69327602474578</v>
      </c>
      <c r="AL61" s="39">
        <f t="shared" si="97"/>
        <v>439.42960702546685</v>
      </c>
      <c r="AM61" s="39">
        <f t="shared" si="98"/>
        <v>88.791756131592081</v>
      </c>
      <c r="AN61" s="39">
        <f t="shared" si="99"/>
        <v>188.00252977715536</v>
      </c>
      <c r="AO61" s="39">
        <f t="shared" si="100"/>
        <v>1249.4653315716444</v>
      </c>
    </row>
    <row r="62" spans="4:41" s="35" customFormat="1" ht="14.4">
      <c r="D62" s="35">
        <f t="shared" si="66"/>
        <v>2042</v>
      </c>
      <c r="E62" s="39">
        <f t="shared" si="67"/>
        <v>50.746952683851717</v>
      </c>
      <c r="F62" s="39">
        <f t="shared" si="101"/>
        <v>460.18908913019089</v>
      </c>
      <c r="G62" s="39">
        <f t="shared" si="102"/>
        <v>123.51920852040772</v>
      </c>
      <c r="H62" s="39">
        <f t="shared" si="103"/>
        <v>353.89074417114335</v>
      </c>
      <c r="I62" s="39">
        <f t="shared" si="68"/>
        <v>338.1098315111617</v>
      </c>
      <c r="J62" s="39">
        <f t="shared" si="69"/>
        <v>381.48821178058733</v>
      </c>
      <c r="K62" s="39">
        <f t="shared" si="70"/>
        <v>89.075916634467333</v>
      </c>
      <c r="L62" s="39">
        <f t="shared" si="71"/>
        <v>428.68990657377924</v>
      </c>
      <c r="M62" s="39">
        <f t="shared" si="72"/>
        <v>3411.0141079160344</v>
      </c>
      <c r="N62" s="39">
        <f t="shared" si="73"/>
        <v>367.35800058889805</v>
      </c>
      <c r="O62" s="39">
        <f t="shared" si="74"/>
        <v>57.888504222902121</v>
      </c>
      <c r="P62" s="39">
        <f t="shared" si="75"/>
        <v>433.25405467803449</v>
      </c>
      <c r="Q62" s="39">
        <f t="shared" si="76"/>
        <v>600.57519607586971</v>
      </c>
      <c r="R62" s="39">
        <f t="shared" si="77"/>
        <v>461.2545048960543</v>
      </c>
      <c r="S62" s="39">
        <f t="shared" si="78"/>
        <v>3378.8040974746318</v>
      </c>
      <c r="T62" s="39">
        <f t="shared" si="79"/>
        <v>358.77890556258888</v>
      </c>
      <c r="U62" s="39">
        <f t="shared" si="80"/>
        <v>821.73336593791237</v>
      </c>
      <c r="V62" s="39">
        <f t="shared" si="81"/>
        <v>305.96265990978054</v>
      </c>
      <c r="W62" s="39">
        <f t="shared" si="82"/>
        <v>25.378211500107128</v>
      </c>
      <c r="X62" s="39">
        <f t="shared" si="83"/>
        <v>861.22532483259465</v>
      </c>
      <c r="Y62" s="39">
        <f t="shared" si="84"/>
        <v>72.709499469267655</v>
      </c>
      <c r="Z62" s="39">
        <f t="shared" si="85"/>
        <v>118.04659349667584</v>
      </c>
      <c r="AA62" s="39">
        <f t="shared" si="86"/>
        <v>23.12668149309069</v>
      </c>
      <c r="AB62" s="39">
        <f t="shared" si="87"/>
        <v>95.873338292261622</v>
      </c>
      <c r="AC62" s="39">
        <f t="shared" si="88"/>
        <v>23.683470926006127</v>
      </c>
      <c r="AD62" s="39">
        <f t="shared" si="89"/>
        <v>63.812224253350294</v>
      </c>
      <c r="AE62" s="39">
        <f t="shared" si="90"/>
        <v>1.9103658394573497</v>
      </c>
      <c r="AF62" s="39">
        <f t="shared" si="91"/>
        <v>318.15348676654872</v>
      </c>
      <c r="AG62" s="39">
        <f t="shared" si="92"/>
        <v>249.78988163284347</v>
      </c>
      <c r="AH62" s="39">
        <f t="shared" si="93"/>
        <v>1829.7936194137587</v>
      </c>
      <c r="AI62" s="39">
        <f t="shared" si="94"/>
        <v>270.31990953362862</v>
      </c>
      <c r="AJ62" s="39">
        <f t="shared" si="95"/>
        <v>1212.5844064953103</v>
      </c>
      <c r="AK62" s="39">
        <f t="shared" si="96"/>
        <v>364.96225516597235</v>
      </c>
      <c r="AL62" s="39">
        <f t="shared" si="97"/>
        <v>438.55118724102294</v>
      </c>
      <c r="AM62" s="39">
        <f t="shared" si="98"/>
        <v>88.614261411085025</v>
      </c>
      <c r="AN62" s="39">
        <f t="shared" si="99"/>
        <v>187.62671272013083</v>
      </c>
      <c r="AO62" s="39">
        <f t="shared" si="100"/>
        <v>1246.9676503738326</v>
      </c>
    </row>
    <row r="63" spans="4:41" s="35" customFormat="1" ht="14.4">
      <c r="D63" s="35">
        <f t="shared" si="66"/>
        <v>2044</v>
      </c>
      <c r="E63" s="39">
        <f t="shared" si="67"/>
        <v>50.645509525436701</v>
      </c>
      <c r="F63" s="39">
        <f t="shared" si="101"/>
        <v>459.26917114101963</v>
      </c>
      <c r="G63" s="39">
        <f t="shared" si="102"/>
        <v>123.27229362257542</v>
      </c>
      <c r="H63" s="39">
        <f t="shared" si="103"/>
        <v>353.18331657354526</v>
      </c>
      <c r="I63" s="39">
        <f t="shared" si="68"/>
        <v>337.43394995797092</v>
      </c>
      <c r="J63" s="39">
        <f t="shared" si="69"/>
        <v>380.72561684523794</v>
      </c>
      <c r="K63" s="39">
        <f t="shared" si="70"/>
        <v>88.89785387711504</v>
      </c>
      <c r="L63" s="39">
        <f t="shared" si="71"/>
        <v>427.83295545053829</v>
      </c>
      <c r="M63" s="39">
        <f t="shared" si="72"/>
        <v>3404.1954907143104</v>
      </c>
      <c r="N63" s="39">
        <f t="shared" si="73"/>
        <v>366.62365194572084</v>
      </c>
      <c r="O63" s="39">
        <f t="shared" si="74"/>
        <v>57.77278510296054</v>
      </c>
      <c r="P63" s="39">
        <f t="shared" si="75"/>
        <v>432.38797982273309</v>
      </c>
      <c r="Q63" s="39">
        <f t="shared" si="76"/>
        <v>599.37464625891403</v>
      </c>
      <c r="R63" s="39">
        <f t="shared" si="77"/>
        <v>460.33245714076708</v>
      </c>
      <c r="S63" s="39">
        <f t="shared" si="78"/>
        <v>3372.04986808378</v>
      </c>
      <c r="T63" s="39">
        <f t="shared" si="79"/>
        <v>358.06170653036929</v>
      </c>
      <c r="U63" s="39">
        <f t="shared" si="80"/>
        <v>820.09072093940256</v>
      </c>
      <c r="V63" s="39">
        <f t="shared" si="81"/>
        <v>305.35104055262087</v>
      </c>
      <c r="W63" s="39">
        <f t="shared" si="82"/>
        <v>25.327480455318415</v>
      </c>
      <c r="X63" s="39">
        <f t="shared" si="83"/>
        <v>859.50373540825433</v>
      </c>
      <c r="Y63" s="39">
        <f t="shared" si="84"/>
        <v>72.564153179828594</v>
      </c>
      <c r="Z63" s="39">
        <f t="shared" si="85"/>
        <v>117.81061835627598</v>
      </c>
      <c r="AA63" s="39">
        <f t="shared" si="86"/>
        <v>23.080451256786002</v>
      </c>
      <c r="AB63" s="39">
        <f t="shared" si="87"/>
        <v>95.681687489015388</v>
      </c>
      <c r="AC63" s="39">
        <f t="shared" si="88"/>
        <v>23.63612766762504</v>
      </c>
      <c r="AD63" s="39">
        <f t="shared" si="89"/>
        <v>63.684663617067848</v>
      </c>
      <c r="AE63" s="39">
        <f t="shared" si="90"/>
        <v>1.9065470181442745</v>
      </c>
      <c r="AF63" s="39">
        <f t="shared" si="91"/>
        <v>317.51749794650237</v>
      </c>
      <c r="AG63" s="39">
        <f t="shared" si="92"/>
        <v>249.29055165945942</v>
      </c>
      <c r="AH63" s="39">
        <f t="shared" si="93"/>
        <v>1826.1358619685507</v>
      </c>
      <c r="AI63" s="39">
        <f t="shared" si="94"/>
        <v>269.77954003447093</v>
      </c>
      <c r="AJ63" s="39">
        <f t="shared" si="95"/>
        <v>1210.1604502667262</v>
      </c>
      <c r="AK63" s="39">
        <f t="shared" si="96"/>
        <v>364.23269561789556</v>
      </c>
      <c r="AL63" s="39">
        <f t="shared" si="97"/>
        <v>437.67452341772815</v>
      </c>
      <c r="AM63" s="39">
        <f t="shared" si="98"/>
        <v>88.437121502524263</v>
      </c>
      <c r="AN63" s="39">
        <f t="shared" si="99"/>
        <v>187.25164692140328</v>
      </c>
      <c r="AO63" s="39">
        <f t="shared" si="100"/>
        <v>1244.4749620407354</v>
      </c>
    </row>
    <row r="64" spans="4:41" s="35" customFormat="1" ht="14.4">
      <c r="D64" s="35">
        <f t="shared" si="66"/>
        <v>2046</v>
      </c>
      <c r="E64" s="39">
        <f t="shared" si="67"/>
        <v>50.544269151895357</v>
      </c>
      <c r="F64" s="39">
        <f t="shared" si="101"/>
        <v>458.35109206790872</v>
      </c>
      <c r="G64" s="39">
        <f t="shared" si="102"/>
        <v>123.0258723076239</v>
      </c>
      <c r="H64" s="39">
        <f t="shared" si="103"/>
        <v>352.47730312371476</v>
      </c>
      <c r="I64" s="39">
        <f t="shared" si="68"/>
        <v>336.75941949200495</v>
      </c>
      <c r="J64" s="39">
        <f t="shared" si="69"/>
        <v>379.96454633716434</v>
      </c>
      <c r="K64" s="39">
        <f t="shared" si="70"/>
        <v>88.720147067214683</v>
      </c>
      <c r="L64" s="39">
        <f t="shared" si="71"/>
        <v>426.97771737259268</v>
      </c>
      <c r="M64" s="39">
        <f t="shared" si="72"/>
        <v>3397.3905039283727</v>
      </c>
      <c r="N64" s="39">
        <f t="shared" si="73"/>
        <v>365.89077126548136</v>
      </c>
      <c r="O64" s="39">
        <f t="shared" si="74"/>
        <v>57.657297305539721</v>
      </c>
      <c r="P64" s="39">
        <f t="shared" si="75"/>
        <v>431.52363625106744</v>
      </c>
      <c r="Q64" s="39">
        <f t="shared" si="76"/>
        <v>598.17649634104248</v>
      </c>
      <c r="R64" s="39">
        <f t="shared" si="77"/>
        <v>459.41225255894267</v>
      </c>
      <c r="S64" s="39">
        <f t="shared" si="78"/>
        <v>3365.3091403974804</v>
      </c>
      <c r="T64" s="39">
        <f t="shared" si="79"/>
        <v>357.34594117901509</v>
      </c>
      <c r="U64" s="39">
        <f t="shared" si="80"/>
        <v>818.45135958824471</v>
      </c>
      <c r="V64" s="39">
        <f t="shared" si="81"/>
        <v>304.74064382255619</v>
      </c>
      <c r="W64" s="39">
        <f t="shared" si="82"/>
        <v>25.276850821888235</v>
      </c>
      <c r="X64" s="39">
        <f t="shared" si="83"/>
        <v>857.78558744117322</v>
      </c>
      <c r="Y64" s="39">
        <f t="shared" si="84"/>
        <v>72.419097437622113</v>
      </c>
      <c r="Z64" s="39">
        <f t="shared" si="85"/>
        <v>117.57511493018178</v>
      </c>
      <c r="AA64" s="39">
        <f t="shared" si="86"/>
        <v>23.034313434723689</v>
      </c>
      <c r="AB64" s="39">
        <f t="shared" si="87"/>
        <v>95.490419795724847</v>
      </c>
      <c r="AC64" s="39">
        <f t="shared" si="88"/>
        <v>23.588879048417457</v>
      </c>
      <c r="AD64" s="39">
        <f t="shared" si="89"/>
        <v>63.557357974497329</v>
      </c>
      <c r="AE64" s="39">
        <f t="shared" si="90"/>
        <v>1.9027358306550042</v>
      </c>
      <c r="AF64" s="39">
        <f t="shared" si="91"/>
        <v>316.88278046810734</v>
      </c>
      <c r="AG64" s="39">
        <f t="shared" si="92"/>
        <v>248.79221984669218</v>
      </c>
      <c r="AH64" s="39">
        <f t="shared" si="93"/>
        <v>1822.4854163804755</v>
      </c>
      <c r="AI64" s="39">
        <f t="shared" si="94"/>
        <v>269.24025073394205</v>
      </c>
      <c r="AJ64" s="39">
        <f t="shared" si="95"/>
        <v>1207.7413395266431</v>
      </c>
      <c r="AK64" s="39">
        <f t="shared" si="96"/>
        <v>363.50459445935542</v>
      </c>
      <c r="AL64" s="39">
        <f t="shared" si="97"/>
        <v>436.79961204541615</v>
      </c>
      <c r="AM64" s="39">
        <f t="shared" si="98"/>
        <v>88.260335696640723</v>
      </c>
      <c r="AN64" s="39">
        <f t="shared" si="99"/>
        <v>186.87733087920739</v>
      </c>
      <c r="AO64" s="39">
        <f t="shared" si="100"/>
        <v>1241.987256591616</v>
      </c>
    </row>
    <row r="65" spans="4:41" s="35" customFormat="1" ht="14.4">
      <c r="D65" s="35">
        <f t="shared" si="66"/>
        <v>2048</v>
      </c>
      <c r="E65" s="39">
        <f t="shared" si="67"/>
        <v>50.443231157860723</v>
      </c>
      <c r="F65" s="39">
        <f t="shared" si="101"/>
        <v>457.434848234865</v>
      </c>
      <c r="G65" s="39">
        <f t="shared" si="102"/>
        <v>122.77994358888097</v>
      </c>
      <c r="H65" s="39">
        <f t="shared" si="103"/>
        <v>351.77270099477045</v>
      </c>
      <c r="I65" s="39">
        <f t="shared" si="68"/>
        <v>336.08623741244043</v>
      </c>
      <c r="J65" s="39">
        <f t="shared" si="69"/>
        <v>379.20499720903638</v>
      </c>
      <c r="K65" s="39">
        <f t="shared" si="70"/>
        <v>88.542795493227317</v>
      </c>
      <c r="L65" s="39">
        <f t="shared" si="71"/>
        <v>426.1241889155649</v>
      </c>
      <c r="M65" s="39">
        <f t="shared" si="72"/>
        <v>3390.5991203110198</v>
      </c>
      <c r="N65" s="39">
        <f t="shared" si="73"/>
        <v>365.15935561372169</v>
      </c>
      <c r="O65" s="39">
        <f t="shared" si="74"/>
        <v>57.542040368225948</v>
      </c>
      <c r="P65" s="39">
        <f t="shared" si="75"/>
        <v>430.66102050220155</v>
      </c>
      <c r="Q65" s="39">
        <f t="shared" si="76"/>
        <v>596.98074152485674</v>
      </c>
      <c r="R65" s="39">
        <f t="shared" si="77"/>
        <v>458.49388746607735</v>
      </c>
      <c r="S65" s="39">
        <f t="shared" si="78"/>
        <v>3358.5818874258262</v>
      </c>
      <c r="T65" s="39">
        <f t="shared" si="79"/>
        <v>356.63160664259823</v>
      </c>
      <c r="U65" s="39">
        <f t="shared" si="80"/>
        <v>816.81527532042787</v>
      </c>
      <c r="V65" s="39">
        <f t="shared" si="81"/>
        <v>304.13146727555494</v>
      </c>
      <c r="W65" s="39">
        <f t="shared" si="82"/>
        <v>25.226322397095281</v>
      </c>
      <c r="X65" s="39">
        <f t="shared" si="83"/>
        <v>856.07087405187838</v>
      </c>
      <c r="Y65" s="39">
        <f t="shared" si="84"/>
        <v>72.274331661844315</v>
      </c>
      <c r="Z65" s="39">
        <f t="shared" si="85"/>
        <v>117.34008227543636</v>
      </c>
      <c r="AA65" s="39">
        <f t="shared" si="86"/>
        <v>22.988267842167676</v>
      </c>
      <c r="AB65" s="39">
        <f t="shared" si="87"/>
        <v>95.299534446553196</v>
      </c>
      <c r="AC65" s="39">
        <f t="shared" si="88"/>
        <v>23.54172487919967</v>
      </c>
      <c r="AD65" s="39">
        <f t="shared" si="89"/>
        <v>63.430306815906313</v>
      </c>
      <c r="AE65" s="39">
        <f t="shared" si="90"/>
        <v>1.8989322617295248</v>
      </c>
      <c r="AF65" s="39">
        <f t="shared" si="91"/>
        <v>316.24933178995161</v>
      </c>
      <c r="AG65" s="39">
        <f t="shared" si="92"/>
        <v>248.29488419921864</v>
      </c>
      <c r="AH65" s="39">
        <f t="shared" si="93"/>
        <v>1818.8422680331309</v>
      </c>
      <c r="AI65" s="39">
        <f t="shared" si="94"/>
        <v>268.70203947272489</v>
      </c>
      <c r="AJ65" s="39">
        <f t="shared" si="95"/>
        <v>1205.3270645889293</v>
      </c>
      <c r="AK65" s="39">
        <f t="shared" si="96"/>
        <v>362.77794877503118</v>
      </c>
      <c r="AL65" s="39">
        <f t="shared" si="97"/>
        <v>435.92644962093738</v>
      </c>
      <c r="AM65" s="39">
        <f t="shared" si="98"/>
        <v>88.083903285583148</v>
      </c>
      <c r="AN65" s="39">
        <f t="shared" si="99"/>
        <v>186.50376309477986</v>
      </c>
      <c r="AO65" s="39">
        <f t="shared" si="100"/>
        <v>1239.5045240656893</v>
      </c>
    </row>
    <row r="66" spans="4:41" s="35" customFormat="1" ht="14.4">
      <c r="D66" s="35">
        <f t="shared" si="66"/>
        <v>2050</v>
      </c>
      <c r="E66" s="39">
        <f t="shared" si="67"/>
        <v>50.342395138776162</v>
      </c>
      <c r="F66" s="39">
        <f t="shared" si="101"/>
        <v>456.52043597324354</v>
      </c>
      <c r="G66" s="39">
        <f t="shared" si="102"/>
        <v>122.5345064816468</v>
      </c>
      <c r="H66" s="39">
        <f t="shared" si="103"/>
        <v>351.06950736548191</v>
      </c>
      <c r="I66" s="39">
        <f t="shared" si="68"/>
        <v>335.41440102385297</v>
      </c>
      <c r="J66" s="39">
        <f t="shared" si="69"/>
        <v>378.44696641961553</v>
      </c>
      <c r="K66" s="39">
        <f t="shared" si="70"/>
        <v>88.365798445036361</v>
      </c>
      <c r="L66" s="39">
        <f t="shared" si="71"/>
        <v>425.27236666192272</v>
      </c>
      <c r="M66" s="39">
        <f t="shared" si="72"/>
        <v>3383.8213126695182</v>
      </c>
      <c r="N66" s="39">
        <f t="shared" si="73"/>
        <v>364.42940206184988</v>
      </c>
      <c r="O66" s="39">
        <f t="shared" si="74"/>
        <v>57.427013829529862</v>
      </c>
      <c r="P66" s="39">
        <f t="shared" si="75"/>
        <v>429.80012912221764</v>
      </c>
      <c r="Q66" s="39">
        <f t="shared" si="76"/>
        <v>595.78737702254853</v>
      </c>
      <c r="R66" s="39">
        <f t="shared" si="77"/>
        <v>457.57735818503267</v>
      </c>
      <c r="S66" s="39">
        <f t="shared" si="78"/>
        <v>3351.868082232862</v>
      </c>
      <c r="T66" s="39">
        <f t="shared" si="79"/>
        <v>355.91870006091966</v>
      </c>
      <c r="U66" s="39">
        <f t="shared" si="80"/>
        <v>815.18246158506236</v>
      </c>
      <c r="V66" s="39">
        <f t="shared" si="81"/>
        <v>303.52350847247112</v>
      </c>
      <c r="W66" s="39">
        <f t="shared" si="82"/>
        <v>25.175894978623489</v>
      </c>
      <c r="X66" s="39">
        <f t="shared" si="83"/>
        <v>854.35958837464875</v>
      </c>
      <c r="Y66" s="39">
        <f t="shared" si="84"/>
        <v>72.129855272852296</v>
      </c>
      <c r="Z66" s="39">
        <f t="shared" si="85"/>
        <v>117.10551945096776</v>
      </c>
      <c r="AA66" s="39">
        <f t="shared" si="86"/>
        <v>22.942314294751185</v>
      </c>
      <c r="AB66" s="39">
        <f t="shared" si="87"/>
        <v>95.109030677194539</v>
      </c>
      <c r="AC66" s="39">
        <f t="shared" si="88"/>
        <v>23.494664971166149</v>
      </c>
      <c r="AD66" s="39">
        <f t="shared" si="89"/>
        <v>63.303509632581317</v>
      </c>
      <c r="AE66" s="39">
        <f t="shared" si="90"/>
        <v>1.8951362961383276</v>
      </c>
      <c r="AF66" s="39">
        <f t="shared" si="91"/>
        <v>315.61714937570349</v>
      </c>
      <c r="AG66" s="39">
        <f t="shared" si="92"/>
        <v>247.79854272570441</v>
      </c>
      <c r="AH66" s="39">
        <f t="shared" si="93"/>
        <v>1815.2064023393327</v>
      </c>
      <c r="AI66" s="39">
        <f t="shared" si="94"/>
        <v>268.16490409581894</v>
      </c>
      <c r="AJ66" s="39">
        <f t="shared" si="95"/>
        <v>1202.917615786816</v>
      </c>
      <c r="AK66" s="39">
        <f t="shared" si="96"/>
        <v>362.05275565542991</v>
      </c>
      <c r="AL66" s="39">
        <f t="shared" si="97"/>
        <v>435.05503264814513</v>
      </c>
      <c r="AM66" s="39">
        <f t="shared" si="98"/>
        <v>87.907823562915269</v>
      </c>
      <c r="AN66" s="39">
        <f t="shared" si="99"/>
        <v>186.13094207235341</v>
      </c>
      <c r="AO66" s="39">
        <f t="shared" si="100"/>
        <v>1237.026754522082</v>
      </c>
    </row>
    <row r="67" spans="4:41" s="35" customFormat="1" ht="14.4">
      <c r="D67" s="35">
        <f t="shared" si="66"/>
        <v>2052</v>
      </c>
      <c r="E67" s="39">
        <f t="shared" si="67"/>
        <v>50.241760690893749</v>
      </c>
      <c r="F67" s="39">
        <f t="shared" si="101"/>
        <v>455.60785162173306</v>
      </c>
      <c r="G67" s="39">
        <f t="shared" si="102"/>
        <v>122.28956000318999</v>
      </c>
      <c r="H67" s="39">
        <f t="shared" si="103"/>
        <v>350.36771942025831</v>
      </c>
      <c r="I67" s="39">
        <f t="shared" si="68"/>
        <v>334.7439076362063</v>
      </c>
      <c r="J67" s="39">
        <f t="shared" si="69"/>
        <v>377.69045093374274</v>
      </c>
      <c r="K67" s="39">
        <f t="shared" si="70"/>
        <v>88.18915521394473</v>
      </c>
      <c r="L67" s="39">
        <f t="shared" si="71"/>
        <v>424.42224720096556</v>
      </c>
      <c r="M67" s="39">
        <f t="shared" si="72"/>
        <v>3377.057053865492</v>
      </c>
      <c r="N67" s="39">
        <f t="shared" si="73"/>
        <v>363.70090768712828</v>
      </c>
      <c r="O67" s="39">
        <f t="shared" si="74"/>
        <v>57.312217228884634</v>
      </c>
      <c r="P67" s="39">
        <f t="shared" si="75"/>
        <v>428.94095866410231</v>
      </c>
      <c r="Q67" s="39">
        <f t="shared" si="76"/>
        <v>594.59639805588051</v>
      </c>
      <c r="R67" s="39">
        <f t="shared" si="77"/>
        <v>456.66266104602079</v>
      </c>
      <c r="S67" s="39">
        <f t="shared" si="78"/>
        <v>3345.1676979364784</v>
      </c>
      <c r="T67" s="39">
        <f t="shared" si="79"/>
        <v>355.20721857949792</v>
      </c>
      <c r="U67" s="39">
        <f t="shared" si="80"/>
        <v>813.55291184435384</v>
      </c>
      <c r="V67" s="39">
        <f t="shared" si="81"/>
        <v>302.91676497903467</v>
      </c>
      <c r="W67" s="39">
        <f t="shared" si="82"/>
        <v>25.125568364561222</v>
      </c>
      <c r="X67" s="39">
        <f t="shared" si="83"/>
        <v>852.6517235574878</v>
      </c>
      <c r="Y67" s="39">
        <f t="shared" si="84"/>
        <v>71.985667692161869</v>
      </c>
      <c r="Z67" s="39">
        <f t="shared" si="85"/>
        <v>116.87142551758528</v>
      </c>
      <c r="AA67" s="39">
        <f t="shared" si="86"/>
        <v>22.896452608475979</v>
      </c>
      <c r="AB67" s="39">
        <f t="shared" si="87"/>
        <v>94.918907724870834</v>
      </c>
      <c r="AC67" s="39">
        <f t="shared" si="88"/>
        <v>23.447699135888787</v>
      </c>
      <c r="AD67" s="39">
        <f t="shared" si="89"/>
        <v>63.176965916825786</v>
      </c>
      <c r="AE67" s="39">
        <f t="shared" si="90"/>
        <v>1.8913479186823472</v>
      </c>
      <c r="AF67" s="39">
        <f t="shared" si="91"/>
        <v>314.98623069410149</v>
      </c>
      <c r="AG67" s="39">
        <f t="shared" si="92"/>
        <v>247.30319343879574</v>
      </c>
      <c r="AH67" s="39">
        <f t="shared" si="93"/>
        <v>1811.5778047410565</v>
      </c>
      <c r="AI67" s="39">
        <f t="shared" si="94"/>
        <v>267.62884245253139</v>
      </c>
      <c r="AJ67" s="39">
        <f t="shared" si="95"/>
        <v>1200.5129834728582</v>
      </c>
      <c r="AK67" s="39">
        <f t="shared" si="96"/>
        <v>361.32901219687471</v>
      </c>
      <c r="AL67" s="39">
        <f t="shared" si="97"/>
        <v>434.18535763788151</v>
      </c>
      <c r="AM67" s="39">
        <f t="shared" si="98"/>
        <v>87.732095823613008</v>
      </c>
      <c r="AN67" s="39">
        <f t="shared" si="99"/>
        <v>185.75886631915077</v>
      </c>
      <c r="AO67" s="39">
        <f t="shared" si="100"/>
        <v>1234.5539380397925</v>
      </c>
    </row>
    <row r="68" spans="4:41" s="35" customFormat="1" ht="14.4">
      <c r="D68" s="35">
        <f t="shared" si="66"/>
        <v>2054</v>
      </c>
      <c r="E68" s="39">
        <f t="shared" si="67"/>
        <v>50.141327411272655</v>
      </c>
      <c r="F68" s="39">
        <f t="shared" si="101"/>
        <v>454.69709152634124</v>
      </c>
      <c r="G68" s="39">
        <f t="shared" si="102"/>
        <v>122.04510317274362</v>
      </c>
      <c r="H68" s="39">
        <f t="shared" si="103"/>
        <v>349.66733434913721</v>
      </c>
      <c r="I68" s="39">
        <f t="shared" si="68"/>
        <v>334.07475456484156</v>
      </c>
      <c r="J68" s="39">
        <f t="shared" si="69"/>
        <v>376.93544772232622</v>
      </c>
      <c r="K68" s="39">
        <f t="shared" si="70"/>
        <v>88.012865092672058</v>
      </c>
      <c r="L68" s="39">
        <f t="shared" si="71"/>
        <v>423.57382712881082</v>
      </c>
      <c r="M68" s="39">
        <f t="shared" si="72"/>
        <v>3370.3063168148151</v>
      </c>
      <c r="N68" s="39">
        <f t="shared" si="73"/>
        <v>362.97386957266173</v>
      </c>
      <c r="O68" s="39">
        <f t="shared" si="74"/>
        <v>57.197650106644097</v>
      </c>
      <c r="P68" s="39">
        <f t="shared" si="75"/>
        <v>428.08350568773278</v>
      </c>
      <c r="Q68" s="39">
        <f t="shared" si="76"/>
        <v>593.40779985616678</v>
      </c>
      <c r="R68" s="39">
        <f t="shared" si="77"/>
        <v>455.74979238658983</v>
      </c>
      <c r="S68" s="39">
        <f t="shared" si="78"/>
        <v>3338.4807077083033</v>
      </c>
      <c r="T68" s="39">
        <f t="shared" si="79"/>
        <v>354.49715934955753</v>
      </c>
      <c r="U68" s="39">
        <f t="shared" si="80"/>
        <v>811.926619573577</v>
      </c>
      <c r="V68" s="39">
        <f t="shared" si="81"/>
        <v>302.31123436584159</v>
      </c>
      <c r="W68" s="39">
        <f t="shared" si="82"/>
        <v>25.075342353400465</v>
      </c>
      <c r="X68" s="39">
        <f t="shared" si="83"/>
        <v>850.94727276209642</v>
      </c>
      <c r="Y68" s="39">
        <f t="shared" si="84"/>
        <v>71.841768342445235</v>
      </c>
      <c r="Z68" s="39">
        <f t="shared" si="85"/>
        <v>116.63779953797562</v>
      </c>
      <c r="AA68" s="39">
        <f t="shared" si="86"/>
        <v>22.850682599711636</v>
      </c>
      <c r="AB68" s="39">
        <f t="shared" si="87"/>
        <v>94.72916482832882</v>
      </c>
      <c r="AC68" s="39">
        <f t="shared" si="88"/>
        <v>23.400827185316146</v>
      </c>
      <c r="AD68" s="39">
        <f t="shared" si="89"/>
        <v>63.050675161958054</v>
      </c>
      <c r="AE68" s="39">
        <f t="shared" si="90"/>
        <v>1.8875671141929011</v>
      </c>
      <c r="AF68" s="39">
        <f t="shared" si="91"/>
        <v>314.35657321894399</v>
      </c>
      <c r="AG68" s="39">
        <f t="shared" si="92"/>
        <v>246.8088343551116</v>
      </c>
      <c r="AH68" s="39">
        <f t="shared" si="93"/>
        <v>1807.9564607093791</v>
      </c>
      <c r="AI68" s="39">
        <f t="shared" si="94"/>
        <v>267.09385239646878</v>
      </c>
      <c r="AJ68" s="39">
        <f t="shared" si="95"/>
        <v>1198.113158018896</v>
      </c>
      <c r="AK68" s="39">
        <f t="shared" si="96"/>
        <v>360.60671550149317</v>
      </c>
      <c r="AL68" s="39">
        <f t="shared" si="97"/>
        <v>433.31742110796341</v>
      </c>
      <c r="AM68" s="39">
        <f t="shared" si="98"/>
        <v>87.556719364061607</v>
      </c>
      <c r="AN68" s="39">
        <f t="shared" si="99"/>
        <v>185.38753434537878</v>
      </c>
      <c r="AO68" s="39">
        <f t="shared" si="100"/>
        <v>1232.086064717651</v>
      </c>
    </row>
    <row r="69" spans="4:41" s="35" customFormat="1" ht="14.4">
      <c r="D69" s="35">
        <f t="shared" si="66"/>
        <v>2056</v>
      </c>
      <c r="E69" s="39">
        <f t="shared" si="67"/>
        <v>50.041094897777526</v>
      </c>
      <c r="F69" s="39">
        <f t="shared" si="101"/>
        <v>453.78815204038011</v>
      </c>
      <c r="G69" s="39">
        <f t="shared" si="102"/>
        <v>121.80113501150132</v>
      </c>
      <c r="H69" s="39">
        <f t="shared" si="103"/>
        <v>348.96834934777331</v>
      </c>
      <c r="I69" s="39">
        <f t="shared" si="68"/>
        <v>333.40693913046647</v>
      </c>
      <c r="J69" s="39">
        <f t="shared" si="69"/>
        <v>376.18195376232927</v>
      </c>
      <c r="K69" s="39">
        <f t="shared" si="70"/>
        <v>87.836927375351806</v>
      </c>
      <c r="L69" s="39">
        <f t="shared" si="71"/>
        <v>422.72710304838034</v>
      </c>
      <c r="M69" s="39">
        <f t="shared" si="72"/>
        <v>3363.5690744875023</v>
      </c>
      <c r="N69" s="39">
        <f t="shared" si="73"/>
        <v>362.24828480738597</v>
      </c>
      <c r="O69" s="39">
        <f t="shared" si="74"/>
        <v>57.083312004080916</v>
      </c>
      <c r="P69" s="39">
        <f t="shared" si="75"/>
        <v>427.22776675986302</v>
      </c>
      <c r="Q69" s="39">
        <f t="shared" si="76"/>
        <v>592.22157766425437</v>
      </c>
      <c r="R69" s="39">
        <f t="shared" si="77"/>
        <v>454.83874855160906</v>
      </c>
      <c r="S69" s="39">
        <f t="shared" si="78"/>
        <v>3331.8070847735944</v>
      </c>
      <c r="T69" s="39">
        <f t="shared" si="79"/>
        <v>353.78851952801779</v>
      </c>
      <c r="U69" s="39">
        <f t="shared" si="80"/>
        <v>810.30357826104944</v>
      </c>
      <c r="V69" s="39">
        <f t="shared" si="81"/>
        <v>301.7069142083443</v>
      </c>
      <c r="W69" s="39">
        <f t="shared" si="82"/>
        <v>25.025216744036019</v>
      </c>
      <c r="X69" s="39">
        <f t="shared" si="83"/>
        <v>849.24622916384499</v>
      </c>
      <c r="Y69" s="39">
        <f t="shared" si="84"/>
        <v>71.698156647528691</v>
      </c>
      <c r="Z69" s="39">
        <f t="shared" si="85"/>
        <v>116.40464057669921</v>
      </c>
      <c r="AA69" s="39">
        <f t="shared" si="86"/>
        <v>22.805004085194813</v>
      </c>
      <c r="AB69" s="39">
        <f t="shared" si="87"/>
        <v>94.539801227836989</v>
      </c>
      <c r="AC69" s="39">
        <f t="shared" si="88"/>
        <v>23.354048931772699</v>
      </c>
      <c r="AD69" s="39">
        <f t="shared" si="89"/>
        <v>62.924636862309299</v>
      </c>
      <c r="AE69" s="39">
        <f t="shared" si="90"/>
        <v>1.8837938675316295</v>
      </c>
      <c r="AF69" s="39">
        <f t="shared" si="91"/>
        <v>313.72817442907933</v>
      </c>
      <c r="AG69" s="39">
        <f t="shared" si="92"/>
        <v>246.31546349523575</v>
      </c>
      <c r="AH69" s="39">
        <f t="shared" si="93"/>
        <v>1804.3423557444212</v>
      </c>
      <c r="AI69" s="39">
        <f t="shared" si="94"/>
        <v>266.55993178552825</v>
      </c>
      <c r="AJ69" s="39">
        <f t="shared" si="95"/>
        <v>1195.7181298160162</v>
      </c>
      <c r="AK69" s="39">
        <f t="shared" si="96"/>
        <v>359.88586267720569</v>
      </c>
      <c r="AL69" s="39">
        <f t="shared" si="97"/>
        <v>432.45121958316861</v>
      </c>
      <c r="AM69" s="39">
        <f t="shared" si="98"/>
        <v>87.381693482052853</v>
      </c>
      <c r="AN69" s="39">
        <f t="shared" si="99"/>
        <v>185.01694466422236</v>
      </c>
      <c r="AO69" s="39">
        <f t="shared" si="100"/>
        <v>1229.6231246742805</v>
      </c>
    </row>
    <row r="70" spans="4:41" s="35" customFormat="1" ht="14.4">
      <c r="D70" s="35">
        <f t="shared" si="66"/>
        <v>2058</v>
      </c>
      <c r="E70" s="39">
        <f t="shared" si="67"/>
        <v>49.94106274907687</v>
      </c>
      <c r="F70" s="39">
        <f t="shared" si="101"/>
        <v>452.88102952445138</v>
      </c>
      <c r="G70" s="39">
        <f t="shared" si="102"/>
        <v>121.55765454261334</v>
      </c>
      <c r="H70" s="39">
        <f t="shared" si="103"/>
        <v>348.27076161742713</v>
      </c>
      <c r="I70" s="39">
        <f t="shared" si="68"/>
        <v>332.74045865914468</v>
      </c>
      <c r="J70" s="39">
        <f t="shared" si="69"/>
        <v>375.4299660367584</v>
      </c>
      <c r="K70" s="39">
        <f t="shared" si="70"/>
        <v>87.661341357528485</v>
      </c>
      <c r="L70" s="39">
        <f t="shared" si="71"/>
        <v>421.88207156938665</v>
      </c>
      <c r="M70" s="39">
        <f t="shared" si="72"/>
        <v>3356.8452999076021</v>
      </c>
      <c r="N70" s="39">
        <f t="shared" si="73"/>
        <v>361.52415048605604</v>
      </c>
      <c r="O70" s="39">
        <f t="shared" si="74"/>
        <v>56.969202463384761</v>
      </c>
      <c r="P70" s="39">
        <f t="shared" si="75"/>
        <v>426.37373845411008</v>
      </c>
      <c r="Q70" s="39">
        <f t="shared" si="76"/>
        <v>591.03772673050355</v>
      </c>
      <c r="R70" s="39">
        <f t="shared" si="77"/>
        <v>453.92952589325438</v>
      </c>
      <c r="S70" s="39">
        <f t="shared" si="78"/>
        <v>3325.1468024111323</v>
      </c>
      <c r="T70" s="39">
        <f t="shared" si="79"/>
        <v>353.08129627748127</v>
      </c>
      <c r="U70" s="39">
        <f t="shared" si="80"/>
        <v>808.68378140810557</v>
      </c>
      <c r="V70" s="39">
        <f t="shared" si="81"/>
        <v>301.10380208684182</v>
      </c>
      <c r="W70" s="39">
        <f t="shared" si="82"/>
        <v>24.975191335764691</v>
      </c>
      <c r="X70" s="39">
        <f t="shared" si="83"/>
        <v>847.54858595174653</v>
      </c>
      <c r="Y70" s="39">
        <f t="shared" si="84"/>
        <v>71.55483203239028</v>
      </c>
      <c r="Z70" s="39">
        <f t="shared" si="85"/>
        <v>116.17194770018639</v>
      </c>
      <c r="AA70" s="39">
        <f t="shared" si="86"/>
        <v>22.759416882028511</v>
      </c>
      <c r="AB70" s="39">
        <f t="shared" si="87"/>
        <v>94.35081616518255</v>
      </c>
      <c r="AC70" s="39">
        <f t="shared" si="88"/>
        <v>23.307364187958086</v>
      </c>
      <c r="AD70" s="39">
        <f t="shared" si="89"/>
        <v>62.798850513221545</v>
      </c>
      <c r="AE70" s="39">
        <f t="shared" si="90"/>
        <v>1.8800281635904339</v>
      </c>
      <c r="AF70" s="39">
        <f t="shared" si="91"/>
        <v>313.10103180839559</v>
      </c>
      <c r="AG70" s="39">
        <f t="shared" si="92"/>
        <v>245.82307888370877</v>
      </c>
      <c r="AH70" s="39">
        <f t="shared" si="93"/>
        <v>1800.7354753752882</v>
      </c>
      <c r="AI70" s="39">
        <f t="shared" si="94"/>
        <v>266.02707848188896</v>
      </c>
      <c r="AJ70" s="39">
        <f t="shared" si="95"/>
        <v>1193.3278892745141</v>
      </c>
      <c r="AK70" s="39">
        <f t="shared" si="96"/>
        <v>359.16645083771397</v>
      </c>
      <c r="AL70" s="39">
        <f t="shared" si="97"/>
        <v>431.58674959522187</v>
      </c>
      <c r="AM70" s="39">
        <f t="shared" si="98"/>
        <v>87.207017476782227</v>
      </c>
      <c r="AN70" s="39">
        <f t="shared" si="99"/>
        <v>184.64709579183858</v>
      </c>
      <c r="AO70" s="39">
        <f t="shared" si="100"/>
        <v>1227.1651080480567</v>
      </c>
    </row>
    <row r="71" spans="4:41" s="35" customFormat="1" ht="14.4">
      <c r="D71" s="35">
        <f t="shared" si="66"/>
        <v>2060</v>
      </c>
      <c r="E71" s="39">
        <f t="shared" si="67"/>
        <v>49.841230564641464</v>
      </c>
      <c r="F71" s="39">
        <f t="shared" si="101"/>
        <v>451.97572034643201</v>
      </c>
      <c r="G71" s="39">
        <f t="shared" si="102"/>
        <v>121.31466079118266</v>
      </c>
      <c r="H71" s="39">
        <f t="shared" si="103"/>
        <v>347.5745683649539</v>
      </c>
      <c r="I71" s="39">
        <f t="shared" si="68"/>
        <v>332.07531048228503</v>
      </c>
      <c r="J71" s="39">
        <f t="shared" si="69"/>
        <v>374.6794815346509</v>
      </c>
      <c r="K71" s="39">
        <f t="shared" si="70"/>
        <v>87.486106336154791</v>
      </c>
      <c r="L71" s="39">
        <f t="shared" si="71"/>
        <v>421.03872930831949</v>
      </c>
      <c r="M71" s="39">
        <f t="shared" si="72"/>
        <v>3350.1349661530867</v>
      </c>
      <c r="N71" s="39">
        <f t="shared" si="73"/>
        <v>360.80146370923444</v>
      </c>
      <c r="O71" s="39">
        <f t="shared" si="74"/>
        <v>56.855321027660459</v>
      </c>
      <c r="P71" s="39">
        <f t="shared" si="75"/>
        <v>425.52141735094034</v>
      </c>
      <c r="Q71" s="39">
        <f t="shared" si="76"/>
        <v>589.85624231476925</v>
      </c>
      <c r="R71" s="39">
        <f t="shared" si="77"/>
        <v>453.02212077099375</v>
      </c>
      <c r="S71" s="39">
        <f t="shared" si="78"/>
        <v>3318.4998339531126</v>
      </c>
      <c r="T71" s="39">
        <f t="shared" si="79"/>
        <v>352.37548676622259</v>
      </c>
      <c r="U71" s="39">
        <f t="shared" si="80"/>
        <v>807.06722252907082</v>
      </c>
      <c r="V71" s="39">
        <f t="shared" si="81"/>
        <v>300.50189558647025</v>
      </c>
      <c r="W71" s="39">
        <f t="shared" si="82"/>
        <v>24.925265928284499</v>
      </c>
      <c r="X71" s="39">
        <f t="shared" si="83"/>
        <v>845.85433632842899</v>
      </c>
      <c r="Y71" s="39">
        <f t="shared" si="84"/>
        <v>71.411793923157532</v>
      </c>
      <c r="Z71" s="39">
        <f t="shared" si="85"/>
        <v>115.93971997673373</v>
      </c>
      <c r="AA71" s="39">
        <f t="shared" si="86"/>
        <v>22.713920807681337</v>
      </c>
      <c r="AB71" s="39">
        <f t="shared" si="87"/>
        <v>94.162208883668356</v>
      </c>
      <c r="AC71" s="39">
        <f t="shared" si="88"/>
        <v>23.26077276694636</v>
      </c>
      <c r="AD71" s="39">
        <f t="shared" si="89"/>
        <v>62.673315611045616</v>
      </c>
      <c r="AE71" s="39">
        <f t="shared" si="90"/>
        <v>1.8762699872914166</v>
      </c>
      <c r="AF71" s="39">
        <f t="shared" si="91"/>
        <v>312.47514284581064</v>
      </c>
      <c r="AG71" s="39">
        <f t="shared" si="92"/>
        <v>245.33167854902024</v>
      </c>
      <c r="AH71" s="39">
        <f t="shared" si="93"/>
        <v>1797.135805160013</v>
      </c>
      <c r="AI71" s="39">
        <f t="shared" si="94"/>
        <v>265.49529035200368</v>
      </c>
      <c r="AJ71" s="39">
        <f t="shared" si="95"/>
        <v>1190.9424268238542</v>
      </c>
      <c r="AK71" s="39">
        <f t="shared" si="96"/>
        <v>358.44847710248939</v>
      </c>
      <c r="AL71" s="39">
        <f t="shared" si="97"/>
        <v>430.72400768278106</v>
      </c>
      <c r="AM71" s="39">
        <f t="shared" si="98"/>
        <v>87.032690648846142</v>
      </c>
      <c r="AN71" s="39">
        <f t="shared" si="99"/>
        <v>184.2779862473507</v>
      </c>
      <c r="AO71" s="39">
        <f t="shared" si="100"/>
        <v>1224.7120049970688</v>
      </c>
    </row>
    <row r="72" spans="4:41" s="35" customFormat="1" ht="14.4">
      <c r="D72" s="35">
        <f t="shared" si="66"/>
        <v>2062</v>
      </c>
      <c r="E72" s="39">
        <f t="shared" si="67"/>
        <v>49.74159794474275</v>
      </c>
      <c r="F72" s="39">
        <f t="shared" si="101"/>
        <v>451.07222088145949</v>
      </c>
      <c r="G72" s="39">
        <f t="shared" si="102"/>
        <v>121.07215278426109</v>
      </c>
      <c r="H72" s="39">
        <f t="shared" si="103"/>
        <v>346.87976680279235</v>
      </c>
      <c r="I72" s="39">
        <f t="shared" si="68"/>
        <v>331.41149193663097</v>
      </c>
      <c r="J72" s="39">
        <f t="shared" si="69"/>
        <v>373.93049725106317</v>
      </c>
      <c r="K72" s="39">
        <f t="shared" si="70"/>
        <v>87.311221609588813</v>
      </c>
      <c r="L72" s="39">
        <f t="shared" si="71"/>
        <v>420.19707288843216</v>
      </c>
      <c r="M72" s="39">
        <f t="shared" si="72"/>
        <v>3343.4380463557468</v>
      </c>
      <c r="N72" s="39">
        <f t="shared" si="73"/>
        <v>360.08022158327969</v>
      </c>
      <c r="O72" s="39">
        <f t="shared" si="74"/>
        <v>56.741667240926169</v>
      </c>
      <c r="P72" s="39">
        <f t="shared" si="75"/>
        <v>424.67080003765579</v>
      </c>
      <c r="Q72" s="39">
        <f t="shared" si="76"/>
        <v>588.67711968638207</v>
      </c>
      <c r="R72" s="39">
        <f t="shared" si="77"/>
        <v>452.11652955157257</v>
      </c>
      <c r="S72" s="39">
        <f t="shared" si="78"/>
        <v>3311.8661527850404</v>
      </c>
      <c r="T72" s="39">
        <f t="shared" si="79"/>
        <v>351.67108816817694</v>
      </c>
      <c r="U72" s="39">
        <f t="shared" si="80"/>
        <v>805.4538951512352</v>
      </c>
      <c r="V72" s="39">
        <f t="shared" si="81"/>
        <v>299.90119229719289</v>
      </c>
      <c r="W72" s="39">
        <f t="shared" si="82"/>
        <v>24.875440321693858</v>
      </c>
      <c r="X72" s="39">
        <f t="shared" si="83"/>
        <v>844.16347351010847</v>
      </c>
      <c r="Y72" s="39">
        <f t="shared" si="84"/>
        <v>71.269041747105149</v>
      </c>
      <c r="Z72" s="39">
        <f t="shared" si="85"/>
        <v>115.70795647650024</v>
      </c>
      <c r="AA72" s="39">
        <f t="shared" si="86"/>
        <v>22.668515679986783</v>
      </c>
      <c r="AB72" s="39">
        <f t="shared" si="87"/>
        <v>93.973978628109904</v>
      </c>
      <c r="AC72" s="39">
        <f t="shared" si="88"/>
        <v>23.214274482185235</v>
      </c>
      <c r="AD72" s="39">
        <f t="shared" si="89"/>
        <v>62.548031653139141</v>
      </c>
      <c r="AE72" s="39">
        <f t="shared" si="90"/>
        <v>1.8725193235868212</v>
      </c>
      <c r="AF72" s="39">
        <f t="shared" si="91"/>
        <v>311.85050503526185</v>
      </c>
      <c r="AG72" s="39">
        <f t="shared" si="92"/>
        <v>244.84126052360077</v>
      </c>
      <c r="AH72" s="39">
        <f t="shared" si="93"/>
        <v>1793.5433306854982</v>
      </c>
      <c r="AI72" s="39">
        <f t="shared" si="94"/>
        <v>264.96456526659006</v>
      </c>
      <c r="AJ72" s="39">
        <f t="shared" si="95"/>
        <v>1188.5617329126335</v>
      </c>
      <c r="AK72" s="39">
        <f t="shared" si="96"/>
        <v>357.73193859676155</v>
      </c>
      <c r="AL72" s="39">
        <f t="shared" si="97"/>
        <v>429.86299039142318</v>
      </c>
      <c r="AM72" s="39">
        <f t="shared" si="98"/>
        <v>86.858712300239105</v>
      </c>
      <c r="AN72" s="39">
        <f t="shared" si="99"/>
        <v>183.90961455284224</v>
      </c>
      <c r="AO72" s="39">
        <f t="shared" si="100"/>
        <v>1222.2638056990797</v>
      </c>
    </row>
    <row r="73" spans="4:41" s="35" customFormat="1" ht="14.4">
      <c r="D73" s="35">
        <f t="shared" si="66"/>
        <v>2064</v>
      </c>
      <c r="E73" s="39">
        <f t="shared" si="67"/>
        <v>49.642164490451208</v>
      </c>
      <c r="F73" s="39">
        <f t="shared" si="101"/>
        <v>450.17052751191744</v>
      </c>
      <c r="G73" s="39">
        <f t="shared" si="102"/>
        <v>120.83012955084536</v>
      </c>
      <c r="H73" s="39">
        <f t="shared" si="103"/>
        <v>346.18635414895357</v>
      </c>
      <c r="I73" s="39">
        <f t="shared" si="68"/>
        <v>330.74900036424964</v>
      </c>
      <c r="J73" s="39">
        <f t="shared" si="69"/>
        <v>373.1830101870583</v>
      </c>
      <c r="K73" s="39">
        <f t="shared" si="70"/>
        <v>87.13668647759124</v>
      </c>
      <c r="L73" s="39">
        <f t="shared" si="71"/>
        <v>419.35709893972819</v>
      </c>
      <c r="M73" s="39">
        <f t="shared" si="72"/>
        <v>3336.7545137010816</v>
      </c>
      <c r="N73" s="39">
        <f t="shared" si="73"/>
        <v>359.36042122033473</v>
      </c>
      <c r="O73" s="39">
        <f t="shared" si="74"/>
        <v>56.628240648111557</v>
      </c>
      <c r="P73" s="39">
        <f t="shared" si="75"/>
        <v>423.82188310838052</v>
      </c>
      <c r="Q73" s="39">
        <f t="shared" si="76"/>
        <v>587.50035412412899</v>
      </c>
      <c r="R73" s="39">
        <f t="shared" si="77"/>
        <v>451.21274860899899</v>
      </c>
      <c r="S73" s="39">
        <f t="shared" si="78"/>
        <v>3305.2457323456233</v>
      </c>
      <c r="T73" s="39">
        <f t="shared" si="79"/>
        <v>350.96809766292876</v>
      </c>
      <c r="U73" s="39">
        <f t="shared" si="80"/>
        <v>803.84379281482791</v>
      </c>
      <c r="V73" s="39">
        <f t="shared" si="81"/>
        <v>299.3016898137908</v>
      </c>
      <c r="W73" s="39">
        <f t="shared" si="82"/>
        <v>24.825714316490792</v>
      </c>
      <c r="X73" s="39">
        <f t="shared" si="83"/>
        <v>842.4759907265618</v>
      </c>
      <c r="Y73" s="39">
        <f t="shared" si="84"/>
        <v>71.126574932652687</v>
      </c>
      <c r="Z73" s="39">
        <f t="shared" si="85"/>
        <v>115.47665627150373</v>
      </c>
      <c r="AA73" s="39">
        <f t="shared" si="86"/>
        <v>22.623201317142488</v>
      </c>
      <c r="AB73" s="39">
        <f t="shared" si="87"/>
        <v>93.786124644832313</v>
      </c>
      <c r="AC73" s="39">
        <f t="shared" si="88"/>
        <v>23.167869147495349</v>
      </c>
      <c r="AD73" s="39">
        <f t="shared" si="89"/>
        <v>62.422998137864518</v>
      </c>
      <c r="AE73" s="39">
        <f t="shared" si="90"/>
        <v>1.8687761574589712</v>
      </c>
      <c r="AF73" s="39">
        <f t="shared" si="91"/>
        <v>311.22711587569637</v>
      </c>
      <c r="AG73" s="39">
        <f t="shared" si="92"/>
        <v>244.35182284381409</v>
      </c>
      <c r="AH73" s="39">
        <f t="shared" si="93"/>
        <v>1789.9580375674579</v>
      </c>
      <c r="AI73" s="39">
        <f t="shared" si="94"/>
        <v>264.43490110062214</v>
      </c>
      <c r="AJ73" s="39">
        <f t="shared" si="95"/>
        <v>1186.1857980085413</v>
      </c>
      <c r="AK73" s="39">
        <f t="shared" si="96"/>
        <v>357.01683245150662</v>
      </c>
      <c r="AL73" s="39">
        <f t="shared" si="97"/>
        <v>429.00369427363074</v>
      </c>
      <c r="AM73" s="39">
        <f t="shared" si="98"/>
        <v>86.685081734350931</v>
      </c>
      <c r="AN73" s="39">
        <f t="shared" si="99"/>
        <v>183.54197923335113</v>
      </c>
      <c r="AO73" s="39">
        <f t="shared" si="100"/>
        <v>1219.8205003514872</v>
      </c>
    </row>
    <row r="74" spans="4:41" s="35" customFormat="1" ht="14.4">
      <c r="D74" s="35">
        <f t="shared" si="66"/>
        <v>2066</v>
      </c>
      <c r="E74" s="39">
        <f t="shared" si="67"/>
        <v>49.542929803634799</v>
      </c>
      <c r="F74" s="39">
        <f t="shared" si="101"/>
        <v>449.27063662742114</v>
      </c>
      <c r="G74" s="39">
        <f t="shared" si="102"/>
        <v>120.58859012187322</v>
      </c>
      <c r="H74" s="39">
        <f t="shared" si="103"/>
        <v>345.4943276270098</v>
      </c>
      <c r="I74" s="39">
        <f t="shared" si="68"/>
        <v>330.08783311252154</v>
      </c>
      <c r="J74" s="39">
        <f t="shared" si="69"/>
        <v>372.43701734969437</v>
      </c>
      <c r="K74" s="39">
        <f t="shared" si="70"/>
        <v>86.962500241322545</v>
      </c>
      <c r="L74" s="39">
        <f t="shared" si="71"/>
        <v>418.51880409894767</v>
      </c>
      <c r="M74" s="39">
        <f t="shared" si="72"/>
        <v>3330.0843414281931</v>
      </c>
      <c r="N74" s="39">
        <f t="shared" si="73"/>
        <v>358.64205973831531</v>
      </c>
      <c r="O74" s="39">
        <f t="shared" si="74"/>
        <v>56.515040795055981</v>
      </c>
      <c r="P74" s="39">
        <f t="shared" si="75"/>
        <v>422.97466316404689</v>
      </c>
      <c r="Q74" s="39">
        <f t="shared" si="76"/>
        <v>586.32594091623491</v>
      </c>
      <c r="R74" s="39">
        <f t="shared" si="77"/>
        <v>450.31077432452963</v>
      </c>
      <c r="S74" s="39">
        <f t="shared" si="78"/>
        <v>3298.6385461266646</v>
      </c>
      <c r="T74" s="39">
        <f t="shared" si="79"/>
        <v>350.26651243570058</v>
      </c>
      <c r="U74" s="39">
        <f t="shared" si="80"/>
        <v>802.23690907299112</v>
      </c>
      <c r="V74" s="39">
        <f t="shared" si="81"/>
        <v>298.70338573585303</v>
      </c>
      <c r="W74" s="39">
        <f t="shared" si="82"/>
        <v>24.776087713572128</v>
      </c>
      <c r="X74" s="39">
        <f t="shared" si="83"/>
        <v>840.7918812210994</v>
      </c>
      <c r="Y74" s="39">
        <f t="shared" si="84"/>
        <v>70.984392909362313</v>
      </c>
      <c r="Z74" s="39">
        <f t="shared" si="85"/>
        <v>115.245818435617</v>
      </c>
      <c r="AA74" s="39">
        <f t="shared" si="86"/>
        <v>22.577977537709522</v>
      </c>
      <c r="AB74" s="39">
        <f t="shared" si="87"/>
        <v>93.598646181667291</v>
      </c>
      <c r="AC74" s="39">
        <f t="shared" si="88"/>
        <v>23.121556577069505</v>
      </c>
      <c r="AD74" s="39">
        <f t="shared" si="89"/>
        <v>62.298214564586928</v>
      </c>
      <c r="AE74" s="39">
        <f t="shared" si="90"/>
        <v>1.8650404739202107</v>
      </c>
      <c r="AF74" s="39">
        <f t="shared" si="91"/>
        <v>310.60497287106085</v>
      </c>
      <c r="AG74" s="39">
        <f t="shared" si="92"/>
        <v>243.86336354994933</v>
      </c>
      <c r="AH74" s="39">
        <f t="shared" si="93"/>
        <v>1786.3799114503606</v>
      </c>
      <c r="AI74" s="39">
        <f t="shared" si="94"/>
        <v>263.906295733322</v>
      </c>
      <c r="AJ74" s="39">
        <f t="shared" si="95"/>
        <v>1183.8146125983221</v>
      </c>
      <c r="AK74" s="39">
        <f t="shared" si="96"/>
        <v>356.30315580343608</v>
      </c>
      <c r="AL74" s="39">
        <f t="shared" si="97"/>
        <v>428.14611588877779</v>
      </c>
      <c r="AM74" s="39">
        <f t="shared" si="98"/>
        <v>86.511798255963967</v>
      </c>
      <c r="AN74" s="39">
        <f t="shared" si="99"/>
        <v>183.17507881686367</v>
      </c>
      <c r="AO74" s="39">
        <f t="shared" si="100"/>
        <v>1217.3820791712847</v>
      </c>
    </row>
    <row r="75" s="35" customFormat="1" ht="14.4"/>
    <row r="76" spans="4:4" ht="14.4">
      <c r="D76" s="9" t="s">
        <v>70</v>
      </c>
    </row>
    <row r="77" spans="2:42" ht="15" thickBot="1">
      <c r="B77" t="s">
        <v>69</v>
      </c>
      <c r="C77" t="s">
        <v>67</v>
      </c>
      <c r="D77" t="s">
        <v>2</v>
      </c>
      <c r="E77" s="8" t="str">
        <f>E$1</f>
        <v>AL</v>
      </c>
      <c r="F77" s="8" t="str">
        <f t="shared" si="104" ref="F77:AO77">F$1</f>
        <v>AT</v>
      </c>
      <c r="G77" s="8" t="str">
        <f t="shared" si="104"/>
        <v>BA</v>
      </c>
      <c r="H77" s="8" t="str">
        <f t="shared" si="104"/>
        <v>BE</v>
      </c>
      <c r="I77" s="8" t="str">
        <f t="shared" si="104"/>
        <v>BG</v>
      </c>
      <c r="J77" s="8" t="str">
        <f t="shared" si="104"/>
        <v>CH</v>
      </c>
      <c r="K77" s="8" t="str">
        <f t="shared" si="104"/>
        <v>CY</v>
      </c>
      <c r="L77" s="8" t="str">
        <f t="shared" si="104"/>
        <v>CZ</v>
      </c>
      <c r="M77" s="8" t="str">
        <f t="shared" si="104"/>
        <v>DE</v>
      </c>
      <c r="N77" s="8" t="str">
        <f t="shared" si="104"/>
        <v>DK</v>
      </c>
      <c r="O77" s="8" t="str">
        <f t="shared" si="104"/>
        <v>EE</v>
      </c>
      <c r="P77" s="8" t="str">
        <f t="shared" si="104"/>
        <v>EL</v>
      </c>
      <c r="Q77" s="8" t="str">
        <f t="shared" si="104"/>
        <v>ES</v>
      </c>
      <c r="R77" s="8" t="str">
        <f t="shared" si="104"/>
        <v>FI</v>
      </c>
      <c r="S77" s="8" t="str">
        <f t="shared" si="104"/>
        <v>FR</v>
      </c>
      <c r="T77" s="8" t="str">
        <f t="shared" si="104"/>
        <v>HR</v>
      </c>
      <c r="U77" s="8" t="str">
        <f t="shared" si="104"/>
        <v>HU</v>
      </c>
      <c r="V77" s="8" t="str">
        <f t="shared" si="104"/>
        <v>IE</v>
      </c>
      <c r="W77" s="8" t="str">
        <f t="shared" si="104"/>
        <v>IS</v>
      </c>
      <c r="X77" s="8" t="str">
        <f t="shared" si="104"/>
        <v>IT</v>
      </c>
      <c r="Y77" s="8" t="str">
        <f t="shared" si="104"/>
        <v>KS</v>
      </c>
      <c r="Z77" s="8" t="str">
        <f t="shared" si="104"/>
        <v>LT</v>
      </c>
      <c r="AA77" s="8" t="str">
        <f t="shared" si="104"/>
        <v>LU</v>
      </c>
      <c r="AB77" s="8" t="str">
        <f t="shared" si="104"/>
        <v>LV</v>
      </c>
      <c r="AC77" s="8" t="str">
        <f t="shared" si="104"/>
        <v>ME</v>
      </c>
      <c r="AD77" s="8" t="str">
        <f t="shared" si="104"/>
        <v>MK</v>
      </c>
      <c r="AE77" s="8" t="str">
        <f t="shared" si="104"/>
        <v>MT</v>
      </c>
      <c r="AF77" s="8" t="str">
        <f t="shared" si="104"/>
        <v>NL</v>
      </c>
      <c r="AG77" s="8" t="str">
        <f t="shared" si="104"/>
        <v>NO</v>
      </c>
      <c r="AH77" s="8" t="str">
        <f t="shared" si="104"/>
        <v>PL</v>
      </c>
      <c r="AI77" s="8" t="str">
        <f t="shared" si="104"/>
        <v>PT</v>
      </c>
      <c r="AJ77" s="8" t="str">
        <f t="shared" si="104"/>
        <v>RO</v>
      </c>
      <c r="AK77" s="8" t="str">
        <f t="shared" si="104"/>
        <v>RS</v>
      </c>
      <c r="AL77" s="8" t="str">
        <f t="shared" si="104"/>
        <v>SE</v>
      </c>
      <c r="AM77" s="8" t="str">
        <f t="shared" si="104"/>
        <v>SI</v>
      </c>
      <c r="AN77" s="8" t="str">
        <f t="shared" si="104"/>
        <v>SK</v>
      </c>
      <c r="AO77" s="8" t="str">
        <f t="shared" si="104"/>
        <v>UK</v>
      </c>
      <c r="AP77" t="s">
        <v>68</v>
      </c>
    </row>
    <row r="78" spans="2:42" ht="15" thickTop="1">
      <c r="B78" t="str">
        <f>"UCR_OldStock-"&amp;MID(C78,5,20)</f>
        <v>UCR_OldStock-Flat</v>
      </c>
      <c r="C78" s="7" t="str">
        <f>D11</f>
        <v>Rdw_Flat</v>
      </c>
      <c r="D78">
        <v>2012</v>
      </c>
      <c r="E78" s="39">
        <f>E4*(1-E$11)^2</f>
        <v>195.88383202406692</v>
      </c>
      <c r="F78" s="39">
        <f t="shared" si="105" ref="F78:AO78">F4*(1-F$11)^2</f>
        <v>1462.3262446851813</v>
      </c>
      <c r="G78" s="39">
        <f t="shared" si="105"/>
        <v>270.10373650912055</v>
      </c>
      <c r="H78" s="39">
        <f t="shared" si="105"/>
        <v>901.00105885877269</v>
      </c>
      <c r="I78" s="39">
        <f t="shared" si="105"/>
        <v>774.1119440605903</v>
      </c>
      <c r="J78" s="39">
        <f t="shared" si="105"/>
        <v>1641.6986638246919</v>
      </c>
      <c r="K78" s="39">
        <f t="shared" si="105"/>
        <v>83.211028377552552</v>
      </c>
      <c r="L78" s="39">
        <f t="shared" si="105"/>
        <v>2199.207921293601</v>
      </c>
      <c r="M78" s="39">
        <f t="shared" si="105"/>
        <v>18433.523048919065</v>
      </c>
      <c r="N78" s="39">
        <f t="shared" si="105"/>
        <v>1062.4138134233126</v>
      </c>
      <c r="O78" s="39">
        <f t="shared" si="105"/>
        <v>486.1957458212774</v>
      </c>
      <c r="P78" s="39">
        <f t="shared" si="105"/>
        <v>1672.3657280273269</v>
      </c>
      <c r="Q78" s="39">
        <f t="shared" si="105"/>
        <v>7401.9225348540031</v>
      </c>
      <c r="R78" s="39">
        <f t="shared" si="105"/>
        <v>1103.7440586590451</v>
      </c>
      <c r="S78" s="39">
        <f t="shared" si="105"/>
        <v>9158.6080687952053</v>
      </c>
      <c r="T78" s="39">
        <f t="shared" si="105"/>
        <v>503.00664805011769</v>
      </c>
      <c r="U78" s="39">
        <f t="shared" si="105"/>
        <v>1309.5483552934056</v>
      </c>
      <c r="V78" s="39">
        <f t="shared" si="105"/>
        <v>144.2922267827814</v>
      </c>
      <c r="W78" s="39">
        <f t="shared" si="105"/>
        <v>66.893754746465461</v>
      </c>
      <c r="X78" s="39">
        <f t="shared" si="105"/>
        <v>16979.760809838866</v>
      </c>
      <c r="Y78" s="39">
        <f t="shared" si="105"/>
        <v>158.9963838143635</v>
      </c>
      <c r="Z78" s="39">
        <f t="shared" si="105"/>
        <v>722.6441943580661</v>
      </c>
      <c r="AA78" s="39">
        <f t="shared" si="105"/>
        <v>67.728271639743198</v>
      </c>
      <c r="AB78" s="39">
        <f t="shared" si="105"/>
        <v>573.85783757095965</v>
      </c>
      <c r="AC78" s="39">
        <f t="shared" si="105"/>
        <v>98.15845058467778</v>
      </c>
      <c r="AD78" s="39">
        <f t="shared" si="105"/>
        <v>160.25414131082718</v>
      </c>
      <c r="AE78" s="39">
        <f t="shared" si="105"/>
        <v>16.270185966536349</v>
      </c>
      <c r="AF78" s="39">
        <f t="shared" si="105"/>
        <v>1721.7926801668302</v>
      </c>
      <c r="AG78" s="39">
        <f t="shared" si="105"/>
        <v>1147.060766649573</v>
      </c>
      <c r="AH78" s="39">
        <f t="shared" si="105"/>
        <v>6707.2295642299814</v>
      </c>
      <c r="AI78" s="39">
        <f t="shared" si="105"/>
        <v>512.62908112048001</v>
      </c>
      <c r="AJ78" s="39">
        <f t="shared" si="105"/>
        <v>2042.7119175347693</v>
      </c>
      <c r="AK78" s="39">
        <f t="shared" si="105"/>
        <v>798.07561905513091</v>
      </c>
      <c r="AL78" s="39">
        <f t="shared" si="105"/>
        <v>2420.960711220619</v>
      </c>
      <c r="AM78" s="39">
        <f t="shared" si="105"/>
        <v>459.57508141870483</v>
      </c>
      <c r="AN78" s="39">
        <f t="shared" si="105"/>
        <v>578.04163045943562</v>
      </c>
      <c r="AO78" s="39">
        <f t="shared" si="105"/>
        <v>3893.5000807940569</v>
      </c>
      <c r="AP78">
        <v>1</v>
      </c>
    </row>
    <row r="79" spans="4:41" ht="14.4">
      <c r="D79">
        <f>D78+2</f>
        <v>2014</v>
      </c>
      <c r="E79" s="39">
        <f>E78*(1-E$11)^2</f>
        <v>195.10108023129874</v>
      </c>
      <c r="F79" s="39">
        <f t="shared" si="106" ref="F79:AO86">F78*(1-F$11)^2</f>
        <v>1456.4827890114193</v>
      </c>
      <c r="G79" s="39">
        <f t="shared" si="106"/>
        <v>269.02440197803008</v>
      </c>
      <c r="H79" s="39">
        <f t="shared" si="106"/>
        <v>896.50168482109677</v>
      </c>
      <c r="I79" s="39">
        <f t="shared" si="106"/>
        <v>771.01859273212415</v>
      </c>
      <c r="J79" s="39">
        <f t="shared" si="106"/>
        <v>1635.1384359640485</v>
      </c>
      <c r="K79" s="39">
        <f t="shared" si="106"/>
        <v>82.878517108155847</v>
      </c>
      <c r="L79" s="39">
        <f t="shared" si="106"/>
        <v>2190.4198864401119</v>
      </c>
      <c r="M79" s="39">
        <f t="shared" si="106"/>
        <v>18359.862690815586</v>
      </c>
      <c r="N79" s="39">
        <f t="shared" si="106"/>
        <v>1058.1684078248732</v>
      </c>
      <c r="O79" s="39">
        <f t="shared" si="106"/>
        <v>484.25290762097558</v>
      </c>
      <c r="P79" s="39">
        <f t="shared" si="106"/>
        <v>1665.6829545781297</v>
      </c>
      <c r="Q79" s="39">
        <f t="shared" si="106"/>
        <v>7370.8671026859947</v>
      </c>
      <c r="R79" s="39">
        <f t="shared" si="106"/>
        <v>1099.3334974006436</v>
      </c>
      <c r="S79" s="39">
        <f t="shared" si="106"/>
        <v>9122.0102709522998</v>
      </c>
      <c r="T79" s="39">
        <f t="shared" si="106"/>
        <v>500.9966334845094</v>
      </c>
      <c r="U79" s="39">
        <f t="shared" si="106"/>
        <v>1304.3154000656532</v>
      </c>
      <c r="V79" s="39">
        <f t="shared" si="106"/>
        <v>140.56501427275538</v>
      </c>
      <c r="W79" s="39">
        <f t="shared" si="106"/>
        <v>66.62644730249859</v>
      </c>
      <c r="X79" s="39">
        <f t="shared" si="106"/>
        <v>16911.90968564275</v>
      </c>
      <c r="Y79" s="39">
        <f t="shared" si="106"/>
        <v>158.36103426464129</v>
      </c>
      <c r="Z79" s="39">
        <f t="shared" si="106"/>
        <v>719.7565081574113</v>
      </c>
      <c r="AA79" s="39">
        <f t="shared" si="106"/>
        <v>67.457629466270788</v>
      </c>
      <c r="AB79" s="39">
        <f t="shared" si="106"/>
        <v>571.56470165202609</v>
      </c>
      <c r="AC79" s="39">
        <f t="shared" si="106"/>
        <v>97.766209416141407</v>
      </c>
      <c r="AD79" s="39">
        <f t="shared" si="106"/>
        <v>159.61376576214911</v>
      </c>
      <c r="AE79" s="39">
        <f t="shared" si="106"/>
        <v>16.205170303414071</v>
      </c>
      <c r="AF79" s="39">
        <f t="shared" si="106"/>
        <v>1714.9123966168836</v>
      </c>
      <c r="AG79" s="39">
        <f t="shared" si="106"/>
        <v>1142.4771118260412</v>
      </c>
      <c r="AH79" s="39">
        <f t="shared" si="106"/>
        <v>6680.4274748913185</v>
      </c>
      <c r="AI79" s="39">
        <f t="shared" si="106"/>
        <v>510.58061531232255</v>
      </c>
      <c r="AJ79" s="39">
        <f t="shared" si="106"/>
        <v>2034.5492407123004</v>
      </c>
      <c r="AK79" s="39">
        <f t="shared" si="106"/>
        <v>794.88650888138659</v>
      </c>
      <c r="AL79" s="39">
        <f t="shared" si="106"/>
        <v>2415.153891697114</v>
      </c>
      <c r="AM79" s="39">
        <f t="shared" si="106"/>
        <v>457.73861939335569</v>
      </c>
      <c r="AN79" s="39">
        <f t="shared" si="106"/>
        <v>575.73177610411972</v>
      </c>
      <c r="AO79" s="39">
        <f t="shared" si="106"/>
        <v>3859.0800796279568</v>
      </c>
    </row>
    <row r="80" spans="4:41" ht="14.4">
      <c r="D80">
        <f t="shared" si="107" ref="D80:D105">D79+2</f>
        <v>2016</v>
      </c>
      <c r="E80" s="39">
        <f t="shared" si="108" ref="E80:E105">E79*(1-E$11)^2</f>
        <v>194.32145631469447</v>
      </c>
      <c r="F80" s="39">
        <f t="shared" si="106"/>
        <v>1450.6626837865297</v>
      </c>
      <c r="G80" s="39">
        <f t="shared" si="106"/>
        <v>267.94938046772586</v>
      </c>
      <c r="H80" s="39">
        <f t="shared" si="106"/>
        <v>892.02477953252151</v>
      </c>
      <c r="I80" s="39">
        <f t="shared" si="106"/>
        <v>767.93760243556653</v>
      </c>
      <c r="J80" s="39">
        <f t="shared" si="106"/>
        <v>1628.6044227739362</v>
      </c>
      <c r="K80" s="39">
        <f t="shared" si="106"/>
        <v>82.547334553791657</v>
      </c>
      <c r="L80" s="39">
        <f t="shared" si="106"/>
        <v>2181.6669685738971</v>
      </c>
      <c r="M80" s="39">
        <f t="shared" si="106"/>
        <v>18286.496679503085</v>
      </c>
      <c r="N80" s="39">
        <f t="shared" si="106"/>
        <v>1053.9399668672049</v>
      </c>
      <c r="O80" s="39">
        <f t="shared" si="106"/>
        <v>482.31783300212214</v>
      </c>
      <c r="P80" s="39">
        <f t="shared" si="106"/>
        <v>1659.0268854916355</v>
      </c>
      <c r="Q80" s="39">
        <f t="shared" si="106"/>
        <v>7339.9419663786366</v>
      </c>
      <c r="R80" s="39">
        <f t="shared" si="106"/>
        <v>1094.9405607450306</v>
      </c>
      <c r="S80" s="39">
        <f t="shared" si="106"/>
        <v>9085.5587179095746</v>
      </c>
      <c r="T80" s="39">
        <f t="shared" si="106"/>
        <v>498.99465093710529</v>
      </c>
      <c r="U80" s="39">
        <f t="shared" si="106"/>
        <v>1299.1033557269909</v>
      </c>
      <c r="V80" s="39">
        <f t="shared" si="106"/>
        <v>136.93407938907583</v>
      </c>
      <c r="W80" s="39">
        <f t="shared" si="106"/>
        <v>66.360208019077803</v>
      </c>
      <c r="X80" s="39">
        <f t="shared" si="106"/>
        <v>16844.329694538923</v>
      </c>
      <c r="Y80" s="39">
        <f t="shared" si="106"/>
        <v>157.72822357171978</v>
      </c>
      <c r="Z80" s="39">
        <f t="shared" si="106"/>
        <v>716.88036115081434</v>
      </c>
      <c r="AA80" s="39">
        <f t="shared" si="106"/>
        <v>67.188068778923565</v>
      </c>
      <c r="AB80" s="39">
        <f t="shared" si="106"/>
        <v>569.28072910422463</v>
      </c>
      <c r="AC80" s="39">
        <f t="shared" si="106"/>
        <v>97.375535643314507</v>
      </c>
      <c r="AD80" s="39">
        <f t="shared" si="106"/>
        <v>158.97594915416357</v>
      </c>
      <c r="AE80" s="39">
        <f t="shared" si="106"/>
        <v>16.140414442881628</v>
      </c>
      <c r="AF80" s="39">
        <f t="shared" si="106"/>
        <v>1708.0596066800026</v>
      </c>
      <c r="AG80" s="39">
        <f t="shared" si="106"/>
        <v>1137.9117732871844</v>
      </c>
      <c r="AH80" s="39">
        <f t="shared" si="106"/>
        <v>6653.7324867016532</v>
      </c>
      <c r="AI80" s="39">
        <f t="shared" si="106"/>
        <v>508.54033517353452</v>
      </c>
      <c r="AJ80" s="39">
        <f t="shared" si="106"/>
        <v>2026.419181946414</v>
      </c>
      <c r="AK80" s="39">
        <f t="shared" si="106"/>
        <v>791.71014239189662</v>
      </c>
      <c r="AL80" s="39">
        <f t="shared" si="106"/>
        <v>2409.3610001786451</v>
      </c>
      <c r="AM80" s="39">
        <f t="shared" si="106"/>
        <v>455.90949587025983</v>
      </c>
      <c r="AN80" s="39">
        <f t="shared" si="106"/>
        <v>573.43115192680762</v>
      </c>
      <c r="AO80" s="39">
        <f t="shared" si="106"/>
        <v>3824.9643641831071</v>
      </c>
    </row>
    <row r="81" spans="4:41" ht="14.4">
      <c r="D81">
        <f t="shared" si="107"/>
        <v>2018</v>
      </c>
      <c r="E81" s="39">
        <f t="shared" si="108"/>
        <v>193.54494777526097</v>
      </c>
      <c r="F81" s="39">
        <f t="shared" si="106"/>
        <v>1444.8658357021186</v>
      </c>
      <c r="G81" s="39">
        <f t="shared" si="106"/>
        <v>266.87865474337684</v>
      </c>
      <c r="H81" s="39">
        <f t="shared" si="106"/>
        <v>887.57023078973111</v>
      </c>
      <c r="I81" s="39">
        <f t="shared" si="106"/>
        <v>764.86892377623406</v>
      </c>
      <c r="J81" s="39">
        <f t="shared" si="106"/>
        <v>1622.0965195005315</v>
      </c>
      <c r="K81" s="39">
        <f t="shared" si="106"/>
        <v>82.217475404914708</v>
      </c>
      <c r="L81" s="39">
        <f t="shared" si="106"/>
        <v>2172.949027367476</v>
      </c>
      <c r="M81" s="39">
        <f t="shared" si="106"/>
        <v>18213.423838771792</v>
      </c>
      <c r="N81" s="39">
        <f t="shared" si="106"/>
        <v>1049.7284227596035</v>
      </c>
      <c r="O81" s="39">
        <f t="shared" si="106"/>
        <v>480.39049094144565</v>
      </c>
      <c r="P81" s="39">
        <f t="shared" si="106"/>
        <v>1652.3974140572109</v>
      </c>
      <c r="Q81" s="39">
        <f t="shared" si="106"/>
        <v>7309.1465792639183</v>
      </c>
      <c r="R81" s="39">
        <f t="shared" si="106"/>
        <v>1090.5651782642933</v>
      </c>
      <c r="S81" s="39">
        <f t="shared" si="106"/>
        <v>9049.252825272808</v>
      </c>
      <c r="T81" s="39">
        <f t="shared" si="106"/>
        <v>497.00066831196062</v>
      </c>
      <c r="U81" s="39">
        <f t="shared" si="106"/>
        <v>1293.912138717506</v>
      </c>
      <c r="V81" s="39">
        <f t="shared" si="106"/>
        <v>133.39693518437662</v>
      </c>
      <c r="W81" s="39">
        <f t="shared" si="106"/>
        <v>66.095032627833561</v>
      </c>
      <c r="X81" s="39">
        <f t="shared" si="106"/>
        <v>16777.019753079545</v>
      </c>
      <c r="Y81" s="39">
        <f t="shared" si="106"/>
        <v>157.0979415903272</v>
      </c>
      <c r="Z81" s="39">
        <f t="shared" si="106"/>
        <v>714.01570722765564</v>
      </c>
      <c r="AA81" s="39">
        <f t="shared" si="106"/>
        <v>66.919585256082982</v>
      </c>
      <c r="AB81" s="39">
        <f t="shared" si="106"/>
        <v>567.00588331072413</v>
      </c>
      <c r="AC81" s="39">
        <f t="shared" si="106"/>
        <v>96.986423002883825</v>
      </c>
      <c r="AD81" s="39">
        <f t="shared" si="106"/>
        <v>158.34068126134355</v>
      </c>
      <c r="AE81" s="39">
        <f t="shared" si="106"/>
        <v>16.075917346767874</v>
      </c>
      <c r="AF81" s="39">
        <f t="shared" si="106"/>
        <v>1701.2342004917093</v>
      </c>
      <c r="AG81" s="39">
        <f t="shared" si="106"/>
        <v>1133.3646778411287</v>
      </c>
      <c r="AH81" s="39">
        <f t="shared" si="106"/>
        <v>6627.144171684793</v>
      </c>
      <c r="AI81" s="39">
        <f t="shared" si="106"/>
        <v>506.50820799418108</v>
      </c>
      <c r="AJ81" s="39">
        <f t="shared" si="106"/>
        <v>2018.3216108953561</v>
      </c>
      <c r="AK81" s="39">
        <f t="shared" si="106"/>
        <v>788.54646866289863</v>
      </c>
      <c r="AL81" s="39">
        <f t="shared" si="106"/>
        <v>2403.5820032580568</v>
      </c>
      <c r="AM81" s="39">
        <f t="shared" si="106"/>
        <v>454.08768152476227</v>
      </c>
      <c r="AN81" s="39">
        <f t="shared" si="106"/>
        <v>571.13972104370805</v>
      </c>
      <c r="AO81" s="39">
        <f t="shared" si="106"/>
        <v>3791.1502444595949</v>
      </c>
    </row>
    <row r="82" spans="4:41" ht="14.4">
      <c r="D82">
        <f t="shared" si="107"/>
        <v>2020</v>
      </c>
      <c r="E82" s="39">
        <f t="shared" si="108"/>
        <v>192.77154216395101</v>
      </c>
      <c r="F82" s="39">
        <f t="shared" si="106"/>
        <v>1439.092151822653</v>
      </c>
      <c r="G82" s="39">
        <f t="shared" si="106"/>
        <v>265.81220763902229</v>
      </c>
      <c r="H82" s="39">
        <f t="shared" si="106"/>
        <v>883.13792694972494</v>
      </c>
      <c r="I82" s="39">
        <f t="shared" si="106"/>
        <v>761.81250755682424</v>
      </c>
      <c r="J82" s="39">
        <f t="shared" si="106"/>
        <v>1615.6146218086074</v>
      </c>
      <c r="K82" s="39">
        <f t="shared" si="106"/>
        <v>81.888934373196676</v>
      </c>
      <c r="L82" s="39">
        <f t="shared" si="106"/>
        <v>2164.2659230541158</v>
      </c>
      <c r="M82" s="39">
        <f t="shared" si="106"/>
        <v>18140.64299711206</v>
      </c>
      <c r="N82" s="39">
        <f t="shared" si="106"/>
        <v>1045.5337079822561</v>
      </c>
      <c r="O82" s="39">
        <f t="shared" si="106"/>
        <v>478.47085053964361</v>
      </c>
      <c r="P82" s="39">
        <f t="shared" si="106"/>
        <v>1645.7944339906383</v>
      </c>
      <c r="Q82" s="39">
        <f t="shared" si="106"/>
        <v>7278.480396967424</v>
      </c>
      <c r="R82" s="39">
        <f t="shared" si="106"/>
        <v>1086.2072798119491</v>
      </c>
      <c r="S82" s="39">
        <f t="shared" si="106"/>
        <v>9013.0920109830186</v>
      </c>
      <c r="T82" s="39">
        <f t="shared" si="106"/>
        <v>495.01465364138602</v>
      </c>
      <c r="U82" s="39">
        <f t="shared" si="106"/>
        <v>1288.7416658111908</v>
      </c>
      <c r="V82" s="39">
        <f t="shared" si="106"/>
        <v>129.95115895162897</v>
      </c>
      <c r="W82" s="39">
        <f t="shared" si="106"/>
        <v>65.830916877452736</v>
      </c>
      <c r="X82" s="39">
        <f t="shared" si="106"/>
        <v>16709.978782146238</v>
      </c>
      <c r="Y82" s="39">
        <f t="shared" si="106"/>
        <v>156.47017821573226</v>
      </c>
      <c r="Z82" s="39">
        <f t="shared" si="106"/>
        <v>711.16250046157393</v>
      </c>
      <c r="AA82" s="39">
        <f t="shared" si="106"/>
        <v>66.652174593399678</v>
      </c>
      <c r="AB82" s="39">
        <f t="shared" si="106"/>
        <v>564.74012780101452</v>
      </c>
      <c r="AC82" s="39">
        <f t="shared" si="106"/>
        <v>96.598865256564295</v>
      </c>
      <c r="AD82" s="39">
        <f t="shared" si="106"/>
        <v>157.70795189902321</v>
      </c>
      <c r="AE82" s="39">
        <f t="shared" si="106"/>
        <v>16.011677981050187</v>
      </c>
      <c r="AF82" s="39">
        <f t="shared" si="106"/>
        <v>1694.4360686265445</v>
      </c>
      <c r="AG82" s="39">
        <f t="shared" si="106"/>
        <v>1128.8357525884755</v>
      </c>
      <c r="AH82" s="39">
        <f t="shared" si="106"/>
        <v>6600.6621035747403</v>
      </c>
      <c r="AI82" s="39">
        <f t="shared" si="106"/>
        <v>504.48420119503635</v>
      </c>
      <c r="AJ82" s="39">
        <f t="shared" si="106"/>
        <v>2010.2563977382183</v>
      </c>
      <c r="AK82" s="39">
        <f t="shared" si="106"/>
        <v>785.39543697412171</v>
      </c>
      <c r="AL82" s="39">
        <f t="shared" si="106"/>
        <v>2397.8168676083224</v>
      </c>
      <c r="AM82" s="39">
        <f t="shared" si="106"/>
        <v>452.27314714938933</v>
      </c>
      <c r="AN82" s="39">
        <f t="shared" si="106"/>
        <v>568.85744671841735</v>
      </c>
      <c r="AO82" s="39">
        <f t="shared" si="106"/>
        <v>3757.6350542381147</v>
      </c>
    </row>
    <row r="83" spans="4:41" ht="14.4">
      <c r="D83">
        <f t="shared" si="107"/>
        <v>2022</v>
      </c>
      <c r="E83" s="39">
        <f t="shared" si="108"/>
        <v>192.00122708146387</v>
      </c>
      <c r="F83" s="39">
        <f t="shared" si="106"/>
        <v>1433.3415395839697</v>
      </c>
      <c r="G83" s="39">
        <f t="shared" si="106"/>
        <v>264.75002205729675</v>
      </c>
      <c r="H83" s="39">
        <f t="shared" si="106"/>
        <v>878.72775692701987</v>
      </c>
      <c r="I83" s="39">
        <f t="shared" si="106"/>
        <v>758.76830477662713</v>
      </c>
      <c r="J83" s="39">
        <f t="shared" si="106"/>
        <v>1609.1586257798601</v>
      </c>
      <c r="K83" s="39">
        <f t="shared" si="106"/>
        <v>81.561706191441388</v>
      </c>
      <c r="L83" s="39">
        <f t="shared" si="106"/>
        <v>2155.6175164255915</v>
      </c>
      <c r="M83" s="39">
        <f t="shared" si="106"/>
        <v>18068.152987695601</v>
      </c>
      <c r="N83" s="39">
        <f t="shared" si="106"/>
        <v>1041.3557552851591</v>
      </c>
      <c r="O83" s="39">
        <f t="shared" si="106"/>
        <v>476.55888102088721</v>
      </c>
      <c r="P83" s="39">
        <f t="shared" si="106"/>
        <v>1639.2178394324117</v>
      </c>
      <c r="Q83" s="39">
        <f t="shared" si="106"/>
        <v>7247.9428773987111</v>
      </c>
      <c r="R83" s="39">
        <f t="shared" si="106"/>
        <v>1081.8667955218204</v>
      </c>
      <c r="S83" s="39">
        <f t="shared" si="106"/>
        <v>8977.0756953071304</v>
      </c>
      <c r="T83" s="39">
        <f t="shared" si="106"/>
        <v>493.03657508543506</v>
      </c>
      <c r="U83" s="39">
        <f t="shared" si="106"/>
        <v>1283.5918541146093</v>
      </c>
      <c r="V83" s="39">
        <f t="shared" si="106"/>
        <v>126.59439056474943</v>
      </c>
      <c r="W83" s="39">
        <f t="shared" si="106"/>
        <v>65.567856533610438</v>
      </c>
      <c r="X83" s="39">
        <f t="shared" si="106"/>
        <v>16643.205706932782</v>
      </c>
      <c r="Y83" s="39">
        <f t="shared" si="106"/>
        <v>155.8449233835822</v>
      </c>
      <c r="Z83" s="39">
        <f t="shared" si="106"/>
        <v>708.32069510972951</v>
      </c>
      <c r="AA83" s="39">
        <f t="shared" si="106"/>
        <v>66.385832503724458</v>
      </c>
      <c r="AB83" s="39">
        <f t="shared" si="106"/>
        <v>562.48342625032171</v>
      </c>
      <c r="AC83" s="39">
        <f t="shared" si="106"/>
        <v>96.212856190999062</v>
      </c>
      <c r="AD83" s="39">
        <f t="shared" si="106"/>
        <v>157.07775092323473</v>
      </c>
      <c r="AE83" s="39">
        <f t="shared" si="106"/>
        <v>15.947695315837912</v>
      </c>
      <c r="AF83" s="39">
        <f t="shared" si="106"/>
        <v>1687.6651020963129</v>
      </c>
      <c r="AG83" s="39">
        <f t="shared" si="106"/>
        <v>1124.3249249211319</v>
      </c>
      <c r="AH83" s="39">
        <f t="shared" si="106"/>
        <v>6574.2858578088553</v>
      </c>
      <c r="AI83" s="39">
        <f t="shared" si="106"/>
        <v>502.46828232706099</v>
      </c>
      <c r="AJ83" s="39">
        <f t="shared" si="106"/>
        <v>2002.2234131728565</v>
      </c>
      <c r="AK83" s="39">
        <f t="shared" si="106"/>
        <v>782.25699680797311</v>
      </c>
      <c r="AL83" s="39">
        <f t="shared" si="106"/>
        <v>2392.0655599823517</v>
      </c>
      <c r="AM83" s="39">
        <f t="shared" si="106"/>
        <v>450.46586365338038</v>
      </c>
      <c r="AN83" s="39">
        <f t="shared" si="106"/>
        <v>566.58429236133054</v>
      </c>
      <c r="AO83" s="39">
        <f t="shared" si="106"/>
        <v>3724.4161508697402</v>
      </c>
    </row>
    <row r="84" spans="4:41" ht="14.4">
      <c r="D84">
        <f t="shared" si="107"/>
        <v>2024</v>
      </c>
      <c r="E84" s="39">
        <f t="shared" si="108"/>
        <v>191.23399017804633</v>
      </c>
      <c r="F84" s="39">
        <f t="shared" si="106"/>
        <v>1427.6139067917923</v>
      </c>
      <c r="G84" s="39">
        <f t="shared" si="106"/>
        <v>263.69208096915577</v>
      </c>
      <c r="H84" s="39">
        <f t="shared" si="106"/>
        <v>874.33961019086564</v>
      </c>
      <c r="I84" s="39">
        <f t="shared" si="106"/>
        <v>755.73626663073969</v>
      </c>
      <c r="J84" s="39">
        <f t="shared" si="106"/>
        <v>1602.7284279112439</v>
      </c>
      <c r="K84" s="39">
        <f t="shared" si="106"/>
        <v>81.235785613500383</v>
      </c>
      <c r="L84" s="39">
        <f t="shared" si="106"/>
        <v>2147.0036688299547</v>
      </c>
      <c r="M84" s="39">
        <f t="shared" si="106"/>
        <v>17995.952648356768</v>
      </c>
      <c r="N84" s="39">
        <f t="shared" si="106"/>
        <v>1037.1944976870398</v>
      </c>
      <c r="O84" s="39">
        <f t="shared" si="106"/>
        <v>474.65455173232777</v>
      </c>
      <c r="P84" s="39">
        <f t="shared" si="106"/>
        <v>1632.6675249460397</v>
      </c>
      <c r="Q84" s="39">
        <f t="shared" si="106"/>
        <v>7217.5334807417257</v>
      </c>
      <c r="R84" s="39">
        <f t="shared" si="106"/>
        <v>1077.5436558069152</v>
      </c>
      <c r="S84" s="39">
        <f t="shared" si="106"/>
        <v>8941.2033008286835</v>
      </c>
      <c r="T84" s="39">
        <f t="shared" si="106"/>
        <v>491.06640093139367</v>
      </c>
      <c r="U84" s="39">
        <f t="shared" si="106"/>
        <v>1278.4626210655674</v>
      </c>
      <c r="V84" s="39">
        <f t="shared" si="106"/>
        <v>123.32433086207138</v>
      </c>
      <c r="W84" s="39">
        <f t="shared" si="106"/>
        <v>65.305847378902129</v>
      </c>
      <c r="X84" s="39">
        <f t="shared" si="106"/>
        <v>16576.69945692788</v>
      </c>
      <c r="Y84" s="39">
        <f t="shared" si="106"/>
        <v>155.2221670697414</v>
      </c>
      <c r="Z84" s="39">
        <f t="shared" si="106"/>
        <v>705.49024561207102</v>
      </c>
      <c r="AA84" s="39">
        <f t="shared" si="106"/>
        <v>66.120554717039582</v>
      </c>
      <c r="AB84" s="39">
        <f t="shared" si="106"/>
        <v>560.23574247902548</v>
      </c>
      <c r="AC84" s="39">
        <f t="shared" si="106"/>
        <v>95.828389617659823</v>
      </c>
      <c r="AD84" s="39">
        <f t="shared" si="106"/>
        <v>156.4500682305455</v>
      </c>
      <c r="AE84" s="39">
        <f t="shared" si="106"/>
        <v>15.883968325355823</v>
      </c>
      <c r="AF84" s="39">
        <f t="shared" si="106"/>
        <v>1680.921192348336</v>
      </c>
      <c r="AG84" s="39">
        <f t="shared" si="106"/>
        <v>1119.8321225211471</v>
      </c>
      <c r="AH84" s="39">
        <f t="shared" si="106"/>
        <v>6548.0150115210508</v>
      </c>
      <c r="AI84" s="39">
        <f t="shared" si="106"/>
        <v>500.46041907088204</v>
      </c>
      <c r="AJ84" s="39">
        <f t="shared" si="106"/>
        <v>1994.2225284138178</v>
      </c>
      <c r="AK84" s="39">
        <f t="shared" si="106"/>
        <v>779.13109784872847</v>
      </c>
      <c r="AL84" s="39">
        <f t="shared" si="106"/>
        <v>2386.3280472128008</v>
      </c>
      <c r="AM84" s="39">
        <f t="shared" si="106"/>
        <v>448.66580206222147</v>
      </c>
      <c r="AN84" s="39">
        <f t="shared" si="106"/>
        <v>564.32022152905472</v>
      </c>
      <c r="AO84" s="39">
        <f t="shared" si="106"/>
        <v>3691.490915067553</v>
      </c>
    </row>
    <row r="85" spans="4:41" ht="14.4">
      <c r="D85">
        <f t="shared" si="107"/>
        <v>2026</v>
      </c>
      <c r="E85" s="39">
        <f t="shared" si="108"/>
        <v>190.46981915329485</v>
      </c>
      <c r="F85" s="39">
        <f t="shared" si="106"/>
        <v>1421.9091616202522</v>
      </c>
      <c r="G85" s="39">
        <f t="shared" si="106"/>
        <v>262.63836741360302</v>
      </c>
      <c r="H85" s="39">
        <f t="shared" si="106"/>
        <v>869.97337676247514</v>
      </c>
      <c r="I85" s="39">
        <f t="shared" si="106"/>
        <v>752.7163445092832</v>
      </c>
      <c r="J85" s="39">
        <f t="shared" si="106"/>
        <v>1596.3239251133107</v>
      </c>
      <c r="K85" s="39">
        <f t="shared" si="106"/>
        <v>80.911167414188839</v>
      </c>
      <c r="L85" s="39">
        <f t="shared" si="106"/>
        <v>2138.4242421693102</v>
      </c>
      <c r="M85" s="39">
        <f t="shared" si="106"/>
        <v>17924.040821573933</v>
      </c>
      <c r="N85" s="39">
        <f t="shared" si="106"/>
        <v>1033.0498684742824</v>
      </c>
      <c r="O85" s="39">
        <f t="shared" si="106"/>
        <v>472.75783214360541</v>
      </c>
      <c r="P85" s="39">
        <f t="shared" si="106"/>
        <v>1626.1433855163555</v>
      </c>
      <c r="Q85" s="39">
        <f t="shared" si="106"/>
        <v>7187.2516694452606</v>
      </c>
      <c r="R85" s="39">
        <f t="shared" si="106"/>
        <v>1073.2377913583109</v>
      </c>
      <c r="S85" s="39">
        <f t="shared" si="106"/>
        <v>8905.4742524385729</v>
      </c>
      <c r="T85" s="39">
        <f t="shared" si="106"/>
        <v>489.10409959327183</v>
      </c>
      <c r="U85" s="39">
        <f t="shared" si="106"/>
        <v>1273.3538844317893</v>
      </c>
      <c r="V85" s="39">
        <f t="shared" si="106"/>
        <v>120.13874007157321</v>
      </c>
      <c r="W85" s="39">
        <f t="shared" si="106"/>
        <v>65.044885212776038</v>
      </c>
      <c r="X85" s="39">
        <f t="shared" si="106"/>
        <v>16510.458965897997</v>
      </c>
      <c r="Y85" s="39">
        <f t="shared" si="106"/>
        <v>154.60189929013072</v>
      </c>
      <c r="Z85" s="39">
        <f t="shared" si="106"/>
        <v>702.67110659060518</v>
      </c>
      <c r="AA85" s="39">
        <f t="shared" si="106"/>
        <v>65.856336980390296</v>
      </c>
      <c r="AB85" s="39">
        <f t="shared" si="106"/>
        <v>557.99704045207932</v>
      </c>
      <c r="AC85" s="39">
        <f t="shared" si="106"/>
        <v>95.445459372747649</v>
      </c>
      <c r="AD85" s="39">
        <f t="shared" si="106"/>
        <v>155.82489375789623</v>
      </c>
      <c r="AE85" s="39">
        <f t="shared" si="106"/>
        <v>15.820495987927702</v>
      </c>
      <c r="AF85" s="39">
        <f t="shared" si="106"/>
        <v>1674.204231263712</v>
      </c>
      <c r="AG85" s="39">
        <f t="shared" si="106"/>
        <v>1115.3572733595527</v>
      </c>
      <c r="AH85" s="39">
        <f t="shared" si="106"/>
        <v>6521.8491435350124</v>
      </c>
      <c r="AI85" s="39">
        <f t="shared" si="106"/>
        <v>498.46057923627478</v>
      </c>
      <c r="AJ85" s="39">
        <f t="shared" si="106"/>
        <v>1986.2536151902762</v>
      </c>
      <c r="AK85" s="39">
        <f t="shared" si="106"/>
        <v>776.01768998172497</v>
      </c>
      <c r="AL85" s="39">
        <f t="shared" si="106"/>
        <v>2380.6042962118781</v>
      </c>
      <c r="AM85" s="39">
        <f t="shared" si="106"/>
        <v>446.87293351718085</v>
      </c>
      <c r="AN85" s="39">
        <f t="shared" si="106"/>
        <v>562.0651979238246</v>
      </c>
      <c r="AO85" s="39">
        <f t="shared" si="106"/>
        <v>3658.856750700113</v>
      </c>
    </row>
    <row r="86" spans="4:41" ht="14.4">
      <c r="D86">
        <f t="shared" si="107"/>
        <v>2028</v>
      </c>
      <c r="E86" s="39">
        <f t="shared" si="108"/>
        <v>189.70870175595829</v>
      </c>
      <c r="F86" s="39">
        <f t="shared" si="106"/>
        <v>1416.2272126104176</v>
      </c>
      <c r="G86" s="39">
        <f t="shared" si="106"/>
        <v>261.58886449741829</v>
      </c>
      <c r="H86" s="39">
        <f t="shared" si="106"/>
        <v>865.62894721226758</v>
      </c>
      <c r="I86" s="39">
        <f t="shared" si="109" ref="I86:I105">I85*(1-I$11)^2</f>
        <v>749.70848999662405</v>
      </c>
      <c r="J86" s="39">
        <f t="shared" si="110" ref="J86:J105">J85*(1-J$11)^2</f>
        <v>1589.9450147085579</v>
      </c>
      <c r="K86" s="39">
        <f t="shared" si="111" ref="K86:K105">K85*(1-K$11)^2</f>
        <v>80.587846389201744</v>
      </c>
      <c r="L86" s="39">
        <f t="shared" si="112" ref="L86:L105">L85*(1-L$11)^2</f>
        <v>2129.8790988976016</v>
      </c>
      <c r="M86" s="39">
        <f t="shared" si="113" ref="M86:M105">M85*(1-M$11)^2</f>
        <v>17852.416354450925</v>
      </c>
      <c r="N86" s="39">
        <f t="shared" si="114" ref="N86:N105">N85*(1-N$11)^2</f>
        <v>1028.9218011998591</v>
      </c>
      <c r="O86" s="39">
        <f t="shared" si="115" ref="O86:O105">O85*(1-O$11)^2</f>
        <v>470.86869184635958</v>
      </c>
      <c r="P86" s="39">
        <f t="shared" si="116" ref="P86:P105">P85*(1-P$11)^2</f>
        <v>1619.6453165478322</v>
      </c>
      <c r="Q86" s="39">
        <f t="shared" si="117" ref="Q86:Q105">Q85*(1-Q$11)^2</f>
        <v>7157.0969082134525</v>
      </c>
      <c r="R86" s="39">
        <f t="shared" si="118" ref="R86:R105">R85*(1-R$11)^2</f>
        <v>1068.9491331440431</v>
      </c>
      <c r="S86" s="39">
        <f t="shared" si="119" ref="S86:S105">S85*(1-S$11)^2</f>
        <v>8869.8879773258286</v>
      </c>
      <c r="T86" s="39">
        <f t="shared" si="120" ref="T86:T105">T85*(1-T$11)^2</f>
        <v>487.14963961129712</v>
      </c>
      <c r="U86" s="39">
        <f t="shared" si="121" ref="U86:U105">U85*(1-U$11)^2</f>
        <v>1268.2655623095998</v>
      </c>
      <c r="V86" s="39">
        <f t="shared" si="122" ref="V86:V105">V85*(1-V$11)^2</f>
        <v>117.0354362767844</v>
      </c>
      <c r="W86" s="39">
        <f t="shared" si="123" ref="W86:W105">W85*(1-W$11)^2</f>
        <v>64.784965851465785</v>
      </c>
      <c r="X86" s="39">
        <f t="shared" si="124" ref="X86:X105">X85*(1-X$11)^2</f>
        <v>16444.48317187027</v>
      </c>
      <c r="Y86" s="39">
        <f t="shared" si="125" ref="Y86:Y105">Y85*(1-Y$11)^2</f>
        <v>153.98411010056736</v>
      </c>
      <c r="Z86" s="39">
        <f t="shared" si="126" ref="Z86:Z105">Z85*(1-Z$11)^2</f>
        <v>699.8632328486691</v>
      </c>
      <c r="AA86" s="39">
        <f t="shared" si="127" ref="AA86:AA105">AA85*(1-AA$11)^2</f>
        <v>65.593175057816651</v>
      </c>
      <c r="AB86" s="39">
        <f t="shared" si="128" ref="AB86:AB105">AB85*(1-AB$11)^2</f>
        <v>555.76728427843284</v>
      </c>
      <c r="AC86" s="39">
        <f t="shared" si="129" ref="AC86:AC105">AC85*(1-AC$11)^2</f>
        <v>95.064059317094149</v>
      </c>
      <c r="AD86" s="39">
        <f t="shared" si="130" ref="AD86:AD105">AD85*(1-AD$11)^2</f>
        <v>155.20221748243969</v>
      </c>
      <c r="AE86" s="39">
        <f t="shared" si="131" ref="AE86:AE105">AE85*(1-AE$11)^2</f>
        <v>15.757277285959942</v>
      </c>
      <c r="AF86" s="39">
        <f t="shared" si="132" ref="AF86:AF105">AF85*(1-AF$11)^2</f>
        <v>1667.5141111555822</v>
      </c>
      <c r="AG86" s="39">
        <f t="shared" si="133" ref="AG86:AG105">AG85*(1-AG$11)^2</f>
        <v>1110.9003056952079</v>
      </c>
      <c r="AH86" s="39">
        <f t="shared" si="134" ref="AH86:AH105">AH85*(1-AH$11)^2</f>
        <v>6495.7878343574466</v>
      </c>
      <c r="AI86" s="39">
        <f t="shared" si="135" ref="AI86:AI105">AI85*(1-AI$11)^2</f>
        <v>496.46873076164661</v>
      </c>
      <c r="AJ86" s="39">
        <f t="shared" si="136" ref="AJ86:AJ105">AJ85*(1-AJ$11)^2</f>
        <v>1978.3165457439759</v>
      </c>
      <c r="AK86" s="39">
        <f t="shared" si="137" ref="AK86:AK105">AK85*(1-AK$11)^2</f>
        <v>772.916723292558</v>
      </c>
      <c r="AL86" s="39">
        <f t="shared" si="138" ref="AL86:AL105">AL85*(1-AL$11)^2</f>
        <v>2374.8942739711565</v>
      </c>
      <c r="AM86" s="39">
        <f t="shared" si="139" ref="AM86:AM105">AM85*(1-AM$11)^2</f>
        <v>445.08722927484621</v>
      </c>
      <c r="AN86" s="39">
        <f t="shared" si="140" ref="AN86:AN105">AN85*(1-AN$11)^2</f>
        <v>559.81918539292099</v>
      </c>
      <c r="AO86" s="39">
        <f t="shared" si="141" ref="AO86:AO105">AO85*(1-AO$11)^2</f>
        <v>3626.5110845867562</v>
      </c>
    </row>
    <row r="87" spans="4:41" ht="14.4">
      <c r="D87">
        <f t="shared" si="107"/>
        <v>2030</v>
      </c>
      <c r="E87" s="39">
        <f t="shared" si="108"/>
        <v>188.95062578374149</v>
      </c>
      <c r="F87" s="39">
        <f t="shared" si="142" ref="F87:F105">F86*(1-F$11)^2</f>
        <v>1410.5679686688263</v>
      </c>
      <c r="G87" s="39">
        <f t="shared" si="143" ref="G87:G105">G86*(1-G$11)^2</f>
        <v>260.5435553948866</v>
      </c>
      <c r="H87" s="39">
        <f t="shared" si="144" ref="H87:H105">H86*(1-H$11)^2</f>
        <v>861.30621265712637</v>
      </c>
      <c r="I87" s="39">
        <f t="shared" si="109"/>
        <v>746.71265487059759</v>
      </c>
      <c r="J87" s="39">
        <f t="shared" si="110"/>
        <v>1583.5915944297824</v>
      </c>
      <c r="K87" s="39">
        <f t="shared" si="111"/>
        <v>80.265817355030492</v>
      </c>
      <c r="L87" s="39">
        <f t="shared" si="112"/>
        <v>2121.3681020184067</v>
      </c>
      <c r="M87" s="39">
        <f t="shared" si="113"/>
        <v>17781.078098698537</v>
      </c>
      <c r="N87" s="39">
        <f t="shared" si="114"/>
        <v>1024.8102296822644</v>
      </c>
      <c r="O87" s="39">
        <f t="shared" si="115"/>
        <v>468.98710055374153</v>
      </c>
      <c r="P87" s="39">
        <f t="shared" si="116"/>
        <v>1613.173213862907</v>
      </c>
      <c r="Q87" s="39">
        <f t="shared" si="117"/>
        <v>7127.0686639963214</v>
      </c>
      <c r="R87" s="39">
        <f t="shared" si="118"/>
        <v>1064.6776124079995</v>
      </c>
      <c r="S87" s="39">
        <f t="shared" si="119"/>
        <v>8834.4439049684352</v>
      </c>
      <c r="T87" s="39">
        <f t="shared" si="120"/>
        <v>485.20298965141035</v>
      </c>
      <c r="U87" s="39">
        <f t="shared" si="121"/>
        <v>1263.1975731226107</v>
      </c>
      <c r="V87" s="39">
        <f t="shared" si="122"/>
        <v>114.01229392231878</v>
      </c>
      <c r="W87" s="39">
        <f t="shared" si="123"/>
        <v>64.526085127923324</v>
      </c>
      <c r="X87" s="39">
        <f t="shared" si="124"/>
        <v>16378.771017115476</v>
      </c>
      <c r="Y87" s="39">
        <f t="shared" si="125"/>
        <v>153.3687895966055</v>
      </c>
      <c r="Z87" s="39">
        <f t="shared" si="126"/>
        <v>697.06657937020577</v>
      </c>
      <c r="AA87" s="39">
        <f t="shared" si="127"/>
        <v>65.331064730285618</v>
      </c>
      <c r="AB87" s="39">
        <f t="shared" si="128"/>
        <v>553.54643821045624</v>
      </c>
      <c r="AC87" s="39">
        <f t="shared" si="129"/>
        <v>94.684183336063043</v>
      </c>
      <c r="AD87" s="39">
        <f t="shared" si="130"/>
        <v>154.58202942137987</v>
      </c>
      <c r="AE87" s="39">
        <f t="shared" si="131"/>
        <v>15.694311205925246</v>
      </c>
      <c r="AF87" s="39">
        <f t="shared" si="132"/>
        <v>1660.8507247674045</v>
      </c>
      <c r="AG87" s="39">
        <f t="shared" si="133"/>
        <v>1106.4611480736498</v>
      </c>
      <c r="AH87" s="39">
        <f t="shared" si="134"/>
        <v>6469.8306661713541</v>
      </c>
      <c r="AI87" s="39">
        <f t="shared" si="135"/>
        <v>494.48484171352305</v>
      </c>
      <c r="AJ87" s="39">
        <f t="shared" si="136"/>
        <v>1970.411192827183</v>
      </c>
      <c r="AK87" s="39">
        <f t="shared" si="137"/>
        <v>769.82814806628096</v>
      </c>
      <c r="AL87" s="39">
        <f t="shared" si="138"/>
        <v>2369.1979475613803</v>
      </c>
      <c r="AM87" s="39">
        <f t="shared" si="139"/>
        <v>443.30866070666394</v>
      </c>
      <c r="AN87" s="39">
        <f t="shared" si="140"/>
        <v>557.58214792809088</v>
      </c>
      <c r="AO87" s="39">
        <f t="shared" si="141"/>
        <v>3594.4513662947011</v>
      </c>
    </row>
    <row r="88" spans="4:41" ht="14.4">
      <c r="D88">
        <f t="shared" si="107"/>
        <v>2032</v>
      </c>
      <c r="E88" s="39">
        <f t="shared" si="108"/>
        <v>188.19557908310966</v>
      </c>
      <c r="F88" s="39">
        <f t="shared" si="142"/>
        <v>1404.9313390660257</v>
      </c>
      <c r="G88" s="39">
        <f t="shared" si="143"/>
        <v>259.50242334752863</v>
      </c>
      <c r="H88" s="39">
        <f t="shared" si="144"/>
        <v>857.00506475766997</v>
      </c>
      <c r="I88" s="39">
        <f t="shared" si="109"/>
        <v>743.72879110173471</v>
      </c>
      <c r="J88" s="39">
        <f t="shared" si="110"/>
        <v>1577.2635624184409</v>
      </c>
      <c r="K88" s="39">
        <f t="shared" si="111"/>
        <v>79.945075148879795</v>
      </c>
      <c r="L88" s="39">
        <f t="shared" si="112"/>
        <v>2112.8911150827412</v>
      </c>
      <c r="M88" s="39">
        <f t="shared" si="113"/>
        <v>17710.024910616139</v>
      </c>
      <c r="N88" s="39">
        <f t="shared" si="114"/>
        <v>1020.7150880044541</v>
      </c>
      <c r="O88" s="39">
        <f t="shared" si="115"/>
        <v>467.11302809992878</v>
      </c>
      <c r="P88" s="39">
        <f t="shared" si="116"/>
        <v>1606.7269737003107</v>
      </c>
      <c r="Q88" s="39">
        <f t="shared" si="117"/>
        <v>7097.1664059803452</v>
      </c>
      <c r="R88" s="39">
        <f t="shared" si="118"/>
        <v>1060.4231606688172</v>
      </c>
      <c r="S88" s="39">
        <f t="shared" si="119"/>
        <v>8799.1414671241819</v>
      </c>
      <c r="T88" s="39">
        <f t="shared" si="120"/>
        <v>483.2641185047633</v>
      </c>
      <c r="U88" s="39">
        <f t="shared" si="121"/>
        <v>1258.1498356204127</v>
      </c>
      <c r="V88" s="39">
        <f t="shared" si="122"/>
        <v>111.06724235801136</v>
      </c>
      <c r="W88" s="39">
        <f t="shared" si="123"/>
        <v>64.268238891752148</v>
      </c>
      <c r="X88" s="39">
        <f t="shared" si="124"/>
        <v>16313.321448131082</v>
      </c>
      <c r="Y88" s="39">
        <f t="shared" si="125"/>
        <v>152.75592791337746</v>
      </c>
      <c r="Z88" s="39">
        <f t="shared" si="126"/>
        <v>694.28110131904248</v>
      </c>
      <c r="AA88" s="39">
        <f t="shared" si="127"/>
        <v>65.070001795623398</v>
      </c>
      <c r="AB88" s="39">
        <f t="shared" si="128"/>
        <v>551.33446664336725</v>
      </c>
      <c r="AC88" s="39">
        <f t="shared" si="129"/>
        <v>94.305825339452142</v>
      </c>
      <c r="AD88" s="39">
        <f t="shared" si="130"/>
        <v>153.96431963181203</v>
      </c>
      <c r="AE88" s="39">
        <f t="shared" si="131"/>
        <v>15.631596738346369</v>
      </c>
      <c r="AF88" s="39">
        <f t="shared" si="132"/>
        <v>1654.213965271234</v>
      </c>
      <c r="AG88" s="39">
        <f t="shared" si="133"/>
        <v>1102.0397293259475</v>
      </c>
      <c r="AH88" s="39">
        <f t="shared" si="134"/>
        <v>6443.9772228293332</v>
      </c>
      <c r="AI88" s="39">
        <f t="shared" si="135"/>
        <v>492.50888028603583</v>
      </c>
      <c r="AJ88" s="39">
        <f t="shared" si="136"/>
        <v>1962.5374297006456</v>
      </c>
      <c r="AK88" s="39">
        <f t="shared" si="137"/>
        <v>766.75191478660815</v>
      </c>
      <c r="AL88" s="39">
        <f t="shared" si="138"/>
        <v>2363.5152841322774</v>
      </c>
      <c r="AM88" s="39">
        <f t="shared" si="139"/>
        <v>441.53719929848012</v>
      </c>
      <c r="AN88" s="39">
        <f t="shared" si="140"/>
        <v>555.35404966497026</v>
      </c>
      <c r="AO88" s="39">
        <f t="shared" si="141"/>
        <v>3562.6750679379479</v>
      </c>
    </row>
    <row r="89" spans="4:41" ht="14.4">
      <c r="D89">
        <f t="shared" si="107"/>
        <v>2034</v>
      </c>
      <c r="E89" s="39">
        <f t="shared" si="108"/>
        <v>187.44354954909355</v>
      </c>
      <c r="F89" s="39">
        <f t="shared" si="142"/>
        <v>1399.3172334351177</v>
      </c>
      <c r="G89" s="39">
        <f t="shared" si="143"/>
        <v>258.46545166383191</v>
      </c>
      <c r="H89" s="39">
        <f t="shared" si="144"/>
        <v>852.72539571553648</v>
      </c>
      <c r="I89" s="39">
        <f t="shared" si="109"/>
        <v>740.75685085249222</v>
      </c>
      <c r="J89" s="39">
        <f t="shared" si="110"/>
        <v>1570.9608172230169</v>
      </c>
      <c r="K89" s="39">
        <f t="shared" si="111"/>
        <v>79.62561462858487</v>
      </c>
      <c r="L89" s="39">
        <f t="shared" si="112"/>
        <v>2104.4480021868703</v>
      </c>
      <c r="M89" s="39">
        <f t="shared" si="113"/>
        <v>17639.255651073316</v>
      </c>
      <c r="N89" s="39">
        <f t="shared" si="114"/>
        <v>1016.6363105127882</v>
      </c>
      <c r="O89" s="39">
        <f t="shared" si="115"/>
        <v>465.24644443964149</v>
      </c>
      <c r="P89" s="39">
        <f t="shared" si="116"/>
        <v>1600.3064927134044</v>
      </c>
      <c r="Q89" s="39">
        <f t="shared" si="117"/>
        <v>7067.3896055790783</v>
      </c>
      <c r="R89" s="39">
        <f t="shared" si="118"/>
        <v>1056.1857097187847</v>
      </c>
      <c r="S89" s="39">
        <f t="shared" si="119"/>
        <v>8763.9800978215535</v>
      </c>
      <c r="T89" s="39">
        <f t="shared" si="120"/>
        <v>481.33299508721825</v>
      </c>
      <c r="U89" s="39">
        <f t="shared" si="121"/>
        <v>1253.1222688772734</v>
      </c>
      <c r="V89" s="39">
        <f t="shared" si="122"/>
        <v>108.19826442066156</v>
      </c>
      <c r="W89" s="39">
        <f t="shared" si="123"/>
        <v>64.011423009140699</v>
      </c>
      <c r="X89" s="39">
        <f t="shared" si="124"/>
        <v>16248.13341562435</v>
      </c>
      <c r="Y89" s="39">
        <f t="shared" si="125"/>
        <v>152.14551522543562</v>
      </c>
      <c r="Z89" s="39">
        <f t="shared" si="126"/>
        <v>691.50675403817161</v>
      </c>
      <c r="AA89" s="39">
        <f t="shared" si="127"/>
        <v>64.809982068448093</v>
      </c>
      <c r="AB89" s="39">
        <f t="shared" si="128"/>
        <v>549.13133411466038</v>
      </c>
      <c r="AC89" s="39">
        <f t="shared" si="129"/>
        <v>93.928979261395696</v>
      </c>
      <c r="AD89" s="39">
        <f t="shared" si="130"/>
        <v>153.34907821056331</v>
      </c>
      <c r="AE89" s="39">
        <f t="shared" si="131"/>
        <v>15.569132877779937</v>
      </c>
      <c r="AF89" s="39">
        <f t="shared" si="132"/>
        <v>1647.6037262660102</v>
      </c>
      <c r="AG89" s="39">
        <f t="shared" si="133"/>
        <v>1097.6359785675611</v>
      </c>
      <c r="AH89" s="39">
        <f t="shared" si="134"/>
        <v>6418.2270898469069</v>
      </c>
      <c r="AI89" s="39">
        <f t="shared" si="135"/>
        <v>490.54081480041282</v>
      </c>
      <c r="AJ89" s="39">
        <f t="shared" si="136"/>
        <v>1954.6951301315619</v>
      </c>
      <c r="AK89" s="39">
        <f t="shared" si="137"/>
        <v>763.68797413512084</v>
      </c>
      <c r="AL89" s="39">
        <f t="shared" si="138"/>
        <v>2357.8462509123692</v>
      </c>
      <c r="AM89" s="39">
        <f t="shared" si="139"/>
        <v>439.77281665008337</v>
      </c>
      <c r="AN89" s="39">
        <f t="shared" si="140"/>
        <v>553.13485488250899</v>
      </c>
      <c r="AO89" s="39">
        <f t="shared" si="141"/>
        <v>3531.1796839779581</v>
      </c>
    </row>
    <row r="90" spans="4:41" ht="14.4">
      <c r="D90">
        <f t="shared" si="107"/>
        <v>2036</v>
      </c>
      <c r="E90" s="39">
        <f t="shared" si="108"/>
        <v>186.69452512509537</v>
      </c>
      <c r="F90" s="39">
        <f t="shared" si="142"/>
        <v>1393.7255617703111</v>
      </c>
      <c r="G90" s="39">
        <f t="shared" si="143"/>
        <v>257.43262371898322</v>
      </c>
      <c r="H90" s="39">
        <f t="shared" si="144"/>
        <v>848.46709827068207</v>
      </c>
      <c r="I90" s="39">
        <f t="shared" si="109"/>
        <v>737.79678647648564</v>
      </c>
      <c r="J90" s="39">
        <f t="shared" si="110"/>
        <v>1564.6832577973937</v>
      </c>
      <c r="K90" s="39">
        <f t="shared" si="111"/>
        <v>79.307430672529051</v>
      </c>
      <c r="L90" s="39">
        <f t="shared" si="112"/>
        <v>2096.0386279701315</v>
      </c>
      <c r="M90" s="39">
        <f t="shared" si="113"/>
        <v>17568.769185491627</v>
      </c>
      <c r="N90" s="39">
        <f t="shared" si="114"/>
        <v>1012.5738318159791</v>
      </c>
      <c r="O90" s="39">
        <f t="shared" si="115"/>
        <v>463.38731964766066</v>
      </c>
      <c r="P90" s="39">
        <f t="shared" si="116"/>
        <v>1593.9116679685217</v>
      </c>
      <c r="Q90" s="39">
        <f t="shared" si="117"/>
        <v>7037.7377364238064</v>
      </c>
      <c r="R90" s="39">
        <f t="shared" si="118"/>
        <v>1051.9651916227483</v>
      </c>
      <c r="S90" s="39">
        <f t="shared" si="119"/>
        <v>8728.9592333506589</v>
      </c>
      <c r="T90" s="39">
        <f t="shared" si="120"/>
        <v>479.40958843884971</v>
      </c>
      <c r="U90" s="39">
        <f t="shared" si="121"/>
        <v>1248.1147922908399</v>
      </c>
      <c r="V90" s="39">
        <f t="shared" si="122"/>
        <v>105.40339505241144</v>
      </c>
      <c r="W90" s="39">
        <f t="shared" si="123"/>
        <v>63.755633362796175</v>
      </c>
      <c r="X90" s="39">
        <f t="shared" si="124"/>
        <v>16183.205874495516</v>
      </c>
      <c r="Y90" s="39">
        <f t="shared" si="125"/>
        <v>151.53754174659477</v>
      </c>
      <c r="Z90" s="39">
        <f t="shared" si="126"/>
        <v>688.74349304903512</v>
      </c>
      <c r="AA90" s="39">
        <f t="shared" si="127"/>
        <v>64.551001380102576</v>
      </c>
      <c r="AB90" s="39">
        <f t="shared" si="128"/>
        <v>546.93700530353817</v>
      </c>
      <c r="AC90" s="39">
        <f t="shared" si="129"/>
        <v>93.553639060267159</v>
      </c>
      <c r="AD90" s="39">
        <f t="shared" si="130"/>
        <v>152.73629529403391</v>
      </c>
      <c r="AE90" s="39">
        <f t="shared" si="131"/>
        <v>15.506918622800329</v>
      </c>
      <c r="AF90" s="39">
        <f t="shared" si="132"/>
        <v>1641.0199017758512</v>
      </c>
      <c r="AG90" s="39">
        <f t="shared" si="133"/>
        <v>1093.2498251972052</v>
      </c>
      <c r="AH90" s="39">
        <f t="shared" si="134"/>
        <v>6392.579854395879</v>
      </c>
      <c r="AI90" s="39">
        <f t="shared" si="135"/>
        <v>488.58061370447035</v>
      </c>
      <c r="AJ90" s="39">
        <f t="shared" si="136"/>
        <v>1946.8841683915562</v>
      </c>
      <c r="AK90" s="39">
        <f t="shared" si="137"/>
        <v>760.63627699047686</v>
      </c>
      <c r="AL90" s="39">
        <f t="shared" si="138"/>
        <v>2352.1908152087808</v>
      </c>
      <c r="AM90" s="39">
        <f t="shared" si="139"/>
        <v>438.01548447474966</v>
      </c>
      <c r="AN90" s="39">
        <f t="shared" si="140"/>
        <v>550.92452800239846</v>
      </c>
      <c r="AO90" s="39">
        <f t="shared" si="141"/>
        <v>3499.962731026093</v>
      </c>
    </row>
    <row r="91" spans="4:41" ht="14.4">
      <c r="D91">
        <f t="shared" si="107"/>
        <v>2038</v>
      </c>
      <c r="E91" s="39">
        <f t="shared" si="108"/>
        <v>185.94849380269548</v>
      </c>
      <c r="F91" s="39">
        <f t="shared" si="142"/>
        <v>1388.1562344254769</v>
      </c>
      <c r="G91" s="39">
        <f t="shared" si="143"/>
        <v>256.40392295460214</v>
      </c>
      <c r="H91" s="39">
        <f t="shared" si="144"/>
        <v>844.2300656986929</v>
      </c>
      <c r="I91" s="39">
        <f t="shared" si="109"/>
        <v>734.84855051772558</v>
      </c>
      <c r="J91" s="39">
        <f t="shared" si="110"/>
        <v>1558.4307834992353</v>
      </c>
      <c r="K91" s="39">
        <f t="shared" si="111"/>
        <v>78.990518179561619</v>
      </c>
      <c r="L91" s="39">
        <f t="shared" si="112"/>
        <v>2087.6628576127628</v>
      </c>
      <c r="M91" s="39">
        <f t="shared" si="113"/>
        <v>17498.5643838264</v>
      </c>
      <c r="N91" s="39">
        <f t="shared" si="114"/>
        <v>1008.5275867840425</v>
      </c>
      <c r="O91" s="39">
        <f t="shared" si="115"/>
        <v>461.53562391834862</v>
      </c>
      <c r="P91" s="39">
        <f t="shared" si="116"/>
        <v>1587.5423969433195</v>
      </c>
      <c r="Q91" s="39">
        <f t="shared" si="117"/>
        <v>7008.2102743542437</v>
      </c>
      <c r="R91" s="39">
        <f t="shared" si="118"/>
        <v>1047.7615387170238</v>
      </c>
      <c r="S91" s="39">
        <f t="shared" si="119"/>
        <v>8694.0783122541889</v>
      </c>
      <c r="T91" s="39">
        <f t="shared" si="120"/>
        <v>477.49386772344809</v>
      </c>
      <c r="U91" s="39">
        <f t="shared" si="121"/>
        <v>1243.1273255808458</v>
      </c>
      <c r="V91" s="39">
        <f t="shared" si="122"/>
        <v>102.6807199548126</v>
      </c>
      <c r="W91" s="39">
        <f t="shared" si="123"/>
        <v>63.500865851878444</v>
      </c>
      <c r="X91" s="39">
        <f t="shared" si="124"/>
        <v>16118.537783821032</v>
      </c>
      <c r="Y91" s="39">
        <f t="shared" si="125"/>
        <v>150.93199772977539</v>
      </c>
      <c r="Z91" s="39">
        <f t="shared" si="126"/>
        <v>685.99127405081117</v>
      </c>
      <c r="AA91" s="39">
        <f t="shared" si="127"/>
        <v>64.293055578587683</v>
      </c>
      <c r="AB91" s="39">
        <f t="shared" si="128"/>
        <v>544.75144503034528</v>
      </c>
      <c r="AC91" s="39">
        <f t="shared" si="129"/>
        <v>93.179798718582333</v>
      </c>
      <c r="AD91" s="39">
        <f t="shared" si="130"/>
        <v>152.12596105803894</v>
      </c>
      <c r="AE91" s="39">
        <f t="shared" si="131"/>
        <v>15.44495297598362</v>
      </c>
      <c r="AF91" s="39">
        <f t="shared" si="132"/>
        <v>1634.462386248355</v>
      </c>
      <c r="AG91" s="39">
        <f t="shared" si="133"/>
        <v>1088.881198895717</v>
      </c>
      <c r="AH91" s="39">
        <f t="shared" si="134"/>
        <v>6367.035105297713</v>
      </c>
      <c r="AI91" s="39">
        <f t="shared" si="135"/>
        <v>486.62824557210729</v>
      </c>
      <c r="AJ91" s="39">
        <f t="shared" si="136"/>
        <v>1939.1044192546635</v>
      </c>
      <c r="AK91" s="39">
        <f t="shared" si="137"/>
        <v>757.5967744276229</v>
      </c>
      <c r="AL91" s="39">
        <f t="shared" si="138"/>
        <v>2346.5489444070536</v>
      </c>
      <c r="AM91" s="39">
        <f t="shared" si="139"/>
        <v>436.26517459878858</v>
      </c>
      <c r="AN91" s="39">
        <f t="shared" si="140"/>
        <v>548.72303358850093</v>
      </c>
      <c r="AO91" s="39">
        <f t="shared" si="141"/>
        <v>3469.0217476478015</v>
      </c>
    </row>
    <row r="92" spans="4:41" ht="14.4">
      <c r="D92">
        <f t="shared" si="107"/>
        <v>2040</v>
      </c>
      <c r="E92" s="39">
        <f t="shared" si="108"/>
        <v>185.20544362145992</v>
      </c>
      <c r="F92" s="39">
        <f t="shared" si="142"/>
        <v>1382.6091621127127</v>
      </c>
      <c r="G92" s="39">
        <f t="shared" si="143"/>
        <v>255.37933287847554</v>
      </c>
      <c r="H92" s="39">
        <f t="shared" si="144"/>
        <v>840.01419180811013</v>
      </c>
      <c r="I92" s="39">
        <f t="shared" si="109"/>
        <v>731.91209570985677</v>
      </c>
      <c r="J92" s="39">
        <f t="shared" si="110"/>
        <v>1552.2032940883723</v>
      </c>
      <c r="K92" s="39">
        <f t="shared" si="111"/>
        <v>78.674872068916088</v>
      </c>
      <c r="L92" s="39">
        <f t="shared" si="112"/>
        <v>2079.3205568337421</v>
      </c>
      <c r="M92" s="39">
        <f t="shared" si="113"/>
        <v>17428.640120548629</v>
      </c>
      <c r="N92" s="39">
        <f t="shared" si="114"/>
        <v>1004.4975105472535</v>
      </c>
      <c r="O92" s="39">
        <f t="shared" si="115"/>
        <v>459.69132756517092</v>
      </c>
      <c r="P92" s="39">
        <f t="shared" si="116"/>
        <v>1581.1985775251339</v>
      </c>
      <c r="Q92" s="39">
        <f t="shared" si="117"/>
        <v>6978.8066974092653</v>
      </c>
      <c r="R92" s="39">
        <f t="shared" si="118"/>
        <v>1043.5746836083106</v>
      </c>
      <c r="S92" s="39">
        <f t="shared" si="119"/>
        <v>8659.3367753184211</v>
      </c>
      <c r="T92" s="39">
        <f t="shared" si="120"/>
        <v>475.58580222802522</v>
      </c>
      <c r="U92" s="39">
        <f t="shared" si="121"/>
        <v>1238.1597887878247</v>
      </c>
      <c r="V92" s="39">
        <f t="shared" si="122"/>
        <v>100.02837427765984</v>
      </c>
      <c r="W92" s="39">
        <f t="shared" si="123"/>
        <v>63.247116391934341</v>
      </c>
      <c r="X92" s="39">
        <f t="shared" si="124"/>
        <v>16054.128106836883</v>
      </c>
      <c r="Y92" s="39">
        <f t="shared" si="125"/>
        <v>150.3288734668472</v>
      </c>
      <c r="Z92" s="39">
        <f t="shared" si="126"/>
        <v>683.2500529197041</v>
      </c>
      <c r="AA92" s="39">
        <f t="shared" si="127"/>
        <v>64.03614052849565</v>
      </c>
      <c r="AB92" s="39">
        <f t="shared" si="128"/>
        <v>542.57461825600399</v>
      </c>
      <c r="AC92" s="39">
        <f t="shared" si="129"/>
        <v>92.807452242902883</v>
      </c>
      <c r="AD92" s="39">
        <f t="shared" si="130"/>
        <v>151.51806571765101</v>
      </c>
      <c r="AE92" s="39">
        <f t="shared" si="131"/>
        <v>15.383234943891589</v>
      </c>
      <c r="AF92" s="39">
        <f t="shared" si="132"/>
        <v>1627.9310745529065</v>
      </c>
      <c r="AG92" s="39">
        <f t="shared" si="133"/>
        <v>1084.5300296249297</v>
      </c>
      <c r="AH92" s="39">
        <f t="shared" si="134"/>
        <v>6341.5924330169437</v>
      </c>
      <c r="AI92" s="39">
        <f t="shared" si="135"/>
        <v>484.68367910280114</v>
      </c>
      <c r="AJ92" s="39">
        <f t="shared" si="136"/>
        <v>1931.3557579953219</v>
      </c>
      <c r="AK92" s="39">
        <f t="shared" si="137"/>
        <v>754.56941771701008</v>
      </c>
      <c r="AL92" s="39">
        <f t="shared" si="138"/>
        <v>2340.9206059709568</v>
      </c>
      <c r="AM92" s="39">
        <f t="shared" si="139"/>
        <v>434.52185896109182</v>
      </c>
      <c r="AN92" s="39">
        <f t="shared" si="140"/>
        <v>546.53033634628127</v>
      </c>
      <c r="AO92" s="39">
        <f t="shared" si="141"/>
        <v>3438.3542941685369</v>
      </c>
    </row>
    <row r="93" spans="4:41" ht="14.4">
      <c r="D93">
        <f t="shared" si="107"/>
        <v>2042</v>
      </c>
      <c r="E93" s="39">
        <f t="shared" si="108"/>
        <v>184.46536266874855</v>
      </c>
      <c r="F93" s="39">
        <f t="shared" si="142"/>
        <v>1377.0842559009104</v>
      </c>
      <c r="G93" s="39">
        <f t="shared" si="143"/>
        <v>254.35883706429314</v>
      </c>
      <c r="H93" s="39">
        <f t="shared" si="144"/>
        <v>835.81937093776844</v>
      </c>
      <c r="I93" s="39">
        <f t="shared" si="109"/>
        <v>728.98737497540014</v>
      </c>
      <c r="J93" s="39">
        <f t="shared" si="110"/>
        <v>1546.0006897251951</v>
      </c>
      <c r="K93" s="39">
        <f t="shared" si="111"/>
        <v>78.360487280128694</v>
      </c>
      <c r="L93" s="39">
        <f t="shared" si="112"/>
        <v>2071.0115918886345</v>
      </c>
      <c r="M93" s="39">
        <f t="shared" si="113"/>
        <v>17358.995274626915</v>
      </c>
      <c r="N93" s="39">
        <f t="shared" si="114"/>
        <v>1000.4835384951066</v>
      </c>
      <c r="O93" s="39">
        <f t="shared" si="115"/>
        <v>457.85440102022051</v>
      </c>
      <c r="P93" s="39">
        <f t="shared" si="116"/>
        <v>1574.8801080093435</v>
      </c>
      <c r="Q93" s="39">
        <f t="shared" si="117"/>
        <v>6949.5264858176815</v>
      </c>
      <c r="R93" s="39">
        <f t="shared" si="118"/>
        <v>1039.4045591726117</v>
      </c>
      <c r="S93" s="39">
        <f t="shared" si="119"/>
        <v>8624.7340655642492</v>
      </c>
      <c r="T93" s="39">
        <f t="shared" si="120"/>
        <v>473.68536136232206</v>
      </c>
      <c r="U93" s="39">
        <f t="shared" si="121"/>
        <v>1233.2121022718286</v>
      </c>
      <c r="V93" s="39">
        <f t="shared" si="122"/>
        <v>97.444541341693593</v>
      </c>
      <c r="W93" s="39">
        <f t="shared" si="123"/>
        <v>62.994380914832171</v>
      </c>
      <c r="X93" s="39">
        <f t="shared" si="124"/>
        <v>15989.975810921962</v>
      </c>
      <c r="Y93" s="39">
        <f t="shared" si="125"/>
        <v>149.72815928847368</v>
      </c>
      <c r="Z93" s="39">
        <f t="shared" si="126"/>
        <v>680.51978570823701</v>
      </c>
      <c r="AA93" s="39">
        <f t="shared" si="127"/>
        <v>63.780252110943785</v>
      </c>
      <c r="AB93" s="39">
        <f t="shared" si="128"/>
        <v>540.40649008145294</v>
      </c>
      <c r="AC93" s="39">
        <f t="shared" si="129"/>
        <v>92.43659366374024</v>
      </c>
      <c r="AD93" s="39">
        <f t="shared" si="130"/>
        <v>150.91259952704328</v>
      </c>
      <c r="AE93" s="39">
        <f t="shared" si="131"/>
        <v>15.321763537055798</v>
      </c>
      <c r="AF93" s="39">
        <f t="shared" si="132"/>
        <v>1621.425861978993</v>
      </c>
      <c r="AG93" s="39">
        <f t="shared" si="133"/>
        <v>1080.1962476265485</v>
      </c>
      <c r="AH93" s="39">
        <f t="shared" si="134"/>
        <v>6316.2514296546078</v>
      </c>
      <c r="AI93" s="39">
        <f t="shared" si="135"/>
        <v>482.74688312110635</v>
      </c>
      <c r="AJ93" s="39">
        <f t="shared" si="136"/>
        <v>1923.6380603863727</v>
      </c>
      <c r="AK93" s="39">
        <f t="shared" si="137"/>
        <v>751.55415832381289</v>
      </c>
      <c r="AL93" s="39">
        <f t="shared" si="138"/>
        <v>2335.3057674422994</v>
      </c>
      <c r="AM93" s="39">
        <f t="shared" si="139"/>
        <v>432.78550961268331</v>
      </c>
      <c r="AN93" s="39">
        <f t="shared" si="140"/>
        <v>544.34640112224156</v>
      </c>
      <c r="AO93" s="39">
        <f t="shared" si="141"/>
        <v>3407.9579524813907</v>
      </c>
    </row>
    <row r="94" spans="4:41" ht="14.4">
      <c r="D94">
        <f t="shared" si="107"/>
        <v>2044</v>
      </c>
      <c r="E94" s="39">
        <f t="shared" si="108"/>
        <v>183.72823907952423</v>
      </c>
      <c r="F94" s="39">
        <f t="shared" si="142"/>
        <v>1371.5814272143305</v>
      </c>
      <c r="G94" s="39">
        <f t="shared" si="143"/>
        <v>253.34241915138423</v>
      </c>
      <c r="H94" s="39">
        <f t="shared" si="144"/>
        <v>831.64549795414803</v>
      </c>
      <c r="I94" s="39">
        <f t="shared" si="109"/>
        <v>726.07434142499847</v>
      </c>
      <c r="J94" s="39">
        <f t="shared" si="110"/>
        <v>1539.8228709690532</v>
      </c>
      <c r="K94" s="39">
        <f t="shared" si="111"/>
        <v>78.047358772957296</v>
      </c>
      <c r="L94" s="39">
        <f t="shared" si="112"/>
        <v>2062.7358295674476</v>
      </c>
      <c r="M94" s="39">
        <f t="shared" si="113"/>
        <v>17289.628729509506</v>
      </c>
      <c r="N94" s="39">
        <f t="shared" si="114"/>
        <v>996.48560627528013</v>
      </c>
      <c r="O94" s="39">
        <f t="shared" si="115"/>
        <v>456.02481483374373</v>
      </c>
      <c r="P94" s="39">
        <f t="shared" si="116"/>
        <v>1568.5868870977381</v>
      </c>
      <c r="Q94" s="39">
        <f t="shared" si="117"/>
        <v>6920.3691219890497</v>
      </c>
      <c r="R94" s="39">
        <f t="shared" si="118"/>
        <v>1035.251098554158</v>
      </c>
      <c r="S94" s="39">
        <f t="shared" si="119"/>
        <v>8590.2696282382549</v>
      </c>
      <c r="T94" s="39">
        <f t="shared" si="120"/>
        <v>471.79251465831823</v>
      </c>
      <c r="U94" s="39">
        <f t="shared" si="121"/>
        <v>1228.2841867111504</v>
      </c>
      <c r="V94" s="39">
        <f t="shared" si="122"/>
        <v>94.927451394296298</v>
      </c>
      <c r="W94" s="39">
        <f t="shared" si="123"/>
        <v>62.742655368696504</v>
      </c>
      <c r="X94" s="39">
        <f t="shared" si="124"/>
        <v>15926.079867581519</v>
      </c>
      <c r="Y94" s="39">
        <f t="shared" si="125"/>
        <v>149.12984556395693</v>
      </c>
      <c r="Z94" s="39">
        <f t="shared" si="126"/>
        <v>677.80042864454686</v>
      </c>
      <c r="AA94" s="39">
        <f t="shared" si="127"/>
        <v>63.525386223508455</v>
      </c>
      <c r="AB94" s="39">
        <f t="shared" si="128"/>
        <v>538.24702574708749</v>
      </c>
      <c r="AC94" s="39">
        <f t="shared" si="129"/>
        <v>92.067217035459933</v>
      </c>
      <c r="AD94" s="39">
        <f t="shared" si="130"/>
        <v>150.30955277933322</v>
      </c>
      <c r="AE94" s="39">
        <f t="shared" si="131"/>
        <v>15.260537769961722</v>
      </c>
      <c r="AF94" s="39">
        <f t="shared" si="132"/>
        <v>1614.9466442345249</v>
      </c>
      <c r="AG94" s="39">
        <f t="shared" si="133"/>
        <v>1075.8797834210327</v>
      </c>
      <c r="AH94" s="39">
        <f t="shared" si="134"/>
        <v>6291.0116889417077</v>
      </c>
      <c r="AI94" s="39">
        <f t="shared" si="135"/>
        <v>480.8178265761544</v>
      </c>
      <c r="AJ94" s="39">
        <f t="shared" si="136"/>
        <v>1915.9512026970688</v>
      </c>
      <c r="AK94" s="39">
        <f t="shared" si="137"/>
        <v>748.55094790715088</v>
      </c>
      <c r="AL94" s="39">
        <f t="shared" si="138"/>
        <v>2329.704396440743</v>
      </c>
      <c r="AM94" s="39">
        <f t="shared" si="139"/>
        <v>431.05609871627104</v>
      </c>
      <c r="AN94" s="39">
        <f t="shared" si="140"/>
        <v>542.17119290335711</v>
      </c>
      <c r="AO94" s="39">
        <f t="shared" si="141"/>
        <v>3377.830325856427</v>
      </c>
    </row>
    <row r="95" spans="4:41" ht="14.4">
      <c r="D95">
        <f t="shared" si="107"/>
        <v>2046</v>
      </c>
      <c r="E95" s="39">
        <f t="shared" si="108"/>
        <v>182.99406103616246</v>
      </c>
      <c r="F95" s="39">
        <f t="shared" si="142"/>
        <v>1366.1005878311819</v>
      </c>
      <c r="G95" s="39">
        <f t="shared" si="143"/>
        <v>252.33006284445531</v>
      </c>
      <c r="H95" s="39">
        <f t="shared" si="144"/>
        <v>827.49246824873956</v>
      </c>
      <c r="I95" s="39">
        <f t="shared" si="109"/>
        <v>723.17294835666416</v>
      </c>
      <c r="J95" s="39">
        <f t="shared" si="110"/>
        <v>1533.6697387766608</v>
      </c>
      <c r="K95" s="39">
        <f t="shared" si="111"/>
        <v>77.735481527300564</v>
      </c>
      <c r="L95" s="39">
        <f t="shared" si="112"/>
        <v>2054.4931371924959</v>
      </c>
      <c r="M95" s="39">
        <f t="shared" si="113"/>
        <v>17220.539373106385</v>
      </c>
      <c r="N95" s="39">
        <f t="shared" si="114"/>
        <v>992.50364979260416</v>
      </c>
      <c r="O95" s="39">
        <f t="shared" si="115"/>
        <v>454.20253967366807</v>
      </c>
      <c r="P95" s="39">
        <f t="shared" si="116"/>
        <v>1562.3188138968956</v>
      </c>
      <c r="Q95" s="39">
        <f t="shared" si="117"/>
        <v>6891.3340905045234</v>
      </c>
      <c r="R95" s="39">
        <f t="shared" si="118"/>
        <v>1031.1142351643357</v>
      </c>
      <c r="S95" s="39">
        <f t="shared" si="119"/>
        <v>8555.9429108038148</v>
      </c>
      <c r="T95" s="39">
        <f t="shared" si="120"/>
        <v>469.90723176974359</v>
      </c>
      <c r="U95" s="39">
        <f t="shared" si="121"/>
        <v>1223.3759631010525</v>
      </c>
      <c r="V95" s="39">
        <f t="shared" si="122"/>
        <v>92.475380397330227</v>
      </c>
      <c r="W95" s="39">
        <f t="shared" si="123"/>
        <v>62.491935717843191</v>
      </c>
      <c r="X95" s="39">
        <f t="shared" si="124"/>
        <v>15862.439252430662</v>
      </c>
      <c r="Y95" s="39">
        <f t="shared" si="125"/>
        <v>148.53392270108336</v>
      </c>
      <c r="Z95" s="39">
        <f t="shared" si="126"/>
        <v>675.09193813168326</v>
      </c>
      <c r="AA95" s="39">
        <f t="shared" si="127"/>
        <v>63.271538780159318</v>
      </c>
      <c r="AB95" s="39">
        <f t="shared" si="128"/>
        <v>536.09619063220214</v>
      </c>
      <c r="AC95" s="39">
        <f t="shared" si="129"/>
        <v>91.699316436186237</v>
      </c>
      <c r="AD95" s="39">
        <f t="shared" si="130"/>
        <v>149.708915806427</v>
      </c>
      <c r="AE95" s="39">
        <f t="shared" si="131"/>
        <v>15.199556661032956</v>
      </c>
      <c r="AF95" s="39">
        <f t="shared" si="132"/>
        <v>1608.4933174441637</v>
      </c>
      <c r="AG95" s="39">
        <f t="shared" si="133"/>
        <v>1071.5805678064823</v>
      </c>
      <c r="AH95" s="39">
        <f t="shared" si="134"/>
        <v>6265.8728062326963</v>
      </c>
      <c r="AI95" s="39">
        <f t="shared" si="135"/>
        <v>478.89647854115611</v>
      </c>
      <c r="AJ95" s="39">
        <f t="shared" si="136"/>
        <v>1908.2950616910912</v>
      </c>
      <c r="AK95" s="39">
        <f t="shared" si="137"/>
        <v>745.55973831931396</v>
      </c>
      <c r="AL95" s="39">
        <f t="shared" si="138"/>
        <v>2324.1164606636162</v>
      </c>
      <c r="AM95" s="39">
        <f t="shared" si="139"/>
        <v>429.33359854580084</v>
      </c>
      <c r="AN95" s="39">
        <f t="shared" si="140"/>
        <v>540.00467681651526</v>
      </c>
      <c r="AO95" s="39">
        <f t="shared" si="141"/>
        <v>3347.9690387517003</v>
      </c>
    </row>
    <row r="96" spans="4:41" ht="14.4">
      <c r="D96">
        <f t="shared" si="107"/>
        <v>2048</v>
      </c>
      <c r="E96" s="39">
        <f t="shared" si="108"/>
        <v>182.26281676826196</v>
      </c>
      <c r="F96" s="39">
        <f t="shared" si="142"/>
        <v>1360.6416498822084</v>
      </c>
      <c r="G96" s="39">
        <f t="shared" si="143"/>
        <v>251.32175191332888</v>
      </c>
      <c r="H96" s="39">
        <f t="shared" si="144"/>
        <v>823.36017773542244</v>
      </c>
      <c r="I96" s="39">
        <f t="shared" si="109"/>
        <v>720.28314925503093</v>
      </c>
      <c r="J96" s="39">
        <f t="shared" si="110"/>
        <v>1527.5411945005092</v>
      </c>
      <c r="K96" s="39">
        <f t="shared" si="111"/>
        <v>77.424850543117472</v>
      </c>
      <c r="L96" s="39">
        <f t="shared" si="112"/>
        <v>2046.2833826162746</v>
      </c>
      <c r="M96" s="39">
        <f t="shared" si="113"/>
        <v>17151.72609777145</v>
      </c>
      <c r="N96" s="39">
        <f t="shared" si="114"/>
        <v>988.53760520803291</v>
      </c>
      <c r="O96" s="39">
        <f t="shared" si="115"/>
        <v>452.38754632513212</v>
      </c>
      <c r="P96" s="39">
        <f t="shared" si="116"/>
        <v>1556.0757879165635</v>
      </c>
      <c r="Q96" s="39">
        <f t="shared" si="117"/>
        <v>6862.4208781077432</v>
      </c>
      <c r="R96" s="39">
        <f t="shared" si="118"/>
        <v>1026.9939026806189</v>
      </c>
      <c r="S96" s="39">
        <f t="shared" si="119"/>
        <v>8521.7533629322425</v>
      </c>
      <c r="T96" s="39">
        <f t="shared" si="120"/>
        <v>468.02948247159168</v>
      </c>
      <c r="U96" s="39">
        <f t="shared" si="121"/>
        <v>1218.4873527525008</v>
      </c>
      <c r="V96" s="39">
        <f t="shared" si="122"/>
        <v>90.086648846286792</v>
      </c>
      <c r="W96" s="39">
        <f t="shared" si="123"/>
        <v>62.242217942714689</v>
      </c>
      <c r="X96" s="39">
        <f t="shared" si="124"/>
        <v>15799.052945177949</v>
      </c>
      <c r="Y96" s="39">
        <f t="shared" si="125"/>
        <v>147.94038114596984</v>
      </c>
      <c r="Z96" s="39">
        <f t="shared" si="126"/>
        <v>672.39427074690911</v>
      </c>
      <c r="AA96" s="39">
        <f t="shared" si="127"/>
        <v>63.018705711193803</v>
      </c>
      <c r="AB96" s="39">
        <f t="shared" si="128"/>
        <v>533.95395025443588</v>
      </c>
      <c r="AC96" s="39">
        <f t="shared" si="129"/>
        <v>91.332885967707242</v>
      </c>
      <c r="AD96" s="39">
        <f t="shared" si="130"/>
        <v>149.11067897886451</v>
      </c>
      <c r="AE96" s="39">
        <f t="shared" si="131"/>
        <v>15.138819232615468</v>
      </c>
      <c r="AF96" s="39">
        <f t="shared" si="132"/>
        <v>1602.0657781476568</v>
      </c>
      <c r="AG96" s="39">
        <f t="shared" si="133"/>
        <v>1067.2985318575277</v>
      </c>
      <c r="AH96" s="39">
        <f t="shared" si="134"/>
        <v>6240.8343784989902</v>
      </c>
      <c r="AI96" s="39">
        <f t="shared" si="135"/>
        <v>476.98280821290564</v>
      </c>
      <c r="AJ96" s="39">
        <f t="shared" si="136"/>
        <v>1900.6695146245736</v>
      </c>
      <c r="AK96" s="39">
        <f t="shared" si="137"/>
        <v>742.58048160499004</v>
      </c>
      <c r="AL96" s="39">
        <f t="shared" si="138"/>
        <v>2318.5419278857271</v>
      </c>
      <c r="AM96" s="39">
        <f t="shared" si="139"/>
        <v>427.61798148601184</v>
      </c>
      <c r="AN96" s="39">
        <f t="shared" si="140"/>
        <v>537.84681812795645</v>
      </c>
      <c r="AO96" s="39">
        <f t="shared" si="141"/>
        <v>3318.3717366259484</v>
      </c>
    </row>
    <row r="97" spans="4:41" ht="14.4">
      <c r="D97">
        <f t="shared" si="107"/>
        <v>2050</v>
      </c>
      <c r="E97" s="39">
        <f t="shared" si="108"/>
        <v>181.53449455245598</v>
      </c>
      <c r="F97" s="39">
        <f t="shared" si="142"/>
        <v>1355.2045258492792</v>
      </c>
      <c r="G97" s="39">
        <f t="shared" si="143"/>
        <v>250.31747019268323</v>
      </c>
      <c r="H97" s="39">
        <f t="shared" si="144"/>
        <v>819.24852284785629</v>
      </c>
      <c r="I97" s="39">
        <f t="shared" si="109"/>
        <v>717.40489779060783</v>
      </c>
      <c r="J97" s="39">
        <f t="shared" si="110"/>
        <v>1521.4371398872852</v>
      </c>
      <c r="K97" s="39">
        <f t="shared" si="111"/>
        <v>77.115460840347168</v>
      </c>
      <c r="L97" s="39">
        <f t="shared" si="112"/>
        <v>2038.1064342193399</v>
      </c>
      <c r="M97" s="39">
        <f t="shared" si="113"/>
        <v>17083.187800284755</v>
      </c>
      <c r="N97" s="39">
        <f t="shared" si="114"/>
        <v>984.5874089376216</v>
      </c>
      <c r="O97" s="39">
        <f t="shared" si="115"/>
        <v>450.57980569001688</v>
      </c>
      <c r="P97" s="39">
        <f t="shared" si="116"/>
        <v>1549.857709068049</v>
      </c>
      <c r="Q97" s="39">
        <f t="shared" si="117"/>
        <v>6833.6289736957633</v>
      </c>
      <c r="R97" s="39">
        <f t="shared" si="118"/>
        <v>1022.8900350455071</v>
      </c>
      <c r="S97" s="39">
        <f t="shared" si="119"/>
        <v>8487.7004364939658</v>
      </c>
      <c r="T97" s="39">
        <f t="shared" si="120"/>
        <v>466.15923665963521</v>
      </c>
      <c r="U97" s="39">
        <f t="shared" si="121"/>
        <v>1213.6182772909017</v>
      </c>
      <c r="V97" s="39">
        <f t="shared" si="122"/>
        <v>87.75962061993836</v>
      </c>
      <c r="W97" s="39">
        <f t="shared" si="123"/>
        <v>61.993498039815599</v>
      </c>
      <c r="X97" s="39">
        <f t="shared" si="124"/>
        <v>15735.919929609019</v>
      </c>
      <c r="Y97" s="39">
        <f t="shared" si="125"/>
        <v>147.34921138291054</v>
      </c>
      <c r="Z97" s="39">
        <f t="shared" si="126"/>
        <v>669.70738324100444</v>
      </c>
      <c r="AA97" s="39">
        <f t="shared" si="127"/>
        <v>62.766882963171874</v>
      </c>
      <c r="AB97" s="39">
        <f t="shared" si="128"/>
        <v>531.82027026921912</v>
      </c>
      <c r="AC97" s="39">
        <f t="shared" si="129"/>
        <v>90.967919755380279</v>
      </c>
      <c r="AD97" s="39">
        <f t="shared" si="130"/>
        <v>148.51483270566496</v>
      </c>
      <c r="AE97" s="39">
        <f t="shared" si="131"/>
        <v>15.078324510961936</v>
      </c>
      <c r="AF97" s="39">
        <f t="shared" si="132"/>
        <v>1595.6639232981788</v>
      </c>
      <c r="AG97" s="39">
        <f t="shared" si="133"/>
        <v>1063.0336069242251</v>
      </c>
      <c r="AH97" s="39">
        <f t="shared" si="134"/>
        <v>6215.8960043225079</v>
      </c>
      <c r="AI97" s="39">
        <f t="shared" si="135"/>
        <v>475.07678491128689</v>
      </c>
      <c r="AJ97" s="39">
        <f t="shared" si="136"/>
        <v>1893.0744392441338</v>
      </c>
      <c r="AK97" s="39">
        <f t="shared" si="137"/>
        <v>739.61313000049654</v>
      </c>
      <c r="AL97" s="39">
        <f t="shared" si="138"/>
        <v>2312.9807659591775</v>
      </c>
      <c r="AM97" s="39">
        <f t="shared" si="139"/>
        <v>425.90922003199375</v>
      </c>
      <c r="AN97" s="39">
        <f t="shared" si="140"/>
        <v>535.69758224271709</v>
      </c>
      <c r="AO97" s="39">
        <f t="shared" si="141"/>
        <v>3289.0360857529363</v>
      </c>
    </row>
    <row r="98" spans="4:41" ht="14.4">
      <c r="D98">
        <f t="shared" si="107"/>
        <v>2052</v>
      </c>
      <c r="E98" s="39">
        <f t="shared" si="108"/>
        <v>180.80908271222438</v>
      </c>
      <c r="F98" s="39">
        <f t="shared" si="142"/>
        <v>1349.7891285639855</v>
      </c>
      <c r="G98" s="39">
        <f t="shared" si="143"/>
        <v>249.31720158179326</v>
      </c>
      <c r="H98" s="39">
        <f t="shared" si="144"/>
        <v>815.15740053688489</v>
      </c>
      <c r="I98" s="39">
        <f t="shared" si="109"/>
        <v>714.53814781903657</v>
      </c>
      <c r="J98" s="39">
        <f t="shared" si="110"/>
        <v>1515.3574770762955</v>
      </c>
      <c r="K98" s="39">
        <f t="shared" si="111"/>
        <v>76.807307458829143</v>
      </c>
      <c r="L98" s="39">
        <f t="shared" si="112"/>
        <v>2029.9621609081994</v>
      </c>
      <c r="M98" s="39">
        <f t="shared" si="113"/>
        <v>17014.923381834818</v>
      </c>
      <c r="N98" s="39">
        <f t="shared" si="114"/>
        <v>980.65299765150689</v>
      </c>
      <c r="O98" s="39">
        <f t="shared" si="115"/>
        <v>448.77928878647958</v>
      </c>
      <c r="P98" s="39">
        <f t="shared" si="116"/>
        <v>1543.6644776626131</v>
      </c>
      <c r="Q98" s="39">
        <f t="shared" si="117"/>
        <v>6804.9578683100153</v>
      </c>
      <c r="R98" s="39">
        <f t="shared" si="118"/>
        <v>1018.8025664654652</v>
      </c>
      <c r="S98" s="39">
        <f t="shared" si="119"/>
        <v>8453.783585549736</v>
      </c>
      <c r="T98" s="39">
        <f t="shared" si="120"/>
        <v>464.29646434994334</v>
      </c>
      <c r="U98" s="39">
        <f t="shared" si="121"/>
        <v>1208.7686586548473</v>
      </c>
      <c r="V98" s="39">
        <f t="shared" si="122"/>
        <v>85.492701859704724</v>
      </c>
      <c r="W98" s="39">
        <f t="shared" si="123"/>
        <v>61.745772021648499</v>
      </c>
      <c r="X98" s="39">
        <f t="shared" si="124"/>
        <v>15673.039193570301</v>
      </c>
      <c r="Y98" s="39">
        <f t="shared" si="125"/>
        <v>146.76040393422443</v>
      </c>
      <c r="Z98" s="39">
        <f t="shared" si="126"/>
        <v>667.03123253757337</v>
      </c>
      <c r="AA98" s="39">
        <f t="shared" si="127"/>
        <v>62.516066498851039</v>
      </c>
      <c r="AB98" s="39">
        <f t="shared" si="128"/>
        <v>529.69511646922331</v>
      </c>
      <c r="AC98" s="39">
        <f t="shared" si="129"/>
        <v>90.604411948037779</v>
      </c>
      <c r="AD98" s="39">
        <f t="shared" si="130"/>
        <v>147.92136743417313</v>
      </c>
      <c r="AE98" s="39">
        <f t="shared" si="131"/>
        <v>15.018071526216133</v>
      </c>
      <c r="AF98" s="39">
        <f t="shared" si="132"/>
        <v>1589.2876502606794</v>
      </c>
      <c r="AG98" s="39">
        <f t="shared" si="133"/>
        <v>1058.7857246309559</v>
      </c>
      <c r="AH98" s="39">
        <f t="shared" si="134"/>
        <v>6191.0572838892349</v>
      </c>
      <c r="AI98" s="39">
        <f t="shared" si="135"/>
        <v>473.17837807878141</v>
      </c>
      <c r="AJ98" s="39">
        <f t="shared" si="136"/>
        <v>1885.5097137849143</v>
      </c>
      <c r="AK98" s="39">
        <f t="shared" si="137"/>
        <v>736.6576359330146</v>
      </c>
      <c r="AL98" s="39">
        <f t="shared" si="138"/>
        <v>2307.4329428131787</v>
      </c>
      <c r="AM98" s="39">
        <f t="shared" si="139"/>
        <v>424.20728678874593</v>
      </c>
      <c r="AN98" s="39">
        <f t="shared" si="140"/>
        <v>533.55693470407516</v>
      </c>
      <c r="AO98" s="39">
        <f t="shared" si="141"/>
        <v>3259.9597730374439</v>
      </c>
    </row>
    <row r="99" spans="4:41" ht="14.4">
      <c r="D99">
        <f t="shared" si="107"/>
        <v>2054</v>
      </c>
      <c r="E99" s="39">
        <f t="shared" si="108"/>
        <v>180.08656961770635</v>
      </c>
      <c r="F99" s="39">
        <f t="shared" si="142"/>
        <v>1344.3953712062439</v>
      </c>
      <c r="G99" s="39">
        <f t="shared" si="143"/>
        <v>248.32093004427242</v>
      </c>
      <c r="H99" s="39">
        <f t="shared" si="144"/>
        <v>811.0867082679539</v>
      </c>
      <c r="I99" s="39">
        <f t="shared" si="109"/>
        <v>711.68285338035173</v>
      </c>
      <c r="J99" s="39">
        <f t="shared" si="110"/>
        <v>1509.3021085978985</v>
      </c>
      <c r="K99" s="39">
        <f t="shared" si="111"/>
        <v>76.500385458223661</v>
      </c>
      <c r="L99" s="39">
        <f t="shared" si="112"/>
        <v>2021.8504321132102</v>
      </c>
      <c r="M99" s="39">
        <f t="shared" si="113"/>
        <v>16946.931748001007</v>
      </c>
      <c r="N99" s="39">
        <f t="shared" si="114"/>
        <v>976.73430827289144</v>
      </c>
      <c r="O99" s="39">
        <f t="shared" si="115"/>
        <v>446.98596674848881</v>
      </c>
      <c r="P99" s="39">
        <f t="shared" si="116"/>
        <v>1537.4959944098732</v>
      </c>
      <c r="Q99" s="39">
        <f t="shared" si="117"/>
        <v>6776.4070551273126</v>
      </c>
      <c r="R99" s="39">
        <f t="shared" si="118"/>
        <v>1014.7314314098693</v>
      </c>
      <c r="S99" s="39">
        <f t="shared" si="119"/>
        <v>8420.0022663418786</v>
      </c>
      <c r="T99" s="39">
        <f t="shared" si="120"/>
        <v>462.44113567840094</v>
      </c>
      <c r="U99" s="39">
        <f t="shared" si="121"/>
        <v>1203.9384190948624</v>
      </c>
      <c r="V99" s="39">
        <f t="shared" si="122"/>
        <v>83.284339877966687</v>
      </c>
      <c r="W99" s="39">
        <f t="shared" si="123"/>
        <v>61.499035916649994</v>
      </c>
      <c r="X99" s="39">
        <f t="shared" si="124"/>
        <v>15610.409728952794</v>
      </c>
      <c r="Y99" s="39">
        <f t="shared" si="125"/>
        <v>146.17394936010328</v>
      </c>
      <c r="Z99" s="39">
        <f t="shared" si="126"/>
        <v>664.3657757323532</v>
      </c>
      <c r="AA99" s="39">
        <f t="shared" si="127"/>
        <v>62.266252297121632</v>
      </c>
      <c r="AB99" s="39">
        <f t="shared" si="128"/>
        <v>527.57845478381228</v>
      </c>
      <c r="AC99" s="39">
        <f t="shared" si="129"/>
        <v>90.242356717893415</v>
      </c>
      <c r="AD99" s="39">
        <f t="shared" si="130"/>
        <v>147.33027364990619</v>
      </c>
      <c r="AE99" s="39">
        <f t="shared" si="131"/>
        <v>14.958059312397372</v>
      </c>
      <c r="AF99" s="39">
        <f t="shared" si="132"/>
        <v>1582.9368568102377</v>
      </c>
      <c r="AG99" s="39">
        <f t="shared" si="133"/>
        <v>1054.5548168753305</v>
      </c>
      <c r="AH99" s="39">
        <f t="shared" si="134"/>
        <v>6166.3178189828132</v>
      </c>
      <c r="AI99" s="39">
        <f t="shared" si="135"/>
        <v>471.28755727997861</v>
      </c>
      <c r="AJ99" s="39">
        <f t="shared" si="136"/>
        <v>1877.9752169686299</v>
      </c>
      <c r="AK99" s="39">
        <f t="shared" si="137"/>
        <v>733.71395201982625</v>
      </c>
      <c r="AL99" s="39">
        <f t="shared" si="138"/>
        <v>2301.8984264538649</v>
      </c>
      <c r="AM99" s="39">
        <f t="shared" si="139"/>
        <v>422.5121544707381</v>
      </c>
      <c r="AN99" s="39">
        <f t="shared" si="140"/>
        <v>531.42484119299763</v>
      </c>
      <c r="AO99" s="39">
        <f t="shared" si="141"/>
        <v>3231.1405058328814</v>
      </c>
    </row>
    <row r="100" spans="4:41" ht="14.4">
      <c r="D100">
        <f t="shared" si="107"/>
        <v>2056</v>
      </c>
      <c r="E100" s="39">
        <f t="shared" si="108"/>
        <v>179.366943685514</v>
      </c>
      <c r="F100" s="39">
        <f t="shared" si="142"/>
        <v>1339.0231673029039</v>
      </c>
      <c r="G100" s="39">
        <f t="shared" si="143"/>
        <v>247.32863960781549</v>
      </c>
      <c r="H100" s="39">
        <f t="shared" si="144"/>
        <v>807.03634401854083</v>
      </c>
      <c r="I100" s="39">
        <f t="shared" si="109"/>
        <v>708.83896869824389</v>
      </c>
      <c r="J100" s="39">
        <f t="shared" si="110"/>
        <v>1503.2709373719413</v>
      </c>
      <c r="K100" s="39">
        <f t="shared" si="111"/>
        <v>76.194689917932607</v>
      </c>
      <c r="L100" s="39">
        <f t="shared" si="112"/>
        <v>2013.7711177864858</v>
      </c>
      <c r="M100" s="39">
        <f t="shared" si="113"/>
        <v>16879.211808735996</v>
      </c>
      <c r="N100" s="39">
        <f t="shared" si="114"/>
        <v>972.83127797703298</v>
      </c>
      <c r="O100" s="39">
        <f t="shared" si="115"/>
        <v>445.19981082536185</v>
      </c>
      <c r="P100" s="39">
        <f t="shared" si="116"/>
        <v>1531.3521604162113</v>
      </c>
      <c r="Q100" s="39">
        <f t="shared" si="117"/>
        <v>6747.9760294508906</v>
      </c>
      <c r="R100" s="39">
        <f t="shared" si="118"/>
        <v>1010.6765646099554</v>
      </c>
      <c r="S100" s="39">
        <f t="shared" si="119"/>
        <v>8386.3559372855761</v>
      </c>
      <c r="T100" s="39">
        <f t="shared" si="120"/>
        <v>460.59322090023005</v>
      </c>
      <c r="U100" s="39">
        <f t="shared" si="121"/>
        <v>1199.1274811721594</v>
      </c>
      <c r="V100" s="39">
        <f t="shared" si="122"/>
        <v>81.133022094578919</v>
      </c>
      <c r="W100" s="39">
        <f t="shared" si="123"/>
        <v>61.253285769127061</v>
      </c>
      <c r="X100" s="39">
        <f t="shared" si="124"/>
        <v>15548.030531675899</v>
      </c>
      <c r="Y100" s="39">
        <f t="shared" si="125"/>
        <v>145.5898382584603</v>
      </c>
      <c r="Z100" s="39">
        <f t="shared" si="126"/>
        <v>661.71097009252674</v>
      </c>
      <c r="AA100" s="39">
        <f t="shared" si="127"/>
        <v>62.017436352942333</v>
      </c>
      <c r="AB100" s="39">
        <f t="shared" si="128"/>
        <v>525.47025127849611</v>
      </c>
      <c r="AC100" s="39">
        <f t="shared" si="129"/>
        <v>89.881748260448717</v>
      </c>
      <c r="AD100" s="39">
        <f t="shared" si="130"/>
        <v>146.74154187640116</v>
      </c>
      <c r="AE100" s="39">
        <f t="shared" si="131"/>
        <v>14.898286907385032</v>
      </c>
      <c r="AF100" s="39">
        <f t="shared" si="132"/>
        <v>1576.6114411304241</v>
      </c>
      <c r="AG100" s="39">
        <f t="shared" si="133"/>
        <v>1050.3408158270968</v>
      </c>
      <c r="AH100" s="39">
        <f t="shared" si="134"/>
        <v>6141.6772129781575</v>
      </c>
      <c r="AI100" s="39">
        <f t="shared" si="135"/>
        <v>469.4042922010878</v>
      </c>
      <c r="AJ100" s="39">
        <f t="shared" si="136"/>
        <v>1870.4708280016232</v>
      </c>
      <c r="AK100" s="39">
        <f t="shared" si="137"/>
        <v>730.78203106755507</v>
      </c>
      <c r="AL100" s="39">
        <f t="shared" si="138"/>
        <v>2296.3771849641098</v>
      </c>
      <c r="AM100" s="39">
        <f t="shared" si="139"/>
        <v>420.82379590147303</v>
      </c>
      <c r="AN100" s="39">
        <f t="shared" si="140"/>
        <v>529.30126752759043</v>
      </c>
      <c r="AO100" s="39">
        <f t="shared" si="141"/>
        <v>3202.5760117605146</v>
      </c>
    </row>
    <row r="101" spans="4:41" ht="14.4">
      <c r="D101">
        <f t="shared" si="107"/>
        <v>2058</v>
      </c>
      <c r="E101" s="39">
        <f t="shared" si="108"/>
        <v>178.65019337854667</v>
      </c>
      <c r="F101" s="39">
        <f t="shared" si="142"/>
        <v>1333.6724307263614</v>
      </c>
      <c r="G101" s="39">
        <f t="shared" si="143"/>
        <v>246.34031436394267</v>
      </c>
      <c r="H101" s="39">
        <f t="shared" si="144"/>
        <v>803.00620627559829</v>
      </c>
      <c r="I101" s="39">
        <f t="shared" si="109"/>
        <v>706.00644817932573</v>
      </c>
      <c r="J101" s="39">
        <f t="shared" si="110"/>
        <v>1497.2638667062031</v>
      </c>
      <c r="K101" s="39">
        <f t="shared" si="111"/>
        <v>75.890215937020542</v>
      </c>
      <c r="L101" s="39">
        <f t="shared" si="112"/>
        <v>2005.7240883998111</v>
      </c>
      <c r="M101" s="39">
        <f t="shared" si="113"/>
        <v>16811.762478348286</v>
      </c>
      <c r="N101" s="39">
        <f t="shared" si="114"/>
        <v>968.94384419023675</v>
      </c>
      <c r="O101" s="39">
        <f t="shared" si="115"/>
        <v>443.42079238130373</v>
      </c>
      <c r="P101" s="39">
        <f t="shared" si="116"/>
        <v>1525.2328771831881</v>
      </c>
      <c r="Q101" s="39">
        <f t="shared" si="117"/>
        <v>6719.6642887014868</v>
      </c>
      <c r="R101" s="39">
        <f t="shared" si="118"/>
        <v>1006.6379010577741</v>
      </c>
      <c r="S101" s="39">
        <f t="shared" si="119"/>
        <v>8352.8440589601832</v>
      </c>
      <c r="T101" s="39">
        <f t="shared" si="120"/>
        <v>458.75269038951274</v>
      </c>
      <c r="U101" s="39">
        <f t="shared" si="121"/>
        <v>1194.3357677573954</v>
      </c>
      <c r="V101" s="39">
        <f t="shared" si="122"/>
        <v>79.037275000853853</v>
      </c>
      <c r="W101" s="39">
        <f t="shared" si="123"/>
        <v>61.008517639193627</v>
      </c>
      <c r="X101" s="39">
        <f t="shared" si="124"/>
        <v>15485.900601671321</v>
      </c>
      <c r="Y101" s="39">
        <f t="shared" si="125"/>
        <v>145.00806126477949</v>
      </c>
      <c r="Z101" s="39">
        <f t="shared" si="126"/>
        <v>659.06677305603705</v>
      </c>
      <c r="AA101" s="39">
        <f t="shared" si="127"/>
        <v>61.769614677275975</v>
      </c>
      <c r="AB101" s="39">
        <f t="shared" si="128"/>
        <v>523.37047215438724</v>
      </c>
      <c r="AC101" s="39">
        <f t="shared" si="129"/>
        <v>89.522580794399957</v>
      </c>
      <c r="AD101" s="39">
        <f t="shared" si="130"/>
        <v>146.15516267506305</v>
      </c>
      <c r="AE101" s="39">
        <f t="shared" si="131"/>
        <v>14.838753352903121</v>
      </c>
      <c r="AF101" s="39">
        <f t="shared" si="132"/>
        <v>1570.3113018116669</v>
      </c>
      <c r="AG101" s="39">
        <f t="shared" si="133"/>
        <v>1046.1436539270517</v>
      </c>
      <c r="AH101" s="39">
        <f t="shared" si="134"/>
        <v>6117.1350708350965</v>
      </c>
      <c r="AI101" s="39">
        <f t="shared" si="135"/>
        <v>467.52855264945225</v>
      </c>
      <c r="AJ101" s="39">
        <f t="shared" si="136"/>
        <v>1862.9964265729286</v>
      </c>
      <c r="AK101" s="39">
        <f t="shared" si="137"/>
        <v>727.86182607140915</v>
      </c>
      <c r="AL101" s="39">
        <f t="shared" si="138"/>
        <v>2290.8691865033425</v>
      </c>
      <c r="AM101" s="39">
        <f t="shared" si="139"/>
        <v>419.14218401305072</v>
      </c>
      <c r="AN101" s="39">
        <f t="shared" si="140"/>
        <v>527.18617966255022</v>
      </c>
      <c r="AO101" s="39">
        <f t="shared" si="141"/>
        <v>3174.2640385302893</v>
      </c>
    </row>
    <row r="102" spans="4:41" ht="14.4">
      <c r="D102">
        <f t="shared" si="107"/>
        <v>2060</v>
      </c>
      <c r="E102" s="39">
        <f t="shared" si="108"/>
        <v>177.936307205806</v>
      </c>
      <c r="F102" s="39">
        <f t="shared" si="142"/>
        <v>1328.3430756931789</v>
      </c>
      <c r="G102" s="39">
        <f t="shared" si="143"/>
        <v>245.35593846774435</v>
      </c>
      <c r="H102" s="39">
        <f t="shared" si="144"/>
        <v>798.9961940330096</v>
      </c>
      <c r="I102" s="39">
        <f t="shared" si="109"/>
        <v>703.18524641240117</v>
      </c>
      <c r="J102" s="39">
        <f t="shared" si="110"/>
        <v>1491.280800294845</v>
      </c>
      <c r="K102" s="39">
        <f t="shared" si="111"/>
        <v>75.586958634136209</v>
      </c>
      <c r="L102" s="39">
        <f t="shared" si="112"/>
        <v>1997.7092149425655</v>
      </c>
      <c r="M102" s="39">
        <f t="shared" si="113"/>
        <v>16744.582675484806</v>
      </c>
      <c r="N102" s="39">
        <f t="shared" si="114"/>
        <v>965.0719445888526</v>
      </c>
      <c r="O102" s="39">
        <f t="shared" si="115"/>
        <v>441.64888289494803</v>
      </c>
      <c r="P102" s="39">
        <f t="shared" si="116"/>
        <v>1519.1380466059641</v>
      </c>
      <c r="Q102" s="39">
        <f t="shared" si="117"/>
        <v>6691.4713324084532</v>
      </c>
      <c r="R102" s="39">
        <f t="shared" si="118"/>
        <v>1002.6153760051473</v>
      </c>
      <c r="S102" s="39">
        <f t="shared" si="119"/>
        <v>8319.4660941005786</v>
      </c>
      <c r="T102" s="39">
        <f t="shared" si="120"/>
        <v>456.91951463871624</v>
      </c>
      <c r="U102" s="39">
        <f t="shared" si="121"/>
        <v>1189.5632020294368</v>
      </c>
      <c r="V102" s="39">
        <f t="shared" si="122"/>
        <v>76.995663150306797</v>
      </c>
      <c r="W102" s="39">
        <f t="shared" si="123"/>
        <v>60.76472760270741</v>
      </c>
      <c r="X102" s="39">
        <f t="shared" si="124"/>
        <v>15424.018942867042</v>
      </c>
      <c r="Y102" s="39">
        <f t="shared" si="125"/>
        <v>144.42860905196542</v>
      </c>
      <c r="Z102" s="39">
        <f t="shared" si="126"/>
        <v>656.4331422309051</v>
      </c>
      <c r="AA102" s="39">
        <f t="shared" si="127"/>
        <v>61.522783297025583</v>
      </c>
      <c r="AB102" s="39">
        <f t="shared" si="128"/>
        <v>521.27908374765832</v>
      </c>
      <c r="AC102" s="39">
        <f t="shared" si="129"/>
        <v>89.16484856154554</v>
      </c>
      <c r="AD102" s="39">
        <f t="shared" si="130"/>
        <v>145.57112664501349</v>
      </c>
      <c r="AE102" s="39">
        <f t="shared" si="131"/>
        <v>14.77945769450492</v>
      </c>
      <c r="AF102" s="39">
        <f t="shared" si="132"/>
        <v>1564.0363378496274</v>
      </c>
      <c r="AG102" s="39">
        <f t="shared" si="133"/>
        <v>1041.9632638859591</v>
      </c>
      <c r="AH102" s="39">
        <f t="shared" si="134"/>
        <v>6092.6909990920394</v>
      </c>
      <c r="AI102" s="39">
        <f t="shared" si="135"/>
        <v>465.66030855306502</v>
      </c>
      <c r="AJ102" s="39">
        <f t="shared" si="136"/>
        <v>1855.5518928523431</v>
      </c>
      <c r="AK102" s="39">
        <f t="shared" si="137"/>
        <v>724.95329021442785</v>
      </c>
      <c r="AL102" s="39">
        <f t="shared" si="138"/>
        <v>2285.3743993073631</v>
      </c>
      <c r="AM102" s="39">
        <f t="shared" si="139"/>
        <v>417.46729184573456</v>
      </c>
      <c r="AN102" s="39">
        <f t="shared" si="140"/>
        <v>525.07954368861863</v>
      </c>
      <c r="AO102" s="39">
        <f t="shared" si="141"/>
        <v>3146.2023537632404</v>
      </c>
    </row>
    <row r="103" spans="4:41" ht="14.4">
      <c r="D103">
        <f t="shared" si="107"/>
        <v>2062</v>
      </c>
      <c r="E103" s="39">
        <f t="shared" si="108"/>
        <v>177.2252737222116</v>
      </c>
      <c r="F103" s="39">
        <f t="shared" si="142"/>
        <v>1323.0350167627089</v>
      </c>
      <c r="G103" s="39">
        <f t="shared" si="143"/>
        <v>244.37549613762724</v>
      </c>
      <c r="H103" s="39">
        <f t="shared" si="144"/>
        <v>795.00620678905739</v>
      </c>
      <c r="I103" s="39">
        <f t="shared" si="109"/>
        <v>700.37531816773719</v>
      </c>
      <c r="J103" s="39">
        <f t="shared" si="110"/>
        <v>1485.3216422168668</v>
      </c>
      <c r="K103" s="39">
        <f t="shared" si="111"/>
        <v>75.284913147434196</v>
      </c>
      <c r="L103" s="39">
        <f t="shared" si="112"/>
        <v>1989.726368919655</v>
      </c>
      <c r="M103" s="39">
        <f t="shared" si="113"/>
        <v>16677.671323113569</v>
      </c>
      <c r="N103" s="39">
        <f t="shared" si="114"/>
        <v>961.21551709827554</v>
      </c>
      <c r="O103" s="39">
        <f t="shared" si="115"/>
        <v>439.88405395889981</v>
      </c>
      <c r="P103" s="39">
        <f t="shared" si="116"/>
        <v>1513.0675709717266</v>
      </c>
      <c r="Q103" s="39">
        <f t="shared" si="117"/>
        <v>6663.3966622009139</v>
      </c>
      <c r="R103" s="39">
        <f t="shared" si="118"/>
        <v>998.60892496263068</v>
      </c>
      <c r="S103" s="39">
        <f t="shared" si="119"/>
        <v>8286.2215075885524</v>
      </c>
      <c r="T103" s="39">
        <f t="shared" si="120"/>
        <v>455.09366425821992</v>
      </c>
      <c r="U103" s="39">
        <f t="shared" si="121"/>
        <v>1184.8097074741272</v>
      </c>
      <c r="V103" s="39">
        <f t="shared" si="122"/>
        <v>75.006788175471215</v>
      </c>
      <c r="W103" s="39">
        <f t="shared" si="123"/>
        <v>60.521911751206993</v>
      </c>
      <c r="X103" s="39">
        <f t="shared" si="124"/>
        <v>15362.384563171345</v>
      </c>
      <c r="Y103" s="39">
        <f t="shared" si="125"/>
        <v>143.85147233019376</v>
      </c>
      <c r="Z103" s="39">
        <f t="shared" si="126"/>
        <v>653.81003539455037</v>
      </c>
      <c r="AA103" s="39">
        <f t="shared" si="127"/>
        <v>61.276938254970666</v>
      </c>
      <c r="AB103" s="39">
        <f t="shared" si="128"/>
        <v>519.19605252900271</v>
      </c>
      <c r="AC103" s="39">
        <f t="shared" si="129"/>
        <v>88.808545826693603</v>
      </c>
      <c r="AD103" s="39">
        <f t="shared" si="130"/>
        <v>144.98942442294003</v>
      </c>
      <c r="AE103" s="39">
        <f t="shared" si="131"/>
        <v>14.720398981557679</v>
      </c>
      <c r="AF103" s="39">
        <f t="shared" si="132"/>
        <v>1557.7864486435803</v>
      </c>
      <c r="AG103" s="39">
        <f t="shared" si="133"/>
        <v>1037.7995786834708</v>
      </c>
      <c r="AH103" s="39">
        <f t="shared" si="134"/>
        <v>6068.3446058596674</v>
      </c>
      <c r="AI103" s="39">
        <f t="shared" si="135"/>
        <v>463.799529960087</v>
      </c>
      <c r="AJ103" s="39">
        <f t="shared" si="136"/>
        <v>1848.1371074885051</v>
      </c>
      <c r="AK103" s="39">
        <f t="shared" si="137"/>
        <v>722.05637686673094</v>
      </c>
      <c r="AL103" s="39">
        <f t="shared" si="138"/>
        <v>2279.8927916881607</v>
      </c>
      <c r="AM103" s="39">
        <f t="shared" si="139"/>
        <v>415.79909254751902</v>
      </c>
      <c r="AN103" s="39">
        <f t="shared" si="140"/>
        <v>522.98132583203892</v>
      </c>
      <c r="AO103" s="39">
        <f t="shared" si="141"/>
        <v>3118.3887448154701</v>
      </c>
    </row>
    <row r="104" spans="4:41" ht="9.9" customHeight="1">
      <c r="D104">
        <f t="shared" si="107"/>
        <v>2064</v>
      </c>
      <c r="E104" s="39">
        <f t="shared" si="108"/>
        <v>176.51708152841763</v>
      </c>
      <c r="F104" s="39">
        <f t="shared" si="142"/>
        <v>1317.7481688357252</v>
      </c>
      <c r="G104" s="39">
        <f t="shared" si="143"/>
        <v>243.39897165506127</v>
      </c>
      <c r="H104" s="39">
        <f t="shared" si="144"/>
        <v>791.03614454390458</v>
      </c>
      <c r="I104" s="39">
        <f t="shared" si="109"/>
        <v>697.57661839633886</v>
      </c>
      <c r="J104" s="39">
        <f t="shared" si="110"/>
        <v>1479.3862969345682</v>
      </c>
      <c r="K104" s="39">
        <f t="shared" si="111"/>
        <v>74.984074634497048</v>
      </c>
      <c r="L104" s="39">
        <f t="shared" si="112"/>
        <v>1981.7754223494521</v>
      </c>
      <c r="M104" s="39">
        <f t="shared" si="113"/>
        <v>16611.027348506406</v>
      </c>
      <c r="N104" s="39">
        <f t="shared" si="114"/>
        <v>957.37449989195079</v>
      </c>
      <c r="O104" s="39">
        <f t="shared" si="115"/>
        <v>438.12627727928003</v>
      </c>
      <c r="P104" s="39">
        <f t="shared" si="116"/>
        <v>1507.0213529581235</v>
      </c>
      <c r="Q104" s="39">
        <f t="shared" si="117"/>
        <v>6635.4397817989502</v>
      </c>
      <c r="R104" s="39">
        <f t="shared" si="118"/>
        <v>994.61848369847996</v>
      </c>
      <c r="S104" s="39">
        <f t="shared" si="119"/>
        <v>8253.1097664442277</v>
      </c>
      <c r="T104" s="39">
        <f t="shared" si="120"/>
        <v>453.27510997584409</v>
      </c>
      <c r="U104" s="39">
        <f t="shared" si="121"/>
        <v>1180.0752078830606</v>
      </c>
      <c r="V104" s="39">
        <f t="shared" si="122"/>
        <v>73.069287830110611</v>
      </c>
      <c r="W104" s="39">
        <f t="shared" si="123"/>
        <v>60.280066191849173</v>
      </c>
      <c r="X104" s="39">
        <f t="shared" si="124"/>
        <v>15300.996474456912</v>
      </c>
      <c r="Y104" s="39">
        <f t="shared" si="125"/>
        <v>143.27664184676232</v>
      </c>
      <c r="Z104" s="39">
        <f t="shared" si="126"/>
        <v>651.19741049311369</v>
      </c>
      <c r="AA104" s="39">
        <f t="shared" si="127"/>
        <v>61.032075609703803</v>
      </c>
      <c r="AB104" s="39">
        <f t="shared" si="128"/>
        <v>517.12134510309681</v>
      </c>
      <c r="AC104" s="39">
        <f t="shared" si="129"/>
        <v>88.453666877570129</v>
      </c>
      <c r="AD104" s="39">
        <f t="shared" si="130"/>
        <v>144.41004668294596</v>
      </c>
      <c r="AE104" s="39">
        <f t="shared" si="131"/>
        <v>14.661576267227375</v>
      </c>
      <c r="AF104" s="39">
        <f t="shared" si="132"/>
        <v>1551.5615339948006</v>
      </c>
      <c r="AG104" s="39">
        <f t="shared" si="133"/>
        <v>1033.6525315670517</v>
      </c>
      <c r="AH104" s="39">
        <f t="shared" si="134"/>
        <v>6044.095500814652</v>
      </c>
      <c r="AI104" s="39">
        <f t="shared" si="135"/>
        <v>461.94618703836647</v>
      </c>
      <c r="AJ104" s="39">
        <f t="shared" si="136"/>
        <v>1840.751951606981</v>
      </c>
      <c r="AK104" s="39">
        <f t="shared" si="137"/>
        <v>719.17103958477151</v>
      </c>
      <c r="AL104" s="39">
        <f t="shared" si="138"/>
        <v>2274.4243320337291</v>
      </c>
      <c r="AM104" s="39">
        <f t="shared" si="139"/>
        <v>414.13755937369916</v>
      </c>
      <c r="AN104" s="39">
        <f t="shared" si="140"/>
        <v>520.89149245401404</v>
      </c>
      <c r="AO104" s="39">
        <f t="shared" si="141"/>
        <v>3090.8210186036827</v>
      </c>
    </row>
    <row r="105" spans="4:41" ht="14.4">
      <c r="D105">
        <f t="shared" si="107"/>
        <v>2066</v>
      </c>
      <c r="E105" s="39">
        <f t="shared" si="108"/>
        <v>175.81171927063008</v>
      </c>
      <c r="F105" s="39">
        <f t="shared" si="142"/>
        <v>1312.4824471530576</v>
      </c>
      <c r="G105" s="39">
        <f t="shared" si="143"/>
        <v>242.42634936432765</v>
      </c>
      <c r="H105" s="39">
        <f t="shared" si="144"/>
        <v>787.08590779708857</v>
      </c>
      <c r="I105" s="39">
        <f t="shared" si="109"/>
        <v>694.78910222922707</v>
      </c>
      <c r="J105" s="39">
        <f t="shared" si="110"/>
        <v>1473.4746692920178</v>
      </c>
      <c r="K105" s="39">
        <f t="shared" si="111"/>
        <v>74.684438272257594</v>
      </c>
      <c r="L105" s="39">
        <f t="shared" si="112"/>
        <v>1973.8562477617438</v>
      </c>
      <c r="M105" s="39">
        <f t="shared" si="113"/>
        <v>16544.649683221774</v>
      </c>
      <c r="N105" s="39">
        <f t="shared" si="114"/>
        <v>953.54883139038259</v>
      </c>
      <c r="O105" s="39">
        <f t="shared" si="115"/>
        <v>436.375524675272</v>
      </c>
      <c r="P105" s="39">
        <f t="shared" si="116"/>
        <v>1500.9992956317028</v>
      </c>
      <c r="Q105" s="39">
        <f t="shared" si="117"/>
        <v>6607.6001970048319</v>
      </c>
      <c r="R105" s="39">
        <f t="shared" si="118"/>
        <v>990.64398823762087</v>
      </c>
      <c r="S105" s="39">
        <f t="shared" si="119"/>
        <v>8220.1303398175169</v>
      </c>
      <c r="T105" s="39">
        <f t="shared" si="120"/>
        <v>451.4638226363806</v>
      </c>
      <c r="U105" s="39">
        <f t="shared" si="121"/>
        <v>1175.3596273523599</v>
      </c>
      <c r="V105" s="39">
        <f t="shared" si="122"/>
        <v>71.181835056171025</v>
      </c>
      <c r="W105" s="39">
        <f t="shared" si="123"/>
        <v>60.039187047346545</v>
      </c>
      <c r="X105" s="39">
        <f t="shared" si="124"/>
        <v>15239.853692544983</v>
      </c>
      <c r="Y105" s="39">
        <f t="shared" si="125"/>
        <v>142.70410838594265</v>
      </c>
      <c r="Z105" s="39">
        <f t="shared" si="126"/>
        <v>648.59522564078316</v>
      </c>
      <c r="AA105" s="39">
        <f t="shared" si="127"/>
        <v>60.788191435567427</v>
      </c>
      <c r="AB105" s="39">
        <f t="shared" si="128"/>
        <v>515.05492820806489</v>
      </c>
      <c r="AC105" s="39">
        <f t="shared" si="129"/>
        <v>88.100206024727356</v>
      </c>
      <c r="AD105" s="39">
        <f t="shared" si="130"/>
        <v>143.83298413640091</v>
      </c>
      <c r="AE105" s="39">
        <f t="shared" si="131"/>
        <v>14.602988608463534</v>
      </c>
      <c r="AF105" s="39">
        <f t="shared" si="132"/>
        <v>1545.3614941049573</v>
      </c>
      <c r="AG105" s="39">
        <f t="shared" si="133"/>
        <v>1029.5220560509097</v>
      </c>
      <c r="AH105" s="39">
        <f t="shared" si="134"/>
        <v>6019.9432951933968</v>
      </c>
      <c r="AI105" s="39">
        <f t="shared" si="135"/>
        <v>460.10025007496114</v>
      </c>
      <c r="AJ105" s="39">
        <f t="shared" si="136"/>
        <v>1833.3963068083594</v>
      </c>
      <c r="AK105" s="39">
        <f t="shared" si="137"/>
        <v>716.29723211059081</v>
      </c>
      <c r="AL105" s="39">
        <f t="shared" si="138"/>
        <v>2268.9689888078865</v>
      </c>
      <c r="AM105" s="39">
        <f t="shared" si="139"/>
        <v>412.48266568644186</v>
      </c>
      <c r="AN105" s="39">
        <f t="shared" si="140"/>
        <v>518.81001005016776</v>
      </c>
      <c r="AO105" s="39">
        <f t="shared" si="141"/>
        <v>3063.4970014322616</v>
      </c>
    </row>
    <row r="107" spans="4:4" ht="14.4">
      <c r="D107" s="9" t="s">
        <v>70</v>
      </c>
    </row>
    <row r="108" spans="2:42" ht="15" thickBot="1">
      <c r="B108" t="s">
        <v>69</v>
      </c>
      <c r="C108" t="s">
        <v>67</v>
      </c>
      <c r="D108" t="s">
        <v>2</v>
      </c>
      <c r="E108" s="8" t="str">
        <f>E$1</f>
        <v>AL</v>
      </c>
      <c r="F108" s="8" t="str">
        <f t="shared" si="145" ref="F108:AO108">F$1</f>
        <v>AT</v>
      </c>
      <c r="G108" s="8" t="str">
        <f t="shared" si="145"/>
        <v>BA</v>
      </c>
      <c r="H108" s="8" t="str">
        <f t="shared" si="145"/>
        <v>BE</v>
      </c>
      <c r="I108" s="8" t="str">
        <f t="shared" si="145"/>
        <v>BG</v>
      </c>
      <c r="J108" s="8" t="str">
        <f t="shared" si="145"/>
        <v>CH</v>
      </c>
      <c r="K108" s="8" t="str">
        <f t="shared" si="145"/>
        <v>CY</v>
      </c>
      <c r="L108" s="8" t="str">
        <f t="shared" si="145"/>
        <v>CZ</v>
      </c>
      <c r="M108" s="8" t="str">
        <f t="shared" si="145"/>
        <v>DE</v>
      </c>
      <c r="N108" s="8" t="str">
        <f t="shared" si="145"/>
        <v>DK</v>
      </c>
      <c r="O108" s="8" t="str">
        <f t="shared" si="145"/>
        <v>EE</v>
      </c>
      <c r="P108" s="8" t="str">
        <f t="shared" si="145"/>
        <v>EL</v>
      </c>
      <c r="Q108" s="8" t="str">
        <f t="shared" si="145"/>
        <v>ES</v>
      </c>
      <c r="R108" s="8" t="str">
        <f t="shared" si="145"/>
        <v>FI</v>
      </c>
      <c r="S108" s="8" t="str">
        <f t="shared" si="145"/>
        <v>FR</v>
      </c>
      <c r="T108" s="8" t="str">
        <f t="shared" si="145"/>
        <v>HR</v>
      </c>
      <c r="U108" s="8" t="str">
        <f t="shared" si="145"/>
        <v>HU</v>
      </c>
      <c r="V108" s="8" t="str">
        <f t="shared" si="145"/>
        <v>IE</v>
      </c>
      <c r="W108" s="8" t="str">
        <f t="shared" si="145"/>
        <v>IS</v>
      </c>
      <c r="X108" s="8" t="str">
        <f t="shared" si="145"/>
        <v>IT</v>
      </c>
      <c r="Y108" s="8" t="str">
        <f t="shared" si="145"/>
        <v>KS</v>
      </c>
      <c r="Z108" s="8" t="str">
        <f t="shared" si="145"/>
        <v>LT</v>
      </c>
      <c r="AA108" s="8" t="str">
        <f t="shared" si="145"/>
        <v>LU</v>
      </c>
      <c r="AB108" s="8" t="str">
        <f t="shared" si="145"/>
        <v>LV</v>
      </c>
      <c r="AC108" s="8" t="str">
        <f t="shared" si="145"/>
        <v>ME</v>
      </c>
      <c r="AD108" s="8" t="str">
        <f t="shared" si="145"/>
        <v>MK</v>
      </c>
      <c r="AE108" s="8" t="str">
        <f t="shared" si="145"/>
        <v>MT</v>
      </c>
      <c r="AF108" s="8" t="str">
        <f t="shared" si="145"/>
        <v>NL</v>
      </c>
      <c r="AG108" s="8" t="str">
        <f t="shared" si="145"/>
        <v>NO</v>
      </c>
      <c r="AH108" s="8" t="str">
        <f t="shared" si="145"/>
        <v>PL</v>
      </c>
      <c r="AI108" s="8" t="str">
        <f t="shared" si="145"/>
        <v>PT</v>
      </c>
      <c r="AJ108" s="8" t="str">
        <f t="shared" si="145"/>
        <v>RO</v>
      </c>
      <c r="AK108" s="8" t="str">
        <f t="shared" si="145"/>
        <v>RS</v>
      </c>
      <c r="AL108" s="8" t="str">
        <f t="shared" si="145"/>
        <v>SE</v>
      </c>
      <c r="AM108" s="8" t="str">
        <f t="shared" si="145"/>
        <v>SI</v>
      </c>
      <c r="AN108" s="8" t="str">
        <f t="shared" si="145"/>
        <v>SK</v>
      </c>
      <c r="AO108" s="8" t="str">
        <f t="shared" si="145"/>
        <v>UK</v>
      </c>
      <c r="AP108" t="s">
        <v>68</v>
      </c>
    </row>
    <row r="109" spans="2:42" ht="15" thickTop="1">
      <c r="B109" t="str">
        <f>"UCR_OldStock-"&amp;MID(C109,5,20)</f>
        <v>UCR_OldStock-SDetH</v>
      </c>
      <c r="C109" s="7" t="str">
        <f>D12</f>
        <v>Rdw_SDetH</v>
      </c>
      <c r="D109">
        <v>2012</v>
      </c>
      <c r="E109" s="39">
        <f>E5*(1-E$12)^2</f>
        <v>48.07462166086269</v>
      </c>
      <c r="F109" s="39">
        <f t="shared" si="146" ref="F109:AO109">F5*(1-F$12)^2</f>
        <v>468.5609258332484</v>
      </c>
      <c r="G109" s="39">
        <f t="shared" si="146"/>
        <v>79.523588565990849</v>
      </c>
      <c r="H109" s="39">
        <f t="shared" si="146"/>
        <v>1577.7679678142422</v>
      </c>
      <c r="I109" s="39">
        <f t="shared" si="146"/>
        <v>333.99280930961123</v>
      </c>
      <c r="J109" s="39">
        <f t="shared" si="146"/>
        <v>940.31948220057848</v>
      </c>
      <c r="K109" s="39">
        <f t="shared" si="146"/>
        <v>107.6722942890447</v>
      </c>
      <c r="L109" s="39">
        <f t="shared" si="146"/>
        <v>606.34789434708944</v>
      </c>
      <c r="M109" s="39">
        <f t="shared" si="146"/>
        <v>8052.8655219511329</v>
      </c>
      <c r="N109" s="39">
        <f t="shared" si="146"/>
        <v>528.88320359264173</v>
      </c>
      <c r="O109" s="39">
        <f t="shared" si="146"/>
        <v>51.598665045429065</v>
      </c>
      <c r="P109" s="39">
        <f t="shared" si="146"/>
        <v>410.43892608568558</v>
      </c>
      <c r="Q109" s="39">
        <f t="shared" si="146"/>
        <v>2147.9710642329442</v>
      </c>
      <c r="R109" s="39">
        <f t="shared" si="146"/>
        <v>596.31378599865525</v>
      </c>
      <c r="S109" s="39">
        <f t="shared" si="146"/>
        <v>5578.1912100362806</v>
      </c>
      <c r="T109" s="39">
        <f t="shared" si="146"/>
        <v>226.72994956127465</v>
      </c>
      <c r="U109" s="39">
        <f t="shared" si="146"/>
        <v>565.26305116611582</v>
      </c>
      <c r="V109" s="39">
        <f t="shared" si="146"/>
        <v>682.09332461484212</v>
      </c>
      <c r="W109" s="39">
        <f t="shared" si="146"/>
        <v>40.547625941661458</v>
      </c>
      <c r="X109" s="39">
        <f t="shared" si="146"/>
        <v>3740.6504848625914</v>
      </c>
      <c r="Y109" s="39">
        <f t="shared" si="146"/>
        <v>46.811507213291954</v>
      </c>
      <c r="Z109" s="39">
        <f t="shared" si="146"/>
        <v>131.26720287695503</v>
      </c>
      <c r="AA109" s="39">
        <f t="shared" si="146"/>
        <v>67.418138659356885</v>
      </c>
      <c r="AB109" s="39">
        <f t="shared" si="146"/>
        <v>73.321447851981915</v>
      </c>
      <c r="AC109" s="39">
        <f t="shared" si="146"/>
        <v>24.090453642417419</v>
      </c>
      <c r="AD109" s="39">
        <f t="shared" si="146"/>
        <v>63.035209450772172</v>
      </c>
      <c r="AE109" s="39">
        <f t="shared" si="146"/>
        <v>45.41048953965899</v>
      </c>
      <c r="AF109" s="39">
        <f t="shared" si="146"/>
        <v>3344.0991422004563</v>
      </c>
      <c r="AG109" s="39">
        <f t="shared" si="146"/>
        <v>362.67551210496742</v>
      </c>
      <c r="AH109" s="39">
        <f t="shared" si="146"/>
        <v>1242.6895488896439</v>
      </c>
      <c r="AI109" s="39">
        <f t="shared" si="146"/>
        <v>329.50801338625666</v>
      </c>
      <c r="AJ109" s="39">
        <f t="shared" si="146"/>
        <v>601.68456748739266</v>
      </c>
      <c r="AK109" s="39">
        <f t="shared" si="146"/>
        <v>234.96837916622363</v>
      </c>
      <c r="AL109" s="39">
        <f t="shared" si="146"/>
        <v>564.13151322041665</v>
      </c>
      <c r="AM109" s="39">
        <f t="shared" si="146"/>
        <v>64.615900255718643</v>
      </c>
      <c r="AN109" s="39">
        <f t="shared" si="146"/>
        <v>127.9000800677766</v>
      </c>
      <c r="AO109" s="39">
        <f t="shared" si="146"/>
        <v>13113.824052031639</v>
      </c>
      <c r="AP109">
        <v>1</v>
      </c>
    </row>
    <row r="110" spans="4:41" ht="14.4">
      <c r="D110">
        <f>D109+2</f>
        <v>2014</v>
      </c>
      <c r="E110" s="39">
        <f>E109*(1-E$12)^2</f>
        <v>47.882515472705883</v>
      </c>
      <c r="F110" s="39">
        <f t="shared" si="147" ref="F110:AO117">F109*(1-F$12)^2</f>
        <v>466.68855637361872</v>
      </c>
      <c r="G110" s="39">
        <f t="shared" si="147"/>
        <v>79.205812306081143</v>
      </c>
      <c r="H110" s="39">
        <f t="shared" si="147"/>
        <v>1569.88898902497</v>
      </c>
      <c r="I110" s="39">
        <f t="shared" si="147"/>
        <v>332.65817404361002</v>
      </c>
      <c r="J110" s="39">
        <f t="shared" si="147"/>
        <v>936.56196554970495</v>
      </c>
      <c r="K110" s="39">
        <f t="shared" si="147"/>
        <v>107.24203580106568</v>
      </c>
      <c r="L110" s="39">
        <f t="shared" si="147"/>
        <v>603.92492816127844</v>
      </c>
      <c r="M110" s="39">
        <f t="shared" si="147"/>
        <v>8020.6862713254159</v>
      </c>
      <c r="N110" s="39">
        <f t="shared" si="147"/>
        <v>526.76978631108557</v>
      </c>
      <c r="O110" s="39">
        <f t="shared" si="147"/>
        <v>51.392476779907533</v>
      </c>
      <c r="P110" s="39">
        <f t="shared" si="147"/>
        <v>408.79881213704721</v>
      </c>
      <c r="Q110" s="39">
        <f t="shared" si="147"/>
        <v>2138.9590583155591</v>
      </c>
      <c r="R110" s="39">
        <f t="shared" si="147"/>
        <v>593.93091610980457</v>
      </c>
      <c r="S110" s="39">
        <f t="shared" si="147"/>
        <v>5555.9007579609761</v>
      </c>
      <c r="T110" s="39">
        <f t="shared" si="147"/>
        <v>225.82393668282779</v>
      </c>
      <c r="U110" s="39">
        <f t="shared" si="147"/>
        <v>563.00426001365599</v>
      </c>
      <c r="V110" s="39">
        <f t="shared" si="147"/>
        <v>664.47417194671607</v>
      </c>
      <c r="W110" s="39">
        <f t="shared" si="147"/>
        <v>40.385597628398578</v>
      </c>
      <c r="X110" s="39">
        <f t="shared" si="147"/>
        <v>3725.7028455250806</v>
      </c>
      <c r="Y110" s="39">
        <f t="shared" si="147"/>
        <v>46.624448430467638</v>
      </c>
      <c r="Z110" s="39">
        <f t="shared" si="147"/>
        <v>130.7426591342587</v>
      </c>
      <c r="AA110" s="39">
        <f t="shared" si="147"/>
        <v>67.148735777274098</v>
      </c>
      <c r="AB110" s="39">
        <f t="shared" si="147"/>
        <v>73.028455346365391</v>
      </c>
      <c r="AC110" s="39">
        <f t="shared" si="147"/>
        <v>23.994188189662317</v>
      </c>
      <c r="AD110" s="39">
        <f t="shared" si="147"/>
        <v>62.783320753806883</v>
      </c>
      <c r="AE110" s="39">
        <f t="shared" si="147"/>
        <v>45.229029223458511</v>
      </c>
      <c r="AF110" s="39">
        <f t="shared" si="147"/>
        <v>3330.7361220282232</v>
      </c>
      <c r="AG110" s="39">
        <f t="shared" si="147"/>
        <v>361.22626075859597</v>
      </c>
      <c r="AH110" s="39">
        <f t="shared" si="147"/>
        <v>1237.723761452281</v>
      </c>
      <c r="AI110" s="39">
        <f t="shared" si="147"/>
        <v>328.1912993647652</v>
      </c>
      <c r="AJ110" s="39">
        <f t="shared" si="147"/>
        <v>599.28023595571301</v>
      </c>
      <c r="AK110" s="39">
        <f t="shared" si="147"/>
        <v>234.0294455230754</v>
      </c>
      <c r="AL110" s="39">
        <f t="shared" si="147"/>
        <v>562.77840993806672</v>
      </c>
      <c r="AM110" s="39">
        <f t="shared" si="147"/>
        <v>64.357695118296789</v>
      </c>
      <c r="AN110" s="39">
        <f t="shared" si="147"/>
        <v>127.38899134782577</v>
      </c>
      <c r="AO110" s="39">
        <f t="shared" si="147"/>
        <v>12997.892928416277</v>
      </c>
    </row>
    <row r="111" spans="4:41" ht="14.4">
      <c r="D111">
        <f t="shared" si="148" ref="D111:D136">D110+2</f>
        <v>2016</v>
      </c>
      <c r="E111" s="39">
        <f t="shared" si="149" ref="E111:E136">E110*(1-E$12)^2</f>
        <v>47.69117694087695</v>
      </c>
      <c r="F111" s="39">
        <f t="shared" si="147"/>
        <v>464.82366890234977</v>
      </c>
      <c r="G111" s="39">
        <f t="shared" si="147"/>
        <v>78.889305880106036</v>
      </c>
      <c r="H111" s="39">
        <f t="shared" si="147"/>
        <v>1562.0493558860267</v>
      </c>
      <c r="I111" s="39">
        <f t="shared" si="147"/>
        <v>331.32887198013174</v>
      </c>
      <c r="J111" s="39">
        <f t="shared" si="147"/>
        <v>932.81946393536828</v>
      </c>
      <c r="K111" s="39">
        <f t="shared" si="147"/>
        <v>106.81349662600462</v>
      </c>
      <c r="L111" s="39">
        <f t="shared" si="147"/>
        <v>601.51164414834602</v>
      </c>
      <c r="M111" s="39">
        <f t="shared" si="147"/>
        <v>7988.6356089851997</v>
      </c>
      <c r="N111" s="39">
        <f t="shared" si="147"/>
        <v>524.66481424498647</v>
      </c>
      <c r="O111" s="39">
        <f t="shared" si="147"/>
        <v>51.187112442695025</v>
      </c>
      <c r="P111" s="39">
        <f t="shared" si="147"/>
        <v>407.16525208374759</v>
      </c>
      <c r="Q111" s="39">
        <f t="shared" si="147"/>
        <v>2129.9848630800807</v>
      </c>
      <c r="R111" s="39">
        <f t="shared" si="147"/>
        <v>591.55756816902976</v>
      </c>
      <c r="S111" s="39">
        <f t="shared" si="147"/>
        <v>5533.6993785321638</v>
      </c>
      <c r="T111" s="39">
        <f t="shared" si="147"/>
        <v>224.9215442318432</v>
      </c>
      <c r="U111" s="39">
        <f t="shared" si="147"/>
        <v>560.75449499064143</v>
      </c>
      <c r="V111" s="39">
        <f t="shared" si="147"/>
        <v>647.31013961116037</v>
      </c>
      <c r="W111" s="39">
        <f t="shared" si="147"/>
        <v>40.224216780275498</v>
      </c>
      <c r="X111" s="39">
        <f t="shared" si="147"/>
        <v>3710.8149369543626</v>
      </c>
      <c r="Y111" s="39">
        <f t="shared" si="147"/>
        <v>46.438137134539488</v>
      </c>
      <c r="Z111" s="39">
        <f t="shared" si="147"/>
        <v>130.2202114683582</v>
      </c>
      <c r="AA111" s="39">
        <f t="shared" si="147"/>
        <v>66.880409429108113</v>
      </c>
      <c r="AB111" s="39">
        <f t="shared" si="147"/>
        <v>72.736633638801308</v>
      </c>
      <c r="AC111" s="39">
        <f t="shared" si="147"/>
        <v>23.898307413656426</v>
      </c>
      <c r="AD111" s="39">
        <f t="shared" si="147"/>
        <v>62.53243860407467</v>
      </c>
      <c r="AE111" s="39">
        <f t="shared" si="147"/>
        <v>45.048294022681574</v>
      </c>
      <c r="AF111" s="39">
        <f t="shared" si="147"/>
        <v>3317.4265004845984</v>
      </c>
      <c r="AG111" s="39">
        <f t="shared" si="147"/>
        <v>359.78280062060463</v>
      </c>
      <c r="AH111" s="39">
        <f t="shared" si="147"/>
        <v>1232.7778173015176</v>
      </c>
      <c r="AI111" s="39">
        <f t="shared" si="147"/>
        <v>326.8798469325036</v>
      </c>
      <c r="AJ111" s="39">
        <f t="shared" si="147"/>
        <v>596.88551213283404</v>
      </c>
      <c r="AK111" s="39">
        <f t="shared" si="147"/>
        <v>233.09426385876517</v>
      </c>
      <c r="AL111" s="39">
        <f t="shared" si="147"/>
        <v>561.42855215512566</v>
      </c>
      <c r="AM111" s="39">
        <f t="shared" si="147"/>
        <v>64.100521768604068</v>
      </c>
      <c r="AN111" s="39">
        <f t="shared" si="147"/>
        <v>126.87994493839986</v>
      </c>
      <c r="AO111" s="39">
        <f t="shared" si="147"/>
        <v>12882.986679419439</v>
      </c>
    </row>
    <row r="112" spans="4:41" ht="14.4">
      <c r="D112">
        <f t="shared" si="148"/>
        <v>2018</v>
      </c>
      <c r="E112" s="39">
        <f t="shared" si="149"/>
        <v>47.500602997821204</v>
      </c>
      <c r="F112" s="39">
        <f t="shared" si="147"/>
        <v>462.96623352141597</v>
      </c>
      <c r="G112" s="39">
        <f t="shared" si="147"/>
        <v>78.574064213809137</v>
      </c>
      <c r="H112" s="39">
        <f t="shared" si="147"/>
        <v>1554.248871915071</v>
      </c>
      <c r="I112" s="39">
        <f t="shared" si="147"/>
        <v>330.00488180769912</v>
      </c>
      <c r="J112" s="39">
        <f t="shared" si="147"/>
        <v>929.09191735748254</v>
      </c>
      <c r="K112" s="39">
        <f t="shared" si="147"/>
        <v>106.38666989348711</v>
      </c>
      <c r="L112" s="39">
        <f t="shared" si="147"/>
        <v>599.10800361832923</v>
      </c>
      <c r="M112" s="39">
        <f t="shared" si="147"/>
        <v>7956.7130210916948</v>
      </c>
      <c r="N112" s="39">
        <f t="shared" si="147"/>
        <v>522.56825364726353</v>
      </c>
      <c r="O112" s="39">
        <f t="shared" si="147"/>
        <v>50.982568741374017</v>
      </c>
      <c r="P112" s="39">
        <f t="shared" si="147"/>
        <v>405.53821973642096</v>
      </c>
      <c r="Q112" s="39">
        <f t="shared" si="147"/>
        <v>2121.0483198883903</v>
      </c>
      <c r="R112" s="39">
        <f t="shared" si="147"/>
        <v>589.19370412662636</v>
      </c>
      <c r="S112" s="39">
        <f t="shared" si="147"/>
        <v>5511.5867158155488</v>
      </c>
      <c r="T112" s="39">
        <f t="shared" si="147"/>
        <v>224.02275774109276</v>
      </c>
      <c r="U112" s="39">
        <f t="shared" si="147"/>
        <v>558.51372002865878</v>
      </c>
      <c r="V112" s="39">
        <f t="shared" si="147"/>
        <v>630.5894713948644</v>
      </c>
      <c r="W112" s="39">
        <f t="shared" si="147"/>
        <v>40.063480810021517</v>
      </c>
      <c r="X112" s="39">
        <f t="shared" si="147"/>
        <v>3695.9865204662929</v>
      </c>
      <c r="Y112" s="39">
        <f t="shared" si="147"/>
        <v>46.252570338549866</v>
      </c>
      <c r="Z112" s="39">
        <f t="shared" si="147"/>
        <v>129.69985150333065</v>
      </c>
      <c r="AA112" s="39">
        <f t="shared" si="147"/>
        <v>66.613155313029395</v>
      </c>
      <c r="AB112" s="39">
        <f t="shared" si="147"/>
        <v>72.445978050780653</v>
      </c>
      <c r="AC112" s="39">
        <f t="shared" si="147"/>
        <v>23.802809777231456</v>
      </c>
      <c r="AD112" s="39">
        <f t="shared" si="147"/>
        <v>62.282558979412791</v>
      </c>
      <c r="AE112" s="39">
        <f t="shared" si="147"/>
        <v>44.868281039766941</v>
      </c>
      <c r="AF112" s="39">
        <f t="shared" si="147"/>
        <v>3304.1700641886619</v>
      </c>
      <c r="AG112" s="39">
        <f t="shared" si="147"/>
        <v>358.34510854932472</v>
      </c>
      <c r="AH112" s="39">
        <f t="shared" si="147"/>
        <v>1227.8516371435808</v>
      </c>
      <c r="AI112" s="39">
        <f t="shared" si="147"/>
        <v>325.57363506416129</v>
      </c>
      <c r="AJ112" s="39">
        <f t="shared" si="147"/>
        <v>594.50035762635127</v>
      </c>
      <c r="AK112" s="39">
        <f t="shared" si="147"/>
        <v>232.16281918038555</v>
      </c>
      <c r="AL112" s="39">
        <f t="shared" si="147"/>
        <v>560.08193208706848</v>
      </c>
      <c r="AM112" s="39">
        <f t="shared" si="147"/>
        <v>63.844376083616723</v>
      </c>
      <c r="AN112" s="39">
        <f t="shared" si="147"/>
        <v>126.37293267842601</v>
      </c>
      <c r="AO112" s="39">
        <f t="shared" si="147"/>
        <v>12769.096244765065</v>
      </c>
    </row>
    <row r="113" spans="4:41" ht="14.4">
      <c r="D113">
        <f t="shared" si="148"/>
        <v>2020</v>
      </c>
      <c r="E113" s="39">
        <f t="shared" si="149"/>
        <v>47.310790588241908</v>
      </c>
      <c r="F113" s="39">
        <f t="shared" si="147"/>
        <v>461.11622045226437</v>
      </c>
      <c r="G113" s="39">
        <f t="shared" si="147"/>
        <v>78.260082253210754</v>
      </c>
      <c r="H113" s="39">
        <f t="shared" si="147"/>
        <v>1546.4873416109454</v>
      </c>
      <c r="I113" s="39">
        <f t="shared" si="147"/>
        <v>328.68618229999555</v>
      </c>
      <c r="J113" s="39">
        <f t="shared" si="147"/>
        <v>925.37926605572204</v>
      </c>
      <c r="K113" s="39">
        <f t="shared" si="147"/>
        <v>105.96154876059273</v>
      </c>
      <c r="L113" s="39">
        <f t="shared" si="147"/>
        <v>596.71396803587038</v>
      </c>
      <c r="M113" s="39">
        <f t="shared" si="147"/>
        <v>7924.9179958594123</v>
      </c>
      <c r="N113" s="39">
        <f t="shared" si="147"/>
        <v>520.4800709056891</v>
      </c>
      <c r="O113" s="39">
        <f t="shared" si="147"/>
        <v>50.778842396683487</v>
      </c>
      <c r="P113" s="39">
        <f t="shared" si="147"/>
        <v>403.9176890103542</v>
      </c>
      <c r="Q113" s="39">
        <f t="shared" si="147"/>
        <v>2112.1492707679499</v>
      </c>
      <c r="R113" s="39">
        <f t="shared" si="147"/>
        <v>586.83928608493636</v>
      </c>
      <c r="S113" s="39">
        <f t="shared" si="147"/>
        <v>5489.5624152991495</v>
      </c>
      <c r="T113" s="39">
        <f t="shared" si="147"/>
        <v>223.12756280115934</v>
      </c>
      <c r="U113" s="39">
        <f t="shared" si="147"/>
        <v>556.28189920342425</v>
      </c>
      <c r="V113" s="39">
        <f t="shared" si="147"/>
        <v>614.30071475926366</v>
      </c>
      <c r="W113" s="39">
        <f t="shared" si="147"/>
        <v>39.903387140704673</v>
      </c>
      <c r="X113" s="39">
        <f t="shared" si="147"/>
        <v>3681.2173583305093</v>
      </c>
      <c r="Y113" s="39">
        <f t="shared" si="147"/>
        <v>46.06774506747702</v>
      </c>
      <c r="Z113" s="39">
        <f t="shared" si="147"/>
        <v>129.18157089672334</v>
      </c>
      <c r="AA113" s="39">
        <f t="shared" si="147"/>
        <v>66.346969144398528</v>
      </c>
      <c r="AB113" s="39">
        <f t="shared" si="147"/>
        <v>72.156483922489727</v>
      </c>
      <c r="AC113" s="39">
        <f t="shared" si="147"/>
        <v>23.707693749361638</v>
      </c>
      <c r="AD113" s="39">
        <f t="shared" si="147"/>
        <v>62.033677873731058</v>
      </c>
      <c r="AE113" s="39">
        <f t="shared" si="147"/>
        <v>44.688987388732031</v>
      </c>
      <c r="AF113" s="39">
        <f t="shared" si="147"/>
        <v>3290.9666006121638</v>
      </c>
      <c r="AG113" s="39">
        <f t="shared" si="147"/>
        <v>356.91316149556161</v>
      </c>
      <c r="AH113" s="39">
        <f t="shared" si="147"/>
        <v>1222.945142001555</v>
      </c>
      <c r="AI113" s="39">
        <f t="shared" si="147"/>
        <v>324.27264281844492</v>
      </c>
      <c r="AJ113" s="39">
        <f t="shared" si="147"/>
        <v>592.12473419727633</v>
      </c>
      <c r="AK113" s="39">
        <f t="shared" si="147"/>
        <v>231.23509655494072</v>
      </c>
      <c r="AL113" s="39">
        <f t="shared" si="147"/>
        <v>558.73854196804177</v>
      </c>
      <c r="AM113" s="39">
        <f t="shared" si="147"/>
        <v>63.589253956786592</v>
      </c>
      <c r="AN113" s="39">
        <f t="shared" si="147"/>
        <v>125.86794643944302</v>
      </c>
      <c r="AO113" s="39">
        <f t="shared" si="147"/>
        <v>12656.212644273339</v>
      </c>
    </row>
    <row r="114" spans="4:41" ht="14.4">
      <c r="D114">
        <f t="shared" si="148"/>
        <v>2022</v>
      </c>
      <c r="E114" s="39">
        <f t="shared" si="149"/>
        <v>47.121736669051295</v>
      </c>
      <c r="F114" s="39">
        <f t="shared" si="147"/>
        <v>459.2736000353371</v>
      </c>
      <c r="G114" s="39">
        <f t="shared" si="147"/>
        <v>77.947354964526923</v>
      </c>
      <c r="H114" s="39">
        <f t="shared" si="147"/>
        <v>1538.7645704487759</v>
      </c>
      <c r="I114" s="39">
        <f t="shared" si="147"/>
        <v>327.37275231552479</v>
      </c>
      <c r="J114" s="39">
        <f t="shared" si="147"/>
        <v>921.68145050856333</v>
      </c>
      <c r="K114" s="39">
        <f t="shared" si="147"/>
        <v>105.53812641174541</v>
      </c>
      <c r="L114" s="39">
        <f t="shared" si="147"/>
        <v>594.3294990195991</v>
      </c>
      <c r="M114" s="39">
        <f t="shared" si="147"/>
        <v>7893.2500235479583</v>
      </c>
      <c r="N114" s="39">
        <f t="shared" si="147"/>
        <v>518.40023254234995</v>
      </c>
      <c r="O114" s="39">
        <f t="shared" si="147"/>
        <v>50.575930142466341</v>
      </c>
      <c r="P114" s="39">
        <f t="shared" si="147"/>
        <v>402.30363392506882</v>
      </c>
      <c r="Q114" s="39">
        <f t="shared" si="147"/>
        <v>2103.2875584090084</v>
      </c>
      <c r="R114" s="39">
        <f t="shared" si="147"/>
        <v>584.49427629774095</v>
      </c>
      <c r="S114" s="39">
        <f t="shared" si="147"/>
        <v>5467.6261238876141</v>
      </c>
      <c r="T114" s="39">
        <f t="shared" si="147"/>
        <v>222.23594506020592</v>
      </c>
      <c r="U114" s="39">
        <f t="shared" si="147"/>
        <v>554.05899673420731</v>
      </c>
      <c r="V114" s="39">
        <f t="shared" si="147"/>
        <v>598.43271299631704</v>
      </c>
      <c r="W114" s="39">
        <f t="shared" si="147"/>
        <v>39.743933205690418</v>
      </c>
      <c r="X114" s="39">
        <f t="shared" si="147"/>
        <v>3666.5072137666207</v>
      </c>
      <c r="Y114" s="39">
        <f t="shared" si="147"/>
        <v>45.883658358187382</v>
      </c>
      <c r="Z114" s="39">
        <f t="shared" si="147"/>
        <v>128.66536133942003</v>
      </c>
      <c r="AA114" s="39">
        <f t="shared" si="147"/>
        <v>66.081846655697518</v>
      </c>
      <c r="AB114" s="39">
        <f t="shared" si="147"/>
        <v>71.868146612735458</v>
      </c>
      <c r="AC114" s="39">
        <f t="shared" si="147"/>
        <v>23.612957805139189</v>
      </c>
      <c r="AD114" s="39">
        <f t="shared" si="147"/>
        <v>61.785791296947629</v>
      </c>
      <c r="AE114" s="39">
        <f t="shared" si="147"/>
        <v>44.51041019512666</v>
      </c>
      <c r="AF114" s="39">
        <f t="shared" si="147"/>
        <v>3277.8158980761177</v>
      </c>
      <c r="AG114" s="39">
        <f t="shared" si="147"/>
        <v>355.48693650222532</v>
      </c>
      <c r="AH114" s="39">
        <f t="shared" si="147"/>
        <v>1218.0582532141168</v>
      </c>
      <c r="AI114" s="39">
        <f t="shared" si="147"/>
        <v>322.97684933774241</v>
      </c>
      <c r="AJ114" s="39">
        <f t="shared" si="147"/>
        <v>589.75860375942398</v>
      </c>
      <c r="AK114" s="39">
        <f t="shared" si="147"/>
        <v>230.31108110910719</v>
      </c>
      <c r="AL114" s="39">
        <f t="shared" si="147"/>
        <v>557.39837405081892</v>
      </c>
      <c r="AM114" s="39">
        <f t="shared" si="147"/>
        <v>63.335151297975273</v>
      </c>
      <c r="AN114" s="39">
        <f t="shared" si="147"/>
        <v>125.364978125471</v>
      </c>
      <c r="AO114" s="39">
        <f t="shared" si="147"/>
        <v>12544.326977152597</v>
      </c>
    </row>
    <row r="115" spans="4:41" ht="14.4">
      <c r="D115">
        <f t="shared" si="148"/>
        <v>2024</v>
      </c>
      <c r="E115" s="39">
        <f t="shared" si="149"/>
        <v>46.933438209321764</v>
      </c>
      <c r="F115" s="39">
        <f t="shared" si="147"/>
        <v>457.43834272959589</v>
      </c>
      <c r="G115" s="39">
        <f t="shared" si="147"/>
        <v>77.635877334088676</v>
      </c>
      <c r="H115" s="39">
        <f t="shared" si="147"/>
        <v>1531.0803648750975</v>
      </c>
      <c r="I115" s="39">
        <f t="shared" si="147"/>
        <v>326.06457079727198</v>
      </c>
      <c r="J115" s="39">
        <f t="shared" si="147"/>
        <v>917.99841143233107</v>
      </c>
      <c r="K115" s="39">
        <f t="shared" si="147"/>
        <v>105.11639605860408</v>
      </c>
      <c r="L115" s="39">
        <f t="shared" si="147"/>
        <v>591.95455834151676</v>
      </c>
      <c r="M115" s="39">
        <f t="shared" si="147"/>
        <v>7861.708596453861</v>
      </c>
      <c r="N115" s="39">
        <f t="shared" si="147"/>
        <v>516.32870521311077</v>
      </c>
      <c r="O115" s="39">
        <f t="shared" si="147"/>
        <v>50.373828725617045</v>
      </c>
      <c r="P115" s="39">
        <f t="shared" si="147"/>
        <v>400.69602860390427</v>
      </c>
      <c r="Q115" s="39">
        <f t="shared" si="147"/>
        <v>2094.4630261618231</v>
      </c>
      <c r="R115" s="39">
        <f t="shared" si="147"/>
        <v>582.15863716965521</v>
      </c>
      <c r="S115" s="39">
        <f t="shared" si="147"/>
        <v>5445.777489896559</v>
      </c>
      <c r="T115" s="39">
        <f t="shared" si="147"/>
        <v>221.34789022374534</v>
      </c>
      <c r="U115" s="39">
        <f t="shared" si="147"/>
        <v>551.84497698325742</v>
      </c>
      <c r="V115" s="39">
        <f t="shared" si="147"/>
        <v>582.97459758690911</v>
      </c>
      <c r="W115" s="39">
        <f t="shared" si="147"/>
        <v>39.585116448600481</v>
      </c>
      <c r="X115" s="39">
        <f t="shared" si="147"/>
        <v>3651.8558509404093</v>
      </c>
      <c r="Y115" s="39">
        <f t="shared" si="147"/>
        <v>45.700307259388069</v>
      </c>
      <c r="Z115" s="39">
        <f t="shared" si="147"/>
        <v>128.15121455550772</v>
      </c>
      <c r="AA115" s="39">
        <f t="shared" si="147"/>
        <v>65.817783596461354</v>
      </c>
      <c r="AB115" s="39">
        <f t="shared" si="147"/>
        <v>71.580961498870963</v>
      </c>
      <c r="AC115" s="39">
        <f t="shared" si="147"/>
        <v>23.518600425749852</v>
      </c>
      <c r="AD115" s="39">
        <f t="shared" si="147"/>
        <v>61.538895274925025</v>
      </c>
      <c r="AE115" s="39">
        <f t="shared" si="147"/>
        <v>44.332546595986933</v>
      </c>
      <c r="AF115" s="39">
        <f t="shared" si="147"/>
        <v>3264.7177457474054</v>
      </c>
      <c r="AG115" s="39">
        <f t="shared" si="147"/>
        <v>354.06641070396245</v>
      </c>
      <c r="AH115" s="39">
        <f t="shared" si="147"/>
        <v>1213.1908924342731</v>
      </c>
      <c r="AI115" s="39">
        <f t="shared" si="147"/>
        <v>321.6862338477888</v>
      </c>
      <c r="AJ115" s="39">
        <f t="shared" si="147"/>
        <v>587.40192837880136</v>
      </c>
      <c r="AK115" s="39">
        <f t="shared" si="147"/>
        <v>229.39075802899521</v>
      </c>
      <c r="AL115" s="39">
        <f t="shared" si="147"/>
        <v>556.06142060675563</v>
      </c>
      <c r="AM115" s="39">
        <f t="shared" si="147"/>
        <v>63.082064033388562</v>
      </c>
      <c r="AN115" s="39">
        <f t="shared" si="147"/>
        <v>124.86401967288161</v>
      </c>
      <c r="AO115" s="39">
        <f t="shared" si="147"/>
        <v>12433.430421297518</v>
      </c>
    </row>
    <row r="116" spans="4:41" ht="14.4">
      <c r="D116">
        <f t="shared" si="148"/>
        <v>2026</v>
      </c>
      <c r="E116" s="39">
        <f t="shared" si="149"/>
        <v>46.745892190237313</v>
      </c>
      <c r="F116" s="39">
        <f t="shared" si="147"/>
        <v>455.61041911204842</v>
      </c>
      <c r="G116" s="39">
        <f t="shared" si="147"/>
        <v>77.325644368261663</v>
      </c>
      <c r="H116" s="39">
        <f t="shared" si="147"/>
        <v>1523.4345323030027</v>
      </c>
      <c r="I116" s="39">
        <f t="shared" si="147"/>
        <v>324.7616167723661</v>
      </c>
      <c r="J116" s="39">
        <f t="shared" si="147"/>
        <v>914.33008978024748</v>
      </c>
      <c r="K116" s="39">
        <f t="shared" si="147"/>
        <v>104.6963509399539</v>
      </c>
      <c r="L116" s="39">
        <f t="shared" si="147"/>
        <v>589.58910792638403</v>
      </c>
      <c r="M116" s="39">
        <f t="shared" si="147"/>
        <v>7830.2932089024316</v>
      </c>
      <c r="N116" s="39">
        <f t="shared" si="147"/>
        <v>514.26545570707913</v>
      </c>
      <c r="O116" s="39">
        <f t="shared" si="147"/>
        <v>50.172534906029476</v>
      </c>
      <c r="P116" s="39">
        <f t="shared" si="147"/>
        <v>399.09484727360308</v>
      </c>
      <c r="Q116" s="39">
        <f t="shared" si="147"/>
        <v>2085.6755180338887</v>
      </c>
      <c r="R116" s="39">
        <f t="shared" si="147"/>
        <v>579.83233125552522</v>
      </c>
      <c r="S116" s="39">
        <f t="shared" si="147"/>
        <v>5424.016163046932</v>
      </c>
      <c r="T116" s="39">
        <f t="shared" si="147"/>
        <v>220.46338405441125</v>
      </c>
      <c r="U116" s="39">
        <f t="shared" si="147"/>
        <v>549.63980445523237</v>
      </c>
      <c r="V116" s="39">
        <f t="shared" si="147"/>
        <v>567.91578075664165</v>
      </c>
      <c r="W116" s="39">
        <f t="shared" si="147"/>
        <v>39.426934323271873</v>
      </c>
      <c r="X116" s="39">
        <f t="shared" si="147"/>
        <v>3637.2630349600513</v>
      </c>
      <c r="Y116" s="39">
        <f t="shared" si="147"/>
        <v>45.517688831579555</v>
      </c>
      <c r="Z116" s="39">
        <f t="shared" si="147"/>
        <v>127.63912230214392</v>
      </c>
      <c r="AA116" s="39">
        <f t="shared" si="147"/>
        <v>65.554775733209894</v>
      </c>
      <c r="AB116" s="39">
        <f t="shared" si="147"/>
        <v>71.294923976721478</v>
      </c>
      <c r="AC116" s="39">
        <f t="shared" si="147"/>
        <v>23.424620098448557</v>
      </c>
      <c r="AD116" s="39">
        <f t="shared" si="147"/>
        <v>61.292985849406428</v>
      </c>
      <c r="AE116" s="39">
        <f t="shared" si="147"/>
        <v>44.155393739789368</v>
      </c>
      <c r="AF116" s="39">
        <f t="shared" si="147"/>
        <v>3251.6719336353985</v>
      </c>
      <c r="AG116" s="39">
        <f t="shared" si="147"/>
        <v>352.65156132678942</v>
      </c>
      <c r="AH116" s="39">
        <f t="shared" si="147"/>
        <v>1208.3429816281057</v>
      </c>
      <c r="AI116" s="39">
        <f t="shared" si="147"/>
        <v>320.40077565733304</v>
      </c>
      <c r="AJ116" s="39">
        <f t="shared" si="147"/>
        <v>585.05467027299972</v>
      </c>
      <c r="AK116" s="39">
        <f t="shared" si="147"/>
        <v>228.47411255991133</v>
      </c>
      <c r="AL116" s="39">
        <f t="shared" si="147"/>
        <v>554.72767392574508</v>
      </c>
      <c r="AM116" s="39">
        <f t="shared" si="147"/>
        <v>62.829988105511141</v>
      </c>
      <c r="AN116" s="39">
        <f t="shared" si="147"/>
        <v>124.36506305026877</v>
      </c>
      <c r="AO116" s="39">
        <f t="shared" si="147"/>
        <v>12323.514232593496</v>
      </c>
    </row>
    <row r="117" spans="4:41" ht="14.4">
      <c r="D117">
        <f t="shared" si="148"/>
        <v>2028</v>
      </c>
      <c r="E117" s="39">
        <f t="shared" si="149"/>
        <v>46.559095605045123</v>
      </c>
      <c r="F117" s="39">
        <f t="shared" si="147"/>
        <v>453.78979987727666</v>
      </c>
      <c r="G117" s="39">
        <f t="shared" si="147"/>
        <v>77.016651093366093</v>
      </c>
      <c r="H117" s="39">
        <f t="shared" si="147"/>
        <v>1515.8268811073146</v>
      </c>
      <c r="I117" s="39">
        <f t="shared" si="150" ref="I117:I136">I116*(1-I$12)^2</f>
        <v>323.46386935174371</v>
      </c>
      <c r="J117" s="39">
        <f t="shared" si="151" ref="J117:J136">J116*(1-J$12)^2</f>
        <v>910.67642674148556</v>
      </c>
      <c r="K117" s="39">
        <f t="shared" si="152" ref="K117:K136">K116*(1-K$12)^2</f>
        <v>104.27798432159784</v>
      </c>
      <c r="L117" s="39">
        <f t="shared" si="153" ref="L117:L136">L116*(1-L$12)^2</f>
        <v>587.23310985111016</v>
      </c>
      <c r="M117" s="39">
        <f t="shared" si="154" ref="M117:M136">M116*(1-M$12)^2</f>
        <v>7799.0033572396578</v>
      </c>
      <c r="N117" s="39">
        <f t="shared" si="155" ref="N117:N136">N116*(1-N$12)^2</f>
        <v>512.21045094607359</v>
      </c>
      <c r="O117" s="39">
        <f t="shared" si="156" ref="O117:O136">O116*(1-O$12)^2</f>
        <v>49.972045456544983</v>
      </c>
      <c r="P117" s="39">
        <f t="shared" si="157" ref="P117:P136">P116*(1-P$12)^2</f>
        <v>397.50006426389774</v>
      </c>
      <c r="Q117" s="39">
        <f t="shared" si="158" ref="Q117:Q136">Q116*(1-Q$12)^2</f>
        <v>2076.9248786871808</v>
      </c>
      <c r="R117" s="39">
        <f t="shared" si="159" ref="R117:R136">R116*(1-R$12)^2</f>
        <v>577.51532125982817</v>
      </c>
      <c r="S117" s="39">
        <f t="shared" si="160" ref="S117:S136">S116*(1-S$12)^2</f>
        <v>5402.3417944593966</v>
      </c>
      <c r="T117" s="39">
        <f t="shared" si="161" ref="T117:T136">T116*(1-T$12)^2</f>
        <v>219.58241237172982</v>
      </c>
      <c r="U117" s="39">
        <f t="shared" si="162" ref="U117:U136">U116*(1-U$12)^2</f>
        <v>547.44344379662925</v>
      </c>
      <c r="V117" s="39">
        <f t="shared" si="163" ref="V117:V136">V116*(1-V$12)^2</f>
        <v>553.2459482239168</v>
      </c>
      <c r="W117" s="39">
        <f t="shared" si="164" ref="W117:W136">W116*(1-W$12)^2</f>
        <v>39.26938429371608</v>
      </c>
      <c r="X117" s="39">
        <f t="shared" si="165" ref="X117:X136">X116*(1-X$12)^2</f>
        <v>3622.7285318723511</v>
      </c>
      <c r="Y117" s="39">
        <f t="shared" si="166" ref="Y117:Y136">Y116*(1-Y$12)^2</f>
        <v>45.335800147008563</v>
      </c>
      <c r="Z117" s="39">
        <f t="shared" si="167" ref="Z117:Z136">Z116*(1-Z$12)^2</f>
        <v>127.12907636942455</v>
      </c>
      <c r="AA117" s="39">
        <f t="shared" si="168" ref="AA117:AA136">AA116*(1-AA$12)^2</f>
        <v>65.292818849379984</v>
      </c>
      <c r="AB117" s="39">
        <f t="shared" si="169" ref="AB117:AB136">AB116*(1-AB$12)^2</f>
        <v>71.010029460510495</v>
      </c>
      <c r="AC117" s="39">
        <f t="shared" si="170" ref="AC117:AC136">AC116*(1-AC$12)^2</f>
        <v>23.331015316535158</v>
      </c>
      <c r="AD117" s="39">
        <f t="shared" si="171" ref="AD117:AD136">AD116*(1-AD$12)^2</f>
        <v>61.048059077952196</v>
      </c>
      <c r="AE117" s="39">
        <f t="shared" si="172" ref="AE117:AE136">AE116*(1-AE$12)^2</f>
        <v>43.978948786405169</v>
      </c>
      <c r="AF117" s="39">
        <f t="shared" si="173" ref="AF117:AF136">AF116*(1-AF$12)^2</f>
        <v>3238.6782525885915</v>
      </c>
      <c r="AG117" s="39">
        <f t="shared" si="174" ref="AG117:AG136">AG116*(1-AG$12)^2</f>
        <v>351.24236568772756</v>
      </c>
      <c r="AH117" s="39">
        <f t="shared" si="175" ref="AH117:AH136">AH116*(1-AH$12)^2</f>
        <v>1203.5144430735197</v>
      </c>
      <c r="AI117" s="39">
        <f t="shared" si="176" ref="AI117:AI136">AI116*(1-AI$12)^2</f>
        <v>319.12045415780636</v>
      </c>
      <c r="AJ117" s="39">
        <f t="shared" si="177" ref="AJ117:AJ136">AJ116*(1-AJ$12)^2</f>
        <v>582.7167918105888</v>
      </c>
      <c r="AK117" s="39">
        <f t="shared" si="178" ref="AK117:AK136">AK116*(1-AK$12)^2</f>
        <v>227.56113000612191</v>
      </c>
      <c r="AL117" s="39">
        <f t="shared" si="179" ref="AL117:AL136">AL116*(1-AL$12)^2</f>
        <v>553.39712631617374</v>
      </c>
      <c r="AM117" s="39">
        <f t="shared" si="180" ref="AM117:AM136">AM116*(1-AM$12)^2</f>
        <v>62.578919473041516</v>
      </c>
      <c r="AN117" s="39">
        <f t="shared" si="181" ref="AN117:AN136">AN116*(1-AN$12)^2</f>
        <v>123.8681002583199</v>
      </c>
      <c r="AO117" s="39">
        <f t="shared" si="182" ref="AO117:AO136">AO116*(1-AO$12)^2</f>
        <v>12214.569744227179</v>
      </c>
    </row>
    <row r="118" spans="4:41" ht="14.4">
      <c r="D118">
        <f t="shared" si="148"/>
        <v>2030</v>
      </c>
      <c r="E118" s="39">
        <f t="shared" si="149"/>
        <v>46.373045459007365</v>
      </c>
      <c r="F118" s="39">
        <f t="shared" si="183" ref="F118:F136">F117*(1-F$12)^2</f>
        <v>451.97645583696709</v>
      </c>
      <c r="G118" s="39">
        <f t="shared" si="184" ref="G118:G136">G117*(1-G$12)^2</f>
        <v>76.708892555597004</v>
      </c>
      <c r="H118" s="39">
        <f t="shared" si="185" ref="H118:H136">H117*(1-H$12)^2</f>
        <v>1508.2572206197851</v>
      </c>
      <c r="I118" s="39">
        <f t="shared" si="150"/>
        <v>322.17130772981415</v>
      </c>
      <c r="J118" s="39">
        <f t="shared" si="151"/>
        <v>907.03736374022662</v>
      </c>
      <c r="K118" s="39">
        <f t="shared" si="152"/>
        <v>103.86128949624873</v>
      </c>
      <c r="L118" s="39">
        <f t="shared" si="153"/>
        <v>584.88652634414507</v>
      </c>
      <c r="M118" s="39">
        <f t="shared" si="154"/>
        <v>7767.838539824128</v>
      </c>
      <c r="N118" s="39">
        <f t="shared" si="155"/>
        <v>510.16365798409311</v>
      </c>
      <c r="O118" s="39">
        <f t="shared" si="156"/>
        <v>49.772357162900626</v>
      </c>
      <c r="P118" s="39">
        <f t="shared" si="157"/>
        <v>395.91165400709923</v>
      </c>
      <c r="Q118" s="39">
        <f t="shared" si="158"/>
        <v>2068.2109534354095</v>
      </c>
      <c r="R118" s="39">
        <f t="shared" si="159"/>
        <v>575.20757003607389</v>
      </c>
      <c r="S118" s="39">
        <f t="shared" si="160"/>
        <v>5380.7540366487365</v>
      </c>
      <c r="T118" s="39">
        <f t="shared" si="161"/>
        <v>218.70496105189238</v>
      </c>
      <c r="U118" s="39">
        <f t="shared" si="162"/>
        <v>545.25585979521793</v>
      </c>
      <c r="V118" s="39">
        <f t="shared" si="163"/>
        <v>538.95505213534477</v>
      </c>
      <c r="W118" s="39">
        <f t="shared" si="164"/>
        <v>39.11246383407839</v>
      </c>
      <c r="X118" s="39">
        <f t="shared" si="165"/>
        <v>3608.2521086589891</v>
      </c>
      <c r="Y118" s="39">
        <f t="shared" si="166"/>
        <v>45.154638289621118</v>
      </c>
      <c r="Z118" s="39">
        <f t="shared" si="167"/>
        <v>126.62106858025233</v>
      </c>
      <c r="AA118" s="39">
        <f t="shared" si="168"/>
        <v>65.031908745257866</v>
      </c>
      <c r="AB118" s="39">
        <f t="shared" si="169"/>
        <v>70.726273382786289</v>
      </c>
      <c r="AC118" s="39">
        <f t="shared" si="170"/>
        <v>23.237784579330285</v>
      </c>
      <c r="AD118" s="39">
        <f t="shared" si="171"/>
        <v>60.804111033876701</v>
      </c>
      <c r="AE118" s="39">
        <f t="shared" si="172"/>
        <v>43.803208907054696</v>
      </c>
      <c r="AF118" s="39">
        <f t="shared" si="173"/>
        <v>3225.7364942912473</v>
      </c>
      <c r="AG118" s="39">
        <f t="shared" si="174"/>
        <v>349.83880119443938</v>
      </c>
      <c r="AH118" s="39">
        <f t="shared" si="175"/>
        <v>1198.705199358998</v>
      </c>
      <c r="AI118" s="39">
        <f t="shared" si="176"/>
        <v>317.84524882299178</v>
      </c>
      <c r="AJ118" s="39">
        <f t="shared" si="177"/>
        <v>580.38825551051366</v>
      </c>
      <c r="AK118" s="39">
        <f t="shared" si="178"/>
        <v>226.65179573061747</v>
      </c>
      <c r="AL118" s="39">
        <f t="shared" si="179"/>
        <v>552.06977010487685</v>
      </c>
      <c r="AM118" s="39">
        <f t="shared" si="180"/>
        <v>62.328854110827244</v>
      </c>
      <c r="AN118" s="39">
        <f t="shared" si="181"/>
        <v>123.37312332968766</v>
      </c>
      <c r="AO118" s="39">
        <f t="shared" si="182"/>
        <v>12106.588366003098</v>
      </c>
    </row>
    <row r="119" spans="4:41" ht="14.4">
      <c r="D119">
        <f t="shared" si="148"/>
        <v>2032</v>
      </c>
      <c r="E119" s="39">
        <f t="shared" si="149"/>
        <v>46.187738769353174</v>
      </c>
      <c r="F119" s="39">
        <f t="shared" si="183"/>
        <v>450.17035791944255</v>
      </c>
      <c r="G119" s="39">
        <f t="shared" si="184"/>
        <v>76.402363820944842</v>
      </c>
      <c r="H119" s="39">
        <f t="shared" si="185"/>
        <v>1500.7253611243152</v>
      </c>
      <c r="I119" s="39">
        <f t="shared" si="150"/>
        <v>320.88391118412579</v>
      </c>
      <c r="J119" s="39">
        <f t="shared" si="151"/>
        <v>903.41284243472069</v>
      </c>
      <c r="K119" s="39">
        <f t="shared" si="152"/>
        <v>103.44625978342172</v>
      </c>
      <c r="L119" s="39">
        <f t="shared" si="153"/>
        <v>582.54931978487389</v>
      </c>
      <c r="M119" s="39">
        <f t="shared" si="154"/>
        <v>7736.7982570189906</v>
      </c>
      <c r="N119" s="39">
        <f t="shared" si="155"/>
        <v>508.1250440067887</v>
      </c>
      <c r="O119" s="39">
        <f t="shared" si="156"/>
        <v>49.573466823677677</v>
      </c>
      <c r="P119" s="39">
        <f t="shared" si="157"/>
        <v>394.32959103768684</v>
      </c>
      <c r="Q119" s="39">
        <f t="shared" si="158"/>
        <v>2059.5335882412855</v>
      </c>
      <c r="R119" s="39">
        <f t="shared" si="159"/>
        <v>572.9090405862097</v>
      </c>
      <c r="S119" s="39">
        <f t="shared" si="160"/>
        <v>5359.2525435182879</v>
      </c>
      <c r="T119" s="39">
        <f t="shared" si="161"/>
        <v>217.83101602752902</v>
      </c>
      <c r="U119" s="39">
        <f t="shared" si="162"/>
        <v>543.07701737947627</v>
      </c>
      <c r="V119" s="39">
        <f t="shared" si="163"/>
        <v>525.03330418363669</v>
      </c>
      <c r="W119" s="39">
        <f t="shared" si="164"/>
        <v>38.95617042859741</v>
      </c>
      <c r="X119" s="39">
        <f t="shared" si="165"/>
        <v>3593.8335332327879</v>
      </c>
      <c r="Y119" s="39">
        <f t="shared" si="166"/>
        <v>44.974200355015796</v>
      </c>
      <c r="Z119" s="39">
        <f t="shared" si="167"/>
        <v>126.11509079020564</v>
      </c>
      <c r="AA119" s="39">
        <f t="shared" si="168"/>
        <v>64.772041237911822</v>
      </c>
      <c r="AB119" s="39">
        <f t="shared" si="169"/>
        <v>70.443651194348675</v>
      </c>
      <c r="AC119" s="39">
        <f t="shared" si="170"/>
        <v>23.14492639215128</v>
      </c>
      <c r="AD119" s="39">
        <f t="shared" si="171"/>
        <v>60.561137806185329</v>
      </c>
      <c r="AE119" s="39">
        <f t="shared" si="172"/>
        <v>43.628171284262102</v>
      </c>
      <c r="AF119" s="39">
        <f t="shared" si="173"/>
        <v>3212.8464512600594</v>
      </c>
      <c r="AG119" s="39">
        <f t="shared" si="174"/>
        <v>348.44084534486643</v>
      </c>
      <c r="AH119" s="39">
        <f t="shared" si="175"/>
        <v>1193.9151733823594</v>
      </c>
      <c r="AI119" s="39">
        <f t="shared" si="176"/>
        <v>316.57513920869508</v>
      </c>
      <c r="AJ119" s="39">
        <f t="shared" si="177"/>
        <v>578.06902404149366</v>
      </c>
      <c r="AK119" s="39">
        <f t="shared" si="178"/>
        <v>225.74609515487791</v>
      </c>
      <c r="AL119" s="39">
        <f t="shared" si="179"/>
        <v>550.74559763709408</v>
      </c>
      <c r="AM119" s="39">
        <f t="shared" si="180"/>
        <v>62.079788009800382</v>
      </c>
      <c r="AN119" s="39">
        <f t="shared" si="181"/>
        <v>122.88012432886222</v>
      </c>
      <c r="AO119" s="39">
        <f t="shared" si="182"/>
        <v>11999.561583666333</v>
      </c>
    </row>
    <row r="120" spans="4:41" ht="14.4">
      <c r="D120">
        <f t="shared" si="148"/>
        <v>2034</v>
      </c>
      <c r="E120" s="39">
        <f t="shared" si="149"/>
        <v>46.003172565230841</v>
      </c>
      <c r="F120" s="39">
        <f t="shared" si="183"/>
        <v>448.37147716919645</v>
      </c>
      <c r="G120" s="39">
        <f t="shared" si="184"/>
        <v>76.097059975116352</v>
      </c>
      <c r="H120" s="39">
        <f t="shared" si="185"/>
        <v>1493.2311138522009</v>
      </c>
      <c r="I120" s="39">
        <f t="shared" si="150"/>
        <v>319.60165907503404</v>
      </c>
      <c r="J120" s="39">
        <f t="shared" si="151"/>
        <v>899.80280471635149</v>
      </c>
      <c r="K120" s="39">
        <f t="shared" si="152"/>
        <v>103.03288852932717</v>
      </c>
      <c r="L120" s="39">
        <f t="shared" si="153"/>
        <v>580.22145270301348</v>
      </c>
      <c r="M120" s="39">
        <f t="shared" si="154"/>
        <v>7705.8820111839432</v>
      </c>
      <c r="N120" s="39">
        <f t="shared" si="155"/>
        <v>506.09457633093757</v>
      </c>
      <c r="O120" s="39">
        <f t="shared" si="156"/>
        <v>49.375371250250261</v>
      </c>
      <c r="P120" s="39">
        <f t="shared" si="157"/>
        <v>392.75384999190027</v>
      </c>
      <c r="Q120" s="39">
        <f t="shared" si="158"/>
        <v>2050.8926297137964</v>
      </c>
      <c r="R120" s="39">
        <f t="shared" si="159"/>
        <v>570.6196960600272</v>
      </c>
      <c r="S120" s="39">
        <f t="shared" si="160"/>
        <v>5337.8369703543885</v>
      </c>
      <c r="T120" s="39">
        <f t="shared" si="161"/>
        <v>216.96056328748301</v>
      </c>
      <c r="U120" s="39">
        <f t="shared" si="162"/>
        <v>540.90688161802791</v>
      </c>
      <c r="V120" s="39">
        <f t="shared" si="163"/>
        <v>511.47116890326913</v>
      </c>
      <c r="W120" s="39">
        <f t="shared" si="164"/>
        <v>38.800501571564737</v>
      </c>
      <c r="X120" s="39">
        <f t="shared" si="165"/>
        <v>3579.4725744339898</v>
      </c>
      <c r="Y120" s="39">
        <f t="shared" si="166"/>
        <v>44.794483450397152</v>
      </c>
      <c r="Z120" s="39">
        <f t="shared" si="167"/>
        <v>125.61113488740799</v>
      </c>
      <c r="AA120" s="39">
        <f t="shared" si="168"/>
        <v>64.513212161125125</v>
      </c>
      <c r="AB120" s="39">
        <f t="shared" si="169"/>
        <v>70.162158364176051</v>
      </c>
      <c r="AC120" s="39">
        <f t="shared" si="170"/>
        <v>23.052439266288243</v>
      </c>
      <c r="AD120" s="39">
        <f t="shared" si="171"/>
        <v>60.319135499511809</v>
      </c>
      <c r="AE120" s="39">
        <f t="shared" si="172"/>
        <v>43.453833111810191</v>
      </c>
      <c r="AF120" s="39">
        <f t="shared" si="173"/>
        <v>3200.0079168408242</v>
      </c>
      <c r="AG120" s="39">
        <f t="shared" si="174"/>
        <v>347.04847572686833</v>
      </c>
      <c r="AH120" s="39">
        <f t="shared" si="175"/>
        <v>1189.1442883495235</v>
      </c>
      <c r="AI120" s="39">
        <f t="shared" si="176"/>
        <v>315.31010495241713</v>
      </c>
      <c r="AJ120" s="39">
        <f t="shared" si="177"/>
        <v>575.75906022142385</v>
      </c>
      <c r="AK120" s="39">
        <f t="shared" si="178"/>
        <v>224.84401375863902</v>
      </c>
      <c r="AL120" s="39">
        <f t="shared" si="179"/>
        <v>549.42460127642573</v>
      </c>
      <c r="AM120" s="39">
        <f t="shared" si="180"/>
        <v>61.831717176913216</v>
      </c>
      <c r="AN120" s="39">
        <f t="shared" si="181"/>
        <v>122.38909535204409</v>
      </c>
      <c r="AO120" s="39">
        <f t="shared" si="182"/>
        <v>11893.48095823117</v>
      </c>
    </row>
    <row r="121" spans="4:41" ht="14.4">
      <c r="D121">
        <f t="shared" si="148"/>
        <v>2036</v>
      </c>
      <c r="E121" s="39">
        <f t="shared" si="149"/>
        <v>45.819343887660182</v>
      </c>
      <c r="F121" s="39">
        <f t="shared" si="183"/>
        <v>446.57978474642834</v>
      </c>
      <c r="G121" s="39">
        <f t="shared" si="184"/>
        <v>75.792976123455787</v>
      </c>
      <c r="H121" s="39">
        <f t="shared" si="185"/>
        <v>1485.7742909774015</v>
      </c>
      <c r="I121" s="39">
        <f t="shared" si="150"/>
        <v>318.32453084537019</v>
      </c>
      <c r="J121" s="39">
        <f t="shared" si="151"/>
        <v>896.20719270870495</v>
      </c>
      <c r="K121" s="39">
        <f t="shared" si="152"/>
        <v>102.62116910676397</v>
      </c>
      <c r="L121" s="39">
        <f t="shared" si="153"/>
        <v>577.9028877780122</v>
      </c>
      <c r="M121" s="39">
        <f t="shared" si="154"/>
        <v>7675.0893066672525</v>
      </c>
      <c r="N121" s="39">
        <f t="shared" si="155"/>
        <v>504.07222240391917</v>
      </c>
      <c r="O121" s="39">
        <f t="shared" si="156"/>
        <v>49.17806726673426</v>
      </c>
      <c r="P121" s="39">
        <f t="shared" si="157"/>
        <v>391.18440560733262</v>
      </c>
      <c r="Q121" s="39">
        <f t="shared" si="158"/>
        <v>2042.2879251054953</v>
      </c>
      <c r="R121" s="39">
        <f t="shared" si="159"/>
        <v>568.33949975457131</v>
      </c>
      <c r="S121" s="39">
        <f t="shared" si="160"/>
        <v>5316.5069738208522</v>
      </c>
      <c r="T121" s="39">
        <f t="shared" si="161"/>
        <v>216.09358887658624</v>
      </c>
      <c r="U121" s="39">
        <f t="shared" si="162"/>
        <v>538.7454177190823</v>
      </c>
      <c r="V121" s="39">
        <f t="shared" si="163"/>
        <v>498.25935713932876</v>
      </c>
      <c r="W121" s="39">
        <f t="shared" si="164"/>
        <v>38.645454767284768</v>
      </c>
      <c r="X121" s="39">
        <f t="shared" si="165"/>
        <v>3565.1690020265514</v>
      </c>
      <c r="Y121" s="39">
        <f t="shared" si="166"/>
        <v>44.615484694529364</v>
      </c>
      <c r="Z121" s="39">
        <f t="shared" si="167"/>
        <v>125.10919279239791</v>
      </c>
      <c r="AA121" s="39">
        <f t="shared" si="168"/>
        <v>64.255417365329265</v>
      </c>
      <c r="AB121" s="39">
        <f t="shared" si="169"/>
        <v>69.881790379352807</v>
      </c>
      <c r="AC121" s="39">
        <f t="shared" si="170"/>
        <v>22.960321718980154</v>
      </c>
      <c r="AD121" s="39">
        <f t="shared" si="171"/>
        <v>60.078100234055761</v>
      </c>
      <c r="AE121" s="39">
        <f t="shared" si="172"/>
        <v>43.280191594695395</v>
      </c>
      <c r="AF121" s="39">
        <f t="shared" si="173"/>
        <v>3187.2206852051281</v>
      </c>
      <c r="AG121" s="39">
        <f t="shared" si="174"/>
        <v>345.66167001786374</v>
      </c>
      <c r="AH121" s="39">
        <f t="shared" si="175"/>
        <v>1184.3924677732789</v>
      </c>
      <c r="AI121" s="39">
        <f t="shared" si="176"/>
        <v>314.05012577302728</v>
      </c>
      <c r="AJ121" s="39">
        <f t="shared" si="177"/>
        <v>573.45832701677909</v>
      </c>
      <c r="AK121" s="39">
        <f t="shared" si="178"/>
        <v>223.94553707965949</v>
      </c>
      <c r="AL121" s="39">
        <f t="shared" si="179"/>
        <v>548.10677340478821</v>
      </c>
      <c r="AM121" s="39">
        <f t="shared" si="180"/>
        <v>61.584637635074273</v>
      </c>
      <c r="AN121" s="39">
        <f t="shared" si="181"/>
        <v>121.90002852701733</v>
      </c>
      <c r="AO121" s="39">
        <f t="shared" si="182"/>
        <v>11788.338125315697</v>
      </c>
    </row>
    <row r="122" spans="4:41" ht="14.4">
      <c r="D122">
        <f t="shared" si="148"/>
        <v>2038</v>
      </c>
      <c r="E122" s="39">
        <f t="shared" si="149"/>
        <v>45.636249789485092</v>
      </c>
      <c r="F122" s="39">
        <f t="shared" si="183"/>
        <v>444.79525192658161</v>
      </c>
      <c r="G122" s="39">
        <f t="shared" si="184"/>
        <v>75.490107390866456</v>
      </c>
      <c r="H122" s="39">
        <f t="shared" si="185"/>
        <v>1478.3547056118332</v>
      </c>
      <c r="I122" s="39">
        <f t="shared" si="150"/>
        <v>317.05250602011211</v>
      </c>
      <c r="J122" s="39">
        <f t="shared" si="151"/>
        <v>892.62594876664093</v>
      </c>
      <c r="K122" s="39">
        <f t="shared" si="152"/>
        <v>102.21109491501335</v>
      </c>
      <c r="L122" s="39">
        <f t="shared" si="153"/>
        <v>575.5935878384513</v>
      </c>
      <c r="M122" s="39">
        <f t="shared" si="154"/>
        <v>7644.4196497978101</v>
      </c>
      <c r="N122" s="39">
        <f t="shared" si="155"/>
        <v>502.05794980319308</v>
      </c>
      <c r="O122" s="39">
        <f t="shared" si="156"/>
        <v>48.98155170993639</v>
      </c>
      <c r="P122" s="39">
        <f t="shared" si="157"/>
        <v>389.62123272252575</v>
      </c>
      <c r="Q122" s="39">
        <f t="shared" si="158"/>
        <v>2033.719322309802</v>
      </c>
      <c r="R122" s="39">
        <f t="shared" si="159"/>
        <v>566.06841511355208</v>
      </c>
      <c r="S122" s="39">
        <f t="shared" si="160"/>
        <v>5295.2622119534644</v>
      </c>
      <c r="T122" s="39">
        <f t="shared" si="161"/>
        <v>215.23007889543541</v>
      </c>
      <c r="U122" s="39">
        <f t="shared" si="162"/>
        <v>536.59259102987687</v>
      </c>
      <c r="V122" s="39">
        <f t="shared" si="163"/>
        <v>485.38881968506274</v>
      </c>
      <c r="W122" s="39">
        <f t="shared" si="164"/>
        <v>38.4910275300347</v>
      </c>
      <c r="X122" s="39">
        <f t="shared" si="165"/>
        <v>3550.9225866944535</v>
      </c>
      <c r="Y122" s="39">
        <f t="shared" si="166"/>
        <v>44.437201217690024</v>
      </c>
      <c r="Z122" s="39">
        <f t="shared" si="167"/>
        <v>124.60925645799948</v>
      </c>
      <c r="AA122" s="39">
        <f t="shared" si="168"/>
        <v>63.998652717537411</v>
      </c>
      <c r="AB122" s="39">
        <f t="shared" si="169"/>
        <v>69.60254274499691</v>
      </c>
      <c r="AC122" s="39">
        <f t="shared" si="170"/>
        <v>22.868572273391109</v>
      </c>
      <c r="AD122" s="39">
        <f t="shared" si="171"/>
        <v>59.838028145520475</v>
      </c>
      <c r="AE122" s="39">
        <f t="shared" si="172"/>
        <v>43.107243949082992</v>
      </c>
      <c r="AF122" s="39">
        <f t="shared" si="173"/>
        <v>3174.4845513470486</v>
      </c>
      <c r="AG122" s="39">
        <f t="shared" si="174"/>
        <v>344.28040598447234</v>
      </c>
      <c r="AH122" s="39">
        <f t="shared" si="175"/>
        <v>1179.6596354720568</v>
      </c>
      <c r="AI122" s="39">
        <f t="shared" si="176"/>
        <v>312.79518147043825</v>
      </c>
      <c r="AJ122" s="39">
        <f t="shared" si="177"/>
        <v>571.16678754202007</v>
      </c>
      <c r="AK122" s="39">
        <f t="shared" si="178"/>
        <v>223.05065071348918</v>
      </c>
      <c r="AL122" s="39">
        <f t="shared" si="179"/>
        <v>546.79210642237047</v>
      </c>
      <c r="AM122" s="39">
        <f t="shared" si="180"/>
        <v>61.338545423084518</v>
      </c>
      <c r="AN122" s="39">
        <f t="shared" si="181"/>
        <v>121.41291601302336</v>
      </c>
      <c r="AO122" s="39">
        <f t="shared" si="182"/>
        <v>11684.124794482274</v>
      </c>
    </row>
    <row r="123" spans="4:41" ht="14.4">
      <c r="D123">
        <f t="shared" si="148"/>
        <v>2040</v>
      </c>
      <c r="E123" s="39">
        <f t="shared" si="149"/>
        <v>45.453887335326307</v>
      </c>
      <c r="F123" s="39">
        <f t="shared" si="183"/>
        <v>443.01785009988299</v>
      </c>
      <c r="G123" s="39">
        <f t="shared" si="184"/>
        <v>75.188448921732558</v>
      </c>
      <c r="H123" s="39">
        <f t="shared" si="185"/>
        <v>1470.9721718006842</v>
      </c>
      <c r="I123" s="39">
        <f t="shared" si="150"/>
        <v>315.78556420605571</v>
      </c>
      <c r="J123" s="39">
        <f t="shared" si="151"/>
        <v>889.05901547536939</v>
      </c>
      <c r="K123" s="39">
        <f t="shared" si="152"/>
        <v>101.80265937973296</v>
      </c>
      <c r="L123" s="39">
        <f t="shared" si="153"/>
        <v>573.2935158614489</v>
      </c>
      <c r="M123" s="39">
        <f t="shared" si="154"/>
        <v>7613.8725488772179</v>
      </c>
      <c r="N123" s="39">
        <f t="shared" si="155"/>
        <v>500.05172623577954</v>
      </c>
      <c r="O123" s="39">
        <f t="shared" si="156"/>
        <v>48.785821429303482</v>
      </c>
      <c r="P123" s="39">
        <f t="shared" si="157"/>
        <v>388.06430627656653</v>
      </c>
      <c r="Q123" s="39">
        <f t="shared" si="158"/>
        <v>2025.1866698583121</v>
      </c>
      <c r="R123" s="39">
        <f t="shared" si="159"/>
        <v>563.80640572675827</v>
      </c>
      <c r="S123" s="39">
        <f t="shared" si="160"/>
        <v>5274.1023441544985</v>
      </c>
      <c r="T123" s="39">
        <f t="shared" si="161"/>
        <v>214.37001950016926</v>
      </c>
      <c r="U123" s="39">
        <f t="shared" si="162"/>
        <v>534.44836703612145</v>
      </c>
      <c r="V123" s="39">
        <f t="shared" si="163"/>
        <v>472.85074108377785</v>
      </c>
      <c r="W123" s="39">
        <f t="shared" si="164"/>
        <v>38.337217384024683</v>
      </c>
      <c r="X123" s="39">
        <f t="shared" si="165"/>
        <v>3536.7331000380223</v>
      </c>
      <c r="Y123" s="39">
        <f t="shared" si="166"/>
        <v>44.259630161624138</v>
      </c>
      <c r="Z123" s="39">
        <f t="shared" si="167"/>
        <v>124.11131786919331</v>
      </c>
      <c r="AA123" s="39">
        <f t="shared" si="168"/>
        <v>63.742914101278132</v>
      </c>
      <c r="AB123" s="39">
        <f t="shared" si="169"/>
        <v>69.324410984187907</v>
      </c>
      <c r="AC123" s="39">
        <f t="shared" si="170"/>
        <v>22.777189458586637</v>
      </c>
      <c r="AD123" s="39">
        <f t="shared" si="171"/>
        <v>59.598915385050972</v>
      </c>
      <c r="AE123" s="39">
        <f t="shared" si="172"/>
        <v>42.934987402262458</v>
      </c>
      <c r="AF123" s="39">
        <f t="shared" si="173"/>
        <v>3161.7993110798657</v>
      </c>
      <c r="AG123" s="39">
        <f t="shared" si="174"/>
        <v>342.90466148215836</v>
      </c>
      <c r="AH123" s="39">
        <f t="shared" si="175"/>
        <v>1174.9457155687105</v>
      </c>
      <c r="AI123" s="39">
        <f t="shared" si="176"/>
        <v>311.5452519252824</v>
      </c>
      <c r="AJ123" s="39">
        <f t="shared" si="177"/>
        <v>568.88440505900212</v>
      </c>
      <c r="AK123" s="39">
        <f t="shared" si="178"/>
        <v>222.15934031323806</v>
      </c>
      <c r="AL123" s="39">
        <f t="shared" si="179"/>
        <v>545.48059274759009</v>
      </c>
      <c r="AM123" s="39">
        <f t="shared" si="180"/>
        <v>61.09343659557387</v>
      </c>
      <c r="AN123" s="39">
        <f t="shared" si="181"/>
        <v>120.92775000063533</v>
      </c>
      <c r="AO123" s="39">
        <f t="shared" si="182"/>
        <v>11580.832748583838</v>
      </c>
    </row>
    <row r="124" spans="4:41" ht="14.4">
      <c r="D124">
        <f t="shared" si="148"/>
        <v>2042</v>
      </c>
      <c r="E124" s="39">
        <f t="shared" si="149"/>
        <v>45.272253601534345</v>
      </c>
      <c r="F124" s="39">
        <f t="shared" si="183"/>
        <v>441.24755077088383</v>
      </c>
      <c r="G124" s="39">
        <f t="shared" si="184"/>
        <v>74.887995879841313</v>
      </c>
      <c r="H124" s="39">
        <f t="shared" si="185"/>
        <v>1463.6265045177547</v>
      </c>
      <c r="I124" s="39">
        <f t="shared" si="150"/>
        <v>314.52368509148829</v>
      </c>
      <c r="J124" s="39">
        <f t="shared" si="151"/>
        <v>885.50633564952977</v>
      </c>
      <c r="K124" s="39">
        <f t="shared" si="152"/>
        <v>101.39585595285155</v>
      </c>
      <c r="L124" s="39">
        <f t="shared" si="153"/>
        <v>571.00263497206652</v>
      </c>
      <c r="M124" s="39">
        <f t="shared" si="154"/>
        <v>7583.4475141719049</v>
      </c>
      <c r="N124" s="39">
        <f t="shared" si="155"/>
        <v>498.05351953774135</v>
      </c>
      <c r="O124" s="39">
        <f t="shared" si="156"/>
        <v>48.590873286871982</v>
      </c>
      <c r="P124" s="39">
        <f t="shared" si="157"/>
        <v>386.51360130868539</v>
      </c>
      <c r="Q124" s="39">
        <f t="shared" si="158"/>
        <v>2016.6898169181213</v>
      </c>
      <c r="R124" s="39">
        <f t="shared" si="159"/>
        <v>561.55343532947415</v>
      </c>
      <c r="S124" s="39">
        <f t="shared" si="160"/>
        <v>5253.0270311872573</v>
      </c>
      <c r="T124" s="39">
        <f t="shared" si="161"/>
        <v>213.5133969022466</v>
      </c>
      <c r="U124" s="39">
        <f t="shared" si="162"/>
        <v>532.31271136144517</v>
      </c>
      <c r="V124" s="39">
        <f t="shared" si="163"/>
        <v>460.63653359084276</v>
      </c>
      <c r="W124" s="39">
        <f t="shared" si="164"/>
        <v>38.184021863358119</v>
      </c>
      <c r="X124" s="39">
        <f t="shared" si="165"/>
        <v>3522.6003145702703</v>
      </c>
      <c r="Y124" s="39">
        <f t="shared" si="166"/>
        <v>44.082768679498287</v>
      </c>
      <c r="Z124" s="39">
        <f t="shared" si="167"/>
        <v>123.61536904298802</v>
      </c>
      <c r="AA124" s="39">
        <f t="shared" si="168"/>
        <v>63.488197416529424</v>
      </c>
      <c r="AB124" s="39">
        <f t="shared" si="169"/>
        <v>69.047390637895091</v>
      </c>
      <c r="AC124" s="39">
        <f t="shared" si="170"/>
        <v>22.686171809510125</v>
      </c>
      <c r="AD124" s="39">
        <f t="shared" si="171"/>
        <v>59.36075811917231</v>
      </c>
      <c r="AE124" s="39">
        <f t="shared" si="172"/>
        <v>42.763419192603017</v>
      </c>
      <c r="AF124" s="39">
        <f t="shared" si="173"/>
        <v>3149.1647610327905</v>
      </c>
      <c r="AG124" s="39">
        <f t="shared" si="174"/>
        <v>341.53441445487567</v>
      </c>
      <c r="AH124" s="39">
        <f t="shared" si="175"/>
        <v>1170.2506324892979</v>
      </c>
      <c r="AI124" s="39">
        <f t="shared" si="176"/>
        <v>310.30031709858895</v>
      </c>
      <c r="AJ124" s="39">
        <f t="shared" si="177"/>
        <v>566.6111429763863</v>
      </c>
      <c r="AK124" s="39">
        <f t="shared" si="178"/>
        <v>221.27159158934637</v>
      </c>
      <c r="AL124" s="39">
        <f t="shared" si="179"/>
        <v>544.17222481704948</v>
      </c>
      <c r="AM124" s="39">
        <f t="shared" si="180"/>
        <v>60.849307222937959</v>
      </c>
      <c r="AN124" s="39">
        <f t="shared" si="181"/>
        <v>120.44452271163279</v>
      </c>
      <c r="AO124" s="39">
        <f t="shared" si="182"/>
        <v>11478.453843115991</v>
      </c>
    </row>
    <row r="125" spans="4:41" ht="14.4">
      <c r="D125">
        <f t="shared" si="148"/>
        <v>2044</v>
      </c>
      <c r="E125" s="39">
        <f t="shared" si="149"/>
        <v>45.091345676142616</v>
      </c>
      <c r="F125" s="39">
        <f t="shared" si="183"/>
        <v>439.48432555800338</v>
      </c>
      <c r="G125" s="39">
        <f t="shared" si="184"/>
        <v>74.588743448305465</v>
      </c>
      <c r="H125" s="39">
        <f t="shared" si="185"/>
        <v>1456.3175196608192</v>
      </c>
      <c r="I125" s="39">
        <f t="shared" si="150"/>
        <v>313.26684844586271</v>
      </c>
      <c r="J125" s="39">
        <f t="shared" si="151"/>
        <v>881.96785233227422</v>
      </c>
      <c r="K125" s="39">
        <f t="shared" si="152"/>
        <v>100.99067811246395</v>
      </c>
      <c r="L125" s="39">
        <f t="shared" si="153"/>
        <v>568.72090844271816</v>
      </c>
      <c r="M125" s="39">
        <f t="shared" si="154"/>
        <v>7553.1440579052742</v>
      </c>
      <c r="N125" s="39">
        <f t="shared" si="155"/>
        <v>496.06329767366856</v>
      </c>
      <c r="O125" s="39">
        <f t="shared" si="156"/>
        <v>48.396704157217641</v>
      </c>
      <c r="P125" s="39">
        <f t="shared" si="157"/>
        <v>384.96909295785588</v>
      </c>
      <c r="Q125" s="39">
        <f t="shared" si="158"/>
        <v>2008.2286132891577</v>
      </c>
      <c r="R125" s="39">
        <f t="shared" si="159"/>
        <v>559.30946780189754</v>
      </c>
      <c r="S125" s="39">
        <f t="shared" si="160"/>
        <v>5232.0359351706329</v>
      </c>
      <c r="T125" s="39">
        <f t="shared" si="161"/>
        <v>212.66019736822523</v>
      </c>
      <c r="U125" s="39">
        <f t="shared" si="162"/>
        <v>530.18558976684483</v>
      </c>
      <c r="V125" s="39">
        <f t="shared" si="163"/>
        <v>448.7378312916577</v>
      </c>
      <c r="W125" s="39">
        <f t="shared" si="164"/>
        <v>38.031438511992143</v>
      </c>
      <c r="X125" s="39">
        <f t="shared" si="165"/>
        <v>3508.5240037132476</v>
      </c>
      <c r="Y125" s="39">
        <f t="shared" si="166"/>
        <v>43.906613935855013</v>
      </c>
      <c r="Z125" s="39">
        <f t="shared" si="167"/>
        <v>123.12140202829224</v>
      </c>
      <c r="AA125" s="39">
        <f t="shared" si="168"/>
        <v>63.234498579652971</v>
      </c>
      <c r="AB125" s="39">
        <f t="shared" si="169"/>
        <v>68.771477264906068</v>
      </c>
      <c r="AC125" s="39">
        <f t="shared" si="170"/>
        <v>22.595517866959323</v>
      </c>
      <c r="AD125" s="39">
        <f t="shared" si="171"/>
        <v>59.123552529728094</v>
      </c>
      <c r="AE125" s="39">
        <f t="shared" si="172"/>
        <v>42.592536569509377</v>
      </c>
      <c r="AF125" s="39">
        <f t="shared" si="173"/>
        <v>3136.5806986477032</v>
      </c>
      <c r="AG125" s="39">
        <f t="shared" si="174"/>
        <v>340.16964293471398</v>
      </c>
      <c r="AH125" s="39">
        <f t="shared" si="175"/>
        <v>1165.5743109618707</v>
      </c>
      <c r="AI125" s="39">
        <f t="shared" si="176"/>
        <v>309.06035703146301</v>
      </c>
      <c r="AJ125" s="39">
        <f t="shared" si="177"/>
        <v>564.34696484905271</v>
      </c>
      <c r="AK125" s="39">
        <f t="shared" si="178"/>
        <v>220.38739030935534</v>
      </c>
      <c r="AL125" s="39">
        <f t="shared" si="179"/>
        <v>542.86699508549236</v>
      </c>
      <c r="AM125" s="39">
        <f t="shared" si="180"/>
        <v>60.6061533912751</v>
      </c>
      <c r="AN125" s="39">
        <f t="shared" si="181"/>
        <v>119.9632263988771</v>
      </c>
      <c r="AO125" s="39">
        <f t="shared" si="182"/>
        <v>11376.980005574807</v>
      </c>
    </row>
    <row r="126" spans="4:41" ht="14.4">
      <c r="D126">
        <f t="shared" si="148"/>
        <v>2046</v>
      </c>
      <c r="E126" s="39">
        <f t="shared" si="149"/>
        <v>44.911160658820748</v>
      </c>
      <c r="F126" s="39">
        <f t="shared" si="183"/>
        <v>437.7281461930736</v>
      </c>
      <c r="G126" s="39">
        <f t="shared" si="184"/>
        <v>74.290686829486035</v>
      </c>
      <c r="H126" s="39">
        <f t="shared" si="185"/>
        <v>1449.0450340470131</v>
      </c>
      <c r="I126" s="39">
        <f t="shared" si="150"/>
        <v>312.01503411947306</v>
      </c>
      <c r="J126" s="39">
        <f t="shared" si="151"/>
        <v>878.44350879435444</v>
      </c>
      <c r="K126" s="39">
        <f t="shared" si="152"/>
        <v>100.58711936272655</v>
      </c>
      <c r="L126" s="39">
        <f t="shared" si="153"/>
        <v>566.44829969258103</v>
      </c>
      <c r="M126" s="39">
        <f t="shared" si="154"/>
        <v>7522.9616942498851</v>
      </c>
      <c r="N126" s="39">
        <f t="shared" si="155"/>
        <v>494.08102873616457</v>
      </c>
      <c r="O126" s="39">
        <f t="shared" si="156"/>
        <v>48.203310927405397</v>
      </c>
      <c r="P126" s="39">
        <f t="shared" si="157"/>
        <v>383.43075646239629</v>
      </c>
      <c r="Q126" s="39">
        <f t="shared" si="158"/>
        <v>1999.8029094015278</v>
      </c>
      <c r="R126" s="39">
        <f t="shared" si="159"/>
        <v>557.07446716856111</v>
      </c>
      <c r="S126" s="39">
        <f t="shared" si="160"/>
        <v>5211.1287195736913</v>
      </c>
      <c r="T126" s="39">
        <f t="shared" si="161"/>
        <v>211.81040721954179</v>
      </c>
      <c r="U126" s="39">
        <f t="shared" si="162"/>
        <v>528.06696815013652</v>
      </c>
      <c r="V126" s="39">
        <f t="shared" si="163"/>
        <v>437.14648437156285</v>
      </c>
      <c r="W126" s="39">
        <f t="shared" si="164"/>
        <v>37.879464883698219</v>
      </c>
      <c r="X126" s="39">
        <f t="shared" si="165"/>
        <v>3494.5039417944095</v>
      </c>
      <c r="Y126" s="39">
        <f t="shared" si="166"/>
        <v>43.731163106567337</v>
      </c>
      <c r="Z126" s="39">
        <f t="shared" si="167"/>
        <v>122.62940890578719</v>
      </c>
      <c r="AA126" s="39">
        <f t="shared" si="168"/>
        <v>62.981813523328675</v>
      </c>
      <c r="AB126" s="39">
        <f t="shared" si="169"/>
        <v>68.496666441755508</v>
      </c>
      <c r="AC126" s="39">
        <f t="shared" si="170"/>
        <v>22.505226177562953</v>
      </c>
      <c r="AD126" s="39">
        <f t="shared" si="171"/>
        <v>58.887294813819302</v>
      </c>
      <c r="AE126" s="39">
        <f t="shared" si="172"/>
        <v>42.422336793377617</v>
      </c>
      <c r="AF126" s="39">
        <f t="shared" si="173"/>
        <v>3124.0469221759072</v>
      </c>
      <c r="AG126" s="39">
        <f t="shared" si="174"/>
        <v>338.81032504154683</v>
      </c>
      <c r="AH126" s="39">
        <f t="shared" si="175"/>
        <v>1160.9166760152671</v>
      </c>
      <c r="AI126" s="39">
        <f t="shared" si="176"/>
        <v>307.82535184476529</v>
      </c>
      <c r="AJ126" s="39">
        <f t="shared" si="177"/>
        <v>562.09183437751585</v>
      </c>
      <c r="AK126" s="39">
        <f t="shared" si="178"/>
        <v>219.50672229767915</v>
      </c>
      <c r="AL126" s="39">
        <f t="shared" si="179"/>
        <v>541.56489602576016</v>
      </c>
      <c r="AM126" s="39">
        <f t="shared" si="180"/>
        <v>60.363971202323562</v>
      </c>
      <c r="AN126" s="39">
        <f t="shared" si="181"/>
        <v>119.48385334618719</v>
      </c>
      <c r="AO126" s="39">
        <f t="shared" si="182"/>
        <v>11276.403234820324</v>
      </c>
    </row>
    <row r="127" spans="4:41" ht="14.4">
      <c r="D127">
        <f t="shared" si="148"/>
        <v>2048</v>
      </c>
      <c r="E127" s="39">
        <f t="shared" si="149"/>
        <v>44.731695660828102</v>
      </c>
      <c r="F127" s="39">
        <f t="shared" si="183"/>
        <v>435.97898452088606</v>
      </c>
      <c r="G127" s="39">
        <f t="shared" si="184"/>
        <v>73.993821244915409</v>
      </c>
      <c r="H127" s="39">
        <f t="shared" si="185"/>
        <v>1441.808865408241</v>
      </c>
      <c r="I127" s="39">
        <f t="shared" si="150"/>
        <v>310.76822204313163</v>
      </c>
      <c r="J127" s="39">
        <f t="shared" si="151"/>
        <v>874.93324853321224</v>
      </c>
      <c r="K127" s="39">
        <f t="shared" si="152"/>
        <v>100.1851732337531</v>
      </c>
      <c r="L127" s="39">
        <f t="shared" si="153"/>
        <v>564.18477228700942</v>
      </c>
      <c r="M127" s="39">
        <f t="shared" si="154"/>
        <v>7492.8999393196627</v>
      </c>
      <c r="N127" s="39">
        <f t="shared" si="155"/>
        <v>492.10668094533486</v>
      </c>
      <c r="O127" s="39">
        <f t="shared" si="156"/>
        <v>48.010690496939482</v>
      </c>
      <c r="P127" s="39">
        <f t="shared" si="157"/>
        <v>381.89856715957256</v>
      </c>
      <c r="Q127" s="39">
        <f t="shared" si="158"/>
        <v>1991.4125563128719</v>
      </c>
      <c r="R127" s="39">
        <f t="shared" si="159"/>
        <v>554.84839759775559</v>
      </c>
      <c r="S127" s="39">
        <f t="shared" si="160"/>
        <v>5190.3050492102748</v>
      </c>
      <c r="T127" s="39">
        <f t="shared" si="161"/>
        <v>210.9640128322925</v>
      </c>
      <c r="U127" s="39">
        <f t="shared" si="162"/>
        <v>525.95681254540852</v>
      </c>
      <c r="V127" s="39">
        <f t="shared" si="163"/>
        <v>425.85455353376096</v>
      </c>
      <c r="W127" s="39">
        <f t="shared" si="164"/>
        <v>37.728098542022963</v>
      </c>
      <c r="X127" s="39">
        <f t="shared" si="165"/>
        <v>3480.5399040429988</v>
      </c>
      <c r="Y127" s="39">
        <f t="shared" si="166"/>
        <v>43.556413378793494</v>
      </c>
      <c r="Z127" s="39">
        <f t="shared" si="167"/>
        <v>122.13938178779966</v>
      </c>
      <c r="AA127" s="39">
        <f t="shared" si="168"/>
        <v>62.730138196489456</v>
      </c>
      <c r="AB127" s="39">
        <f t="shared" si="169"/>
        <v>68.222953762654257</v>
      </c>
      <c r="AC127" s="39">
        <f t="shared" si="170"/>
        <v>22.41529529375741</v>
      </c>
      <c r="AD127" s="39">
        <f t="shared" si="171"/>
        <v>58.651981183743281</v>
      </c>
      <c r="AE127" s="39">
        <f t="shared" si="172"/>
        <v>42.252817135551282</v>
      </c>
      <c r="AF127" s="39">
        <f t="shared" si="173"/>
        <v>3111.5632306748921</v>
      </c>
      <c r="AG127" s="39">
        <f t="shared" si="174"/>
        <v>337.45643898268082</v>
      </c>
      <c r="AH127" s="39">
        <f t="shared" si="175"/>
        <v>1156.2776529779101</v>
      </c>
      <c r="AI127" s="39">
        <f t="shared" si="176"/>
        <v>306.59528173879363</v>
      </c>
      <c r="AJ127" s="39">
        <f t="shared" si="177"/>
        <v>559.84571540734328</v>
      </c>
      <c r="AK127" s="39">
        <f t="shared" si="178"/>
        <v>218.62957343537761</v>
      </c>
      <c r="AL127" s="39">
        <f t="shared" si="179"/>
        <v>540.26592012874869</v>
      </c>
      <c r="AM127" s="39">
        <f t="shared" si="180"/>
        <v>60.122756773399075</v>
      </c>
      <c r="AN127" s="39">
        <f t="shared" si="181"/>
        <v>119.00639586821582</v>
      </c>
      <c r="AO127" s="39">
        <f t="shared" si="182"/>
        <v>11176.715600445657</v>
      </c>
    </row>
    <row r="128" spans="4:41" ht="14.4">
      <c r="D128">
        <f t="shared" si="148"/>
        <v>2050</v>
      </c>
      <c r="E128" s="39">
        <f t="shared" si="149"/>
        <v>44.552947804967431</v>
      </c>
      <c r="F128" s="39">
        <f t="shared" si="183"/>
        <v>434.23681249874062</v>
      </c>
      <c r="G128" s="39">
        <f t="shared" si="184"/>
        <v>73.698141935220733</v>
      </c>
      <c r="H128" s="39">
        <f t="shared" si="185"/>
        <v>1434.6088323866088</v>
      </c>
      <c r="I128" s="39">
        <f t="shared" si="150"/>
        <v>309.52639222784728</v>
      </c>
      <c r="J128" s="39">
        <f t="shared" si="151"/>
        <v>871.43701527207349</v>
      </c>
      <c r="K128" s="39">
        <f t="shared" si="152"/>
        <v>99.784833281511027</v>
      </c>
      <c r="L128" s="39">
        <f t="shared" si="153"/>
        <v>561.93028993695054</v>
      </c>
      <c r="M128" s="39">
        <f t="shared" si="154"/>
        <v>7462.9583111621414</v>
      </c>
      <c r="N128" s="39">
        <f t="shared" si="155"/>
        <v>490.1402226482773</v>
      </c>
      <c r="O128" s="39">
        <f t="shared" si="156"/>
        <v>47.818839777713713</v>
      </c>
      <c r="P128" s="39">
        <f t="shared" si="157"/>
        <v>380.37250048520292</v>
      </c>
      <c r="Q128" s="39">
        <f t="shared" si="158"/>
        <v>1983.0574057057311</v>
      </c>
      <c r="R128" s="39">
        <f t="shared" si="159"/>
        <v>552.63122340095492</v>
      </c>
      <c r="S128" s="39">
        <f t="shared" si="160"/>
        <v>5169.564590233631</v>
      </c>
      <c r="T128" s="39">
        <f t="shared" si="161"/>
        <v>210.12100063701465</v>
      </c>
      <c r="U128" s="39">
        <f t="shared" si="162"/>
        <v>523.85508912247712</v>
      </c>
      <c r="V128" s="39">
        <f t="shared" si="163"/>
        <v>414.85430456143035</v>
      </c>
      <c r="W128" s="39">
        <f t="shared" si="164"/>
        <v>37.577337060249036</v>
      </c>
      <c r="X128" s="39">
        <f t="shared" si="165"/>
        <v>3466.6316665864429</v>
      </c>
      <c r="Y128" s="39">
        <f t="shared" si="166"/>
        <v>43.382361950931838</v>
      </c>
      <c r="Z128" s="39">
        <f t="shared" si="167"/>
        <v>121.65131281817561</v>
      </c>
      <c r="AA128" s="39">
        <f t="shared" si="168"/>
        <v>62.479468564256287</v>
      </c>
      <c r="AB128" s="39">
        <f t="shared" si="169"/>
        <v>67.950334839418687</v>
      </c>
      <c r="AC128" s="39">
        <f t="shared" si="170"/>
        <v>22.325723773763556</v>
      </c>
      <c r="AD128" s="39">
        <f t="shared" si="171"/>
        <v>58.417607866933047</v>
      </c>
      <c r="AE128" s="39">
        <f t="shared" si="172"/>
        <v>42.083974878277623</v>
      </c>
      <c r="AF128" s="39">
        <f t="shared" si="173"/>
        <v>3099.1294240051152</v>
      </c>
      <c r="AG128" s="39">
        <f t="shared" si="174"/>
        <v>336.10796305250602</v>
      </c>
      <c r="AH128" s="39">
        <f t="shared" si="175"/>
        <v>1151.6571674766103</v>
      </c>
      <c r="AI128" s="39">
        <f t="shared" si="176"/>
        <v>305.37012699296542</v>
      </c>
      <c r="AJ128" s="39">
        <f t="shared" si="177"/>
        <v>557.60857192857554</v>
      </c>
      <c r="AK128" s="39">
        <f t="shared" si="178"/>
        <v>217.75592965992985</v>
      </c>
      <c r="AL128" s="39">
        <f t="shared" si="179"/>
        <v>538.9700599033647</v>
      </c>
      <c r="AM128" s="39">
        <f t="shared" si="180"/>
        <v>59.882506237332571</v>
      </c>
      <c r="AN128" s="39">
        <f t="shared" si="181"/>
        <v>118.53084631032642</v>
      </c>
      <c r="AO128" s="39">
        <f t="shared" si="182"/>
        <v>11077.909242151694</v>
      </c>
    </row>
    <row r="129" spans="4:41" ht="14.4">
      <c r="D129">
        <f t="shared" si="148"/>
        <v>2052</v>
      </c>
      <c r="E129" s="39">
        <f t="shared" si="149"/>
        <v>44.374914225538781</v>
      </c>
      <c r="F129" s="39">
        <f t="shared" si="183"/>
        <v>432.50160219599564</v>
      </c>
      <c r="G129" s="39">
        <f t="shared" si="184"/>
        <v>73.403644160047591</v>
      </c>
      <c r="H129" s="39">
        <f t="shared" si="185"/>
        <v>1427.4447545298783</v>
      </c>
      <c r="I129" s="39">
        <f t="shared" si="150"/>
        <v>308.28952476450479</v>
      </c>
      <c r="J129" s="39">
        <f t="shared" si="151"/>
        <v>867.95475295904635</v>
      </c>
      <c r="K129" s="39">
        <f t="shared" si="152"/>
        <v>99.386093087718109</v>
      </c>
      <c r="L129" s="39">
        <f t="shared" si="153"/>
        <v>559.68481649836247</v>
      </c>
      <c r="M129" s="39">
        <f t="shared" si="154"/>
        <v>7433.1363297507378</v>
      </c>
      <c r="N129" s="39">
        <f t="shared" si="155"/>
        <v>488.1816223185748</v>
      </c>
      <c r="O129" s="39">
        <f t="shared" si="156"/>
        <v>47.627755693961966</v>
      </c>
      <c r="P129" s="39">
        <f t="shared" si="157"/>
        <v>378.85253197326404</v>
      </c>
      <c r="Q129" s="39">
        <f t="shared" si="158"/>
        <v>1974.7373098849262</v>
      </c>
      <c r="R129" s="39">
        <f t="shared" si="159"/>
        <v>550.42290903224466</v>
      </c>
      <c r="S129" s="39">
        <f t="shared" si="160"/>
        <v>5148.9070101310572</v>
      </c>
      <c r="T129" s="39">
        <f t="shared" si="161"/>
        <v>209.28135711846915</v>
      </c>
      <c r="U129" s="39">
        <f t="shared" si="162"/>
        <v>521.76176418634373</v>
      </c>
      <c r="V129" s="39">
        <f t="shared" si="163"/>
        <v>404.13820302030405</v>
      </c>
      <c r="W129" s="39">
        <f t="shared" si="164"/>
        <v>37.427178021356283</v>
      </c>
      <c r="X129" s="39">
        <f t="shared" si="165"/>
        <v>3452.7790064467636</v>
      </c>
      <c r="Y129" s="39">
        <f t="shared" si="166"/>
        <v>43.209006032575914</v>
      </c>
      <c r="Z129" s="39">
        <f t="shared" si="167"/>
        <v>121.16519417215419</v>
      </c>
      <c r="AA129" s="39">
        <f t="shared" si="168"/>
        <v>62.229800607873521</v>
      </c>
      <c r="AB129" s="39">
        <f t="shared" si="169"/>
        <v>67.678805301400374</v>
      </c>
      <c r="AC129" s="39">
        <f t="shared" si="170"/>
        <v>22.236510181563599</v>
      </c>
      <c r="AD129" s="39">
        <f t="shared" si="171"/>
        <v>58.18417110589678</v>
      </c>
      <c r="AE129" s="39">
        <f t="shared" si="172"/>
        <v>41.915807314664022</v>
      </c>
      <c r="AF129" s="39">
        <f t="shared" si="173"/>
        <v>3086.745302826791</v>
      </c>
      <c r="AG129" s="39">
        <f t="shared" si="174"/>
        <v>334.76487563214823</v>
      </c>
      <c r="AH129" s="39">
        <f t="shared" si="175"/>
        <v>1147.0551454353738</v>
      </c>
      <c r="AI129" s="39">
        <f t="shared" si="176"/>
        <v>304.14986796550153</v>
      </c>
      <c r="AJ129" s="39">
        <f t="shared" si="177"/>
        <v>555.38036807514891</v>
      </c>
      <c r="AK129" s="39">
        <f t="shared" si="178"/>
        <v>216.88577696500877</v>
      </c>
      <c r="AL129" s="39">
        <f t="shared" si="179"/>
        <v>537.67730787648293</v>
      </c>
      <c r="AM129" s="39">
        <f t="shared" si="180"/>
        <v>59.643215742408188</v>
      </c>
      <c r="AN129" s="39">
        <f t="shared" si="181"/>
        <v>118.05719704847036</v>
      </c>
      <c r="AO129" s="39">
        <f t="shared" si="182"/>
        <v>10979.976369127315</v>
      </c>
    </row>
    <row r="130" spans="4:41" ht="14.4">
      <c r="D130">
        <f t="shared" si="148"/>
        <v>2054</v>
      </c>
      <c r="E130" s="39">
        <f t="shared" si="149"/>
        <v>44.197592068293531</v>
      </c>
      <c r="F130" s="39">
        <f t="shared" si="183"/>
        <v>430.77332579362047</v>
      </c>
      <c r="G130" s="39">
        <f t="shared" si="184"/>
        <v>73.110323197984044</v>
      </c>
      <c r="H130" s="39">
        <f t="shared" si="185"/>
        <v>1420.3164522869449</v>
      </c>
      <c r="I130" s="39">
        <f t="shared" si="150"/>
        <v>307.05759982354584</v>
      </c>
      <c r="J130" s="39">
        <f t="shared" si="151"/>
        <v>864.48640576622199</v>
      </c>
      <c r="K130" s="39">
        <f t="shared" si="152"/>
        <v>98.988946259739592</v>
      </c>
      <c r="L130" s="39">
        <f t="shared" si="153"/>
        <v>557.448315971635</v>
      </c>
      <c r="M130" s="39">
        <f t="shared" si="154"/>
        <v>7403.4335169770538</v>
      </c>
      <c r="N130" s="39">
        <f t="shared" si="155"/>
        <v>486.23084855578975</v>
      </c>
      <c r="O130" s="39">
        <f t="shared" si="156"/>
        <v>47.437435182208894</v>
      </c>
      <c r="P130" s="39">
        <f t="shared" si="157"/>
        <v>377.3386372554989</v>
      </c>
      <c r="Q130" s="39">
        <f t="shared" si="158"/>
        <v>1966.4521217749459</v>
      </c>
      <c r="R130" s="39">
        <f t="shared" si="159"/>
        <v>548.22341908775184</v>
      </c>
      <c r="S130" s="39">
        <f t="shared" si="160"/>
        <v>5128.3319777185734</v>
      </c>
      <c r="T130" s="39">
        <f t="shared" si="161"/>
        <v>208.44506881542375</v>
      </c>
      <c r="U130" s="39">
        <f t="shared" si="162"/>
        <v>519.67680417665508</v>
      </c>
      <c r="V130" s="39">
        <f t="shared" si="163"/>
        <v>393.69890909808657</v>
      </c>
      <c r="W130" s="39">
        <f t="shared" si="164"/>
        <v>37.277619017982943</v>
      </c>
      <c r="X130" s="39">
        <f t="shared" si="165"/>
        <v>3438.9817015370022</v>
      </c>
      <c r="Y130" s="39">
        <f t="shared" si="166"/>
        <v>43.036342844469743</v>
      </c>
      <c r="Z130" s="39">
        <f t="shared" si="167"/>
        <v>120.68101805624227</v>
      </c>
      <c r="AA130" s="39">
        <f t="shared" si="168"/>
        <v>61.981130324644461</v>
      </c>
      <c r="AB130" s="39">
        <f t="shared" si="169"/>
        <v>67.408360795415973</v>
      </c>
      <c r="AC130" s="39">
        <f t="shared" si="170"/>
        <v>22.147653086878069</v>
      </c>
      <c r="AD130" s="39">
        <f t="shared" si="171"/>
        <v>57.951667158157619</v>
      </c>
      <c r="AE130" s="39">
        <f t="shared" si="172"/>
        <v>41.748311748634627</v>
      </c>
      <c r="AF130" s="39">
        <f t="shared" si="173"/>
        <v>3074.4106685966949</v>
      </c>
      <c r="AG130" s="39">
        <f t="shared" si="174"/>
        <v>333.42715518912217</v>
      </c>
      <c r="AH130" s="39">
        <f t="shared" si="175"/>
        <v>1142.471513074214</v>
      </c>
      <c r="AI130" s="39">
        <f t="shared" si="176"/>
        <v>302.93448509311139</v>
      </c>
      <c r="AJ130" s="39">
        <f t="shared" si="177"/>
        <v>553.16106812432065</v>
      </c>
      <c r="AK130" s="39">
        <f t="shared" si="178"/>
        <v>216.0191014002566</v>
      </c>
      <c r="AL130" s="39">
        <f t="shared" si="179"/>
        <v>536.38765659290277</v>
      </c>
      <c r="AM130" s="39">
        <f t="shared" si="180"/>
        <v>59.404881452301524</v>
      </c>
      <c r="AN130" s="39">
        <f t="shared" si="181"/>
        <v>117.58544048906467</v>
      </c>
      <c r="AO130" s="39">
        <f t="shared" si="182"/>
        <v>10882.909259435091</v>
      </c>
    </row>
    <row r="131" spans="4:41" ht="14.4">
      <c r="D131">
        <f t="shared" si="148"/>
        <v>2056</v>
      </c>
      <c r="E131" s="39">
        <f t="shared" si="149"/>
        <v>44.020978490388629</v>
      </c>
      <c r="F131" s="39">
        <f t="shared" si="183"/>
        <v>429.05195558374919</v>
      </c>
      <c r="G131" s="39">
        <f t="shared" si="184"/>
        <v>72.818174346484895</v>
      </c>
      <c r="H131" s="39">
        <f t="shared" si="185"/>
        <v>1413.2237470033372</v>
      </c>
      <c r="I131" s="39">
        <f t="shared" si="150"/>
        <v>305.83059765465094</v>
      </c>
      <c r="J131" s="39">
        <f t="shared" si="151"/>
        <v>861.03191808878012</v>
      </c>
      <c r="K131" s="39">
        <f t="shared" si="152"/>
        <v>98.593386430485666</v>
      </c>
      <c r="L131" s="39">
        <f t="shared" si="153"/>
        <v>555.22075250101238</v>
      </c>
      <c r="M131" s="39">
        <f t="shared" si="154"/>
        <v>7373.8493966432134</v>
      </c>
      <c r="N131" s="39">
        <f t="shared" si="155"/>
        <v>484.28787008496079</v>
      </c>
      <c r="O131" s="39">
        <f t="shared" si="156"/>
        <v>47.247875191220785</v>
      </c>
      <c r="P131" s="39">
        <f t="shared" si="157"/>
        <v>375.83079206102593</v>
      </c>
      <c r="Q131" s="39">
        <f t="shared" si="158"/>
        <v>1958.201694917348</v>
      </c>
      <c r="R131" s="39">
        <f t="shared" si="159"/>
        <v>546.0327183050772</v>
      </c>
      <c r="S131" s="39">
        <f t="shared" si="160"/>
        <v>5107.8391631356099</v>
      </c>
      <c r="T131" s="39">
        <f t="shared" si="161"/>
        <v>207.61212232043732</v>
      </c>
      <c r="U131" s="39">
        <f t="shared" si="162"/>
        <v>517.60017566716522</v>
      </c>
      <c r="V131" s="39">
        <f t="shared" si="163"/>
        <v>383.52927257717386</v>
      </c>
      <c r="W131" s="39">
        <f t="shared" si="164"/>
        <v>37.128657652387083</v>
      </c>
      <c r="X131" s="39">
        <f t="shared" si="165"/>
        <v>3425.2395306576605</v>
      </c>
      <c r="Y131" s="39">
        <f t="shared" si="166"/>
        <v>42.864369618463243</v>
      </c>
      <c r="Z131" s="39">
        <f t="shared" si="167"/>
        <v>120.19877670808953</v>
      </c>
      <c r="AA131" s="39">
        <f t="shared" si="168"/>
        <v>61.733453727867179</v>
      </c>
      <c r="AB131" s="39">
        <f t="shared" si="169"/>
        <v>67.138996985677494</v>
      </c>
      <c r="AC131" s="39">
        <f t="shared" si="170"/>
        <v>22.059151065142906</v>
      </c>
      <c r="AD131" s="39">
        <f t="shared" si="171"/>
        <v>57.72009229619362</v>
      </c>
      <c r="AE131" s="39">
        <f t="shared" si="172"/>
        <v>41.581485494887083</v>
      </c>
      <c r="AF131" s="39">
        <f t="shared" si="173"/>
        <v>3062.1253235649824</v>
      </c>
      <c r="AG131" s="39">
        <f t="shared" si="174"/>
        <v>332.09478027698646</v>
      </c>
      <c r="AH131" s="39">
        <f t="shared" si="175"/>
        <v>1137.9061969079694</v>
      </c>
      <c r="AI131" s="39">
        <f t="shared" si="176"/>
        <v>301.72395889067934</v>
      </c>
      <c r="AJ131" s="39">
        <f t="shared" si="177"/>
        <v>550.95063649609585</v>
      </c>
      <c r="AK131" s="39">
        <f t="shared" si="178"/>
        <v>215.15588907106118</v>
      </c>
      <c r="AL131" s="39">
        <f t="shared" si="179"/>
        <v>535.10109861530532</v>
      </c>
      <c r="AM131" s="39">
        <f t="shared" si="180"/>
        <v>59.167499546018128</v>
      </c>
      <c r="AN131" s="39">
        <f t="shared" si="181"/>
        <v>117.11556906887036</v>
      </c>
      <c r="AO131" s="39">
        <f t="shared" si="182"/>
        <v>10786.70025940242</v>
      </c>
    </row>
    <row r="132" spans="4:41" ht="14.4">
      <c r="D132">
        <f t="shared" si="148"/>
        <v>2058</v>
      </c>
      <c r="E132" s="39">
        <f t="shared" si="149"/>
        <v>43.845070660341037</v>
      </c>
      <c r="F132" s="39">
        <f t="shared" si="183"/>
        <v>427.33746396923652</v>
      </c>
      <c r="G132" s="39">
        <f t="shared" si="184"/>
        <v>72.527192921796342</v>
      </c>
      <c r="H132" s="39">
        <f t="shared" si="185"/>
        <v>1406.1664609167394</v>
      </c>
      <c r="I132" s="39">
        <f t="shared" si="150"/>
        <v>304.60849858642297</v>
      </c>
      <c r="J132" s="39">
        <f t="shared" si="151"/>
        <v>857.59123454409735</v>
      </c>
      <c r="K132" s="39">
        <f t="shared" si="152"/>
        <v>98.199407258309449</v>
      </c>
      <c r="L132" s="39">
        <f t="shared" si="153"/>
        <v>553.00209037401839</v>
      </c>
      <c r="M132" s="39">
        <f t="shared" si="154"/>
        <v>7344.3834944542268</v>
      </c>
      <c r="N132" s="39">
        <f t="shared" si="155"/>
        <v>482.35265575610129</v>
      </c>
      <c r="O132" s="39">
        <f t="shared" si="156"/>
        <v>47.059072681956664</v>
      </c>
      <c r="P132" s="39">
        <f t="shared" si="157"/>
        <v>374.32897221595005</v>
      </c>
      <c r="Q132" s="39">
        <f t="shared" si="158"/>
        <v>1949.9858834681697</v>
      </c>
      <c r="R132" s="39">
        <f t="shared" si="159"/>
        <v>543.85077156273007</v>
      </c>
      <c r="S132" s="39">
        <f t="shared" si="160"/>
        <v>5087.4282378397202</v>
      </c>
      <c r="T132" s="39">
        <f t="shared" si="161"/>
        <v>206.78250427964485</v>
      </c>
      <c r="U132" s="39">
        <f t="shared" si="162"/>
        <v>515.53184536519927</v>
      </c>
      <c r="V132" s="39">
        <f t="shared" si="163"/>
        <v>373.62232793723285</v>
      </c>
      <c r="W132" s="39">
        <f t="shared" si="164"/>
        <v>36.980291536408146</v>
      </c>
      <c r="X132" s="39">
        <f t="shared" si="165"/>
        <v>3411.5522734931524</v>
      </c>
      <c r="Y132" s="39">
        <f t="shared" si="166"/>
        <v>42.693083597467862</v>
      </c>
      <c r="Z132" s="39">
        <f t="shared" si="167"/>
        <v>119.718462396364</v>
      </c>
      <c r="AA132" s="39">
        <f t="shared" si="168"/>
        <v>61.486766846770621</v>
      </c>
      <c r="AB132" s="39">
        <f t="shared" si="169"/>
        <v>66.870709553722733</v>
      </c>
      <c r="AC132" s="39">
        <f t="shared" si="170"/>
        <v>21.971002697486597</v>
      </c>
      <c r="AD132" s="39">
        <f t="shared" si="171"/>
        <v>57.489442807378033</v>
      </c>
      <c r="AE132" s="39">
        <f t="shared" si="172"/>
        <v>41.415325878849515</v>
      </c>
      <c r="AF132" s="39">
        <f t="shared" si="173"/>
        <v>3049.8890707720166</v>
      </c>
      <c r="AG132" s="39">
        <f t="shared" si="174"/>
        <v>330.7677295349996</v>
      </c>
      <c r="AH132" s="39">
        <f t="shared" si="175"/>
        <v>1133.3591237451251</v>
      </c>
      <c r="AI132" s="39">
        <f t="shared" si="176"/>
        <v>300.51826995095217</v>
      </c>
      <c r="AJ132" s="39">
        <f t="shared" si="177"/>
        <v>548.7490377526575</v>
      </c>
      <c r="AK132" s="39">
        <f t="shared" si="178"/>
        <v>214.29612613833322</v>
      </c>
      <c r="AL132" s="39">
        <f t="shared" si="179"/>
        <v>533.8176265242106</v>
      </c>
      <c r="AM132" s="39">
        <f t="shared" si="180"/>
        <v>58.931066217832239</v>
      </c>
      <c r="AN132" s="39">
        <f t="shared" si="181"/>
        <v>116.64757525487116</v>
      </c>
      <c r="AO132" s="39">
        <f t="shared" si="182"/>
        <v>10691.341783018033</v>
      </c>
    </row>
    <row r="133" spans="4:41" ht="14.4">
      <c r="D133">
        <f t="shared" si="148"/>
        <v>2060</v>
      </c>
      <c r="E133" s="39">
        <f t="shared" si="149"/>
        <v>43.669865757982315</v>
      </c>
      <c r="F133" s="39">
        <f t="shared" si="183"/>
        <v>425.62982346321547</v>
      </c>
      <c r="G133" s="39">
        <f t="shared" si="184"/>
        <v>72.237374258880848</v>
      </c>
      <c r="H133" s="39">
        <f t="shared" si="185"/>
        <v>1399.1444171525366</v>
      </c>
      <c r="I133" s="39">
        <f t="shared" si="150"/>
        <v>303.39128302607162</v>
      </c>
      <c r="J133" s="39">
        <f t="shared" si="151"/>
        <v>854.16429997085913</v>
      </c>
      <c r="K133" s="39">
        <f t="shared" si="152"/>
        <v>97.807002426905242</v>
      </c>
      <c r="L133" s="39">
        <f t="shared" si="153"/>
        <v>550.79229402088379</v>
      </c>
      <c r="M133" s="39">
        <f t="shared" si="154"/>
        <v>7315.0353380103879</v>
      </c>
      <c r="N133" s="39">
        <f t="shared" si="155"/>
        <v>480.42517454369988</v>
      </c>
      <c r="O133" s="39">
        <f t="shared" si="156"/>
        <v>46.871024627519567</v>
      </c>
      <c r="P133" s="39">
        <f t="shared" si="157"/>
        <v>372.83315364297511</v>
      </c>
      <c r="Q133" s="39">
        <f t="shared" si="158"/>
        <v>1941.8045421953495</v>
      </c>
      <c r="R133" s="39">
        <f t="shared" si="159"/>
        <v>541.67754387956541</v>
      </c>
      <c r="S133" s="39">
        <f t="shared" si="160"/>
        <v>5067.0988746013127</v>
      </c>
      <c r="T133" s="39">
        <f t="shared" si="161"/>
        <v>205.95620139254339</v>
      </c>
      <c r="U133" s="39">
        <f t="shared" si="162"/>
        <v>513.47178011111998</v>
      </c>
      <c r="V133" s="39">
        <f t="shared" si="163"/>
        <v>363.97128958428618</v>
      </c>
      <c r="W133" s="39">
        <f t="shared" si="164"/>
        <v>36.832518291428656</v>
      </c>
      <c r="X133" s="39">
        <f t="shared" si="165"/>
        <v>3397.9197106082738</v>
      </c>
      <c r="Y133" s="39">
        <f t="shared" si="166"/>
        <v>42.522482035412381</v>
      </c>
      <c r="Z133" s="39">
        <f t="shared" si="167"/>
        <v>119.24006742062814</v>
      </c>
      <c r="AA133" s="39">
        <f t="shared" si="168"/>
        <v>61.241065726450927</v>
      </c>
      <c r="AB133" s="39">
        <f t="shared" si="169"/>
        <v>66.603494198346056</v>
      </c>
      <c r="AC133" s="39">
        <f t="shared" si="170"/>
        <v>21.88320657070744</v>
      </c>
      <c r="AD133" s="39">
        <f t="shared" si="171"/>
        <v>57.259714993919751</v>
      </c>
      <c r="AE133" s="39">
        <f t="shared" si="172"/>
        <v>41.249830236637635</v>
      </c>
      <c r="AF133" s="39">
        <f t="shared" si="173"/>
        <v>3037.7017140452117</v>
      </c>
      <c r="AG133" s="39">
        <f t="shared" si="174"/>
        <v>329.44598168777776</v>
      </c>
      <c r="AH133" s="39">
        <f t="shared" si="175"/>
        <v>1128.8302206866397</v>
      </c>
      <c r="AI133" s="39">
        <f t="shared" si="176"/>
        <v>299.31739894422816</v>
      </c>
      <c r="AJ133" s="39">
        <f t="shared" si="177"/>
        <v>546.55623659779792</v>
      </c>
      <c r="AK133" s="39">
        <f t="shared" si="178"/>
        <v>213.43979881828443</v>
      </c>
      <c r="AL133" s="39">
        <f t="shared" si="179"/>
        <v>532.53723291793472</v>
      </c>
      <c r="AM133" s="39">
        <f t="shared" si="180"/>
        <v>58.695577677225778</v>
      </c>
      <c r="AN133" s="39">
        <f t="shared" si="181"/>
        <v>116.18145154415269</v>
      </c>
      <c r="AO133" s="39">
        <f t="shared" si="182"/>
        <v>10596.826311333849</v>
      </c>
    </row>
    <row r="134" spans="4:41" ht="14.4">
      <c r="D134">
        <f t="shared" si="148"/>
        <v>2062</v>
      </c>
      <c r="E134" s="39">
        <f t="shared" si="149"/>
        <v>43.495360974413416</v>
      </c>
      <c r="F134" s="39">
        <f t="shared" si="183"/>
        <v>423.92900668865644</v>
      </c>
      <c r="G134" s="39">
        <f t="shared" si="184"/>
        <v>71.948713711342364</v>
      </c>
      <c r="H134" s="39">
        <f t="shared" si="185"/>
        <v>1392.1574397193813</v>
      </c>
      <c r="I134" s="39">
        <f t="shared" si="150"/>
        <v>302.17893145909943</v>
      </c>
      <c r="J134" s="39">
        <f t="shared" si="151"/>
        <v>850.75105942817561</v>
      </c>
      <c r="K134" s="39">
        <f t="shared" si="152"/>
        <v>97.416165645207329</v>
      </c>
      <c r="L134" s="39">
        <f t="shared" si="153"/>
        <v>548.59132801397629</v>
      </c>
      <c r="M134" s="39">
        <f t="shared" si="154"/>
        <v>7285.8044567996985</v>
      </c>
      <c r="N134" s="39">
        <f t="shared" si="155"/>
        <v>478.50539554622327</v>
      </c>
      <c r="O134" s="39">
        <f t="shared" si="156"/>
        <v>46.683728013108002</v>
      </c>
      <c r="P134" s="39">
        <f t="shared" si="157"/>
        <v>371.34331236101775</v>
      </c>
      <c r="Q134" s="39">
        <f t="shared" si="158"/>
        <v>1933.65752647616</v>
      </c>
      <c r="R134" s="39">
        <f t="shared" si="159"/>
        <v>539.51300041422269</v>
      </c>
      <c r="S134" s="39">
        <f t="shared" si="160"/>
        <v>5046.8507474984062</v>
      </c>
      <c r="T134" s="39">
        <f t="shared" si="161"/>
        <v>205.1332004117788</v>
      </c>
      <c r="U134" s="39">
        <f t="shared" si="162"/>
        <v>511.41994687779595</v>
      </c>
      <c r="V134" s="39">
        <f t="shared" si="163"/>
        <v>354.56954720303446</v>
      </c>
      <c r="W134" s="39">
        <f t="shared" si="164"/>
        <v>36.685335548336106</v>
      </c>
      <c r="X134" s="39">
        <f t="shared" si="165"/>
        <v>3384.3416234446831</v>
      </c>
      <c r="Y134" s="39">
        <f t="shared" si="166"/>
        <v>42.352562197198871</v>
      </c>
      <c r="Z134" s="39">
        <f t="shared" si="167"/>
        <v>118.76358411121531</v>
      </c>
      <c r="AA134" s="39">
        <f t="shared" si="168"/>
        <v>60.996346427808028</v>
      </c>
      <c r="AB134" s="39">
        <f t="shared" si="169"/>
        <v>66.337346635529471</v>
      </c>
      <c r="AC134" s="39">
        <f t="shared" si="170"/>
        <v>21.795761277250893</v>
      </c>
      <c r="AD134" s="39">
        <f t="shared" si="171"/>
        <v>57.030905172804047</v>
      </c>
      <c r="AE134" s="39">
        <f t="shared" si="172"/>
        <v>41.08499591501203</v>
      </c>
      <c r="AF134" s="39">
        <f t="shared" si="173"/>
        <v>3025.563057995887</v>
      </c>
      <c r="AG134" s="39">
        <f t="shared" si="174"/>
        <v>328.12951554495339</v>
      </c>
      <c r="AH134" s="39">
        <f t="shared" si="175"/>
        <v>1124.3194151247758</v>
      </c>
      <c r="AI134" s="39">
        <f t="shared" si="176"/>
        <v>298.12132661804702</v>
      </c>
      <c r="AJ134" s="39">
        <f t="shared" si="177"/>
        <v>544.37219787635308</v>
      </c>
      <c r="AK134" s="39">
        <f t="shared" si="178"/>
        <v>212.58689338220657</v>
      </c>
      <c r="AL134" s="39">
        <f t="shared" si="179"/>
        <v>531.25991041254713</v>
      </c>
      <c r="AM134" s="39">
        <f t="shared" si="180"/>
        <v>58.461030148827582</v>
      </c>
      <c r="AN134" s="39">
        <f t="shared" si="181"/>
        <v>115.71719046378226</v>
      </c>
      <c r="AO134" s="39">
        <f t="shared" si="182"/>
        <v>10503.146391872107</v>
      </c>
    </row>
    <row r="135" spans="4:41" ht="14.4">
      <c r="D135">
        <f t="shared" si="148"/>
        <v>2064</v>
      </c>
      <c r="E135" s="39">
        <f t="shared" si="149"/>
        <v>43.321553511959657</v>
      </c>
      <c r="F135" s="39">
        <f t="shared" si="183"/>
        <v>422.23498637792858</v>
      </c>
      <c r="G135" s="39">
        <f t="shared" si="184"/>
        <v>71.661206651351847</v>
      </c>
      <c r="H135" s="39">
        <f t="shared" si="185"/>
        <v>1385.2053535047828</v>
      </c>
      <c r="I135" s="39">
        <f t="shared" si="150"/>
        <v>300.97142444898884</v>
      </c>
      <c r="J135" s="39">
        <f t="shared" si="151"/>
        <v>847.35145819470063</v>
      </c>
      <c r="K135" s="39">
        <f t="shared" si="152"/>
        <v>97.026890647289079</v>
      </c>
      <c r="L135" s="39">
        <f t="shared" si="153"/>
        <v>546.39915706723241</v>
      </c>
      <c r="M135" s="39">
        <f t="shared" si="154"/>
        <v>7256.690382190327</v>
      </c>
      <c r="N135" s="39">
        <f t="shared" si="155"/>
        <v>476.59328798562058</v>
      </c>
      <c r="O135" s="39">
        <f t="shared" si="156"/>
        <v>46.497179835967621</v>
      </c>
      <c r="P135" s="39">
        <f t="shared" si="157"/>
        <v>369.85942448482314</v>
      </c>
      <c r="Q135" s="39">
        <f t="shared" si="158"/>
        <v>1925.5446922946519</v>
      </c>
      <c r="R135" s="39">
        <f t="shared" si="159"/>
        <v>537.35710646456744</v>
      </c>
      <c r="S135" s="39">
        <f t="shared" si="160"/>
        <v>5026.6835319114025</v>
      </c>
      <c r="T135" s="39">
        <f t="shared" si="161"/>
        <v>204.31348814293332</v>
      </c>
      <c r="U135" s="39">
        <f t="shared" si="162"/>
        <v>509.37631277007227</v>
      </c>
      <c r="V135" s="39">
        <f t="shared" si="163"/>
        <v>345.41066122923286</v>
      </c>
      <c r="W135" s="39">
        <f t="shared" si="164"/>
        <v>36.538740947484953</v>
      </c>
      <c r="X135" s="39">
        <f t="shared" si="165"/>
        <v>3370.8177943173982</v>
      </c>
      <c r="Y135" s="39">
        <f t="shared" si="166"/>
        <v>42.183321358658866</v>
      </c>
      <c r="Z135" s="39">
        <f t="shared" si="167"/>
        <v>118.28900482910689</v>
      </c>
      <c r="AA135" s="39">
        <f t="shared" si="168"/>
        <v>60.75260502748251</v>
      </c>
      <c r="AB135" s="39">
        <f t="shared" si="169"/>
        <v>66.072262598373896</v>
      </c>
      <c r="AC135" s="39">
        <f t="shared" si="170"/>
        <v>21.708665415186999</v>
      </c>
      <c r="AD135" s="39">
        <f t="shared" si="171"/>
        <v>56.80300967573352</v>
      </c>
      <c r="AE135" s="39">
        <f t="shared" si="172"/>
        <v>40.920820271335643</v>
      </c>
      <c r="AF135" s="39">
        <f t="shared" si="173"/>
        <v>3013.4729080161355</v>
      </c>
      <c r="AG135" s="39">
        <f t="shared" si="174"/>
        <v>326.81831000083577</v>
      </c>
      <c r="AH135" s="39">
        <f t="shared" si="175"/>
        <v>1119.8266347419371</v>
      </c>
      <c r="AI135" s="39">
        <f t="shared" si="176"/>
        <v>296.93003379688133</v>
      </c>
      <c r="AJ135" s="39">
        <f t="shared" si="177"/>
        <v>542.19688657363918</v>
      </c>
      <c r="AK135" s="39">
        <f t="shared" si="178"/>
        <v>211.73739615625126</v>
      </c>
      <c r="AL135" s="39">
        <f t="shared" si="179"/>
        <v>529.9856516418281</v>
      </c>
      <c r="AM135" s="39">
        <f t="shared" si="180"/>
        <v>58.227419872352868</v>
      </c>
      <c r="AN135" s="39">
        <f t="shared" si="181"/>
        <v>115.25478457068898</v>
      </c>
      <c r="AO135" s="39">
        <f t="shared" si="182"/>
        <v>10410.294638037745</v>
      </c>
    </row>
    <row r="136" spans="4:41" ht="14.4">
      <c r="D136">
        <f t="shared" si="148"/>
        <v>2066</v>
      </c>
      <c r="E136" s="39">
        <f t="shared" si="149"/>
        <v>43.148440584125865</v>
      </c>
      <c r="F136" s="39">
        <f t="shared" si="183"/>
        <v>420.54773537236235</v>
      </c>
      <c r="G136" s="39">
        <f t="shared" si="184"/>
        <v>71.374848469573038</v>
      </c>
      <c r="H136" s="39">
        <f t="shared" si="185"/>
        <v>1378.2879842707184</v>
      </c>
      <c r="I136" s="39">
        <f t="shared" si="150"/>
        <v>299.76874263689069</v>
      </c>
      <c r="J136" s="39">
        <f t="shared" si="151"/>
        <v>843.96544176775456</v>
      </c>
      <c r="K136" s="39">
        <f t="shared" si="152"/>
        <v>96.639171192262509</v>
      </c>
      <c r="L136" s="39">
        <f t="shared" si="153"/>
        <v>544.21574603559179</v>
      </c>
      <c r="M136" s="39">
        <f t="shared" si="154"/>
        <v>7227.6926474230941</v>
      </c>
      <c r="N136" s="39">
        <f t="shared" si="155"/>
        <v>474.68882120683003</v>
      </c>
      <c r="O136" s="39">
        <f t="shared" si="156"/>
        <v>46.311377105343098</v>
      </c>
      <c r="P136" s="39">
        <f t="shared" si="157"/>
        <v>368.3814662245818</v>
      </c>
      <c r="Q136" s="39">
        <f t="shared" si="158"/>
        <v>1917.4658962391072</v>
      </c>
      <c r="R136" s="39">
        <f t="shared" si="159"/>
        <v>535.20982746713503</v>
      </c>
      <c r="S136" s="39">
        <f t="shared" si="160"/>
        <v>5006.5969045178845</v>
      </c>
      <c r="T136" s="39">
        <f t="shared" si="161"/>
        <v>203.49705144431417</v>
      </c>
      <c r="U136" s="39">
        <f t="shared" si="162"/>
        <v>507.34084502424309</v>
      </c>
      <c r="V136" s="39">
        <f t="shared" si="163"/>
        <v>336.48835843902054</v>
      </c>
      <c r="W136" s="39">
        <f t="shared" si="164"/>
        <v>36.392732138658801</v>
      </c>
      <c r="X136" s="39">
        <f t="shared" si="165"/>
        <v>3357.348006411306</v>
      </c>
      <c r="Y136" s="39">
        <f t="shared" si="166"/>
        <v>42.014756806509666</v>
      </c>
      <c r="Z136" s="39">
        <f t="shared" si="167"/>
        <v>117.81632196580978</v>
      </c>
      <c r="AA136" s="39">
        <f t="shared" si="168"/>
        <v>60.509837617792691</v>
      </c>
      <c r="AB136" s="39">
        <f t="shared" si="169"/>
        <v>65.808237837030788</v>
      </c>
      <c r="AC136" s="39">
        <f t="shared" si="170"/>
        <v>21.621917588187912</v>
      </c>
      <c r="AD136" s="39">
        <f t="shared" si="171"/>
        <v>56.576024849069292</v>
      </c>
      <c r="AE136" s="39">
        <f t="shared" si="172"/>
        <v>40.757300673531383</v>
      </c>
      <c r="AF136" s="39">
        <f t="shared" si="173"/>
        <v>3001.431070275703</v>
      </c>
      <c r="AG136" s="39">
        <f t="shared" si="174"/>
        <v>325.51234403407244</v>
      </c>
      <c r="AH136" s="39">
        <f t="shared" si="175"/>
        <v>1115.3518075095083</v>
      </c>
      <c r="AI136" s="39">
        <f t="shared" si="176"/>
        <v>295.74350138182899</v>
      </c>
      <c r="AJ136" s="39">
        <f t="shared" si="177"/>
        <v>540.03026781489086</v>
      </c>
      <c r="AK136" s="39">
        <f t="shared" si="178"/>
        <v>210.89129352121088</v>
      </c>
      <c r="AL136" s="39">
        <f t="shared" si="179"/>
        <v>528.71444925722608</v>
      </c>
      <c r="AM136" s="39">
        <f t="shared" si="180"/>
        <v>57.994743102542948</v>
      </c>
      <c r="AN136" s="39">
        <f t="shared" si="181"/>
        <v>114.7942264515445</v>
      </c>
      <c r="AO136" s="39">
        <f t="shared" si="182"/>
        <v>10318.263728535971</v>
      </c>
    </row>
    <row r="138" spans="1:1" ht="14.4">
      <c r="A138" t="s">
        <v>72</v>
      </c>
    </row>
    <row r="139" spans="1:5" ht="14.4">
      <c r="A139" t="s">
        <v>0</v>
      </c>
      <c r="B139" t="s">
        <v>67</v>
      </c>
      <c r="C139" t="s">
        <v>2</v>
      </c>
      <c r="D139" t="s">
        <v>1</v>
      </c>
      <c r="E139" t="s">
        <v>3</v>
      </c>
    </row>
    <row r="140" spans="1:5" ht="14.4">
      <c r="A140" t="s">
        <v>73</v>
      </c>
      <c r="B140" t="s">
        <v>74</v>
      </c>
      <c r="C140">
        <v>2010</v>
      </c>
      <c r="D140" t="s">
        <v>75</v>
      </c>
      <c r="E140">
        <v>0</v>
      </c>
    </row>
    <row r="141" spans="1:5" ht="14.4">
      <c r="A141" t="s">
        <v>73</v>
      </c>
      <c r="B141" t="s">
        <v>74</v>
      </c>
      <c r="C141">
        <v>0</v>
      </c>
      <c r="D141" t="s">
        <v>75</v>
      </c>
      <c r="E141">
        <v>0</v>
      </c>
    </row>
    <row r="142" spans="1:5" ht="14.4">
      <c r="A142" t="s">
        <v>81</v>
      </c>
      <c r="B142" t="s">
        <v>74</v>
      </c>
      <c r="D142" t="s">
        <v>82</v>
      </c>
      <c r="E142">
        <v>1</v>
      </c>
    </row>
    <row r="143" spans="1:5" ht="14.4">
      <c r="A143" t="s">
        <v>81</v>
      </c>
      <c r="B143" t="s">
        <v>74</v>
      </c>
      <c r="C143">
        <v>0</v>
      </c>
      <c r="D143" t="s">
        <v>82</v>
      </c>
      <c r="E143">
        <v>3</v>
      </c>
    </row>
    <row r="144" spans="1:5" ht="14.4">
      <c r="A144" t="s">
        <v>83</v>
      </c>
      <c r="B144" t="s">
        <v>84</v>
      </c>
      <c r="C144">
        <v>0</v>
      </c>
      <c r="D144" t="s">
        <v>82</v>
      </c>
      <c r="E144">
        <v>2</v>
      </c>
    </row>
    <row r="146" spans="4:4" ht="14.4">
      <c r="D146" s="10" t="s">
        <v>122</v>
      </c>
    </row>
    <row r="147" spans="4:41" ht="14.4">
      <c r="D147" t="str">
        <f>D9</f>
        <v>Rdw_DetH</v>
      </c>
      <c r="E147" s="6">
        <v>-0.10</v>
      </c>
      <c r="F147" s="6">
        <v>-0.10</v>
      </c>
      <c r="G147" s="6">
        <v>-0.10</v>
      </c>
      <c r="H147" s="6">
        <v>-0.10</v>
      </c>
      <c r="I147" s="6">
        <v>-0.10</v>
      </c>
      <c r="J147" s="6">
        <v>-0.10</v>
      </c>
      <c r="K147" s="6">
        <v>-0.10</v>
      </c>
      <c r="L147" s="6">
        <v>-0.10</v>
      </c>
      <c r="M147" s="6">
        <v>-0.10</v>
      </c>
      <c r="N147" s="6">
        <v>-0.10</v>
      </c>
      <c r="O147" s="6">
        <v>-0.10</v>
      </c>
      <c r="P147" s="6">
        <v>-0.10</v>
      </c>
      <c r="Q147" s="6">
        <v>-0.10</v>
      </c>
      <c r="R147" s="6">
        <v>-0.10</v>
      </c>
      <c r="S147" s="6">
        <v>-0.10</v>
      </c>
      <c r="T147" s="6">
        <v>-0.10</v>
      </c>
      <c r="U147" s="6">
        <v>-0.10</v>
      </c>
      <c r="V147" s="6">
        <v>-0.10</v>
      </c>
      <c r="W147" s="6">
        <v>-0.10</v>
      </c>
      <c r="X147" s="6">
        <v>-0.10</v>
      </c>
      <c r="Y147" s="6">
        <v>-0.10</v>
      </c>
      <c r="Z147" s="6">
        <v>-0.10</v>
      </c>
      <c r="AA147" s="6">
        <v>-0.10</v>
      </c>
      <c r="AB147" s="6">
        <v>-0.10</v>
      </c>
      <c r="AC147" s="6">
        <v>-0.10</v>
      </c>
      <c r="AD147" s="6">
        <v>-0.10</v>
      </c>
      <c r="AE147" s="6">
        <v>-0.10</v>
      </c>
      <c r="AF147" s="6">
        <v>-0.10</v>
      </c>
      <c r="AG147" s="6">
        <v>-0.10</v>
      </c>
      <c r="AH147" s="6">
        <v>-0.10</v>
      </c>
      <c r="AI147" s="6">
        <v>-0.10</v>
      </c>
      <c r="AJ147" s="6">
        <v>-0.10</v>
      </c>
      <c r="AK147" s="6">
        <v>-0.10</v>
      </c>
      <c r="AL147" s="6">
        <v>-0.10</v>
      </c>
      <c r="AM147" s="6">
        <v>-0.10</v>
      </c>
      <c r="AN147" s="6">
        <v>-0.10</v>
      </c>
      <c r="AO147" s="6">
        <v>-0.10</v>
      </c>
    </row>
    <row r="148" spans="4:41" ht="14.4">
      <c r="D148" t="str">
        <f>D11</f>
        <v>Rdw_Flat</v>
      </c>
      <c r="E148" s="6">
        <v>0.20</v>
      </c>
      <c r="F148" s="6">
        <v>0.20</v>
      </c>
      <c r="G148" s="6">
        <v>0.20</v>
      </c>
      <c r="H148" s="6">
        <v>0.20</v>
      </c>
      <c r="I148" s="6">
        <v>0.20</v>
      </c>
      <c r="J148" s="6">
        <v>0.20</v>
      </c>
      <c r="K148" s="6">
        <v>0.20</v>
      </c>
      <c r="L148" s="6">
        <v>0.20</v>
      </c>
      <c r="M148" s="6">
        <v>0.20</v>
      </c>
      <c r="N148" s="6">
        <v>0.20</v>
      </c>
      <c r="O148" s="6">
        <v>0.20</v>
      </c>
      <c r="P148" s="6">
        <v>0.20</v>
      </c>
      <c r="Q148" s="6">
        <v>0.20</v>
      </c>
      <c r="R148" s="6">
        <v>0.20</v>
      </c>
      <c r="S148" s="6">
        <v>0.20</v>
      </c>
      <c r="T148" s="6">
        <v>0.20</v>
      </c>
      <c r="U148" s="6">
        <v>0.20</v>
      </c>
      <c r="V148" s="6">
        <v>0.20</v>
      </c>
      <c r="W148" s="6">
        <v>0.20</v>
      </c>
      <c r="X148" s="6">
        <v>0.20</v>
      </c>
      <c r="Y148" s="6">
        <v>0.20</v>
      </c>
      <c r="Z148" s="6">
        <v>0.20</v>
      </c>
      <c r="AA148" s="6">
        <v>0.20</v>
      </c>
      <c r="AB148" s="6">
        <v>0.20</v>
      </c>
      <c r="AC148" s="6">
        <v>0.20</v>
      </c>
      <c r="AD148" s="6">
        <v>0.20</v>
      </c>
      <c r="AE148" s="6">
        <v>0.20</v>
      </c>
      <c r="AF148" s="6">
        <v>0.20</v>
      </c>
      <c r="AG148" s="6">
        <v>0.20</v>
      </c>
      <c r="AH148" s="6">
        <v>0.20</v>
      </c>
      <c r="AI148" s="6">
        <v>0.20</v>
      </c>
      <c r="AJ148" s="6">
        <v>0.20</v>
      </c>
      <c r="AK148" s="6">
        <v>0.20</v>
      </c>
      <c r="AL148" s="6">
        <v>0.20</v>
      </c>
      <c r="AM148" s="6">
        <v>0.20</v>
      </c>
      <c r="AN148" s="6">
        <v>0.20</v>
      </c>
      <c r="AO148" s="6">
        <v>0.20</v>
      </c>
    </row>
    <row r="149" spans="4:41" ht="14.4">
      <c r="D149" t="str">
        <f>D12</f>
        <v>Rdw_SDetH</v>
      </c>
      <c r="E149" s="6">
        <v>0.10</v>
      </c>
      <c r="F149" s="6">
        <v>0.10</v>
      </c>
      <c r="G149" s="6">
        <v>0.10</v>
      </c>
      <c r="H149" s="6">
        <v>0.10</v>
      </c>
      <c r="I149" s="6">
        <v>0.10</v>
      </c>
      <c r="J149" s="6">
        <v>0.10</v>
      </c>
      <c r="K149" s="6">
        <v>0.10</v>
      </c>
      <c r="L149" s="6">
        <v>0.10</v>
      </c>
      <c r="M149" s="6">
        <v>0.10</v>
      </c>
      <c r="N149" s="6">
        <v>0.10</v>
      </c>
      <c r="O149" s="6">
        <v>0.10</v>
      </c>
      <c r="P149" s="6">
        <v>0.10</v>
      </c>
      <c r="Q149" s="6">
        <v>0.10</v>
      </c>
      <c r="R149" s="6">
        <v>0.10</v>
      </c>
      <c r="S149" s="6">
        <v>0.10</v>
      </c>
      <c r="T149" s="6">
        <v>0.10</v>
      </c>
      <c r="U149" s="6">
        <v>0.10</v>
      </c>
      <c r="V149" s="6">
        <v>0.10</v>
      </c>
      <c r="W149" s="6">
        <v>0.10</v>
      </c>
      <c r="X149" s="6">
        <v>0.10</v>
      </c>
      <c r="Y149" s="6">
        <v>0.10</v>
      </c>
      <c r="Z149" s="6">
        <v>0.10</v>
      </c>
      <c r="AA149" s="6">
        <v>0.10</v>
      </c>
      <c r="AB149" s="6">
        <v>0.10</v>
      </c>
      <c r="AC149" s="6">
        <v>0.10</v>
      </c>
      <c r="AD149" s="6">
        <v>0.10</v>
      </c>
      <c r="AE149" s="6">
        <v>0.10</v>
      </c>
      <c r="AF149" s="6">
        <v>0.10</v>
      </c>
      <c r="AG149" s="6">
        <v>0.10</v>
      </c>
      <c r="AH149" s="6">
        <v>0.10</v>
      </c>
      <c r="AI149" s="6">
        <v>0.10</v>
      </c>
      <c r="AJ149" s="6">
        <v>0.10</v>
      </c>
      <c r="AK149" s="6">
        <v>0.10</v>
      </c>
      <c r="AL149" s="6">
        <v>0.10</v>
      </c>
      <c r="AM149" s="6">
        <v>0.10</v>
      </c>
      <c r="AN149" s="6">
        <v>0.10</v>
      </c>
      <c r="AO149" s="6">
        <v>0.10</v>
      </c>
    </row>
    <row r="150" spans="2:2" ht="14.4">
      <c r="B150" t="s">
        <v>72</v>
      </c>
    </row>
    <row r="151" spans="2:41" ht="15" thickBot="1">
      <c r="B151" t="s">
        <v>0</v>
      </c>
      <c r="C151" t="s">
        <v>77</v>
      </c>
      <c r="D151" t="s">
        <v>2</v>
      </c>
      <c r="E151" s="8" t="str">
        <f>E$1</f>
        <v>AL</v>
      </c>
      <c r="F151" s="8" t="str">
        <f t="shared" si="186" ref="F151:AO151">F$1</f>
        <v>AT</v>
      </c>
      <c r="G151" s="8" t="str">
        <f t="shared" si="186"/>
        <v>BA</v>
      </c>
      <c r="H151" s="8" t="str">
        <f t="shared" si="186"/>
        <v>BE</v>
      </c>
      <c r="I151" s="8" t="str">
        <f t="shared" si="186"/>
        <v>BG</v>
      </c>
      <c r="J151" s="8" t="str">
        <f t="shared" si="186"/>
        <v>CH</v>
      </c>
      <c r="K151" s="8" t="str">
        <f t="shared" si="186"/>
        <v>CY</v>
      </c>
      <c r="L151" s="8" t="str">
        <f t="shared" si="186"/>
        <v>CZ</v>
      </c>
      <c r="M151" s="8" t="str">
        <f t="shared" si="186"/>
        <v>DE</v>
      </c>
      <c r="N151" s="8" t="str">
        <f t="shared" si="186"/>
        <v>DK</v>
      </c>
      <c r="O151" s="8" t="str">
        <f t="shared" si="186"/>
        <v>EE</v>
      </c>
      <c r="P151" s="8" t="str">
        <f t="shared" si="186"/>
        <v>EL</v>
      </c>
      <c r="Q151" s="8" t="str">
        <f t="shared" si="186"/>
        <v>ES</v>
      </c>
      <c r="R151" s="8" t="str">
        <f t="shared" si="186"/>
        <v>FI</v>
      </c>
      <c r="S151" s="8" t="str">
        <f t="shared" si="186"/>
        <v>FR</v>
      </c>
      <c r="T151" s="8" t="str">
        <f t="shared" si="186"/>
        <v>HR</v>
      </c>
      <c r="U151" s="8" t="str">
        <f t="shared" si="186"/>
        <v>HU</v>
      </c>
      <c r="V151" s="8" t="str">
        <f t="shared" si="186"/>
        <v>IE</v>
      </c>
      <c r="W151" s="8" t="str">
        <f t="shared" si="186"/>
        <v>IS</v>
      </c>
      <c r="X151" s="8" t="str">
        <f t="shared" si="186"/>
        <v>IT</v>
      </c>
      <c r="Y151" s="8" t="str">
        <f t="shared" si="186"/>
        <v>KS</v>
      </c>
      <c r="Z151" s="8" t="str">
        <f t="shared" si="186"/>
        <v>LT</v>
      </c>
      <c r="AA151" s="8" t="str">
        <f t="shared" si="186"/>
        <v>LU</v>
      </c>
      <c r="AB151" s="8" t="str">
        <f t="shared" si="186"/>
        <v>LV</v>
      </c>
      <c r="AC151" s="8" t="str">
        <f t="shared" si="186"/>
        <v>ME</v>
      </c>
      <c r="AD151" s="8" t="str">
        <f t="shared" si="186"/>
        <v>MK</v>
      </c>
      <c r="AE151" s="8" t="str">
        <f t="shared" si="186"/>
        <v>MT</v>
      </c>
      <c r="AF151" s="8" t="str">
        <f t="shared" si="186"/>
        <v>NL</v>
      </c>
      <c r="AG151" s="8" t="str">
        <f t="shared" si="186"/>
        <v>NO</v>
      </c>
      <c r="AH151" s="8" t="str">
        <f t="shared" si="186"/>
        <v>PL</v>
      </c>
      <c r="AI151" s="8" t="str">
        <f t="shared" si="186"/>
        <v>PT</v>
      </c>
      <c r="AJ151" s="8" t="str">
        <f t="shared" si="186"/>
        <v>RO</v>
      </c>
      <c r="AK151" s="8" t="str">
        <f t="shared" si="186"/>
        <v>RS</v>
      </c>
      <c r="AL151" s="8" t="str">
        <f t="shared" si="186"/>
        <v>SE</v>
      </c>
      <c r="AM151" s="8" t="str">
        <f t="shared" si="186"/>
        <v>SI</v>
      </c>
      <c r="AN151" s="8" t="str">
        <f t="shared" si="186"/>
        <v>SK</v>
      </c>
      <c r="AO151" s="8" t="str">
        <f t="shared" si="186"/>
        <v>UK</v>
      </c>
    </row>
    <row r="152" spans="2:41" ht="15" thickTop="1">
      <c r="B152" t="s">
        <v>76</v>
      </c>
      <c r="C152" t="s">
        <v>78</v>
      </c>
      <c r="D152">
        <v>2010</v>
      </c>
      <c r="E152" s="39">
        <f t="shared" si="187" ref="E152:AO152">E2+E3</f>
        <v>85.365658654832686</v>
      </c>
      <c r="F152" s="39">
        <f t="shared" si="187"/>
        <v>1015.1617420667309</v>
      </c>
      <c r="G152" s="39">
        <f t="shared" si="187"/>
        <v>223.10096467272109</v>
      </c>
      <c r="H152" s="15">
        <f>H2+H3</f>
        <v>950.38721758799693</v>
      </c>
      <c r="I152" s="39">
        <f t="shared" si="187"/>
        <v>617.0123504822111</v>
      </c>
      <c r="J152" s="39">
        <f t="shared" si="187"/>
        <v>841.55023836199882</v>
      </c>
      <c r="K152" s="39">
        <f t="shared" si="187"/>
        <v>105.85210650896616</v>
      </c>
      <c r="L152" s="39">
        <f t="shared" si="187"/>
        <v>1027.0583960859849</v>
      </c>
      <c r="M152" s="39">
        <f t="shared" si="187"/>
        <v>7733.6445777729941</v>
      </c>
      <c r="N152" s="39">
        <f t="shared" si="187"/>
        <v>997.38128975028371</v>
      </c>
      <c r="O152" s="39">
        <f t="shared" si="187"/>
        <v>111.66794070434813</v>
      </c>
      <c r="P152" s="39">
        <f t="shared" si="187"/>
        <v>728.81258452857526</v>
      </c>
      <c r="Q152" s="39">
        <f t="shared" si="187"/>
        <v>972.98461512062386</v>
      </c>
      <c r="R152" s="39">
        <f t="shared" si="187"/>
        <v>792.12146873134952</v>
      </c>
      <c r="S152" s="39">
        <f t="shared" si="187"/>
        <v>6298.8611265069067</v>
      </c>
      <c r="T152" s="39">
        <f t="shared" si="187"/>
        <v>636.0838510870517</v>
      </c>
      <c r="U152" s="39">
        <f t="shared" si="187"/>
        <v>1536.6620681291099</v>
      </c>
      <c r="V152" s="39">
        <f t="shared" si="187"/>
        <v>465.49381736675775</v>
      </c>
      <c r="W152" s="39">
        <f t="shared" si="187"/>
        <v>43.582503702093739</v>
      </c>
      <c r="X152" s="39">
        <f t="shared" si="187"/>
        <v>2111.8077464892058</v>
      </c>
      <c r="Y152" s="39">
        <f t="shared" si="187"/>
        <v>131.32823361464648</v>
      </c>
      <c r="Z152" s="39">
        <f t="shared" si="187"/>
        <v>260.6260426365339</v>
      </c>
      <c r="AA152" s="39">
        <f t="shared" si="187"/>
        <v>52.311376967257061</v>
      </c>
      <c r="AB152" s="39">
        <f t="shared" si="187"/>
        <v>184.32886489158889</v>
      </c>
      <c r="AC152" s="39">
        <f t="shared" si="187"/>
        <v>42.777194524504424</v>
      </c>
      <c r="AD152" s="39">
        <f t="shared" si="187"/>
        <v>116.45012006921741</v>
      </c>
      <c r="AE152" s="39">
        <f t="shared" si="187"/>
        <v>3.568122616732381</v>
      </c>
      <c r="AF152" s="39">
        <f t="shared" si="187"/>
        <v>635.78907725143927</v>
      </c>
      <c r="AG152" s="39">
        <f t="shared" si="187"/>
        <v>463.61250295081106</v>
      </c>
      <c r="AH152" s="39">
        <f t="shared" si="187"/>
        <v>3324.8675845300982</v>
      </c>
      <c r="AI152" s="39">
        <f t="shared" si="187"/>
        <v>409.81535958290459</v>
      </c>
      <c r="AJ152" s="39">
        <f t="shared" si="187"/>
        <v>2103.4798267105434</v>
      </c>
      <c r="AK152" s="39">
        <f t="shared" si="187"/>
        <v>659.19651017847593</v>
      </c>
      <c r="AL152" s="39">
        <f t="shared" si="187"/>
        <v>1178.7306369579446</v>
      </c>
      <c r="AM152" s="39">
        <f t="shared" si="187"/>
        <v>195.06475900410709</v>
      </c>
      <c r="AN152" s="39">
        <f t="shared" si="187"/>
        <v>431.50300624068507</v>
      </c>
      <c r="AO152" s="39">
        <f t="shared" si="187"/>
        <v>3810.9775435169367</v>
      </c>
    </row>
    <row r="153" spans="2:41" ht="14.4">
      <c r="B153" t="s">
        <v>76</v>
      </c>
      <c r="C153" t="s">
        <v>79</v>
      </c>
      <c r="D153">
        <v>2010</v>
      </c>
      <c r="E153" s="15">
        <f t="shared" si="188" ref="E153:AO153">E4</f>
        <v>196.6697242421385</v>
      </c>
      <c r="F153" s="15">
        <f t="shared" si="188"/>
        <v>1468.1931444905656</v>
      </c>
      <c r="G153" s="15">
        <f t="shared" si="188"/>
        <v>271.18740136497502</v>
      </c>
      <c r="H153" s="15">
        <f t="shared" si="188"/>
        <v>905.52301441199245</v>
      </c>
      <c r="I153" s="15">
        <f t="shared" si="188"/>
        <v>777.2177060138215</v>
      </c>
      <c r="J153" s="15">
        <f t="shared" si="188"/>
        <v>1648.2852115299656</v>
      </c>
      <c r="K153" s="15">
        <f t="shared" si="188"/>
        <v>83.5448736928291</v>
      </c>
      <c r="L153" s="15">
        <f t="shared" si="188"/>
        <v>2208.0312140248443</v>
      </c>
      <c r="M153" s="15">
        <f t="shared" si="188"/>
        <v>18507.478934742296</v>
      </c>
      <c r="N153" s="15">
        <f t="shared" si="188"/>
        <v>1066.6762517252066</v>
      </c>
      <c r="O153" s="15">
        <f t="shared" si="188"/>
        <v>488.14637875076545</v>
      </c>
      <c r="P153" s="15">
        <f t="shared" si="188"/>
        <v>1679.0753129779869</v>
      </c>
      <c r="Q153" s="15">
        <f t="shared" si="188"/>
        <v>7433.1088118539292</v>
      </c>
      <c r="R153" s="15">
        <f t="shared" si="188"/>
        <v>1108.172315230707</v>
      </c>
      <c r="S153" s="15">
        <f t="shared" si="188"/>
        <v>9195.3526981771211</v>
      </c>
      <c r="T153" s="15">
        <f t="shared" si="188"/>
        <v>505.02472685864484</v>
      </c>
      <c r="U153" s="15">
        <f t="shared" si="188"/>
        <v>1314.802305305406</v>
      </c>
      <c r="V153" s="15">
        <f t="shared" si="188"/>
        <v>148.11826981024998</v>
      </c>
      <c r="W153" s="15">
        <f t="shared" si="188"/>
        <v>67.1621346364728</v>
      </c>
      <c r="X153" s="15">
        <f t="shared" si="188"/>
        <v>17047.884154921936</v>
      </c>
      <c r="Y153" s="15">
        <f t="shared" si="188"/>
        <v>159.6342824068613</v>
      </c>
      <c r="Z153" s="15">
        <f t="shared" si="188"/>
        <v>725.54346604839554</v>
      </c>
      <c r="AA153" s="15">
        <f t="shared" si="188"/>
        <v>67.999999638297837</v>
      </c>
      <c r="AB153" s="15">
        <f t="shared" si="188"/>
        <v>576.16017362476418</v>
      </c>
      <c r="AC153" s="15">
        <f t="shared" si="188"/>
        <v>98.552265437365492</v>
      </c>
      <c r="AD153" s="15">
        <f t="shared" si="188"/>
        <v>160.89708606674992</v>
      </c>
      <c r="AE153" s="15">
        <f t="shared" si="188"/>
        <v>16.335462474584791</v>
      </c>
      <c r="AF153" s="15">
        <f t="shared" si="188"/>
        <v>1728.7005676351</v>
      </c>
      <c r="AG153" s="15">
        <f t="shared" si="188"/>
        <v>1151.6628112433011</v>
      </c>
      <c r="AH153" s="15">
        <f t="shared" si="188"/>
        <v>6734.1391844108875</v>
      </c>
      <c r="AI153" s="15">
        <f t="shared" si="188"/>
        <v>514.68576543917493</v>
      </c>
      <c r="AJ153" s="15">
        <f t="shared" si="188"/>
        <v>2050.9073432785103</v>
      </c>
      <c r="AK153" s="15">
        <f t="shared" si="188"/>
        <v>801.27752404119951</v>
      </c>
      <c r="AL153" s="15">
        <f t="shared" si="188"/>
        <v>2426.7814922366379</v>
      </c>
      <c r="AM153" s="15">
        <f t="shared" si="188"/>
        <v>461.41891138861371</v>
      </c>
      <c r="AN153" s="15">
        <f t="shared" si="188"/>
        <v>580.3607520245256</v>
      </c>
      <c r="AO153" s="15">
        <f t="shared" si="188"/>
        <v>3928.2270816740343</v>
      </c>
    </row>
    <row r="154" spans="2:41" ht="14.4">
      <c r="B154" t="s">
        <v>76</v>
      </c>
      <c r="C154" t="s">
        <v>80</v>
      </c>
      <c r="D154">
        <v>2010</v>
      </c>
      <c r="E154" s="15">
        <f t="shared" si="189" ref="E154:AO154">E5</f>
        <v>48.267498585209182</v>
      </c>
      <c r="F154" s="15">
        <f t="shared" si="189"/>
        <v>470.44080729921609</v>
      </c>
      <c r="G154" s="15">
        <f t="shared" si="189"/>
        <v>79.842639754449635</v>
      </c>
      <c r="H154" s="15">
        <f>H5</f>
        <v>1585.6864897222927</v>
      </c>
      <c r="I154" s="15">
        <f t="shared" si="189"/>
        <v>335.33279917511499</v>
      </c>
      <c r="J154" s="15">
        <f t="shared" si="189"/>
        <v>944.09207412879709</v>
      </c>
      <c r="K154" s="15">
        <f t="shared" si="189"/>
        <v>108.10427898788026</v>
      </c>
      <c r="L154" s="15">
        <f t="shared" si="189"/>
        <v>608.7805815509671</v>
      </c>
      <c r="M154" s="15">
        <f t="shared" si="189"/>
        <v>8085.1738767626766</v>
      </c>
      <c r="N154" s="15">
        <f t="shared" si="189"/>
        <v>531.00509997213032</v>
      </c>
      <c r="O154" s="15">
        <f t="shared" si="189"/>
        <v>51.805680544886428</v>
      </c>
      <c r="P154" s="15">
        <f t="shared" si="189"/>
        <v>412.08562022410109</v>
      </c>
      <c r="Q154" s="15">
        <f t="shared" si="189"/>
        <v>2157.0210401387399</v>
      </c>
      <c r="R154" s="15">
        <f t="shared" si="189"/>
        <v>598.70621603794291</v>
      </c>
      <c r="S154" s="15">
        <f t="shared" si="189"/>
        <v>5600.5710921203936</v>
      </c>
      <c r="T154" s="15">
        <f t="shared" si="189"/>
        <v>227.6395973924549</v>
      </c>
      <c r="U154" s="15">
        <f t="shared" si="189"/>
        <v>567.53090466114179</v>
      </c>
      <c r="V154" s="15">
        <f t="shared" si="189"/>
        <v>700.17966555581438</v>
      </c>
      <c r="W154" s="15">
        <f t="shared" si="189"/>
        <v>40.71030431771505</v>
      </c>
      <c r="X154" s="15">
        <f t="shared" si="189"/>
        <v>3755.6580946086474</v>
      </c>
      <c r="Y154" s="15">
        <f t="shared" si="189"/>
        <v>46.999316481953841</v>
      </c>
      <c r="Z154" s="15">
        <f t="shared" si="189"/>
        <v>131.79385110597451</v>
      </c>
      <c r="AA154" s="15">
        <f t="shared" si="189"/>
        <v>67.68862239444509</v>
      </c>
      <c r="AB154" s="15">
        <f t="shared" si="189"/>
        <v>73.615615852930219</v>
      </c>
      <c r="AC154" s="15">
        <f t="shared" si="189"/>
        <v>24.187105315257188</v>
      </c>
      <c r="AD154" s="15">
        <f t="shared" si="189"/>
        <v>63.28810873327032</v>
      </c>
      <c r="AE154" s="15">
        <f t="shared" si="189"/>
        <v>45.592677880469346</v>
      </c>
      <c r="AF154" s="15">
        <f t="shared" si="189"/>
        <v>3357.5157752383084</v>
      </c>
      <c r="AG154" s="15">
        <f t="shared" si="189"/>
        <v>364.13057789423277</v>
      </c>
      <c r="AH154" s="15">
        <f t="shared" si="189"/>
        <v>1247.6752592255091</v>
      </c>
      <c r="AI154" s="15">
        <f t="shared" si="189"/>
        <v>330.83001010664282</v>
      </c>
      <c r="AJ154" s="15">
        <f t="shared" si="189"/>
        <v>604.09854527430878</v>
      </c>
      <c r="AK154" s="15">
        <f t="shared" si="189"/>
        <v>235.91107984126933</v>
      </c>
      <c r="AL154" s="15">
        <f t="shared" si="189"/>
        <v>565.48786980541706</v>
      </c>
      <c r="AM154" s="15">
        <f t="shared" si="189"/>
        <v>64.875141320435105</v>
      </c>
      <c r="AN154" s="15">
        <f t="shared" si="189"/>
        <v>128.41321929206771</v>
      </c>
      <c r="AO154" s="15">
        <f t="shared" si="189"/>
        <v>13230.78919135222</v>
      </c>
    </row>
    <row r="155" spans="2:41" s="18" customFormat="1" ht="14.4">
      <c r="B155" s="18" t="s">
        <v>76</v>
      </c>
      <c r="C155" s="18" t="s">
        <v>78</v>
      </c>
      <c r="D155" s="18">
        <v>2050</v>
      </c>
      <c r="E155" s="23">
        <f t="shared" si="190" ref="E155:AO155">E152/E$166*E$182</f>
        <v>258.23467973390166</v>
      </c>
      <c r="F155" s="23">
        <f t="shared" si="190"/>
        <v>1278.7030613764828</v>
      </c>
      <c r="G155" s="23">
        <f t="shared" si="190"/>
        <v>439.04819656986723</v>
      </c>
      <c r="H155" s="23">
        <f>H152/H$166*H$182</f>
        <v>1419.0733109876332</v>
      </c>
      <c r="I155" s="23">
        <f t="shared" si="190"/>
        <v>697.64544028693763</v>
      </c>
      <c r="J155" s="23">
        <f t="shared" si="190"/>
        <v>1133.0116459121057</v>
      </c>
      <c r="K155" s="23">
        <f t="shared" si="190"/>
        <v>141.67290961975618</v>
      </c>
      <c r="L155" s="23">
        <f t="shared" si="190"/>
        <v>1340.5414140708974</v>
      </c>
      <c r="M155" s="23">
        <f t="shared" si="190"/>
        <v>7300.6378601672886</v>
      </c>
      <c r="N155" s="23">
        <f t="shared" si="190"/>
        <v>1166.0183680991336</v>
      </c>
      <c r="O155" s="23">
        <f t="shared" si="190"/>
        <v>93.79613474355034</v>
      </c>
      <c r="P155" s="23">
        <f t="shared" si="190"/>
        <v>760.24588994830333</v>
      </c>
      <c r="Q155" s="23">
        <f t="shared" si="190"/>
        <v>1231.1465651425979</v>
      </c>
      <c r="R155" s="23">
        <f t="shared" si="190"/>
        <v>888.69435703802424</v>
      </c>
      <c r="S155" s="23">
        <f t="shared" si="190"/>
        <v>7484.8275637090546</v>
      </c>
      <c r="T155" s="23">
        <f t="shared" si="190"/>
        <v>737.077164424741</v>
      </c>
      <c r="U155" s="23">
        <f t="shared" si="190"/>
        <v>1393.147444641153</v>
      </c>
      <c r="V155" s="23">
        <f t="shared" si="190"/>
        <v>611.30832838841479</v>
      </c>
      <c r="W155" s="23">
        <f t="shared" si="190"/>
        <v>56.214271478305591</v>
      </c>
      <c r="X155" s="23">
        <f t="shared" si="190"/>
        <v>2292.3115039181189</v>
      </c>
      <c r="Y155" s="23">
        <f t="shared" si="190"/>
        <v>281.71076512283418</v>
      </c>
      <c r="Z155" s="23">
        <f t="shared" si="190"/>
        <v>155.42907306956246</v>
      </c>
      <c r="AA155" s="23">
        <f t="shared" si="190"/>
        <v>126.49030143967403</v>
      </c>
      <c r="AB155" s="23">
        <f t="shared" si="190"/>
        <v>124.3387175205461</v>
      </c>
      <c r="AC155" s="23">
        <f t="shared" si="190"/>
        <v>52.124169750768765</v>
      </c>
      <c r="AD155" s="23">
        <f t="shared" si="190"/>
        <v>218.03879005756647</v>
      </c>
      <c r="AE155" s="23">
        <f t="shared" si="190"/>
        <v>7.3838202847142584</v>
      </c>
      <c r="AF155" s="23">
        <f t="shared" si="190"/>
        <v>789.93269000109967</v>
      </c>
      <c r="AG155" s="23">
        <f t="shared" si="190"/>
        <v>628.81044303967576</v>
      </c>
      <c r="AH155" s="23">
        <f t="shared" si="190"/>
        <v>3790.1062829733987</v>
      </c>
      <c r="AI155" s="23">
        <f t="shared" si="190"/>
        <v>909.18284356690287</v>
      </c>
      <c r="AJ155" s="23">
        <f t="shared" si="190"/>
        <v>2527.5219381861953</v>
      </c>
      <c r="AK155" s="23">
        <f t="shared" si="190"/>
        <v>932.18797497234129</v>
      </c>
      <c r="AL155" s="23">
        <f t="shared" si="190"/>
        <v>1663.7538494398277</v>
      </c>
      <c r="AM155" s="23">
        <f t="shared" si="190"/>
        <v>231.37676448883587</v>
      </c>
      <c r="AN155" s="23">
        <f t="shared" si="190"/>
        <v>556.7165293282211</v>
      </c>
      <c r="AO155" s="23">
        <f t="shared" si="190"/>
        <v>5282.2968339855952</v>
      </c>
    </row>
    <row r="156" spans="2:41" s="18" customFormat="1" ht="14.4">
      <c r="B156" s="18" t="s">
        <v>76</v>
      </c>
      <c r="C156" s="18" t="s">
        <v>79</v>
      </c>
      <c r="D156" s="18">
        <v>2050</v>
      </c>
      <c r="E156" s="23">
        <f t="shared" si="191" ref="E156:AO156">E153/E$166*E$182</f>
        <v>594.93412284646217</v>
      </c>
      <c r="F156" s="23">
        <f t="shared" si="191"/>
        <v>1849.3437949404547</v>
      </c>
      <c r="G156" s="23">
        <f t="shared" si="191"/>
        <v>533.6791782878347</v>
      </c>
      <c r="H156" s="23">
        <f t="shared" si="191"/>
        <v>1352.084201530361</v>
      </c>
      <c r="I156" s="23">
        <f t="shared" si="191"/>
        <v>878.78692912233498</v>
      </c>
      <c r="J156" s="23">
        <f t="shared" si="191"/>
        <v>2219.1501532732264</v>
      </c>
      <c r="K156" s="23">
        <f t="shared" si="191"/>
        <v>111.81681432929777</v>
      </c>
      <c r="L156" s="23">
        <f t="shared" si="191"/>
        <v>2881.9756473844541</v>
      </c>
      <c r="M156" s="23">
        <f t="shared" si="191"/>
        <v>17471.245290423827</v>
      </c>
      <c r="N156" s="23">
        <f t="shared" si="191"/>
        <v>1247.029711814756</v>
      </c>
      <c r="O156" s="23">
        <f t="shared" si="191"/>
        <v>410.02138328230251</v>
      </c>
      <c r="P156" s="23">
        <f t="shared" si="191"/>
        <v>1751.4929526510202</v>
      </c>
      <c r="Q156" s="23">
        <f t="shared" si="191"/>
        <v>9405.3351305155356</v>
      </c>
      <c r="R156" s="23">
        <f t="shared" si="191"/>
        <v>1243.2771008574937</v>
      </c>
      <c r="S156" s="23">
        <f t="shared" si="191"/>
        <v>10926.67832343693</v>
      </c>
      <c r="T156" s="23">
        <f t="shared" si="191"/>
        <v>585.20931320799377</v>
      </c>
      <c r="U156" s="23">
        <f t="shared" si="191"/>
        <v>1192.0079956646809</v>
      </c>
      <c r="V156" s="23">
        <f t="shared" si="191"/>
        <v>194.51586367719233</v>
      </c>
      <c r="W156" s="23">
        <f t="shared" si="191"/>
        <v>86.628122498979238</v>
      </c>
      <c r="X156" s="23">
        <f t="shared" si="191"/>
        <v>18505.027756791933</v>
      </c>
      <c r="Y156" s="23">
        <f t="shared" si="191"/>
        <v>342.42976242738473</v>
      </c>
      <c r="Z156" s="23">
        <f t="shared" si="191"/>
        <v>432.69102066230658</v>
      </c>
      <c r="AA156" s="23">
        <f t="shared" si="191"/>
        <v>164.42580851063818</v>
      </c>
      <c r="AB156" s="23">
        <f t="shared" si="191"/>
        <v>388.64785022710407</v>
      </c>
      <c r="AC156" s="23">
        <f t="shared" si="191"/>
        <v>120.08629995680093</v>
      </c>
      <c r="AD156" s="23">
        <f t="shared" si="191"/>
        <v>301.2603675198431</v>
      </c>
      <c r="AE156" s="23">
        <f t="shared" si="191"/>
        <v>33.804364966159028</v>
      </c>
      <c r="AF156" s="23">
        <f t="shared" si="191"/>
        <v>2147.81464239968</v>
      </c>
      <c r="AG156" s="23">
        <f t="shared" si="191"/>
        <v>1562.0320805866043</v>
      </c>
      <c r="AH156" s="23">
        <f t="shared" si="191"/>
        <v>7676.4269807334995</v>
      </c>
      <c r="AI156" s="23">
        <f t="shared" si="191"/>
        <v>1141.8397500807512</v>
      </c>
      <c r="AJ156" s="23">
        <f t="shared" si="191"/>
        <v>2464.3513275000018</v>
      </c>
      <c r="AK156" s="23">
        <f t="shared" si="191"/>
        <v>1133.108657272146</v>
      </c>
      <c r="AL156" s="23">
        <f t="shared" si="191"/>
        <v>3425.3517494702141</v>
      </c>
      <c r="AM156" s="23">
        <f t="shared" si="191"/>
        <v>547.31369897937554</v>
      </c>
      <c r="AN156" s="23">
        <f t="shared" si="191"/>
        <v>748.76980913823002</v>
      </c>
      <c r="AO156" s="23">
        <f t="shared" si="191"/>
        <v>5444.8133686860201</v>
      </c>
    </row>
    <row r="157" spans="2:41" s="18" customFormat="1" ht="14.4">
      <c r="B157" s="18" t="s">
        <v>76</v>
      </c>
      <c r="C157" s="18" t="s">
        <v>80</v>
      </c>
      <c r="D157" s="18">
        <v>2050</v>
      </c>
      <c r="E157" s="23">
        <f t="shared" si="192" ref="E157:AO157">E154/E$166*E$182</f>
        <v>146.01119741963612</v>
      </c>
      <c r="F157" s="23">
        <f t="shared" si="192"/>
        <v>592.56971136958884</v>
      </c>
      <c r="G157" s="23">
        <f t="shared" si="192"/>
        <v>157.12512514229797</v>
      </c>
      <c r="H157" s="23">
        <f t="shared" si="192"/>
        <v>2367.6721819443278</v>
      </c>
      <c r="I157" s="23">
        <f t="shared" si="192"/>
        <v>379.1551305907272</v>
      </c>
      <c r="J157" s="23">
        <f t="shared" si="192"/>
        <v>1271.0676868005555</v>
      </c>
      <c r="K157" s="23">
        <f t="shared" si="192"/>
        <v>144.68722684570832</v>
      </c>
      <c r="L157" s="23">
        <f t="shared" si="192"/>
        <v>794.5951123726694</v>
      </c>
      <c r="M157" s="23">
        <f t="shared" si="192"/>
        <v>7632.4850356294392</v>
      </c>
      <c r="N157" s="23">
        <f t="shared" si="192"/>
        <v>620.78736235050224</v>
      </c>
      <c r="O157" s="23">
        <f t="shared" si="192"/>
        <v>43.514481974147166</v>
      </c>
      <c r="P157" s="23">
        <f t="shared" si="192"/>
        <v>429.85865740067624</v>
      </c>
      <c r="Q157" s="23">
        <f t="shared" si="192"/>
        <v>2729.3433043418672</v>
      </c>
      <c r="R157" s="23">
        <f t="shared" si="192"/>
        <v>671.69854210448159</v>
      </c>
      <c r="S157" s="23">
        <f t="shared" si="192"/>
        <v>6655.0616120761497</v>
      </c>
      <c r="T157" s="23">
        <f t="shared" si="192"/>
        <v>263.78275233693614</v>
      </c>
      <c r="U157" s="23">
        <f t="shared" si="192"/>
        <v>514.52706875635647</v>
      </c>
      <c r="V157" s="23">
        <f t="shared" si="192"/>
        <v>919.50879894339641</v>
      </c>
      <c r="W157" s="23">
        <f t="shared" si="192"/>
        <v>52.509606022715225</v>
      </c>
      <c r="X157" s="23">
        <f t="shared" si="192"/>
        <v>4076.6676177634763</v>
      </c>
      <c r="Y157" s="23">
        <f t="shared" si="192"/>
        <v>100.81772244978113</v>
      </c>
      <c r="Z157" s="23">
        <f t="shared" si="192"/>
        <v>78.597656268131004</v>
      </c>
      <c r="AA157" s="23">
        <f t="shared" si="192"/>
        <v>163.67289004968771</v>
      </c>
      <c r="AB157" s="23">
        <f t="shared" si="192"/>
        <v>49.657286556947696</v>
      </c>
      <c r="AC157" s="23">
        <f t="shared" si="192"/>
        <v>29.472077288986092</v>
      </c>
      <c r="AD157" s="23">
        <f t="shared" si="192"/>
        <v>118.49934242259047</v>
      </c>
      <c r="AE157" s="23">
        <f t="shared" si="192"/>
        <v>94.348814749126717</v>
      </c>
      <c r="AF157" s="23">
        <f t="shared" si="192"/>
        <v>4171.5272610860511</v>
      </c>
      <c r="AG157" s="23">
        <f t="shared" si="192"/>
        <v>493.88036032811465</v>
      </c>
      <c r="AH157" s="23">
        <f t="shared" si="192"/>
        <v>1422.2586971894063</v>
      </c>
      <c r="AI157" s="23">
        <f t="shared" si="192"/>
        <v>733.95240635234586</v>
      </c>
      <c r="AJ157" s="23">
        <f t="shared" si="192"/>
        <v>725.87923431380375</v>
      </c>
      <c r="AK157" s="23">
        <f t="shared" si="192"/>
        <v>333.60836775551218</v>
      </c>
      <c r="AL157" s="23">
        <f t="shared" si="192"/>
        <v>798.17440108995675</v>
      </c>
      <c r="AM157" s="23">
        <f t="shared" si="192"/>
        <v>76.951881883299123</v>
      </c>
      <c r="AN157" s="23">
        <f t="shared" si="192"/>
        <v>165.67616153354891</v>
      </c>
      <c r="AO157" s="23">
        <f t="shared" si="192"/>
        <v>18338.852711295192</v>
      </c>
    </row>
    <row r="158" spans="2:41" ht="14.4">
      <c r="B158" t="s">
        <v>76</v>
      </c>
      <c r="C158" t="s">
        <v>78</v>
      </c>
      <c r="D158">
        <v>2060</v>
      </c>
      <c r="E158" s="15">
        <f>E155</f>
        <v>258.23467973390166</v>
      </c>
      <c r="F158" s="27">
        <f t="shared" si="193" ref="F158:AO160">F155</f>
        <v>1278.7030613764828</v>
      </c>
      <c r="G158" s="27">
        <f t="shared" si="193"/>
        <v>439.04819656986723</v>
      </c>
      <c r="H158" s="27">
        <f t="shared" si="193"/>
        <v>1419.0733109876332</v>
      </c>
      <c r="I158" s="27">
        <f t="shared" si="193"/>
        <v>697.64544028693763</v>
      </c>
      <c r="J158" s="27">
        <f t="shared" si="193"/>
        <v>1133.0116459121057</v>
      </c>
      <c r="K158" s="27">
        <f t="shared" si="193"/>
        <v>141.67290961975618</v>
      </c>
      <c r="L158" s="27">
        <f t="shared" si="193"/>
        <v>1340.5414140708974</v>
      </c>
      <c r="M158" s="27">
        <f t="shared" si="193"/>
        <v>7300.6378601672886</v>
      </c>
      <c r="N158" s="27">
        <f t="shared" si="193"/>
        <v>1166.0183680991336</v>
      </c>
      <c r="O158" s="27">
        <f t="shared" si="193"/>
        <v>93.79613474355034</v>
      </c>
      <c r="P158" s="27">
        <f t="shared" si="193"/>
        <v>760.24588994830333</v>
      </c>
      <c r="Q158" s="27">
        <f t="shared" si="193"/>
        <v>1231.1465651425979</v>
      </c>
      <c r="R158" s="27">
        <f t="shared" si="193"/>
        <v>888.69435703802424</v>
      </c>
      <c r="S158" s="27">
        <f t="shared" si="193"/>
        <v>7484.8275637090546</v>
      </c>
      <c r="T158" s="27">
        <f t="shared" si="193"/>
        <v>737.077164424741</v>
      </c>
      <c r="U158" s="27">
        <f t="shared" si="193"/>
        <v>1393.147444641153</v>
      </c>
      <c r="V158" s="27">
        <f t="shared" si="193"/>
        <v>611.30832838841479</v>
      </c>
      <c r="W158" s="27">
        <f t="shared" si="193"/>
        <v>56.214271478305591</v>
      </c>
      <c r="X158" s="27">
        <f t="shared" si="193"/>
        <v>2292.3115039181189</v>
      </c>
      <c r="Y158" s="27">
        <f t="shared" si="193"/>
        <v>281.71076512283418</v>
      </c>
      <c r="Z158" s="27">
        <f t="shared" si="193"/>
        <v>155.42907306956246</v>
      </c>
      <c r="AA158" s="27">
        <f t="shared" si="193"/>
        <v>126.49030143967403</v>
      </c>
      <c r="AB158" s="27">
        <f t="shared" si="193"/>
        <v>124.3387175205461</v>
      </c>
      <c r="AC158" s="27">
        <f t="shared" si="193"/>
        <v>52.124169750768765</v>
      </c>
      <c r="AD158" s="27">
        <f t="shared" si="193"/>
        <v>218.03879005756647</v>
      </c>
      <c r="AE158" s="27">
        <f t="shared" si="193"/>
        <v>7.3838202847142584</v>
      </c>
      <c r="AF158" s="27">
        <f t="shared" si="193"/>
        <v>789.93269000109967</v>
      </c>
      <c r="AG158" s="27">
        <f t="shared" si="193"/>
        <v>628.81044303967576</v>
      </c>
      <c r="AH158" s="27">
        <f t="shared" si="193"/>
        <v>3790.1062829733987</v>
      </c>
      <c r="AI158" s="27">
        <f t="shared" si="193"/>
        <v>909.18284356690287</v>
      </c>
      <c r="AJ158" s="27">
        <f t="shared" si="193"/>
        <v>2527.5219381861953</v>
      </c>
      <c r="AK158" s="27">
        <f t="shared" si="193"/>
        <v>932.18797497234129</v>
      </c>
      <c r="AL158" s="27">
        <f t="shared" si="193"/>
        <v>1663.7538494398277</v>
      </c>
      <c r="AM158" s="27">
        <f t="shared" si="193"/>
        <v>231.37676448883587</v>
      </c>
      <c r="AN158" s="27">
        <f t="shared" si="193"/>
        <v>556.7165293282211</v>
      </c>
      <c r="AO158" s="27">
        <f t="shared" si="193"/>
        <v>5282.2968339855952</v>
      </c>
    </row>
    <row r="159" spans="2:41" ht="14.4">
      <c r="B159" t="s">
        <v>76</v>
      </c>
      <c r="C159" t="s">
        <v>79</v>
      </c>
      <c r="D159">
        <v>2060</v>
      </c>
      <c r="E159" s="27">
        <f t="shared" si="194" ref="E159:T160">E156</f>
        <v>594.93412284646217</v>
      </c>
      <c r="F159" s="27">
        <f t="shared" si="194"/>
        <v>1849.3437949404547</v>
      </c>
      <c r="G159" s="27">
        <f t="shared" si="194"/>
        <v>533.6791782878347</v>
      </c>
      <c r="H159" s="27">
        <f t="shared" si="194"/>
        <v>1352.084201530361</v>
      </c>
      <c r="I159" s="27">
        <f t="shared" si="194"/>
        <v>878.78692912233498</v>
      </c>
      <c r="J159" s="27">
        <f t="shared" si="194"/>
        <v>2219.1501532732264</v>
      </c>
      <c r="K159" s="27">
        <f t="shared" si="194"/>
        <v>111.81681432929777</v>
      </c>
      <c r="L159" s="27">
        <f t="shared" si="194"/>
        <v>2881.9756473844541</v>
      </c>
      <c r="M159" s="27">
        <f t="shared" si="194"/>
        <v>17471.245290423827</v>
      </c>
      <c r="N159" s="27">
        <f t="shared" si="194"/>
        <v>1247.029711814756</v>
      </c>
      <c r="O159" s="27">
        <f t="shared" si="194"/>
        <v>410.02138328230251</v>
      </c>
      <c r="P159" s="27">
        <f t="shared" si="194"/>
        <v>1751.4929526510202</v>
      </c>
      <c r="Q159" s="27">
        <f t="shared" si="194"/>
        <v>9405.3351305155356</v>
      </c>
      <c r="R159" s="27">
        <f t="shared" si="194"/>
        <v>1243.2771008574937</v>
      </c>
      <c r="S159" s="27">
        <f t="shared" si="194"/>
        <v>10926.67832343693</v>
      </c>
      <c r="T159" s="27">
        <f t="shared" si="194"/>
        <v>585.20931320799377</v>
      </c>
      <c r="U159" s="27">
        <f t="shared" si="193"/>
        <v>1192.0079956646809</v>
      </c>
      <c r="V159" s="27">
        <f t="shared" si="193"/>
        <v>194.51586367719233</v>
      </c>
      <c r="W159" s="27">
        <f t="shared" si="193"/>
        <v>86.628122498979238</v>
      </c>
      <c r="X159" s="27">
        <f t="shared" si="193"/>
        <v>18505.027756791933</v>
      </c>
      <c r="Y159" s="27">
        <f t="shared" si="193"/>
        <v>342.42976242738473</v>
      </c>
      <c r="Z159" s="27">
        <f t="shared" si="193"/>
        <v>432.69102066230658</v>
      </c>
      <c r="AA159" s="27">
        <f t="shared" si="193"/>
        <v>164.42580851063818</v>
      </c>
      <c r="AB159" s="27">
        <f t="shared" si="193"/>
        <v>388.64785022710407</v>
      </c>
      <c r="AC159" s="27">
        <f t="shared" si="193"/>
        <v>120.08629995680093</v>
      </c>
      <c r="AD159" s="27">
        <f t="shared" si="193"/>
        <v>301.2603675198431</v>
      </c>
      <c r="AE159" s="27">
        <f t="shared" si="193"/>
        <v>33.804364966159028</v>
      </c>
      <c r="AF159" s="27">
        <f t="shared" si="193"/>
        <v>2147.81464239968</v>
      </c>
      <c r="AG159" s="27">
        <f t="shared" si="193"/>
        <v>1562.0320805866043</v>
      </c>
      <c r="AH159" s="27">
        <f t="shared" si="193"/>
        <v>7676.4269807334995</v>
      </c>
      <c r="AI159" s="27">
        <f t="shared" si="193"/>
        <v>1141.8397500807512</v>
      </c>
      <c r="AJ159" s="27">
        <f t="shared" si="193"/>
        <v>2464.3513275000018</v>
      </c>
      <c r="AK159" s="27">
        <f t="shared" si="193"/>
        <v>1133.108657272146</v>
      </c>
      <c r="AL159" s="27">
        <f t="shared" si="193"/>
        <v>3425.3517494702141</v>
      </c>
      <c r="AM159" s="27">
        <f t="shared" si="193"/>
        <v>547.31369897937554</v>
      </c>
      <c r="AN159" s="27">
        <f t="shared" si="193"/>
        <v>748.76980913823002</v>
      </c>
      <c r="AO159" s="27">
        <f t="shared" si="193"/>
        <v>5444.8133686860201</v>
      </c>
    </row>
    <row r="160" spans="2:41" ht="14.4">
      <c r="B160" t="s">
        <v>76</v>
      </c>
      <c r="C160" t="s">
        <v>80</v>
      </c>
      <c r="D160">
        <v>2060</v>
      </c>
      <c r="E160" s="27">
        <f t="shared" si="194"/>
        <v>146.01119741963612</v>
      </c>
      <c r="F160" s="27">
        <f t="shared" si="193"/>
        <v>592.56971136958884</v>
      </c>
      <c r="G160" s="27">
        <f t="shared" si="193"/>
        <v>157.12512514229797</v>
      </c>
      <c r="H160" s="27">
        <f t="shared" si="193"/>
        <v>2367.6721819443278</v>
      </c>
      <c r="I160" s="27">
        <f t="shared" si="193"/>
        <v>379.1551305907272</v>
      </c>
      <c r="J160" s="27">
        <f t="shared" si="193"/>
        <v>1271.0676868005555</v>
      </c>
      <c r="K160" s="27">
        <f t="shared" si="193"/>
        <v>144.68722684570832</v>
      </c>
      <c r="L160" s="27">
        <f t="shared" si="193"/>
        <v>794.5951123726694</v>
      </c>
      <c r="M160" s="27">
        <f t="shared" si="193"/>
        <v>7632.4850356294392</v>
      </c>
      <c r="N160" s="27">
        <f t="shared" si="193"/>
        <v>620.78736235050224</v>
      </c>
      <c r="O160" s="27">
        <f t="shared" si="193"/>
        <v>43.514481974147166</v>
      </c>
      <c r="P160" s="27">
        <f t="shared" si="193"/>
        <v>429.85865740067624</v>
      </c>
      <c r="Q160" s="27">
        <f t="shared" si="193"/>
        <v>2729.3433043418672</v>
      </c>
      <c r="R160" s="27">
        <f t="shared" si="193"/>
        <v>671.69854210448159</v>
      </c>
      <c r="S160" s="27">
        <f t="shared" si="193"/>
        <v>6655.0616120761497</v>
      </c>
      <c r="T160" s="27">
        <f t="shared" si="193"/>
        <v>263.78275233693614</v>
      </c>
      <c r="U160" s="27">
        <f t="shared" si="193"/>
        <v>514.52706875635647</v>
      </c>
      <c r="V160" s="27">
        <f t="shared" si="193"/>
        <v>919.50879894339641</v>
      </c>
      <c r="W160" s="27">
        <f t="shared" si="193"/>
        <v>52.509606022715225</v>
      </c>
      <c r="X160" s="27">
        <f t="shared" si="193"/>
        <v>4076.6676177634763</v>
      </c>
      <c r="Y160" s="27">
        <f t="shared" si="193"/>
        <v>100.81772244978113</v>
      </c>
      <c r="Z160" s="27">
        <f t="shared" si="193"/>
        <v>78.597656268131004</v>
      </c>
      <c r="AA160" s="27">
        <f t="shared" si="193"/>
        <v>163.67289004968771</v>
      </c>
      <c r="AB160" s="27">
        <f t="shared" si="193"/>
        <v>49.657286556947696</v>
      </c>
      <c r="AC160" s="27">
        <f t="shared" si="193"/>
        <v>29.472077288986092</v>
      </c>
      <c r="AD160" s="27">
        <f t="shared" si="193"/>
        <v>118.49934242259047</v>
      </c>
      <c r="AE160" s="27">
        <f t="shared" si="193"/>
        <v>94.348814749126717</v>
      </c>
      <c r="AF160" s="27">
        <f t="shared" si="193"/>
        <v>4171.5272610860511</v>
      </c>
      <c r="AG160" s="27">
        <f t="shared" si="193"/>
        <v>493.88036032811465</v>
      </c>
      <c r="AH160" s="27">
        <f t="shared" si="193"/>
        <v>1422.2586971894063</v>
      </c>
      <c r="AI160" s="27">
        <f t="shared" si="193"/>
        <v>733.95240635234586</v>
      </c>
      <c r="AJ160" s="27">
        <f t="shared" si="193"/>
        <v>725.87923431380375</v>
      </c>
      <c r="AK160" s="27">
        <f t="shared" si="193"/>
        <v>333.60836775551218</v>
      </c>
      <c r="AL160" s="27">
        <f t="shared" si="193"/>
        <v>798.17440108995675</v>
      </c>
      <c r="AM160" s="27">
        <f t="shared" si="193"/>
        <v>76.951881883299123</v>
      </c>
      <c r="AN160" s="27">
        <f t="shared" si="193"/>
        <v>165.67616153354891</v>
      </c>
      <c r="AO160" s="27">
        <f t="shared" si="193"/>
        <v>18338.852711295192</v>
      </c>
    </row>
    <row r="161" spans="5:41" ht="14.4"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</row>
    <row r="162" spans="5:41" ht="9.9" customHeight="1"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</row>
    <row r="163" spans="5:41" ht="14.4"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</row>
    <row r="165" spans="3:41" ht="14.4">
      <c r="C165" s="22"/>
      <c r="D165" s="21" t="s">
        <v>117</v>
      </c>
      <c r="E165" s="19" t="s">
        <v>12</v>
      </c>
      <c r="F165" s="19" t="s">
        <v>13</v>
      </c>
      <c r="G165" s="19" t="s">
        <v>14</v>
      </c>
      <c r="H165" s="19" t="s">
        <v>15</v>
      </c>
      <c r="I165" s="19" t="s">
        <v>16</v>
      </c>
      <c r="J165" s="19" t="s">
        <v>17</v>
      </c>
      <c r="K165" s="19" t="s">
        <v>18</v>
      </c>
      <c r="L165" s="19" t="s">
        <v>19</v>
      </c>
      <c r="M165" s="19" t="s">
        <v>20</v>
      </c>
      <c r="N165" s="19" t="s">
        <v>21</v>
      </c>
      <c r="O165" s="19" t="s">
        <v>22</v>
      </c>
      <c r="P165" s="19" t="s">
        <v>23</v>
      </c>
      <c r="Q165" s="19" t="s">
        <v>24</v>
      </c>
      <c r="R165" s="19" t="s">
        <v>25</v>
      </c>
      <c r="S165" s="19" t="s">
        <v>26</v>
      </c>
      <c r="T165" s="19" t="s">
        <v>27</v>
      </c>
      <c r="U165" s="19" t="s">
        <v>28</v>
      </c>
      <c r="V165" s="19" t="s">
        <v>29</v>
      </c>
      <c r="W165" s="19" t="s">
        <v>30</v>
      </c>
      <c r="X165" s="19" t="s">
        <v>31</v>
      </c>
      <c r="Y165" s="19" t="s">
        <v>32</v>
      </c>
      <c r="Z165" s="19" t="s">
        <v>33</v>
      </c>
      <c r="AA165" s="19" t="s">
        <v>34</v>
      </c>
      <c r="AB165" s="19" t="s">
        <v>35</v>
      </c>
      <c r="AC165" s="19" t="s">
        <v>36</v>
      </c>
      <c r="AD165" s="19" t="s">
        <v>37</v>
      </c>
      <c r="AE165" s="19" t="s">
        <v>38</v>
      </c>
      <c r="AF165" s="19" t="s">
        <v>39</v>
      </c>
      <c r="AG165" s="19" t="s">
        <v>40</v>
      </c>
      <c r="AH165" s="19" t="s">
        <v>41</v>
      </c>
      <c r="AI165" s="19" t="s">
        <v>42</v>
      </c>
      <c r="AJ165" s="19" t="s">
        <v>43</v>
      </c>
      <c r="AK165" s="19" t="s">
        <v>44</v>
      </c>
      <c r="AL165" s="19" t="s">
        <v>45</v>
      </c>
      <c r="AM165" s="19" t="s">
        <v>46</v>
      </c>
      <c r="AN165" s="19" t="s">
        <v>47</v>
      </c>
      <c r="AO165" s="20" t="s">
        <v>48</v>
      </c>
    </row>
    <row r="166" spans="2:41" ht="14.4">
      <c r="B166" t="s">
        <v>116</v>
      </c>
      <c r="D166">
        <v>2010</v>
      </c>
      <c r="E166" s="15">
        <f t="shared" si="195" ref="E166:AO166">SUM(E152:E154)</f>
        <v>330.3028814821804</v>
      </c>
      <c r="F166" s="15">
        <f t="shared" si="195"/>
        <v>2953.7956938565126</v>
      </c>
      <c r="G166" s="15">
        <f t="shared" si="195"/>
        <v>574.13100579214574</v>
      </c>
      <c r="H166" s="15">
        <f>SUM(H152:H154)</f>
        <v>3441.5967217222819</v>
      </c>
      <c r="I166" s="15">
        <f t="shared" si="195"/>
        <v>1729.5628556711476</v>
      </c>
      <c r="J166" s="15">
        <f t="shared" si="195"/>
        <v>3433.9275240207617</v>
      </c>
      <c r="K166" s="15">
        <f t="shared" si="195"/>
        <v>297.50125918967552</v>
      </c>
      <c r="L166" s="15">
        <f t="shared" si="195"/>
        <v>3843.8701916617965</v>
      </c>
      <c r="M166" s="15">
        <f t="shared" si="195"/>
        <v>34326.297389277963</v>
      </c>
      <c r="N166" s="15">
        <f t="shared" si="195"/>
        <v>2595.0626414476205</v>
      </c>
      <c r="O166" s="15">
        <f t="shared" si="195"/>
        <v>651.62</v>
      </c>
      <c r="P166" s="15">
        <f t="shared" si="195"/>
        <v>2819.9735177306634</v>
      </c>
      <c r="Q166" s="15">
        <f t="shared" si="195"/>
        <v>10563.114467113292</v>
      </c>
      <c r="R166" s="15">
        <f t="shared" si="195"/>
        <v>2498.9999999999995</v>
      </c>
      <c r="S166" s="15">
        <f t="shared" si="195"/>
        <v>21094.784916804419</v>
      </c>
      <c r="T166" s="15">
        <f t="shared" si="195"/>
        <v>1368.7481753381517</v>
      </c>
      <c r="U166" s="15">
        <f t="shared" si="195"/>
        <v>3418.9952780956578</v>
      </c>
      <c r="V166" s="15">
        <f t="shared" si="195"/>
        <v>1313.7917527328223</v>
      </c>
      <c r="W166" s="15">
        <f t="shared" si="195"/>
        <v>151.45494265628159</v>
      </c>
      <c r="X166" s="15">
        <f t="shared" si="195"/>
        <v>22915.349996019788</v>
      </c>
      <c r="Y166" s="15">
        <f t="shared" si="195"/>
        <v>337.96183250346161</v>
      </c>
      <c r="Z166" s="15">
        <f t="shared" si="195"/>
        <v>1117.963359790904</v>
      </c>
      <c r="AA166" s="15">
        <f t="shared" si="195"/>
        <v>187.999999</v>
      </c>
      <c r="AB166" s="15">
        <f t="shared" si="195"/>
        <v>834.10465436928325</v>
      </c>
      <c r="AC166" s="15">
        <f t="shared" si="195"/>
        <v>165.51656527712711</v>
      </c>
      <c r="AD166" s="15">
        <f t="shared" si="195"/>
        <v>340.63531486923762</v>
      </c>
      <c r="AE166" s="15">
        <f t="shared" si="195"/>
        <v>65.496262971786521</v>
      </c>
      <c r="AF166" s="15">
        <f t="shared" si="195"/>
        <v>5722.0054201248477</v>
      </c>
      <c r="AG166" s="15">
        <f t="shared" si="195"/>
        <v>1979.4058920883449</v>
      </c>
      <c r="AH166" s="15">
        <f t="shared" si="195"/>
        <v>11306.682028166495</v>
      </c>
      <c r="AI166" s="15">
        <f t="shared" si="195"/>
        <v>1255.3311351287225</v>
      </c>
      <c r="AJ166" s="15">
        <f t="shared" si="195"/>
        <v>4758.4857152633622</v>
      </c>
      <c r="AK166" s="15">
        <f t="shared" si="195"/>
        <v>1696.3851140609449</v>
      </c>
      <c r="AL166" s="15">
        <f t="shared" si="195"/>
        <v>4170.9999989999997</v>
      </c>
      <c r="AM166" s="15">
        <f t="shared" si="195"/>
        <v>721.35881171315589</v>
      </c>
      <c r="AN166" s="15">
        <f t="shared" si="195"/>
        <v>1140.2769775572783</v>
      </c>
      <c r="AO166" s="15">
        <f t="shared" si="195"/>
        <v>20969.993816543189</v>
      </c>
    </row>
    <row r="167" spans="3:41" ht="14.4">
      <c r="C167" s="18" t="s">
        <v>118</v>
      </c>
      <c r="D167" s="18" t="s">
        <v>119</v>
      </c>
      <c r="E167" s="23">
        <v>1064.0467101257525</v>
      </c>
      <c r="F167" s="23">
        <v>3562.4891170000001</v>
      </c>
      <c r="G167" s="23">
        <v>1290.2104668790817</v>
      </c>
      <c r="H167" s="23">
        <v>4523</v>
      </c>
      <c r="I167" s="23">
        <v>3082</v>
      </c>
      <c r="J167" s="23">
        <v>3870.20</v>
      </c>
      <c r="K167" s="23">
        <v>299.15699899999998</v>
      </c>
      <c r="L167" s="23">
        <v>3993</v>
      </c>
      <c r="M167" s="23">
        <v>39210.071700000008</v>
      </c>
      <c r="N167" s="23">
        <v>2670.6901169999996</v>
      </c>
      <c r="O167" s="23">
        <v>651.62</v>
      </c>
      <c r="P167" s="23">
        <v>3847.2740010000002</v>
      </c>
      <c r="Q167" s="23">
        <v>16741.379000000001</v>
      </c>
      <c r="R167" s="23">
        <v>2499</v>
      </c>
      <c r="S167" s="23">
        <v>27038.600000000002</v>
      </c>
      <c r="T167" s="23">
        <v>1484</v>
      </c>
      <c r="U167" s="23">
        <v>4028</v>
      </c>
      <c r="V167" s="23">
        <v>1649.4080009999998</v>
      </c>
      <c r="W167" s="23">
        <v>151.45494265628156</v>
      </c>
      <c r="X167" s="23">
        <v>26944.000000000004</v>
      </c>
      <c r="Y167" s="23">
        <v>722.71430084492431</v>
      </c>
      <c r="Z167" s="23">
        <v>1536.9177920000002</v>
      </c>
      <c r="AA167" s="23">
        <v>187.99999900000003</v>
      </c>
      <c r="AB167" s="23">
        <v>988.20799999999997</v>
      </c>
      <c r="AC167" s="23">
        <v>206.61078030029054</v>
      </c>
      <c r="AD167" s="23">
        <v>686.47619390068166</v>
      </c>
      <c r="AE167" s="23">
        <v>141.83999999999997</v>
      </c>
      <c r="AF167" s="23">
        <v>6986.8227309999993</v>
      </c>
      <c r="AG167" s="23">
        <v>2274.3620000000001</v>
      </c>
      <c r="AH167" s="23">
        <v>13422</v>
      </c>
      <c r="AI167" s="23">
        <v>3793.7197420000002</v>
      </c>
      <c r="AJ167" s="23">
        <v>7361.6319000000003</v>
      </c>
      <c r="AK167" s="23">
        <v>2472.277564</v>
      </c>
      <c r="AL167" s="23">
        <v>4170.9999990000006</v>
      </c>
      <c r="AM167" s="23">
        <v>765.19938599999989</v>
      </c>
      <c r="AN167" s="23">
        <v>1729</v>
      </c>
      <c r="AO167" s="23">
        <v>25516.964</v>
      </c>
    </row>
    <row r="168" spans="2:41" ht="14.4">
      <c r="B168" s="28" t="s">
        <v>121</v>
      </c>
      <c r="E168" s="17">
        <f t="shared" si="196" ref="E168:AO168">E166/E167</f>
        <v>0.31042141133366608</v>
      </c>
      <c r="F168" s="17">
        <f t="shared" si="196"/>
        <v>0.82913816627850556</v>
      </c>
      <c r="G168" s="17">
        <f t="shared" si="196"/>
        <v>0.44499019387195315</v>
      </c>
      <c r="H168" s="17">
        <f t="shared" si="196"/>
        <v>0.76091017504361746</v>
      </c>
      <c r="I168" s="17">
        <f t="shared" si="196"/>
        <v>0.56118197782970403</v>
      </c>
      <c r="J168" s="17">
        <f t="shared" si="196"/>
        <v>0.88727391969943714</v>
      </c>
      <c r="K168" s="17">
        <f t="shared" si="196"/>
        <v>0.99446531481509992</v>
      </c>
      <c r="L168" s="17">
        <f t="shared" si="196"/>
        <v>0.96265218924663076</v>
      </c>
      <c r="M168" s="17">
        <f t="shared" si="196"/>
        <v>0.87544592246379282</v>
      </c>
      <c r="N168" s="17">
        <f t="shared" si="196"/>
        <v>0.97168242205601452</v>
      </c>
      <c r="O168" s="17">
        <f t="shared" si="196"/>
        <v>1</v>
      </c>
      <c r="P168" s="17">
        <f t="shared" si="196"/>
        <v>0.73297964142862804</v>
      </c>
      <c r="Q168" s="17">
        <f t="shared" si="196"/>
        <v>0.63095844536542012</v>
      </c>
      <c r="R168" s="17">
        <f t="shared" si="196"/>
        <v>0.99999999999999978</v>
      </c>
      <c r="S168" s="17">
        <f t="shared" si="196"/>
        <v>0.78017297185521506</v>
      </c>
      <c r="T168" s="17">
        <f t="shared" si="196"/>
        <v>0.92233704537611294</v>
      </c>
      <c r="U168" s="17">
        <f t="shared" si="196"/>
        <v>0.84880716933854461</v>
      </c>
      <c r="V168" s="17">
        <f t="shared" si="196"/>
        <v>0.79652320828824597</v>
      </c>
      <c r="W168" s="17">
        <f t="shared" si="196"/>
        <v>1.0000000000000002</v>
      </c>
      <c r="X168" s="17">
        <f t="shared" si="196"/>
        <v>0.85048062633683885</v>
      </c>
      <c r="Y168" s="17">
        <f t="shared" si="196"/>
        <v>0.46762853884079902</v>
      </c>
      <c r="Z168" s="17">
        <f t="shared" si="196"/>
        <v>0.72740608873822177</v>
      </c>
      <c r="AA168" s="17">
        <f t="shared" si="196"/>
        <v>0.99999999999999989</v>
      </c>
      <c r="AB168" s="17">
        <f t="shared" si="196"/>
        <v>0.84405778375532603</v>
      </c>
      <c r="AC168" s="17">
        <f t="shared" si="196"/>
        <v>0.8011032388366347</v>
      </c>
      <c r="AD168" s="17">
        <f t="shared" si="196"/>
        <v>0.49620848894072533</v>
      </c>
      <c r="AE168" s="17">
        <f t="shared" si="196"/>
        <v>0.46176158327542677</v>
      </c>
      <c r="AF168" s="17">
        <f t="shared" si="196"/>
        <v>0.81897103167320195</v>
      </c>
      <c r="AG168" s="17">
        <f t="shared" si="196"/>
        <v>0.87031259407620454</v>
      </c>
      <c r="AH168" s="17">
        <f t="shared" si="196"/>
        <v>0.84239919744944824</v>
      </c>
      <c r="AI168" s="17">
        <f t="shared" si="196"/>
        <v>0.33089717230058963</v>
      </c>
      <c r="AJ168" s="17">
        <f t="shared" si="196"/>
        <v>0.64639006403775257</v>
      </c>
      <c r="AK168" s="17">
        <f t="shared" si="196"/>
        <v>0.68616288832726913</v>
      </c>
      <c r="AL168" s="17">
        <f t="shared" si="196"/>
        <v>0.99999999999999978</v>
      </c>
      <c r="AM168" s="17">
        <f t="shared" si="196"/>
        <v>0.94270699233566291</v>
      </c>
      <c r="AN168" s="17">
        <f t="shared" si="196"/>
        <v>0.65950085457332464</v>
      </c>
      <c r="AO168" s="17">
        <f t="shared" si="196"/>
        <v>0.82180598822584017</v>
      </c>
    </row>
    <row r="169" spans="2:2" ht="14.4">
      <c r="B169" t="s">
        <v>120</v>
      </c>
    </row>
    <row r="170" spans="4:42" ht="14.4">
      <c r="D170" s="23" t="s">
        <v>2</v>
      </c>
      <c r="E170" s="16" t="s">
        <v>12</v>
      </c>
      <c r="F170" s="16" t="s">
        <v>13</v>
      </c>
      <c r="G170" s="16" t="s">
        <v>14</v>
      </c>
      <c r="H170" s="16" t="s">
        <v>15</v>
      </c>
      <c r="I170" s="16" t="s">
        <v>16</v>
      </c>
      <c r="J170" s="16" t="s">
        <v>17</v>
      </c>
      <c r="K170" s="16" t="s">
        <v>18</v>
      </c>
      <c r="L170" s="16" t="s">
        <v>19</v>
      </c>
      <c r="M170" s="16" t="s">
        <v>20</v>
      </c>
      <c r="N170" s="16" t="s">
        <v>21</v>
      </c>
      <c r="O170" s="16" t="s">
        <v>22</v>
      </c>
      <c r="P170" s="16" t="s">
        <v>23</v>
      </c>
      <c r="Q170" s="16" t="s">
        <v>24</v>
      </c>
      <c r="R170" s="16" t="s">
        <v>25</v>
      </c>
      <c r="S170" s="16" t="s">
        <v>26</v>
      </c>
      <c r="T170" s="16" t="s">
        <v>27</v>
      </c>
      <c r="U170" s="16" t="s">
        <v>28</v>
      </c>
      <c r="V170" s="16" t="s">
        <v>29</v>
      </c>
      <c r="W170" s="16" t="s">
        <v>30</v>
      </c>
      <c r="X170" s="16" t="s">
        <v>31</v>
      </c>
      <c r="Y170" s="16" t="s">
        <v>32</v>
      </c>
      <c r="Z170" s="16" t="s">
        <v>33</v>
      </c>
      <c r="AA170" s="16" t="s">
        <v>34</v>
      </c>
      <c r="AB170" s="16" t="s">
        <v>35</v>
      </c>
      <c r="AC170" s="16" t="s">
        <v>36</v>
      </c>
      <c r="AD170" s="16" t="s">
        <v>37</v>
      </c>
      <c r="AE170" s="16" t="s">
        <v>38</v>
      </c>
      <c r="AF170" s="16" t="s">
        <v>39</v>
      </c>
      <c r="AG170" s="16" t="s">
        <v>40</v>
      </c>
      <c r="AH170" s="16" t="s">
        <v>41</v>
      </c>
      <c r="AI170" s="16" t="s">
        <v>42</v>
      </c>
      <c r="AJ170" s="16" t="s">
        <v>43</v>
      </c>
      <c r="AK170" s="16" t="s">
        <v>44</v>
      </c>
      <c r="AL170" s="16" t="s">
        <v>45</v>
      </c>
      <c r="AM170" s="16" t="s">
        <v>46</v>
      </c>
      <c r="AN170" s="16" t="s">
        <v>47</v>
      </c>
      <c r="AO170" s="16" t="s">
        <v>48</v>
      </c>
      <c r="AP170" s="16"/>
    </row>
    <row r="171" spans="4:42" ht="14.4">
      <c r="D171" s="23">
        <v>2005</v>
      </c>
      <c r="E171" s="23">
        <v>1154.53</v>
      </c>
      <c r="F171" s="23">
        <v>3455.46</v>
      </c>
      <c r="G171" s="23">
        <v>1657.23</v>
      </c>
      <c r="H171" s="23">
        <v>4511.80</v>
      </c>
      <c r="I171" s="23">
        <v>3347.23</v>
      </c>
      <c r="J171" s="23">
        <v>3326.50</v>
      </c>
      <c r="K171" s="23">
        <v>271.265</v>
      </c>
      <c r="L171" s="23">
        <v>4469.1000000000004</v>
      </c>
      <c r="M171" s="23">
        <v>40083.90</v>
      </c>
      <c r="N171" s="23">
        <v>2461.3200000000002</v>
      </c>
      <c r="O171" s="23">
        <v>646.44899999999996</v>
      </c>
      <c r="P171" s="23">
        <v>4078.17</v>
      </c>
      <c r="Q171" s="23">
        <v>16671.60</v>
      </c>
      <c r="R171" s="23">
        <v>2374.94</v>
      </c>
      <c r="S171" s="23">
        <v>24888.20</v>
      </c>
      <c r="T171" s="23">
        <v>1816.28</v>
      </c>
      <c r="U171" s="23">
        <v>3874.34</v>
      </c>
      <c r="V171" s="23">
        <v>1489.13</v>
      </c>
      <c r="W171" s="23">
        <v>134.928</v>
      </c>
      <c r="X171" s="23">
        <v>21789.20</v>
      </c>
      <c r="Y171" s="23">
        <v>880.25300000000004</v>
      </c>
      <c r="Z171" s="23">
        <v>1274.50</v>
      </c>
      <c r="AA171" s="23">
        <v>186.95699999999999</v>
      </c>
      <c r="AB171" s="23">
        <v>981.43399999999997</v>
      </c>
      <c r="AC171" s="23">
        <v>268.68099999999998</v>
      </c>
      <c r="AD171" s="23">
        <v>877.75</v>
      </c>
      <c r="AE171" s="23">
        <v>135.227</v>
      </c>
      <c r="AF171" s="23">
        <v>6752.39</v>
      </c>
      <c r="AG171" s="23">
        <v>2117.09</v>
      </c>
      <c r="AH171" s="23">
        <v>13542.20</v>
      </c>
      <c r="AI171" s="23">
        <v>4036.87</v>
      </c>
      <c r="AJ171" s="23">
        <v>7127.45</v>
      </c>
      <c r="AK171" s="23">
        <v>3215.68</v>
      </c>
      <c r="AL171" s="23">
        <v>4242.8900000000003</v>
      </c>
      <c r="AM171" s="23">
        <v>710.94600000000003</v>
      </c>
      <c r="AN171" s="23">
        <v>1819.24</v>
      </c>
      <c r="AO171" s="23">
        <v>26064.90</v>
      </c>
      <c r="AP171" s="23"/>
    </row>
    <row r="172" spans="4:42" ht="14.4">
      <c r="D172" s="23">
        <v>2010</v>
      </c>
      <c r="E172" s="23">
        <v>1186.08</v>
      </c>
      <c r="F172" s="23">
        <v>3618.58</v>
      </c>
      <c r="G172" s="23">
        <v>1587.10</v>
      </c>
      <c r="H172" s="23">
        <v>4662</v>
      </c>
      <c r="I172" s="23">
        <v>3064.24</v>
      </c>
      <c r="J172" s="23">
        <v>3584.77</v>
      </c>
      <c r="K172" s="23">
        <v>289.82900000000001</v>
      </c>
      <c r="L172" s="23">
        <v>4590.24</v>
      </c>
      <c r="M172" s="23">
        <v>40024.199999999997</v>
      </c>
      <c r="N172" s="23">
        <v>2658.33</v>
      </c>
      <c r="O172" s="23">
        <v>626.51300000000003</v>
      </c>
      <c r="P172" s="23">
        <v>4210.76</v>
      </c>
      <c r="Q172" s="23">
        <v>17462.30</v>
      </c>
      <c r="R172" s="23">
        <v>2366.02</v>
      </c>
      <c r="S172" s="23">
        <v>26717.60</v>
      </c>
      <c r="T172" s="23">
        <v>1864.33</v>
      </c>
      <c r="U172" s="23">
        <v>3818.70</v>
      </c>
      <c r="V172" s="23">
        <v>1632.11</v>
      </c>
      <c r="W172" s="23">
        <v>146.89500000000001</v>
      </c>
      <c r="X172" s="23">
        <v>24029.20</v>
      </c>
      <c r="Y172" s="23">
        <v>911.66399999999999</v>
      </c>
      <c r="Z172" s="23">
        <v>1185.94</v>
      </c>
      <c r="AA172" s="23">
        <v>203.71899999999999</v>
      </c>
      <c r="AB172" s="23">
        <v>872.18100000000004</v>
      </c>
      <c r="AC172" s="23">
        <v>254.499</v>
      </c>
      <c r="AD172" s="23">
        <v>847.51</v>
      </c>
      <c r="AE172" s="23">
        <v>145.81200000000001</v>
      </c>
      <c r="AF172" s="23">
        <v>7147.56</v>
      </c>
      <c r="AG172" s="23">
        <v>2246.79</v>
      </c>
      <c r="AH172" s="23">
        <v>13447.60</v>
      </c>
      <c r="AI172" s="23">
        <v>4044.98</v>
      </c>
      <c r="AJ172" s="23">
        <v>6998.17</v>
      </c>
      <c r="AK172" s="23">
        <v>3016.72</v>
      </c>
      <c r="AL172" s="23">
        <v>4358.6099999999997</v>
      </c>
      <c r="AM172" s="23">
        <v>810.47</v>
      </c>
      <c r="AN172" s="23">
        <v>1907.57</v>
      </c>
      <c r="AO172" s="23">
        <v>26743.60</v>
      </c>
      <c r="AP172" s="23"/>
    </row>
    <row r="173" spans="4:42" ht="14.4">
      <c r="D173" s="23">
        <v>2015</v>
      </c>
      <c r="E173" s="23">
        <v>235.18899999999999</v>
      </c>
      <c r="F173" s="23">
        <v>3722.33</v>
      </c>
      <c r="G173" s="23">
        <v>850.80</v>
      </c>
      <c r="H173" s="23">
        <v>4914.3100000000004</v>
      </c>
      <c r="I173" s="23">
        <v>2968.53</v>
      </c>
      <c r="J173" s="23">
        <v>5069.1099999999997</v>
      </c>
      <c r="K173" s="23">
        <v>319.24099999999999</v>
      </c>
      <c r="L173" s="23">
        <v>4649.46</v>
      </c>
      <c r="M173" s="23">
        <v>39516.90</v>
      </c>
      <c r="N173" s="23">
        <v>2719.76</v>
      </c>
      <c r="O173" s="23">
        <v>618.51199999999994</v>
      </c>
      <c r="P173" s="23">
        <v>4156.1899999999996</v>
      </c>
      <c r="Q173" s="23">
        <v>17461.900000000001</v>
      </c>
      <c r="R173" s="23">
        <v>2455.62</v>
      </c>
      <c r="S173" s="23">
        <v>27435.30</v>
      </c>
      <c r="T173" s="23">
        <v>1838.76</v>
      </c>
      <c r="U173" s="23">
        <v>3810.48</v>
      </c>
      <c r="V173" s="23">
        <v>1727.66</v>
      </c>
      <c r="W173" s="23">
        <v>234869</v>
      </c>
      <c r="X173" s="23">
        <v>24807.50</v>
      </c>
      <c r="Y173" s="23">
        <v>444.975</v>
      </c>
      <c r="Z173" s="23">
        <v>1164.03</v>
      </c>
      <c r="AA173" s="23">
        <v>232.87899999999999</v>
      </c>
      <c r="AB173" s="23">
        <v>823.20</v>
      </c>
      <c r="AC173" s="23">
        <v>211.67400000000001</v>
      </c>
      <c r="AD173" s="23">
        <v>857.96299999999997</v>
      </c>
      <c r="AE173" s="23">
        <v>159.31700000000001</v>
      </c>
      <c r="AF173" s="23">
        <v>7314.92</v>
      </c>
      <c r="AG173" s="23">
        <v>2497.61</v>
      </c>
      <c r="AH173" s="23">
        <v>14120.70</v>
      </c>
      <c r="AI173" s="23">
        <v>4006.35</v>
      </c>
      <c r="AJ173" s="23">
        <v>7189.51</v>
      </c>
      <c r="AK173" s="23">
        <v>1472.43</v>
      </c>
      <c r="AL173" s="23">
        <v>4564.7700000000004</v>
      </c>
      <c r="AM173" s="23">
        <v>823.82</v>
      </c>
      <c r="AN173" s="23">
        <v>2033.73</v>
      </c>
      <c r="AO173" s="23">
        <v>27428.10</v>
      </c>
      <c r="AP173" s="23"/>
    </row>
    <row r="174" spans="4:42" ht="14.4">
      <c r="D174" s="23">
        <v>2020</v>
      </c>
      <c r="E174" s="23">
        <v>1235.71</v>
      </c>
      <c r="F174" s="23">
        <v>3862.67</v>
      </c>
      <c r="G174" s="23">
        <v>1592.51</v>
      </c>
      <c r="H174" s="23">
        <v>5159.72</v>
      </c>
      <c r="I174" s="23">
        <v>2921.96</v>
      </c>
      <c r="J174" s="23">
        <v>4005</v>
      </c>
      <c r="K174" s="23">
        <v>328.51900000000001</v>
      </c>
      <c r="L174" s="23">
        <v>4746.34</v>
      </c>
      <c r="M174" s="23">
        <v>39590</v>
      </c>
      <c r="N174" s="23">
        <v>2787.18</v>
      </c>
      <c r="O174" s="23">
        <v>608.20399999999995</v>
      </c>
      <c r="P174" s="23">
        <v>4067.10</v>
      </c>
      <c r="Q174" s="23">
        <v>17361.900000000001</v>
      </c>
      <c r="R174" s="23">
        <v>2521.88</v>
      </c>
      <c r="S174" s="23">
        <v>28235.20</v>
      </c>
      <c r="T174" s="23">
        <v>1829.08</v>
      </c>
      <c r="U174" s="23">
        <v>3791.91</v>
      </c>
      <c r="V174" s="23">
        <v>1861.19</v>
      </c>
      <c r="W174" s="23">
        <v>164.85400000000001</v>
      </c>
      <c r="X174" s="23">
        <v>25484.70</v>
      </c>
      <c r="Y174" s="23">
        <v>1164.6300000000001</v>
      </c>
      <c r="Z174" s="23">
        <v>1141.43</v>
      </c>
      <c r="AA174" s="23">
        <v>261.98</v>
      </c>
      <c r="AB174" s="23">
        <v>805.846</v>
      </c>
      <c r="AC174" s="23">
        <v>260.38600000000002</v>
      </c>
      <c r="AD174" s="23">
        <v>885.52200000000005</v>
      </c>
      <c r="AE174" s="23">
        <v>164.386</v>
      </c>
      <c r="AF174" s="23">
        <v>7582.48</v>
      </c>
      <c r="AG174" s="23">
        <v>2516.25</v>
      </c>
      <c r="AH174" s="23">
        <v>14554.70</v>
      </c>
      <c r="AI174" s="23">
        <v>3973.84</v>
      </c>
      <c r="AJ174" s="23">
        <v>7252.95</v>
      </c>
      <c r="AK174" s="23">
        <v>3853.80</v>
      </c>
      <c r="AL174" s="23">
        <v>4767.1899999999996</v>
      </c>
      <c r="AM174" s="23">
        <v>842.21100000000001</v>
      </c>
      <c r="AN174" s="23">
        <v>2058.4299999999998</v>
      </c>
      <c r="AO174" s="23">
        <v>28489.30</v>
      </c>
      <c r="AP174" s="23"/>
    </row>
    <row r="175" spans="4:42" ht="14.4">
      <c r="D175" s="23">
        <v>2025</v>
      </c>
      <c r="E175" s="23">
        <v>1271.3699999999999</v>
      </c>
      <c r="F175" s="23">
        <v>4001.17</v>
      </c>
      <c r="G175" s="23">
        <v>1599.08</v>
      </c>
      <c r="H175" s="23">
        <v>5416.05</v>
      </c>
      <c r="I175" s="23">
        <v>2858.43</v>
      </c>
      <c r="J175" s="23">
        <v>4214.49</v>
      </c>
      <c r="K175" s="23">
        <v>336.524</v>
      </c>
      <c r="L175" s="23">
        <v>4830.51</v>
      </c>
      <c r="M175" s="23">
        <v>39521.10</v>
      </c>
      <c r="N175" s="23">
        <v>2860.72</v>
      </c>
      <c r="O175" s="23">
        <v>592.76</v>
      </c>
      <c r="P175" s="23">
        <v>4011.58</v>
      </c>
      <c r="Q175" s="23">
        <v>17213.70</v>
      </c>
      <c r="R175" s="23">
        <v>2586.75</v>
      </c>
      <c r="S175" s="23">
        <v>28941.70</v>
      </c>
      <c r="T175" s="23">
        <v>1812.49</v>
      </c>
      <c r="U175" s="23">
        <v>3777.40</v>
      </c>
      <c r="V175" s="23">
        <v>1891.96</v>
      </c>
      <c r="W175" s="23">
        <v>172.445</v>
      </c>
      <c r="X175" s="23">
        <v>26130.60</v>
      </c>
      <c r="Y175" s="23">
        <v>1145.54</v>
      </c>
      <c r="Z175" s="23">
        <v>1061.04</v>
      </c>
      <c r="AA175" s="23">
        <v>294.05799999999999</v>
      </c>
      <c r="AB175" s="23">
        <v>764.04899999999998</v>
      </c>
      <c r="AC175" s="23">
        <v>262.13900000000001</v>
      </c>
      <c r="AD175" s="23">
        <v>892.76099999999997</v>
      </c>
      <c r="AE175" s="23">
        <v>169.018</v>
      </c>
      <c r="AF175" s="23">
        <v>7814.12</v>
      </c>
      <c r="AG175" s="23">
        <v>2622.33</v>
      </c>
      <c r="AH175" s="23">
        <v>14890.80</v>
      </c>
      <c r="AI175" s="23">
        <v>3966.99</v>
      </c>
      <c r="AJ175" s="23">
        <v>7296</v>
      </c>
      <c r="AK175" s="23">
        <v>3790.61</v>
      </c>
      <c r="AL175" s="23">
        <v>4980.21</v>
      </c>
      <c r="AM175" s="23">
        <v>858.76199999999994</v>
      </c>
      <c r="AN175" s="23">
        <v>2071.06</v>
      </c>
      <c r="AO175" s="23">
        <v>29534.90</v>
      </c>
      <c r="AP175" s="23"/>
    </row>
    <row r="176" spans="4:42" ht="14.4">
      <c r="D176" s="23">
        <v>2030</v>
      </c>
      <c r="E176" s="23">
        <v>1311.37</v>
      </c>
      <c r="F176" s="23">
        <v>4129.63</v>
      </c>
      <c r="G176" s="23">
        <v>1597.13</v>
      </c>
      <c r="H176" s="23">
        <v>5686.09</v>
      </c>
      <c r="I176" s="23">
        <v>2785.96</v>
      </c>
      <c r="J176" s="23">
        <v>4421.5200000000004</v>
      </c>
      <c r="K176" s="23">
        <v>344.089</v>
      </c>
      <c r="L176" s="23">
        <v>4907.42</v>
      </c>
      <c r="M176" s="23">
        <v>39304.90</v>
      </c>
      <c r="N176" s="23">
        <v>2932.11</v>
      </c>
      <c r="O176" s="23">
        <v>576.84100000000001</v>
      </c>
      <c r="P176" s="23">
        <v>3985.78</v>
      </c>
      <c r="Q176" s="23">
        <v>17146.50</v>
      </c>
      <c r="R176" s="23">
        <v>2646.56</v>
      </c>
      <c r="S176" s="23">
        <v>29664.90</v>
      </c>
      <c r="T176" s="23">
        <v>1794.72</v>
      </c>
      <c r="U176" s="23">
        <v>3757.97</v>
      </c>
      <c r="V176" s="23">
        <v>1909.91</v>
      </c>
      <c r="W176" s="23">
        <v>179.03800000000001</v>
      </c>
      <c r="X176" s="23">
        <v>26804.20</v>
      </c>
      <c r="Y176" s="23">
        <v>1119.46</v>
      </c>
      <c r="Z176" s="23">
        <v>975.42</v>
      </c>
      <c r="AA176" s="23">
        <v>327.61599999999999</v>
      </c>
      <c r="AB176" s="23">
        <v>721.03300000000002</v>
      </c>
      <c r="AC176" s="23">
        <v>262.32400000000001</v>
      </c>
      <c r="AD176" s="23">
        <v>892.92</v>
      </c>
      <c r="AE176" s="23">
        <v>172.52099999999999</v>
      </c>
      <c r="AF176" s="23">
        <v>8009.42</v>
      </c>
      <c r="AG176" s="23">
        <v>2725.02</v>
      </c>
      <c r="AH176" s="23">
        <v>15132.10</v>
      </c>
      <c r="AI176" s="23">
        <v>3943.96</v>
      </c>
      <c r="AJ176" s="23">
        <v>7303.05</v>
      </c>
      <c r="AK176" s="23">
        <v>3704.33</v>
      </c>
      <c r="AL176" s="23">
        <v>5179.6899999999996</v>
      </c>
      <c r="AM176" s="23">
        <v>869.56100000000004</v>
      </c>
      <c r="AN176" s="23">
        <v>2073.08</v>
      </c>
      <c r="AO176" s="23">
        <v>30642.30</v>
      </c>
      <c r="AP176" s="23"/>
    </row>
    <row r="177" spans="4:42" ht="14.4">
      <c r="D177" s="23">
        <v>2035</v>
      </c>
      <c r="E177" s="23">
        <v>1349.94</v>
      </c>
      <c r="F177" s="23">
        <v>4248.05</v>
      </c>
      <c r="G177" s="23">
        <v>1585.53</v>
      </c>
      <c r="H177" s="23">
        <v>5974.25</v>
      </c>
      <c r="I177" s="23">
        <v>2727.21</v>
      </c>
      <c r="J177" s="23">
        <v>4621.29</v>
      </c>
      <c r="K177" s="23">
        <v>354.12900000000002</v>
      </c>
      <c r="L177" s="23">
        <v>4978.26</v>
      </c>
      <c r="M177" s="23">
        <v>38956.50</v>
      </c>
      <c r="N177" s="23">
        <v>2994.20</v>
      </c>
      <c r="O177" s="23">
        <v>565.58299999999997</v>
      </c>
      <c r="P177" s="23">
        <v>4006.79</v>
      </c>
      <c r="Q177" s="23">
        <v>17201.80</v>
      </c>
      <c r="R177" s="23">
        <v>2698.34</v>
      </c>
      <c r="S177" s="23">
        <v>30389.40</v>
      </c>
      <c r="T177" s="23">
        <v>1777.37</v>
      </c>
      <c r="U177" s="23">
        <v>3734.10</v>
      </c>
      <c r="V177" s="23">
        <v>1949.23</v>
      </c>
      <c r="W177" s="23">
        <v>184.56800000000001</v>
      </c>
      <c r="X177" s="23">
        <v>27550.20</v>
      </c>
      <c r="Y177" s="23">
        <v>1087.82</v>
      </c>
      <c r="Z177" s="23">
        <v>924.56700000000001</v>
      </c>
      <c r="AA177" s="23">
        <v>362.26</v>
      </c>
      <c r="AB177" s="23">
        <v>693.86400000000003</v>
      </c>
      <c r="AC177" s="23">
        <v>261.27300000000002</v>
      </c>
      <c r="AD177" s="23">
        <v>887.76300000000003</v>
      </c>
      <c r="AE177" s="23">
        <v>175.02099999999999</v>
      </c>
      <c r="AF177" s="23">
        <v>8206.4500000000007</v>
      </c>
      <c r="AG177" s="23">
        <v>2820.49</v>
      </c>
      <c r="AH177" s="23">
        <v>15272.70</v>
      </c>
      <c r="AI177" s="23">
        <v>3911.39</v>
      </c>
      <c r="AJ177" s="23">
        <v>7338.35</v>
      </c>
      <c r="AK177" s="23">
        <v>3599.63</v>
      </c>
      <c r="AL177" s="23">
        <v>5362.61</v>
      </c>
      <c r="AM177" s="23">
        <v>879.72</v>
      </c>
      <c r="AN177" s="23">
        <v>2058.13</v>
      </c>
      <c r="AO177" s="23">
        <v>31835.60</v>
      </c>
      <c r="AP177" s="23"/>
    </row>
    <row r="178" spans="4:42" ht="14.4">
      <c r="D178" s="23">
        <v>2040</v>
      </c>
      <c r="E178" s="23">
        <v>1365.15</v>
      </c>
      <c r="F178" s="23">
        <v>4351.2299999999996</v>
      </c>
      <c r="G178" s="23">
        <v>1564.54</v>
      </c>
      <c r="H178" s="23">
        <v>6259.27</v>
      </c>
      <c r="I178" s="23">
        <v>2685.93</v>
      </c>
      <c r="J178" s="23">
        <v>4816.34</v>
      </c>
      <c r="K178" s="23">
        <v>367.05399999999997</v>
      </c>
      <c r="L178" s="23">
        <v>5059.66</v>
      </c>
      <c r="M178" s="23">
        <v>38450.199999999997</v>
      </c>
      <c r="N178" s="23">
        <v>3045.09</v>
      </c>
      <c r="O178" s="23">
        <v>559.53</v>
      </c>
      <c r="P178" s="23">
        <v>4014.67</v>
      </c>
      <c r="Q178" s="23">
        <v>17366.099999999999</v>
      </c>
      <c r="R178" s="23">
        <v>2740.88</v>
      </c>
      <c r="S178" s="23">
        <v>31054.20</v>
      </c>
      <c r="T178" s="23">
        <v>1759.43</v>
      </c>
      <c r="U178" s="23">
        <v>3707.99</v>
      </c>
      <c r="V178" s="23">
        <v>2008.74</v>
      </c>
      <c r="W178" s="23">
        <v>189.11799999999999</v>
      </c>
      <c r="X178" s="23">
        <v>28264.80</v>
      </c>
      <c r="Y178" s="23">
        <v>1051.17</v>
      </c>
      <c r="Z178" s="23">
        <v>907.89</v>
      </c>
      <c r="AA178" s="23">
        <v>395.965</v>
      </c>
      <c r="AB178" s="23">
        <v>683.62099999999998</v>
      </c>
      <c r="AC178" s="23">
        <v>259.06700000000001</v>
      </c>
      <c r="AD178" s="23">
        <v>878.735</v>
      </c>
      <c r="AE178" s="23">
        <v>176.84800000000001</v>
      </c>
      <c r="AF178" s="23">
        <v>8386.81</v>
      </c>
      <c r="AG178" s="23">
        <v>2910.03</v>
      </c>
      <c r="AH178" s="23">
        <v>15367.10</v>
      </c>
      <c r="AI178" s="23">
        <v>3864.32</v>
      </c>
      <c r="AJ178" s="23">
        <v>7418.90</v>
      </c>
      <c r="AK178" s="23">
        <v>3478.33</v>
      </c>
      <c r="AL178" s="23">
        <v>5540.35</v>
      </c>
      <c r="AM178" s="23">
        <v>889.928</v>
      </c>
      <c r="AN178" s="23">
        <v>2032.71</v>
      </c>
      <c r="AO178" s="23">
        <v>33053.40</v>
      </c>
      <c r="AP178" s="23"/>
    </row>
    <row r="179" spans="4:42" ht="9.9" customHeight="1">
      <c r="D179" s="23">
        <v>2045</v>
      </c>
      <c r="E179" s="23">
        <v>1353.43</v>
      </c>
      <c r="F179" s="23">
        <v>4433.70</v>
      </c>
      <c r="G179" s="23">
        <v>1536.76</v>
      </c>
      <c r="H179" s="23">
        <v>6522.81</v>
      </c>
      <c r="I179" s="23">
        <v>2647.43</v>
      </c>
      <c r="J179" s="23">
        <v>5011.01</v>
      </c>
      <c r="K179" s="23">
        <v>382.36799999999999</v>
      </c>
      <c r="L179" s="23">
        <v>5146.08</v>
      </c>
      <c r="M179" s="23">
        <v>37801</v>
      </c>
      <c r="N179" s="23">
        <v>3086.86</v>
      </c>
      <c r="O179" s="23">
        <v>553.885</v>
      </c>
      <c r="P179" s="23">
        <v>3978.69</v>
      </c>
      <c r="Q179" s="23">
        <v>17581.80</v>
      </c>
      <c r="R179" s="23">
        <v>2775.51</v>
      </c>
      <c r="S179" s="23">
        <v>31616.40</v>
      </c>
      <c r="T179" s="23">
        <v>1739.68</v>
      </c>
      <c r="U179" s="23">
        <v>3681.89</v>
      </c>
      <c r="V179" s="23">
        <v>2082.2800000000002</v>
      </c>
      <c r="W179" s="23">
        <v>192.733</v>
      </c>
      <c r="X179" s="23">
        <v>28837.20</v>
      </c>
      <c r="Y179" s="23">
        <v>1010.18</v>
      </c>
      <c r="Z179" s="23">
        <v>897.42100000000005</v>
      </c>
      <c r="AA179" s="23">
        <v>427.197</v>
      </c>
      <c r="AB179" s="23">
        <v>675.01700000000005</v>
      </c>
      <c r="AC179" s="23">
        <v>255.75899999999999</v>
      </c>
      <c r="AD179" s="23">
        <v>866.00699999999995</v>
      </c>
      <c r="AE179" s="23">
        <v>178.62899999999999</v>
      </c>
      <c r="AF179" s="23">
        <v>8541.82</v>
      </c>
      <c r="AG179" s="23">
        <v>2997.58</v>
      </c>
      <c r="AH179" s="23">
        <v>15376.70</v>
      </c>
      <c r="AI179" s="23">
        <v>3797.86</v>
      </c>
      <c r="AJ179" s="23">
        <v>7515.07</v>
      </c>
      <c r="AK179" s="23">
        <v>3342.70</v>
      </c>
      <c r="AL179" s="23">
        <v>5717.90</v>
      </c>
      <c r="AM179" s="23">
        <v>899.72699999999998</v>
      </c>
      <c r="AN179" s="23">
        <v>2000.04</v>
      </c>
      <c r="AO179" s="23">
        <v>34250.800000000003</v>
      </c>
      <c r="AP179" s="23"/>
    </row>
    <row r="180" spans="4:42" ht="14.4">
      <c r="D180" s="23">
        <v>2050</v>
      </c>
      <c r="E180" s="23">
        <v>1332.24</v>
      </c>
      <c r="F180" s="23">
        <v>4487.33</v>
      </c>
      <c r="G180" s="23">
        <v>1506.47</v>
      </c>
      <c r="H180" s="23">
        <v>6753.53</v>
      </c>
      <c r="I180" s="23">
        <v>2607.4499999999998</v>
      </c>
      <c r="J180" s="23">
        <v>5210.6000000000004</v>
      </c>
      <c r="K180" s="23">
        <v>400.39299999999997</v>
      </c>
      <c r="L180" s="23">
        <v>5211.76</v>
      </c>
      <c r="M180" s="23">
        <v>37014.699999999997</v>
      </c>
      <c r="N180" s="23">
        <v>3122.25</v>
      </c>
      <c r="O180" s="23">
        <v>547.33199999999999</v>
      </c>
      <c r="P180" s="23">
        <v>3922.13</v>
      </c>
      <c r="Q180" s="23">
        <v>17821.099999999999</v>
      </c>
      <c r="R180" s="23">
        <v>2803.67</v>
      </c>
      <c r="S180" s="23">
        <v>32129.50</v>
      </c>
      <c r="T180" s="23">
        <v>1719.62</v>
      </c>
      <c r="U180" s="23">
        <v>3651.81</v>
      </c>
      <c r="V180" s="23">
        <v>2166.08</v>
      </c>
      <c r="W180" s="23">
        <v>195.352</v>
      </c>
      <c r="X180" s="23">
        <v>29247</v>
      </c>
      <c r="Y180" s="23">
        <v>966.61099999999999</v>
      </c>
      <c r="Z180" s="23">
        <v>888.95699999999999</v>
      </c>
      <c r="AA180" s="23">
        <v>454.589</v>
      </c>
      <c r="AB180" s="23">
        <v>666.59400000000005</v>
      </c>
      <c r="AC180" s="23">
        <v>251.756</v>
      </c>
      <c r="AD180" s="23">
        <v>850.39800000000002</v>
      </c>
      <c r="AE180" s="23">
        <v>180.71600000000001</v>
      </c>
      <c r="AF180" s="23">
        <v>8680.74</v>
      </c>
      <c r="AG180" s="23">
        <v>3084.78</v>
      </c>
      <c r="AH180" s="23">
        <v>15300.10</v>
      </c>
      <c r="AI180" s="23">
        <v>3713.30</v>
      </c>
      <c r="AJ180" s="23">
        <v>7623.67</v>
      </c>
      <c r="AK180" s="23">
        <v>3198.54</v>
      </c>
      <c r="AL180" s="23">
        <v>5887.28</v>
      </c>
      <c r="AM180" s="23">
        <v>907.64400000000001</v>
      </c>
      <c r="AN180" s="23">
        <v>1961.55</v>
      </c>
      <c r="AO180" s="23">
        <v>35368.40</v>
      </c>
      <c r="AP180" s="23"/>
    </row>
    <row r="182" spans="5:41" ht="14.4">
      <c r="E182" s="23">
        <f>IF(E168&lt;0.75,0.75*E180,E168*E180)</f>
        <v>999.18000000000006</v>
      </c>
      <c r="F182" s="23">
        <f t="shared" si="197" ref="F182:AO182">IF(F168&lt;0.75,0.75*F180,F168*F180)</f>
        <v>3720.6165676865262</v>
      </c>
      <c r="G182" s="23">
        <f t="shared" si="197"/>
        <v>1129.8525</v>
      </c>
      <c r="H182" s="23">
        <f t="shared" si="197"/>
        <v>5138.8296944623216</v>
      </c>
      <c r="I182" s="23">
        <f t="shared" si="197"/>
        <v>1955.5874999999999</v>
      </c>
      <c r="J182" s="23">
        <f t="shared" si="197"/>
        <v>4623.2294859858875</v>
      </c>
      <c r="K182" s="23">
        <f t="shared" si="197"/>
        <v>398.17695079476226</v>
      </c>
      <c r="L182" s="23">
        <f t="shared" si="197"/>
        <v>5017.1121738280208</v>
      </c>
      <c r="M182" s="23">
        <f t="shared" si="197"/>
        <v>32404.368186220549</v>
      </c>
      <c r="N182" s="23">
        <f t="shared" si="197"/>
        <v>3033.8354422643915</v>
      </c>
      <c r="O182" s="23">
        <f t="shared" si="197"/>
        <v>547.33199999999999</v>
      </c>
      <c r="P182" s="23">
        <f t="shared" si="197"/>
        <v>2941.5974999999999</v>
      </c>
      <c r="Q182" s="23">
        <f t="shared" si="197"/>
        <v>13365.824999999999</v>
      </c>
      <c r="R182" s="23">
        <f t="shared" si="197"/>
        <v>2803.6699999999996</v>
      </c>
      <c r="S182" s="23">
        <f t="shared" si="197"/>
        <v>25066.567499222132</v>
      </c>
      <c r="T182" s="23">
        <f t="shared" si="197"/>
        <v>1586.0692299696711</v>
      </c>
      <c r="U182" s="23">
        <f t="shared" si="197"/>
        <v>3099.6825090621905</v>
      </c>
      <c r="V182" s="23">
        <f t="shared" si="197"/>
        <v>1725.3329910090038</v>
      </c>
      <c r="W182" s="23">
        <f t="shared" si="197"/>
        <v>195.35200000000006</v>
      </c>
      <c r="X182" s="23">
        <f t="shared" si="197"/>
        <v>24874.006878473527</v>
      </c>
      <c r="Y182" s="23">
        <f t="shared" si="197"/>
        <v>724.95825000000002</v>
      </c>
      <c r="Z182" s="23">
        <f t="shared" si="197"/>
        <v>666.71775000000002</v>
      </c>
      <c r="AA182" s="23">
        <f t="shared" si="197"/>
        <v>454.58899999999994</v>
      </c>
      <c r="AB182" s="23">
        <f t="shared" si="197"/>
        <v>562.64385430459788</v>
      </c>
      <c r="AC182" s="23">
        <f t="shared" si="197"/>
        <v>201.6825469965558</v>
      </c>
      <c r="AD182" s="23">
        <f t="shared" si="197"/>
        <v>637.79849999999999</v>
      </c>
      <c r="AE182" s="23">
        <f t="shared" si="197"/>
        <v>135.53700000000001</v>
      </c>
      <c r="AF182" s="23">
        <f t="shared" si="197"/>
        <v>7109.2745934868308</v>
      </c>
      <c r="AG182" s="23">
        <f t="shared" si="197"/>
        <v>2684.7228839543945</v>
      </c>
      <c r="AH182" s="23">
        <f t="shared" si="197"/>
        <v>12888.791960896304</v>
      </c>
      <c r="AI182" s="23">
        <f t="shared" si="197"/>
        <v>2784.9750000000004</v>
      </c>
      <c r="AJ182" s="23">
        <f t="shared" si="197"/>
        <v>5717.7525000000005</v>
      </c>
      <c r="AK182" s="23">
        <f t="shared" si="197"/>
        <v>2398.9049999999997</v>
      </c>
      <c r="AL182" s="23">
        <f t="shared" si="197"/>
        <v>5887.2799999999988</v>
      </c>
      <c r="AM182" s="23">
        <f t="shared" si="197"/>
        <v>855.64234535151047</v>
      </c>
      <c r="AN182" s="23">
        <f t="shared" si="197"/>
        <v>1471.1624999999999</v>
      </c>
      <c r="AO182" s="23">
        <f t="shared" si="197"/>
        <v>29065.962913966807</v>
      </c>
    </row>
  </sheetData>
  <sortState columnSort="1" ref="E165:AO166">
    <sortCondition sortBy="value" ref="E165:AO165"/>
  </sortState>
  <conditionalFormatting sqref="E6:AO6">
    <cfRule type="colorScale" priority="1">
      <colorScale>
        <cfvo type="min" val="0"/>
        <cfvo type="max" val="0"/>
        <color rgb="FFFCFCFF"/>
        <color rgb="FFF8696B"/>
      </colorScale>
    </cfRule>
  </conditionalFormatting>
  <pageMargins left="0.7" right="0.7" top="0.75" bottom="0.75" header="0.3" footer="0.3"/>
  <pageSetup orientation="portrait" paperSize="1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52"/>
  <sheetViews>
    <sheetView tabSelected="1" workbookViewId="0" topLeftCell="A1"/>
  </sheetViews>
  <sheetFormatPr defaultRowHeight="14.4"/>
  <cols>
    <col min="1" max="1" width="9.57142857142857" bestFit="1" customWidth="1"/>
    <col min="2" max="2" width="5" bestFit="1" customWidth="1"/>
    <col min="3" max="3" width="23.7142857142857" customWidth="1"/>
    <col min="4" max="4" width="21.8571428571429" customWidth="1"/>
  </cols>
  <sheetData>
    <row r="1" spans="1:41" ht="14.4">
      <c r="A1" s="47">
        <v>2.5000000000000001E-05</v>
      </c>
      <c r="B1" s="10" t="s">
        <v>253</v>
      </c>
      <c r="E1" t="str">
        <f>OldHouses!L1</f>
        <v>AL</v>
      </c>
      <c r="F1" t="str">
        <f>OldHouses!M1</f>
        <v>AT</v>
      </c>
      <c r="G1" t="str">
        <f>OldHouses!N1</f>
        <v>BA</v>
      </c>
      <c r="H1" t="str">
        <f>OldHouses!O1</f>
        <v>BE</v>
      </c>
      <c r="I1" t="str">
        <f>OldHouses!P1</f>
        <v>BG</v>
      </c>
      <c r="J1" t="str">
        <f>OldHouses!Q1</f>
        <v>CH</v>
      </c>
      <c r="K1" t="str">
        <f>OldHouses!R1</f>
        <v>CY</v>
      </c>
      <c r="L1" t="str">
        <f>OldHouses!S1</f>
        <v>CZ</v>
      </c>
      <c r="M1" t="str">
        <f>OldHouses!T1</f>
        <v>DE</v>
      </c>
      <c r="N1" t="str">
        <f>OldHouses!U1</f>
        <v>DK</v>
      </c>
      <c r="O1" t="str">
        <f>OldHouses!V1</f>
        <v>EE</v>
      </c>
      <c r="P1" t="str">
        <f>OldHouses!W1</f>
        <v>EL</v>
      </c>
      <c r="Q1" t="str">
        <f>OldHouses!X1</f>
        <v>ES</v>
      </c>
      <c r="R1" t="str">
        <f>OldHouses!Y1</f>
        <v>FI</v>
      </c>
      <c r="S1" t="str">
        <f>OldHouses!Z1</f>
        <v>FR</v>
      </c>
      <c r="T1" t="str">
        <f>OldHouses!AA1</f>
        <v>HR</v>
      </c>
      <c r="U1" t="str">
        <f>OldHouses!AB1</f>
        <v>HU</v>
      </c>
      <c r="V1" t="str">
        <f>OldHouses!AC1</f>
        <v>IE</v>
      </c>
      <c r="W1" t="str">
        <f>OldHouses!AD1</f>
        <v>IS</v>
      </c>
      <c r="X1" t="str">
        <f>OldHouses!AE1</f>
        <v>IT</v>
      </c>
      <c r="Y1" t="str">
        <f>OldHouses!AF1</f>
        <v>KS</v>
      </c>
      <c r="Z1" t="str">
        <f>OldHouses!AG1</f>
        <v>LT</v>
      </c>
      <c r="AA1" t="str">
        <f>OldHouses!AH1</f>
        <v>LU</v>
      </c>
      <c r="AB1" t="str">
        <f>OldHouses!AI1</f>
        <v>LV</v>
      </c>
      <c r="AC1" t="str">
        <f>OldHouses!AJ1</f>
        <v>ME</v>
      </c>
      <c r="AD1" t="str">
        <f>OldHouses!AK1</f>
        <v>MK</v>
      </c>
      <c r="AE1" t="str">
        <f>OldHouses!AL1</f>
        <v>MT</v>
      </c>
      <c r="AF1" t="str">
        <f>OldHouses!AM1</f>
        <v>NL</v>
      </c>
      <c r="AG1" t="str">
        <f>OldHouses!AN1</f>
        <v>NO</v>
      </c>
      <c r="AH1" t="str">
        <f>OldHouses!AO1</f>
        <v>PL</v>
      </c>
      <c r="AI1" t="str">
        <f>OldHouses!AP1</f>
        <v>PT</v>
      </c>
      <c r="AJ1" t="str">
        <f>OldHouses!AQ1</f>
        <v>RO</v>
      </c>
      <c r="AK1" t="str">
        <f>OldHouses!AR1</f>
        <v>RS</v>
      </c>
      <c r="AL1" t="str">
        <f>OldHouses!AS1</f>
        <v>SE</v>
      </c>
      <c r="AM1" t="str">
        <f>OldHouses!AT1</f>
        <v>SI</v>
      </c>
      <c r="AN1" t="str">
        <f>OldHouses!AU1</f>
        <v>SK</v>
      </c>
      <c r="AO1" t="str">
        <f>OldHouses!AV1</f>
        <v>UK</v>
      </c>
    </row>
    <row r="2" spans="2:41" ht="14.4">
      <c r="B2">
        <v>2010</v>
      </c>
      <c r="C2" s="35" t="s">
        <v>238</v>
      </c>
      <c r="D2" t="s">
        <v>51</v>
      </c>
      <c r="E2" s="11">
        <f>SUMIFS(OldHouses!L$2:L$82,OldHouses!$B$2:$B$82,"INPUT",OldHouses!$C$2:$C$82,$C2,OldHouses!$D$2:$D$82,$D2,OldHouses!$G$2:$G$82,$B2)</f>
        <v>0.0096401693011622103</v>
      </c>
      <c r="F2" s="11">
        <f>SUMIFS(OldHouses!M$2:M$82,OldHouses!$B$2:$B$82,"INPUT",OldHouses!$C$2:$C$82,$C2,OldHouses!$D$2:$D$82,$D2,OldHouses!$G$2:$G$82,$B2)</f>
        <v>0.0030415222889943099</v>
      </c>
      <c r="G2" s="11">
        <f>SUMIFS(OldHouses!N$2:N$82,OldHouses!$B$2:$B$82,"INPUT",OldHouses!$C$2:$C$82,$C2,OldHouses!$D$2:$D$82,$D2,OldHouses!$G$2:$G$82,$B2)</f>
        <v>0.0042581434154369702</v>
      </c>
      <c r="H2" s="11">
        <f>SUMIFS(OldHouses!O$2:O$82,OldHouses!$B$2:$B$82,"INPUT",OldHouses!$C$2:$C$82,$C2,OldHouses!$D$2:$D$82,$D2,OldHouses!$G$2:$G$82,$B2)</f>
        <v>0.0034102939388338601</v>
      </c>
      <c r="I2" s="11">
        <f>SUMIFS(OldHouses!P$2:P$82,OldHouses!$B$2:$B$82,"INPUT",OldHouses!$C$2:$C$82,$C2,OldHouses!$D$2:$D$82,$D2,OldHouses!$G$2:$G$82,$B2)</f>
        <v>0.0036540878403332499</v>
      </c>
      <c r="J2" s="11">
        <f>SUMIFS(OldHouses!Q$2:Q$82,OldHouses!$B$2:$B$82,"INPUT",OldHouses!$C$2:$C$82,$C2,OldHouses!$D$2:$D$82,$D2,OldHouses!$G$2:$G$82,$B2)</f>
        <v>0.0035508103674260398</v>
      </c>
      <c r="K2" s="11">
        <f>SUMIFS(OldHouses!R$2:R$82,OldHouses!$B$2:$B$82,"INPUT",OldHouses!$C$2:$C$82,$C2,OldHouses!$D$2:$D$82,$D2,OldHouses!$G$2:$G$82,$B2)</f>
        <v>0.0031439568442420199</v>
      </c>
      <c r="L2" s="11">
        <f>SUMIFS(OldHouses!S$2:S$82,OldHouses!$B$2:$B$82,"INPUT",OldHouses!$C$2:$C$82,$C2,OldHouses!$D$2:$D$82,$D2,OldHouses!$G$2:$G$82,$B2)</f>
        <v>0.00282814602417679</v>
      </c>
      <c r="M2" s="11">
        <f>SUMIFS(OldHouses!T$2:T$82,OldHouses!$B$2:$B$82,"INPUT",OldHouses!$C$2:$C$82,$C2,OldHouses!$D$2:$D$82,$D2,OldHouses!$G$2:$G$82,$B2)</f>
        <v>0.0032488705943226602</v>
      </c>
      <c r="N2" s="11">
        <f>SUMIFS(OldHouses!U$2:U$82,OldHouses!$B$2:$B$82,"INPUT",OldHouses!$C$2:$C$82,$C2,OldHouses!$D$2:$D$82,$D2,OldHouses!$G$2:$G$82,$B2)</f>
        <v>0.0028361456877566298</v>
      </c>
      <c r="O2" s="11">
        <f>SUMIFS(OldHouses!V$2:V$82,OldHouses!$B$2:$B$82,"INPUT",OldHouses!$C$2:$C$82,$C2,OldHouses!$D$2:$D$82,$D2,OldHouses!$G$2:$G$82,$B2)</f>
        <v>0.00276541346183358</v>
      </c>
      <c r="P2" s="11">
        <f>SUMIFS(OldHouses!W$2:W$82,OldHouses!$B$2:$B$82,"INPUT",OldHouses!$C$2:$C$82,$C2,OldHouses!$D$2:$D$82,$D2,OldHouses!$G$2:$G$82,$B2)</f>
        <v>0.0056266963289672497</v>
      </c>
      <c r="Q2" s="11">
        <f>SUMIFS(OldHouses!X$2:X$82,OldHouses!$B$2:$B$82,"INPUT",OldHouses!$C$2:$C$82,$C2,OldHouses!$D$2:$D$82,$D2,OldHouses!$G$2:$G$82,$B2)</f>
        <v>0.0038085079249353302</v>
      </c>
      <c r="R2" s="11">
        <f>SUMIFS(OldHouses!Y$2:Y$82,OldHouses!$B$2:$B$82,"INPUT",OldHouses!$C$2:$C$82,$C2,OldHouses!$D$2:$D$82,$D2,OldHouses!$G$2:$G$82,$B2)</f>
        <v>0.0026293573109243702</v>
      </c>
      <c r="S2" s="11">
        <f>SUMIFS(OldHouses!Z$2:Z$82,OldHouses!$B$2:$B$82,"INPUT",OldHouses!$C$2:$C$82,$C2,OldHouses!$D$2:$D$82,$D2,OldHouses!$G$2:$G$82,$B2)</f>
        <v>0.0046456785706277598</v>
      </c>
      <c r="T2" s="11">
        <f>SUMIFS(OldHouses!AA$2:AA$82,OldHouses!$B$2:$B$82,"INPUT",OldHouses!$C$2:$C$82,$C2,OldHouses!$D$2:$D$82,$D2,OldHouses!$G$2:$G$82,$B2)</f>
        <v>0.0030876066146761599</v>
      </c>
      <c r="U2" s="11">
        <f>SUMIFS(OldHouses!AB$2:AB$82,OldHouses!$B$2:$B$82,"INPUT",OldHouses!$C$2:$C$82,$C2,OldHouses!$D$2:$D$82,$D2,OldHouses!$G$2:$G$82,$B2)</f>
        <v>0.0027436497090527899</v>
      </c>
      <c r="V2" s="11">
        <f>SUMIFS(OldHouses!AC$2:AC$82,OldHouses!$B$2:$B$82,"INPUT",OldHouses!$C$2:$C$82,$C2,OldHouses!$D$2:$D$82,$D2,OldHouses!$G$2:$G$82,$B2)</f>
        <v>0.0029710596309351299</v>
      </c>
      <c r="W2" s="11">
        <f>SUMIFS(OldHouses!AD$2:AD$82,OldHouses!$B$2:$B$82,"INPUT",OldHouses!$C$2:$C$82,$C2,OldHouses!$D$2:$D$82,$D2,OldHouses!$G$2:$G$82,$B2)</f>
        <v>0.0022971797935458001</v>
      </c>
      <c r="X2" s="11">
        <f>SUMIFS(OldHouses!AE$2:AE$82,OldHouses!$B$2:$B$82,"INPUT",OldHouses!$C$2:$C$82,$C2,OldHouses!$D$2:$D$82,$D2,OldHouses!$G$2:$G$82,$B2)</f>
        <v>0.0024563524698412598</v>
      </c>
      <c r="Y2" s="11">
        <f>SUMIFS(OldHouses!AF$2:AF$82,OldHouses!$B$2:$B$82,"INPUT",OldHouses!$C$2:$C$82,$C2,OldHouses!$D$2:$D$82,$D2,OldHouses!$G$2:$G$82,$B2)</f>
        <v>0.00375506972701621</v>
      </c>
      <c r="Z2" s="11">
        <f>SUMIFS(OldHouses!AG$2:AG$82,OldHouses!$B$2:$B$82,"INPUT",OldHouses!$C$2:$C$82,$C2,OldHouses!$D$2:$D$82,$D2,OldHouses!$G$2:$G$82,$B2)</f>
        <v>0.0024095486640133101</v>
      </c>
      <c r="AA2" s="11">
        <f>SUMIFS(OldHouses!AH$2:AH$82,OldHouses!$B$2:$B$82,"INPUT",OldHouses!$C$2:$C$82,$C2,OldHouses!$D$2:$D$82,$D2,OldHouses!$G$2:$G$82,$B2)</f>
        <v>0.0028929006536856398</v>
      </c>
      <c r="AB2" s="11">
        <f>SUMIFS(OldHouses!AI$2:AI$82,OldHouses!$B$2:$B$82,"INPUT",OldHouses!$C$2:$C$82,$C2,OldHouses!$D$2:$D$82,$D2,OldHouses!$G$2:$G$82,$B2)</f>
        <v>0.0018737845806433399</v>
      </c>
      <c r="AC2" s="11">
        <f>SUMIFS(OldHouses!AJ$2:AJ$82,OldHouses!$B$2:$B$82,"INPUT",OldHouses!$C$2:$C$82,$C2,OldHouses!$D$2:$D$82,$D2,OldHouses!$G$2:$G$82,$B2)</f>
        <v>0.0079551734298874497</v>
      </c>
      <c r="AD2" s="11">
        <f>SUMIFS(OldHouses!AK$2:AK$82,OldHouses!$B$2:$B$82,"INPUT",OldHouses!$C$2:$C$82,$C2,OldHouses!$D$2:$D$82,$D2,OldHouses!$G$2:$G$82,$B2)</f>
        <v>0.0052408564883108097</v>
      </c>
      <c r="AE2" s="11">
        <f>SUMIFS(OldHouses!AL$2:AL$82,OldHouses!$B$2:$B$82,"INPUT",OldHouses!$C$2:$C$82,$C2,OldHouses!$D$2:$D$82,$D2,OldHouses!$G$2:$G$82,$B2)</f>
        <v>0.0040527979453475601</v>
      </c>
      <c r="AF2" s="11">
        <f>SUMIFS(OldHouses!AM$2:AM$82,OldHouses!$B$2:$B$82,"INPUT",OldHouses!$C$2:$C$82,$C2,OldHouses!$D$2:$D$82,$D2,OldHouses!$G$2:$G$82,$B2)</f>
        <v>0.00333257110748839</v>
      </c>
      <c r="AG2" s="11">
        <f>SUMIFS(OldHouses!AN$2:AN$82,OldHouses!$B$2:$B$82,"INPUT",OldHouses!$C$2:$C$82,$C2,OldHouses!$D$2:$D$82,$D2,OldHouses!$G$2:$G$82,$B2)</f>
        <v>0.0074120673285544801</v>
      </c>
      <c r="AH2" s="11">
        <f>SUMIFS(OldHouses!AO$2:AO$82,OldHouses!$B$2:$B$82,"INPUT",OldHouses!$C$2:$C$82,$C2,OldHouses!$D$2:$D$82,$D2,OldHouses!$G$2:$G$82,$B2)</f>
        <v>0.0031582031254655</v>
      </c>
      <c r="AI2" s="11">
        <f>SUMIFS(OldHouses!AP$2:AP$82,OldHouses!$B$2:$B$82,"INPUT",OldHouses!$C$2:$C$82,$C2,OldHouses!$D$2:$D$82,$D2,OldHouses!$G$2:$G$82,$B2)</f>
        <v>0.015925988068439</v>
      </c>
      <c r="AJ2" s="11">
        <f>SUMIFS(OldHouses!AQ$2:AQ$82,OldHouses!$B$2:$B$82,"INPUT",OldHouses!$C$2:$C$82,$C2,OldHouses!$D$2:$D$82,$D2,OldHouses!$G$2:$G$82,$B2)</f>
        <v>0.0026716940978137199</v>
      </c>
      <c r="AK2" s="11">
        <f>SUMIFS(OldHouses!AR$2:AR$82,OldHouses!$B$2:$B$82,"INPUT",OldHouses!$C$2:$C$82,$C2,OldHouses!$D$2:$D$82,$D2,OldHouses!$G$2:$G$82,$B2)</f>
        <v>0.0048263692079581399</v>
      </c>
      <c r="AL2" s="11">
        <f>SUMIFS(OldHouses!AS$2:AS$82,OldHouses!$B$2:$B$82,"INPUT",OldHouses!$C$2:$C$82,$C2,OldHouses!$D$2:$D$82,$D2,OldHouses!$G$2:$G$82,$B2)</f>
        <v>0.00265130540461551</v>
      </c>
      <c r="AM2" s="11">
        <f>SUMIFS(OldHouses!AT$2:AT$82,OldHouses!$B$2:$B$82,"INPUT",OldHouses!$C$2:$C$82,$C2,OldHouses!$D$2:$D$82,$D2,OldHouses!$G$2:$G$82,$B2)</f>
        <v>0.0023401915005250799</v>
      </c>
      <c r="AN2" s="11">
        <f>SUMIFS(OldHouses!AU$2:AU$82,OldHouses!$B$2:$B$82,"INPUT",OldHouses!$C$2:$C$82,$C2,OldHouses!$D$2:$D$82,$D2,OldHouses!$G$2:$G$82,$B2)</f>
        <v>0.0036328190444342499</v>
      </c>
      <c r="AO2" s="11">
        <f>SUMIFS(OldHouses!AV$2:AV$82,OldHouses!$B$2:$B$82,"INPUT",OldHouses!$C$2:$C$82,$C2,OldHouses!$D$2:$D$82,$D2,OldHouses!$G$2:$G$82,$B2)</f>
        <v>0.0020315868994864</v>
      </c>
    </row>
    <row r="3" spans="2:41" ht="14.4">
      <c r="B3">
        <v>2010</v>
      </c>
      <c r="C3" s="35" t="s">
        <v>238</v>
      </c>
      <c r="D3" t="s">
        <v>53</v>
      </c>
      <c r="E3" s="11">
        <f>SUMIFS(OldHouses!L$2:L$82,OldHouses!$B$2:$B$82,"INPUT",OldHouses!$C$2:$C$82,$C3,OldHouses!$D$2:$D$82,$D3,OldHouses!$G$2:$G$82,$B3)</f>
        <v>0.00330236288590315</v>
      </c>
      <c r="F3" s="11">
        <f>SUMIFS(OldHouses!M$2:M$82,OldHouses!$B$2:$B$82,"INPUT",OldHouses!$C$2:$C$82,$C3,OldHouses!$D$2:$D$82,$D3,OldHouses!$G$2:$G$82,$B3)</f>
        <v>0.00031367532348014699</v>
      </c>
      <c r="G3" s="11">
        <f>SUMIFS(OldHouses!N$2:N$82,OldHouses!$B$2:$B$82,"INPUT",OldHouses!$C$2:$C$82,$C3,OldHouses!$D$2:$D$82,$D3,OldHouses!$G$2:$G$82,$B3)</f>
        <v>0.0081355237794084601</v>
      </c>
      <c r="H3" s="11">
        <f>SUMIFS(OldHouses!O$2:O$82,OldHouses!$B$2:$B$82,"INPUT",OldHouses!$C$2:$C$82,$C3,OldHouses!$D$2:$D$82,$D3,OldHouses!$G$2:$G$82,$B3)</f>
        <v>0.00106447799615975</v>
      </c>
      <c r="I3" s="11">
        <f>SUMIFS(OldHouses!P$2:P$82,OldHouses!$B$2:$B$82,"INPUT",OldHouses!$C$2:$C$82,$C3,OldHouses!$D$2:$D$82,$D3,OldHouses!$G$2:$G$82,$B3)</f>
        <v>0.00053515446359399504</v>
      </c>
      <c r="J3" s="11">
        <f>SUMIFS(OldHouses!Q$2:Q$82,OldHouses!$B$2:$B$82,"INPUT",OldHouses!$C$2:$C$82,$C3,OldHouses!$D$2:$D$82,$D3,OldHouses!$G$2:$G$82,$B3)</f>
        <v>0.00031900864114235299</v>
      </c>
      <c r="K3" s="11">
        <f>SUMIFS(OldHouses!R$2:R$82,OldHouses!$B$2:$B$82,"INPUT",OldHouses!$C$2:$C$82,$C3,OldHouses!$D$2:$D$82,$D3,OldHouses!$G$2:$G$82,$B3)</f>
        <v>0.0075016642333142003</v>
      </c>
      <c r="L3" s="11">
        <f>SUMIFS(OldHouses!S$2:S$82,OldHouses!$B$2:$B$82,"INPUT",OldHouses!$C$2:$C$82,$C3,OldHouses!$D$2:$D$82,$D3,OldHouses!$G$2:$G$82,$B3)</f>
        <v>5.7915380213620601E-05</v>
      </c>
      <c r="M3" s="11">
        <f>SUMIFS(OldHouses!T$2:T$82,OldHouses!$B$2:$B$82,"INPUT",OldHouses!$C$2:$C$82,$C3,OldHouses!$D$2:$D$82,$D3,OldHouses!$G$2:$G$82,$B3)</f>
        <v>0.00027938653494462702</v>
      </c>
      <c r="N3" s="11">
        <f>SUMIFS(OldHouses!U$2:U$82,OldHouses!$B$2:$B$82,"INPUT",OldHouses!$C$2:$C$82,$C3,OldHouses!$D$2:$D$82,$D3,OldHouses!$G$2:$G$82,$B3)</f>
        <v>0.000215866298642578</v>
      </c>
      <c r="O3" s="11">
        <f>SUMIFS(OldHouses!V$2:V$82,OldHouses!$B$2:$B$82,"INPUT",OldHouses!$C$2:$C$82,$C3,OldHouses!$D$2:$D$82,$D3,OldHouses!$G$2:$G$82,$B3)</f>
        <v>1.13004932928846E-05</v>
      </c>
      <c r="P3" s="11">
        <f>SUMIFS(OldHouses!W$2:W$82,OldHouses!$B$2:$B$82,"INPUT",OldHouses!$C$2:$C$82,$C3,OldHouses!$D$2:$D$82,$D3,OldHouses!$G$2:$G$82,$B3)</f>
        <v>0.0024745307312944</v>
      </c>
      <c r="Q3" s="11">
        <f>SUMIFS(OldHouses!X$2:X$82,OldHouses!$B$2:$B$82,"INPUT",OldHouses!$C$2:$C$82,$C3,OldHouses!$D$2:$D$82,$D3,OldHouses!$G$2:$G$82,$B3)</f>
        <v>0.0017885701039009299</v>
      </c>
      <c r="R3" s="11">
        <f>SUMIFS(OldHouses!Y$2:Y$82,OldHouses!$B$2:$B$82,"INPUT",OldHouses!$C$2:$C$82,$C3,OldHouses!$D$2:$D$82,$D3,OldHouses!$G$2:$G$82,$B3)</f>
        <v>7.7066364963614001E-05</v>
      </c>
      <c r="S3" s="11">
        <f>SUMIFS(OldHouses!Z$2:Z$82,OldHouses!$B$2:$B$82,"INPUT",OldHouses!$C$2:$C$82,$C3,OldHouses!$D$2:$D$82,$D3,OldHouses!$G$2:$G$82,$B3)</f>
        <v>0.0021914252725928102</v>
      </c>
      <c r="T3" s="11">
        <f>SUMIFS(OldHouses!AA$2:AA$82,OldHouses!$B$2:$B$82,"INPUT",OldHouses!$C$2:$C$82,$C3,OldHouses!$D$2:$D$82,$D3,OldHouses!$G$2:$G$82,$B3)</f>
        <v>0.0040321318774958004</v>
      </c>
      <c r="U3" s="11">
        <f>SUMIFS(OldHouses!AB$2:AB$82,OldHouses!$B$2:$B$82,"INPUT",OldHouses!$C$2:$C$82,$C3,OldHouses!$D$2:$D$82,$D3,OldHouses!$G$2:$G$82,$B3)</f>
        <v>6.3675396170606604E-05</v>
      </c>
      <c r="V3" s="11">
        <f>SUMIFS(OldHouses!AC$2:AC$82,OldHouses!$B$2:$B$82,"INPUT",OldHouses!$C$2:$C$82,$C3,OldHouses!$D$2:$D$82,$D3,OldHouses!$G$2:$G$82,$B3)</f>
        <v>0.000182029993205651</v>
      </c>
      <c r="W3" s="11">
        <f>SUMIFS(OldHouses!AD$2:AD$82,OldHouses!$B$2:$B$82,"INPUT",OldHouses!$C$2:$C$82,$C3,OldHouses!$D$2:$D$82,$D3,OldHouses!$G$2:$G$82,$B3)</f>
        <v>6.6958366412724304E-05</v>
      </c>
      <c r="X3" s="11">
        <f>SUMIFS(OldHouses!AE$2:AE$82,OldHouses!$B$2:$B$82,"INPUT",OldHouses!$C$2:$C$82,$C3,OldHouses!$D$2:$D$82,$D3,OldHouses!$G$2:$G$82,$B3)</f>
        <v>0.0018281929071075</v>
      </c>
      <c r="Y3" s="11">
        <f>SUMIFS(OldHouses!AF$2:AF$82,OldHouses!$B$2:$B$82,"INPUT",OldHouses!$C$2:$C$82,$C3,OldHouses!$D$2:$D$82,$D3,OldHouses!$G$2:$G$82,$B3)</f>
        <v>0.0068175809723035096</v>
      </c>
      <c r="Z3" s="11">
        <f>SUMIFS(OldHouses!AG$2:AG$82,OldHouses!$B$2:$B$82,"INPUT",OldHouses!$C$2:$C$82,$C3,OldHouses!$D$2:$D$82,$D3,OldHouses!$G$2:$G$82,$B3)</f>
        <v>0</v>
      </c>
      <c r="AA3" s="11">
        <f>SUMIFS(OldHouses!AH$2:AH$82,OldHouses!$B$2:$B$82,"INPUT",OldHouses!$C$2:$C$82,$C3,OldHouses!$D$2:$D$82,$D3,OldHouses!$G$2:$G$82,$B3)</f>
        <v>0.0029769779379129101</v>
      </c>
      <c r="AB3" s="11">
        <f>SUMIFS(OldHouses!AI$2:AI$82,OldHouses!$B$2:$B$82,"INPUT",OldHouses!$C$2:$C$82,$C3,OldHouses!$D$2:$D$82,$D3,OldHouses!$G$2:$G$82,$B3)</f>
        <v>0</v>
      </c>
      <c r="AC3" s="11">
        <f>SUMIFS(OldHouses!AJ$2:AJ$82,OldHouses!$B$2:$B$82,"INPUT",OldHouses!$C$2:$C$82,$C3,OldHouses!$D$2:$D$82,$D3,OldHouses!$G$2:$G$82,$B3)</f>
        <v>0.0032922643511000302</v>
      </c>
      <c r="AD3" s="11">
        <f>SUMIFS(OldHouses!AK$2:AK$82,OldHouses!$B$2:$B$82,"INPUT",OldHouses!$C$2:$C$82,$C3,OldHouses!$D$2:$D$82,$D3,OldHouses!$G$2:$G$82,$B3)</f>
        <v>0.0096533092678208407</v>
      </c>
      <c r="AE3" s="11">
        <f>SUMIFS(OldHouses!AL$2:AL$82,OldHouses!$B$2:$B$82,"INPUT",OldHouses!$C$2:$C$82,$C3,OldHouses!$D$2:$D$82,$D3,OldHouses!$G$2:$G$82,$B3)</f>
        <v>0.0086615593488368996</v>
      </c>
      <c r="AF3" s="11">
        <f>SUMIFS(OldHouses!AM$2:AM$82,OldHouses!$B$2:$B$82,"INPUT",OldHouses!$C$2:$C$82,$C3,OldHouses!$D$2:$D$82,$D3,OldHouses!$G$2:$G$82,$B3)</f>
        <v>0.00068788026038014299</v>
      </c>
      <c r="AG3" s="11">
        <f>SUMIFS(OldHouses!AN$2:AN$82,OldHouses!$B$2:$B$82,"INPUT",OldHouses!$C$2:$C$82,$C3,OldHouses!$D$2:$D$82,$D3,OldHouses!$G$2:$G$82,$B3)</f>
        <v>0.00024065938248666799</v>
      </c>
      <c r="AH3" s="11">
        <f>SUMIFS(OldHouses!AO$2:AO$82,OldHouses!$B$2:$B$82,"INPUT",OldHouses!$C$2:$C$82,$C3,OldHouses!$D$2:$D$82,$D3,OldHouses!$G$2:$G$82,$B3)</f>
        <v>3.7704132590165203E-05</v>
      </c>
      <c r="AI3" s="11">
        <f>SUMIFS(OldHouses!AP$2:AP$82,OldHouses!$B$2:$B$82,"INPUT",OldHouses!$C$2:$C$82,$C3,OldHouses!$D$2:$D$82,$D3,OldHouses!$G$2:$G$82,$B3)</f>
        <v>0.00137016530675495</v>
      </c>
      <c r="AJ3" s="11">
        <f>SUMIFS(OldHouses!AQ$2:AQ$82,OldHouses!$B$2:$B$82,"INPUT",OldHouses!$C$2:$C$82,$C3,OldHouses!$D$2:$D$82,$D3,OldHouses!$G$2:$G$82,$B3)</f>
        <v>8.1424878342299905E-05</v>
      </c>
      <c r="AK3" s="11">
        <f>SUMIFS(OldHouses!AR$2:AR$82,OldHouses!$B$2:$B$82,"INPUT",OldHouses!$C$2:$C$82,$C3,OldHouses!$D$2:$D$82,$D3,OldHouses!$G$2:$G$82,$B3)</f>
        <v>0.0088705237189384608</v>
      </c>
      <c r="AL3" s="11">
        <f>SUMIFS(OldHouses!AS$2:AS$82,OldHouses!$B$2:$B$82,"INPUT",OldHouses!$C$2:$C$82,$C3,OldHouses!$D$2:$D$82,$D3,OldHouses!$G$2:$G$82,$B3)</f>
        <v>0.00015883063644810401</v>
      </c>
      <c r="AM3" s="11">
        <f>SUMIFS(OldHouses!AT$2:AT$82,OldHouses!$B$2:$B$82,"INPUT",OldHouses!$C$2:$C$82,$C3,OldHouses!$D$2:$D$82,$D3,OldHouses!$G$2:$G$82,$B3)</f>
        <v>0.00060158929463398803</v>
      </c>
      <c r="AN3" s="11">
        <f>SUMIFS(OldHouses!AU$2:AU$82,OldHouses!$B$2:$B$82,"INPUT",OldHouses!$C$2:$C$82,$C3,OldHouses!$D$2:$D$82,$D3,OldHouses!$G$2:$G$82,$B3)</f>
        <v>0.00019404844073037401</v>
      </c>
      <c r="AO3" s="11">
        <f>SUMIFS(OldHouses!AV$2:AV$82,OldHouses!$B$2:$B$82,"INPUT",OldHouses!$C$2:$C$82,$C3,OldHouses!$D$2:$D$82,$D3,OldHouses!$G$2:$G$82,$B3)</f>
        <v>0.00012129151854895301</v>
      </c>
    </row>
    <row r="4" spans="2:41" ht="14.4">
      <c r="B4">
        <v>2004</v>
      </c>
      <c r="C4" s="35" t="s">
        <v>238</v>
      </c>
      <c r="D4" t="s">
        <v>239</v>
      </c>
      <c r="E4" s="11">
        <f>SUMIFS(OldHouses!L$2:L$82,OldHouses!$B$2:$B$82,"INPUT",OldHouses!$C$2:$C$82,$C4,OldHouses!$D$2:$D$82,$D4,OldHouses!$G$2:$G$82,$B4)</f>
        <v>0.00907244197529254</v>
      </c>
      <c r="F4" s="11">
        <f>SUMIFS(OldHouses!M$2:M$82,OldHouses!$B$2:$B$82,"INPUT",OldHouses!$C$2:$C$82,$C4,OldHouses!$D$2:$D$82,$D4,OldHouses!$G$2:$G$82,$B4)</f>
        <v>0.038216552583321697</v>
      </c>
      <c r="G4" s="11">
        <f>SUMIFS(OldHouses!N$2:N$82,OldHouses!$B$2:$B$82,"INPUT",OldHouses!$C$2:$C$82,$C4,OldHouses!$D$2:$D$82,$D4,OldHouses!$G$2:$G$82,$B4)</f>
        <v>0.0210762458021891</v>
      </c>
      <c r="H4" s="11">
        <f>SUMIFS(OldHouses!O$2:O$82,OldHouses!$B$2:$B$82,"INPUT",OldHouses!$C$2:$C$82,$C4,OldHouses!$D$2:$D$82,$D4,OldHouses!$G$2:$G$82,$B4)</f>
        <v>0.0435688687086562</v>
      </c>
      <c r="I4" s="11">
        <f>SUMIFS(OldHouses!P$2:P$82,OldHouses!$B$2:$B$82,"INPUT",OldHouses!$C$2:$C$82,$C4,OldHouses!$D$2:$D$82,$D4,OldHouses!$G$2:$G$82,$B4)</f>
        <v>0.015681843388374101</v>
      </c>
      <c r="J4" s="11">
        <f>SUMIFS(OldHouses!Q$2:Q$82,OldHouses!$B$2:$B$82,"INPUT",OldHouses!$C$2:$C$82,$C4,OldHouses!$D$2:$D$82,$D4,OldHouses!$G$2:$G$82,$B4)</f>
        <v>0.039843413256379301</v>
      </c>
      <c r="K4" s="11">
        <f>SUMIFS(OldHouses!R$2:R$82,OldHouses!$B$2:$B$82,"INPUT",OldHouses!$C$2:$C$82,$C4,OldHouses!$D$2:$D$82,$D4,OldHouses!$G$2:$G$82,$B4)</f>
        <v>0.0248119102780349</v>
      </c>
      <c r="L4" s="11">
        <f>SUMIFS(OldHouses!S$2:S$82,OldHouses!$B$2:$B$82,"INPUT",OldHouses!$C$2:$C$82,$C4,OldHouses!$D$2:$D$82,$D4,OldHouses!$G$2:$G$82,$B4)</f>
        <v>0.039103012687011302</v>
      </c>
      <c r="M4" s="11">
        <f>SUMIFS(OldHouses!T$2:T$82,OldHouses!$B$2:$B$82,"INPUT",OldHouses!$C$2:$C$82,$C4,OldHouses!$D$2:$D$82,$D4,OldHouses!$G$2:$G$82,$B4)</f>
        <v>0.0310080366281567</v>
      </c>
      <c r="N4" s="11">
        <f>SUMIFS(OldHouses!U$2:U$82,OldHouses!$B$2:$B$82,"INPUT",OldHouses!$C$2:$C$82,$C4,OldHouses!$D$2:$D$82,$D4,OldHouses!$G$2:$G$82,$B4)</f>
        <v>0.033433574510270299</v>
      </c>
      <c r="O4" s="11">
        <f>SUMIFS(OldHouses!V$2:V$82,OldHouses!$B$2:$B$82,"INPUT",OldHouses!$C$2:$C$82,$C4,OldHouses!$D$2:$D$82,$D4,OldHouses!$G$2:$G$82,$B4)</f>
        <v>0.046604477742973903</v>
      </c>
      <c r="P4" s="11">
        <f>SUMIFS(OldHouses!W$2:W$82,OldHouses!$B$2:$B$82,"INPUT",OldHouses!$C$2:$C$82,$C4,OldHouses!$D$2:$D$82,$D4,OldHouses!$G$2:$G$82,$B4)</f>
        <v>0.021422218388099799</v>
      </c>
      <c r="Q4" s="11">
        <f>SUMIFS(OldHouses!X$2:X$82,OldHouses!$B$2:$B$82,"INPUT",OldHouses!$C$2:$C$82,$C4,OldHouses!$D$2:$D$82,$D4,OldHouses!$G$2:$G$82,$B4)</f>
        <v>0.024680364621511901</v>
      </c>
      <c r="R4" s="11">
        <f>SUMIFS(OldHouses!Y$2:Y$82,OldHouses!$B$2:$B$82,"INPUT",OldHouses!$C$2:$C$82,$C4,OldHouses!$D$2:$D$82,$D4,OldHouses!$G$2:$G$82,$B4)</f>
        <v>0.079872548283868097</v>
      </c>
      <c r="S4" s="11">
        <f>SUMIFS(OldHouses!Z$2:Z$82,OldHouses!$B$2:$B$82,"INPUT",OldHouses!$C$2:$C$82,$C4,OldHouses!$D$2:$D$82,$D4,OldHouses!$G$2:$G$82,$B4)</f>
        <v>0.023614074304208001</v>
      </c>
      <c r="T4" s="11">
        <f>SUMIFS(OldHouses!AA$2:AA$82,OldHouses!$B$2:$B$82,"INPUT",OldHouses!$C$2:$C$82,$C4,OldHouses!$D$2:$D$82,$D4,OldHouses!$G$2:$G$82,$B4)</f>
        <v>0.023518729888444001</v>
      </c>
      <c r="U4" s="11">
        <f>SUMIFS(OldHouses!AB$2:AB$82,OldHouses!$B$2:$B$82,"INPUT",OldHouses!$C$2:$C$82,$C4,OldHouses!$D$2:$D$82,$D4,OldHouses!$G$2:$G$82,$B4)</f>
        <v>0.028633312411506399</v>
      </c>
      <c r="V4" s="11">
        <f>SUMIFS(OldHouses!AC$2:AC$82,OldHouses!$B$2:$B$82,"INPUT",OldHouses!$C$2:$C$82,$C4,OldHouses!$D$2:$D$82,$D4,OldHouses!$G$2:$G$82,$B4)</f>
        <v>0.030803334387112899</v>
      </c>
      <c r="W4" s="11">
        <f>SUMIFS(OldHouses!AD$2:AD$82,OldHouses!$B$2:$B$82,"INPUT",OldHouses!$C$2:$C$82,$C4,OldHouses!$D$2:$D$82,$D4,OldHouses!$G$2:$G$82,$B4)</f>
        <v>0.11027078986788701</v>
      </c>
      <c r="X4" s="11">
        <f>SUMIFS(OldHouses!AE$2:AE$82,OldHouses!$B$2:$B$82,"INPUT",OldHouses!$C$2:$C$82,$C4,OldHouses!$D$2:$D$82,$D4,OldHouses!$G$2:$G$82,$B4)</f>
        <v>0.044205442267773898</v>
      </c>
      <c r="Y4" s="11">
        <f>SUMIFS(OldHouses!AF$2:AF$82,OldHouses!$B$2:$B$82,"INPUT",OldHouses!$C$2:$C$82,$C4,OldHouses!$D$2:$D$82,$D4,OldHouses!$G$2:$G$82,$B4)</f>
        <v>0.020367197599621498</v>
      </c>
      <c r="Z4" s="11">
        <f>SUMIFS(OldHouses!AG$2:AG$82,OldHouses!$B$2:$B$82,"INPUT",OldHouses!$C$2:$C$82,$C4,OldHouses!$D$2:$D$82,$D4,OldHouses!$G$2:$G$82,$B4)</f>
        <v>0.025955618683214499</v>
      </c>
      <c r="AA4" s="11">
        <f>SUMIFS(OldHouses!AH$2:AH$82,OldHouses!$B$2:$B$82,"INPUT",OldHouses!$C$2:$C$82,$C4,OldHouses!$D$2:$D$82,$D4,OldHouses!$G$2:$G$82,$B4)</f>
        <v>0.041764704592126597</v>
      </c>
      <c r="AB4" s="11">
        <f>SUMIFS(OldHouses!AI$2:AI$82,OldHouses!$B$2:$B$82,"INPUT",OldHouses!$C$2:$C$82,$C4,OldHouses!$D$2:$D$82,$D4,OldHouses!$G$2:$G$82,$B4)</f>
        <v>0.029800539441301701</v>
      </c>
      <c r="AC4" s="11">
        <f>SUMIFS(OldHouses!AJ$2:AJ$82,OldHouses!$B$2:$B$82,"INPUT",OldHouses!$C$2:$C$82,$C4,OldHouses!$D$2:$D$82,$D4,OldHouses!$G$2:$G$82,$B4)</f>
        <v>0.040108513311255797</v>
      </c>
      <c r="AD4" s="11">
        <f>SUMIFS(OldHouses!AK$2:AK$82,OldHouses!$B$2:$B$82,"INPUT",OldHouses!$C$2:$C$82,$C4,OldHouses!$D$2:$D$82,$D4,OldHouses!$G$2:$G$82,$B4)</f>
        <v>0.014447878104839201</v>
      </c>
      <c r="AE4" s="11">
        <f>SUMIFS(OldHouses!AL$2:AL$82,OldHouses!$B$2:$B$82,"INPUT",OldHouses!$C$2:$C$82,$C4,OldHouses!$D$2:$D$82,$D4,OldHouses!$G$2:$G$82,$B4)</f>
        <v>0.010027607457583101</v>
      </c>
      <c r="AF4" s="11">
        <f>SUMIFS(OldHouses!AM$2:AM$82,OldHouses!$B$2:$B$82,"INPUT",OldHouses!$C$2:$C$82,$C4,OldHouses!$D$2:$D$82,$D4,OldHouses!$G$2:$G$82,$B4)</f>
        <v>0.032873120141762399</v>
      </c>
      <c r="AG4" s="11">
        <f>SUMIFS(OldHouses!AN$2:AN$82,OldHouses!$B$2:$B$82,"INPUT",OldHouses!$C$2:$C$82,$C4,OldHouses!$D$2:$D$82,$D4,OldHouses!$G$2:$G$82,$B4)</f>
        <v>0.044068049574439501</v>
      </c>
      <c r="AH4" s="11">
        <f>SUMIFS(OldHouses!AO$2:AO$82,OldHouses!$B$2:$B$82,"INPUT",OldHouses!$C$2:$C$82,$C4,OldHouses!$D$2:$D$82,$D4,OldHouses!$G$2:$G$82,$B4)</f>
        <v>0.044694994036883602</v>
      </c>
      <c r="AI4" s="11">
        <f>SUMIFS(OldHouses!AP$2:AP$82,OldHouses!$B$2:$B$82,"INPUT",OldHouses!$C$2:$C$82,$C4,OldHouses!$D$2:$D$82,$D4,OldHouses!$G$2:$G$82,$B4)</f>
        <v>0.011554767195799001</v>
      </c>
      <c r="AJ4" s="11">
        <f>SUMIFS(OldHouses!AQ$2:AQ$82,OldHouses!$B$2:$B$82,"INPUT",OldHouses!$C$2:$C$82,$C4,OldHouses!$D$2:$D$82,$D4,OldHouses!$G$2:$G$82,$B4)</f>
        <v>0.034372643701706597</v>
      </c>
      <c r="AK4" s="11">
        <f>SUMIFS(OldHouses!AR$2:AR$82,OldHouses!$B$2:$B$82,"INPUT",OldHouses!$C$2:$C$82,$C4,OldHouses!$D$2:$D$82,$D4,OldHouses!$G$2:$G$82,$B4)</f>
        <v>0.029885291361240601</v>
      </c>
      <c r="AL4" s="11">
        <f>SUMIFS(OldHouses!AS$2:AS$82,OldHouses!$B$2:$B$82,"INPUT",OldHouses!$C$2:$C$82,$C4,OldHouses!$D$2:$D$82,$D4,OldHouses!$G$2:$G$82,$B4)</f>
        <v>0.056949338009301999</v>
      </c>
      <c r="AM4" s="11">
        <f>SUMIFS(OldHouses!AT$2:AT$82,OldHouses!$B$2:$B$82,"INPUT",OldHouses!$C$2:$C$82,$C4,OldHouses!$D$2:$D$82,$D4,OldHouses!$G$2:$G$82,$B4)</f>
        <v>0.023933423025691899</v>
      </c>
      <c r="AN4" s="11">
        <f>SUMIFS(OldHouses!AU$2:AU$82,OldHouses!$B$2:$B$82,"INPUT",OldHouses!$C$2:$C$82,$C4,OldHouses!$D$2:$D$82,$D4,OldHouses!$G$2:$G$82,$B4)</f>
        <v>0.0325578535568199</v>
      </c>
      <c r="AO4" s="11">
        <f>SUMIFS(OldHouses!AV$2:AV$82,OldHouses!$B$2:$B$82,"INPUT",OldHouses!$C$2:$C$82,$C4,OldHouses!$D$2:$D$82,$D4,OldHouses!$G$2:$G$82,$B4)</f>
        <v>0.026105855839287699</v>
      </c>
    </row>
    <row r="5" spans="2:41" ht="14.4">
      <c r="B5">
        <v>2010</v>
      </c>
      <c r="C5" s="35" t="s">
        <v>238</v>
      </c>
      <c r="D5" t="s">
        <v>55</v>
      </c>
      <c r="E5" s="11">
        <f>SUMIFS(OldHouses!L$2:L$82,OldHouses!$B$2:$B$82,"INPUT",OldHouses!$C$2:$C$82,$C5,OldHouses!$D$2:$D$82,$D5,OldHouses!$G$2:$G$82,$B5)</f>
        <v>0.0106716014597119</v>
      </c>
      <c r="F5" s="11">
        <f>SUMIFS(OldHouses!M$2:M$82,OldHouses!$B$2:$B$82,"INPUT",OldHouses!$C$2:$C$82,$C5,OldHouses!$D$2:$D$82,$D5,OldHouses!$G$2:$G$82,$B5)</f>
        <v>0.011251381070904501</v>
      </c>
      <c r="G5" s="11">
        <f>SUMIFS(OldHouses!N$2:N$82,OldHouses!$B$2:$B$82,"INPUT",OldHouses!$C$2:$C$82,$C5,OldHouses!$D$2:$D$82,$D5,OldHouses!$G$2:$G$82,$B5)</f>
        <v>0.0056302138477458902</v>
      </c>
      <c r="H5" s="11">
        <f>SUMIFS(OldHouses!O$2:O$82,OldHouses!$B$2:$B$82,"INPUT",OldHouses!$C$2:$C$82,$C5,OldHouses!$D$2:$D$82,$D5,OldHouses!$G$2:$G$82,$B5)</f>
        <v>0.0095272111428894597</v>
      </c>
      <c r="I5" s="11">
        <f>SUMIFS(OldHouses!P$2:P$82,OldHouses!$B$2:$B$82,"INPUT",OldHouses!$C$2:$C$82,$C5,OldHouses!$D$2:$D$82,$D5,OldHouses!$G$2:$G$82,$B5)</f>
        <v>0.0075855179072439301</v>
      </c>
      <c r="J5" s="11">
        <f>SUMIFS(OldHouses!Q$2:Q$82,OldHouses!$B$2:$B$82,"INPUT",OldHouses!$C$2:$C$82,$C5,OldHouses!$D$2:$D$82,$D5,OldHouses!$G$2:$G$82,$B5)</f>
        <v>0.0085103268836431399</v>
      </c>
      <c r="K5" s="11">
        <f>SUMIFS(OldHouses!R$2:R$82,OldHouses!$B$2:$B$82,"INPUT",OldHouses!$C$2:$C$82,$C5,OldHouses!$D$2:$D$82,$D5,OldHouses!$G$2:$G$82,$B5)</f>
        <v>0.0094679450592003497</v>
      </c>
      <c r="L5" s="11">
        <f>SUMIFS(OldHouses!S$2:S$82,OldHouses!$B$2:$B$82,"INPUT",OldHouses!$C$2:$C$82,$C5,OldHouses!$D$2:$D$82,$D5,OldHouses!$G$2:$G$82,$B5)</f>
        <v>0.0071258839317191397</v>
      </c>
      <c r="M5" s="11">
        <f>SUMIFS(OldHouses!T$2:T$82,OldHouses!$B$2:$B$82,"INPUT",OldHouses!$C$2:$C$82,$C5,OldHouses!$D$2:$D$82,$D5,OldHouses!$G$2:$G$82,$B5)</f>
        <v>0.0092098032071248094</v>
      </c>
      <c r="N5" s="11">
        <f>SUMIFS(OldHouses!U$2:U$82,OldHouses!$B$2:$B$82,"INPUT",OldHouses!$C$2:$C$82,$C5,OldHouses!$D$2:$D$82,$D5,OldHouses!$G$2:$G$82,$B5)</f>
        <v>0.0097229186384835391</v>
      </c>
      <c r="O5" s="11">
        <f>SUMIFS(OldHouses!V$2:V$82,OldHouses!$B$2:$B$82,"INPUT",OldHouses!$C$2:$C$82,$C5,OldHouses!$D$2:$D$82,$D5,OldHouses!$G$2:$G$82,$B5)</f>
        <v>0.0089376628770996402</v>
      </c>
      <c r="P5" s="11">
        <f>SUMIFS(OldHouses!W$2:W$82,OldHouses!$B$2:$B$82,"INPUT",OldHouses!$C$2:$C$82,$C5,OldHouses!$D$2:$D$82,$D5,OldHouses!$G$2:$G$82,$B5)</f>
        <v>0.010422414784520599</v>
      </c>
      <c r="Q5" s="11">
        <f>SUMIFS(OldHouses!X$2:X$82,OldHouses!$B$2:$B$82,"INPUT",OldHouses!$C$2:$C$82,$C5,OldHouses!$D$2:$D$82,$D5,OldHouses!$G$2:$G$82,$B5)</f>
        <v>0.012010717894111501</v>
      </c>
      <c r="R5" s="11">
        <f>SUMIFS(OldHouses!Y$2:Y$82,OldHouses!$B$2:$B$82,"INPUT",OldHouses!$C$2:$C$82,$C5,OldHouses!$D$2:$D$82,$D5,OldHouses!$G$2:$G$82,$B5)</f>
        <v>0.011359969680153299</v>
      </c>
      <c r="S5" s="11">
        <f>SUMIFS(OldHouses!Z$2:Z$82,OldHouses!$B$2:$B$82,"INPUT",OldHouses!$C$2:$C$82,$C5,OldHouses!$D$2:$D$82,$D5,OldHouses!$G$2:$G$82,$B5)</f>
        <v>0.0099539709135063395</v>
      </c>
      <c r="T5" s="11">
        <f>SUMIFS(OldHouses!AA$2:AA$82,OldHouses!$B$2:$B$82,"INPUT",OldHouses!$C$2:$C$82,$C5,OldHouses!$D$2:$D$82,$D5,OldHouses!$G$2:$G$82,$B5)</f>
        <v>0.0061370922585661696</v>
      </c>
      <c r="U5" s="11">
        <f>SUMIFS(OldHouses!AB$2:AB$82,OldHouses!$B$2:$B$82,"INPUT",OldHouses!$C$2:$C$82,$C5,OldHouses!$D$2:$D$82,$D5,OldHouses!$G$2:$G$82,$B5)</f>
        <v>0.00533599819909683</v>
      </c>
      <c r="V5" s="11">
        <f>SUMIFS(OldHouses!AC$2:AC$82,OldHouses!$B$2:$B$82,"INPUT",OldHouses!$C$2:$C$82,$C5,OldHouses!$D$2:$D$82,$D5,OldHouses!$G$2:$G$82,$B5)</f>
        <v>0.010752265164529699</v>
      </c>
      <c r="W5" s="11">
        <f>SUMIFS(OldHouses!AD$2:AD$82,OldHouses!$B$2:$B$82,"INPUT",OldHouses!$C$2:$C$82,$C5,OldHouses!$D$2:$D$82,$D5,OldHouses!$G$2:$G$82,$B5)</f>
        <v>0.010532394176564999</v>
      </c>
      <c r="X5" s="11">
        <f>SUMIFS(OldHouses!AE$2:AE$82,OldHouses!$B$2:$B$82,"INPUT",OldHouses!$C$2:$C$82,$C5,OldHouses!$D$2:$D$82,$D5,OldHouses!$G$2:$G$82,$B5)</f>
        <v>0.0084432134067511204</v>
      </c>
      <c r="Y5" s="11">
        <f>SUMIFS(OldHouses!AF$2:AF$82,OldHouses!$B$2:$B$82,"INPUT",OldHouses!$C$2:$C$82,$C5,OldHouses!$D$2:$D$82,$D5,OldHouses!$G$2:$G$82,$B5)</f>
        <v>0.0042840393102842704</v>
      </c>
      <c r="Z5" s="11">
        <f>SUMIFS(OldHouses!AG$2:AG$82,OldHouses!$B$2:$B$82,"INPUT",OldHouses!$C$2:$C$82,$C5,OldHouses!$D$2:$D$82,$D5,OldHouses!$G$2:$G$82,$B5)</f>
        <v>0.0073425045027849098</v>
      </c>
      <c r="AA5" s="11">
        <f>SUMIFS(OldHouses!AH$2:AH$82,OldHouses!$B$2:$B$82,"INPUT",OldHouses!$C$2:$C$82,$C5,OldHouses!$D$2:$D$82,$D5,OldHouses!$G$2:$G$82,$B5)</f>
        <v>0.0076613003004918599</v>
      </c>
      <c r="AB5" s="11">
        <f>SUMIFS(OldHouses!AI$2:AI$82,OldHouses!$B$2:$B$82,"INPUT",OldHouses!$C$2:$C$82,$C5,OldHouses!$D$2:$D$82,$D5,OldHouses!$G$2:$G$82,$B5)</f>
        <v>0.010300904857021599</v>
      </c>
      <c r="AC5" s="11">
        <f>SUMIFS(OldHouses!AJ$2:AJ$82,OldHouses!$B$2:$B$82,"INPUT",OldHouses!$C$2:$C$82,$C5,OldHouses!$D$2:$D$82,$D5,OldHouses!$G$2:$G$82,$B5)</f>
        <v>0.0075894074581261102</v>
      </c>
      <c r="AD5" s="11">
        <f>SUMIFS(OldHouses!AK$2:AK$82,OldHouses!$B$2:$B$82,"INPUT",OldHouses!$C$2:$C$82,$C5,OldHouses!$D$2:$D$82,$D5,OldHouses!$G$2:$G$82,$B5)</f>
        <v>0.0062653175584339704</v>
      </c>
      <c r="AE5" s="11">
        <f>SUMIFS(OldHouses!AL$2:AL$82,OldHouses!$B$2:$B$82,"INPUT",OldHouses!$C$2:$C$82,$C5,OldHouses!$D$2:$D$82,$D5,OldHouses!$G$2:$G$82,$B5)</f>
        <v>0.0046083001257302501</v>
      </c>
      <c r="AF5" s="11">
        <f>SUMIFS(OldHouses!AM$2:AM$82,OldHouses!$B$2:$B$82,"INPUT",OldHouses!$C$2:$C$82,$C5,OldHouses!$D$2:$D$82,$D5,OldHouses!$G$2:$G$82,$B5)</f>
        <v>0.0092443660202145804</v>
      </c>
      <c r="AG5" s="11">
        <f>SUMIFS(OldHouses!AN$2:AN$82,OldHouses!$B$2:$B$82,"INPUT",OldHouses!$C$2:$C$82,$C5,OldHouses!$D$2:$D$82,$D5,OldHouses!$G$2:$G$82,$B5)</f>
        <v>0.015409945950424799</v>
      </c>
      <c r="AH5" s="11">
        <f>SUMIFS(OldHouses!AO$2:AO$82,OldHouses!$B$2:$B$82,"INPUT",OldHouses!$C$2:$C$82,$C5,OldHouses!$D$2:$D$82,$D5,OldHouses!$G$2:$G$82,$B5)</f>
        <v>0.0091778714021296705</v>
      </c>
      <c r="AI5" s="11">
        <f>SUMIFS(OldHouses!AP$2:AP$82,OldHouses!$B$2:$B$82,"INPUT",OldHouses!$C$2:$C$82,$C5,OldHouses!$D$2:$D$82,$D5,OldHouses!$G$2:$G$82,$B5)</f>
        <v>0.0148175868446371</v>
      </c>
      <c r="AJ5" s="11">
        <f>SUMIFS(OldHouses!AQ$2:AQ$82,OldHouses!$B$2:$B$82,"INPUT",OldHouses!$C$2:$C$82,$C5,OldHouses!$D$2:$D$82,$D5,OldHouses!$G$2:$G$82,$B5)</f>
        <v>0.0061500457353994703</v>
      </c>
      <c r="AK5" s="11">
        <f>SUMIFS(OldHouses!AR$2:AR$82,OldHouses!$B$2:$B$82,"INPUT",OldHouses!$C$2:$C$82,$C5,OldHouses!$D$2:$D$82,$D5,OldHouses!$G$2:$G$82,$B5)</f>
        <v>0.0069275620095682897</v>
      </c>
      <c r="AL5" s="11">
        <f>SUMIFS(OldHouses!AS$2:AS$82,OldHouses!$B$2:$B$82,"INPUT",OldHouses!$C$2:$C$82,$C5,OldHouses!$D$2:$D$82,$D5,OldHouses!$G$2:$G$82,$B5)</f>
        <v>0.0092939987570087694</v>
      </c>
      <c r="AM5" s="11">
        <f>SUMIFS(OldHouses!AT$2:AT$82,OldHouses!$B$2:$B$82,"INPUT",OldHouses!$C$2:$C$82,$C5,OldHouses!$D$2:$D$82,$D5,OldHouses!$G$2:$G$82,$B5)</f>
        <v>0.012373113152046601</v>
      </c>
      <c r="AN5" s="11">
        <f>SUMIFS(OldHouses!AU$2:AU$82,OldHouses!$B$2:$B$82,"INPUT",OldHouses!$C$2:$C$82,$C5,OldHouses!$D$2:$D$82,$D5,OldHouses!$G$2:$G$82,$B5)</f>
        <v>0.0093921415348432093</v>
      </c>
      <c r="AO5" s="11">
        <f>SUMIFS(OldHouses!AV$2:AV$82,OldHouses!$B$2:$B$82,"INPUT",OldHouses!$C$2:$C$82,$C5,OldHouses!$D$2:$D$82,$D5,OldHouses!$G$2:$G$82,$B5)</f>
        <v>0.0092111061387550198</v>
      </c>
    </row>
    <row r="6" spans="2:41" ht="14.4">
      <c r="B6">
        <v>2010</v>
      </c>
      <c r="C6" t="s">
        <v>56</v>
      </c>
      <c r="D6" t="s">
        <v>57</v>
      </c>
      <c r="E6" s="11">
        <f>SUMIFS(OldHouses!L$2:L$82,OldHouses!$B$2:$B$82,"INPUT",OldHouses!$C$2:$C$82,$C6,OldHouses!$D$2:$D$82,$D6,OldHouses!$G$2:$G$82,$B6)</f>
        <v>0.0096401693011622103</v>
      </c>
      <c r="F6" s="11">
        <f>SUMIFS(OldHouses!M$2:M$82,OldHouses!$B$2:$B$82,"INPUT",OldHouses!$C$2:$C$82,$C6,OldHouses!$D$2:$D$82,$D6,OldHouses!$G$2:$G$82,$B6)</f>
        <v>0.0030415222889943099</v>
      </c>
      <c r="G6" s="11">
        <f>SUMIFS(OldHouses!N$2:N$82,OldHouses!$B$2:$B$82,"INPUT",OldHouses!$C$2:$C$82,$C6,OldHouses!$D$2:$D$82,$D6,OldHouses!$G$2:$G$82,$B6)</f>
        <v>0.0042581434154369702</v>
      </c>
      <c r="H6" s="11">
        <f>SUMIFS(OldHouses!O$2:O$82,OldHouses!$B$2:$B$82,"INPUT",OldHouses!$C$2:$C$82,$C6,OldHouses!$D$2:$D$82,$D6,OldHouses!$G$2:$G$82,$B6)</f>
        <v>0.0034102939388338601</v>
      </c>
      <c r="I6" s="11">
        <f>SUMIFS(OldHouses!P$2:P$82,OldHouses!$B$2:$B$82,"INPUT",OldHouses!$C$2:$C$82,$C6,OldHouses!$D$2:$D$82,$D6,OldHouses!$G$2:$G$82,$B6)</f>
        <v>0.0036540878403332499</v>
      </c>
      <c r="J6" s="11">
        <f>SUMIFS(OldHouses!Q$2:Q$82,OldHouses!$B$2:$B$82,"INPUT",OldHouses!$C$2:$C$82,$C6,OldHouses!$D$2:$D$82,$D6,OldHouses!$G$2:$G$82,$B6)</f>
        <v>0.0035508103674260398</v>
      </c>
      <c r="K6" s="11">
        <f>SUMIFS(OldHouses!R$2:R$82,OldHouses!$B$2:$B$82,"INPUT",OldHouses!$C$2:$C$82,$C6,OldHouses!$D$2:$D$82,$D6,OldHouses!$G$2:$G$82,$B6)</f>
        <v>0.0031439568442420199</v>
      </c>
      <c r="L6" s="11">
        <f>SUMIFS(OldHouses!S$2:S$82,OldHouses!$B$2:$B$82,"INPUT",OldHouses!$C$2:$C$82,$C6,OldHouses!$D$2:$D$82,$D6,OldHouses!$G$2:$G$82,$B6)</f>
        <v>0.00282814602417679</v>
      </c>
      <c r="M6" s="11">
        <f>SUMIFS(OldHouses!T$2:T$82,OldHouses!$B$2:$B$82,"INPUT",OldHouses!$C$2:$C$82,$C6,OldHouses!$D$2:$D$82,$D6,OldHouses!$G$2:$G$82,$B6)</f>
        <v>0.0032488705943226602</v>
      </c>
      <c r="N6" s="11">
        <f>SUMIFS(OldHouses!U$2:U$82,OldHouses!$B$2:$B$82,"INPUT",OldHouses!$C$2:$C$82,$C6,OldHouses!$D$2:$D$82,$D6,OldHouses!$G$2:$G$82,$B6)</f>
        <v>0.0028361456877566298</v>
      </c>
      <c r="O6" s="11">
        <f>SUMIFS(OldHouses!V$2:V$82,OldHouses!$B$2:$B$82,"INPUT",OldHouses!$C$2:$C$82,$C6,OldHouses!$D$2:$D$82,$D6,OldHouses!$G$2:$G$82,$B6)</f>
        <v>0.00276541346183358</v>
      </c>
      <c r="P6" s="11">
        <f>SUMIFS(OldHouses!W$2:W$82,OldHouses!$B$2:$B$82,"INPUT",OldHouses!$C$2:$C$82,$C6,OldHouses!$D$2:$D$82,$D6,OldHouses!$G$2:$G$82,$B6)</f>
        <v>0.0056266963289672497</v>
      </c>
      <c r="Q6" s="11">
        <f>SUMIFS(OldHouses!X$2:X$82,OldHouses!$B$2:$B$82,"INPUT",OldHouses!$C$2:$C$82,$C6,OldHouses!$D$2:$D$82,$D6,OldHouses!$G$2:$G$82,$B6)</f>
        <v>0.0038085079249353302</v>
      </c>
      <c r="R6" s="11">
        <f>SUMIFS(OldHouses!Y$2:Y$82,OldHouses!$B$2:$B$82,"INPUT",OldHouses!$C$2:$C$82,$C6,OldHouses!$D$2:$D$82,$D6,OldHouses!$G$2:$G$82,$B6)</f>
        <v>0.0026293573109243702</v>
      </c>
      <c r="S6" s="11">
        <f>SUMIFS(OldHouses!Z$2:Z$82,OldHouses!$B$2:$B$82,"INPUT",OldHouses!$C$2:$C$82,$C6,OldHouses!$D$2:$D$82,$D6,OldHouses!$G$2:$G$82,$B6)</f>
        <v>0.0046456785706277598</v>
      </c>
      <c r="T6" s="11">
        <f>SUMIFS(OldHouses!AA$2:AA$82,OldHouses!$B$2:$B$82,"INPUT",OldHouses!$C$2:$C$82,$C6,OldHouses!$D$2:$D$82,$D6,OldHouses!$G$2:$G$82,$B6)</f>
        <v>0.0030876066146761599</v>
      </c>
      <c r="U6" s="11">
        <f>SUMIFS(OldHouses!AB$2:AB$82,OldHouses!$B$2:$B$82,"INPUT",OldHouses!$C$2:$C$82,$C6,OldHouses!$D$2:$D$82,$D6,OldHouses!$G$2:$G$82,$B6)</f>
        <v>0.0027436497090527899</v>
      </c>
      <c r="V6" s="11">
        <f>SUMIFS(OldHouses!AC$2:AC$82,OldHouses!$B$2:$B$82,"INPUT",OldHouses!$C$2:$C$82,$C6,OldHouses!$D$2:$D$82,$D6,OldHouses!$G$2:$G$82,$B6)</f>
        <v>0.0029710596309351299</v>
      </c>
      <c r="W6" s="11">
        <f>SUMIFS(OldHouses!AD$2:AD$82,OldHouses!$B$2:$B$82,"INPUT",OldHouses!$C$2:$C$82,$C6,OldHouses!$D$2:$D$82,$D6,OldHouses!$G$2:$G$82,$B6)</f>
        <v>0.0022971797935458001</v>
      </c>
      <c r="X6" s="11">
        <f>SUMIFS(OldHouses!AE$2:AE$82,OldHouses!$B$2:$B$82,"INPUT",OldHouses!$C$2:$C$82,$C6,OldHouses!$D$2:$D$82,$D6,OldHouses!$G$2:$G$82,$B6)</f>
        <v>0.0024563524698412598</v>
      </c>
      <c r="Y6" s="11">
        <f>SUMIFS(OldHouses!AF$2:AF$82,OldHouses!$B$2:$B$82,"INPUT",OldHouses!$C$2:$C$82,$C6,OldHouses!$D$2:$D$82,$D6,OldHouses!$G$2:$G$82,$B6)</f>
        <v>0.00375506972701621</v>
      </c>
      <c r="Z6" s="11">
        <f>SUMIFS(OldHouses!AG$2:AG$82,OldHouses!$B$2:$B$82,"INPUT",OldHouses!$C$2:$C$82,$C6,OldHouses!$D$2:$D$82,$D6,OldHouses!$G$2:$G$82,$B6)</f>
        <v>0.0024095486640133101</v>
      </c>
      <c r="AA6" s="11">
        <f>SUMIFS(OldHouses!AH$2:AH$82,OldHouses!$B$2:$B$82,"INPUT",OldHouses!$C$2:$C$82,$C6,OldHouses!$D$2:$D$82,$D6,OldHouses!$G$2:$G$82,$B6)</f>
        <v>0.0028929006536856398</v>
      </c>
      <c r="AB6" s="11">
        <f>SUMIFS(OldHouses!AI$2:AI$82,OldHouses!$B$2:$B$82,"INPUT",OldHouses!$C$2:$C$82,$C6,OldHouses!$D$2:$D$82,$D6,OldHouses!$G$2:$G$82,$B6)</f>
        <v>0.0018737845806433399</v>
      </c>
      <c r="AC6" s="11">
        <f>SUMIFS(OldHouses!AJ$2:AJ$82,OldHouses!$B$2:$B$82,"INPUT",OldHouses!$C$2:$C$82,$C6,OldHouses!$D$2:$D$82,$D6,OldHouses!$G$2:$G$82,$B6)</f>
        <v>0.0079551734298874497</v>
      </c>
      <c r="AD6" s="11">
        <f>SUMIFS(OldHouses!AK$2:AK$82,OldHouses!$B$2:$B$82,"INPUT",OldHouses!$C$2:$C$82,$C6,OldHouses!$D$2:$D$82,$D6,OldHouses!$G$2:$G$82,$B6)</f>
        <v>0.0052408564883108097</v>
      </c>
      <c r="AE6" s="11">
        <f>SUMIFS(OldHouses!AL$2:AL$82,OldHouses!$B$2:$B$82,"INPUT",OldHouses!$C$2:$C$82,$C6,OldHouses!$D$2:$D$82,$D6,OldHouses!$G$2:$G$82,$B6)</f>
        <v>0.0040527979453475601</v>
      </c>
      <c r="AF6" s="11">
        <f>SUMIFS(OldHouses!AM$2:AM$82,OldHouses!$B$2:$B$82,"INPUT",OldHouses!$C$2:$C$82,$C6,OldHouses!$D$2:$D$82,$D6,OldHouses!$G$2:$G$82,$B6)</f>
        <v>0.0033325711074883801</v>
      </c>
      <c r="AG6" s="11">
        <f>SUMIFS(OldHouses!AN$2:AN$82,OldHouses!$B$2:$B$82,"INPUT",OldHouses!$C$2:$C$82,$C6,OldHouses!$D$2:$D$82,$D6,OldHouses!$G$2:$G$82,$B6)</f>
        <v>0.0074120673285544801</v>
      </c>
      <c r="AH6" s="11">
        <f>SUMIFS(OldHouses!AO$2:AO$82,OldHouses!$B$2:$B$82,"INPUT",OldHouses!$C$2:$C$82,$C6,OldHouses!$D$2:$D$82,$D6,OldHouses!$G$2:$G$82,$B6)</f>
        <v>0.0031582031254655</v>
      </c>
      <c r="AI6" s="11">
        <f>SUMIFS(OldHouses!AP$2:AP$82,OldHouses!$B$2:$B$82,"INPUT",OldHouses!$C$2:$C$82,$C6,OldHouses!$D$2:$D$82,$D6,OldHouses!$G$2:$G$82,$B6)</f>
        <v>0.015925988068439</v>
      </c>
      <c r="AJ6" s="11">
        <f>SUMIFS(OldHouses!AQ$2:AQ$82,OldHouses!$B$2:$B$82,"INPUT",OldHouses!$C$2:$C$82,$C6,OldHouses!$D$2:$D$82,$D6,OldHouses!$G$2:$G$82,$B6)</f>
        <v>0.0026716940978137199</v>
      </c>
      <c r="AK6" s="11">
        <f>SUMIFS(OldHouses!AR$2:AR$82,OldHouses!$B$2:$B$82,"INPUT",OldHouses!$C$2:$C$82,$C6,OldHouses!$D$2:$D$82,$D6,OldHouses!$G$2:$G$82,$B6)</f>
        <v>0.0048263692079581399</v>
      </c>
      <c r="AL6" s="11">
        <f>SUMIFS(OldHouses!AS$2:AS$82,OldHouses!$B$2:$B$82,"INPUT",OldHouses!$C$2:$C$82,$C6,OldHouses!$D$2:$D$82,$D6,OldHouses!$G$2:$G$82,$B6)</f>
        <v>0.00265130540461551</v>
      </c>
      <c r="AM6" s="11">
        <f>SUMIFS(OldHouses!AT$2:AT$82,OldHouses!$B$2:$B$82,"INPUT",OldHouses!$C$2:$C$82,$C6,OldHouses!$D$2:$D$82,$D6,OldHouses!$G$2:$G$82,$B6)</f>
        <v>0.0023401915005250799</v>
      </c>
      <c r="AN6" s="11">
        <f>SUMIFS(OldHouses!AU$2:AU$82,OldHouses!$B$2:$B$82,"INPUT",OldHouses!$C$2:$C$82,$C6,OldHouses!$D$2:$D$82,$D6,OldHouses!$G$2:$G$82,$B6)</f>
        <v>0.0036328190444342499</v>
      </c>
      <c r="AO6" s="11">
        <f>SUMIFS(OldHouses!AV$2:AV$82,OldHouses!$B$2:$B$82,"INPUT",OldHouses!$C$2:$C$82,$C6,OldHouses!$D$2:$D$82,$D6,OldHouses!$G$2:$G$82,$B6)</f>
        <v>0.0020315868994864</v>
      </c>
    </row>
    <row r="7" spans="2:41" ht="14.4">
      <c r="B7">
        <v>2010</v>
      </c>
      <c r="C7" t="s">
        <v>56</v>
      </c>
      <c r="D7" t="s">
        <v>58</v>
      </c>
      <c r="E7" s="11">
        <f>SUMIFS(OldHouses!L$2:L$82,OldHouses!$B$2:$B$82,"INPUT",OldHouses!$C$2:$C$82,$C7,OldHouses!$D$2:$D$82,$D7,OldHouses!$G$2:$G$82,$B7)</f>
        <v>0.00165118144295158</v>
      </c>
      <c r="F7" s="11">
        <f>SUMIFS(OldHouses!M$2:M$82,OldHouses!$B$2:$B$82,"INPUT",OldHouses!$C$2:$C$82,$C7,OldHouses!$D$2:$D$82,$D7,OldHouses!$G$2:$G$82,$B7)</f>
        <v>0.00015683766174007301</v>
      </c>
      <c r="G7" s="11">
        <f>SUMIFS(OldHouses!N$2:N$82,OldHouses!$B$2:$B$82,"INPUT",OldHouses!$C$2:$C$82,$C7,OldHouses!$D$2:$D$82,$D7,OldHouses!$G$2:$G$82,$B7)</f>
        <v>0.00406776188970423</v>
      </c>
      <c r="H7" s="11">
        <f>SUMIFS(OldHouses!O$2:O$82,OldHouses!$B$2:$B$82,"INPUT",OldHouses!$C$2:$C$82,$C7,OldHouses!$D$2:$D$82,$D7,OldHouses!$G$2:$G$82,$B7)</f>
        <v>0.000532238998079876</v>
      </c>
      <c r="I7" s="11">
        <f>SUMIFS(OldHouses!P$2:P$82,OldHouses!$B$2:$B$82,"INPUT",OldHouses!$C$2:$C$82,$C7,OldHouses!$D$2:$D$82,$D7,OldHouses!$G$2:$G$82,$B7)</f>
        <v>0.00026757723179699698</v>
      </c>
      <c r="J7" s="11">
        <f>SUMIFS(OldHouses!Q$2:Q$82,OldHouses!$B$2:$B$82,"INPUT",OldHouses!$C$2:$C$82,$C7,OldHouses!$D$2:$D$82,$D7,OldHouses!$G$2:$G$82,$B7)</f>
        <v>0.00015950432057117701</v>
      </c>
      <c r="K7" s="11">
        <f>SUMIFS(OldHouses!R$2:R$82,OldHouses!$B$2:$B$82,"INPUT",OldHouses!$C$2:$C$82,$C7,OldHouses!$D$2:$D$82,$D7,OldHouses!$G$2:$G$82,$B7)</f>
        <v>0.0037508321166571002</v>
      </c>
      <c r="L7" s="11">
        <f>SUMIFS(OldHouses!S$2:S$82,OldHouses!$B$2:$B$82,"INPUT",OldHouses!$C$2:$C$82,$C7,OldHouses!$D$2:$D$82,$D7,OldHouses!$G$2:$G$82,$B7)</f>
        <v>2.8957690106810301E-05</v>
      </c>
      <c r="M7" s="11">
        <f>SUMIFS(OldHouses!T$2:T$82,OldHouses!$B$2:$B$82,"INPUT",OldHouses!$C$2:$C$82,$C7,OldHouses!$D$2:$D$82,$D7,OldHouses!$G$2:$G$82,$B7)</f>
        <v>0.00013969326747231299</v>
      </c>
      <c r="N7" s="11">
        <f>SUMIFS(OldHouses!U$2:U$82,OldHouses!$B$2:$B$82,"INPUT",OldHouses!$C$2:$C$82,$C7,OldHouses!$D$2:$D$82,$D7,OldHouses!$G$2:$G$82,$B7)</f>
        <v>0.000107933149321289</v>
      </c>
      <c r="O7" s="11">
        <f>SUMIFS(OldHouses!V$2:V$82,OldHouses!$B$2:$B$82,"INPUT",OldHouses!$C$2:$C$82,$C7,OldHouses!$D$2:$D$82,$D7,OldHouses!$G$2:$G$82,$B7)</f>
        <v>0</v>
      </c>
      <c r="P7" s="11">
        <f>SUMIFS(OldHouses!W$2:W$82,OldHouses!$B$2:$B$82,"INPUT",OldHouses!$C$2:$C$82,$C7,OldHouses!$D$2:$D$82,$D7,OldHouses!$G$2:$G$82,$B7)</f>
        <v>0.0012372653656472</v>
      </c>
      <c r="Q7" s="11">
        <f>SUMIFS(OldHouses!X$2:X$82,OldHouses!$B$2:$B$82,"INPUT",OldHouses!$C$2:$C$82,$C7,OldHouses!$D$2:$D$82,$D7,OldHouses!$G$2:$G$82,$B7)</f>
        <v>0.00089428505195046604</v>
      </c>
      <c r="R7" s="11">
        <f>SUMIFS(OldHouses!Y$2:Y$82,OldHouses!$B$2:$B$82,"INPUT",OldHouses!$C$2:$C$82,$C7,OldHouses!$D$2:$D$82,$D7,OldHouses!$G$2:$G$82,$B7)</f>
        <v>3.8533182481807001E-05</v>
      </c>
      <c r="S7" s="11">
        <f>SUMIFS(OldHouses!Z$2:Z$82,OldHouses!$B$2:$B$82,"INPUT",OldHouses!$C$2:$C$82,$C7,OldHouses!$D$2:$D$82,$D7,OldHouses!$G$2:$G$82,$B7)</f>
        <v>0.0010957126362964101</v>
      </c>
      <c r="T7" s="11">
        <f>SUMIFS(OldHouses!AA$2:AA$82,OldHouses!$B$2:$B$82,"INPUT",OldHouses!$C$2:$C$82,$C7,OldHouses!$D$2:$D$82,$D7,OldHouses!$G$2:$G$82,$B7)</f>
        <v>0.0020160659387479002</v>
      </c>
      <c r="U7" s="11">
        <f>SUMIFS(OldHouses!AB$2:AB$82,OldHouses!$B$2:$B$82,"INPUT",OldHouses!$C$2:$C$82,$C7,OldHouses!$D$2:$D$82,$D7,OldHouses!$G$2:$G$82,$B7)</f>
        <v>3.1837698085303302E-05</v>
      </c>
      <c r="V7" s="11">
        <f>SUMIFS(OldHouses!AC$2:AC$82,OldHouses!$B$2:$B$82,"INPUT",OldHouses!$C$2:$C$82,$C7,OldHouses!$D$2:$D$82,$D7,OldHouses!$G$2:$G$82,$B7)</f>
        <v>9.1014996602825594E-05</v>
      </c>
      <c r="W7" s="11">
        <f>SUMIFS(OldHouses!AD$2:AD$82,OldHouses!$B$2:$B$82,"INPUT",OldHouses!$C$2:$C$82,$C7,OldHouses!$D$2:$D$82,$D7,OldHouses!$G$2:$G$82,$B7)</f>
        <v>3.34791832063622E-05</v>
      </c>
      <c r="X7" s="11">
        <f>SUMIFS(OldHouses!AE$2:AE$82,OldHouses!$B$2:$B$82,"INPUT",OldHouses!$C$2:$C$82,$C7,OldHouses!$D$2:$D$82,$D7,OldHouses!$G$2:$G$82,$B7)</f>
        <v>0.00091409645355375205</v>
      </c>
      <c r="Y7" s="11">
        <f>SUMIFS(OldHouses!AF$2:AF$82,OldHouses!$B$2:$B$82,"INPUT",OldHouses!$C$2:$C$82,$C7,OldHouses!$D$2:$D$82,$D7,OldHouses!$G$2:$G$82,$B7)</f>
        <v>0.00340879048615176</v>
      </c>
      <c r="Z7" s="11">
        <f>SUMIFS(OldHouses!AG$2:AG$82,OldHouses!$B$2:$B$82,"INPUT",OldHouses!$C$2:$C$82,$C7,OldHouses!$D$2:$D$82,$D7,OldHouses!$G$2:$G$82,$B7)</f>
        <v>0</v>
      </c>
      <c r="AA7" s="11">
        <f>SUMIFS(OldHouses!AH$2:AH$82,OldHouses!$B$2:$B$82,"INPUT",OldHouses!$C$2:$C$82,$C7,OldHouses!$D$2:$D$82,$D7,OldHouses!$G$2:$G$82,$B7)</f>
        <v>0.00148848896895646</v>
      </c>
      <c r="AB7" s="11">
        <f>SUMIFS(OldHouses!AI$2:AI$82,OldHouses!$B$2:$B$82,"INPUT",OldHouses!$C$2:$C$82,$C7,OldHouses!$D$2:$D$82,$D7,OldHouses!$G$2:$G$82,$B7)</f>
        <v>0</v>
      </c>
      <c r="AC7" s="11">
        <f>SUMIFS(OldHouses!AJ$2:AJ$82,OldHouses!$B$2:$B$82,"INPUT",OldHouses!$C$2:$C$82,$C7,OldHouses!$D$2:$D$82,$D7,OldHouses!$G$2:$G$82,$B7)</f>
        <v>0.0016461321755500201</v>
      </c>
      <c r="AD7" s="11">
        <f>SUMIFS(OldHouses!AK$2:AK$82,OldHouses!$B$2:$B$82,"INPUT",OldHouses!$C$2:$C$82,$C7,OldHouses!$D$2:$D$82,$D7,OldHouses!$G$2:$G$82,$B7)</f>
        <v>0.0048266546339104204</v>
      </c>
      <c r="AE7" s="11">
        <f>SUMIFS(OldHouses!AL$2:AL$82,OldHouses!$B$2:$B$82,"INPUT",OldHouses!$C$2:$C$82,$C7,OldHouses!$D$2:$D$82,$D7,OldHouses!$G$2:$G$82,$B7)</f>
        <v>0.0043307796744184498</v>
      </c>
      <c r="AF7" s="11">
        <f>SUMIFS(OldHouses!AM$2:AM$82,OldHouses!$B$2:$B$82,"INPUT",OldHouses!$C$2:$C$82,$C7,OldHouses!$D$2:$D$82,$D7,OldHouses!$G$2:$G$82,$B7)</f>
        <v>0.00034394013019007101</v>
      </c>
      <c r="AG7" s="11">
        <f>SUMIFS(OldHouses!AN$2:AN$82,OldHouses!$B$2:$B$82,"INPUT",OldHouses!$C$2:$C$82,$C7,OldHouses!$D$2:$D$82,$D7,OldHouses!$G$2:$G$82,$B7)</f>
        <v>0.000120329691243334</v>
      </c>
      <c r="AH7" s="11">
        <f>SUMIFS(OldHouses!AO$2:AO$82,OldHouses!$B$2:$B$82,"INPUT",OldHouses!$C$2:$C$82,$C7,OldHouses!$D$2:$D$82,$D7,OldHouses!$G$2:$G$82,$B7)</f>
        <v>1.8852066295082602E-05</v>
      </c>
      <c r="AI7" s="11">
        <f>SUMIFS(OldHouses!AP$2:AP$82,OldHouses!$B$2:$B$82,"INPUT",OldHouses!$C$2:$C$82,$C7,OldHouses!$D$2:$D$82,$D7,OldHouses!$G$2:$G$82,$B7)</f>
        <v>0.00068508265337747501</v>
      </c>
      <c r="AJ7" s="11">
        <f>SUMIFS(OldHouses!AQ$2:AQ$82,OldHouses!$B$2:$B$82,"INPUT",OldHouses!$C$2:$C$82,$C7,OldHouses!$D$2:$D$82,$D7,OldHouses!$G$2:$G$82,$B7)</f>
        <v>4.0712439171149899E-05</v>
      </c>
      <c r="AK7" s="11">
        <f>SUMIFS(OldHouses!AR$2:AR$82,OldHouses!$B$2:$B$82,"INPUT",OldHouses!$C$2:$C$82,$C7,OldHouses!$D$2:$D$82,$D7,OldHouses!$G$2:$G$82,$B7)</f>
        <v>0.0044352618594692304</v>
      </c>
      <c r="AL7" s="11">
        <f>SUMIFS(OldHouses!AS$2:AS$82,OldHouses!$B$2:$B$82,"INPUT",OldHouses!$C$2:$C$82,$C7,OldHouses!$D$2:$D$82,$D7,OldHouses!$G$2:$G$82,$B7)</f>
        <v>7.9415318224052196E-05</v>
      </c>
      <c r="AM7" s="11">
        <f>SUMIFS(OldHouses!AT$2:AT$82,OldHouses!$B$2:$B$82,"INPUT",OldHouses!$C$2:$C$82,$C7,OldHouses!$D$2:$D$82,$D7,OldHouses!$G$2:$G$82,$B7)</f>
        <v>0.00030079464731699401</v>
      </c>
      <c r="AN7" s="11">
        <f>SUMIFS(OldHouses!AU$2:AU$82,OldHouses!$B$2:$B$82,"INPUT",OldHouses!$C$2:$C$82,$C7,OldHouses!$D$2:$D$82,$D7,OldHouses!$G$2:$G$82,$B7)</f>
        <v>9.7024220365186898E-05</v>
      </c>
      <c r="AO7" s="11">
        <f>SUMIFS(OldHouses!AV$2:AV$82,OldHouses!$B$2:$B$82,"INPUT",OldHouses!$C$2:$C$82,$C7,OldHouses!$D$2:$D$82,$D7,OldHouses!$G$2:$G$82,$B7)</f>
        <v>6.0645759274476699E-05</v>
      </c>
    </row>
    <row r="8" spans="2:41" ht="14.4">
      <c r="B8">
        <v>2004</v>
      </c>
      <c r="C8" t="s">
        <v>56</v>
      </c>
      <c r="D8" t="s">
        <v>59</v>
      </c>
      <c r="E8" s="11">
        <f>SUMIFS(OldHouses!L$2:L$82,OldHouses!$B$2:$B$82,"INPUT",OldHouses!$C$2:$C$82,$C8,OldHouses!$D$2:$D$82,$D8,OldHouses!$G$2:$G$82,$B8)</f>
        <v>0.0023973966957213599</v>
      </c>
      <c r="F8" s="11">
        <f>SUMIFS(OldHouses!M$2:M$82,OldHouses!$B$2:$B$82,"INPUT",OldHouses!$C$2:$C$82,$C8,OldHouses!$D$2:$D$82,$D8,OldHouses!$G$2:$G$82,$B8)</f>
        <v>0.0089647781804402804</v>
      </c>
      <c r="G8" s="11">
        <f>SUMIFS(OldHouses!N$2:N$82,OldHouses!$B$2:$B$82,"INPUT",OldHouses!$C$2:$C$82,$C8,OldHouses!$D$2:$D$82,$D8,OldHouses!$G$2:$G$82,$B8)</f>
        <v>0.0065004651334270797</v>
      </c>
      <c r="H8" s="11">
        <f>SUMIFS(OldHouses!O$2:O$82,OldHouses!$B$2:$B$82,"INPUT",OldHouses!$C$2:$C$82,$C8,OldHouses!$D$2:$D$82,$D8,OldHouses!$G$2:$G$82,$B8)</f>
        <v>0.0106081681546468</v>
      </c>
      <c r="I8" s="11">
        <f>SUMIFS(OldHouses!P$2:P$82,OldHouses!$B$2:$B$82,"INPUT",OldHouses!$C$2:$C$82,$C8,OldHouses!$D$2:$D$82,$D8,OldHouses!$G$2:$G$82,$B8)</f>
        <v>0.00403312394589307</v>
      </c>
      <c r="J8" s="11">
        <f>SUMIFS(OldHouses!Q$2:Q$82,OldHouses!$B$2:$B$82,"INPUT",OldHouses!$C$2:$C$82,$C8,OldHouses!$D$2:$D$82,$D8,OldHouses!$G$2:$G$82,$B8)</f>
        <v>0.0093464045721103495</v>
      </c>
      <c r="K8" s="11">
        <f>SUMIFS(OldHouses!R$2:R$82,OldHouses!$B$2:$B$82,"INPUT",OldHouses!$C$2:$C$82,$C8,OldHouses!$D$2:$D$82,$D8,OldHouses!$G$2:$G$82,$B8)</f>
        <v>0.00651019685862015</v>
      </c>
      <c r="L8" s="11">
        <f>SUMIFS(OldHouses!S$2:S$82,OldHouses!$B$2:$B$82,"INPUT",OldHouses!$C$2:$C$82,$C8,OldHouses!$D$2:$D$82,$D8,OldHouses!$G$2:$G$82,$B8)</f>
        <v>0.00920546126411575</v>
      </c>
      <c r="M8" s="11">
        <f>SUMIFS(OldHouses!T$2:T$82,OldHouses!$B$2:$B$82,"INPUT",OldHouses!$C$2:$C$82,$C8,OldHouses!$D$2:$D$82,$D8,OldHouses!$G$2:$G$82,$B8)</f>
        <v>0.0071493454233859397</v>
      </c>
      <c r="N8" s="11">
        <f>SUMIFS(OldHouses!U$2:U$82,OldHouses!$B$2:$B$82,"INPUT",OldHouses!$C$2:$C$82,$C8,OldHouses!$D$2:$D$82,$D8,OldHouses!$G$2:$G$82,$B8)</f>
        <v>0.0069368216555966804</v>
      </c>
      <c r="O8" s="11">
        <f>SUMIFS(OldHouses!V$2:V$82,OldHouses!$B$2:$B$82,"INPUT",OldHouses!$C$2:$C$82,$C8,OldHouses!$D$2:$D$82,$D8,OldHouses!$G$2:$G$82,$B8)</f>
        <v>0.010809644079409399</v>
      </c>
      <c r="P8" s="11">
        <f>SUMIFS(OldHouses!W$2:W$82,OldHouses!$B$2:$B$82,"INPUT",OldHouses!$C$2:$C$82,$C8,OldHouses!$D$2:$D$82,$D8,OldHouses!$G$2:$G$82,$B8)</f>
        <v>0.0068099725224947697</v>
      </c>
      <c r="Q8" s="11">
        <f>SUMIFS(OldHouses!X$2:X$82,OldHouses!$B$2:$B$82,"INPUT",OldHouses!$C$2:$C$82,$C8,OldHouses!$D$2:$D$82,$D8,OldHouses!$G$2:$G$82,$B8)</f>
        <v>0.0080128508579767801</v>
      </c>
      <c r="R8" s="11">
        <f>SUMIFS(OldHouses!Y$2:Y$82,OldHouses!$B$2:$B$82,"INPUT",OldHouses!$C$2:$C$82,$C8,OldHouses!$D$2:$D$82,$D8,OldHouses!$G$2:$G$82,$B8)</f>
        <v>0.0145242780377468</v>
      </c>
      <c r="S8" s="11">
        <f>SUMIFS(OldHouses!Z$2:Z$82,OldHouses!$B$2:$B$82,"INPUT",OldHouses!$C$2:$C$82,$C8,OldHouses!$D$2:$D$82,$D8,OldHouses!$G$2:$G$82,$B8)</f>
        <v>0.0054596278750131703</v>
      </c>
      <c r="T8" s="11">
        <f>SUMIFS(OldHouses!AA$2:AA$82,OldHouses!$B$2:$B$82,"INPUT",OldHouses!$C$2:$C$82,$C8,OldHouses!$D$2:$D$82,$D8,OldHouses!$G$2:$G$82,$B8)</f>
        <v>0.0067215634719197098</v>
      </c>
      <c r="U8" s="11">
        <f>SUMIFS(OldHouses!AB$2:AB$82,OldHouses!$B$2:$B$82,"INPUT",OldHouses!$C$2:$C$82,$C8,OldHouses!$D$2:$D$82,$D8,OldHouses!$G$2:$G$82,$B8)</f>
        <v>0.00618038253631213</v>
      </c>
      <c r="V8" s="11">
        <f>SUMIFS(OldHouses!AC$2:AC$82,OldHouses!$B$2:$B$82,"INPUT",OldHouses!$C$2:$C$82,$C8,OldHouses!$D$2:$D$82,$D8,OldHouses!$G$2:$G$82,$B8)</f>
        <v>0.0051816529682993497</v>
      </c>
      <c r="W8" s="11">
        <f>SUMIFS(OldHouses!AD$2:AD$82,OldHouses!$B$2:$B$82,"INPUT",OldHouses!$C$2:$C$82,$C8,OldHouses!$D$2:$D$82,$D8,OldHouses!$G$2:$G$82,$B8)</f>
        <v>0.025312848471945201</v>
      </c>
      <c r="X8" s="11">
        <f>SUMIFS(OldHouses!AE$2:AE$82,OldHouses!$B$2:$B$82,"INPUT",OldHouses!$C$2:$C$82,$C8,OldHouses!$D$2:$D$82,$D8,OldHouses!$G$2:$G$82,$B8)</f>
        <v>0.011437455210641601</v>
      </c>
      <c r="Y8" s="11">
        <f>SUMIFS(OldHouses!AF$2:AF$82,OldHouses!$B$2:$B$82,"INPUT",OldHouses!$C$2:$C$82,$C8,OldHouses!$D$2:$D$82,$D8,OldHouses!$G$2:$G$82,$B8)</f>
        <v>0.0062817761334045298</v>
      </c>
      <c r="Z8" s="11">
        <f>SUMIFS(OldHouses!AG$2:AG$82,OldHouses!$B$2:$B$82,"INPUT",OldHouses!$C$2:$C$82,$C8,OldHouses!$D$2:$D$82,$D8,OldHouses!$G$2:$G$82,$B8)</f>
        <v>0.00543825114772656</v>
      </c>
      <c r="AA8" s="11">
        <f>SUMIFS(OldHouses!AH$2:AH$82,OldHouses!$B$2:$B$82,"INPUT",OldHouses!$C$2:$C$82,$C8,OldHouses!$D$2:$D$82,$D8,OldHouses!$G$2:$G$82,$B8)</f>
        <v>0.012705261899808</v>
      </c>
      <c r="AB8" s="11">
        <f>SUMIFS(OldHouses!AI$2:AI$82,OldHouses!$B$2:$B$82,"INPUT",OldHouses!$C$2:$C$82,$C8,OldHouses!$D$2:$D$82,$D8,OldHouses!$G$2:$G$82,$B8)</f>
        <v>0.00639717240418712</v>
      </c>
      <c r="AC8" s="11">
        <f>SUMIFS(OldHouses!AJ$2:AJ$82,OldHouses!$B$2:$B$82,"INPUT",OldHouses!$C$2:$C$82,$C8,OldHouses!$D$2:$D$82,$D8,OldHouses!$G$2:$G$82,$B8)</f>
        <v>0.0111904525417239</v>
      </c>
      <c r="AD8" s="11">
        <f>SUMIFS(OldHouses!AK$2:AK$82,OldHouses!$B$2:$B$82,"INPUT",OldHouses!$C$2:$C$82,$C8,OldHouses!$D$2:$D$82,$D8,OldHouses!$G$2:$G$82,$B8)</f>
        <v>0.0042298007781281103</v>
      </c>
      <c r="AE8" s="11">
        <f>SUMIFS(OldHouses!AL$2:AL$82,OldHouses!$B$2:$B$82,"INPUT",OldHouses!$C$2:$C$82,$C8,OldHouses!$D$2:$D$82,$D8,OldHouses!$G$2:$G$82,$B8)</f>
        <v>0.00275344464840284</v>
      </c>
      <c r="AF8" s="11">
        <f>SUMIFS(OldHouses!AM$2:AM$82,OldHouses!$B$2:$B$82,"INPUT",OldHouses!$C$2:$C$82,$C8,OldHouses!$D$2:$D$82,$D8,OldHouses!$G$2:$G$82,$B8)</f>
        <v>0.0078121082932049203</v>
      </c>
      <c r="AG8" s="11">
        <f>SUMIFS(OldHouses!AN$2:AN$82,OldHouses!$B$2:$B$82,"INPUT",OldHouses!$C$2:$C$82,$C8,OldHouses!$D$2:$D$82,$D8,OldHouses!$G$2:$G$82,$B8)</f>
        <v>0.0095212160972628496</v>
      </c>
      <c r="AH8" s="11">
        <f>SUMIFS(OldHouses!AO$2:AO$82,OldHouses!$B$2:$B$82,"INPUT",OldHouses!$C$2:$C$82,$C8,OldHouses!$D$2:$D$82,$D8,OldHouses!$G$2:$G$82,$B8)</f>
        <v>0.0085096927408361608</v>
      </c>
      <c r="AI8" s="11">
        <f>SUMIFS(OldHouses!AP$2:AP$82,OldHouses!$B$2:$B$82,"INPUT",OldHouses!$C$2:$C$82,$C8,OldHouses!$D$2:$D$82,$D8,OldHouses!$G$2:$G$82,$B8)</f>
        <v>0.0029593185123942801</v>
      </c>
      <c r="AJ8" s="11">
        <f>SUMIFS(OldHouses!AQ$2:AQ$82,OldHouses!$B$2:$B$82,"INPUT",OldHouses!$C$2:$C$82,$C8,OldHouses!$D$2:$D$82,$D8,OldHouses!$G$2:$G$82,$B8)</f>
        <v>0.0056691671983411501</v>
      </c>
      <c r="AK8" s="11">
        <f>SUMIFS(OldHouses!AR$2:AR$82,OldHouses!$B$2:$B$82,"INPUT",OldHouses!$C$2:$C$82,$C8,OldHouses!$D$2:$D$82,$D8,OldHouses!$G$2:$G$82,$B8)</f>
        <v>0.0092174050501857303</v>
      </c>
      <c r="AL8" s="11">
        <f>SUMIFS(OldHouses!AS$2:AS$82,OldHouses!$B$2:$B$82,"INPUT",OldHouses!$C$2:$C$82,$C8,OldHouses!$D$2:$D$82,$D8,OldHouses!$G$2:$G$82,$B8)</f>
        <v>0.0123043102433363</v>
      </c>
      <c r="AM8" s="11">
        <f>SUMIFS(OldHouses!AT$2:AT$82,OldHouses!$B$2:$B$82,"INPUT",OldHouses!$C$2:$C$82,$C8,OldHouses!$D$2:$D$82,$D8,OldHouses!$G$2:$G$82,$B8)</f>
        <v>0.00544014982621776</v>
      </c>
      <c r="AN8" s="11">
        <f>SUMIFS(OldHouses!AU$2:AU$82,OldHouses!$B$2:$B$82,"INPUT",OldHouses!$C$2:$C$82,$C8,OldHouses!$D$2:$D$82,$D8,OldHouses!$G$2:$G$82,$B8)</f>
        <v>0.0074386773388463298</v>
      </c>
      <c r="AO8" s="11">
        <f>SUMIFS(OldHouses!AV$2:AV$82,OldHouses!$B$2:$B$82,"INPUT",OldHouses!$C$2:$C$82,$C8,OldHouses!$D$2:$D$82,$D8,OldHouses!$G$2:$G$82,$B8)</f>
        <v>0.0043657947328125399</v>
      </c>
    </row>
    <row r="9" spans="2:41" ht="14.4">
      <c r="B9">
        <v>2010</v>
      </c>
      <c r="C9" t="s">
        <v>56</v>
      </c>
      <c r="D9" t="s">
        <v>60</v>
      </c>
      <c r="E9" s="11">
        <f>SUMIFS(OldHouses!L$2:L$82,OldHouses!$B$2:$B$82,"INPUT",OldHouses!$C$2:$C$82,$C9,OldHouses!$D$2:$D$82,$D9,OldHouses!$G$2:$G$82,$B9)</f>
        <v>0.0053358007298559404</v>
      </c>
      <c r="F9" s="11">
        <f>SUMIFS(OldHouses!M$2:M$82,OldHouses!$B$2:$B$82,"INPUT",OldHouses!$C$2:$C$82,$C9,OldHouses!$D$2:$D$82,$D9,OldHouses!$G$2:$G$82,$B9)</f>
        <v>0.0056256905354522598</v>
      </c>
      <c r="G9" s="11">
        <f>SUMIFS(OldHouses!N$2:N$82,OldHouses!$B$2:$B$82,"INPUT",OldHouses!$C$2:$C$82,$C9,OldHouses!$D$2:$D$82,$D9,OldHouses!$G$2:$G$82,$B9)</f>
        <v>0.0028151069238729499</v>
      </c>
      <c r="H9" s="11">
        <f>SUMIFS(OldHouses!O$2:O$82,OldHouses!$B$2:$B$82,"INPUT",OldHouses!$C$2:$C$82,$C9,OldHouses!$D$2:$D$82,$D9,OldHouses!$G$2:$G$82,$B9)</f>
        <v>0.0047636055714447298</v>
      </c>
      <c r="I9" s="11">
        <f>SUMIFS(OldHouses!P$2:P$82,OldHouses!$B$2:$B$82,"INPUT",OldHouses!$C$2:$C$82,$C9,OldHouses!$D$2:$D$82,$D9,OldHouses!$G$2:$G$82,$B9)</f>
        <v>0.0037927589536219698</v>
      </c>
      <c r="J9" s="11">
        <f>SUMIFS(OldHouses!Q$2:Q$82,OldHouses!$B$2:$B$82,"INPUT",OldHouses!$C$2:$C$82,$C9,OldHouses!$D$2:$D$82,$D9,OldHouses!$G$2:$G$82,$B9)</f>
        <v>0.00425516344182157</v>
      </c>
      <c r="K9" s="11">
        <f>SUMIFS(OldHouses!R$2:R$82,OldHouses!$B$2:$B$82,"INPUT",OldHouses!$C$2:$C$82,$C9,OldHouses!$D$2:$D$82,$D9,OldHouses!$G$2:$G$82,$B9)</f>
        <v>0.0047339725296001696</v>
      </c>
      <c r="L9" s="11">
        <f>SUMIFS(OldHouses!S$2:S$82,OldHouses!$B$2:$B$82,"INPUT",OldHouses!$C$2:$C$82,$C9,OldHouses!$D$2:$D$82,$D9,OldHouses!$G$2:$G$82,$B9)</f>
        <v>0.0035629419658595699</v>
      </c>
      <c r="M9" s="11">
        <f>SUMIFS(OldHouses!T$2:T$82,OldHouses!$B$2:$B$82,"INPUT",OldHouses!$C$2:$C$82,$C9,OldHouses!$D$2:$D$82,$D9,OldHouses!$G$2:$G$82,$B9)</f>
        <v>0.0046049016035624004</v>
      </c>
      <c r="N9" s="11">
        <f>SUMIFS(OldHouses!U$2:U$82,OldHouses!$B$2:$B$82,"INPUT",OldHouses!$C$2:$C$82,$C9,OldHouses!$D$2:$D$82,$D9,OldHouses!$G$2:$G$82,$B9)</f>
        <v>0.0048614593192417696</v>
      </c>
      <c r="O9" s="11">
        <f>SUMIFS(OldHouses!V$2:V$82,OldHouses!$B$2:$B$82,"INPUT",OldHouses!$C$2:$C$82,$C9,OldHouses!$D$2:$D$82,$D9,OldHouses!$G$2:$G$82,$B9)</f>
        <v>0.0044688314385498201</v>
      </c>
      <c r="P9" s="11">
        <f>SUMIFS(OldHouses!W$2:W$82,OldHouses!$B$2:$B$82,"INPUT",OldHouses!$C$2:$C$82,$C9,OldHouses!$D$2:$D$82,$D9,OldHouses!$G$2:$G$82,$B9)</f>
        <v>0.00521120739226031</v>
      </c>
      <c r="Q9" s="11">
        <f>SUMIFS(OldHouses!X$2:X$82,OldHouses!$B$2:$B$82,"INPUT",OldHouses!$C$2:$C$82,$C9,OldHouses!$D$2:$D$82,$D9,OldHouses!$G$2:$G$82,$B9)</f>
        <v>0.0060053589470557703</v>
      </c>
      <c r="R9" s="11">
        <f>SUMIFS(OldHouses!Y$2:Y$82,OldHouses!$B$2:$B$82,"INPUT",OldHouses!$C$2:$C$82,$C9,OldHouses!$D$2:$D$82,$D9,OldHouses!$G$2:$G$82,$B9)</f>
        <v>0.0056799848400766401</v>
      </c>
      <c r="S9" s="11">
        <f>SUMIFS(OldHouses!Z$2:Z$82,OldHouses!$B$2:$B$82,"INPUT",OldHouses!$C$2:$C$82,$C9,OldHouses!$D$2:$D$82,$D9,OldHouses!$G$2:$G$82,$B9)</f>
        <v>0.0049769854567531698</v>
      </c>
      <c r="T9" s="11">
        <f>SUMIFS(OldHouses!AA$2:AA$82,OldHouses!$B$2:$B$82,"INPUT",OldHouses!$C$2:$C$82,$C9,OldHouses!$D$2:$D$82,$D9,OldHouses!$G$2:$G$82,$B9)</f>
        <v>0.00306854612928309</v>
      </c>
      <c r="U9" s="11">
        <f>SUMIFS(OldHouses!AB$2:AB$82,OldHouses!$B$2:$B$82,"INPUT",OldHouses!$C$2:$C$82,$C9,OldHouses!$D$2:$D$82,$D9,OldHouses!$G$2:$G$82,$B9)</f>
        <v>0.0026679990995484202</v>
      </c>
      <c r="V9" s="11">
        <f>SUMIFS(OldHouses!AC$2:AC$82,OldHouses!$B$2:$B$82,"INPUT",OldHouses!$C$2:$C$82,$C9,OldHouses!$D$2:$D$82,$D9,OldHouses!$G$2:$G$82,$B9)</f>
        <v>0.0053761325822648696</v>
      </c>
      <c r="W9" s="11">
        <f>SUMIFS(OldHouses!AD$2:AD$82,OldHouses!$B$2:$B$82,"INPUT",OldHouses!$C$2:$C$82,$C9,OldHouses!$D$2:$D$82,$D9,OldHouses!$G$2:$G$82,$B9)</f>
        <v>0.00526619708828251</v>
      </c>
      <c r="X9" s="11">
        <f>SUMIFS(OldHouses!AE$2:AE$82,OldHouses!$B$2:$B$82,"INPUT",OldHouses!$C$2:$C$82,$C9,OldHouses!$D$2:$D$82,$D9,OldHouses!$G$2:$G$82,$B9)</f>
        <v>0.0042216067033755602</v>
      </c>
      <c r="Y9" s="11">
        <f>SUMIFS(OldHouses!AF$2:AF$82,OldHouses!$B$2:$B$82,"INPUT",OldHouses!$C$2:$C$82,$C9,OldHouses!$D$2:$D$82,$D9,OldHouses!$G$2:$G$82,$B9)</f>
        <v>0.00214201965514213</v>
      </c>
      <c r="Z9" s="11">
        <f>SUMIFS(OldHouses!AG$2:AG$82,OldHouses!$B$2:$B$82,"INPUT",OldHouses!$C$2:$C$82,$C9,OldHouses!$D$2:$D$82,$D9,OldHouses!$G$2:$G$82,$B9)</f>
        <v>0.0036712522513924501</v>
      </c>
      <c r="AA9" s="11">
        <f>SUMIFS(OldHouses!AH$2:AH$82,OldHouses!$B$2:$B$82,"INPUT",OldHouses!$C$2:$C$82,$C9,OldHouses!$D$2:$D$82,$D9,OldHouses!$G$2:$G$82,$B9)</f>
        <v>0.00383065015024593</v>
      </c>
      <c r="AB9" s="11">
        <f>SUMIFS(OldHouses!AI$2:AI$82,OldHouses!$B$2:$B$82,"INPUT",OldHouses!$C$2:$C$82,$C9,OldHouses!$D$2:$D$82,$D9,OldHouses!$G$2:$G$82,$B9)</f>
        <v>0.0051504524285107996</v>
      </c>
      <c r="AC9" s="11">
        <f>SUMIFS(OldHouses!AJ$2:AJ$82,OldHouses!$B$2:$B$82,"INPUT",OldHouses!$C$2:$C$82,$C9,OldHouses!$D$2:$D$82,$D9,OldHouses!$G$2:$G$82,$B9)</f>
        <v>0.0037947037290630499</v>
      </c>
      <c r="AD9" s="11">
        <f>SUMIFS(OldHouses!AK$2:AK$82,OldHouses!$B$2:$B$82,"INPUT",OldHouses!$C$2:$C$82,$C9,OldHouses!$D$2:$D$82,$D9,OldHouses!$G$2:$G$82,$B9)</f>
        <v>0.0031326587792169899</v>
      </c>
      <c r="AE9" s="11">
        <f>SUMIFS(OldHouses!AL$2:AL$82,OldHouses!$B$2:$B$82,"INPUT",OldHouses!$C$2:$C$82,$C9,OldHouses!$D$2:$D$82,$D9,OldHouses!$G$2:$G$82,$B9)</f>
        <v>0.0023041500628651298</v>
      </c>
      <c r="AF9" s="11">
        <f>SUMIFS(OldHouses!AM$2:AM$82,OldHouses!$B$2:$B$82,"INPUT",OldHouses!$C$2:$C$82,$C9,OldHouses!$D$2:$D$82,$D9,OldHouses!$G$2:$G$82,$B9)</f>
        <v>0.0046221830101072902</v>
      </c>
      <c r="AG9" s="11">
        <f>SUMIFS(OldHouses!AN$2:AN$82,OldHouses!$B$2:$B$82,"INPUT",OldHouses!$C$2:$C$82,$C9,OldHouses!$D$2:$D$82,$D9,OldHouses!$G$2:$G$82,$B9)</f>
        <v>0.0077049729752123796</v>
      </c>
      <c r="AH9" s="11">
        <f>SUMIFS(OldHouses!AO$2:AO$82,OldHouses!$B$2:$B$82,"INPUT",OldHouses!$C$2:$C$82,$C9,OldHouses!$D$2:$D$82,$D9,OldHouses!$G$2:$G$82,$B9)</f>
        <v>0.00458893570106483</v>
      </c>
      <c r="AI9" s="11">
        <f>SUMIFS(OldHouses!AP$2:AP$82,OldHouses!$B$2:$B$82,"INPUT",OldHouses!$C$2:$C$82,$C9,OldHouses!$D$2:$D$82,$D9,OldHouses!$G$2:$G$82,$B9)</f>
        <v>0.0074087934223185702</v>
      </c>
      <c r="AJ9" s="11">
        <f>SUMIFS(OldHouses!AQ$2:AQ$82,OldHouses!$B$2:$B$82,"INPUT",OldHouses!$C$2:$C$82,$C9,OldHouses!$D$2:$D$82,$D9,OldHouses!$G$2:$G$82,$B9)</f>
        <v>0.0030750228676997299</v>
      </c>
      <c r="AK9" s="11">
        <f>SUMIFS(OldHouses!AR$2:AR$82,OldHouses!$B$2:$B$82,"INPUT",OldHouses!$C$2:$C$82,$C9,OldHouses!$D$2:$D$82,$D9,OldHouses!$G$2:$G$82,$B9)</f>
        <v>0.0034637810047841401</v>
      </c>
      <c r="AL9" s="11">
        <f>SUMIFS(OldHouses!AS$2:AS$82,OldHouses!$B$2:$B$82,"INPUT",OldHouses!$C$2:$C$82,$C9,OldHouses!$D$2:$D$82,$D9,OldHouses!$G$2:$G$82,$B9)</f>
        <v>0.0046469993785043899</v>
      </c>
      <c r="AM9" s="11">
        <f>SUMIFS(OldHouses!AT$2:AT$82,OldHouses!$B$2:$B$82,"INPUT",OldHouses!$C$2:$C$82,$C9,OldHouses!$D$2:$D$82,$D9,OldHouses!$G$2:$G$82,$B9)</f>
        <v>0.0061865565760232796</v>
      </c>
      <c r="AN9" s="11">
        <f>SUMIFS(OldHouses!AU$2:AU$82,OldHouses!$B$2:$B$82,"INPUT",OldHouses!$C$2:$C$82,$C9,OldHouses!$D$2:$D$82,$D9,OldHouses!$G$2:$G$82,$B9)</f>
        <v>0.0046960707674216099</v>
      </c>
      <c r="AO9" s="11">
        <f>SUMIFS(OldHouses!AV$2:AV$82,OldHouses!$B$2:$B$82,"INPUT",OldHouses!$C$2:$C$82,$C9,OldHouses!$D$2:$D$82,$D9,OldHouses!$G$2:$G$82,$B9)</f>
        <v>0.0046055530693775099</v>
      </c>
    </row>
    <row r="10" spans="2:41" ht="14.4">
      <c r="B10">
        <v>2010</v>
      </c>
      <c r="C10" t="s">
        <v>61</v>
      </c>
      <c r="D10" t="s">
        <v>62</v>
      </c>
      <c r="E10" s="11">
        <f>SUMIFS(OldHouses!L$2:L$82,OldHouses!$B$2:$B$82,"INPUT",OldHouses!$C$2:$C$82,$C10,OldHouses!$D$2:$D$82,$D10,OldHouses!$G$2:$G$82,$B10)</f>
        <v>0.0096401693011622103</v>
      </c>
      <c r="F10" s="11">
        <f>SUMIFS(OldHouses!M$2:M$82,OldHouses!$B$2:$B$82,"INPUT",OldHouses!$C$2:$C$82,$C10,OldHouses!$D$2:$D$82,$D10,OldHouses!$G$2:$G$82,$B10)</f>
        <v>0.0030415222889943099</v>
      </c>
      <c r="G10" s="11">
        <f>SUMIFS(OldHouses!N$2:N$82,OldHouses!$B$2:$B$82,"INPUT",OldHouses!$C$2:$C$82,$C10,OldHouses!$D$2:$D$82,$D10,OldHouses!$G$2:$G$82,$B10)</f>
        <v>0.0042581434154369702</v>
      </c>
      <c r="H10" s="11">
        <f>SUMIFS(OldHouses!O$2:O$82,OldHouses!$B$2:$B$82,"INPUT",OldHouses!$C$2:$C$82,$C10,OldHouses!$D$2:$D$82,$D10,OldHouses!$G$2:$G$82,$B10)</f>
        <v>0.0034102939388338601</v>
      </c>
      <c r="I10" s="11">
        <f>SUMIFS(OldHouses!P$2:P$82,OldHouses!$B$2:$B$82,"INPUT",OldHouses!$C$2:$C$82,$C10,OldHouses!$D$2:$D$82,$D10,OldHouses!$G$2:$G$82,$B10)</f>
        <v>0.0036540878403332499</v>
      </c>
      <c r="J10" s="11">
        <f>SUMIFS(OldHouses!Q$2:Q$82,OldHouses!$B$2:$B$82,"INPUT",OldHouses!$C$2:$C$82,$C10,OldHouses!$D$2:$D$82,$D10,OldHouses!$G$2:$G$82,$B10)</f>
        <v>0.0035508103674260398</v>
      </c>
      <c r="K10" s="11">
        <f>SUMIFS(OldHouses!R$2:R$82,OldHouses!$B$2:$B$82,"INPUT",OldHouses!$C$2:$C$82,$C10,OldHouses!$D$2:$D$82,$D10,OldHouses!$G$2:$G$82,$B10)</f>
        <v>0.0031439568442420199</v>
      </c>
      <c r="L10" s="11">
        <f>SUMIFS(OldHouses!S$2:S$82,OldHouses!$B$2:$B$82,"INPUT",OldHouses!$C$2:$C$82,$C10,OldHouses!$D$2:$D$82,$D10,OldHouses!$G$2:$G$82,$B10)</f>
        <v>0.00282814602417679</v>
      </c>
      <c r="M10" s="11">
        <f>SUMIFS(OldHouses!T$2:T$82,OldHouses!$B$2:$B$82,"INPUT",OldHouses!$C$2:$C$82,$C10,OldHouses!$D$2:$D$82,$D10,OldHouses!$G$2:$G$82,$B10)</f>
        <v>0.0032488705943226602</v>
      </c>
      <c r="N10" s="11">
        <f>SUMIFS(OldHouses!U$2:U$82,OldHouses!$B$2:$B$82,"INPUT",OldHouses!$C$2:$C$82,$C10,OldHouses!$D$2:$D$82,$D10,OldHouses!$G$2:$G$82,$B10)</f>
        <v>0.0028361456877566298</v>
      </c>
      <c r="O10" s="11">
        <f>SUMIFS(OldHouses!V$2:V$82,OldHouses!$B$2:$B$82,"INPUT",OldHouses!$C$2:$C$82,$C10,OldHouses!$D$2:$D$82,$D10,OldHouses!$G$2:$G$82,$B10)</f>
        <v>0.00276541346183358</v>
      </c>
      <c r="P10" s="11">
        <f>SUMIFS(OldHouses!W$2:W$82,OldHouses!$B$2:$B$82,"INPUT",OldHouses!$C$2:$C$82,$C10,OldHouses!$D$2:$D$82,$D10,OldHouses!$G$2:$G$82,$B10)</f>
        <v>0.0056266963289672497</v>
      </c>
      <c r="Q10" s="11">
        <f>SUMIFS(OldHouses!X$2:X$82,OldHouses!$B$2:$B$82,"INPUT",OldHouses!$C$2:$C$82,$C10,OldHouses!$D$2:$D$82,$D10,OldHouses!$G$2:$G$82,$B10)</f>
        <v>0.0038085079249353302</v>
      </c>
      <c r="R10" s="11">
        <f>SUMIFS(OldHouses!Y$2:Y$82,OldHouses!$B$2:$B$82,"INPUT",OldHouses!$C$2:$C$82,$C10,OldHouses!$D$2:$D$82,$D10,OldHouses!$G$2:$G$82,$B10)</f>
        <v>0.0026293573109243702</v>
      </c>
      <c r="S10" s="11">
        <f>SUMIFS(OldHouses!Z$2:Z$82,OldHouses!$B$2:$B$82,"INPUT",OldHouses!$C$2:$C$82,$C10,OldHouses!$D$2:$D$82,$D10,OldHouses!$G$2:$G$82,$B10)</f>
        <v>0.0046456785706277598</v>
      </c>
      <c r="T10" s="11">
        <f>SUMIFS(OldHouses!AA$2:AA$82,OldHouses!$B$2:$B$82,"INPUT",OldHouses!$C$2:$C$82,$C10,OldHouses!$D$2:$D$82,$D10,OldHouses!$G$2:$G$82,$B10)</f>
        <v>0.0030876066146761599</v>
      </c>
      <c r="U10" s="11">
        <f>SUMIFS(OldHouses!AB$2:AB$82,OldHouses!$B$2:$B$82,"INPUT",OldHouses!$C$2:$C$82,$C10,OldHouses!$D$2:$D$82,$D10,OldHouses!$G$2:$G$82,$B10)</f>
        <v>0.0027436497090527899</v>
      </c>
      <c r="V10" s="11">
        <f>SUMIFS(OldHouses!AC$2:AC$82,OldHouses!$B$2:$B$82,"INPUT",OldHouses!$C$2:$C$82,$C10,OldHouses!$D$2:$D$82,$D10,OldHouses!$G$2:$G$82,$B10)</f>
        <v>0.0029710596309351299</v>
      </c>
      <c r="W10" s="11">
        <f>SUMIFS(OldHouses!AD$2:AD$82,OldHouses!$B$2:$B$82,"INPUT",OldHouses!$C$2:$C$82,$C10,OldHouses!$D$2:$D$82,$D10,OldHouses!$G$2:$G$82,$B10)</f>
        <v>0.0022971797935458001</v>
      </c>
      <c r="X10" s="11">
        <f>SUMIFS(OldHouses!AE$2:AE$82,OldHouses!$B$2:$B$82,"INPUT",OldHouses!$C$2:$C$82,$C10,OldHouses!$D$2:$D$82,$D10,OldHouses!$G$2:$G$82,$B10)</f>
        <v>0.0024563524698412598</v>
      </c>
      <c r="Y10" s="11">
        <f>SUMIFS(OldHouses!AF$2:AF$82,OldHouses!$B$2:$B$82,"INPUT",OldHouses!$C$2:$C$82,$C10,OldHouses!$D$2:$D$82,$D10,OldHouses!$G$2:$G$82,$B10)</f>
        <v>0.00375506972701621</v>
      </c>
      <c r="Z10" s="11">
        <f>SUMIFS(OldHouses!AG$2:AG$82,OldHouses!$B$2:$B$82,"INPUT",OldHouses!$C$2:$C$82,$C10,OldHouses!$D$2:$D$82,$D10,OldHouses!$G$2:$G$82,$B10)</f>
        <v>0.0024095486640133101</v>
      </c>
      <c r="AA10" s="11">
        <f>SUMIFS(OldHouses!AH$2:AH$82,OldHouses!$B$2:$B$82,"INPUT",OldHouses!$C$2:$C$82,$C10,OldHouses!$D$2:$D$82,$D10,OldHouses!$G$2:$G$82,$B10)</f>
        <v>0.0028929006536856398</v>
      </c>
      <c r="AB10" s="11">
        <f>SUMIFS(OldHouses!AI$2:AI$82,OldHouses!$B$2:$B$82,"INPUT",OldHouses!$C$2:$C$82,$C10,OldHouses!$D$2:$D$82,$D10,OldHouses!$G$2:$G$82,$B10)</f>
        <v>0.0018737845806433399</v>
      </c>
      <c r="AC10" s="11">
        <f>SUMIFS(OldHouses!AJ$2:AJ$82,OldHouses!$B$2:$B$82,"INPUT",OldHouses!$C$2:$C$82,$C10,OldHouses!$D$2:$D$82,$D10,OldHouses!$G$2:$G$82,$B10)</f>
        <v>0.0079551734298874497</v>
      </c>
      <c r="AD10" s="11">
        <f>SUMIFS(OldHouses!AK$2:AK$82,OldHouses!$B$2:$B$82,"INPUT",OldHouses!$C$2:$C$82,$C10,OldHouses!$D$2:$D$82,$D10,OldHouses!$G$2:$G$82,$B10)</f>
        <v>0.0052408564883108097</v>
      </c>
      <c r="AE10" s="11">
        <f>SUMIFS(OldHouses!AL$2:AL$82,OldHouses!$B$2:$B$82,"INPUT",OldHouses!$C$2:$C$82,$C10,OldHouses!$D$2:$D$82,$D10,OldHouses!$G$2:$G$82,$B10)</f>
        <v>0.0040527979453475601</v>
      </c>
      <c r="AF10" s="11">
        <f>SUMIFS(OldHouses!AM$2:AM$82,OldHouses!$B$2:$B$82,"INPUT",OldHouses!$C$2:$C$82,$C10,OldHouses!$D$2:$D$82,$D10,OldHouses!$G$2:$G$82,$B10)</f>
        <v>0.00333257110748839</v>
      </c>
      <c r="AG10" s="11">
        <f>SUMIFS(OldHouses!AN$2:AN$82,OldHouses!$B$2:$B$82,"INPUT",OldHouses!$C$2:$C$82,$C10,OldHouses!$D$2:$D$82,$D10,OldHouses!$G$2:$G$82,$B10)</f>
        <v>0.0074120673285544801</v>
      </c>
      <c r="AH10" s="11">
        <f>SUMIFS(OldHouses!AO$2:AO$82,OldHouses!$B$2:$B$82,"INPUT",OldHouses!$C$2:$C$82,$C10,OldHouses!$D$2:$D$82,$D10,OldHouses!$G$2:$G$82,$B10)</f>
        <v>0.0031582031254655</v>
      </c>
      <c r="AI10" s="11">
        <f>SUMIFS(OldHouses!AP$2:AP$82,OldHouses!$B$2:$B$82,"INPUT",OldHouses!$C$2:$C$82,$C10,OldHouses!$D$2:$D$82,$D10,OldHouses!$G$2:$G$82,$B10)</f>
        <v>0.015925988068439</v>
      </c>
      <c r="AJ10" s="11">
        <f>SUMIFS(OldHouses!AQ$2:AQ$82,OldHouses!$B$2:$B$82,"INPUT",OldHouses!$C$2:$C$82,$C10,OldHouses!$D$2:$D$82,$D10,OldHouses!$G$2:$G$82,$B10)</f>
        <v>0.0026716940978137199</v>
      </c>
      <c r="AK10" s="11">
        <f>SUMIFS(OldHouses!AR$2:AR$82,OldHouses!$B$2:$B$82,"INPUT",OldHouses!$C$2:$C$82,$C10,OldHouses!$D$2:$D$82,$D10,OldHouses!$G$2:$G$82,$B10)</f>
        <v>0.0048263692079581399</v>
      </c>
      <c r="AL10" s="11">
        <f>SUMIFS(OldHouses!AS$2:AS$82,OldHouses!$B$2:$B$82,"INPUT",OldHouses!$C$2:$C$82,$C10,OldHouses!$D$2:$D$82,$D10,OldHouses!$G$2:$G$82,$B10)</f>
        <v>0.00265130540461551</v>
      </c>
      <c r="AM10" s="11">
        <f>SUMIFS(OldHouses!AT$2:AT$82,OldHouses!$B$2:$B$82,"INPUT",OldHouses!$C$2:$C$82,$C10,OldHouses!$D$2:$D$82,$D10,OldHouses!$G$2:$G$82,$B10)</f>
        <v>0.0023401915005250799</v>
      </c>
      <c r="AN10" s="11">
        <f>SUMIFS(OldHouses!AU$2:AU$82,OldHouses!$B$2:$B$82,"INPUT",OldHouses!$C$2:$C$82,$C10,OldHouses!$D$2:$D$82,$D10,OldHouses!$G$2:$G$82,$B10)</f>
        <v>0.0036328190444342499</v>
      </c>
      <c r="AO10" s="11">
        <f>SUMIFS(OldHouses!AV$2:AV$82,OldHouses!$B$2:$B$82,"INPUT",OldHouses!$C$2:$C$82,$C10,OldHouses!$D$2:$D$82,$D10,OldHouses!$G$2:$G$82,$B10)</f>
        <v>0.0020315868994864</v>
      </c>
    </row>
    <row r="11" spans="2:41" ht="14.4">
      <c r="B11">
        <v>2010</v>
      </c>
      <c r="C11" t="s">
        <v>61</v>
      </c>
      <c r="D11" t="s">
        <v>63</v>
      </c>
      <c r="E11" s="11">
        <f>SUMIFS(OldHouses!L$2:L$82,OldHouses!$B$2:$B$82,"INPUT",OldHouses!$C$2:$C$82,$C11,OldHouses!$D$2:$D$82,$D11,OldHouses!$G$2:$G$82,$B11)</f>
        <v>0.00330236288590315</v>
      </c>
      <c r="F11" s="11">
        <f>SUMIFS(OldHouses!M$2:M$82,OldHouses!$B$2:$B$82,"INPUT",OldHouses!$C$2:$C$82,$C11,OldHouses!$D$2:$D$82,$D11,OldHouses!$G$2:$G$82,$B11)</f>
        <v>0.00031367532348014699</v>
      </c>
      <c r="G11" s="11">
        <f>SUMIFS(OldHouses!N$2:N$82,OldHouses!$B$2:$B$82,"INPUT",OldHouses!$C$2:$C$82,$C11,OldHouses!$D$2:$D$82,$D11,OldHouses!$G$2:$G$82,$B11)</f>
        <v>0.0081355237794084601</v>
      </c>
      <c r="H11" s="11">
        <f>SUMIFS(OldHouses!O$2:O$82,OldHouses!$B$2:$B$82,"INPUT",OldHouses!$C$2:$C$82,$C11,OldHouses!$D$2:$D$82,$D11,OldHouses!$G$2:$G$82,$B11)</f>
        <v>0.00106447799615975</v>
      </c>
      <c r="I11" s="11">
        <f>SUMIFS(OldHouses!P$2:P$82,OldHouses!$B$2:$B$82,"INPUT",OldHouses!$C$2:$C$82,$C11,OldHouses!$D$2:$D$82,$D11,OldHouses!$G$2:$G$82,$B11)</f>
        <v>0.00053515446359399504</v>
      </c>
      <c r="J11" s="11">
        <f>SUMIFS(OldHouses!Q$2:Q$82,OldHouses!$B$2:$B$82,"INPUT",OldHouses!$C$2:$C$82,$C11,OldHouses!$D$2:$D$82,$D11,OldHouses!$G$2:$G$82,$B11)</f>
        <v>0.00031900864114235299</v>
      </c>
      <c r="K11" s="11">
        <f>SUMIFS(OldHouses!R$2:R$82,OldHouses!$B$2:$B$82,"INPUT",OldHouses!$C$2:$C$82,$C11,OldHouses!$D$2:$D$82,$D11,OldHouses!$G$2:$G$82,$B11)</f>
        <v>0.0075016642333142003</v>
      </c>
      <c r="L11" s="11">
        <f>SUMIFS(OldHouses!S$2:S$82,OldHouses!$B$2:$B$82,"INPUT",OldHouses!$C$2:$C$82,$C11,OldHouses!$D$2:$D$82,$D11,OldHouses!$G$2:$G$82,$B11)</f>
        <v>5.7915380213620601E-05</v>
      </c>
      <c r="M11" s="11">
        <f>SUMIFS(OldHouses!T$2:T$82,OldHouses!$B$2:$B$82,"INPUT",OldHouses!$C$2:$C$82,$C11,OldHouses!$D$2:$D$82,$D11,OldHouses!$G$2:$G$82,$B11)</f>
        <v>0.00027938653494462702</v>
      </c>
      <c r="N11" s="11">
        <f>SUMIFS(OldHouses!U$2:U$82,OldHouses!$B$2:$B$82,"INPUT",OldHouses!$C$2:$C$82,$C11,OldHouses!$D$2:$D$82,$D11,OldHouses!$G$2:$G$82,$B11)</f>
        <v>0.000215866298642578</v>
      </c>
      <c r="O11" s="11">
        <f>SUMIFS(OldHouses!V$2:V$82,OldHouses!$B$2:$B$82,"INPUT",OldHouses!$C$2:$C$82,$C11,OldHouses!$D$2:$D$82,$D11,OldHouses!$G$2:$G$82,$B11)</f>
        <v>1.13004932928846E-05</v>
      </c>
      <c r="P11" s="11">
        <f>SUMIFS(OldHouses!W$2:W$82,OldHouses!$B$2:$B$82,"INPUT",OldHouses!$C$2:$C$82,$C11,OldHouses!$D$2:$D$82,$D11,OldHouses!$G$2:$G$82,$B11)</f>
        <v>0.0024745307312944</v>
      </c>
      <c r="Q11" s="11">
        <f>SUMIFS(OldHouses!X$2:X$82,OldHouses!$B$2:$B$82,"INPUT",OldHouses!$C$2:$C$82,$C11,OldHouses!$D$2:$D$82,$D11,OldHouses!$G$2:$G$82,$B11)</f>
        <v>0.0017885701039009299</v>
      </c>
      <c r="R11" s="29">
        <f>SUMIFS(OldHouses!Y$2:Y$82,OldHouses!$B$2:$B$82,"INPUT",OldHouses!$C$2:$C$82,$C11,OldHouses!$D$2:$D$82,$D11,OldHouses!$G$2:$G$82,$B11)</f>
        <v>7.7066364963614001E-05</v>
      </c>
      <c r="S11" s="11">
        <f>SUMIFS(OldHouses!Z$2:Z$82,OldHouses!$B$2:$B$82,"INPUT",OldHouses!$C$2:$C$82,$C11,OldHouses!$D$2:$D$82,$D11,OldHouses!$G$2:$G$82,$B11)</f>
        <v>0.0021914252725928102</v>
      </c>
      <c r="T11" s="11">
        <f>SUMIFS(OldHouses!AA$2:AA$82,OldHouses!$B$2:$B$82,"INPUT",OldHouses!$C$2:$C$82,$C11,OldHouses!$D$2:$D$82,$D11,OldHouses!$G$2:$G$82,$B11)</f>
        <v>0.0040321318774958004</v>
      </c>
      <c r="U11" s="11">
        <f>SUMIFS(OldHouses!AB$2:AB$82,OldHouses!$B$2:$B$82,"INPUT",OldHouses!$C$2:$C$82,$C11,OldHouses!$D$2:$D$82,$D11,OldHouses!$G$2:$G$82,$B11)</f>
        <v>6.3675396170606604E-05</v>
      </c>
      <c r="V11" s="11">
        <f>SUMIFS(OldHouses!AC$2:AC$82,OldHouses!$B$2:$B$82,"INPUT",OldHouses!$C$2:$C$82,$C11,OldHouses!$D$2:$D$82,$D11,OldHouses!$G$2:$G$82,$B11)</f>
        <v>0.000182029993205651</v>
      </c>
      <c r="W11" s="11">
        <f>SUMIFS(OldHouses!AD$2:AD$82,OldHouses!$B$2:$B$82,"INPUT",OldHouses!$C$2:$C$82,$C11,OldHouses!$D$2:$D$82,$D11,OldHouses!$G$2:$G$82,$B11)</f>
        <v>6.6958366412724304E-05</v>
      </c>
      <c r="X11" s="11">
        <f>SUMIFS(OldHouses!AE$2:AE$82,OldHouses!$B$2:$B$82,"INPUT",OldHouses!$C$2:$C$82,$C11,OldHouses!$D$2:$D$82,$D11,OldHouses!$G$2:$G$82,$B11)</f>
        <v>0.0018281929071075</v>
      </c>
      <c r="Y11" s="11">
        <f>SUMIFS(OldHouses!AF$2:AF$82,OldHouses!$B$2:$B$82,"INPUT",OldHouses!$C$2:$C$82,$C11,OldHouses!$D$2:$D$82,$D11,OldHouses!$G$2:$G$82,$B11)</f>
        <v>0.0068175809723035096</v>
      </c>
      <c r="Z11" s="11">
        <f>SUMIFS(OldHouses!AG$2:AG$82,OldHouses!$B$2:$B$82,"INPUT",OldHouses!$C$2:$C$82,$C11,OldHouses!$D$2:$D$82,$D11,OldHouses!$G$2:$G$82,$B11)</f>
        <v>0</v>
      </c>
      <c r="AA11" s="11">
        <f>SUMIFS(OldHouses!AH$2:AH$82,OldHouses!$B$2:$B$82,"INPUT",OldHouses!$C$2:$C$82,$C11,OldHouses!$D$2:$D$82,$D11,OldHouses!$G$2:$G$82,$B11)</f>
        <v>0.0029769779379129101</v>
      </c>
      <c r="AB11" s="11">
        <f>SUMIFS(OldHouses!AI$2:AI$82,OldHouses!$B$2:$B$82,"INPUT",OldHouses!$C$2:$C$82,$C11,OldHouses!$D$2:$D$82,$D11,OldHouses!$G$2:$G$82,$B11)</f>
        <v>0</v>
      </c>
      <c r="AC11" s="11">
        <f>SUMIFS(OldHouses!AJ$2:AJ$82,OldHouses!$B$2:$B$82,"INPUT",OldHouses!$C$2:$C$82,$C11,OldHouses!$D$2:$D$82,$D11,OldHouses!$G$2:$G$82,$B11)</f>
        <v>0.0032922643511000302</v>
      </c>
      <c r="AD11" s="11">
        <f>SUMIFS(OldHouses!AK$2:AK$82,OldHouses!$B$2:$B$82,"INPUT",OldHouses!$C$2:$C$82,$C11,OldHouses!$D$2:$D$82,$D11,OldHouses!$G$2:$G$82,$B11)</f>
        <v>0.0096533092678208407</v>
      </c>
      <c r="AE11" s="11">
        <f>SUMIFS(OldHouses!AL$2:AL$82,OldHouses!$B$2:$B$82,"INPUT",OldHouses!$C$2:$C$82,$C11,OldHouses!$D$2:$D$82,$D11,OldHouses!$G$2:$G$82,$B11)</f>
        <v>0.0086615593488368996</v>
      </c>
      <c r="AF11" s="11">
        <f>SUMIFS(OldHouses!AM$2:AM$82,OldHouses!$B$2:$B$82,"INPUT",OldHouses!$C$2:$C$82,$C11,OldHouses!$D$2:$D$82,$D11,OldHouses!$G$2:$G$82,$B11)</f>
        <v>0.00068788026038014299</v>
      </c>
      <c r="AG11" s="11">
        <f>SUMIFS(OldHouses!AN$2:AN$82,OldHouses!$B$2:$B$82,"INPUT",OldHouses!$C$2:$C$82,$C11,OldHouses!$D$2:$D$82,$D11,OldHouses!$G$2:$G$82,$B11)</f>
        <v>0.00024065938248666799</v>
      </c>
      <c r="AH11" s="11">
        <f>SUMIFS(OldHouses!AO$2:AO$82,OldHouses!$B$2:$B$82,"INPUT",OldHouses!$C$2:$C$82,$C11,OldHouses!$D$2:$D$82,$D11,OldHouses!$G$2:$G$82,$B11)</f>
        <v>3.7704132590165203E-05</v>
      </c>
      <c r="AI11" s="11">
        <f>SUMIFS(OldHouses!AP$2:AP$82,OldHouses!$B$2:$B$82,"INPUT",OldHouses!$C$2:$C$82,$C11,OldHouses!$D$2:$D$82,$D11,OldHouses!$G$2:$G$82,$B11)</f>
        <v>0.00137016530675495</v>
      </c>
      <c r="AJ11" s="11">
        <f>SUMIFS(OldHouses!AQ$2:AQ$82,OldHouses!$B$2:$B$82,"INPUT",OldHouses!$C$2:$C$82,$C11,OldHouses!$D$2:$D$82,$D11,OldHouses!$G$2:$G$82,$B11)</f>
        <v>8.1424878342299905E-05</v>
      </c>
      <c r="AK11" s="11">
        <f>SUMIFS(OldHouses!AR$2:AR$82,OldHouses!$B$2:$B$82,"INPUT",OldHouses!$C$2:$C$82,$C11,OldHouses!$D$2:$D$82,$D11,OldHouses!$G$2:$G$82,$B11)</f>
        <v>0.0088705237189384608</v>
      </c>
      <c r="AL11" s="11">
        <f>SUMIFS(OldHouses!AS$2:AS$82,OldHouses!$B$2:$B$82,"INPUT",OldHouses!$C$2:$C$82,$C11,OldHouses!$D$2:$D$82,$D11,OldHouses!$G$2:$G$82,$B11)</f>
        <v>0.00015883063644810401</v>
      </c>
      <c r="AM11" s="11">
        <f>SUMIFS(OldHouses!AT$2:AT$82,OldHouses!$B$2:$B$82,"INPUT",OldHouses!$C$2:$C$82,$C11,OldHouses!$D$2:$D$82,$D11,OldHouses!$G$2:$G$82,$B11)</f>
        <v>0.00060158929463398803</v>
      </c>
      <c r="AN11" s="11">
        <f>SUMIFS(OldHouses!AU$2:AU$82,OldHouses!$B$2:$B$82,"INPUT",OldHouses!$C$2:$C$82,$C11,OldHouses!$D$2:$D$82,$D11,OldHouses!$G$2:$G$82,$B11)</f>
        <v>0.00019404844073037401</v>
      </c>
      <c r="AO11" s="11">
        <f>SUMIFS(OldHouses!AV$2:AV$82,OldHouses!$B$2:$B$82,"INPUT",OldHouses!$C$2:$C$82,$C11,OldHouses!$D$2:$D$82,$D11,OldHouses!$G$2:$G$82,$B11)</f>
        <v>0.00012129151854895301</v>
      </c>
    </row>
    <row r="12" spans="2:41" ht="14.4">
      <c r="B12">
        <v>2004</v>
      </c>
      <c r="C12" t="s">
        <v>61</v>
      </c>
      <c r="D12" t="s">
        <v>64</v>
      </c>
      <c r="E12" s="11">
        <f>SUMIFS(OldHouses!L$2:L$82,OldHouses!$B$2:$B$82,"INPUT",OldHouses!$C$2:$C$82,$C12,OldHouses!$D$2:$D$82,$D12,OldHouses!$G$2:$G$82,$B12)</f>
        <v>0.0045375000542220998</v>
      </c>
      <c r="F12" s="11">
        <f>SUMIFS(OldHouses!M$2:M$82,OldHouses!$B$2:$B$82,"INPUT",OldHouses!$C$2:$C$82,$C12,OldHouses!$D$2:$D$82,$D12,OldHouses!$G$2:$G$82,$B12)</f>
        <v>0.019275440265662799</v>
      </c>
      <c r="G12" s="11">
        <f>SUMIFS(OldHouses!N$2:N$82,OldHouses!$B$2:$B$82,"INPUT",OldHouses!$C$2:$C$82,$C12,OldHouses!$D$2:$D$82,$D12,OldHouses!$G$2:$G$82,$B12)</f>
        <v>0.010524796046342899</v>
      </c>
      <c r="H12" s="11">
        <f>SUMIFS(OldHouses!O$2:O$82,OldHouses!$B$2:$B$82,"INPUT",OldHouses!$C$2:$C$82,$C12,OldHouses!$D$2:$D$82,$D12,OldHouses!$G$2:$G$82,$B12)</f>
        <v>0.0232129835471712</v>
      </c>
      <c r="I12" s="11">
        <f>SUMIFS(OldHouses!P$2:P$82,OldHouses!$B$2:$B$82,"INPUT",OldHouses!$C$2:$C$82,$C12,OldHouses!$D$2:$D$82,$D12,OldHouses!$G$2:$G$82,$B12)</f>
        <v>0.0075046921478922699</v>
      </c>
      <c r="J12" s="11">
        <f>SUMIFS(OldHouses!Q$2:Q$82,OldHouses!$B$2:$B$82,"INPUT",OldHouses!$C$2:$C$82,$C12,OldHouses!$D$2:$D$82,$D12,OldHouses!$G$2:$G$82,$B12)</f>
        <v>0.020729087314293401</v>
      </c>
      <c r="K12" s="11">
        <f>SUMIFS(OldHouses!R$2:R$82,OldHouses!$B$2:$B$82,"INPUT",OldHouses!$C$2:$C$82,$C12,OldHouses!$D$2:$D$82,$D12,OldHouses!$G$2:$G$82,$B12)</f>
        <v>0.0143200403058332</v>
      </c>
      <c r="L12" s="11">
        <f>SUMIFS(OldHouses!S$2:S$82,OldHouses!$B$2:$B$82,"INPUT",OldHouses!$C$2:$C$82,$C12,OldHouses!$D$2:$D$82,$D12,OldHouses!$G$2:$G$82,$B12)</f>
        <v>0.019541419109130601</v>
      </c>
      <c r="M12" s="11">
        <f>SUMIFS(OldHouses!T$2:T$82,OldHouses!$B$2:$B$82,"INPUT",OldHouses!$C$2:$C$82,$C12,OldHouses!$D$2:$D$82,$D12,OldHouses!$G$2:$G$82,$B12)</f>
        <v>0.015706077630989999</v>
      </c>
      <c r="N12" s="11">
        <f>SUMIFS(OldHouses!U$2:U$82,OldHouses!$B$2:$B$82,"INPUT",OldHouses!$C$2:$C$82,$C12,OldHouses!$D$2:$D$82,$D12,OldHouses!$G$2:$G$82,$B12)</f>
        <v>0.0154728847471451</v>
      </c>
      <c r="O12" s="11">
        <f>SUMIFS(OldHouses!V$2:V$82,OldHouses!$B$2:$B$82,"INPUT",OldHouses!$C$2:$C$82,$C12,OldHouses!$D$2:$D$82,$D12,OldHouses!$G$2:$G$82,$B12)</f>
        <v>0.022536889602733302</v>
      </c>
      <c r="P12" s="11">
        <f>SUMIFS(OldHouses!W$2:W$82,OldHouses!$B$2:$B$82,"INPUT",OldHouses!$C$2:$C$82,$C12,OldHouses!$D$2:$D$82,$D12,OldHouses!$G$2:$G$82,$B12)</f>
        <v>0.0110338689939075</v>
      </c>
      <c r="Q12" s="11">
        <f>SUMIFS(OldHouses!X$2:X$82,OldHouses!$B$2:$B$82,"INPUT",OldHouses!$C$2:$C$82,$C12,OldHouses!$D$2:$D$82,$D12,OldHouses!$G$2:$G$82,$B12)</f>
        <v>0.013060898786311099</v>
      </c>
      <c r="R12" s="11">
        <f>SUMIFS(OldHouses!Y$2:Y$82,OldHouses!$B$2:$B$82,"INPUT",OldHouses!$C$2:$C$82,$C12,OldHouses!$D$2:$D$82,$D12,OldHouses!$G$2:$G$82,$B12)</f>
        <v>0.038986089231661601</v>
      </c>
      <c r="S12" s="11">
        <f>SUMIFS(OldHouses!Z$2:Z$82,OldHouses!$B$2:$B$82,"INPUT",OldHouses!$C$2:$C$82,$C12,OldHouses!$D$2:$D$82,$D12,OldHouses!$G$2:$G$82,$B12)</f>
        <v>0.0118549894061894</v>
      </c>
      <c r="T12" s="11">
        <f>SUMIFS(OldHouses!AA$2:AA$82,OldHouses!$B$2:$B$82,"INPUT",OldHouses!$C$2:$C$82,$C12,OldHouses!$D$2:$D$82,$D12,OldHouses!$G$2:$G$82,$B12)</f>
        <v>0.011631408421087499</v>
      </c>
      <c r="U12" s="11">
        <f>SUMIFS(OldHouses!AB$2:AB$82,OldHouses!$B$2:$B$82,"INPUT",OldHouses!$C$2:$C$82,$C12,OldHouses!$D$2:$D$82,$D12,OldHouses!$G$2:$G$82,$B12)</f>
        <v>0.014432789146392601</v>
      </c>
      <c r="V12" s="11">
        <f>SUMIFS(OldHouses!AC$2:AC$82,OldHouses!$B$2:$B$82,"INPUT",OldHouses!$C$2:$C$82,$C12,OldHouses!$D$2:$D$82,$D12,OldHouses!$G$2:$G$82,$B12)</f>
        <v>0.015172218892261899</v>
      </c>
      <c r="W12" s="11">
        <f>SUMIFS(OldHouses!AD$2:AD$82,OldHouses!$B$2:$B$82,"INPUT",OldHouses!$C$2:$C$82,$C12,OldHouses!$D$2:$D$82,$D12,OldHouses!$G$2:$G$82,$B12)</f>
        <v>0.054212330418214702</v>
      </c>
      <c r="X12" s="11">
        <f>SUMIFS(OldHouses!AE$2:AE$82,OldHouses!$B$2:$B$82,"INPUT",OldHouses!$C$2:$C$82,$C12,OldHouses!$D$2:$D$82,$D12,OldHouses!$G$2:$G$82,$B12)</f>
        <v>0.026018573734932202</v>
      </c>
      <c r="Y12" s="11">
        <f>SUMIFS(OldHouses!AF$2:AF$82,OldHouses!$B$2:$B$82,"INPUT",OldHouses!$C$2:$C$82,$C12,OldHouses!$D$2:$D$82,$D12,OldHouses!$G$2:$G$82,$B12)</f>
        <v>0.010170720287828301</v>
      </c>
      <c r="Z12" s="11">
        <f>SUMIFS(OldHouses!AG$2:AG$82,OldHouses!$B$2:$B$82,"INPUT",OldHouses!$C$2:$C$82,$C12,OldHouses!$D$2:$D$82,$D12,OldHouses!$G$2:$G$82,$B12)</f>
        <v>0.012651995992278399</v>
      </c>
      <c r="AA12" s="11">
        <f>SUMIFS(OldHouses!AH$2:AH$82,OldHouses!$B$2:$B$82,"INPUT",OldHouses!$C$2:$C$82,$C12,OldHouses!$D$2:$D$82,$D12,OldHouses!$G$2:$G$82,$B12)</f>
        <v>0.0226220982166788</v>
      </c>
      <c r="AB12" s="11">
        <f>SUMIFS(OldHouses!AI$2:AI$82,OldHouses!$B$2:$B$82,"INPUT",OldHouses!$C$2:$C$82,$C12,OldHouses!$D$2:$D$82,$D12,OldHouses!$G$2:$G$82,$B12)</f>
        <v>0.0140862220788828</v>
      </c>
      <c r="AC12" s="11">
        <f>SUMIFS(OldHouses!AJ$2:AJ$82,OldHouses!$B$2:$B$82,"INPUT",OldHouses!$C$2:$C$82,$C12,OldHouses!$D$2:$D$82,$D12,OldHouses!$G$2:$G$82,$B12)</f>
        <v>0.020544978004433299</v>
      </c>
      <c r="AD12" s="11">
        <f>SUMIFS(OldHouses!AK$2:AK$82,OldHouses!$B$2:$B$82,"INPUT",OldHouses!$C$2:$C$82,$C12,OldHouses!$D$2:$D$82,$D12,OldHouses!$G$2:$G$82,$B12)</f>
        <v>0.0069508974761988097</v>
      </c>
      <c r="AE12" s="11">
        <f>SUMIFS(OldHouses!AL$2:AL$82,OldHouses!$B$2:$B$82,"INPUT",OldHouses!$C$2:$C$82,$C12,OldHouses!$D$2:$D$82,$D12,OldHouses!$G$2:$G$82,$B12)</f>
        <v>0.0057951457846353999</v>
      </c>
      <c r="AF12" s="11">
        <f>SUMIFS(OldHouses!AM$2:AM$82,OldHouses!$B$2:$B$82,"INPUT",OldHouses!$C$2:$C$82,$C12,OldHouses!$D$2:$D$82,$D12,OldHouses!$G$2:$G$82,$B12)</f>
        <v>0.0178733516334861</v>
      </c>
      <c r="AG12" s="11">
        <f>SUMIFS(OldHouses!AN$2:AN$82,OldHouses!$B$2:$B$82,"INPUT",OldHouses!$C$2:$C$82,$C12,OldHouses!$D$2:$D$82,$D12,OldHouses!$G$2:$G$82,$B12)</f>
        <v>0.020730322227651199</v>
      </c>
      <c r="AH12" s="11">
        <f>SUMIFS(OldHouses!AO$2:AO$82,OldHouses!$B$2:$B$82,"INPUT",OldHouses!$C$2:$C$82,$C12,OldHouses!$D$2:$D$82,$D12,OldHouses!$G$2:$G$82,$B12)</f>
        <v>0.022664164165627099</v>
      </c>
      <c r="AI12" s="11">
        <f>SUMIFS(OldHouses!AP$2:AP$82,OldHouses!$B$2:$B$82,"INPUT",OldHouses!$C$2:$C$82,$C12,OldHouses!$D$2:$D$82,$D12,OldHouses!$G$2:$G$82,$B12)</f>
        <v>0.0063944258358742904</v>
      </c>
      <c r="AJ12" s="11">
        <f>SUMIFS(OldHouses!AQ$2:AQ$82,OldHouses!$B$2:$B$82,"INPUT",OldHouses!$C$2:$C$82,$C12,OldHouses!$D$2:$D$82,$D12,OldHouses!$G$2:$G$82,$B12)</f>
        <v>0.018767063051203101</v>
      </c>
      <c r="AK12" s="11">
        <f>SUMIFS(OldHouses!AR$2:AR$82,OldHouses!$B$2:$B$82,"INPUT",OldHouses!$C$2:$C$82,$C12,OldHouses!$D$2:$D$82,$D12,OldHouses!$G$2:$G$82,$B12)</f>
        <v>0.014923748722361199</v>
      </c>
      <c r="AL12" s="11">
        <f>SUMIFS(OldHouses!AS$2:AS$82,OldHouses!$B$2:$B$82,"INPUT",OldHouses!$C$2:$C$82,$C12,OldHouses!$D$2:$D$82,$D12,OldHouses!$G$2:$G$82,$B12)</f>
        <v>0.0263904996542072</v>
      </c>
      <c r="AM12" s="11">
        <f>SUMIFS(OldHouses!AT$2:AT$82,OldHouses!$B$2:$B$82,"INPUT",OldHouses!$C$2:$C$82,$C12,OldHouses!$D$2:$D$82,$D12,OldHouses!$G$2:$G$82,$B12)</f>
        <v>0.011464475031722999</v>
      </c>
      <c r="AN12" s="11">
        <f>SUMIFS(OldHouses!AU$2:AU$82,OldHouses!$B$2:$B$82,"INPUT",OldHouses!$C$2:$C$82,$C12,OldHouses!$D$2:$D$82,$D12,OldHouses!$G$2:$G$82,$B12)</f>
        <v>0.017061767537593701</v>
      </c>
      <c r="AO12" s="11">
        <f>SUMIFS(OldHouses!AV$2:AV$82,OldHouses!$B$2:$B$82,"INPUT",OldHouses!$C$2:$C$82,$C12,OldHouses!$D$2:$D$82,$D12,OldHouses!$G$2:$G$82,$B12)</f>
        <v>0.0137187975561816</v>
      </c>
    </row>
    <row r="13" spans="2:41" ht="14.4">
      <c r="B13">
        <v>2010</v>
      </c>
      <c r="C13" t="s">
        <v>61</v>
      </c>
      <c r="D13" t="s">
        <v>65</v>
      </c>
      <c r="E13" s="11">
        <f>SUMIFS(OldHouses!L$2:L$82,OldHouses!$B$2:$B$82,"INPUT",OldHouses!$C$2:$C$82,$C13,OldHouses!$D$2:$D$82,$D13,OldHouses!$G$2:$G$82,$B13)</f>
        <v>0.0106716014597119</v>
      </c>
      <c r="F13" s="11">
        <f>SUMIFS(OldHouses!M$2:M$82,OldHouses!$B$2:$B$82,"INPUT",OldHouses!$C$2:$C$82,$C13,OldHouses!$D$2:$D$82,$D13,OldHouses!$G$2:$G$82,$B13)</f>
        <v>0.011251381070904501</v>
      </c>
      <c r="G13" s="11">
        <f>SUMIFS(OldHouses!N$2:N$82,OldHouses!$B$2:$B$82,"INPUT",OldHouses!$C$2:$C$82,$C13,OldHouses!$D$2:$D$82,$D13,OldHouses!$G$2:$G$82,$B13)</f>
        <v>0.0056302138477458902</v>
      </c>
      <c r="H13" s="11">
        <f>SUMIFS(OldHouses!O$2:O$82,OldHouses!$B$2:$B$82,"INPUT",OldHouses!$C$2:$C$82,$C13,OldHouses!$D$2:$D$82,$D13,OldHouses!$G$2:$G$82,$B13)</f>
        <v>0.0095272111428894597</v>
      </c>
      <c r="I13" s="11">
        <f>SUMIFS(OldHouses!P$2:P$82,OldHouses!$B$2:$B$82,"INPUT",OldHouses!$C$2:$C$82,$C13,OldHouses!$D$2:$D$82,$D13,OldHouses!$G$2:$G$82,$B13)</f>
        <v>0.0075855179072439301</v>
      </c>
      <c r="J13" s="11">
        <f>SUMIFS(OldHouses!Q$2:Q$82,OldHouses!$B$2:$B$82,"INPUT",OldHouses!$C$2:$C$82,$C13,OldHouses!$D$2:$D$82,$D13,OldHouses!$G$2:$G$82,$B13)</f>
        <v>0.0085103268836431399</v>
      </c>
      <c r="K13" s="11">
        <f>SUMIFS(OldHouses!R$2:R$82,OldHouses!$B$2:$B$82,"INPUT",OldHouses!$C$2:$C$82,$C13,OldHouses!$D$2:$D$82,$D13,OldHouses!$G$2:$G$82,$B13)</f>
        <v>0.0094679450592003497</v>
      </c>
      <c r="L13" s="11">
        <f>SUMIFS(OldHouses!S$2:S$82,OldHouses!$B$2:$B$82,"INPUT",OldHouses!$C$2:$C$82,$C13,OldHouses!$D$2:$D$82,$D13,OldHouses!$G$2:$G$82,$B13)</f>
        <v>0.0071258839317191397</v>
      </c>
      <c r="M13" s="11">
        <f>SUMIFS(OldHouses!T$2:T$82,OldHouses!$B$2:$B$82,"INPUT",OldHouses!$C$2:$C$82,$C13,OldHouses!$D$2:$D$82,$D13,OldHouses!$G$2:$G$82,$B13)</f>
        <v>0.0092098032071248094</v>
      </c>
      <c r="N13" s="11">
        <f>SUMIFS(OldHouses!U$2:U$82,OldHouses!$B$2:$B$82,"INPUT",OldHouses!$C$2:$C$82,$C13,OldHouses!$D$2:$D$82,$D13,OldHouses!$G$2:$G$82,$B13)</f>
        <v>0.0097229186384835391</v>
      </c>
      <c r="O13" s="11">
        <f>SUMIFS(OldHouses!V$2:V$82,OldHouses!$B$2:$B$82,"INPUT",OldHouses!$C$2:$C$82,$C13,OldHouses!$D$2:$D$82,$D13,OldHouses!$G$2:$G$82,$B13)</f>
        <v>0.0089376628770996402</v>
      </c>
      <c r="P13" s="11">
        <f>SUMIFS(OldHouses!W$2:W$82,OldHouses!$B$2:$B$82,"INPUT",OldHouses!$C$2:$C$82,$C13,OldHouses!$D$2:$D$82,$D13,OldHouses!$G$2:$G$82,$B13)</f>
        <v>0.010422414784520599</v>
      </c>
      <c r="Q13" s="11">
        <f>SUMIFS(OldHouses!X$2:X$82,OldHouses!$B$2:$B$82,"INPUT",OldHouses!$C$2:$C$82,$C13,OldHouses!$D$2:$D$82,$D13,OldHouses!$G$2:$G$82,$B13)</f>
        <v>0.012010717894111501</v>
      </c>
      <c r="R13" s="11">
        <f>SUMIFS(OldHouses!Y$2:Y$82,OldHouses!$B$2:$B$82,"INPUT",OldHouses!$C$2:$C$82,$C13,OldHouses!$D$2:$D$82,$D13,OldHouses!$G$2:$G$82,$B13)</f>
        <v>0.011359969680153299</v>
      </c>
      <c r="S13" s="11">
        <f>SUMIFS(OldHouses!Z$2:Z$82,OldHouses!$B$2:$B$82,"INPUT",OldHouses!$C$2:$C$82,$C13,OldHouses!$D$2:$D$82,$D13,OldHouses!$G$2:$G$82,$B13)</f>
        <v>0.0099539709135063395</v>
      </c>
      <c r="T13" s="11">
        <f>SUMIFS(OldHouses!AA$2:AA$82,OldHouses!$B$2:$B$82,"INPUT",OldHouses!$C$2:$C$82,$C13,OldHouses!$D$2:$D$82,$D13,OldHouses!$G$2:$G$82,$B13)</f>
        <v>0.0061370922585661696</v>
      </c>
      <c r="U13" s="11">
        <f>SUMIFS(OldHouses!AB$2:AB$82,OldHouses!$B$2:$B$82,"INPUT",OldHouses!$C$2:$C$82,$C13,OldHouses!$D$2:$D$82,$D13,OldHouses!$G$2:$G$82,$B13)</f>
        <v>0.00533599819909683</v>
      </c>
      <c r="V13" s="11">
        <f>SUMIFS(OldHouses!AC$2:AC$82,OldHouses!$B$2:$B$82,"INPUT",OldHouses!$C$2:$C$82,$C13,OldHouses!$D$2:$D$82,$D13,OldHouses!$G$2:$G$82,$B13)</f>
        <v>0.010752265164529699</v>
      </c>
      <c r="W13" s="11">
        <f>SUMIFS(OldHouses!AD$2:AD$82,OldHouses!$B$2:$B$82,"INPUT",OldHouses!$C$2:$C$82,$C13,OldHouses!$D$2:$D$82,$D13,OldHouses!$G$2:$G$82,$B13)</f>
        <v>0.010532394176564999</v>
      </c>
      <c r="X13" s="11">
        <f>SUMIFS(OldHouses!AE$2:AE$82,OldHouses!$B$2:$B$82,"INPUT",OldHouses!$C$2:$C$82,$C13,OldHouses!$D$2:$D$82,$D13,OldHouses!$G$2:$G$82,$B13)</f>
        <v>0.0084432134067511204</v>
      </c>
      <c r="Y13" s="11">
        <f>SUMIFS(OldHouses!AF$2:AF$82,OldHouses!$B$2:$B$82,"INPUT",OldHouses!$C$2:$C$82,$C13,OldHouses!$D$2:$D$82,$D13,OldHouses!$G$2:$G$82,$B13)</f>
        <v>0.0042840393102842704</v>
      </c>
      <c r="Z13" s="11">
        <f>SUMIFS(OldHouses!AG$2:AG$82,OldHouses!$B$2:$B$82,"INPUT",OldHouses!$C$2:$C$82,$C13,OldHouses!$D$2:$D$82,$D13,OldHouses!$G$2:$G$82,$B13)</f>
        <v>0.0073425045027849098</v>
      </c>
      <c r="AA13" s="11">
        <f>SUMIFS(OldHouses!AH$2:AH$82,OldHouses!$B$2:$B$82,"INPUT",OldHouses!$C$2:$C$82,$C13,OldHouses!$D$2:$D$82,$D13,OldHouses!$G$2:$G$82,$B13)</f>
        <v>0.0076613003004918599</v>
      </c>
      <c r="AB13" s="11">
        <f>SUMIFS(OldHouses!AI$2:AI$82,OldHouses!$B$2:$B$82,"INPUT",OldHouses!$C$2:$C$82,$C13,OldHouses!$D$2:$D$82,$D13,OldHouses!$G$2:$G$82,$B13)</f>
        <v>0.010300904857021599</v>
      </c>
      <c r="AC13" s="11">
        <f>SUMIFS(OldHouses!AJ$2:AJ$82,OldHouses!$B$2:$B$82,"INPUT",OldHouses!$C$2:$C$82,$C13,OldHouses!$D$2:$D$82,$D13,OldHouses!$G$2:$G$82,$B13)</f>
        <v>0.0075894074581261102</v>
      </c>
      <c r="AD13" s="11">
        <f>SUMIFS(OldHouses!AK$2:AK$82,OldHouses!$B$2:$B$82,"INPUT",OldHouses!$C$2:$C$82,$C13,OldHouses!$D$2:$D$82,$D13,OldHouses!$G$2:$G$82,$B13)</f>
        <v>0.0062653175584339704</v>
      </c>
      <c r="AE13" s="11">
        <f>SUMIFS(OldHouses!AL$2:AL$82,OldHouses!$B$2:$B$82,"INPUT",OldHouses!$C$2:$C$82,$C13,OldHouses!$D$2:$D$82,$D13,OldHouses!$G$2:$G$82,$B13)</f>
        <v>0.0046083001257302501</v>
      </c>
      <c r="AF13" s="11">
        <f>SUMIFS(OldHouses!AM$2:AM$82,OldHouses!$B$2:$B$82,"INPUT",OldHouses!$C$2:$C$82,$C13,OldHouses!$D$2:$D$82,$D13,OldHouses!$G$2:$G$82,$B13)</f>
        <v>0.0092443660202145804</v>
      </c>
      <c r="AG13" s="11">
        <f>SUMIFS(OldHouses!AN$2:AN$82,OldHouses!$B$2:$B$82,"INPUT",OldHouses!$C$2:$C$82,$C13,OldHouses!$D$2:$D$82,$D13,OldHouses!$G$2:$G$82,$B13)</f>
        <v>0.015409945950424799</v>
      </c>
      <c r="AH13" s="11">
        <f>SUMIFS(OldHouses!AO$2:AO$82,OldHouses!$B$2:$B$82,"INPUT",OldHouses!$C$2:$C$82,$C13,OldHouses!$D$2:$D$82,$D13,OldHouses!$G$2:$G$82,$B13)</f>
        <v>0.0091778714021296705</v>
      </c>
      <c r="AI13" s="11">
        <f>SUMIFS(OldHouses!AP$2:AP$82,OldHouses!$B$2:$B$82,"INPUT",OldHouses!$C$2:$C$82,$C13,OldHouses!$D$2:$D$82,$D13,OldHouses!$G$2:$G$82,$B13)</f>
        <v>0.0148175868446371</v>
      </c>
      <c r="AJ13" s="11">
        <f>SUMIFS(OldHouses!AQ$2:AQ$82,OldHouses!$B$2:$B$82,"INPUT",OldHouses!$C$2:$C$82,$C13,OldHouses!$D$2:$D$82,$D13,OldHouses!$G$2:$G$82,$B13)</f>
        <v>0.0061500457353994703</v>
      </c>
      <c r="AK13" s="11">
        <f>SUMIFS(OldHouses!AR$2:AR$82,OldHouses!$B$2:$B$82,"INPUT",OldHouses!$C$2:$C$82,$C13,OldHouses!$D$2:$D$82,$D13,OldHouses!$G$2:$G$82,$B13)</f>
        <v>0.0069275620095682897</v>
      </c>
      <c r="AL13" s="11">
        <f>SUMIFS(OldHouses!AS$2:AS$82,OldHouses!$B$2:$B$82,"INPUT",OldHouses!$C$2:$C$82,$C13,OldHouses!$D$2:$D$82,$D13,OldHouses!$G$2:$G$82,$B13)</f>
        <v>0.0092939987570087694</v>
      </c>
      <c r="AM13" s="11">
        <f>SUMIFS(OldHouses!AT$2:AT$82,OldHouses!$B$2:$B$82,"INPUT",OldHouses!$C$2:$C$82,$C13,OldHouses!$D$2:$D$82,$D13,OldHouses!$G$2:$G$82,$B13)</f>
        <v>0.012373113152046601</v>
      </c>
      <c r="AN13" s="11">
        <f>SUMIFS(OldHouses!AU$2:AU$82,OldHouses!$B$2:$B$82,"INPUT",OldHouses!$C$2:$C$82,$C13,OldHouses!$D$2:$D$82,$D13,OldHouses!$G$2:$G$82,$B13)</f>
        <v>0.0093921415348432093</v>
      </c>
      <c r="AO13" s="11">
        <f>SUMIFS(OldHouses!AV$2:AV$82,OldHouses!$B$2:$B$82,"INPUT",OldHouses!$C$2:$C$82,$C13,OldHouses!$D$2:$D$82,$D13,OldHouses!$G$2:$G$82,$B13)</f>
        <v>0.0092111061387550198</v>
      </c>
    </row>
    <row r="16" spans="1:1" ht="14.4">
      <c r="A16" s="7" t="s">
        <v>72</v>
      </c>
    </row>
    <row r="17" spans="1:41" ht="14.4">
      <c r="A17" s="12" t="s">
        <v>0</v>
      </c>
      <c r="B17" s="12" t="s">
        <v>2</v>
      </c>
      <c r="C17" s="12" t="s">
        <v>67</v>
      </c>
      <c r="D17" s="12" t="s">
        <v>77</v>
      </c>
      <c r="E17" s="12" t="str">
        <f t="shared" si="0" ref="E17:AO17">E1</f>
        <v>AL</v>
      </c>
      <c r="F17" s="12" t="str">
        <f t="shared" si="0"/>
        <v>AT</v>
      </c>
      <c r="G17" s="12" t="str">
        <f t="shared" si="0"/>
        <v>BA</v>
      </c>
      <c r="H17" s="12" t="str">
        <f t="shared" si="0"/>
        <v>BE</v>
      </c>
      <c r="I17" s="12" t="str">
        <f t="shared" si="0"/>
        <v>BG</v>
      </c>
      <c r="J17" s="12" t="str">
        <f t="shared" si="0"/>
        <v>CH</v>
      </c>
      <c r="K17" s="12" t="str">
        <f t="shared" si="0"/>
        <v>CY</v>
      </c>
      <c r="L17" s="12" t="str">
        <f t="shared" si="0"/>
        <v>CZ</v>
      </c>
      <c r="M17" s="12" t="str">
        <f t="shared" si="0"/>
        <v>DE</v>
      </c>
      <c r="N17" s="12" t="str">
        <f t="shared" si="0"/>
        <v>DK</v>
      </c>
      <c r="O17" s="12" t="str">
        <f t="shared" si="0"/>
        <v>EE</v>
      </c>
      <c r="P17" s="12" t="str">
        <f t="shared" si="0"/>
        <v>EL</v>
      </c>
      <c r="Q17" s="12" t="str">
        <f t="shared" si="0"/>
        <v>ES</v>
      </c>
      <c r="R17" s="12" t="str">
        <f t="shared" si="0"/>
        <v>FI</v>
      </c>
      <c r="S17" s="12" t="str">
        <f t="shared" si="0"/>
        <v>FR</v>
      </c>
      <c r="T17" s="12" t="str">
        <f t="shared" si="0"/>
        <v>HR</v>
      </c>
      <c r="U17" s="12" t="str">
        <f t="shared" si="0"/>
        <v>HU</v>
      </c>
      <c r="V17" s="12" t="str">
        <f t="shared" si="0"/>
        <v>IE</v>
      </c>
      <c r="W17" s="12" t="str">
        <f t="shared" si="0"/>
        <v>IS</v>
      </c>
      <c r="X17" s="12" t="str">
        <f t="shared" si="0"/>
        <v>IT</v>
      </c>
      <c r="Y17" s="12" t="str">
        <f t="shared" si="0"/>
        <v>KS</v>
      </c>
      <c r="Z17" s="12" t="str">
        <f t="shared" si="0"/>
        <v>LT</v>
      </c>
      <c r="AA17" s="12" t="str">
        <f t="shared" si="0"/>
        <v>LU</v>
      </c>
      <c r="AB17" s="12" t="str">
        <f t="shared" si="0"/>
        <v>LV</v>
      </c>
      <c r="AC17" s="12" t="str">
        <f t="shared" si="0"/>
        <v>ME</v>
      </c>
      <c r="AD17" s="12" t="str">
        <f t="shared" si="0"/>
        <v>MK</v>
      </c>
      <c r="AE17" s="12" t="str">
        <f t="shared" si="0"/>
        <v>MT</v>
      </c>
      <c r="AF17" s="12" t="str">
        <f t="shared" si="0"/>
        <v>NL</v>
      </c>
      <c r="AG17" s="12" t="str">
        <f t="shared" si="0"/>
        <v>NO</v>
      </c>
      <c r="AH17" s="12" t="str">
        <f t="shared" si="0"/>
        <v>PL</v>
      </c>
      <c r="AI17" s="12" t="str">
        <f t="shared" si="0"/>
        <v>PT</v>
      </c>
      <c r="AJ17" s="12" t="str">
        <f t="shared" si="0"/>
        <v>RO</v>
      </c>
      <c r="AK17" s="12" t="str">
        <f t="shared" si="0"/>
        <v>RS</v>
      </c>
      <c r="AL17" s="12" t="str">
        <f t="shared" si="0"/>
        <v>SE</v>
      </c>
      <c r="AM17" s="12" t="str">
        <f t="shared" si="0"/>
        <v>SI</v>
      </c>
      <c r="AN17" s="12" t="str">
        <f t="shared" si="0"/>
        <v>SK</v>
      </c>
      <c r="AO17" s="12" t="str">
        <f t="shared" si="0"/>
        <v>UK</v>
      </c>
    </row>
    <row r="18" spans="1:41" ht="14.4">
      <c r="A18" t="s">
        <v>9</v>
      </c>
      <c r="B18">
        <v>2011</v>
      </c>
      <c r="C18" t="str">
        <f>Stock!$D$2&amp;"-New"</f>
        <v>Rdw_DetH-New</v>
      </c>
      <c r="D18" t="str">
        <f>D2</f>
        <v>R_ES-DH-Cook</v>
      </c>
      <c r="E18" s="11">
        <f t="shared" si="1" ref="E18:AO18">E2</f>
        <v>0.0096401693011622103</v>
      </c>
      <c r="F18" s="11">
        <f t="shared" si="1"/>
        <v>0.0030415222889943099</v>
      </c>
      <c r="G18" s="11">
        <f t="shared" si="1"/>
        <v>0.0042581434154369702</v>
      </c>
      <c r="H18" s="11">
        <f t="shared" si="1"/>
        <v>0.0034102939388338601</v>
      </c>
      <c r="I18" s="11">
        <f t="shared" si="1"/>
        <v>0.0036540878403332499</v>
      </c>
      <c r="J18" s="11">
        <f t="shared" si="1"/>
        <v>0.0035508103674260398</v>
      </c>
      <c r="K18" s="11">
        <f t="shared" si="1"/>
        <v>0.0031439568442420199</v>
      </c>
      <c r="L18" s="11">
        <f t="shared" si="1"/>
        <v>0.00282814602417679</v>
      </c>
      <c r="M18" s="11">
        <f t="shared" si="1"/>
        <v>0.0032488705943226602</v>
      </c>
      <c r="N18" s="11">
        <f t="shared" si="1"/>
        <v>0.0028361456877566298</v>
      </c>
      <c r="O18" s="11">
        <f t="shared" si="1"/>
        <v>0.00276541346183358</v>
      </c>
      <c r="P18" s="11">
        <f t="shared" si="1"/>
        <v>0.0056266963289672497</v>
      </c>
      <c r="Q18" s="11">
        <f t="shared" si="1"/>
        <v>0.0038085079249353302</v>
      </c>
      <c r="R18" s="11">
        <f t="shared" si="1"/>
        <v>0.0026293573109243702</v>
      </c>
      <c r="S18" s="11">
        <f t="shared" si="1"/>
        <v>0.0046456785706277598</v>
      </c>
      <c r="T18" s="11">
        <f t="shared" si="1"/>
        <v>0.0030876066146761599</v>
      </c>
      <c r="U18" s="11">
        <f t="shared" si="1"/>
        <v>0.0027436497090527899</v>
      </c>
      <c r="V18" s="11">
        <f t="shared" si="1"/>
        <v>0.0029710596309351299</v>
      </c>
      <c r="W18" s="11">
        <f t="shared" si="1"/>
        <v>0.0022971797935458001</v>
      </c>
      <c r="X18" s="11">
        <f t="shared" si="1"/>
        <v>0.0024563524698412598</v>
      </c>
      <c r="Y18" s="11">
        <f t="shared" si="1"/>
        <v>0.00375506972701621</v>
      </c>
      <c r="Z18" s="11">
        <f t="shared" si="1"/>
        <v>0.0024095486640133101</v>
      </c>
      <c r="AA18" s="11">
        <f t="shared" si="1"/>
        <v>0.0028929006536856398</v>
      </c>
      <c r="AB18" s="11">
        <f t="shared" si="1"/>
        <v>0.0018737845806433399</v>
      </c>
      <c r="AC18" s="11">
        <f t="shared" si="1"/>
        <v>0.0079551734298874497</v>
      </c>
      <c r="AD18" s="11">
        <f t="shared" si="1"/>
        <v>0.0052408564883108097</v>
      </c>
      <c r="AE18" s="11">
        <f t="shared" si="1"/>
        <v>0.0040527979453475601</v>
      </c>
      <c r="AF18" s="11">
        <f t="shared" si="1"/>
        <v>0.00333257110748839</v>
      </c>
      <c r="AG18" s="11">
        <f t="shared" si="1"/>
        <v>0.0074120673285544801</v>
      </c>
      <c r="AH18" s="11">
        <f t="shared" si="1"/>
        <v>0.0031582031254655</v>
      </c>
      <c r="AI18" s="11">
        <f t="shared" si="1"/>
        <v>0.015925988068439</v>
      </c>
      <c r="AJ18" s="11">
        <f t="shared" si="1"/>
        <v>0.0026716940978137199</v>
      </c>
      <c r="AK18" s="11">
        <f t="shared" si="1"/>
        <v>0.0048263692079581399</v>
      </c>
      <c r="AL18" s="11">
        <f t="shared" si="1"/>
        <v>0.00265130540461551</v>
      </c>
      <c r="AM18" s="11">
        <f t="shared" si="1"/>
        <v>0.0023401915005250799</v>
      </c>
      <c r="AN18" s="11">
        <f t="shared" si="1"/>
        <v>0.0036328190444342499</v>
      </c>
      <c r="AO18" s="11">
        <f t="shared" si="1"/>
        <v>0.0020315868994864</v>
      </c>
    </row>
    <row r="19" spans="1:41" ht="14.4">
      <c r="A19" t="s">
        <v>9</v>
      </c>
      <c r="B19">
        <v>2011</v>
      </c>
      <c r="C19" s="35" t="str">
        <f>Stock!$D$2&amp;"-New"</f>
        <v>Rdw_DetH-New</v>
      </c>
      <c r="D19" t="str">
        <f>D3</f>
        <v>R_ES-DH-SpCool</v>
      </c>
      <c r="E19" s="11">
        <f>IF(E3&lt;$A$1,"",E3)</f>
        <v>0.00330236288590315</v>
      </c>
      <c r="F19" s="11">
        <f t="shared" si="2" ref="F19:AO19">IF(F3&lt;$A$1,"",F3)</f>
        <v>0.00031367532348014699</v>
      </c>
      <c r="G19" s="11">
        <f t="shared" si="2"/>
        <v>0.0081355237794084601</v>
      </c>
      <c r="H19" s="11">
        <f t="shared" si="2"/>
        <v>0.00106447799615975</v>
      </c>
      <c r="I19" s="11">
        <f t="shared" si="2"/>
        <v>0.00053515446359399504</v>
      </c>
      <c r="J19" s="11">
        <f t="shared" si="2"/>
        <v>0.00031900864114235299</v>
      </c>
      <c r="K19" s="11">
        <f t="shared" si="2"/>
        <v>0.0075016642333142003</v>
      </c>
      <c r="L19" s="11">
        <f t="shared" si="2"/>
        <v>5.7915380213620601E-05</v>
      </c>
      <c r="M19" s="11">
        <f t="shared" si="2"/>
        <v>0.00027938653494462702</v>
      </c>
      <c r="N19" s="11">
        <f t="shared" si="2"/>
        <v>0.000215866298642578</v>
      </c>
      <c r="O19" s="46">
        <f>IF(O3&lt;$A$1,$A$1,O3)</f>
        <v>2.5000000000000001E-05</v>
      </c>
      <c r="P19" s="11">
        <f t="shared" si="2"/>
        <v>0.0024745307312944</v>
      </c>
      <c r="Q19" s="11">
        <f t="shared" si="2"/>
        <v>0.0017885701039009299</v>
      </c>
      <c r="R19" s="11">
        <f t="shared" si="2"/>
        <v>7.7066364963614001E-05</v>
      </c>
      <c r="S19" s="11">
        <f t="shared" si="2"/>
        <v>0.0021914252725928102</v>
      </c>
      <c r="T19" s="11">
        <f t="shared" si="2"/>
        <v>0.0040321318774958004</v>
      </c>
      <c r="U19" s="11">
        <f t="shared" si="2"/>
        <v>6.3675396170606604E-05</v>
      </c>
      <c r="V19" s="11">
        <f t="shared" si="2"/>
        <v>0.000182029993205651</v>
      </c>
      <c r="W19" s="11">
        <f t="shared" si="2"/>
        <v>6.6958366412724304E-05</v>
      </c>
      <c r="X19" s="11">
        <f t="shared" si="2"/>
        <v>0.0018281929071075</v>
      </c>
      <c r="Y19" s="11">
        <f t="shared" si="2"/>
        <v>0.0068175809723035096</v>
      </c>
      <c r="Z19" s="46">
        <f>IF(Z3&lt;$A$1,$A$1,Z3)</f>
        <v>2.5000000000000001E-05</v>
      </c>
      <c r="AA19" s="11">
        <f t="shared" si="2"/>
        <v>0.0029769779379129101</v>
      </c>
      <c r="AB19" s="46">
        <f>IF(AB3&lt;$A$1,$A$1,AB3)</f>
        <v>2.5000000000000001E-05</v>
      </c>
      <c r="AC19" s="11">
        <f t="shared" si="2"/>
        <v>0.0032922643511000302</v>
      </c>
      <c r="AD19" s="11">
        <f t="shared" si="2"/>
        <v>0.0096533092678208407</v>
      </c>
      <c r="AE19" s="11">
        <f t="shared" si="2"/>
        <v>0.0086615593488368996</v>
      </c>
      <c r="AF19" s="11">
        <f t="shared" si="2"/>
        <v>0.00068788026038014299</v>
      </c>
      <c r="AG19" s="11">
        <f t="shared" si="2"/>
        <v>0.00024065938248666799</v>
      </c>
      <c r="AH19" s="46">
        <f>IF(AH3&lt;$A$1,$A$1,AH3)</f>
        <v>3.7704132590165203E-05</v>
      </c>
      <c r="AI19" s="11">
        <f t="shared" si="2"/>
        <v>0.00137016530675495</v>
      </c>
      <c r="AJ19" s="11">
        <f t="shared" si="2"/>
        <v>8.1424878342299905E-05</v>
      </c>
      <c r="AK19" s="11">
        <f t="shared" si="2"/>
        <v>0.0088705237189384608</v>
      </c>
      <c r="AL19" s="11">
        <f t="shared" si="2"/>
        <v>0.00015883063644810401</v>
      </c>
      <c r="AM19" s="11">
        <f t="shared" si="2"/>
        <v>0.00060158929463398803</v>
      </c>
      <c r="AN19" s="11">
        <f t="shared" si="2"/>
        <v>0.00019404844073037401</v>
      </c>
      <c r="AO19" s="11">
        <f t="shared" si="2"/>
        <v>0.00012129151854895301</v>
      </c>
    </row>
    <row r="20" spans="1:41" ht="14.4">
      <c r="A20" t="s">
        <v>9</v>
      </c>
      <c r="B20">
        <v>2011</v>
      </c>
      <c r="C20" s="35" t="str">
        <f>Stock!$D$2&amp;"-New"</f>
        <v>Rdw_DetH-New</v>
      </c>
      <c r="D20" s="44" t="str">
        <f>IF(0,"R_ES-FL-SpHeat-I","R_ES-DH-SpHeat-I")</f>
        <v>R_ES-DH-SpHeat-I</v>
      </c>
      <c r="E20" s="11">
        <f t="shared" si="3" ref="E20:AO20">E4</f>
        <v>0.00907244197529254</v>
      </c>
      <c r="F20" s="11">
        <f t="shared" si="3"/>
        <v>0.038216552583321697</v>
      </c>
      <c r="G20" s="11">
        <f t="shared" si="3"/>
        <v>0.0210762458021891</v>
      </c>
      <c r="H20" s="11">
        <f t="shared" si="3"/>
        <v>0.0435688687086562</v>
      </c>
      <c r="I20" s="11">
        <f t="shared" si="3"/>
        <v>0.015681843388374101</v>
      </c>
      <c r="J20" s="11">
        <f t="shared" si="3"/>
        <v>0.039843413256379301</v>
      </c>
      <c r="K20" s="11">
        <f t="shared" si="3"/>
        <v>0.0248119102780349</v>
      </c>
      <c r="L20" s="11">
        <f t="shared" si="3"/>
        <v>0.039103012687011302</v>
      </c>
      <c r="M20" s="11">
        <f t="shared" si="3"/>
        <v>0.0310080366281567</v>
      </c>
      <c r="N20" s="11">
        <f t="shared" si="3"/>
        <v>0.033433574510270299</v>
      </c>
      <c r="O20" s="11">
        <f t="shared" si="3"/>
        <v>0.046604477742973903</v>
      </c>
      <c r="P20" s="11">
        <f t="shared" si="3"/>
        <v>0.021422218388099799</v>
      </c>
      <c r="Q20" s="11">
        <f t="shared" si="3"/>
        <v>0.024680364621511901</v>
      </c>
      <c r="R20" s="11">
        <f t="shared" si="3"/>
        <v>0.079872548283868097</v>
      </c>
      <c r="S20" s="11">
        <f t="shared" si="3"/>
        <v>0.023614074304208001</v>
      </c>
      <c r="T20" s="11">
        <f t="shared" si="3"/>
        <v>0.023518729888444001</v>
      </c>
      <c r="U20" s="11">
        <f t="shared" si="3"/>
        <v>0.028633312411506399</v>
      </c>
      <c r="V20" s="11">
        <f t="shared" si="3"/>
        <v>0.030803334387112899</v>
      </c>
      <c r="W20" s="11">
        <f t="shared" si="3"/>
        <v>0.11027078986788701</v>
      </c>
      <c r="X20" s="11">
        <f t="shared" si="3"/>
        <v>0.044205442267773898</v>
      </c>
      <c r="Y20" s="11">
        <f t="shared" si="3"/>
        <v>0.020367197599621498</v>
      </c>
      <c r="Z20" s="29">
        <f t="shared" si="4" ref="Z20:AB20">Z4</f>
        <v>0.025955618683214499</v>
      </c>
      <c r="AA20" s="11">
        <f t="shared" si="3"/>
        <v>0.041764704592126597</v>
      </c>
      <c r="AB20" s="29">
        <f t="shared" si="4"/>
        <v>0.029800539441301701</v>
      </c>
      <c r="AC20" s="11">
        <f t="shared" si="3"/>
        <v>0.040108513311255797</v>
      </c>
      <c r="AD20" s="11">
        <f t="shared" si="3"/>
        <v>0.014447878104839201</v>
      </c>
      <c r="AE20" s="11">
        <f t="shared" si="3"/>
        <v>0.010027607457583101</v>
      </c>
      <c r="AF20" s="11">
        <f t="shared" si="3"/>
        <v>0.032873120141762399</v>
      </c>
      <c r="AG20" s="11">
        <f t="shared" si="3"/>
        <v>0.044068049574439501</v>
      </c>
      <c r="AH20" s="29">
        <f t="shared" si="3"/>
        <v>0.044694994036883602</v>
      </c>
      <c r="AI20" s="11">
        <f t="shared" si="3"/>
        <v>0.011554767195799001</v>
      </c>
      <c r="AJ20" s="11">
        <f t="shared" si="3"/>
        <v>0.034372643701706597</v>
      </c>
      <c r="AK20" s="11">
        <f t="shared" si="3"/>
        <v>0.029885291361240601</v>
      </c>
      <c r="AL20" s="11">
        <f t="shared" si="3"/>
        <v>0.056949338009301999</v>
      </c>
      <c r="AM20" s="11">
        <f t="shared" si="3"/>
        <v>0.023933423025691899</v>
      </c>
      <c r="AN20" s="11">
        <f t="shared" si="3"/>
        <v>0.0325578535568199</v>
      </c>
      <c r="AO20" s="11">
        <f t="shared" si="3"/>
        <v>0.026105855839287699</v>
      </c>
    </row>
    <row r="21" spans="1:41" ht="14.4">
      <c r="A21" t="s">
        <v>9</v>
      </c>
      <c r="B21">
        <v>2011</v>
      </c>
      <c r="C21" s="35" t="str">
        <f>Stock!$D$2&amp;"-New"</f>
        <v>Rdw_DetH-New</v>
      </c>
      <c r="D21" t="str">
        <f t="shared" si="5" ref="D21:D29">D5</f>
        <v>R_ES-DH-WatHeat</v>
      </c>
      <c r="E21" s="11">
        <f t="shared" si="6" ref="E21:AO21">E5</f>
        <v>0.0106716014597119</v>
      </c>
      <c r="F21" s="11">
        <f t="shared" si="6"/>
        <v>0.011251381070904501</v>
      </c>
      <c r="G21" s="11">
        <f t="shared" si="6"/>
        <v>0.0056302138477458902</v>
      </c>
      <c r="H21" s="11">
        <f t="shared" si="6"/>
        <v>0.0095272111428894597</v>
      </c>
      <c r="I21" s="11">
        <f t="shared" si="6"/>
        <v>0.0075855179072439301</v>
      </c>
      <c r="J21" s="11">
        <f t="shared" si="6"/>
        <v>0.0085103268836431399</v>
      </c>
      <c r="K21" s="11">
        <f t="shared" si="6"/>
        <v>0.0094679450592003497</v>
      </c>
      <c r="L21" s="11">
        <f t="shared" si="6"/>
        <v>0.0071258839317191397</v>
      </c>
      <c r="M21" s="11">
        <f t="shared" si="6"/>
        <v>0.0092098032071248094</v>
      </c>
      <c r="N21" s="11">
        <f t="shared" si="6"/>
        <v>0.0097229186384835391</v>
      </c>
      <c r="O21" s="11">
        <f t="shared" si="6"/>
        <v>0.0089376628770996402</v>
      </c>
      <c r="P21" s="11">
        <f t="shared" si="6"/>
        <v>0.010422414784520599</v>
      </c>
      <c r="Q21" s="11">
        <f t="shared" si="6"/>
        <v>0.012010717894111501</v>
      </c>
      <c r="R21" s="11">
        <f t="shared" si="6"/>
        <v>0.011359969680153299</v>
      </c>
      <c r="S21" s="11">
        <f t="shared" si="6"/>
        <v>0.0099539709135063395</v>
      </c>
      <c r="T21" s="11">
        <f t="shared" si="6"/>
        <v>0.0061370922585661696</v>
      </c>
      <c r="U21" s="11">
        <f t="shared" si="6"/>
        <v>0.00533599819909683</v>
      </c>
      <c r="V21" s="11">
        <f t="shared" si="6"/>
        <v>0.010752265164529699</v>
      </c>
      <c r="W21" s="11">
        <f t="shared" si="6"/>
        <v>0.010532394176564999</v>
      </c>
      <c r="X21" s="11">
        <f t="shared" si="6"/>
        <v>0.0084432134067511204</v>
      </c>
      <c r="Y21" s="11">
        <f t="shared" si="6"/>
        <v>0.0042840393102842704</v>
      </c>
      <c r="Z21" s="29">
        <f t="shared" si="7" ref="Z21:AB21">Z5</f>
        <v>0.0073425045027849098</v>
      </c>
      <c r="AA21" s="11">
        <f t="shared" si="6"/>
        <v>0.0076613003004918599</v>
      </c>
      <c r="AB21" s="29">
        <f t="shared" si="7"/>
        <v>0.010300904857021599</v>
      </c>
      <c r="AC21" s="11">
        <f t="shared" si="6"/>
        <v>0.0075894074581261102</v>
      </c>
      <c r="AD21" s="11">
        <f t="shared" si="6"/>
        <v>0.0062653175584339704</v>
      </c>
      <c r="AE21" s="11">
        <f t="shared" si="6"/>
        <v>0.0046083001257302501</v>
      </c>
      <c r="AF21" s="11">
        <f t="shared" si="6"/>
        <v>0.0092443660202145804</v>
      </c>
      <c r="AG21" s="11">
        <f t="shared" si="6"/>
        <v>0.015409945950424799</v>
      </c>
      <c r="AH21" s="29">
        <f t="shared" si="6"/>
        <v>0.0091778714021296705</v>
      </c>
      <c r="AI21" s="11">
        <f t="shared" si="6"/>
        <v>0.0148175868446371</v>
      </c>
      <c r="AJ21" s="11">
        <f t="shared" si="6"/>
        <v>0.0061500457353994703</v>
      </c>
      <c r="AK21" s="11">
        <f t="shared" si="6"/>
        <v>0.0069275620095682897</v>
      </c>
      <c r="AL21" s="11">
        <f t="shared" si="6"/>
        <v>0.0092939987570087694</v>
      </c>
      <c r="AM21" s="11">
        <f t="shared" si="6"/>
        <v>0.012373113152046601</v>
      </c>
      <c r="AN21" s="11">
        <f t="shared" si="6"/>
        <v>0.0093921415348432093</v>
      </c>
      <c r="AO21" s="11">
        <f t="shared" si="6"/>
        <v>0.0092111061387550198</v>
      </c>
    </row>
    <row r="22" spans="1:41" ht="14.4">
      <c r="A22" t="s">
        <v>9</v>
      </c>
      <c r="B22">
        <v>2011</v>
      </c>
      <c r="C22" t="str">
        <f t="shared" si="8" ref="C22:C29">C6&amp;"-New"</f>
        <v>Rdw_Flat-New</v>
      </c>
      <c r="D22" t="str">
        <f t="shared" si="5"/>
        <v>R_ES-FL-Cook</v>
      </c>
      <c r="E22" s="11">
        <f t="shared" si="9" ref="E22:AO22">E6</f>
        <v>0.0096401693011622103</v>
      </c>
      <c r="F22" s="11">
        <f t="shared" si="9"/>
        <v>0.0030415222889943099</v>
      </c>
      <c r="G22" s="11">
        <f t="shared" si="9"/>
        <v>0.0042581434154369702</v>
      </c>
      <c r="H22" s="11">
        <f t="shared" si="9"/>
        <v>0.0034102939388338601</v>
      </c>
      <c r="I22" s="11">
        <f t="shared" si="9"/>
        <v>0.0036540878403332499</v>
      </c>
      <c r="J22" s="11">
        <f t="shared" si="9"/>
        <v>0.0035508103674260398</v>
      </c>
      <c r="K22" s="11">
        <f t="shared" si="9"/>
        <v>0.0031439568442420199</v>
      </c>
      <c r="L22" s="11">
        <f t="shared" si="9"/>
        <v>0.00282814602417679</v>
      </c>
      <c r="M22" s="11">
        <f t="shared" si="9"/>
        <v>0.0032488705943226602</v>
      </c>
      <c r="N22" s="11">
        <f t="shared" si="9"/>
        <v>0.0028361456877566298</v>
      </c>
      <c r="O22" s="11">
        <f t="shared" si="9"/>
        <v>0.00276541346183358</v>
      </c>
      <c r="P22" s="11">
        <f t="shared" si="9"/>
        <v>0.0056266963289672497</v>
      </c>
      <c r="Q22" s="11">
        <f t="shared" si="9"/>
        <v>0.0038085079249353302</v>
      </c>
      <c r="R22" s="11">
        <f t="shared" si="9"/>
        <v>0.0026293573109243702</v>
      </c>
      <c r="S22" s="11">
        <f t="shared" si="9"/>
        <v>0.0046456785706277598</v>
      </c>
      <c r="T22" s="11">
        <f t="shared" si="9"/>
        <v>0.0030876066146761599</v>
      </c>
      <c r="U22" s="11">
        <f t="shared" si="9"/>
        <v>0.0027436497090527899</v>
      </c>
      <c r="V22" s="11">
        <f t="shared" si="9"/>
        <v>0.0029710596309351299</v>
      </c>
      <c r="W22" s="11">
        <f t="shared" si="9"/>
        <v>0.0022971797935458001</v>
      </c>
      <c r="X22" s="11">
        <f t="shared" si="9"/>
        <v>0.0024563524698412598</v>
      </c>
      <c r="Y22" s="11">
        <f t="shared" si="9"/>
        <v>0.00375506972701621</v>
      </c>
      <c r="Z22" s="29">
        <f t="shared" si="10" ref="Z22:AB22">Z6</f>
        <v>0.0024095486640133101</v>
      </c>
      <c r="AA22" s="11">
        <f t="shared" si="9"/>
        <v>0.0028929006536856398</v>
      </c>
      <c r="AB22" s="29">
        <f t="shared" si="10"/>
        <v>0.0018737845806433399</v>
      </c>
      <c r="AC22" s="11">
        <f t="shared" si="9"/>
        <v>0.0079551734298874497</v>
      </c>
      <c r="AD22" s="11">
        <f t="shared" si="9"/>
        <v>0.0052408564883108097</v>
      </c>
      <c r="AE22" s="11">
        <f t="shared" si="9"/>
        <v>0.0040527979453475601</v>
      </c>
      <c r="AF22" s="11">
        <f t="shared" si="9"/>
        <v>0.0033325711074883801</v>
      </c>
      <c r="AG22" s="11">
        <f t="shared" si="9"/>
        <v>0.0074120673285544801</v>
      </c>
      <c r="AH22" s="29">
        <f t="shared" si="9"/>
        <v>0.0031582031254655</v>
      </c>
      <c r="AI22" s="11">
        <f t="shared" si="9"/>
        <v>0.015925988068439</v>
      </c>
      <c r="AJ22" s="11">
        <f t="shared" si="9"/>
        <v>0.0026716940978137199</v>
      </c>
      <c r="AK22" s="11">
        <f t="shared" si="9"/>
        <v>0.0048263692079581399</v>
      </c>
      <c r="AL22" s="11">
        <f t="shared" si="9"/>
        <v>0.00265130540461551</v>
      </c>
      <c r="AM22" s="11">
        <f t="shared" si="9"/>
        <v>0.0023401915005250799</v>
      </c>
      <c r="AN22" s="11">
        <f t="shared" si="9"/>
        <v>0.0036328190444342499</v>
      </c>
      <c r="AO22" s="11">
        <f t="shared" si="9"/>
        <v>0.0020315868994864</v>
      </c>
    </row>
    <row r="23" spans="1:41" ht="14.4">
      <c r="A23" t="s">
        <v>9</v>
      </c>
      <c r="B23">
        <v>2011</v>
      </c>
      <c r="C23" t="str">
        <f t="shared" si="8"/>
        <v>Rdw_Flat-New</v>
      </c>
      <c r="D23" t="str">
        <f t="shared" si="5"/>
        <v>R_ES-FL-SpCool</v>
      </c>
      <c r="E23" s="29">
        <f>IF(E7&lt;$A$1,"",E7)</f>
        <v>0.00165118144295158</v>
      </c>
      <c r="F23" s="29">
        <f t="shared" si="11" ref="F23:AO23">IF(F7&lt;$A$1,"",F7)</f>
        <v>0.00015683766174007301</v>
      </c>
      <c r="G23" s="29">
        <f t="shared" si="11"/>
        <v>0.00406776188970423</v>
      </c>
      <c r="H23" s="29">
        <f t="shared" si="11"/>
        <v>0.000532238998079876</v>
      </c>
      <c r="I23" s="29">
        <f t="shared" si="11"/>
        <v>0.00026757723179699698</v>
      </c>
      <c r="J23" s="29">
        <f t="shared" si="11"/>
        <v>0.00015950432057117701</v>
      </c>
      <c r="K23" s="29">
        <f t="shared" si="11"/>
        <v>0.0037508321166571002</v>
      </c>
      <c r="L23" s="29">
        <f t="shared" si="11"/>
        <v>2.8957690106810301E-05</v>
      </c>
      <c r="M23" s="29">
        <f t="shared" si="11"/>
        <v>0.00013969326747231299</v>
      </c>
      <c r="N23" s="29">
        <f t="shared" si="11"/>
        <v>0.000107933149321289</v>
      </c>
      <c r="O23" s="43">
        <f>IF(O7&lt;$A$1,0,O7)</f>
        <v>0</v>
      </c>
      <c r="P23" s="29">
        <f t="shared" si="11"/>
        <v>0.0012372653656472</v>
      </c>
      <c r="Q23" s="29">
        <f t="shared" si="11"/>
        <v>0.00089428505195046604</v>
      </c>
      <c r="R23" s="29">
        <f t="shared" si="11"/>
        <v>3.8533182481807001E-05</v>
      </c>
      <c r="S23" s="29">
        <f t="shared" si="11"/>
        <v>0.0010957126362964101</v>
      </c>
      <c r="T23" s="29">
        <f t="shared" si="11"/>
        <v>0.0020160659387479002</v>
      </c>
      <c r="U23" s="29">
        <f t="shared" si="11"/>
        <v>3.1837698085303302E-05</v>
      </c>
      <c r="V23" s="29">
        <f t="shared" si="11"/>
        <v>9.1014996602825594E-05</v>
      </c>
      <c r="W23" s="29">
        <f t="shared" si="11"/>
        <v>3.34791832063622E-05</v>
      </c>
      <c r="X23" s="29">
        <f t="shared" si="11"/>
        <v>0.00091409645355375205</v>
      </c>
      <c r="Y23" s="29">
        <f t="shared" si="11"/>
        <v>0.00340879048615176</v>
      </c>
      <c r="Z23" s="43">
        <f>IF(Z7&lt;$A$1,0,Z7)</f>
        <v>0</v>
      </c>
      <c r="AA23" s="29">
        <f t="shared" si="11"/>
        <v>0.00148848896895646</v>
      </c>
      <c r="AB23" s="43">
        <f>IF(AB7&lt;$A$1,0,AB7)</f>
        <v>0</v>
      </c>
      <c r="AC23" s="29">
        <f t="shared" si="11"/>
        <v>0.0016461321755500201</v>
      </c>
      <c r="AD23" s="29">
        <f t="shared" si="11"/>
        <v>0.0048266546339104204</v>
      </c>
      <c r="AE23" s="29">
        <f t="shared" si="11"/>
        <v>0.0043307796744184498</v>
      </c>
      <c r="AF23" s="29">
        <f t="shared" si="11"/>
        <v>0.00034394013019007101</v>
      </c>
      <c r="AG23" s="29">
        <f t="shared" si="11"/>
        <v>0.000120329691243334</v>
      </c>
      <c r="AH23" s="46">
        <f>IF(AH7&lt;$A$1,0,AH7)</f>
        <v>0</v>
      </c>
      <c r="AI23" s="29">
        <f t="shared" si="11"/>
        <v>0.00068508265337747501</v>
      </c>
      <c r="AJ23" s="29">
        <f t="shared" si="11"/>
        <v>4.0712439171149899E-05</v>
      </c>
      <c r="AK23" s="29">
        <f t="shared" si="11"/>
        <v>0.0044352618594692304</v>
      </c>
      <c r="AL23" s="29">
        <f t="shared" si="11"/>
        <v>7.9415318224052196E-05</v>
      </c>
      <c r="AM23" s="29">
        <f t="shared" si="11"/>
        <v>0.00030079464731699401</v>
      </c>
      <c r="AN23" s="29">
        <f t="shared" si="11"/>
        <v>9.7024220365186898E-05</v>
      </c>
      <c r="AO23" s="29">
        <f t="shared" si="11"/>
        <v>6.0645759274476699E-05</v>
      </c>
    </row>
    <row r="24" spans="1:41" ht="14.4">
      <c r="A24" t="s">
        <v>9</v>
      </c>
      <c r="B24">
        <v>2011</v>
      </c>
      <c r="C24" t="str">
        <f t="shared" si="8"/>
        <v>Rdw_Flat-New</v>
      </c>
      <c r="D24" t="str">
        <f t="shared" si="5"/>
        <v>R_ES-FL-SpHeat-I</v>
      </c>
      <c r="E24" s="11">
        <f t="shared" si="12" ref="E24:AO24">E8</f>
        <v>0.0023973966957213599</v>
      </c>
      <c r="F24" s="11">
        <f t="shared" si="12"/>
        <v>0.0089647781804402804</v>
      </c>
      <c r="G24" s="11">
        <f t="shared" si="12"/>
        <v>0.0065004651334270797</v>
      </c>
      <c r="H24" s="11">
        <f t="shared" si="12"/>
        <v>0.0106081681546468</v>
      </c>
      <c r="I24" s="11">
        <f t="shared" si="12"/>
        <v>0.00403312394589307</v>
      </c>
      <c r="J24" s="11">
        <f t="shared" si="12"/>
        <v>0.0093464045721103495</v>
      </c>
      <c r="K24" s="11">
        <f t="shared" si="12"/>
        <v>0.00651019685862015</v>
      </c>
      <c r="L24" s="11">
        <f t="shared" si="12"/>
        <v>0.00920546126411575</v>
      </c>
      <c r="M24" s="11">
        <f t="shared" si="12"/>
        <v>0.0071493454233859397</v>
      </c>
      <c r="N24" s="11">
        <f t="shared" si="12"/>
        <v>0.0069368216555966804</v>
      </c>
      <c r="O24" s="11">
        <f t="shared" si="12"/>
        <v>0.010809644079409399</v>
      </c>
      <c r="P24" s="11">
        <f t="shared" si="12"/>
        <v>0.0068099725224947697</v>
      </c>
      <c r="Q24" s="11">
        <f t="shared" si="12"/>
        <v>0.0080128508579767801</v>
      </c>
      <c r="R24" s="11">
        <f t="shared" si="12"/>
        <v>0.0145242780377468</v>
      </c>
      <c r="S24" s="11">
        <f t="shared" si="12"/>
        <v>0.0054596278750131703</v>
      </c>
      <c r="T24" s="11">
        <f t="shared" si="12"/>
        <v>0.0067215634719197098</v>
      </c>
      <c r="U24" s="11">
        <f t="shared" si="12"/>
        <v>0.00618038253631213</v>
      </c>
      <c r="V24" s="11">
        <f t="shared" si="12"/>
        <v>0.0051816529682993497</v>
      </c>
      <c r="W24" s="11">
        <f t="shared" si="12"/>
        <v>0.025312848471945201</v>
      </c>
      <c r="X24" s="11">
        <f t="shared" si="12"/>
        <v>0.011437455210641601</v>
      </c>
      <c r="Y24" s="11">
        <f t="shared" si="12"/>
        <v>0.0062817761334045298</v>
      </c>
      <c r="Z24" s="29">
        <f t="shared" si="13" ref="Z24:AB24">Z8</f>
        <v>0.00543825114772656</v>
      </c>
      <c r="AA24" s="11">
        <f t="shared" si="12"/>
        <v>0.012705261899808</v>
      </c>
      <c r="AB24" s="29">
        <f t="shared" si="13"/>
        <v>0.00639717240418712</v>
      </c>
      <c r="AC24" s="11">
        <f t="shared" si="12"/>
        <v>0.0111904525417239</v>
      </c>
      <c r="AD24" s="11">
        <f t="shared" si="12"/>
        <v>0.0042298007781281103</v>
      </c>
      <c r="AE24" s="11">
        <f t="shared" si="12"/>
        <v>0.00275344464840284</v>
      </c>
      <c r="AF24" s="11">
        <f t="shared" si="12"/>
        <v>0.0078121082932049203</v>
      </c>
      <c r="AG24" s="11">
        <f t="shared" si="12"/>
        <v>0.0095212160972628496</v>
      </c>
      <c r="AH24" s="29">
        <f t="shared" si="12"/>
        <v>0.0085096927408361608</v>
      </c>
      <c r="AI24" s="11">
        <f t="shared" si="12"/>
        <v>0.0029593185123942801</v>
      </c>
      <c r="AJ24" s="11">
        <f t="shared" si="12"/>
        <v>0.0056691671983411501</v>
      </c>
      <c r="AK24" s="11">
        <f t="shared" si="12"/>
        <v>0.0092174050501857303</v>
      </c>
      <c r="AL24" s="11">
        <f t="shared" si="12"/>
        <v>0.0123043102433363</v>
      </c>
      <c r="AM24" s="11">
        <f t="shared" si="12"/>
        <v>0.00544014982621776</v>
      </c>
      <c r="AN24" s="11">
        <f t="shared" si="12"/>
        <v>0.0074386773388463298</v>
      </c>
      <c r="AO24" s="11">
        <f t="shared" si="12"/>
        <v>0.0043657947328125399</v>
      </c>
    </row>
    <row r="25" spans="1:41" ht="14.4">
      <c r="A25" t="s">
        <v>9</v>
      </c>
      <c r="B25">
        <v>2011</v>
      </c>
      <c r="C25" t="str">
        <f t="shared" si="8"/>
        <v>Rdw_Flat-New</v>
      </c>
      <c r="D25" t="str">
        <f t="shared" si="5"/>
        <v>R_ES-FL-WatHeat</v>
      </c>
      <c r="E25" s="11">
        <f t="shared" si="14" ref="E25:AO25">E9</f>
        <v>0.0053358007298559404</v>
      </c>
      <c r="F25" s="11">
        <f t="shared" si="14"/>
        <v>0.0056256905354522598</v>
      </c>
      <c r="G25" s="11">
        <f t="shared" si="14"/>
        <v>0.0028151069238729499</v>
      </c>
      <c r="H25" s="11">
        <f t="shared" si="14"/>
        <v>0.0047636055714447298</v>
      </c>
      <c r="I25" s="11">
        <f t="shared" si="14"/>
        <v>0.0037927589536219698</v>
      </c>
      <c r="J25" s="11">
        <f t="shared" si="14"/>
        <v>0.00425516344182157</v>
      </c>
      <c r="K25" s="11">
        <f t="shared" si="14"/>
        <v>0.0047339725296001696</v>
      </c>
      <c r="L25" s="11">
        <f t="shared" si="14"/>
        <v>0.0035629419658595699</v>
      </c>
      <c r="M25" s="11">
        <f t="shared" si="14"/>
        <v>0.0046049016035624004</v>
      </c>
      <c r="N25" s="11">
        <f t="shared" si="14"/>
        <v>0.0048614593192417696</v>
      </c>
      <c r="O25" s="11">
        <f t="shared" si="14"/>
        <v>0.0044688314385498201</v>
      </c>
      <c r="P25" s="11">
        <f t="shared" si="14"/>
        <v>0.00521120739226031</v>
      </c>
      <c r="Q25" s="11">
        <f t="shared" si="14"/>
        <v>0.0060053589470557703</v>
      </c>
      <c r="R25" s="11">
        <f t="shared" si="14"/>
        <v>0.0056799848400766401</v>
      </c>
      <c r="S25" s="11">
        <f t="shared" si="14"/>
        <v>0.0049769854567531698</v>
      </c>
      <c r="T25" s="11">
        <f t="shared" si="14"/>
        <v>0.00306854612928309</v>
      </c>
      <c r="U25" s="11">
        <f t="shared" si="14"/>
        <v>0.0026679990995484202</v>
      </c>
      <c r="V25" s="11">
        <f t="shared" si="14"/>
        <v>0.0053761325822648696</v>
      </c>
      <c r="W25" s="11">
        <f t="shared" si="14"/>
        <v>0.00526619708828251</v>
      </c>
      <c r="X25" s="11">
        <f t="shared" si="14"/>
        <v>0.0042216067033755602</v>
      </c>
      <c r="Y25" s="11">
        <f t="shared" si="14"/>
        <v>0.00214201965514213</v>
      </c>
      <c r="Z25" s="29">
        <f t="shared" si="15" ref="Z25:AB25">Z9</f>
        <v>0.0036712522513924501</v>
      </c>
      <c r="AA25" s="11">
        <f t="shared" si="14"/>
        <v>0.00383065015024593</v>
      </c>
      <c r="AB25" s="29">
        <f t="shared" si="15"/>
        <v>0.0051504524285107996</v>
      </c>
      <c r="AC25" s="11">
        <f t="shared" si="14"/>
        <v>0.0037947037290630499</v>
      </c>
      <c r="AD25" s="11">
        <f t="shared" si="14"/>
        <v>0.0031326587792169899</v>
      </c>
      <c r="AE25" s="11">
        <f t="shared" si="14"/>
        <v>0.0023041500628651298</v>
      </c>
      <c r="AF25" s="11">
        <f t="shared" si="14"/>
        <v>0.0046221830101072902</v>
      </c>
      <c r="AG25" s="11">
        <f t="shared" si="14"/>
        <v>0.0077049729752123796</v>
      </c>
      <c r="AH25" s="29">
        <f t="shared" si="14"/>
        <v>0.00458893570106483</v>
      </c>
      <c r="AI25" s="11">
        <f t="shared" si="14"/>
        <v>0.0074087934223185702</v>
      </c>
      <c r="AJ25" s="11">
        <f t="shared" si="14"/>
        <v>0.0030750228676997299</v>
      </c>
      <c r="AK25" s="11">
        <f t="shared" si="14"/>
        <v>0.0034637810047841401</v>
      </c>
      <c r="AL25" s="11">
        <f t="shared" si="14"/>
        <v>0.0046469993785043899</v>
      </c>
      <c r="AM25" s="11">
        <f t="shared" si="14"/>
        <v>0.0061865565760232796</v>
      </c>
      <c r="AN25" s="11">
        <f t="shared" si="14"/>
        <v>0.0046960707674216099</v>
      </c>
      <c r="AO25" s="11">
        <f t="shared" si="14"/>
        <v>0.0046055530693775099</v>
      </c>
    </row>
    <row r="26" spans="1:41" ht="14.4">
      <c r="A26" t="s">
        <v>9</v>
      </c>
      <c r="B26">
        <v>2011</v>
      </c>
      <c r="C26" t="str">
        <f t="shared" si="8"/>
        <v>Rdw_SDetH-New</v>
      </c>
      <c r="D26" t="str">
        <f t="shared" si="5"/>
        <v>R_ES-SD-Cook</v>
      </c>
      <c r="E26" s="11">
        <f t="shared" si="16" ref="E26:AO26">E10</f>
        <v>0.0096401693011622103</v>
      </c>
      <c r="F26" s="11">
        <f t="shared" si="16"/>
        <v>0.0030415222889943099</v>
      </c>
      <c r="G26" s="11">
        <f t="shared" si="16"/>
        <v>0.0042581434154369702</v>
      </c>
      <c r="H26" s="11">
        <f t="shared" si="16"/>
        <v>0.0034102939388338601</v>
      </c>
      <c r="I26" s="11">
        <f t="shared" si="16"/>
        <v>0.0036540878403332499</v>
      </c>
      <c r="J26" s="11">
        <f t="shared" si="16"/>
        <v>0.0035508103674260398</v>
      </c>
      <c r="K26" s="11">
        <f t="shared" si="16"/>
        <v>0.0031439568442420199</v>
      </c>
      <c r="L26" s="11">
        <f t="shared" si="16"/>
        <v>0.00282814602417679</v>
      </c>
      <c r="M26" s="11">
        <f t="shared" si="16"/>
        <v>0.0032488705943226602</v>
      </c>
      <c r="N26" s="11">
        <f t="shared" si="16"/>
        <v>0.0028361456877566298</v>
      </c>
      <c r="O26" s="11">
        <f t="shared" si="16"/>
        <v>0.00276541346183358</v>
      </c>
      <c r="P26" s="11">
        <f t="shared" si="16"/>
        <v>0.0056266963289672497</v>
      </c>
      <c r="Q26" s="11">
        <f t="shared" si="16"/>
        <v>0.0038085079249353302</v>
      </c>
      <c r="R26" s="11">
        <f t="shared" si="16"/>
        <v>0.0026293573109243702</v>
      </c>
      <c r="S26" s="11">
        <f t="shared" si="16"/>
        <v>0.0046456785706277598</v>
      </c>
      <c r="T26" s="11">
        <f t="shared" si="16"/>
        <v>0.0030876066146761599</v>
      </c>
      <c r="U26" s="11">
        <f t="shared" si="16"/>
        <v>0.0027436497090527899</v>
      </c>
      <c r="V26" s="11">
        <f t="shared" si="16"/>
        <v>0.0029710596309351299</v>
      </c>
      <c r="W26" s="11">
        <f t="shared" si="16"/>
        <v>0.0022971797935458001</v>
      </c>
      <c r="X26" s="11">
        <f t="shared" si="16"/>
        <v>0.0024563524698412598</v>
      </c>
      <c r="Y26" s="11">
        <f t="shared" si="16"/>
        <v>0.00375506972701621</v>
      </c>
      <c r="Z26" s="29">
        <f t="shared" si="17" ref="Z26:AB26">Z10</f>
        <v>0.0024095486640133101</v>
      </c>
      <c r="AA26" s="11">
        <f t="shared" si="16"/>
        <v>0.0028929006536856398</v>
      </c>
      <c r="AB26" s="29">
        <f t="shared" si="17"/>
        <v>0.0018737845806433399</v>
      </c>
      <c r="AC26" s="11">
        <f t="shared" si="16"/>
        <v>0.0079551734298874497</v>
      </c>
      <c r="AD26" s="11">
        <f t="shared" si="16"/>
        <v>0.0052408564883108097</v>
      </c>
      <c r="AE26" s="11">
        <f t="shared" si="16"/>
        <v>0.0040527979453475601</v>
      </c>
      <c r="AF26" s="11">
        <f t="shared" si="16"/>
        <v>0.00333257110748839</v>
      </c>
      <c r="AG26" s="11">
        <f t="shared" si="16"/>
        <v>0.0074120673285544801</v>
      </c>
      <c r="AH26" s="29">
        <f t="shared" si="16"/>
        <v>0.0031582031254655</v>
      </c>
      <c r="AI26" s="11">
        <f t="shared" si="16"/>
        <v>0.015925988068439</v>
      </c>
      <c r="AJ26" s="11">
        <f t="shared" si="16"/>
        <v>0.0026716940978137199</v>
      </c>
      <c r="AK26" s="11">
        <f t="shared" si="16"/>
        <v>0.0048263692079581399</v>
      </c>
      <c r="AL26" s="11">
        <f t="shared" si="16"/>
        <v>0.00265130540461551</v>
      </c>
      <c r="AM26" s="11">
        <f t="shared" si="16"/>
        <v>0.0023401915005250799</v>
      </c>
      <c r="AN26" s="11">
        <f t="shared" si="16"/>
        <v>0.0036328190444342499</v>
      </c>
      <c r="AO26" s="11">
        <f t="shared" si="16"/>
        <v>0.0020315868994864</v>
      </c>
    </row>
    <row r="27" spans="1:41" ht="14.4">
      <c r="A27" t="s">
        <v>9</v>
      </c>
      <c r="B27">
        <v>2011</v>
      </c>
      <c r="C27" t="str">
        <f t="shared" si="8"/>
        <v>Rdw_SDetH-New</v>
      </c>
      <c r="D27" t="str">
        <f t="shared" si="5"/>
        <v>R_ES-SD-SpCool</v>
      </c>
      <c r="E27" s="29">
        <f>IF(E11&lt;$A$1,"",E11)</f>
        <v>0.00330236288590315</v>
      </c>
      <c r="F27" s="29">
        <f t="shared" si="18" ref="F27:AO27">IF(F11&lt;$A$1,"",F11)</f>
        <v>0.00031367532348014699</v>
      </c>
      <c r="G27" s="29">
        <f t="shared" si="18"/>
        <v>0.0081355237794084601</v>
      </c>
      <c r="H27" s="29">
        <f t="shared" si="18"/>
        <v>0.00106447799615975</v>
      </c>
      <c r="I27" s="29">
        <f t="shared" si="18"/>
        <v>0.00053515446359399504</v>
      </c>
      <c r="J27" s="29">
        <f t="shared" si="18"/>
        <v>0.00031900864114235299</v>
      </c>
      <c r="K27" s="29">
        <f t="shared" si="18"/>
        <v>0.0075016642333142003</v>
      </c>
      <c r="L27" s="29">
        <f t="shared" si="18"/>
        <v>5.7915380213620601E-05</v>
      </c>
      <c r="M27" s="29">
        <f t="shared" si="18"/>
        <v>0.00027938653494462702</v>
      </c>
      <c r="N27" s="29">
        <f t="shared" si="18"/>
        <v>0.000215866298642578</v>
      </c>
      <c r="O27" s="46">
        <f>IF(O11&lt;$A$1,$A$1,O11)</f>
        <v>2.5000000000000001E-05</v>
      </c>
      <c r="P27" s="29">
        <f t="shared" si="18"/>
        <v>0.0024745307312944</v>
      </c>
      <c r="Q27" s="29">
        <f t="shared" si="18"/>
        <v>0.0017885701039009299</v>
      </c>
      <c r="R27" s="29">
        <f t="shared" si="18"/>
        <v>7.7066364963614001E-05</v>
      </c>
      <c r="S27" s="29">
        <f t="shared" si="18"/>
        <v>0.0021914252725928102</v>
      </c>
      <c r="T27" s="29">
        <f t="shared" si="18"/>
        <v>0.0040321318774958004</v>
      </c>
      <c r="U27" s="29">
        <f t="shared" si="18"/>
        <v>6.3675396170606604E-05</v>
      </c>
      <c r="V27" s="29">
        <f t="shared" si="18"/>
        <v>0.000182029993205651</v>
      </c>
      <c r="W27" s="29">
        <f t="shared" si="18"/>
        <v>6.6958366412724304E-05</v>
      </c>
      <c r="X27" s="29">
        <f t="shared" si="18"/>
        <v>0.0018281929071075</v>
      </c>
      <c r="Y27" s="29">
        <f t="shared" si="18"/>
        <v>0.0068175809723035096</v>
      </c>
      <c r="Z27" s="46">
        <f>IF(Z11&lt;$A$1,$A$1,Z11)</f>
        <v>2.5000000000000001E-05</v>
      </c>
      <c r="AA27" s="29">
        <f t="shared" si="18"/>
        <v>0.0029769779379129101</v>
      </c>
      <c r="AB27" s="46">
        <f>IF(AB11&lt;$A$1,$A$1,AB11)</f>
        <v>2.5000000000000001E-05</v>
      </c>
      <c r="AC27" s="29">
        <f t="shared" si="18"/>
        <v>0.0032922643511000302</v>
      </c>
      <c r="AD27" s="29">
        <f t="shared" si="18"/>
        <v>0.0096533092678208407</v>
      </c>
      <c r="AE27" s="29">
        <f t="shared" si="18"/>
        <v>0.0086615593488368996</v>
      </c>
      <c r="AF27" s="29">
        <f t="shared" si="18"/>
        <v>0.00068788026038014299</v>
      </c>
      <c r="AG27" s="29">
        <f t="shared" si="18"/>
        <v>0.00024065938248666799</v>
      </c>
      <c r="AH27" s="46">
        <f>IF(AH11&lt;$A$1,$A$1,AH11)</f>
        <v>3.7704132590165203E-05</v>
      </c>
      <c r="AI27" s="29">
        <f t="shared" si="18"/>
        <v>0.00137016530675495</v>
      </c>
      <c r="AJ27" s="29">
        <f t="shared" si="18"/>
        <v>8.1424878342299905E-05</v>
      </c>
      <c r="AK27" s="29">
        <f t="shared" si="18"/>
        <v>0.0088705237189384608</v>
      </c>
      <c r="AL27" s="29">
        <f t="shared" si="18"/>
        <v>0.00015883063644810401</v>
      </c>
      <c r="AM27" s="29">
        <f t="shared" si="18"/>
        <v>0.00060158929463398803</v>
      </c>
      <c r="AN27" s="29">
        <f t="shared" si="18"/>
        <v>0.00019404844073037401</v>
      </c>
      <c r="AO27" s="29">
        <f t="shared" si="18"/>
        <v>0.00012129151854895301</v>
      </c>
    </row>
    <row r="28" spans="1:41" ht="14.4">
      <c r="A28" t="s">
        <v>9</v>
      </c>
      <c r="B28">
        <v>2011</v>
      </c>
      <c r="C28" t="str">
        <f t="shared" si="8"/>
        <v>Rdw_SDetH-New</v>
      </c>
      <c r="D28" t="str">
        <f t="shared" si="5"/>
        <v>R_ES-SD-SpHeat-I</v>
      </c>
      <c r="E28" s="11">
        <f t="shared" si="19" ref="E28:AO28">E12</f>
        <v>0.0045375000542220998</v>
      </c>
      <c r="F28" s="11">
        <f t="shared" si="19"/>
        <v>0.019275440265662799</v>
      </c>
      <c r="G28" s="11">
        <f t="shared" si="19"/>
        <v>0.010524796046342899</v>
      </c>
      <c r="H28" s="11">
        <f t="shared" si="19"/>
        <v>0.0232129835471712</v>
      </c>
      <c r="I28" s="11">
        <f t="shared" si="19"/>
        <v>0.0075046921478922699</v>
      </c>
      <c r="J28" s="11">
        <f t="shared" si="19"/>
        <v>0.020729087314293401</v>
      </c>
      <c r="K28" s="11">
        <f t="shared" si="19"/>
        <v>0.0143200403058332</v>
      </c>
      <c r="L28" s="11">
        <f t="shared" si="19"/>
        <v>0.019541419109130601</v>
      </c>
      <c r="M28" s="11">
        <f t="shared" si="19"/>
        <v>0.015706077630989999</v>
      </c>
      <c r="N28" s="11">
        <f t="shared" si="19"/>
        <v>0.0154728847471451</v>
      </c>
      <c r="O28" s="11">
        <f t="shared" si="19"/>
        <v>0.022536889602733302</v>
      </c>
      <c r="P28" s="11">
        <f t="shared" si="19"/>
        <v>0.0110338689939075</v>
      </c>
      <c r="Q28" s="11">
        <f t="shared" si="19"/>
        <v>0.013060898786311099</v>
      </c>
      <c r="R28" s="11">
        <f t="shared" si="19"/>
        <v>0.038986089231661601</v>
      </c>
      <c r="S28" s="11">
        <f t="shared" si="19"/>
        <v>0.0118549894061894</v>
      </c>
      <c r="T28" s="11">
        <f t="shared" si="19"/>
        <v>0.011631408421087499</v>
      </c>
      <c r="U28" s="11">
        <f t="shared" si="19"/>
        <v>0.014432789146392601</v>
      </c>
      <c r="V28" s="11">
        <f t="shared" si="19"/>
        <v>0.015172218892261899</v>
      </c>
      <c r="W28" s="11">
        <f t="shared" si="19"/>
        <v>0.054212330418214702</v>
      </c>
      <c r="X28" s="11">
        <f t="shared" si="19"/>
        <v>0.026018573734932202</v>
      </c>
      <c r="Y28" s="11">
        <f t="shared" si="19"/>
        <v>0.010170720287828301</v>
      </c>
      <c r="Z28" s="11">
        <f t="shared" si="19"/>
        <v>0.012651995992278399</v>
      </c>
      <c r="AA28" s="11">
        <f t="shared" si="19"/>
        <v>0.0226220982166788</v>
      </c>
      <c r="AB28" s="11">
        <f t="shared" si="19"/>
        <v>0.0140862220788828</v>
      </c>
      <c r="AC28" s="11">
        <f t="shared" si="19"/>
        <v>0.020544978004433299</v>
      </c>
      <c r="AD28" s="11">
        <f t="shared" si="19"/>
        <v>0.0069508974761988097</v>
      </c>
      <c r="AE28" s="11">
        <f t="shared" si="19"/>
        <v>0.0057951457846353999</v>
      </c>
      <c r="AF28" s="11">
        <f t="shared" si="19"/>
        <v>0.0178733516334861</v>
      </c>
      <c r="AG28" s="11">
        <f t="shared" si="19"/>
        <v>0.020730322227651199</v>
      </c>
      <c r="AH28" s="11">
        <f t="shared" si="19"/>
        <v>0.022664164165627099</v>
      </c>
      <c r="AI28" s="11">
        <f t="shared" si="19"/>
        <v>0.0063944258358742904</v>
      </c>
      <c r="AJ28" s="11">
        <f t="shared" si="19"/>
        <v>0.018767063051203101</v>
      </c>
      <c r="AK28" s="11">
        <f t="shared" si="19"/>
        <v>0.014923748722361199</v>
      </c>
      <c r="AL28" s="11">
        <f t="shared" si="19"/>
        <v>0.0263904996542072</v>
      </c>
      <c r="AM28" s="11">
        <f t="shared" si="19"/>
        <v>0.011464475031722999</v>
      </c>
      <c r="AN28" s="11">
        <f t="shared" si="19"/>
        <v>0.017061767537593701</v>
      </c>
      <c r="AO28" s="11">
        <f t="shared" si="19"/>
        <v>0.0137187975561816</v>
      </c>
    </row>
    <row r="29" spans="1:41" ht="14.4">
      <c r="A29" t="s">
        <v>9</v>
      </c>
      <c r="B29">
        <v>2011</v>
      </c>
      <c r="C29" t="str">
        <f t="shared" si="8"/>
        <v>Rdw_SDetH-New</v>
      </c>
      <c r="D29" t="str">
        <f t="shared" si="5"/>
        <v>R_ES-SD-WatHeat</v>
      </c>
      <c r="E29" s="11">
        <f t="shared" si="20" ref="E29:AO29">E13</f>
        <v>0.0106716014597119</v>
      </c>
      <c r="F29" s="11">
        <f t="shared" si="20"/>
        <v>0.011251381070904501</v>
      </c>
      <c r="G29" s="11">
        <f t="shared" si="20"/>
        <v>0.0056302138477458902</v>
      </c>
      <c r="H29" s="11">
        <f t="shared" si="20"/>
        <v>0.0095272111428894597</v>
      </c>
      <c r="I29" s="11">
        <f t="shared" si="20"/>
        <v>0.0075855179072439301</v>
      </c>
      <c r="J29" s="11">
        <f t="shared" si="20"/>
        <v>0.0085103268836431399</v>
      </c>
      <c r="K29" s="11">
        <f t="shared" si="20"/>
        <v>0.0094679450592003497</v>
      </c>
      <c r="L29" s="11">
        <f t="shared" si="20"/>
        <v>0.0071258839317191397</v>
      </c>
      <c r="M29" s="11">
        <f t="shared" si="20"/>
        <v>0.0092098032071248094</v>
      </c>
      <c r="N29" s="11">
        <f t="shared" si="20"/>
        <v>0.0097229186384835391</v>
      </c>
      <c r="O29" s="11">
        <f t="shared" si="20"/>
        <v>0.0089376628770996402</v>
      </c>
      <c r="P29" s="11">
        <f t="shared" si="20"/>
        <v>0.010422414784520599</v>
      </c>
      <c r="Q29" s="11">
        <f t="shared" si="20"/>
        <v>0.012010717894111501</v>
      </c>
      <c r="R29" s="11">
        <f t="shared" si="20"/>
        <v>0.011359969680153299</v>
      </c>
      <c r="S29" s="11">
        <f t="shared" si="20"/>
        <v>0.0099539709135063395</v>
      </c>
      <c r="T29" s="11">
        <f t="shared" si="20"/>
        <v>0.0061370922585661696</v>
      </c>
      <c r="U29" s="11">
        <f t="shared" si="20"/>
        <v>0.00533599819909683</v>
      </c>
      <c r="V29" s="11">
        <f t="shared" si="20"/>
        <v>0.010752265164529699</v>
      </c>
      <c r="W29" s="11">
        <f t="shared" si="20"/>
        <v>0.010532394176564999</v>
      </c>
      <c r="X29" s="11">
        <f t="shared" si="20"/>
        <v>0.0084432134067511204</v>
      </c>
      <c r="Y29" s="11">
        <f t="shared" si="20"/>
        <v>0.0042840393102842704</v>
      </c>
      <c r="Z29" s="11">
        <f t="shared" si="20"/>
        <v>0.0073425045027849098</v>
      </c>
      <c r="AA29" s="11">
        <f t="shared" si="20"/>
        <v>0.0076613003004918599</v>
      </c>
      <c r="AB29" s="11">
        <f t="shared" si="20"/>
        <v>0.010300904857021599</v>
      </c>
      <c r="AC29" s="11">
        <f t="shared" si="20"/>
        <v>0.0075894074581261102</v>
      </c>
      <c r="AD29" s="11">
        <f t="shared" si="20"/>
        <v>0.0062653175584339704</v>
      </c>
      <c r="AE29" s="11">
        <f t="shared" si="20"/>
        <v>0.0046083001257302501</v>
      </c>
      <c r="AF29" s="11">
        <f t="shared" si="20"/>
        <v>0.0092443660202145804</v>
      </c>
      <c r="AG29" s="11">
        <f t="shared" si="20"/>
        <v>0.015409945950424799</v>
      </c>
      <c r="AH29" s="11">
        <f t="shared" si="20"/>
        <v>0.0091778714021296705</v>
      </c>
      <c r="AI29" s="11">
        <f t="shared" si="20"/>
        <v>0.0148175868446371</v>
      </c>
      <c r="AJ29" s="11">
        <f t="shared" si="20"/>
        <v>0.0061500457353994703</v>
      </c>
      <c r="AK29" s="11">
        <f t="shared" si="20"/>
        <v>0.0069275620095682897</v>
      </c>
      <c r="AL29" s="11">
        <f t="shared" si="20"/>
        <v>0.0092939987570087694</v>
      </c>
      <c r="AM29" s="11">
        <f t="shared" si="20"/>
        <v>0.012373113152046601</v>
      </c>
      <c r="AN29" s="11">
        <f t="shared" si="20"/>
        <v>0.0093921415348432093</v>
      </c>
      <c r="AO29" s="11">
        <f t="shared" si="20"/>
        <v>0.0092111061387550198</v>
      </c>
    </row>
    <row r="30" spans="1:41" ht="14.4">
      <c r="A30" s="10" t="s">
        <v>123</v>
      </c>
      <c r="E30" s="6">
        <v>0.20</v>
      </c>
      <c r="F30" s="6">
        <v>0.20</v>
      </c>
      <c r="G30" s="6">
        <v>0.20</v>
      </c>
      <c r="H30" s="6">
        <v>0.20</v>
      </c>
      <c r="I30" s="6">
        <v>0.20</v>
      </c>
      <c r="J30" s="6">
        <v>0.20</v>
      </c>
      <c r="K30" s="6">
        <v>0.20</v>
      </c>
      <c r="L30" s="6">
        <v>0.20</v>
      </c>
      <c r="M30" s="6">
        <v>0.20</v>
      </c>
      <c r="N30" s="6">
        <v>0.20</v>
      </c>
      <c r="O30" s="6">
        <v>0.20</v>
      </c>
      <c r="P30" s="6">
        <v>0.20</v>
      </c>
      <c r="Q30" s="6">
        <v>0.20</v>
      </c>
      <c r="R30" s="6">
        <v>0.20</v>
      </c>
      <c r="S30" s="6">
        <v>0.20</v>
      </c>
      <c r="T30" s="6">
        <v>0.20</v>
      </c>
      <c r="U30" s="6">
        <v>0.20</v>
      </c>
      <c r="V30" s="6">
        <v>0.20</v>
      </c>
      <c r="W30" s="6">
        <v>0.20</v>
      </c>
      <c r="X30" s="6">
        <v>0.20</v>
      </c>
      <c r="Y30" s="6">
        <v>0.20</v>
      </c>
      <c r="Z30" s="6">
        <v>0.20</v>
      </c>
      <c r="AA30" s="6">
        <v>0.20</v>
      </c>
      <c r="AB30" s="6">
        <v>0.20</v>
      </c>
      <c r="AC30" s="6">
        <v>0.20</v>
      </c>
      <c r="AD30" s="6">
        <v>0.20</v>
      </c>
      <c r="AE30" s="6">
        <v>0.20</v>
      </c>
      <c r="AF30" s="6">
        <v>0.20</v>
      </c>
      <c r="AG30" s="6">
        <v>0.20</v>
      </c>
      <c r="AH30" s="6">
        <v>0.20</v>
      </c>
      <c r="AI30" s="6">
        <v>0.20</v>
      </c>
      <c r="AJ30" s="6">
        <v>0.20</v>
      </c>
      <c r="AK30" s="6">
        <v>0.20</v>
      </c>
      <c r="AL30" s="6">
        <v>0.20</v>
      </c>
      <c r="AM30" s="6">
        <v>0.20</v>
      </c>
      <c r="AN30" s="6">
        <v>0.20</v>
      </c>
      <c r="AO30" s="6">
        <v>0.20</v>
      </c>
    </row>
    <row r="31" spans="1:41" ht="14.4">
      <c r="A31" t="str">
        <f>A19</f>
        <v>INPUT</v>
      </c>
      <c r="B31">
        <v>2060</v>
      </c>
      <c r="C31" t="str">
        <f>C19</f>
        <v>Rdw_DetH-New</v>
      </c>
      <c r="D31" t="str">
        <f>D19</f>
        <v>R_ES-DH-SpCool</v>
      </c>
      <c r="E31" s="11">
        <f>IFERROR(E19*(1-E$30),"")</f>
        <v>0.0026418903087225202</v>
      </c>
      <c r="F31" s="29">
        <f t="shared" si="21" ref="F31:AO31">IFERROR(F19*(1-F$30),"")</f>
        <v>0.00025094025878411762</v>
      </c>
      <c r="G31" s="29">
        <f t="shared" si="21"/>
        <v>0.0065084190235267687</v>
      </c>
      <c r="H31" s="29">
        <f t="shared" si="21"/>
        <v>0.00085158239692780012</v>
      </c>
      <c r="I31" s="29">
        <f t="shared" si="21"/>
        <v>0.00042812357087519605</v>
      </c>
      <c r="J31" s="29">
        <f t="shared" si="21"/>
        <v>0.00025520691291388241</v>
      </c>
      <c r="K31" s="29">
        <f t="shared" si="21"/>
        <v>0.0060013313866513606</v>
      </c>
      <c r="L31" s="29">
        <f t="shared" si="21"/>
        <v>4.6332304170896481E-05</v>
      </c>
      <c r="M31" s="29">
        <f t="shared" si="21"/>
        <v>0.00022350922795570161</v>
      </c>
      <c r="N31" s="29">
        <f t="shared" si="21"/>
        <v>0.00017269303891406242</v>
      </c>
      <c r="O31" s="45">
        <f t="shared" si="21"/>
        <v>2.0000000000000002E-05</v>
      </c>
      <c r="P31" s="29">
        <f t="shared" si="21"/>
        <v>0.0019796245850355202</v>
      </c>
      <c r="Q31" s="29">
        <f t="shared" si="21"/>
        <v>0.0014308560831207441</v>
      </c>
      <c r="R31" s="29">
        <f t="shared" si="21"/>
        <v>6.1653091970891204E-05</v>
      </c>
      <c r="S31" s="29">
        <f t="shared" si="21"/>
        <v>0.0017531402180742481</v>
      </c>
      <c r="T31" s="29">
        <f t="shared" si="21"/>
        <v>0.0032257055019966406</v>
      </c>
      <c r="U31" s="29">
        <f t="shared" si="21"/>
        <v>5.0940316936485286E-05</v>
      </c>
      <c r="V31" s="29">
        <f t="shared" si="21"/>
        <v>0.0001456239945645208</v>
      </c>
      <c r="W31" s="29">
        <f t="shared" si="21"/>
        <v>5.3566693130179448E-05</v>
      </c>
      <c r="X31" s="29">
        <f t="shared" si="21"/>
        <v>0.0014625543256860001</v>
      </c>
      <c r="Y31" s="29">
        <f t="shared" si="21"/>
        <v>0.0054540647778428082</v>
      </c>
      <c r="Z31" s="29">
        <f t="shared" si="21"/>
        <v>2.0000000000000002E-05</v>
      </c>
      <c r="AA31" s="29">
        <f t="shared" si="21"/>
        <v>0.0023815823503303283</v>
      </c>
      <c r="AB31" s="29">
        <f t="shared" si="21"/>
        <v>2.0000000000000002E-05</v>
      </c>
      <c r="AC31" s="29">
        <f t="shared" si="21"/>
        <v>0.0026338114808800244</v>
      </c>
      <c r="AD31" s="29">
        <f t="shared" si="21"/>
        <v>0.0077226474142566733</v>
      </c>
      <c r="AE31" s="29">
        <f t="shared" si="21"/>
        <v>0.0069292474790695197</v>
      </c>
      <c r="AF31" s="29">
        <f t="shared" si="21"/>
        <v>0.00055030420830411446</v>
      </c>
      <c r="AG31" s="29">
        <f t="shared" si="21"/>
        <v>0.0001925275059893344</v>
      </c>
      <c r="AH31" s="29">
        <f t="shared" si="21"/>
        <v>3.0163306072132163E-05</v>
      </c>
      <c r="AI31" s="29">
        <f t="shared" si="21"/>
        <v>0.0010961322454039601</v>
      </c>
      <c r="AJ31" s="29">
        <f t="shared" si="21"/>
        <v>6.5139902673839932E-05</v>
      </c>
      <c r="AK31" s="29">
        <f t="shared" si="21"/>
        <v>0.0070964189751507693</v>
      </c>
      <c r="AL31" s="29">
        <f t="shared" si="21"/>
        <v>0.00012706450915848323</v>
      </c>
      <c r="AM31" s="29">
        <f t="shared" si="21"/>
        <v>0.00048127143570719045</v>
      </c>
      <c r="AN31" s="29">
        <f t="shared" si="21"/>
        <v>0.00015523875258429922</v>
      </c>
      <c r="AO31" s="29">
        <f t="shared" si="21"/>
        <v>9.7033214839162415E-05</v>
      </c>
    </row>
    <row r="32" spans="1:41" ht="14.4">
      <c r="A32" t="str">
        <f>A23</f>
        <v>INPUT</v>
      </c>
      <c r="B32">
        <v>2060</v>
      </c>
      <c r="C32" t="str">
        <f>C23</f>
        <v>Rdw_Flat-New</v>
      </c>
      <c r="D32" t="str">
        <f>D23</f>
        <v>R_ES-FL-SpCool</v>
      </c>
      <c r="E32" s="11">
        <f>IFERROR(E23*(1-E$30),"")</f>
        <v>0.001320945154361264</v>
      </c>
      <c r="F32" s="29">
        <f t="shared" si="22" ref="F32:AO32">IFERROR(F23*(1-F$30),"")</f>
        <v>0.0001254701293920584</v>
      </c>
      <c r="G32" s="29">
        <f t="shared" si="22"/>
        <v>0.0032542095117633844</v>
      </c>
      <c r="H32" s="29">
        <f t="shared" si="22"/>
        <v>0.00042579119846390082</v>
      </c>
      <c r="I32" s="29">
        <f t="shared" si="22"/>
        <v>0.00021406178543759759</v>
      </c>
      <c r="J32" s="29">
        <f t="shared" si="22"/>
        <v>0.00012760345645694161</v>
      </c>
      <c r="K32" s="29">
        <f t="shared" si="22"/>
        <v>0.0030006656933256803</v>
      </c>
      <c r="L32" s="29">
        <f t="shared" si="22"/>
        <v>2.316615208544824E-05</v>
      </c>
      <c r="M32" s="29">
        <f t="shared" si="22"/>
        <v>0.0001117546139778504</v>
      </c>
      <c r="N32" s="29">
        <f t="shared" si="22"/>
        <v>8.6346519457031212E-05</v>
      </c>
      <c r="O32" s="29">
        <f t="shared" si="22"/>
        <v>0</v>
      </c>
      <c r="P32" s="29">
        <f t="shared" si="22"/>
        <v>0.00098981229251776008</v>
      </c>
      <c r="Q32" s="29">
        <f t="shared" si="22"/>
        <v>0.00071542804156037292</v>
      </c>
      <c r="R32" s="29">
        <f t="shared" si="22"/>
        <v>3.0826545985445602E-05</v>
      </c>
      <c r="S32" s="29">
        <f t="shared" si="22"/>
        <v>0.00087657010903712809</v>
      </c>
      <c r="T32" s="29">
        <f t="shared" si="22"/>
        <v>0.0016128527509983203</v>
      </c>
      <c r="U32" s="29">
        <f t="shared" si="22"/>
        <v>2.5470158468242643E-05</v>
      </c>
      <c r="V32" s="29">
        <f t="shared" si="22"/>
        <v>7.2811997282260481E-05</v>
      </c>
      <c r="W32" s="29">
        <f t="shared" si="22"/>
        <v>2.6783346565089761E-05</v>
      </c>
      <c r="X32" s="29">
        <f t="shared" si="22"/>
        <v>0.00073127716284300168</v>
      </c>
      <c r="Y32" s="29">
        <f t="shared" si="22"/>
        <v>0.002727032388921408</v>
      </c>
      <c r="Z32" s="29">
        <f t="shared" si="22"/>
        <v>0</v>
      </c>
      <c r="AA32" s="29">
        <f t="shared" si="22"/>
        <v>0.001190791175165168</v>
      </c>
      <c r="AB32" s="29">
        <f t="shared" si="22"/>
        <v>0</v>
      </c>
      <c r="AC32" s="29">
        <f t="shared" si="22"/>
        <v>0.0013169057404400161</v>
      </c>
      <c r="AD32" s="29">
        <f t="shared" si="22"/>
        <v>0.0038613237071283366</v>
      </c>
      <c r="AE32" s="29">
        <f t="shared" si="22"/>
        <v>0.0034646237395347598</v>
      </c>
      <c r="AF32" s="29">
        <f t="shared" si="22"/>
        <v>0.0002751521041520568</v>
      </c>
      <c r="AG32" s="29">
        <f t="shared" si="22"/>
        <v>9.6263752994667199E-05</v>
      </c>
      <c r="AH32" s="29">
        <f t="shared" si="22"/>
        <v>0</v>
      </c>
      <c r="AI32" s="29">
        <f t="shared" si="22"/>
        <v>0.00054806612270198003</v>
      </c>
      <c r="AJ32" s="29">
        <f t="shared" si="22"/>
        <v>3.2569951336919919E-05</v>
      </c>
      <c r="AK32" s="29">
        <f t="shared" si="22"/>
        <v>0.0035482094875753847</v>
      </c>
      <c r="AL32" s="29">
        <f t="shared" si="22"/>
        <v>6.3532254579241762E-05</v>
      </c>
      <c r="AM32" s="29">
        <f t="shared" si="22"/>
        <v>0.00024063571785359523</v>
      </c>
      <c r="AN32" s="29">
        <f t="shared" si="22"/>
        <v>7.7619376292149529E-05</v>
      </c>
      <c r="AO32" s="29">
        <f t="shared" si="22"/>
        <v>4.8516607419581363E-05</v>
      </c>
    </row>
    <row r="33" spans="1:41" ht="14.4">
      <c r="A33" t="str">
        <f>A27</f>
        <v>INPUT</v>
      </c>
      <c r="B33">
        <v>2060</v>
      </c>
      <c r="C33" t="str">
        <f>C27</f>
        <v>Rdw_SDetH-New</v>
      </c>
      <c r="D33" t="str">
        <f>D27</f>
        <v>R_ES-SD-SpCool</v>
      </c>
      <c r="E33" s="11">
        <f>IFERROR(E27*(1-E$30),"")</f>
        <v>0.0026418903087225202</v>
      </c>
      <c r="F33" s="29">
        <f t="shared" si="23" ref="F33:AO33">IFERROR(F27*(1-F$30),"")</f>
        <v>0.00025094025878411762</v>
      </c>
      <c r="G33" s="29">
        <f t="shared" si="23"/>
        <v>0.0065084190235267687</v>
      </c>
      <c r="H33" s="29">
        <f t="shared" si="23"/>
        <v>0.00085158239692780012</v>
      </c>
      <c r="I33" s="29">
        <f t="shared" si="23"/>
        <v>0.00042812357087519605</v>
      </c>
      <c r="J33" s="29">
        <f t="shared" si="23"/>
        <v>0.00025520691291388241</v>
      </c>
      <c r="K33" s="29">
        <f t="shared" si="23"/>
        <v>0.0060013313866513606</v>
      </c>
      <c r="L33" s="29">
        <f t="shared" si="23"/>
        <v>4.6332304170896481E-05</v>
      </c>
      <c r="M33" s="29">
        <f t="shared" si="23"/>
        <v>0.00022350922795570161</v>
      </c>
      <c r="N33" s="29">
        <f t="shared" si="23"/>
        <v>0.00017269303891406242</v>
      </c>
      <c r="O33" s="45">
        <f t="shared" si="23"/>
        <v>2.0000000000000002E-05</v>
      </c>
      <c r="P33" s="29">
        <f t="shared" si="23"/>
        <v>0.0019796245850355202</v>
      </c>
      <c r="Q33" s="29">
        <f t="shared" si="23"/>
        <v>0.0014308560831207441</v>
      </c>
      <c r="R33" s="29">
        <f t="shared" si="23"/>
        <v>6.1653091970891204E-05</v>
      </c>
      <c r="S33" s="29">
        <f t="shared" si="23"/>
        <v>0.0017531402180742481</v>
      </c>
      <c r="T33" s="29">
        <f t="shared" si="23"/>
        <v>0.0032257055019966406</v>
      </c>
      <c r="U33" s="29">
        <f t="shared" si="23"/>
        <v>5.0940316936485286E-05</v>
      </c>
      <c r="V33" s="29">
        <f t="shared" si="23"/>
        <v>0.0001456239945645208</v>
      </c>
      <c r="W33" s="29">
        <f t="shared" si="23"/>
        <v>5.3566693130179448E-05</v>
      </c>
      <c r="X33" s="29">
        <f t="shared" si="23"/>
        <v>0.0014625543256860001</v>
      </c>
      <c r="Y33" s="29">
        <f t="shared" si="23"/>
        <v>0.0054540647778428082</v>
      </c>
      <c r="Z33" s="29">
        <f t="shared" si="23"/>
        <v>2.0000000000000002E-05</v>
      </c>
      <c r="AA33" s="29">
        <f t="shared" si="23"/>
        <v>0.0023815823503303283</v>
      </c>
      <c r="AB33" s="29">
        <f t="shared" si="23"/>
        <v>2.0000000000000002E-05</v>
      </c>
      <c r="AC33" s="29">
        <f t="shared" si="23"/>
        <v>0.0026338114808800244</v>
      </c>
      <c r="AD33" s="29">
        <f t="shared" si="23"/>
        <v>0.0077226474142566733</v>
      </c>
      <c r="AE33" s="29">
        <f t="shared" si="23"/>
        <v>0.0069292474790695197</v>
      </c>
      <c r="AF33" s="29">
        <f t="shared" si="23"/>
        <v>0.00055030420830411446</v>
      </c>
      <c r="AG33" s="29">
        <f t="shared" si="23"/>
        <v>0.0001925275059893344</v>
      </c>
      <c r="AH33" s="29">
        <f t="shared" si="23"/>
        <v>3.0163306072132163E-05</v>
      </c>
      <c r="AI33" s="29">
        <f t="shared" si="23"/>
        <v>0.0010961322454039601</v>
      </c>
      <c r="AJ33" s="29">
        <f t="shared" si="23"/>
        <v>6.5139902673839932E-05</v>
      </c>
      <c r="AK33" s="29">
        <f t="shared" si="23"/>
        <v>0.0070964189751507693</v>
      </c>
      <c r="AL33" s="29">
        <f t="shared" si="23"/>
        <v>0.00012706450915848323</v>
      </c>
      <c r="AM33" s="29">
        <f t="shared" si="23"/>
        <v>0.00048127143570719045</v>
      </c>
      <c r="AN33" s="29">
        <f t="shared" si="23"/>
        <v>0.00015523875258429922</v>
      </c>
      <c r="AO33" s="29">
        <f t="shared" si="23"/>
        <v>9.7033214839162415E-05</v>
      </c>
    </row>
    <row r="34" spans="1:41" s="26" customFormat="1" ht="14.4">
      <c r="A34" s="10" t="s">
        <v>200</v>
      </c>
      <c r="E34" s="6">
        <v>0.40</v>
      </c>
      <c r="F34" s="6">
        <v>0.40</v>
      </c>
      <c r="G34" s="6">
        <v>0.40</v>
      </c>
      <c r="H34" s="6">
        <v>0.40</v>
      </c>
      <c r="I34" s="6">
        <v>0.40</v>
      </c>
      <c r="J34" s="6">
        <v>0.40</v>
      </c>
      <c r="K34" s="6">
        <v>0.40</v>
      </c>
      <c r="L34" s="6">
        <v>0.40</v>
      </c>
      <c r="M34" s="6">
        <v>0.40</v>
      </c>
      <c r="N34" s="6">
        <v>0.40</v>
      </c>
      <c r="O34" s="6">
        <v>0.40</v>
      </c>
      <c r="P34" s="6">
        <v>0.40</v>
      </c>
      <c r="Q34" s="6">
        <v>0.40</v>
      </c>
      <c r="R34" s="6">
        <v>0.40</v>
      </c>
      <c r="S34" s="6">
        <v>0.40</v>
      </c>
      <c r="T34" s="6">
        <v>0.40</v>
      </c>
      <c r="U34" s="6">
        <v>0.40</v>
      </c>
      <c r="V34" s="6">
        <v>0.40</v>
      </c>
      <c r="W34" s="6">
        <v>0.40</v>
      </c>
      <c r="X34" s="6">
        <v>0.40</v>
      </c>
      <c r="Y34" s="6">
        <v>0.40</v>
      </c>
      <c r="Z34" s="6">
        <v>0.40</v>
      </c>
      <c r="AA34" s="6">
        <v>0.40</v>
      </c>
      <c r="AB34" s="6">
        <v>0.40</v>
      </c>
      <c r="AC34" s="6">
        <v>0.40</v>
      </c>
      <c r="AD34" s="6">
        <v>0.40</v>
      </c>
      <c r="AE34" s="6">
        <v>0.40</v>
      </c>
      <c r="AF34" s="6">
        <v>0.40</v>
      </c>
      <c r="AG34" s="6">
        <v>0.40</v>
      </c>
      <c r="AH34" s="6">
        <v>0.40</v>
      </c>
      <c r="AI34" s="6">
        <v>0.40</v>
      </c>
      <c r="AJ34" s="6">
        <v>0.40</v>
      </c>
      <c r="AK34" s="6">
        <v>0.40</v>
      </c>
      <c r="AL34" s="6">
        <v>0.40</v>
      </c>
      <c r="AM34" s="6">
        <v>0.40</v>
      </c>
      <c r="AN34" s="6">
        <v>0.40</v>
      </c>
      <c r="AO34" s="6">
        <v>0.40</v>
      </c>
    </row>
    <row r="35" spans="1:41" s="26" customFormat="1" ht="14.4">
      <c r="A35" s="26" t="str">
        <f>A26</f>
        <v>INPUT</v>
      </c>
      <c r="B35" s="26">
        <v>2020</v>
      </c>
      <c r="C35" s="24" t="str">
        <f>C20</f>
        <v>Rdw_DetH-New</v>
      </c>
      <c r="D35" s="26" t="str">
        <f>D20</f>
        <v>R_ES-DH-SpHeat-I</v>
      </c>
      <c r="E35" s="29">
        <f>E20*(1-E$34)</f>
        <v>0.005443465185175524</v>
      </c>
      <c r="F35" s="29">
        <f>F20*(1-F$34)</f>
        <v>0.022929931549993017</v>
      </c>
      <c r="G35" s="29">
        <f>G20*(1-G$34)</f>
        <v>0.01264574748131346</v>
      </c>
      <c r="H35" s="29">
        <f>H50</f>
        <v>0.016491312000000001</v>
      </c>
      <c r="I35" s="29">
        <f>I50</f>
        <v>0.011520000000000001</v>
      </c>
      <c r="J35" s="29">
        <f>J20*(1-J$34)</f>
        <v>0.023906047953827579</v>
      </c>
      <c r="K35" s="29">
        <f>K20*(1-K$34)</f>
        <v>0.014887146166820939</v>
      </c>
      <c r="L35" s="29">
        <f>L20*(1-L$34)</f>
        <v>0.02346180761220678</v>
      </c>
      <c r="M35" s="29">
        <f>M50</f>
        <v>0.017366400000000001</v>
      </c>
      <c r="N35" s="29">
        <f>N50</f>
        <v>0.012024</v>
      </c>
      <c r="O35" s="29">
        <f>O50</f>
        <v>0.019259999999999999</v>
      </c>
      <c r="P35" s="29">
        <f>P20*(1-P$34)</f>
        <v>0.012853331032859879</v>
      </c>
      <c r="Q35" s="29">
        <f>Q20*(1-Q$34)</f>
        <v>0.014808218772907139</v>
      </c>
      <c r="R35" s="29">
        <f>R20*(1-R$34)</f>
        <v>0.047923528970320858</v>
      </c>
      <c r="S35" s="29">
        <f>S50</f>
        <v>0.0252</v>
      </c>
      <c r="T35" s="29">
        <f>T50</f>
        <v>0.019439783999999998</v>
      </c>
      <c r="U35" s="29">
        <f>U20*(1-U$34)</f>
        <v>0.017179987446903838</v>
      </c>
      <c r="V35" s="29">
        <f>V50</f>
        <v>0.023813999999999998</v>
      </c>
      <c r="W35" s="29">
        <f>W20*(1-W$34)</f>
        <v>0.066162473920732198</v>
      </c>
      <c r="X35" s="29">
        <f>X50</f>
        <v>0.010061279999999999</v>
      </c>
      <c r="Y35" s="29">
        <f>Y20*(1-Y$34)</f>
        <v>0.012220318559772899</v>
      </c>
      <c r="Z35" s="29">
        <f>Z20*(1-Z$34)</f>
        <v>0.015573371209928698</v>
      </c>
      <c r="AA35" s="29">
        <f>AA20*(1-AA$34)</f>
        <v>0.025058822755275958</v>
      </c>
      <c r="AB35" s="29">
        <f>AB50</f>
        <v>0.04104</v>
      </c>
      <c r="AC35" s="29">
        <f t="shared" si="24" ref="AC35:AO35">AC20*(1-AC$34)</f>
        <v>0.024065107986753476</v>
      </c>
      <c r="AD35" s="29">
        <f t="shared" si="24"/>
        <v>0.0086687268629035193</v>
      </c>
      <c r="AE35" s="29">
        <f t="shared" si="24"/>
        <v>0.0060165644745498606</v>
      </c>
      <c r="AF35" s="29">
        <f t="shared" si="24"/>
        <v>0.01972387208505744</v>
      </c>
      <c r="AG35" s="29">
        <f t="shared" si="24"/>
        <v>0.026440829744663701</v>
      </c>
      <c r="AH35" s="29">
        <f t="shared" si="24"/>
        <v>0.02681699642213016</v>
      </c>
      <c r="AI35" s="29">
        <f t="shared" si="24"/>
        <v>0.0069328603174794003</v>
      </c>
      <c r="AJ35" s="29">
        <f t="shared" si="24"/>
        <v>0.020623586221023959</v>
      </c>
      <c r="AK35" s="29">
        <f t="shared" si="24"/>
        <v>0.017931174816744361</v>
      </c>
      <c r="AL35" s="29">
        <f t="shared" si="24"/>
        <v>0.034169602805581199</v>
      </c>
      <c r="AM35" s="29">
        <f t="shared" si="24"/>
        <v>0.014360053815415139</v>
      </c>
      <c r="AN35" s="29">
        <f t="shared" si="24"/>
        <v>0.019534712134091938</v>
      </c>
      <c r="AO35" s="29">
        <f t="shared" si="24"/>
        <v>0.015663513503572618</v>
      </c>
    </row>
    <row r="36" spans="1:41" s="26" customFormat="1" ht="14.4">
      <c r="A36" s="26" t="str">
        <f>A35</f>
        <v>INPUT</v>
      </c>
      <c r="B36" s="26">
        <v>2020</v>
      </c>
      <c r="C36" s="24" t="str">
        <f>C24</f>
        <v>Rdw_Flat-New</v>
      </c>
      <c r="D36" s="26" t="str">
        <f>D24</f>
        <v>R_ES-FL-SpHeat-I</v>
      </c>
      <c r="E36" s="29">
        <f>E24*(1-E$34)</f>
        <v>0.0014384380174328158</v>
      </c>
      <c r="F36" s="29">
        <f t="shared" si="25" ref="F36">F24*(1-F$34)</f>
        <v>0.0053788669082641682</v>
      </c>
      <c r="G36" s="29">
        <f t="shared" si="26" ref="G36:AO36">G24*(1-G$34)</f>
        <v>0.0039002790800562476</v>
      </c>
      <c r="H36" s="29">
        <f>H51</f>
        <v>0.008501155199999999</v>
      </c>
      <c r="I36" s="29">
        <f t="shared" si="27" ref="I36">I51</f>
        <v>0.0092879999999999994</v>
      </c>
      <c r="J36" s="29">
        <f t="shared" si="26"/>
        <v>0.0056078427432662099</v>
      </c>
      <c r="K36" s="29">
        <f t="shared" si="28" ref="K36">K24*(1-K$34)</f>
        <v>0.0039061181151720898</v>
      </c>
      <c r="L36" s="29">
        <f t="shared" si="26"/>
        <v>0.0055232767584694501</v>
      </c>
      <c r="M36" s="29">
        <f t="shared" si="29" ref="M36:O36">M51</f>
        <v>0.0081259200000000018</v>
      </c>
      <c r="N36" s="29">
        <f t="shared" si="29"/>
        <v>0.0056448000000000002</v>
      </c>
      <c r="O36" s="29">
        <f t="shared" si="29"/>
        <v>0.0086040000000000005</v>
      </c>
      <c r="P36" s="29">
        <f t="shared" si="26"/>
        <v>0.0040859835134968618</v>
      </c>
      <c r="Q36" s="29">
        <f t="shared" si="26"/>
        <v>0.0048077105147860677</v>
      </c>
      <c r="R36" s="29">
        <f t="shared" si="26"/>
        <v>0.0087145668226480798</v>
      </c>
      <c r="S36" s="29">
        <f t="shared" si="30" ref="S36:T36">S51</f>
        <v>0.011862000000000001</v>
      </c>
      <c r="T36" s="29">
        <f t="shared" si="30"/>
        <v>0.0143763984</v>
      </c>
      <c r="U36" s="29">
        <f t="shared" si="26"/>
        <v>0.0037082295217872778</v>
      </c>
      <c r="V36" s="29">
        <f t="shared" si="31" ref="V36">V51</f>
        <v>0.010773</v>
      </c>
      <c r="W36" s="29">
        <f t="shared" si="26"/>
        <v>0.01518770908316712</v>
      </c>
      <c r="X36" s="29">
        <f t="shared" si="32" ref="X36">X51</f>
        <v>0.0066683519999999989</v>
      </c>
      <c r="Y36" s="29">
        <f t="shared" si="26"/>
        <v>0.0037690656800427177</v>
      </c>
      <c r="Z36" s="29">
        <f t="shared" si="26"/>
        <v>0.0032629506886359357</v>
      </c>
      <c r="AA36" s="29">
        <f t="shared" si="26"/>
        <v>0.0076231571398847993</v>
      </c>
      <c r="AB36" s="29">
        <f t="shared" si="33" ref="AB36">AB51</f>
        <v>0.017613</v>
      </c>
      <c r="AC36" s="29">
        <f t="shared" si="26"/>
        <v>0.0067142715250343397</v>
      </c>
      <c r="AD36" s="29">
        <f t="shared" si="26"/>
        <v>0.0025378804668768659</v>
      </c>
      <c r="AE36" s="29">
        <f t="shared" si="26"/>
        <v>0.0016520667890417039</v>
      </c>
      <c r="AF36" s="29">
        <f t="shared" si="26"/>
        <v>0.0046872649759229518</v>
      </c>
      <c r="AG36" s="29">
        <f t="shared" si="26"/>
        <v>0.0057127296583577092</v>
      </c>
      <c r="AH36" s="29">
        <f t="shared" si="26"/>
        <v>0.0051058156445016965</v>
      </c>
      <c r="AI36" s="29">
        <f t="shared" si="26"/>
        <v>0.0017755911074365679</v>
      </c>
      <c r="AJ36" s="29">
        <f t="shared" si="26"/>
        <v>0.0034015003190046899</v>
      </c>
      <c r="AK36" s="29">
        <f t="shared" si="26"/>
        <v>0.005530443030111438</v>
      </c>
      <c r="AL36" s="29">
        <f t="shared" si="26"/>
        <v>0.0073825861460017793</v>
      </c>
      <c r="AM36" s="29">
        <f t="shared" si="26"/>
        <v>0.0032640898957306558</v>
      </c>
      <c r="AN36" s="29">
        <f t="shared" si="26"/>
        <v>0.0044632064033077977</v>
      </c>
      <c r="AO36" s="29">
        <f t="shared" si="26"/>
        <v>0.0026194768396875239</v>
      </c>
    </row>
    <row r="37" spans="1:41" s="26" customFormat="1" ht="14.4">
      <c r="A37" s="26" t="str">
        <f>A36</f>
        <v>INPUT</v>
      </c>
      <c r="B37" s="26">
        <v>2020</v>
      </c>
      <c r="C37" s="24" t="str">
        <f>C28</f>
        <v>Rdw_SDetH-New</v>
      </c>
      <c r="D37" s="26" t="str">
        <f>D28</f>
        <v>R_ES-SD-SpHeat-I</v>
      </c>
      <c r="E37" s="29">
        <f>E28*(1-E$34)</f>
        <v>0.0027225000325332596</v>
      </c>
      <c r="F37" s="29">
        <f t="shared" si="34" ref="F37">F28*(1-F$34)</f>
        <v>0.01156526415939768</v>
      </c>
      <c r="G37" s="29">
        <f t="shared" si="35" ref="G37:AO37">G28*(1-G$34)</f>
        <v>0.0063148776278057397</v>
      </c>
      <c r="H37" s="29">
        <f t="shared" si="36" ref="H37">H52</f>
        <v>0.012078144000000001</v>
      </c>
      <c r="I37" s="29">
        <f t="shared" si="37" ref="I37">I52</f>
        <v>0.00792</v>
      </c>
      <c r="J37" s="29">
        <f t="shared" si="35"/>
        <v>0.012437452388576039</v>
      </c>
      <c r="K37" s="29">
        <f t="shared" si="38" ref="K37">K28*(1-K$34)</f>
        <v>0.0085920241834999203</v>
      </c>
      <c r="L37" s="29">
        <f t="shared" si="35"/>
        <v>0.01172485146547836</v>
      </c>
      <c r="M37" s="29">
        <f t="shared" si="39" ref="M37:O37">M52</f>
        <v>0.012441600000000001</v>
      </c>
      <c r="N37" s="29">
        <f t="shared" si="39"/>
        <v>0.0082799999999999992</v>
      </c>
      <c r="O37" s="29">
        <f t="shared" si="39"/>
        <v>0.013140000000000001</v>
      </c>
      <c r="P37" s="29">
        <f t="shared" si="35"/>
        <v>0.0066203213963444999</v>
      </c>
      <c r="Q37" s="29">
        <f t="shared" si="35"/>
        <v>0.0078365392717866592</v>
      </c>
      <c r="R37" s="29">
        <f t="shared" si="35"/>
        <v>0.02339165353899696</v>
      </c>
      <c r="S37" s="29">
        <f t="shared" si="40" ref="S37:T37">S52</f>
        <v>0.017819999999999999</v>
      </c>
      <c r="T37" s="29">
        <f t="shared" si="40"/>
        <v>0.013110552000000001</v>
      </c>
      <c r="U37" s="29">
        <f t="shared" si="35"/>
        <v>0.0086596734878355598</v>
      </c>
      <c r="V37" s="29">
        <f t="shared" si="41" ref="V37">V52</f>
        <v>0.017333999999999999</v>
      </c>
      <c r="W37" s="29">
        <f t="shared" si="35"/>
        <v>0.032527398250928818</v>
      </c>
      <c r="X37" s="29">
        <f t="shared" si="42" ref="X37">X52</f>
        <v>0.0074174399999999991</v>
      </c>
      <c r="Y37" s="29">
        <f t="shared" si="35"/>
        <v>0.0061024321726969805</v>
      </c>
      <c r="Z37" s="29">
        <f t="shared" si="35"/>
        <v>0.0075911975953670396</v>
      </c>
      <c r="AA37" s="29">
        <f t="shared" si="35"/>
        <v>0.013573258930007279</v>
      </c>
      <c r="AB37" s="29">
        <f t="shared" si="43" ref="AB37">AB52</f>
        <v>0.027702000000000001</v>
      </c>
      <c r="AC37" s="29">
        <f t="shared" si="35"/>
        <v>0.01232698680265998</v>
      </c>
      <c r="AD37" s="29">
        <f t="shared" si="35"/>
        <v>0.0041705384857192856</v>
      </c>
      <c r="AE37" s="29">
        <f t="shared" si="35"/>
        <v>0.0034770874707812397</v>
      </c>
      <c r="AF37" s="29">
        <f t="shared" si="35"/>
        <v>0.01072401098009166</v>
      </c>
      <c r="AG37" s="29">
        <f t="shared" si="35"/>
        <v>0.012438193336590719</v>
      </c>
      <c r="AH37" s="29">
        <f t="shared" si="35"/>
        <v>0.01359849849937626</v>
      </c>
      <c r="AI37" s="29">
        <f t="shared" si="35"/>
        <v>0.0038366555015245741</v>
      </c>
      <c r="AJ37" s="29">
        <f t="shared" si="35"/>
        <v>0.01126023783072186</v>
      </c>
      <c r="AK37" s="29">
        <f t="shared" si="35"/>
        <v>0.0089542492334167192</v>
      </c>
      <c r="AL37" s="29">
        <f t="shared" si="35"/>
        <v>0.01583429979252432</v>
      </c>
      <c r="AM37" s="29">
        <f t="shared" si="35"/>
        <v>0.0068786850190337995</v>
      </c>
      <c r="AN37" s="29">
        <f t="shared" si="35"/>
        <v>0.01023706052255622</v>
      </c>
      <c r="AO37" s="29">
        <f t="shared" si="35"/>
        <v>0.0082312785337089606</v>
      </c>
    </row>
    <row r="38" spans="1:41" s="24" customFormat="1" ht="14.4">
      <c r="A38" s="24" t="str">
        <f>A29</f>
        <v>INPUT</v>
      </c>
      <c r="B38" s="24">
        <v>2060</v>
      </c>
      <c r="C38" s="24" t="str">
        <f>C35</f>
        <v>Rdw_DetH-New</v>
      </c>
      <c r="D38" s="24" t="str">
        <f>D35</f>
        <v>R_ES-DH-SpHeat-I</v>
      </c>
      <c r="E38" s="29">
        <f>E35*0.5</f>
        <v>0.002721732592587762</v>
      </c>
      <c r="F38" s="29">
        <f t="shared" si="44" ref="F38:AO40">F35*0.5</f>
        <v>0.011464965774996509</v>
      </c>
      <c r="G38" s="29">
        <f t="shared" si="44"/>
        <v>0.0063228737406567301</v>
      </c>
      <c r="H38" s="29">
        <f t="shared" si="44"/>
        <v>0.0082456560000000005</v>
      </c>
      <c r="I38" s="29">
        <f t="shared" si="44"/>
        <v>0.0057600000000000004</v>
      </c>
      <c r="J38" s="29">
        <f t="shared" si="44"/>
        <v>0.01195302397691379</v>
      </c>
      <c r="K38" s="29">
        <f t="shared" si="44"/>
        <v>0.0074435730834104697</v>
      </c>
      <c r="L38" s="29">
        <f t="shared" si="44"/>
        <v>0.01173090380610339</v>
      </c>
      <c r="M38" s="29">
        <f t="shared" si="44"/>
        <v>0.0086832000000000003</v>
      </c>
      <c r="N38" s="29">
        <f t="shared" si="44"/>
        <v>0.006012</v>
      </c>
      <c r="O38" s="29">
        <f t="shared" si="44"/>
        <v>0.0096299999999999997</v>
      </c>
      <c r="P38" s="29">
        <f t="shared" si="44"/>
        <v>0.0064266655164299394</v>
      </c>
      <c r="Q38" s="29">
        <f t="shared" si="44"/>
        <v>0.0074041093864535695</v>
      </c>
      <c r="R38" s="29">
        <f t="shared" si="44"/>
        <v>0.023961764485160429</v>
      </c>
      <c r="S38" s="29">
        <f t="shared" si="44"/>
        <v>0.0126</v>
      </c>
      <c r="T38" s="29">
        <f t="shared" si="44"/>
        <v>0.0097198919999999991</v>
      </c>
      <c r="U38" s="29">
        <f t="shared" si="44"/>
        <v>0.0085899937234519188</v>
      </c>
      <c r="V38" s="29">
        <f t="shared" si="44"/>
        <v>0.011906999999999999</v>
      </c>
      <c r="W38" s="29">
        <f t="shared" si="44"/>
        <v>0.033081236960366099</v>
      </c>
      <c r="X38" s="29">
        <f t="shared" si="44"/>
        <v>0.0050306399999999994</v>
      </c>
      <c r="Y38" s="29">
        <f t="shared" si="44"/>
        <v>0.0061101592798864495</v>
      </c>
      <c r="Z38" s="29">
        <f t="shared" si="44"/>
        <v>0.0077866856049643492</v>
      </c>
      <c r="AA38" s="29">
        <f t="shared" si="44"/>
        <v>0.012529411377637979</v>
      </c>
      <c r="AB38" s="29">
        <f t="shared" si="44"/>
        <v>0.02052</v>
      </c>
      <c r="AC38" s="29">
        <f t="shared" si="44"/>
        <v>0.012032553993376738</v>
      </c>
      <c r="AD38" s="29">
        <f t="shared" si="44"/>
        <v>0.0043343634314517597</v>
      </c>
      <c r="AE38" s="29">
        <f t="shared" si="44"/>
        <v>0.0030082822372749303</v>
      </c>
      <c r="AF38" s="29">
        <f t="shared" si="44"/>
        <v>0.0098619360425287201</v>
      </c>
      <c r="AG38" s="29">
        <f t="shared" si="44"/>
        <v>0.013220414872331851</v>
      </c>
      <c r="AH38" s="29">
        <f t="shared" si="44"/>
        <v>0.01340849821106508</v>
      </c>
      <c r="AI38" s="29">
        <f t="shared" si="44"/>
        <v>0.0034664301587397001</v>
      </c>
      <c r="AJ38" s="29">
        <f t="shared" si="44"/>
        <v>0.010311793110511979</v>
      </c>
      <c r="AK38" s="29">
        <f t="shared" si="44"/>
        <v>0.0089655874083721804</v>
      </c>
      <c r="AL38" s="29">
        <f t="shared" si="44"/>
        <v>0.0170848014027906</v>
      </c>
      <c r="AM38" s="29">
        <f t="shared" si="44"/>
        <v>0.0071800269077075696</v>
      </c>
      <c r="AN38" s="29">
        <f t="shared" si="44"/>
        <v>0.0097673560670459691</v>
      </c>
      <c r="AO38" s="29">
        <f t="shared" si="44"/>
        <v>0.007831756751786309</v>
      </c>
    </row>
    <row r="39" spans="1:41" s="24" customFormat="1" ht="14.4">
      <c r="A39" s="24" t="str">
        <f>A38</f>
        <v>INPUT</v>
      </c>
      <c r="B39" s="24">
        <v>2060</v>
      </c>
      <c r="C39" s="24" t="str">
        <f t="shared" si="45" ref="C39:D40">C36</f>
        <v>Rdw_Flat-New</v>
      </c>
      <c r="D39" s="24" t="str">
        <f t="shared" si="45"/>
        <v>R_ES-FL-SpHeat-I</v>
      </c>
      <c r="E39" s="29">
        <f t="shared" si="46" ref="E39:T40">E36*0.5</f>
        <v>0.00071921900871640791</v>
      </c>
      <c r="F39" s="29">
        <f t="shared" si="46"/>
        <v>0.0026894334541320841</v>
      </c>
      <c r="G39" s="29">
        <f t="shared" si="46"/>
        <v>0.0019501395400281238</v>
      </c>
      <c r="H39" s="29">
        <f t="shared" si="46"/>
        <v>0.0042505775999999995</v>
      </c>
      <c r="I39" s="29">
        <f t="shared" si="46"/>
        <v>0.0046439999999999997</v>
      </c>
      <c r="J39" s="29">
        <f t="shared" si="46"/>
        <v>0.0028039213716331049</v>
      </c>
      <c r="K39" s="29">
        <f t="shared" si="46"/>
        <v>0.0019530590575860449</v>
      </c>
      <c r="L39" s="29">
        <f t="shared" si="46"/>
        <v>0.0027616383792347251</v>
      </c>
      <c r="M39" s="29">
        <f t="shared" si="46"/>
        <v>0.0040629600000000009</v>
      </c>
      <c r="N39" s="29">
        <f t="shared" si="46"/>
        <v>0.0028224000000000001</v>
      </c>
      <c r="O39" s="29">
        <f t="shared" si="46"/>
        <v>0.0043020000000000003</v>
      </c>
      <c r="P39" s="29">
        <f t="shared" si="46"/>
        <v>0.0020429917567484309</v>
      </c>
      <c r="Q39" s="29">
        <f t="shared" si="46"/>
        <v>0.0024038552573930339</v>
      </c>
      <c r="R39" s="29">
        <f t="shared" si="46"/>
        <v>0.0043572834113240399</v>
      </c>
      <c r="S39" s="29">
        <f t="shared" si="46"/>
        <v>0.0059310000000000005</v>
      </c>
      <c r="T39" s="29">
        <f t="shared" si="46"/>
        <v>0.0071881992000000002</v>
      </c>
      <c r="U39" s="29">
        <f t="shared" si="44"/>
        <v>0.0018541147608936389</v>
      </c>
      <c r="V39" s="29">
        <f t="shared" si="44"/>
        <v>0.0053864999999999998</v>
      </c>
      <c r="W39" s="29">
        <f t="shared" si="44"/>
        <v>0.0075938545415835598</v>
      </c>
      <c r="X39" s="29">
        <f t="shared" si="44"/>
        <v>0.0033341759999999995</v>
      </c>
      <c r="Y39" s="29">
        <f t="shared" si="44"/>
        <v>0.0018845328400213589</v>
      </c>
      <c r="Z39" s="29">
        <f t="shared" si="44"/>
        <v>0.0016314753443179679</v>
      </c>
      <c r="AA39" s="29">
        <f t="shared" si="44"/>
        <v>0.0038115785699423996</v>
      </c>
      <c r="AB39" s="29">
        <f t="shared" si="44"/>
        <v>0.0088065000000000001</v>
      </c>
      <c r="AC39" s="29">
        <f t="shared" si="44"/>
        <v>0.0033571357625171699</v>
      </c>
      <c r="AD39" s="29">
        <f t="shared" si="44"/>
        <v>0.0012689402334384329</v>
      </c>
      <c r="AE39" s="29">
        <f t="shared" si="44"/>
        <v>0.00082603339452085197</v>
      </c>
      <c r="AF39" s="29">
        <f t="shared" si="44"/>
        <v>0.0023436324879614759</v>
      </c>
      <c r="AG39" s="29">
        <f t="shared" si="44"/>
        <v>0.0028563648291788546</v>
      </c>
      <c r="AH39" s="29">
        <f t="shared" si="44"/>
        <v>0.0025529078222508482</v>
      </c>
      <c r="AI39" s="29">
        <f t="shared" si="44"/>
        <v>0.00088779555371828393</v>
      </c>
      <c r="AJ39" s="29">
        <f t="shared" si="44"/>
        <v>0.0017007501595023449</v>
      </c>
      <c r="AK39" s="29">
        <f t="shared" si="44"/>
        <v>0.002765221515055719</v>
      </c>
      <c r="AL39" s="29">
        <f t="shared" si="44"/>
        <v>0.0036912930730008896</v>
      </c>
      <c r="AM39" s="29">
        <f t="shared" si="44"/>
        <v>0.0016320449478653279</v>
      </c>
      <c r="AN39" s="29">
        <f t="shared" si="44"/>
        <v>0.0022316032016538988</v>
      </c>
      <c r="AO39" s="29">
        <f t="shared" si="44"/>
        <v>0.0013097384198437619</v>
      </c>
    </row>
    <row r="40" spans="1:41" s="24" customFormat="1" ht="14.4">
      <c r="A40" s="24" t="str">
        <f>A39</f>
        <v>INPUT</v>
      </c>
      <c r="B40" s="24">
        <v>2060</v>
      </c>
      <c r="C40" s="24" t="str">
        <f t="shared" si="45"/>
        <v>Rdw_SDetH-New</v>
      </c>
      <c r="D40" s="24" t="str">
        <f t="shared" si="45"/>
        <v>R_ES-SD-SpHeat-I</v>
      </c>
      <c r="E40" s="29">
        <f t="shared" si="46"/>
        <v>0.0013612500162666298</v>
      </c>
      <c r="F40" s="29">
        <f t="shared" si="44"/>
        <v>0.0057826320796988398</v>
      </c>
      <c r="G40" s="29">
        <f t="shared" si="44"/>
        <v>0.0031574388139028698</v>
      </c>
      <c r="H40" s="29">
        <f t="shared" si="44"/>
        <v>0.0060390720000000004</v>
      </c>
      <c r="I40" s="29">
        <f t="shared" si="44"/>
        <v>0.00396</v>
      </c>
      <c r="J40" s="29">
        <f t="shared" si="44"/>
        <v>0.0062187261942880196</v>
      </c>
      <c r="K40" s="29">
        <f t="shared" si="44"/>
        <v>0.0042960120917499602</v>
      </c>
      <c r="L40" s="29">
        <f t="shared" si="44"/>
        <v>0.0058624257327391802</v>
      </c>
      <c r="M40" s="29">
        <f t="shared" si="44"/>
        <v>0.0062208000000000003</v>
      </c>
      <c r="N40" s="29">
        <f t="shared" si="44"/>
        <v>0.0041399999999999996</v>
      </c>
      <c r="O40" s="29">
        <f t="shared" si="44"/>
        <v>0.0065700000000000003</v>
      </c>
      <c r="P40" s="29">
        <f t="shared" si="44"/>
        <v>0.00331016069817225</v>
      </c>
      <c r="Q40" s="29">
        <f t="shared" si="44"/>
        <v>0.0039182696358933296</v>
      </c>
      <c r="R40" s="29">
        <f t="shared" si="44"/>
        <v>0.01169582676949848</v>
      </c>
      <c r="S40" s="29">
        <f t="shared" si="44"/>
        <v>0.0089099999999999995</v>
      </c>
      <c r="T40" s="29">
        <f t="shared" si="44"/>
        <v>0.0065552760000000005</v>
      </c>
      <c r="U40" s="29">
        <f t="shared" si="44"/>
        <v>0.0043298367439177799</v>
      </c>
      <c r="V40" s="29">
        <f t="shared" si="44"/>
        <v>0.0086669999999999994</v>
      </c>
      <c r="W40" s="29">
        <f t="shared" si="44"/>
        <v>0.016263699125464409</v>
      </c>
      <c r="X40" s="29">
        <f t="shared" si="44"/>
        <v>0.0037087199999999996</v>
      </c>
      <c r="Y40" s="29">
        <f t="shared" si="44"/>
        <v>0.0030512160863484902</v>
      </c>
      <c r="Z40" s="29">
        <f t="shared" si="44"/>
        <v>0.0037955987976835198</v>
      </c>
      <c r="AA40" s="29">
        <f t="shared" si="44"/>
        <v>0.0067866294650036395</v>
      </c>
      <c r="AB40" s="29">
        <f t="shared" si="44"/>
        <v>0.013851</v>
      </c>
      <c r="AC40" s="29">
        <f t="shared" si="44"/>
        <v>0.00616349340132999</v>
      </c>
      <c r="AD40" s="29">
        <f t="shared" si="44"/>
        <v>0.0020852692428596428</v>
      </c>
      <c r="AE40" s="29">
        <f t="shared" si="44"/>
        <v>0.0017385437353906199</v>
      </c>
      <c r="AF40" s="29">
        <f t="shared" si="44"/>
        <v>0.0053620054900458299</v>
      </c>
      <c r="AG40" s="29">
        <f t="shared" si="44"/>
        <v>0.0062190966682953595</v>
      </c>
      <c r="AH40" s="29">
        <f t="shared" si="44"/>
        <v>0.0067992492496881298</v>
      </c>
      <c r="AI40" s="29">
        <f t="shared" si="44"/>
        <v>0.001918327750762287</v>
      </c>
      <c r="AJ40" s="29">
        <f t="shared" si="44"/>
        <v>0.0056301189153609302</v>
      </c>
      <c r="AK40" s="29">
        <f t="shared" si="44"/>
        <v>0.0044771246167083596</v>
      </c>
      <c r="AL40" s="29">
        <f t="shared" si="44"/>
        <v>0.00791714989626216</v>
      </c>
      <c r="AM40" s="29">
        <f t="shared" si="44"/>
        <v>0.0034393425095168998</v>
      </c>
      <c r="AN40" s="29">
        <f t="shared" si="44"/>
        <v>0.0051185302612781099</v>
      </c>
      <c r="AO40" s="29">
        <f t="shared" si="44"/>
        <v>0.0041156392668544803</v>
      </c>
    </row>
    <row r="42" spans="5:41" s="24" customFormat="1" ht="14.4">
      <c r="E42" s="12" t="s">
        <v>12</v>
      </c>
      <c r="F42" s="12" t="s">
        <v>13</v>
      </c>
      <c r="G42" s="12" t="s">
        <v>14</v>
      </c>
      <c r="H42" s="12" t="s">
        <v>15</v>
      </c>
      <c r="I42" s="12" t="s">
        <v>16</v>
      </c>
      <c r="J42" s="12" t="s">
        <v>17</v>
      </c>
      <c r="K42" s="12" t="s">
        <v>18</v>
      </c>
      <c r="L42" s="12" t="s">
        <v>19</v>
      </c>
      <c r="M42" s="12" t="s">
        <v>20</v>
      </c>
      <c r="N42" s="12" t="s">
        <v>21</v>
      </c>
      <c r="O42" s="12" t="s">
        <v>22</v>
      </c>
      <c r="P42" s="12" t="s">
        <v>23</v>
      </c>
      <c r="Q42" s="12" t="s">
        <v>24</v>
      </c>
      <c r="R42" s="12" t="s">
        <v>25</v>
      </c>
      <c r="S42" s="12" t="s">
        <v>26</v>
      </c>
      <c r="T42" s="12" t="s">
        <v>27</v>
      </c>
      <c r="U42" s="12" t="s">
        <v>28</v>
      </c>
      <c r="V42" s="12" t="s">
        <v>29</v>
      </c>
      <c r="W42" s="12" t="s">
        <v>30</v>
      </c>
      <c r="X42" s="12" t="s">
        <v>31</v>
      </c>
      <c r="Y42" s="12" t="s">
        <v>32</v>
      </c>
      <c r="Z42" s="12" t="s">
        <v>33</v>
      </c>
      <c r="AA42" s="12" t="s">
        <v>34</v>
      </c>
      <c r="AB42" s="12" t="s">
        <v>35</v>
      </c>
      <c r="AC42" s="12" t="s">
        <v>36</v>
      </c>
      <c r="AD42" s="12" t="s">
        <v>37</v>
      </c>
      <c r="AE42" s="12" t="s">
        <v>38</v>
      </c>
      <c r="AF42" s="12" t="s">
        <v>39</v>
      </c>
      <c r="AG42" s="12" t="s">
        <v>40</v>
      </c>
      <c r="AH42" s="12" t="s">
        <v>41</v>
      </c>
      <c r="AI42" s="12" t="s">
        <v>42</v>
      </c>
      <c r="AJ42" s="12" t="s">
        <v>43</v>
      </c>
      <c r="AK42" s="12" t="s">
        <v>44</v>
      </c>
      <c r="AL42" s="12" t="s">
        <v>45</v>
      </c>
      <c r="AM42" s="12" t="s">
        <v>46</v>
      </c>
      <c r="AN42" s="12" t="s">
        <v>47</v>
      </c>
      <c r="AO42" s="12" t="s">
        <v>48</v>
      </c>
    </row>
    <row r="43" spans="1:41" ht="14.4">
      <c r="A43" s="24"/>
      <c r="B43" s="24"/>
      <c r="C43" s="24"/>
      <c r="D43" s="24"/>
      <c r="F43" s="24" t="s">
        <v>13</v>
      </c>
      <c r="H43" s="24" t="s">
        <v>15</v>
      </c>
      <c r="I43" s="24" t="s">
        <v>16</v>
      </c>
      <c r="K43" s="24" t="s">
        <v>18</v>
      </c>
      <c r="L43" s="24" t="s">
        <v>19</v>
      </c>
      <c r="M43" s="24" t="s">
        <v>20</v>
      </c>
      <c r="N43" s="24" t="s">
        <v>21</v>
      </c>
      <c r="O43" s="24" t="s">
        <v>22</v>
      </c>
      <c r="P43" s="24" t="s">
        <v>23</v>
      </c>
      <c r="Q43" s="24" t="s">
        <v>24</v>
      </c>
      <c r="R43" s="24" t="s">
        <v>25</v>
      </c>
      <c r="S43" s="24" t="s">
        <v>26</v>
      </c>
      <c r="T43" s="24" t="s">
        <v>27</v>
      </c>
      <c r="U43" s="24" t="s">
        <v>28</v>
      </c>
      <c r="V43" s="24" t="s">
        <v>29</v>
      </c>
      <c r="X43" s="24" t="s">
        <v>31</v>
      </c>
      <c r="Z43" s="24" t="s">
        <v>33</v>
      </c>
      <c r="AA43" s="24" t="s">
        <v>34</v>
      </c>
      <c r="AB43" s="24" t="s">
        <v>35</v>
      </c>
      <c r="AE43" s="24" t="s">
        <v>38</v>
      </c>
      <c r="AF43" s="24" t="s">
        <v>39</v>
      </c>
      <c r="AH43" s="24" t="s">
        <v>41</v>
      </c>
      <c r="AI43" s="24" t="s">
        <v>42</v>
      </c>
      <c r="AJ43" s="24" t="s">
        <v>43</v>
      </c>
      <c r="AL43" s="24" t="s">
        <v>45</v>
      </c>
      <c r="AM43" s="24" t="s">
        <v>46</v>
      </c>
      <c r="AN43" s="24" t="s">
        <v>47</v>
      </c>
      <c r="AO43" s="24" t="s">
        <v>48</v>
      </c>
    </row>
    <row r="44" spans="4:41" ht="14.4">
      <c r="D44" t="s">
        <v>201</v>
      </c>
      <c r="F44" s="24">
        <v>160</v>
      </c>
      <c r="H44" s="24">
        <v>32.26</v>
      </c>
      <c r="I44" s="24">
        <v>40</v>
      </c>
      <c r="K44" s="24">
        <v>100</v>
      </c>
      <c r="L44" s="24">
        <v>0</v>
      </c>
      <c r="M44" s="24">
        <v>36</v>
      </c>
      <c r="N44" s="24">
        <v>20</v>
      </c>
      <c r="O44" s="24">
        <v>50</v>
      </c>
      <c r="P44" s="24">
        <v>0</v>
      </c>
      <c r="Q44" s="24">
        <v>0</v>
      </c>
      <c r="R44" s="24">
        <v>0</v>
      </c>
      <c r="S44" s="24">
        <v>50</v>
      </c>
      <c r="T44" s="24">
        <v>62.79</v>
      </c>
      <c r="U44" s="24">
        <v>0</v>
      </c>
      <c r="V44" s="24">
        <v>45</v>
      </c>
      <c r="X44" s="24">
        <v>20.40</v>
      </c>
      <c r="Z44" s="24">
        <v>0</v>
      </c>
      <c r="AA44" s="24">
        <v>0</v>
      </c>
      <c r="AB44" s="24">
        <v>95</v>
      </c>
      <c r="AE44" s="24">
        <v>40</v>
      </c>
      <c r="AF44" s="24">
        <v>25</v>
      </c>
      <c r="AH44" s="24">
        <v>67.11</v>
      </c>
      <c r="AI44" s="24">
        <v>0</v>
      </c>
      <c r="AJ44" s="24">
        <v>105.50</v>
      </c>
      <c r="AL44" s="24">
        <v>58.25</v>
      </c>
      <c r="AM44" s="24">
        <v>80.709999999999994</v>
      </c>
      <c r="AN44" s="24">
        <v>0</v>
      </c>
      <c r="AO44" s="24">
        <v>0</v>
      </c>
    </row>
    <row r="45" spans="3:41" ht="14.4">
      <c r="C45" s="24"/>
      <c r="D45" s="24" t="s">
        <v>202</v>
      </c>
      <c r="E45" s="24" t="s">
        <v>12</v>
      </c>
      <c r="F45" s="24" t="s">
        <v>13</v>
      </c>
      <c r="G45" s="24" t="s">
        <v>14</v>
      </c>
      <c r="H45" s="24" t="s">
        <v>15</v>
      </c>
      <c r="I45" s="24" t="s">
        <v>16</v>
      </c>
      <c r="J45" s="24" t="s">
        <v>17</v>
      </c>
      <c r="K45" s="24" t="s">
        <v>18</v>
      </c>
      <c r="L45" s="24" t="s">
        <v>19</v>
      </c>
      <c r="M45" s="24" t="s">
        <v>20</v>
      </c>
      <c r="N45" s="24" t="s">
        <v>21</v>
      </c>
      <c r="O45" s="24" t="s">
        <v>22</v>
      </c>
      <c r="P45" s="24" t="s">
        <v>23</v>
      </c>
      <c r="Q45" s="24" t="s">
        <v>24</v>
      </c>
      <c r="R45" s="24" t="s">
        <v>25</v>
      </c>
      <c r="S45" s="24" t="s">
        <v>26</v>
      </c>
      <c r="T45" s="24" t="s">
        <v>27</v>
      </c>
      <c r="U45" s="24" t="s">
        <v>28</v>
      </c>
      <c r="V45" s="24" t="s">
        <v>29</v>
      </c>
      <c r="W45" s="24" t="s">
        <v>30</v>
      </c>
      <c r="X45" s="24" t="s">
        <v>31</v>
      </c>
      <c r="Y45" s="24" t="s">
        <v>32</v>
      </c>
      <c r="Z45" s="24" t="s">
        <v>33</v>
      </c>
      <c r="AA45" s="24" t="s">
        <v>34</v>
      </c>
      <c r="AB45" s="24" t="s">
        <v>35</v>
      </c>
      <c r="AC45" s="24" t="s">
        <v>36</v>
      </c>
      <c r="AD45" s="24" t="s">
        <v>37</v>
      </c>
      <c r="AE45" s="24" t="s">
        <v>38</v>
      </c>
      <c r="AF45" s="24" t="s">
        <v>39</v>
      </c>
      <c r="AG45" s="24" t="s">
        <v>40</v>
      </c>
      <c r="AH45" s="24" t="s">
        <v>41</v>
      </c>
      <c r="AI45" s="24" t="s">
        <v>42</v>
      </c>
      <c r="AJ45" s="24" t="s">
        <v>43</v>
      </c>
      <c r="AK45" s="24" t="s">
        <v>44</v>
      </c>
      <c r="AL45" s="24" t="s">
        <v>45</v>
      </c>
      <c r="AM45" s="24" t="s">
        <v>46</v>
      </c>
      <c r="AN45" s="24" t="s">
        <v>47</v>
      </c>
      <c r="AO45" s="24" t="s">
        <v>48</v>
      </c>
    </row>
    <row r="46" spans="3:41" ht="14.4">
      <c r="C46" s="24" t="s">
        <v>206</v>
      </c>
      <c r="D46" s="24" t="s">
        <v>203</v>
      </c>
      <c r="E46" s="24">
        <v>114</v>
      </c>
      <c r="F46" s="24">
        <v>150</v>
      </c>
      <c r="G46" s="24">
        <v>86</v>
      </c>
      <c r="H46" s="24">
        <v>142</v>
      </c>
      <c r="I46" s="24">
        <v>80</v>
      </c>
      <c r="J46" s="24">
        <v>150</v>
      </c>
      <c r="K46" s="24">
        <v>114</v>
      </c>
      <c r="L46" s="24">
        <v>125</v>
      </c>
      <c r="M46" s="24">
        <v>134</v>
      </c>
      <c r="N46" s="24">
        <v>167</v>
      </c>
      <c r="O46" s="24">
        <v>107</v>
      </c>
      <c r="P46" s="24">
        <v>114</v>
      </c>
      <c r="Q46" s="24">
        <v>139</v>
      </c>
      <c r="R46" s="24">
        <v>121</v>
      </c>
      <c r="S46" s="24">
        <v>140</v>
      </c>
      <c r="T46" s="24">
        <v>86</v>
      </c>
      <c r="U46" s="24">
        <v>116</v>
      </c>
      <c r="V46" s="24">
        <v>147</v>
      </c>
      <c r="W46" s="24">
        <v>121</v>
      </c>
      <c r="X46" s="24">
        <v>137</v>
      </c>
      <c r="Y46" s="24">
        <v>86</v>
      </c>
      <c r="Z46" s="24">
        <v>121</v>
      </c>
      <c r="AA46" s="24">
        <v>109</v>
      </c>
      <c r="AB46" s="24">
        <v>120</v>
      </c>
      <c r="AC46" s="24">
        <v>114</v>
      </c>
      <c r="AD46" s="24">
        <v>86</v>
      </c>
      <c r="AE46" s="24">
        <v>124</v>
      </c>
      <c r="AF46" s="24">
        <v>143</v>
      </c>
      <c r="AG46" s="24">
        <v>156</v>
      </c>
      <c r="AH46" s="24">
        <v>120</v>
      </c>
      <c r="AI46" s="24">
        <v>145</v>
      </c>
      <c r="AJ46" s="24">
        <v>91</v>
      </c>
      <c r="AK46" s="24">
        <v>86</v>
      </c>
      <c r="AL46" s="24">
        <v>156</v>
      </c>
      <c r="AM46" s="24">
        <v>119</v>
      </c>
      <c r="AN46" s="24">
        <v>120</v>
      </c>
      <c r="AO46" s="24">
        <v>102</v>
      </c>
    </row>
    <row r="47" spans="4:41" ht="14.4">
      <c r="D47" s="24" t="s">
        <v>205</v>
      </c>
      <c r="E47" s="24">
        <v>73</v>
      </c>
      <c r="F47" s="24">
        <v>71.599999999999994</v>
      </c>
      <c r="G47" s="24">
        <v>63.60</v>
      </c>
      <c r="H47" s="24">
        <v>73.20</v>
      </c>
      <c r="I47" s="24">
        <v>64.50</v>
      </c>
      <c r="J47" s="24">
        <v>71.599999999999994</v>
      </c>
      <c r="K47" s="24">
        <v>73</v>
      </c>
      <c r="L47" s="24">
        <v>61</v>
      </c>
      <c r="M47" s="24">
        <v>62.70</v>
      </c>
      <c r="N47" s="24">
        <v>78.400000000000006</v>
      </c>
      <c r="O47" s="24">
        <v>47.80</v>
      </c>
      <c r="P47" s="24">
        <v>73</v>
      </c>
      <c r="Q47" s="24">
        <v>86.40</v>
      </c>
      <c r="R47" s="24">
        <v>56</v>
      </c>
      <c r="S47" s="24">
        <v>65.900000000000006</v>
      </c>
      <c r="T47" s="24">
        <v>63.60</v>
      </c>
      <c r="U47" s="24">
        <v>46.70</v>
      </c>
      <c r="V47" s="24">
        <v>66.50</v>
      </c>
      <c r="W47" s="24">
        <v>56</v>
      </c>
      <c r="X47" s="24">
        <v>90.80</v>
      </c>
      <c r="Y47" s="24">
        <v>63.60</v>
      </c>
      <c r="Z47" s="24">
        <v>51.60</v>
      </c>
      <c r="AA47" s="24">
        <v>85.80</v>
      </c>
      <c r="AB47" s="24">
        <v>51.50</v>
      </c>
      <c r="AC47" s="24">
        <v>73</v>
      </c>
      <c r="AD47" s="24">
        <v>63.60</v>
      </c>
      <c r="AE47" s="24">
        <v>85</v>
      </c>
      <c r="AF47" s="24">
        <v>75.80</v>
      </c>
      <c r="AG47" s="24">
        <v>66.80</v>
      </c>
      <c r="AH47" s="24">
        <v>52.50</v>
      </c>
      <c r="AI47" s="24">
        <v>96.70</v>
      </c>
      <c r="AJ47" s="24">
        <v>48</v>
      </c>
      <c r="AK47" s="24">
        <v>63.60</v>
      </c>
      <c r="AL47" s="24">
        <v>66.80</v>
      </c>
      <c r="AM47" s="24">
        <v>51.60</v>
      </c>
      <c r="AN47" s="24">
        <v>61.30</v>
      </c>
      <c r="AO47" s="24">
        <v>48.40</v>
      </c>
    </row>
    <row r="48" spans="3:41" ht="14.4">
      <c r="C48" s="24"/>
      <c r="D48" s="24" t="s">
        <v>204</v>
      </c>
      <c r="E48" s="24">
        <v>79</v>
      </c>
      <c r="F48" s="24">
        <v>102</v>
      </c>
      <c r="G48" s="24">
        <v>58</v>
      </c>
      <c r="H48" s="24">
        <v>104</v>
      </c>
      <c r="I48" s="24">
        <v>55</v>
      </c>
      <c r="J48" s="24">
        <v>107</v>
      </c>
      <c r="K48" s="24">
        <v>81</v>
      </c>
      <c r="L48" s="24">
        <v>86</v>
      </c>
      <c r="M48" s="24">
        <v>96</v>
      </c>
      <c r="N48" s="24">
        <v>115</v>
      </c>
      <c r="O48" s="24">
        <v>73</v>
      </c>
      <c r="P48" s="24">
        <v>79</v>
      </c>
      <c r="Q48" s="24">
        <v>103</v>
      </c>
      <c r="R48" s="24">
        <v>85</v>
      </c>
      <c r="S48" s="24">
        <v>99</v>
      </c>
      <c r="T48" s="24">
        <v>58</v>
      </c>
      <c r="U48" s="24">
        <v>79</v>
      </c>
      <c r="V48" s="24">
        <v>107</v>
      </c>
      <c r="W48" s="24">
        <v>86</v>
      </c>
      <c r="X48" s="24">
        <v>101</v>
      </c>
      <c r="Y48" s="24">
        <v>58</v>
      </c>
      <c r="Z48" s="24">
        <v>83</v>
      </c>
      <c r="AA48" s="24">
        <v>79</v>
      </c>
      <c r="AB48" s="24">
        <v>81</v>
      </c>
      <c r="AC48" s="24">
        <v>79</v>
      </c>
      <c r="AD48" s="24">
        <v>59</v>
      </c>
      <c r="AE48" s="24">
        <v>97</v>
      </c>
      <c r="AF48" s="24">
        <v>110</v>
      </c>
      <c r="AG48" s="24">
        <v>109</v>
      </c>
      <c r="AH48" s="24">
        <v>81</v>
      </c>
      <c r="AI48" s="24">
        <v>102</v>
      </c>
      <c r="AJ48" s="24">
        <v>61</v>
      </c>
      <c r="AK48" s="24">
        <v>58</v>
      </c>
      <c r="AL48" s="24">
        <v>107</v>
      </c>
      <c r="AM48" s="24">
        <v>80</v>
      </c>
      <c r="AN48" s="24">
        <v>81</v>
      </c>
      <c r="AO48" s="24">
        <v>77</v>
      </c>
    </row>
    <row r="50" spans="3:41" ht="14.4">
      <c r="C50" t="s">
        <v>207</v>
      </c>
      <c r="D50" s="24" t="s">
        <v>203</v>
      </c>
      <c r="E50" s="30"/>
      <c r="F50" s="30">
        <f t="shared" si="47" ref="F50">F$44*F46*3.6/1000000</f>
        <v>0.086400000000000005</v>
      </c>
      <c r="G50" s="30"/>
      <c r="H50" s="30">
        <f>H$44*H46*3.6/1000000</f>
        <v>0.016491312000000001</v>
      </c>
      <c r="I50" s="30">
        <f t="shared" si="48" ref="I50:K50">I$44*I46*3.6/1000000</f>
        <v>0.011520000000000001</v>
      </c>
      <c r="J50" s="30"/>
      <c r="K50" s="30">
        <f t="shared" si="48"/>
        <v>0.04104</v>
      </c>
      <c r="L50" s="30"/>
      <c r="M50" s="30">
        <f>M$44*M46*3.6/1000000</f>
        <v>0.017366400000000001</v>
      </c>
      <c r="N50" s="30">
        <f t="shared" si="49" ref="N50:AM50">N$44*N46*3.6/1000000</f>
        <v>0.012024</v>
      </c>
      <c r="O50" s="30">
        <f t="shared" si="49"/>
        <v>0.019259999999999999</v>
      </c>
      <c r="P50" s="30"/>
      <c r="Q50" s="30"/>
      <c r="R50" s="30"/>
      <c r="S50" s="30">
        <f t="shared" si="49"/>
        <v>0.0252</v>
      </c>
      <c r="T50" s="30">
        <f t="shared" si="49"/>
        <v>0.019439783999999998</v>
      </c>
      <c r="U50" s="30"/>
      <c r="V50" s="30">
        <f t="shared" si="49"/>
        <v>0.023813999999999998</v>
      </c>
      <c r="W50" s="30"/>
      <c r="X50" s="30">
        <f t="shared" si="49"/>
        <v>0.010061279999999999</v>
      </c>
      <c r="Y50" s="30"/>
      <c r="Z50" s="30"/>
      <c r="AA50" s="30"/>
      <c r="AB50" s="30">
        <f t="shared" si="49"/>
        <v>0.04104</v>
      </c>
      <c r="AC50" s="30"/>
      <c r="AD50" s="30"/>
      <c r="AE50" s="30">
        <f t="shared" si="49"/>
        <v>0.017856</v>
      </c>
      <c r="AF50" s="30">
        <f t="shared" si="49"/>
        <v>0.012869999999999999</v>
      </c>
      <c r="AG50" s="30"/>
      <c r="AH50" s="30">
        <f t="shared" si="49"/>
        <v>0.02899152</v>
      </c>
      <c r="AI50" s="30"/>
      <c r="AJ50" s="30">
        <f t="shared" si="49"/>
        <v>0.034561800000000004</v>
      </c>
      <c r="AK50" s="30"/>
      <c r="AL50" s="30">
        <f t="shared" si="49"/>
        <v>0.032713199999999998</v>
      </c>
      <c r="AM50" s="30">
        <f t="shared" si="49"/>
        <v>0.034576164</v>
      </c>
      <c r="AN50" s="30"/>
      <c r="AO50" s="30"/>
    </row>
    <row r="51" spans="4:41" ht="14.4">
      <c r="D51" s="24" t="s">
        <v>205</v>
      </c>
      <c r="E51" s="30"/>
      <c r="F51" s="30">
        <f t="shared" si="50" ref="F51">F$44*F47*3.6/1000000</f>
        <v>0.041241599999999996</v>
      </c>
      <c r="G51" s="30"/>
      <c r="H51" s="30">
        <f>H$44*H47*3.6/1000000</f>
        <v>0.008501155199999999</v>
      </c>
      <c r="I51" s="30">
        <f t="shared" si="51" ref="H51:M52">I$44*I47*3.6/1000000</f>
        <v>0.0092879999999999994</v>
      </c>
      <c r="J51" s="30"/>
      <c r="K51" s="30">
        <f t="shared" si="51"/>
        <v>0.026280000000000001</v>
      </c>
      <c r="L51" s="30"/>
      <c r="M51" s="30">
        <f t="shared" si="51"/>
        <v>0.0081259200000000018</v>
      </c>
      <c r="N51" s="30">
        <f t="shared" si="52" ref="N51:AM51">N$44*N47*3.6/1000000</f>
        <v>0.0056448000000000002</v>
      </c>
      <c r="O51" s="30">
        <f t="shared" si="52"/>
        <v>0.0086040000000000005</v>
      </c>
      <c r="P51" s="30"/>
      <c r="Q51" s="30"/>
      <c r="R51" s="30"/>
      <c r="S51" s="30">
        <f t="shared" si="52"/>
        <v>0.011862000000000001</v>
      </c>
      <c r="T51" s="30">
        <f t="shared" si="52"/>
        <v>0.0143763984</v>
      </c>
      <c r="U51" s="30"/>
      <c r="V51" s="30">
        <f t="shared" si="52"/>
        <v>0.010773</v>
      </c>
      <c r="W51" s="30"/>
      <c r="X51" s="30">
        <f t="shared" si="52"/>
        <v>0.0066683519999999989</v>
      </c>
      <c r="Y51" s="30"/>
      <c r="Z51" s="30"/>
      <c r="AA51" s="30"/>
      <c r="AB51" s="30">
        <f t="shared" si="52"/>
        <v>0.017613</v>
      </c>
      <c r="AC51" s="30"/>
      <c r="AD51" s="30"/>
      <c r="AE51" s="30">
        <f t="shared" si="52"/>
        <v>0.012239999999999999</v>
      </c>
      <c r="AF51" s="30">
        <f t="shared" si="52"/>
        <v>0.0068219999999999999</v>
      </c>
      <c r="AG51" s="30"/>
      <c r="AH51" s="30">
        <f t="shared" si="52"/>
        <v>0.01268379</v>
      </c>
      <c r="AI51" s="30"/>
      <c r="AJ51" s="30">
        <f t="shared" si="52"/>
        <v>0.018230400000000001</v>
      </c>
      <c r="AK51" s="30"/>
      <c r="AL51" s="30">
        <f t="shared" si="52"/>
        <v>0.01400796</v>
      </c>
      <c r="AM51" s="30">
        <f t="shared" si="52"/>
        <v>0.014992689599999998</v>
      </c>
      <c r="AN51" s="30"/>
      <c r="AO51" s="30"/>
    </row>
    <row r="52" spans="4:41" ht="14.4">
      <c r="D52" s="24" t="s">
        <v>204</v>
      </c>
      <c r="E52" s="30"/>
      <c r="F52" s="30">
        <f t="shared" si="53" ref="F52">F$44*F48*3.6/1000000</f>
        <v>0.058751999999999999</v>
      </c>
      <c r="G52" s="30"/>
      <c r="H52" s="30">
        <f t="shared" si="51"/>
        <v>0.012078144000000001</v>
      </c>
      <c r="I52" s="30">
        <f t="shared" si="51"/>
        <v>0.00792</v>
      </c>
      <c r="J52" s="30"/>
      <c r="K52" s="30">
        <f t="shared" si="51"/>
        <v>0.029159999999999998</v>
      </c>
      <c r="L52" s="30"/>
      <c r="M52" s="30">
        <f t="shared" si="51"/>
        <v>0.012441600000000001</v>
      </c>
      <c r="N52" s="30">
        <f t="shared" si="54" ref="N52:AM52">N$44*N48*3.6/1000000</f>
        <v>0.0082799999999999992</v>
      </c>
      <c r="O52" s="30">
        <f t="shared" si="54"/>
        <v>0.013140000000000001</v>
      </c>
      <c r="P52" s="30"/>
      <c r="Q52" s="30"/>
      <c r="R52" s="30"/>
      <c r="S52" s="30">
        <f t="shared" si="54"/>
        <v>0.017819999999999999</v>
      </c>
      <c r="T52" s="30">
        <f t="shared" si="54"/>
        <v>0.013110552000000001</v>
      </c>
      <c r="U52" s="30"/>
      <c r="V52" s="30">
        <f t="shared" si="54"/>
        <v>0.017333999999999999</v>
      </c>
      <c r="W52" s="30"/>
      <c r="X52" s="30">
        <f t="shared" si="54"/>
        <v>0.0074174399999999991</v>
      </c>
      <c r="Y52" s="30"/>
      <c r="Z52" s="30"/>
      <c r="AA52" s="30"/>
      <c r="AB52" s="30">
        <f t="shared" si="54"/>
        <v>0.027702000000000001</v>
      </c>
      <c r="AC52" s="30"/>
      <c r="AD52" s="30"/>
      <c r="AE52" s="30">
        <f t="shared" si="54"/>
        <v>0.013968</v>
      </c>
      <c r="AF52" s="30">
        <f t="shared" si="54"/>
        <v>0.0099000000000000008</v>
      </c>
      <c r="AG52" s="30"/>
      <c r="AH52" s="30">
        <f t="shared" si="54"/>
        <v>0.019569276</v>
      </c>
      <c r="AI52" s="30"/>
      <c r="AJ52" s="30">
        <f t="shared" si="54"/>
        <v>0.023167799999999999</v>
      </c>
      <c r="AK52" s="30"/>
      <c r="AL52" s="30">
        <f t="shared" si="54"/>
        <v>0.0224379</v>
      </c>
      <c r="AM52" s="30">
        <f t="shared" si="54"/>
        <v>0.023244479999999998</v>
      </c>
      <c r="AN52" s="30"/>
      <c r="AO52" s="30"/>
    </row>
  </sheetData>
  <sortState columnSort="1" ref="K43:AH44">
    <sortCondition sortBy="value" ref="K43:AH43"/>
  </sortState>
  <pageMargins left="0.7" right="0.7" top="0.75" bottom="0.75" header="0.3" footer="0.3"/>
  <pageSetup orientation="portrait" paperSize="9" r:id="rId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AR163"/>
  <sheetViews>
    <sheetView workbookViewId="0" topLeftCell="F142">
      <selection pane="topLeft" activeCell="H146" sqref="H146:AR163"/>
    </sheetView>
  </sheetViews>
  <sheetFormatPr defaultRowHeight="14.4"/>
  <cols>
    <col min="2" max="2" width="17.1428571428571" style="26" customWidth="1"/>
    <col min="3" max="3" width="10.4285714285714" bestFit="1" customWidth="1"/>
    <col min="4" max="4" width="18.2857142857143" customWidth="1"/>
    <col min="5" max="5" width="18.8571428571429" customWidth="1"/>
    <col min="6" max="6" width="15.2857142857143" bestFit="1" customWidth="1"/>
    <col min="7" max="7" width="28.4285714285714" bestFit="1" customWidth="1"/>
    <col min="8" max="8" width="10.4285714285714" bestFit="1" customWidth="1"/>
  </cols>
  <sheetData>
    <row r="4" spans="3:3" ht="14.4">
      <c r="C4" t="s">
        <v>72</v>
      </c>
    </row>
    <row r="5" spans="3:8" ht="14.4">
      <c r="C5" t="s">
        <v>0</v>
      </c>
      <c r="D5" t="s">
        <v>96</v>
      </c>
      <c r="E5" t="s">
        <v>67</v>
      </c>
      <c r="F5" t="s">
        <v>77</v>
      </c>
      <c r="G5" t="s">
        <v>2</v>
      </c>
      <c r="H5" t="s">
        <v>3</v>
      </c>
    </row>
    <row r="6" spans="3:13" ht="14.4">
      <c r="C6" t="s">
        <v>91</v>
      </c>
      <c r="D6" t="str">
        <f>"R_"&amp;MID(E6,5,20)</f>
        <v>R_Flat</v>
      </c>
      <c r="E6" t="s">
        <v>56</v>
      </c>
      <c r="F6" t="s">
        <v>92</v>
      </c>
      <c r="G6" t="s">
        <v>95</v>
      </c>
      <c r="H6">
        <v>0</v>
      </c>
      <c r="M6" t="s">
        <v>85</v>
      </c>
    </row>
    <row r="7" spans="3:13" ht="14.4">
      <c r="C7" t="s">
        <v>91</v>
      </c>
      <c r="D7" t="str">
        <f t="shared" si="0" ref="D7">"R_"&amp;MID(E7,5,20)</f>
        <v>R_DetH</v>
      </c>
      <c r="E7" t="s">
        <v>50</v>
      </c>
      <c r="F7" t="s">
        <v>93</v>
      </c>
      <c r="G7" s="35" t="s">
        <v>95</v>
      </c>
      <c r="H7">
        <v>0</v>
      </c>
      <c r="M7" t="s">
        <v>86</v>
      </c>
    </row>
    <row r="8" spans="3:13" ht="14.4">
      <c r="C8" s="35" t="s">
        <v>91</v>
      </c>
      <c r="D8" s="35" t="str">
        <f>D7</f>
        <v>R_DetH</v>
      </c>
      <c r="E8" s="35" t="s">
        <v>238</v>
      </c>
      <c r="F8" s="35" t="s">
        <v>93</v>
      </c>
      <c r="G8" s="35" t="s">
        <v>95</v>
      </c>
      <c r="H8" s="35">
        <v>0</v>
      </c>
      <c r="M8" t="s">
        <v>87</v>
      </c>
    </row>
    <row r="9" spans="3:14" ht="14.4">
      <c r="C9" t="s">
        <v>91</v>
      </c>
      <c r="D9" t="str">
        <f t="shared" si="1" ref="D9:D17">"R_"&amp;MID(E9,5,20)</f>
        <v>R_SDetH</v>
      </c>
      <c r="E9" t="s">
        <v>61</v>
      </c>
      <c r="F9" t="s">
        <v>94</v>
      </c>
      <c r="G9" t="s">
        <v>95</v>
      </c>
      <c r="H9">
        <v>0</v>
      </c>
      <c r="M9" t="s">
        <v>88</v>
      </c>
      <c r="N9">
        <f>G10</f>
        <v>1940</v>
      </c>
    </row>
    <row r="10" spans="3:14" ht="14.4">
      <c r="C10" t="s">
        <v>91</v>
      </c>
      <c r="D10" t="str">
        <f t="shared" si="1"/>
        <v>R_Flat</v>
      </c>
      <c r="E10" t="s">
        <v>56</v>
      </c>
      <c r="F10" t="str">
        <f t="shared" si="2" ref="F10:F15">"Bldg_FLTPre"&amp;M6&amp;"*"</f>
        <v>Bldg_FLTPre45*</v>
      </c>
      <c r="G10">
        <v>1940</v>
      </c>
      <c r="H10">
        <v>1</v>
      </c>
      <c r="M10" t="s">
        <v>89</v>
      </c>
      <c r="N10" t="str">
        <f>N9&amp;","&amp;G11</f>
        <v>1940,1957</v>
      </c>
    </row>
    <row r="11" spans="3:14" ht="14.4">
      <c r="C11" t="s">
        <v>91</v>
      </c>
      <c r="D11" t="str">
        <f t="shared" si="1"/>
        <v>R_Flat</v>
      </c>
      <c r="E11" t="s">
        <v>56</v>
      </c>
      <c r="F11" t="str">
        <f t="shared" si="2"/>
        <v>Bldg_FLTPre69*</v>
      </c>
      <c r="G11">
        <v>1957</v>
      </c>
      <c r="H11">
        <v>1</v>
      </c>
      <c r="M11" t="s">
        <v>90</v>
      </c>
      <c r="N11" t="str">
        <f>N10&amp;","&amp;G12</f>
        <v>1940,1957,1975</v>
      </c>
    </row>
    <row r="12" spans="3:14" ht="14.4">
      <c r="C12" t="s">
        <v>91</v>
      </c>
      <c r="D12" t="str">
        <f t="shared" si="1"/>
        <v>R_Flat</v>
      </c>
      <c r="E12" t="s">
        <v>56</v>
      </c>
      <c r="F12" t="str">
        <f t="shared" si="2"/>
        <v>Bldg_FLTPre79*</v>
      </c>
      <c r="G12">
        <v>1975</v>
      </c>
      <c r="H12">
        <v>1</v>
      </c>
      <c r="M12" t="str">
        <f>M6</f>
        <v>45</v>
      </c>
      <c r="N12" t="str">
        <f>N11&amp;","&amp;G13</f>
        <v>1940,1957,1975,1985</v>
      </c>
    </row>
    <row r="13" spans="3:14" ht="14.4">
      <c r="C13" t="s">
        <v>91</v>
      </c>
      <c r="D13" t="str">
        <f t="shared" si="1"/>
        <v>R_Flat</v>
      </c>
      <c r="E13" t="s">
        <v>56</v>
      </c>
      <c r="F13" t="str">
        <f t="shared" si="2"/>
        <v>Bldg_FLTPre89*</v>
      </c>
      <c r="G13">
        <v>1985</v>
      </c>
      <c r="H13">
        <v>1</v>
      </c>
      <c r="M13" t="str">
        <f t="shared" si="3" ref="M13:M23">M7</f>
        <v>69</v>
      </c>
      <c r="N13" t="str">
        <f>N12&amp;","&amp;G14</f>
        <v>1940,1957,1975,1985,1995</v>
      </c>
    </row>
    <row r="14" spans="3:14" ht="14.4">
      <c r="C14" t="s">
        <v>91</v>
      </c>
      <c r="D14" t="str">
        <f t="shared" si="1"/>
        <v>R_Flat</v>
      </c>
      <c r="E14" t="s">
        <v>56</v>
      </c>
      <c r="F14" t="str">
        <f t="shared" si="2"/>
        <v>Bldg_FLTPre99*</v>
      </c>
      <c r="G14">
        <v>1995</v>
      </c>
      <c r="H14">
        <v>1</v>
      </c>
      <c r="M14" t="str">
        <f t="shared" si="3"/>
        <v>79</v>
      </c>
      <c r="N14" t="str">
        <f>N13&amp;","&amp;G15</f>
        <v>1940,1957,1975,1985,1995,2004</v>
      </c>
    </row>
    <row r="15" spans="3:13" ht="14.4">
      <c r="C15" t="s">
        <v>91</v>
      </c>
      <c r="D15" t="str">
        <f t="shared" si="1"/>
        <v>R_Flat</v>
      </c>
      <c r="E15" t="s">
        <v>56</v>
      </c>
      <c r="F15" t="str">
        <f t="shared" si="2"/>
        <v>Bldg_FLTPre09*</v>
      </c>
      <c r="G15">
        <v>2004</v>
      </c>
      <c r="H15">
        <v>1</v>
      </c>
      <c r="M15" t="str">
        <f t="shared" si="3"/>
        <v>89</v>
      </c>
    </row>
    <row r="16" spans="3:13" ht="14.4">
      <c r="C16" t="s">
        <v>91</v>
      </c>
      <c r="D16" t="str">
        <f>"R_"&amp;MID(E16,5,20)</f>
        <v>R_DetH</v>
      </c>
      <c r="E16" t="s">
        <v>50</v>
      </c>
      <c r="F16" t="str">
        <f t="shared" si="4" ref="F16:F21">"Bldg_DETPre"&amp;M12&amp;"*"</f>
        <v>Bldg_DETPre45*</v>
      </c>
      <c r="G16">
        <f>G10</f>
        <v>1940</v>
      </c>
      <c r="H16">
        <v>1</v>
      </c>
      <c r="M16" t="str">
        <f t="shared" si="3"/>
        <v>99</v>
      </c>
    </row>
    <row r="17" spans="3:13" ht="14.4">
      <c r="C17" t="s">
        <v>91</v>
      </c>
      <c r="D17" t="str">
        <f t="shared" si="1"/>
        <v>R_DetH</v>
      </c>
      <c r="E17" t="s">
        <v>50</v>
      </c>
      <c r="F17" t="str">
        <f t="shared" si="4"/>
        <v>Bldg_DETPre69*</v>
      </c>
      <c r="G17">
        <f t="shared" si="5" ref="G17:G27">G11</f>
        <v>1957</v>
      </c>
      <c r="H17">
        <v>1</v>
      </c>
      <c r="M17" t="str">
        <f t="shared" si="3"/>
        <v>09</v>
      </c>
    </row>
    <row r="18" spans="3:13" ht="14.4">
      <c r="C18" t="s">
        <v>91</v>
      </c>
      <c r="D18" s="35" t="s">
        <v>78</v>
      </c>
      <c r="E18" t="s">
        <v>238</v>
      </c>
      <c r="F18" t="str">
        <f t="shared" si="4"/>
        <v>Bldg_DETPre79*</v>
      </c>
      <c r="G18">
        <f t="shared" si="5"/>
        <v>1975</v>
      </c>
      <c r="H18">
        <v>1</v>
      </c>
      <c r="M18" t="str">
        <f t="shared" si="3"/>
        <v>45</v>
      </c>
    </row>
    <row r="19" spans="3:13" ht="14.4">
      <c r="C19" t="s">
        <v>91</v>
      </c>
      <c r="D19" s="35" t="s">
        <v>78</v>
      </c>
      <c r="E19" s="35" t="s">
        <v>238</v>
      </c>
      <c r="F19" t="str">
        <f t="shared" si="4"/>
        <v>Bldg_DETPre89*</v>
      </c>
      <c r="G19">
        <f t="shared" si="5"/>
        <v>1985</v>
      </c>
      <c r="H19">
        <v>1</v>
      </c>
      <c r="M19" t="str">
        <f t="shared" si="3"/>
        <v>69</v>
      </c>
    </row>
    <row r="20" spans="3:13" ht="14.4">
      <c r="C20" t="s">
        <v>91</v>
      </c>
      <c r="D20" s="35" t="s">
        <v>78</v>
      </c>
      <c r="E20" s="35" t="s">
        <v>238</v>
      </c>
      <c r="F20" t="str">
        <f t="shared" si="4"/>
        <v>Bldg_DETPre99*</v>
      </c>
      <c r="G20">
        <f t="shared" si="5"/>
        <v>1995</v>
      </c>
      <c r="H20">
        <v>1</v>
      </c>
      <c r="M20" t="str">
        <f t="shared" si="3"/>
        <v>79</v>
      </c>
    </row>
    <row r="21" spans="3:13" ht="14.4">
      <c r="C21" t="s">
        <v>91</v>
      </c>
      <c r="D21" s="35" t="s">
        <v>78</v>
      </c>
      <c r="E21" s="35" t="s">
        <v>238</v>
      </c>
      <c r="F21" t="str">
        <f t="shared" si="4"/>
        <v>Bldg_DETPre09*</v>
      </c>
      <c r="G21">
        <f t="shared" si="5"/>
        <v>2004</v>
      </c>
      <c r="H21">
        <v>1</v>
      </c>
      <c r="M21" t="str">
        <f t="shared" si="3"/>
        <v>89</v>
      </c>
    </row>
    <row r="22" spans="3:13" ht="14.4">
      <c r="C22" t="s">
        <v>91</v>
      </c>
      <c r="D22" t="str">
        <f t="shared" si="6" ref="D22:D27">"R_"&amp;MID(E22,5,20)</f>
        <v>R_SDetH</v>
      </c>
      <c r="E22" t="s">
        <v>61</v>
      </c>
      <c r="F22" t="str">
        <f t="shared" si="7" ref="F22:F27">"Bldg_SDEPre"&amp;M18&amp;"*"</f>
        <v>Bldg_SDEPre45*</v>
      </c>
      <c r="G22">
        <f t="shared" si="5"/>
        <v>1940</v>
      </c>
      <c r="H22">
        <v>1</v>
      </c>
      <c r="M22" t="str">
        <f t="shared" si="3"/>
        <v>99</v>
      </c>
    </row>
    <row r="23" spans="3:13" ht="14.4">
      <c r="C23" t="s">
        <v>91</v>
      </c>
      <c r="D23" t="str">
        <f t="shared" si="6"/>
        <v>R_SDetH</v>
      </c>
      <c r="E23" t="s">
        <v>61</v>
      </c>
      <c r="F23" t="str">
        <f t="shared" si="7"/>
        <v>Bldg_SDEPre69*</v>
      </c>
      <c r="G23">
        <f t="shared" si="5"/>
        <v>1957</v>
      </c>
      <c r="H23">
        <v>1</v>
      </c>
      <c r="M23" t="str">
        <f t="shared" si="3"/>
        <v>09</v>
      </c>
    </row>
    <row r="24" spans="3:8" ht="14.4">
      <c r="C24" t="s">
        <v>91</v>
      </c>
      <c r="D24" t="str">
        <f t="shared" si="6"/>
        <v>R_SDetH</v>
      </c>
      <c r="E24" t="s">
        <v>61</v>
      </c>
      <c r="F24" t="str">
        <f t="shared" si="7"/>
        <v>Bldg_SDEPre79*</v>
      </c>
      <c r="G24">
        <f t="shared" si="5"/>
        <v>1975</v>
      </c>
      <c r="H24">
        <v>1</v>
      </c>
    </row>
    <row r="25" spans="3:8" ht="14.4">
      <c r="C25" t="s">
        <v>91</v>
      </c>
      <c r="D25" t="str">
        <f t="shared" si="6"/>
        <v>R_SDetH</v>
      </c>
      <c r="E25" t="s">
        <v>61</v>
      </c>
      <c r="F25" t="str">
        <f t="shared" si="7"/>
        <v>Bldg_SDEPre89*</v>
      </c>
      <c r="G25">
        <f t="shared" si="5"/>
        <v>1985</v>
      </c>
      <c r="H25">
        <v>1</v>
      </c>
    </row>
    <row r="26" spans="3:8" ht="14.4">
      <c r="C26" t="s">
        <v>91</v>
      </c>
      <c r="D26" t="str">
        <f t="shared" si="6"/>
        <v>R_SDetH</v>
      </c>
      <c r="E26" t="s">
        <v>61</v>
      </c>
      <c r="F26" t="str">
        <f t="shared" si="7"/>
        <v>Bldg_SDEPre99*</v>
      </c>
      <c r="G26">
        <f t="shared" si="5"/>
        <v>1995</v>
      </c>
      <c r="H26">
        <v>1</v>
      </c>
    </row>
    <row r="27" spans="3:8" ht="14.4">
      <c r="C27" t="s">
        <v>91</v>
      </c>
      <c r="D27" t="str">
        <f t="shared" si="6"/>
        <v>R_SDetH</v>
      </c>
      <c r="E27" t="s">
        <v>61</v>
      </c>
      <c r="F27" t="str">
        <f t="shared" si="7"/>
        <v>Bldg_SDEPre09*</v>
      </c>
      <c r="G27">
        <f t="shared" si="5"/>
        <v>2004</v>
      </c>
      <c r="H27">
        <v>1</v>
      </c>
    </row>
    <row r="30" spans="3:3" ht="14.4">
      <c r="C30" t="s">
        <v>97</v>
      </c>
    </row>
    <row r="31" spans="3:8" ht="14.4">
      <c r="C31" t="s">
        <v>0</v>
      </c>
      <c r="D31" t="s">
        <v>96</v>
      </c>
      <c r="E31" t="s">
        <v>67</v>
      </c>
      <c r="F31" t="s">
        <v>77</v>
      </c>
      <c r="G31" t="s">
        <v>2</v>
      </c>
      <c r="H31" t="s">
        <v>3</v>
      </c>
    </row>
    <row r="32" spans="5:8" ht="14.4">
      <c r="E32" t="s">
        <v>56</v>
      </c>
      <c r="F32" t="s">
        <v>92</v>
      </c>
      <c r="H32" t="s">
        <v>98</v>
      </c>
    </row>
    <row r="33" spans="5:8" ht="14.4">
      <c r="E33" t="s">
        <v>50</v>
      </c>
      <c r="F33" s="35" t="s">
        <v>240</v>
      </c>
      <c r="H33" t="s">
        <v>98</v>
      </c>
    </row>
    <row r="34" spans="5:8" s="35" customFormat="1" ht="14.4">
      <c r="E34" s="35" t="s">
        <v>238</v>
      </c>
      <c r="F34" s="35" t="s">
        <v>241</v>
      </c>
      <c r="H34" s="35" t="s">
        <v>98</v>
      </c>
    </row>
    <row r="35" spans="5:8" ht="14.4">
      <c r="E35" t="s">
        <v>61</v>
      </c>
      <c r="F35" t="s">
        <v>94</v>
      </c>
      <c r="H35" t="s">
        <v>98</v>
      </c>
    </row>
    <row r="37" spans="8:44" ht="14.4">
      <c r="H37" s="33">
        <f>'Data EU Buildings Observatory'!$E$33/100</f>
        <v>0.0095230769230769223</v>
      </c>
      <c r="I37" s="33">
        <f>'Data EU Buildings Observatory'!E4/100</f>
        <v>0.018200000000000001</v>
      </c>
      <c r="J37" s="33">
        <f>'Data EU Buildings Observatory'!$E$33/100</f>
        <v>0.0095230769230769223</v>
      </c>
      <c r="K37" s="33">
        <f>'Data EU Buildings Observatory'!E5/100</f>
        <v>0.0033</v>
      </c>
      <c r="L37" s="33">
        <f>'Data EU Buildings Observatory'!$E$33/100</f>
        <v>0.0095230769230769223</v>
      </c>
      <c r="M37" s="33">
        <f>'Data EU Buildings Observatory'!$E$33/100</f>
        <v>0.0095230769230769223</v>
      </c>
      <c r="N37" s="33">
        <f>'Data EU Buildings Observatory'!$E$33/100</f>
        <v>0.0095230769230769223</v>
      </c>
      <c r="O37" s="33">
        <f>'Data EU Buildings Observatory'!E9/100</f>
        <v>0.0118</v>
      </c>
      <c r="P37" s="33">
        <f>'Data EU Buildings Observatory'!E14/100</f>
        <v>0.0149</v>
      </c>
      <c r="Q37" s="33">
        <f>'Data EU Buildings Observatory'!$E$33/100</f>
        <v>0.0095230769230769223</v>
      </c>
      <c r="R37" s="33">
        <f>'Data EU Buildings Observatory'!$E$33/100</f>
        <v>0.0095230769230769223</v>
      </c>
      <c r="S37" s="33">
        <f>'Data EU Buildings Observatory'!$E$33/100</f>
        <v>0.0095230769230769223</v>
      </c>
      <c r="T37" s="33">
        <f>'Data EU Buildings Observatory'!$E$33/100</f>
        <v>0.0095230769230769223</v>
      </c>
      <c r="U37" s="33">
        <f>'Data EU Buildings Observatory'!$E$33/100</f>
        <v>0.0095230769230769223</v>
      </c>
      <c r="V37" s="33">
        <f>'Data EU Buildings Observatory'!E13/100</f>
        <v>0.017500000000000002</v>
      </c>
      <c r="W37" s="33">
        <f>'Data EU Buildings Observatory'!$E$33/100</f>
        <v>0.0095230769230769223</v>
      </c>
      <c r="X37" s="33">
        <f>'Data EU Buildings Observatory'!$E$33/100</f>
        <v>0.0095230769230769223</v>
      </c>
      <c r="Y37" s="33">
        <f>'Data EU Buildings Observatory'!$E$33/100</f>
        <v>0.0095230769230769223</v>
      </c>
      <c r="Z37" s="33">
        <f>'Data EU Buildings Observatory'!$E$33/100</f>
        <v>0.0095230769230769223</v>
      </c>
      <c r="AA37" s="33">
        <f>'Data EU Buildings Observatory'!E18/100</f>
        <v>0.0077000000000000002</v>
      </c>
      <c r="AB37" s="33">
        <f>'Data EU Buildings Observatory'!$E$33/100</f>
        <v>0.0095230769230769223</v>
      </c>
      <c r="AC37" s="33">
        <f>'Data EU Buildings Observatory'!E20/100</f>
        <v>0.011299999999999999</v>
      </c>
      <c r="AD37" s="33">
        <f>'Data EU Buildings Observatory'!$E$33/100</f>
        <v>0.0095230769230769223</v>
      </c>
      <c r="AE37" s="33">
        <f>'Data EU Buildings Observatory'!$E$33/100</f>
        <v>0.0095230769230769223</v>
      </c>
      <c r="AF37" s="33">
        <f>'Data EU Buildings Observatory'!$E$33/100</f>
        <v>0.0095230769230769223</v>
      </c>
      <c r="AG37" s="33">
        <f>'Data EU Buildings Observatory'!$E$33/100</f>
        <v>0.0095230769230769223</v>
      </c>
      <c r="AH37" s="33">
        <f>'Data EU Buildings Observatory'!$E$33/100</f>
        <v>0.0095230769230769223</v>
      </c>
      <c r="AI37" s="33">
        <f>'Data EU Buildings Observatory'!E23/100</f>
        <v>0.011000000000000001</v>
      </c>
      <c r="AJ37" s="33">
        <f>'Data EU Buildings Observatory'!$E$33/100</f>
        <v>0.0095230769230769223</v>
      </c>
      <c r="AK37" s="33">
        <f>'Data EU Buildings Observatory'!E24/100</f>
        <v>0.0011999999999999999</v>
      </c>
      <c r="AL37" s="33">
        <f>'Data EU Buildings Observatory'!$E$33/100</f>
        <v>0.0095230769230769223</v>
      </c>
      <c r="AM37" s="33">
        <f>'Data EU Buildings Observatory'!$E$33/100</f>
        <v>0.0095230769230769223</v>
      </c>
      <c r="AN37" s="33">
        <f>'Data EU Buildings Observatory'!$E$33/100</f>
        <v>0.0095230769230769223</v>
      </c>
      <c r="AO37" s="33">
        <f>'Data EU Buildings Observatory'!$E$33/100</f>
        <v>0.0095230769230769223</v>
      </c>
      <c r="AP37" s="33">
        <f>'Data EU Buildings Observatory'!$E$33/100</f>
        <v>0.0095230769230769223</v>
      </c>
      <c r="AQ37" s="33">
        <f>'Data EU Buildings Observatory'!$E$33/100</f>
        <v>0.0095230769230769223</v>
      </c>
      <c r="AR37" s="33">
        <f>'Data EU Buildings Observatory'!$E$33/100</f>
        <v>0.0095230769230769223</v>
      </c>
    </row>
    <row r="38" spans="2:44" ht="14.4">
      <c r="B38" s="42" t="s">
        <v>236</v>
      </c>
      <c r="H38" s="33">
        <f>H37-Stock!E12</f>
        <v>0.0075230769230769223</v>
      </c>
      <c r="I38" s="33">
        <f>I37-Stock!F12</f>
        <v>0.016199999999999999</v>
      </c>
      <c r="J38" s="33">
        <f>J37-Stock!G12</f>
        <v>0.0075230769230769223</v>
      </c>
      <c r="K38" s="33">
        <f>K37-Stock!H12</f>
        <v>0.00079999999999999993</v>
      </c>
      <c r="L38" s="33">
        <f>L37-Stock!I12</f>
        <v>0.0075230769230769223</v>
      </c>
      <c r="M38" s="33">
        <f>M37-Stock!J12</f>
        <v>0.0075230769230769223</v>
      </c>
      <c r="N38" s="33">
        <f>N37-Stock!K12</f>
        <v>0.0075230769230769223</v>
      </c>
      <c r="O38" s="33">
        <f>O37-Stock!L12</f>
        <v>0.0097999999999999997</v>
      </c>
      <c r="P38" s="33">
        <f>P37-Stock!M12</f>
        <v>0.0129</v>
      </c>
      <c r="Q38" s="33">
        <f>Q37-Stock!N12</f>
        <v>0.0075230769230769223</v>
      </c>
      <c r="R38" s="33">
        <f>R37-Stock!O12</f>
        <v>0.0075230769230769223</v>
      </c>
      <c r="S38" s="33">
        <f>S37-Stock!P12</f>
        <v>0.0075230769230769223</v>
      </c>
      <c r="T38" s="33">
        <f>T37-Stock!Q12</f>
        <v>0.0074230769230769229</v>
      </c>
      <c r="U38" s="33">
        <f>U37-Stock!R12</f>
        <v>0.0075230769230769223</v>
      </c>
      <c r="V38" s="33">
        <f>V37-Stock!S12</f>
        <v>0.015500000000000002</v>
      </c>
      <c r="W38" s="33">
        <f>W37-Stock!T12</f>
        <v>0.0075230769230769223</v>
      </c>
      <c r="X38" s="33">
        <f>X37-Stock!U12</f>
        <v>0.0075230769230769223</v>
      </c>
      <c r="Y38" s="33">
        <f>Y37-Stock!V12</f>
        <v>-0.0034769230769230771</v>
      </c>
      <c r="Z38" s="33">
        <f>Z37-Stock!W12</f>
        <v>0.0075230769230769223</v>
      </c>
      <c r="AA38" s="33">
        <f>AA37-Stock!X12</f>
        <v>0.0057000000000000002</v>
      </c>
      <c r="AB38" s="33">
        <f>AB37-Stock!Y12</f>
        <v>0.0075230769230769223</v>
      </c>
      <c r="AC38" s="33">
        <f>AC37-Stock!Z12</f>
        <v>0.0092999999999999992</v>
      </c>
      <c r="AD38" s="33">
        <f>AD37-Stock!AA12</f>
        <v>0.0075230769230769223</v>
      </c>
      <c r="AE38" s="33">
        <f>AE37-Stock!AB12</f>
        <v>0.0075230769230769223</v>
      </c>
      <c r="AF38" s="33">
        <f>AF37-Stock!AC12</f>
        <v>0.0075230769230769223</v>
      </c>
      <c r="AG38" s="33">
        <f>AG37-Stock!AD12</f>
        <v>0.0075230769230769223</v>
      </c>
      <c r="AH38" s="33">
        <f>AH37-Stock!AE12</f>
        <v>0.0075230769230769223</v>
      </c>
      <c r="AI38" s="33">
        <f>AI37-Stock!AF12</f>
        <v>0.0090000000000000011</v>
      </c>
      <c r="AJ38" s="33">
        <f>AJ37-Stock!AG12</f>
        <v>0.0075230769230769223</v>
      </c>
      <c r="AK38" s="41">
        <v>0.001</v>
      </c>
      <c r="AL38" s="33">
        <f>AL37-Stock!AI12</f>
        <v>0.0075230769230769223</v>
      </c>
      <c r="AM38" s="33">
        <f>AM37-Stock!AJ12</f>
        <v>0.0075230769230769223</v>
      </c>
      <c r="AN38" s="33">
        <f>AN37-Stock!AK12</f>
        <v>0.0075230769230769223</v>
      </c>
      <c r="AO38" s="33">
        <f>AO37-Stock!AL12</f>
        <v>0.0083230769230769209</v>
      </c>
      <c r="AP38" s="33">
        <f>AP37-Stock!AM12</f>
        <v>0.0075230769230769223</v>
      </c>
      <c r="AQ38" s="33">
        <f>AQ37-Stock!AN12</f>
        <v>0.0075230769230769223</v>
      </c>
      <c r="AR38" s="33">
        <f>AR37-Stock!AO12</f>
        <v>0.0050930769230769224</v>
      </c>
    </row>
    <row r="39" spans="2:8" ht="14.4">
      <c r="B39" s="26" t="s">
        <v>237</v>
      </c>
      <c r="C39" s="26"/>
      <c r="D39" s="26"/>
      <c r="E39" s="26"/>
      <c r="F39" s="26"/>
      <c r="H39" s="26"/>
    </row>
    <row r="40" spans="2:44" ht="14.4">
      <c r="B40" s="26" t="s">
        <v>0</v>
      </c>
      <c r="C40" s="26" t="s">
        <v>67</v>
      </c>
      <c r="D40" s="26" t="s">
        <v>227</v>
      </c>
      <c r="E40" s="26" t="s">
        <v>1</v>
      </c>
      <c r="F40" t="s">
        <v>2</v>
      </c>
      <c r="G40" t="s">
        <v>229</v>
      </c>
      <c r="H40" s="32" t="s">
        <v>12</v>
      </c>
      <c r="I40" s="32" t="s">
        <v>13</v>
      </c>
      <c r="J40" s="32" t="s">
        <v>14</v>
      </c>
      <c r="K40" s="32" t="s">
        <v>15</v>
      </c>
      <c r="L40" s="32" t="s">
        <v>16</v>
      </c>
      <c r="M40" s="32" t="s">
        <v>17</v>
      </c>
      <c r="N40" s="32" t="s">
        <v>18</v>
      </c>
      <c r="O40" s="32" t="s">
        <v>19</v>
      </c>
      <c r="P40" s="32" t="s">
        <v>20</v>
      </c>
      <c r="Q40" s="32" t="s">
        <v>21</v>
      </c>
      <c r="R40" s="32" t="s">
        <v>22</v>
      </c>
      <c r="S40" s="32" t="s">
        <v>23</v>
      </c>
      <c r="T40" s="32" t="s">
        <v>24</v>
      </c>
      <c r="U40" s="32" t="s">
        <v>25</v>
      </c>
      <c r="V40" s="32" t="s">
        <v>26</v>
      </c>
      <c r="W40" s="32" t="s">
        <v>27</v>
      </c>
      <c r="X40" s="32" t="s">
        <v>28</v>
      </c>
      <c r="Y40" s="32" t="s">
        <v>29</v>
      </c>
      <c r="Z40" s="32" t="s">
        <v>30</v>
      </c>
      <c r="AA40" s="32" t="s">
        <v>31</v>
      </c>
      <c r="AB40" s="32" t="s">
        <v>32</v>
      </c>
      <c r="AC40" s="32" t="s">
        <v>33</v>
      </c>
      <c r="AD40" s="32" t="s">
        <v>34</v>
      </c>
      <c r="AE40" s="32" t="s">
        <v>35</v>
      </c>
      <c r="AF40" s="32" t="s">
        <v>36</v>
      </c>
      <c r="AG40" s="32" t="s">
        <v>37</v>
      </c>
      <c r="AH40" s="32" t="s">
        <v>38</v>
      </c>
      <c r="AI40" s="32" t="s">
        <v>39</v>
      </c>
      <c r="AJ40" s="32" t="s">
        <v>40</v>
      </c>
      <c r="AK40" s="32" t="s">
        <v>41</v>
      </c>
      <c r="AL40" s="32" t="s">
        <v>42</v>
      </c>
      <c r="AM40" s="32" t="s">
        <v>43</v>
      </c>
      <c r="AN40" s="32" t="s">
        <v>44</v>
      </c>
      <c r="AO40" s="32" t="s">
        <v>45</v>
      </c>
      <c r="AP40" s="32" t="s">
        <v>46</v>
      </c>
      <c r="AQ40" s="32" t="s">
        <v>47</v>
      </c>
      <c r="AR40" s="32" t="s">
        <v>48</v>
      </c>
    </row>
    <row r="41" spans="2:44" s="26" customFormat="1" ht="14.4">
      <c r="B41" s="26" t="s">
        <v>231</v>
      </c>
      <c r="C41" s="26" t="s">
        <v>226</v>
      </c>
      <c r="D41" s="26" t="s">
        <v>214</v>
      </c>
      <c r="E41" s="26" t="s">
        <v>230</v>
      </c>
      <c r="F41" s="26">
        <v>2012</v>
      </c>
      <c r="G41" s="26">
        <v>0</v>
      </c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</row>
    <row r="42" spans="2:44" s="26" customFormat="1" ht="14.4">
      <c r="B42" s="26" t="s">
        <v>231</v>
      </c>
      <c r="C42" s="26" t="s">
        <v>226</v>
      </c>
      <c r="D42" s="26" t="s">
        <v>215</v>
      </c>
      <c r="E42" s="26" t="s">
        <v>230</v>
      </c>
      <c r="F42" s="35">
        <v>2012</v>
      </c>
      <c r="G42" s="26">
        <v>0</v>
      </c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</row>
    <row r="43" spans="2:44" s="26" customFormat="1" ht="14.4">
      <c r="B43" s="26" t="s">
        <v>231</v>
      </c>
      <c r="C43" s="26" t="s">
        <v>226</v>
      </c>
      <c r="D43" s="26" t="s">
        <v>216</v>
      </c>
      <c r="E43" s="26" t="s">
        <v>230</v>
      </c>
      <c r="F43" s="35">
        <v>2012</v>
      </c>
      <c r="G43" s="26">
        <v>0</v>
      </c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</row>
    <row r="44" spans="2:44" s="26" customFormat="1" ht="14.4">
      <c r="B44" s="26" t="s">
        <v>231</v>
      </c>
      <c r="C44" s="26" t="s">
        <v>226</v>
      </c>
      <c r="D44" s="26" t="s">
        <v>217</v>
      </c>
      <c r="E44" s="26" t="s">
        <v>230</v>
      </c>
      <c r="F44" s="35">
        <v>2012</v>
      </c>
      <c r="G44" s="26">
        <v>0</v>
      </c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</row>
    <row r="45" spans="2:44" s="26" customFormat="1" ht="14.4">
      <c r="B45" s="26" t="s">
        <v>231</v>
      </c>
      <c r="C45" s="26" t="s">
        <v>226</v>
      </c>
      <c r="D45" s="26" t="s">
        <v>218</v>
      </c>
      <c r="E45" s="26" t="s">
        <v>230</v>
      </c>
      <c r="F45" s="35">
        <v>2012</v>
      </c>
      <c r="G45" s="26">
        <v>0</v>
      </c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</row>
    <row r="46" spans="2:44" s="26" customFormat="1" ht="14.4">
      <c r="B46" s="26" t="s">
        <v>231</v>
      </c>
      <c r="C46" s="26" t="s">
        <v>226</v>
      </c>
      <c r="D46" s="26" t="s">
        <v>208</v>
      </c>
      <c r="E46" s="26" t="s">
        <v>230</v>
      </c>
      <c r="F46" s="35">
        <v>2012</v>
      </c>
      <c r="G46" s="26">
        <v>0</v>
      </c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</row>
    <row r="47" spans="2:44" s="26" customFormat="1" ht="14.4">
      <c r="B47" s="26" t="s">
        <v>231</v>
      </c>
      <c r="C47" s="26" t="s">
        <v>226</v>
      </c>
      <c r="D47" s="26" t="s">
        <v>209</v>
      </c>
      <c r="E47" s="26" t="s">
        <v>230</v>
      </c>
      <c r="F47" s="35">
        <v>2012</v>
      </c>
      <c r="G47" s="26">
        <v>0</v>
      </c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</row>
    <row r="48" spans="2:44" s="26" customFormat="1" ht="14.4">
      <c r="B48" s="26" t="s">
        <v>231</v>
      </c>
      <c r="C48" s="26" t="s">
        <v>226</v>
      </c>
      <c r="D48" s="26" t="s">
        <v>210</v>
      </c>
      <c r="E48" s="26" t="s">
        <v>230</v>
      </c>
      <c r="F48" s="35">
        <v>2012</v>
      </c>
      <c r="G48" s="26">
        <v>0</v>
      </c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</row>
    <row r="49" spans="2:44" s="26" customFormat="1" ht="14.4">
      <c r="B49" s="26" t="s">
        <v>231</v>
      </c>
      <c r="C49" s="26" t="s">
        <v>226</v>
      </c>
      <c r="D49" s="26" t="s">
        <v>211</v>
      </c>
      <c r="E49" s="26" t="s">
        <v>230</v>
      </c>
      <c r="F49" s="35">
        <v>2012</v>
      </c>
      <c r="G49" s="26">
        <v>0</v>
      </c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</row>
    <row r="50" spans="2:44" s="26" customFormat="1" ht="14.4">
      <c r="B50" s="26" t="s">
        <v>231</v>
      </c>
      <c r="C50" s="26" t="s">
        <v>226</v>
      </c>
      <c r="D50" s="26" t="s">
        <v>212</v>
      </c>
      <c r="E50" s="26" t="s">
        <v>230</v>
      </c>
      <c r="F50" s="35">
        <v>2012</v>
      </c>
      <c r="G50" s="26">
        <v>0</v>
      </c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</row>
    <row r="51" spans="2:44" s="26" customFormat="1" ht="14.4">
      <c r="B51" s="26" t="s">
        <v>231</v>
      </c>
      <c r="C51" s="26" t="s">
        <v>226</v>
      </c>
      <c r="D51" s="26" t="s">
        <v>220</v>
      </c>
      <c r="E51" s="26" t="s">
        <v>230</v>
      </c>
      <c r="F51" s="35">
        <v>2012</v>
      </c>
      <c r="G51" s="26">
        <v>0</v>
      </c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</row>
    <row r="52" spans="2:44" s="26" customFormat="1" ht="14.4">
      <c r="B52" s="26" t="s">
        <v>231</v>
      </c>
      <c r="C52" s="26" t="s">
        <v>226</v>
      </c>
      <c r="D52" s="26" t="s">
        <v>221</v>
      </c>
      <c r="E52" s="26" t="s">
        <v>230</v>
      </c>
      <c r="F52" s="35">
        <v>2012</v>
      </c>
      <c r="G52" s="26">
        <v>0</v>
      </c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</row>
    <row r="53" spans="2:44" s="26" customFormat="1" ht="14.4">
      <c r="B53" s="26" t="s">
        <v>231</v>
      </c>
      <c r="C53" s="26" t="s">
        <v>226</v>
      </c>
      <c r="D53" s="26" t="s">
        <v>222</v>
      </c>
      <c r="E53" s="26" t="s">
        <v>230</v>
      </c>
      <c r="F53" s="35">
        <v>2012</v>
      </c>
      <c r="G53" s="26">
        <v>0</v>
      </c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</row>
    <row r="54" spans="2:44" s="26" customFormat="1" ht="14.4">
      <c r="B54" s="26" t="s">
        <v>231</v>
      </c>
      <c r="C54" s="26" t="s">
        <v>226</v>
      </c>
      <c r="D54" s="26" t="s">
        <v>223</v>
      </c>
      <c r="E54" s="26" t="s">
        <v>230</v>
      </c>
      <c r="F54" s="35">
        <v>2012</v>
      </c>
      <c r="G54" s="26">
        <v>0</v>
      </c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</row>
    <row r="55" spans="2:44" s="26" customFormat="1" ht="14.4">
      <c r="B55" s="26" t="s">
        <v>231</v>
      </c>
      <c r="C55" s="26" t="s">
        <v>226</v>
      </c>
      <c r="D55" s="26" t="s">
        <v>224</v>
      </c>
      <c r="E55" s="26" t="s">
        <v>230</v>
      </c>
      <c r="F55" s="35">
        <v>2012</v>
      </c>
      <c r="G55" s="26">
        <v>0</v>
      </c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</row>
    <row r="56" spans="2:44" ht="14.4">
      <c r="B56" s="26" t="s">
        <v>231</v>
      </c>
      <c r="C56" s="26" t="s">
        <v>226</v>
      </c>
      <c r="D56" s="26" t="s">
        <v>214</v>
      </c>
      <c r="E56" s="26" t="s">
        <v>230</v>
      </c>
      <c r="F56">
        <v>2060</v>
      </c>
      <c r="H56" s="27">
        <f t="shared" si="8" ref="H56:AR56">(1+FV(-H$38,($F$56-$F$41),0,100,1)/100)*H146</f>
        <v>2.1605835900399306</v>
      </c>
      <c r="I56" s="39">
        <f t="shared" si="8"/>
        <v>132.98792637795097</v>
      </c>
      <c r="J56" s="39">
        <f t="shared" si="8"/>
        <v>8.8500471763838853</v>
      </c>
      <c r="K56" s="39">
        <f t="shared" si="8"/>
        <v>14.172537557082858</v>
      </c>
      <c r="L56" s="39">
        <f t="shared" si="8"/>
        <v>26.531203639675731</v>
      </c>
      <c r="M56" s="39">
        <f t="shared" si="8"/>
        <v>61.683721892516864</v>
      </c>
      <c r="N56" s="39">
        <f t="shared" si="8"/>
        <v>0.97409338988990657</v>
      </c>
      <c r="O56" s="39">
        <f t="shared" si="8"/>
        <v>93.356454553749472</v>
      </c>
      <c r="P56" s="39">
        <f t="shared" si="8"/>
        <v>775.77278048591165</v>
      </c>
      <c r="Q56" s="39">
        <f t="shared" si="8"/>
        <v>108.86856273623646</v>
      </c>
      <c r="R56" s="39">
        <f t="shared" si="8"/>
        <v>6.3667788661448235</v>
      </c>
      <c r="S56" s="39">
        <f t="shared" si="8"/>
        <v>18.446065258091764</v>
      </c>
      <c r="T56" s="39">
        <f t="shared" si="8"/>
        <v>38.197442278487969</v>
      </c>
      <c r="U56" s="39">
        <f t="shared" si="8"/>
        <v>33.946895500653689</v>
      </c>
      <c r="V56" s="39">
        <f t="shared" si="8"/>
        <v>884.35331558683617</v>
      </c>
      <c r="W56" s="39">
        <f t="shared" si="8"/>
        <v>28.671049354499296</v>
      </c>
      <c r="X56" s="39">
        <f t="shared" si="8"/>
        <v>89.141296184208485</v>
      </c>
      <c r="Y56" s="39">
        <f t="shared" si="8"/>
        <v>-14.21623934920518</v>
      </c>
      <c r="Z56" s="39">
        <f t="shared" si="8"/>
        <v>1.8677573544387871</v>
      </c>
      <c r="AA56" s="39">
        <f t="shared" si="8"/>
        <v>122.09774350237504</v>
      </c>
      <c r="AB56" s="39">
        <f t="shared" si="8"/>
        <v>5.2095743502757657</v>
      </c>
      <c r="AC56" s="39">
        <f t="shared" si="8"/>
        <v>24.23840110129175</v>
      </c>
      <c r="AD56" s="39">
        <f t="shared" si="8"/>
        <v>4.5030545467760597</v>
      </c>
      <c r="AE56" s="39">
        <f t="shared" si="8"/>
        <v>11.725649886446785</v>
      </c>
      <c r="AF56" s="39">
        <f t="shared" si="8"/>
        <v>1.6969007290962399</v>
      </c>
      <c r="AG56" s="39">
        <f t="shared" si="8"/>
        <v>5.007293366180626</v>
      </c>
      <c r="AH56" s="39">
        <f t="shared" si="8"/>
        <v>0.23683711686293088</v>
      </c>
      <c r="AI56" s="39">
        <f t="shared" si="8"/>
        <v>50.897332444297149</v>
      </c>
      <c r="AJ56" s="39">
        <f t="shared" si="8"/>
        <v>26.837155984190911</v>
      </c>
      <c r="AK56" s="39">
        <f t="shared" si="8"/>
        <v>31.907127265694733</v>
      </c>
      <c r="AL56" s="39">
        <f t="shared" si="8"/>
        <v>16.890526564562428</v>
      </c>
      <c r="AM56" s="39">
        <f t="shared" si="8"/>
        <v>66.421244126926723</v>
      </c>
      <c r="AN56" s="39">
        <f t="shared" si="8"/>
        <v>26.149237956658897</v>
      </c>
      <c r="AO56" s="39">
        <f t="shared" si="8"/>
        <v>125.80076645862815</v>
      </c>
      <c r="AP56" s="39">
        <f t="shared" si="8"/>
        <v>18.873654262887808</v>
      </c>
      <c r="AQ56" s="39">
        <f t="shared" si="8"/>
        <v>31.640563290096964</v>
      </c>
      <c r="AR56" s="39">
        <f t="shared" si="8"/>
        <v>336.67034201207042</v>
      </c>
    </row>
    <row r="57" spans="2:44" ht="14.4">
      <c r="B57" s="26" t="s">
        <v>231</v>
      </c>
      <c r="C57" s="26" t="s">
        <v>226</v>
      </c>
      <c r="D57" s="26" t="s">
        <v>215</v>
      </c>
      <c r="E57" s="26" t="s">
        <v>230</v>
      </c>
      <c r="F57" s="26">
        <v>2060</v>
      </c>
      <c r="H57" s="39">
        <f t="shared" si="9" ref="H57:AR57">(1+FV(-H$38,($F$56-$F$41),0,100,1)/100)*H147</f>
        <v>7.8631409720026806</v>
      </c>
      <c r="I57" s="39">
        <f t="shared" si="9"/>
        <v>160.45343325339093</v>
      </c>
      <c r="J57" s="39">
        <f t="shared" si="9"/>
        <v>20.205631307017249</v>
      </c>
      <c r="K57" s="39">
        <f t="shared" si="9"/>
        <v>7.8736319726376305</v>
      </c>
      <c r="L57" s="39">
        <f t="shared" si="9"/>
        <v>54.923676657182995</v>
      </c>
      <c r="M57" s="39">
        <f t="shared" si="9"/>
        <v>74.423033902893096</v>
      </c>
      <c r="N57" s="39">
        <f t="shared" si="9"/>
        <v>3.2455261074643476</v>
      </c>
      <c r="O57" s="39">
        <f t="shared" si="9"/>
        <v>126.79249117907105</v>
      </c>
      <c r="P57" s="39">
        <f t="shared" si="9"/>
        <v>1177.5493574911104</v>
      </c>
      <c r="Q57" s="39">
        <f t="shared" si="9"/>
        <v>79.054145476729474</v>
      </c>
      <c r="R57" s="39">
        <f t="shared" si="9"/>
        <v>9.4120612174649239</v>
      </c>
      <c r="S57" s="39">
        <f t="shared" si="9"/>
        <v>67.131867599001666</v>
      </c>
      <c r="T57" s="39">
        <f t="shared" si="9"/>
        <v>67.901096877786841</v>
      </c>
      <c r="U57" s="39">
        <f t="shared" si="9"/>
        <v>62.089476955521846</v>
      </c>
      <c r="V57" s="39">
        <f t="shared" si="9"/>
        <v>598.13512083460876</v>
      </c>
      <c r="W57" s="39">
        <f t="shared" si="9"/>
        <v>52.093638056920064</v>
      </c>
      <c r="X57" s="39">
        <f t="shared" si="9"/>
        <v>120.10200930740373</v>
      </c>
      <c r="Y57" s="39">
        <f t="shared" si="9"/>
        <v>-12.89982170862184</v>
      </c>
      <c r="Z57" s="39">
        <f t="shared" si="9"/>
        <v>3.4161614930207778</v>
      </c>
      <c r="AA57" s="39">
        <f t="shared" si="9"/>
        <v>171.26716750888539</v>
      </c>
      <c r="AB57" s="39">
        <f t="shared" si="9"/>
        <v>11.894031352630153</v>
      </c>
      <c r="AC57" s="39">
        <f t="shared" si="9"/>
        <v>25.902881976050281</v>
      </c>
      <c r="AD57" s="39">
        <f t="shared" si="9"/>
        <v>4.1416926326929708</v>
      </c>
      <c r="AE57" s="39">
        <f t="shared" si="9"/>
        <v>14.22060344120619</v>
      </c>
      <c r="AF57" s="39">
        <f t="shared" si="9"/>
        <v>3.8742110424248444</v>
      </c>
      <c r="AG57" s="39">
        <f t="shared" si="9"/>
        <v>10.365868262399133</v>
      </c>
      <c r="AH57" s="39">
        <f t="shared" si="9"/>
        <v>0.24830143821244766</v>
      </c>
      <c r="AI57" s="39">
        <f t="shared" si="9"/>
        <v>57.285058876920658</v>
      </c>
      <c r="AJ57" s="39">
        <f t="shared" si="9"/>
        <v>35.704039056441729</v>
      </c>
      <c r="AK57" s="39">
        <f t="shared" si="9"/>
        <v>35.404214888164624</v>
      </c>
      <c r="AL57" s="39">
        <f t="shared" si="9"/>
        <v>22.848649449732555</v>
      </c>
      <c r="AM57" s="39">
        <f t="shared" si="9"/>
        <v>192.45793148602573</v>
      </c>
      <c r="AN57" s="39">
        <f t="shared" si="9"/>
        <v>59.701586961211973</v>
      </c>
      <c r="AO57" s="39">
        <f t="shared" si="9"/>
        <v>114.09135811275401</v>
      </c>
      <c r="AP57" s="39">
        <f t="shared" si="9"/>
        <v>12.615718275700536</v>
      </c>
      <c r="AQ57" s="39">
        <f t="shared" si="9"/>
        <v>40.653264619981726</v>
      </c>
      <c r="AR57" s="39">
        <f t="shared" si="9"/>
        <v>211.84434945611969</v>
      </c>
    </row>
    <row r="58" spans="2:44" ht="14.4">
      <c r="B58" s="26" t="s">
        <v>231</v>
      </c>
      <c r="C58" s="26" t="s">
        <v>226</v>
      </c>
      <c r="D58" s="26" t="s">
        <v>216</v>
      </c>
      <c r="E58" s="26" t="s">
        <v>230</v>
      </c>
      <c r="F58" s="26">
        <v>2060</v>
      </c>
      <c r="H58" s="39">
        <f t="shared" si="10" ref="H58:AR58">(1+FV(-H$38,($F$56-$F$41),0,100,1)/100)*H148</f>
        <v>6.2654799677481812</v>
      </c>
      <c r="I58" s="39">
        <f t="shared" si="10"/>
        <v>82.557393937920182</v>
      </c>
      <c r="J58" s="39">
        <f t="shared" si="10"/>
        <v>15.085672143173953</v>
      </c>
      <c r="K58" s="39">
        <f t="shared" si="10"/>
        <v>4.2611130891103768</v>
      </c>
      <c r="L58" s="39">
        <f t="shared" si="10"/>
        <v>31.844199609478625</v>
      </c>
      <c r="M58" s="39">
        <f t="shared" si="10"/>
        <v>38.292553816990107</v>
      </c>
      <c r="N58" s="39">
        <f t="shared" si="10"/>
        <v>4.3935591858499263</v>
      </c>
      <c r="O58" s="39">
        <f t="shared" si="10"/>
        <v>51.953569779278254</v>
      </c>
      <c r="P58" s="39">
        <f t="shared" si="10"/>
        <v>606.96556645485862</v>
      </c>
      <c r="Q58" s="39">
        <f t="shared" si="10"/>
        <v>48.832864158801392</v>
      </c>
      <c r="R58" s="39">
        <f t="shared" si="10"/>
        <v>7.3109178829952626</v>
      </c>
      <c r="S58" s="39">
        <f t="shared" si="10"/>
        <v>53.491775505067842</v>
      </c>
      <c r="T58" s="39">
        <f t="shared" si="10"/>
        <v>56.062276323223621</v>
      </c>
      <c r="U58" s="39">
        <f t="shared" si="10"/>
        <v>49.320392122691736</v>
      </c>
      <c r="V58" s="39">
        <f t="shared" si="10"/>
        <v>660.68952108759811</v>
      </c>
      <c r="W58" s="39">
        <f t="shared" si="10"/>
        <v>40.240173159728734</v>
      </c>
      <c r="X58" s="39">
        <f t="shared" si="10"/>
        <v>72.03097649329959</v>
      </c>
      <c r="Y58" s="39">
        <f t="shared" si="10"/>
        <v>-10.901290047157234</v>
      </c>
      <c r="Z58" s="39">
        <f t="shared" si="10"/>
        <v>2.713606759981575</v>
      </c>
      <c r="AA58" s="39">
        <f t="shared" si="10"/>
        <v>96.896490216663622</v>
      </c>
      <c r="AB58" s="39">
        <f t="shared" si="10"/>
        <v>8.880170815751546</v>
      </c>
      <c r="AC58" s="39">
        <f t="shared" si="10"/>
        <v>17.050859406859768</v>
      </c>
      <c r="AD58" s="39">
        <f t="shared" si="10"/>
        <v>2.2365809567738224</v>
      </c>
      <c r="AE58" s="39">
        <f t="shared" si="10"/>
        <v>11.496724287242044</v>
      </c>
      <c r="AF58" s="39">
        <f t="shared" si="10"/>
        <v>2.892514305117909</v>
      </c>
      <c r="AG58" s="39">
        <f t="shared" si="10"/>
        <v>6.0100269713139509</v>
      </c>
      <c r="AH58" s="39">
        <f t="shared" si="10"/>
        <v>0.16315364243355523</v>
      </c>
      <c r="AI58" s="39">
        <f t="shared" si="10"/>
        <v>35.294386028764038</v>
      </c>
      <c r="AJ58" s="39">
        <f t="shared" si="10"/>
        <v>22.918797475930674</v>
      </c>
      <c r="AK58" s="39">
        <f t="shared" si="10"/>
        <v>20.347232285733959</v>
      </c>
      <c r="AL58" s="39">
        <f t="shared" si="10"/>
        <v>25.606736284297718</v>
      </c>
      <c r="AM58" s="39">
        <f t="shared" si="10"/>
        <v>138.8488037835757</v>
      </c>
      <c r="AN58" s="39">
        <f t="shared" si="10"/>
        <v>44.573641557601107</v>
      </c>
      <c r="AO58" s="39">
        <f t="shared" si="10"/>
        <v>62.085143140934825</v>
      </c>
      <c r="AP58" s="39">
        <f t="shared" si="10"/>
        <v>10.860581743749851</v>
      </c>
      <c r="AQ58" s="39">
        <f t="shared" si="10"/>
        <v>16.640169862437478</v>
      </c>
      <c r="AR58" s="39">
        <f t="shared" si="10"/>
        <v>93.06869815590845</v>
      </c>
    </row>
    <row r="59" spans="2:44" ht="14.4">
      <c r="B59" s="26" t="s">
        <v>231</v>
      </c>
      <c r="C59" s="26" t="s">
        <v>226</v>
      </c>
      <c r="D59" s="26" t="s">
        <v>217</v>
      </c>
      <c r="E59" s="26" t="s">
        <v>230</v>
      </c>
      <c r="F59" s="26">
        <v>2060</v>
      </c>
      <c r="H59" s="39">
        <f t="shared" si="11" ref="H59:AR59">(1+FV(-H$38,($F$56-$F$41),0,100,1)/100)*H149</f>
        <v>4.7961521834184779</v>
      </c>
      <c r="I59" s="39">
        <f t="shared" si="11"/>
        <v>65.50438174339719</v>
      </c>
      <c r="J59" s="39">
        <f t="shared" si="11"/>
        <v>12.74976777220529</v>
      </c>
      <c r="K59" s="39">
        <f t="shared" si="11"/>
        <v>4.2611130891103768</v>
      </c>
      <c r="L59" s="39">
        <f t="shared" si="11"/>
        <v>30.007936933207489</v>
      </c>
      <c r="M59" s="39">
        <f t="shared" si="11"/>
        <v>30.382863890348517</v>
      </c>
      <c r="N59" s="39">
        <f t="shared" si="11"/>
        <v>6.3426486886071096</v>
      </c>
      <c r="O59" s="39">
        <f t="shared" si="11"/>
        <v>60.219148006464494</v>
      </c>
      <c r="P59" s="39">
        <f t="shared" si="11"/>
        <v>423.04165406826752</v>
      </c>
      <c r="Q59" s="39">
        <f t="shared" si="11"/>
        <v>20.001555410458078</v>
      </c>
      <c r="R59" s="39">
        <f t="shared" si="11"/>
        <v>6.8755276957066167</v>
      </c>
      <c r="S59" s="39">
        <f t="shared" si="11"/>
        <v>40.947333197805946</v>
      </c>
      <c r="T59" s="39">
        <f t="shared" si="11"/>
        <v>35.520465373440999</v>
      </c>
      <c r="U59" s="39">
        <f t="shared" si="11"/>
        <v>39.079885846095706</v>
      </c>
      <c r="V59" s="39">
        <f t="shared" si="11"/>
        <v>486.88848274812034</v>
      </c>
      <c r="W59" s="39">
        <f t="shared" si="11"/>
        <v>31.903058554461172</v>
      </c>
      <c r="X59" s="39">
        <f t="shared" si="11"/>
        <v>97.919738751808538</v>
      </c>
      <c r="Y59" s="39">
        <f t="shared" si="11"/>
        <v>-9.4873302655109963</v>
      </c>
      <c r="Z59" s="39">
        <f t="shared" si="11"/>
        <v>2.1501743568353051</v>
      </c>
      <c r="AA59" s="39">
        <f t="shared" si="11"/>
        <v>70.193037322791781</v>
      </c>
      <c r="AB59" s="39">
        <f t="shared" si="11"/>
        <v>7.5051422703480464</v>
      </c>
      <c r="AC59" s="39">
        <f t="shared" si="11"/>
        <v>17.050859406859768</v>
      </c>
      <c r="AD59" s="39">
        <f t="shared" si="11"/>
        <v>1.7383542440553184</v>
      </c>
      <c r="AE59" s="39">
        <f t="shared" si="11"/>
        <v>11.097711731240462</v>
      </c>
      <c r="AF59" s="39">
        <f t="shared" si="11"/>
        <v>2.444629932165284</v>
      </c>
      <c r="AG59" s="39">
        <f t="shared" si="11"/>
        <v>5.6634650119572711</v>
      </c>
      <c r="AH59" s="39">
        <f t="shared" si="11"/>
        <v>0.18740732718438058</v>
      </c>
      <c r="AI59" s="39">
        <f t="shared" si="11"/>
        <v>34.329819097336234</v>
      </c>
      <c r="AJ59" s="39">
        <f t="shared" si="11"/>
        <v>19.277158406565135</v>
      </c>
      <c r="AK59" s="39">
        <f t="shared" si="11"/>
        <v>21.034515210309092</v>
      </c>
      <c r="AL59" s="39">
        <f t="shared" si="11"/>
        <v>21.885962702992511</v>
      </c>
      <c r="AM59" s="39">
        <f t="shared" si="11"/>
        <v>189.95772273179853</v>
      </c>
      <c r="AN59" s="39">
        <f t="shared" si="11"/>
        <v>37.671743971851129</v>
      </c>
      <c r="AO59" s="39">
        <f t="shared" si="11"/>
        <v>42.769203895339849</v>
      </c>
      <c r="AP59" s="39">
        <f t="shared" si="11"/>
        <v>5.9000101732746693</v>
      </c>
      <c r="AQ59" s="39">
        <f t="shared" si="11"/>
        <v>19.302343663829689</v>
      </c>
      <c r="AR59" s="39">
        <f t="shared" si="11"/>
        <v>66.078079540044968</v>
      </c>
    </row>
    <row r="60" spans="2:44" ht="14.4">
      <c r="B60" s="26" t="s">
        <v>231</v>
      </c>
      <c r="C60" s="26" t="s">
        <v>226</v>
      </c>
      <c r="D60" s="26" t="s">
        <v>218</v>
      </c>
      <c r="E60" s="26" t="s">
        <v>230</v>
      </c>
      <c r="F60" s="26">
        <v>2060</v>
      </c>
      <c r="H60" s="39">
        <f t="shared" si="12" ref="H60:AR60">(1+FV(-H$38,($F$56-$F$41),0,100,1)/100)*H150</f>
        <v>3.2266043314946868</v>
      </c>
      <c r="I60" s="39">
        <f t="shared" si="12"/>
        <v>78.180723434686612</v>
      </c>
      <c r="J60" s="39">
        <f t="shared" si="12"/>
        <v>6.2491361010084017</v>
      </c>
      <c r="K60" s="39">
        <f t="shared" si="12"/>
        <v>3.1388235768471469</v>
      </c>
      <c r="L60" s="39">
        <f t="shared" si="12"/>
        <v>17.330122070044155</v>
      </c>
      <c r="M60" s="39">
        <f t="shared" si="12"/>
        <v>36.26252497535399</v>
      </c>
      <c r="N60" s="39">
        <f t="shared" si="12"/>
        <v>5.4690566279667161</v>
      </c>
      <c r="O60" s="39">
        <f t="shared" si="12"/>
        <v>31.084679031772865</v>
      </c>
      <c r="P60" s="39">
        <f t="shared" si="12"/>
        <v>389.35156153757646</v>
      </c>
      <c r="Q60" s="39">
        <f t="shared" si="12"/>
        <v>20.017410636775988</v>
      </c>
      <c r="R60" s="39">
        <f t="shared" si="12"/>
        <v>2.2308077291283404</v>
      </c>
      <c r="S60" s="39">
        <f t="shared" si="12"/>
        <v>27.547258220031473</v>
      </c>
      <c r="T60" s="39">
        <f t="shared" si="12"/>
        <v>35.171192352312133</v>
      </c>
      <c r="U60" s="39">
        <f t="shared" si="12"/>
        <v>28.534391680103038</v>
      </c>
      <c r="V60" s="39">
        <f t="shared" si="12"/>
        <v>293.29562719182013</v>
      </c>
      <c r="W60" s="39">
        <f t="shared" si="12"/>
        <v>17.076650716034273</v>
      </c>
      <c r="X60" s="39">
        <f t="shared" si="12"/>
        <v>40.387319203369785</v>
      </c>
      <c r="Y60" s="39">
        <f t="shared" si="12"/>
        <v>-12.326899422002425</v>
      </c>
      <c r="Z60" s="39">
        <f t="shared" si="12"/>
        <v>1.5699615275253351</v>
      </c>
      <c r="AA60" s="39">
        <f t="shared" si="12"/>
        <v>25.971160505611522</v>
      </c>
      <c r="AB60" s="39">
        <f t="shared" si="12"/>
        <v>3.6785497855953282</v>
      </c>
      <c r="AC60" s="39">
        <f t="shared" si="12"/>
        <v>5.3022667770517371</v>
      </c>
      <c r="AD60" s="39">
        <f t="shared" si="12"/>
        <v>1.383066642586263</v>
      </c>
      <c r="AE60" s="39">
        <f t="shared" si="12"/>
        <v>3.473768002808201</v>
      </c>
      <c r="AF60" s="39">
        <f t="shared" si="12"/>
        <v>1.1982041897267737</v>
      </c>
      <c r="AG60" s="39">
        <f t="shared" si="12"/>
        <v>3.270752675037456</v>
      </c>
      <c r="AH60" s="39">
        <f t="shared" si="12"/>
        <v>0.18149496568567725</v>
      </c>
      <c r="AI60" s="39">
        <f t="shared" si="12"/>
        <v>30.284820859847866</v>
      </c>
      <c r="AJ60" s="39">
        <f t="shared" si="12"/>
        <v>21.231598323715058</v>
      </c>
      <c r="AK60" s="39">
        <f t="shared" si="12"/>
        <v>21.034515210309092</v>
      </c>
      <c r="AL60" s="39">
        <f t="shared" si="12"/>
        <v>23.835249301171615</v>
      </c>
      <c r="AM60" s="39">
        <f t="shared" si="12"/>
        <v>26.159161143873924</v>
      </c>
      <c r="AN60" s="39">
        <f t="shared" si="12"/>
        <v>18.464324954659148</v>
      </c>
      <c r="AO60" s="39">
        <f t="shared" si="12"/>
        <v>35.018848923258169</v>
      </c>
      <c r="AP60" s="39">
        <f t="shared" si="12"/>
        <v>5.9000101732746693</v>
      </c>
      <c r="AQ60" s="39">
        <f t="shared" si="12"/>
        <v>10.269846063670652</v>
      </c>
      <c r="AR60" s="39">
        <f t="shared" si="12"/>
        <v>66.078079540044968</v>
      </c>
    </row>
    <row r="61" spans="2:44" ht="14.4">
      <c r="B61" s="26" t="s">
        <v>231</v>
      </c>
      <c r="C61" s="26" t="s">
        <v>226</v>
      </c>
      <c r="D61" s="26" t="s">
        <v>208</v>
      </c>
      <c r="E61" s="26" t="s">
        <v>230</v>
      </c>
      <c r="F61" s="26">
        <v>2060</v>
      </c>
      <c r="H61" s="39">
        <f t="shared" si="13" ref="H61:AR61">(1+FV(-H$38,($F$56-$F$41),0,100,1)/100)*H151</f>
        <v>4.9776618086362898</v>
      </c>
      <c r="I61" s="39">
        <f t="shared" si="13"/>
        <v>192.33581577908657</v>
      </c>
      <c r="J61" s="39">
        <f t="shared" si="13"/>
        <v>10.757556782606045</v>
      </c>
      <c r="K61" s="39">
        <f t="shared" si="13"/>
        <v>13.503505406067362</v>
      </c>
      <c r="L61" s="39">
        <f t="shared" si="13"/>
        <v>33.419948911069241</v>
      </c>
      <c r="M61" s="39">
        <f t="shared" si="13"/>
        <v>120.81556388773492</v>
      </c>
      <c r="N61" s="39">
        <f t="shared" si="13"/>
        <v>0.76881331800873232</v>
      </c>
      <c r="O61" s="39">
        <f t="shared" si="13"/>
        <v>200.70325744955335</v>
      </c>
      <c r="P61" s="39">
        <f t="shared" si="13"/>
        <v>1856.5112798504026</v>
      </c>
      <c r="Q61" s="39">
        <f t="shared" si="13"/>
        <v>116.43241318400347</v>
      </c>
      <c r="R61" s="39">
        <f t="shared" si="13"/>
        <v>27.83180229000568</v>
      </c>
      <c r="S61" s="39">
        <f t="shared" si="13"/>
        <v>42.496978583975682</v>
      </c>
      <c r="T61" s="39">
        <f t="shared" si="13"/>
        <v>291.80907938129252</v>
      </c>
      <c r="U61" s="39">
        <f t="shared" si="13"/>
        <v>47.491465976934563</v>
      </c>
      <c r="V61" s="39">
        <f t="shared" si="13"/>
        <v>1291.0176114857318</v>
      </c>
      <c r="W61" s="39">
        <f t="shared" si="13"/>
        <v>22.763647975438282</v>
      </c>
      <c r="X61" s="39">
        <f t="shared" si="13"/>
        <v>76.271279256345807</v>
      </c>
      <c r="Y61" s="39">
        <f t="shared" si="13"/>
        <v>-4.5235504684557801</v>
      </c>
      <c r="Z61" s="39">
        <f t="shared" si="13"/>
        <v>2.8782782137652574</v>
      </c>
      <c r="AA61" s="39">
        <f t="shared" si="13"/>
        <v>985.65231151665375</v>
      </c>
      <c r="AB61" s="39">
        <f t="shared" si="13"/>
        <v>6.3324286039792979</v>
      </c>
      <c r="AC61" s="39">
        <f t="shared" si="13"/>
        <v>67.476041030280911</v>
      </c>
      <c r="AD61" s="39">
        <f t="shared" si="13"/>
        <v>5.8535585431763657</v>
      </c>
      <c r="AE61" s="39">
        <f t="shared" si="13"/>
        <v>36.651082717900799</v>
      </c>
      <c r="AF61" s="39">
        <f t="shared" si="13"/>
        <v>3.9094057694446112</v>
      </c>
      <c r="AG61" s="39">
        <f t="shared" si="13"/>
        <v>6.9184893173227486</v>
      </c>
      <c r="AH61" s="39">
        <f t="shared" si="13"/>
        <v>1.0842799563447398</v>
      </c>
      <c r="AI61" s="39">
        <f t="shared" si="13"/>
        <v>138.38905170868844</v>
      </c>
      <c r="AJ61" s="39">
        <f t="shared" si="13"/>
        <v>66.66635241674571</v>
      </c>
      <c r="AK61" s="39">
        <f t="shared" si="13"/>
        <v>64.624238565658985</v>
      </c>
      <c r="AL61" s="39">
        <f t="shared" si="13"/>
        <v>21.212756892275266</v>
      </c>
      <c r="AM61" s="39">
        <f t="shared" si="13"/>
        <v>64.761171274287008</v>
      </c>
      <c r="AN61" s="39">
        <f t="shared" si="13"/>
        <v>31.785357358464811</v>
      </c>
      <c r="AO61" s="39">
        <f t="shared" si="13"/>
        <v>258.9997766910293</v>
      </c>
      <c r="AP61" s="39">
        <f t="shared" si="13"/>
        <v>44.644973537856607</v>
      </c>
      <c r="AQ61" s="39">
        <f t="shared" si="13"/>
        <v>42.555766332894983</v>
      </c>
      <c r="AR61" s="39">
        <f t="shared" si="13"/>
        <v>347.02843036639763</v>
      </c>
    </row>
    <row r="62" spans="2:44" ht="14.4">
      <c r="B62" s="26" t="s">
        <v>231</v>
      </c>
      <c r="C62" s="26" t="s">
        <v>226</v>
      </c>
      <c r="D62" s="26" t="s">
        <v>209</v>
      </c>
      <c r="E62" s="26" t="s">
        <v>230</v>
      </c>
      <c r="F62" s="26">
        <v>2060</v>
      </c>
      <c r="H62" s="39">
        <f t="shared" si="14" ref="H62:AR62">(1+FV(-H$38,($F$56-$F$41),0,100,1)/100)*H152</f>
        <v>18.115502076704022</v>
      </c>
      <c r="I62" s="39">
        <f t="shared" si="14"/>
        <v>232.05822377919947</v>
      </c>
      <c r="J62" s="39">
        <f t="shared" si="14"/>
        <v>24.560685585232612</v>
      </c>
      <c r="K62" s="39">
        <f t="shared" si="14"/>
        <v>7.501947444461841</v>
      </c>
      <c r="L62" s="39">
        <f t="shared" si="14"/>
        <v>69.184440058581103</v>
      </c>
      <c r="M62" s="39">
        <f t="shared" si="14"/>
        <v>145.76715754736003</v>
      </c>
      <c r="N62" s="39">
        <f t="shared" si="14"/>
        <v>2.5615651653745806</v>
      </c>
      <c r="O62" s="39">
        <f t="shared" si="14"/>
        <v>272.5860372635716</v>
      </c>
      <c r="P62" s="39">
        <f t="shared" si="14"/>
        <v>2818.0076947189796</v>
      </c>
      <c r="Q62" s="39">
        <f t="shared" si="14"/>
        <v>84.54658258284519</v>
      </c>
      <c r="R62" s="39">
        <f t="shared" si="14"/>
        <v>41.143980724515281</v>
      </c>
      <c r="S62" s="39">
        <f t="shared" si="14"/>
        <v>154.66179370722867</v>
      </c>
      <c r="T62" s="39">
        <f t="shared" si="14"/>
        <v>518.72993025100618</v>
      </c>
      <c r="U62" s="39">
        <f t="shared" si="14"/>
        <v>86.862737781192536</v>
      </c>
      <c r="V62" s="39">
        <f t="shared" si="14"/>
        <v>873.18378462030637</v>
      </c>
      <c r="W62" s="39">
        <f t="shared" si="14"/>
        <v>41.360231494335927</v>
      </c>
      <c r="X62" s="39">
        <f t="shared" si="14"/>
        <v>102.76195526934697</v>
      </c>
      <c r="Y62" s="39">
        <f t="shared" si="14"/>
        <v>-4.1046716434395831</v>
      </c>
      <c r="Z62" s="39">
        <f t="shared" si="14"/>
        <v>5.2644221567099434</v>
      </c>
      <c r="AA62" s="39">
        <f t="shared" si="14"/>
        <v>1382.5798470940556</v>
      </c>
      <c r="AB62" s="39">
        <f t="shared" si="14"/>
        <v>14.457631140255192</v>
      </c>
      <c r="AC62" s="39">
        <f t="shared" si="14"/>
        <v>72.109703924543851</v>
      </c>
      <c r="AD62" s="39">
        <f t="shared" si="14"/>
        <v>5.3838211466187262</v>
      </c>
      <c r="AE62" s="39">
        <f t="shared" si="14"/>
        <v>44.449605614145739</v>
      </c>
      <c r="AF62" s="39">
        <f t="shared" si="14"/>
        <v>8.9256034496303833</v>
      </c>
      <c r="AG62" s="39">
        <f t="shared" si="14"/>
        <v>14.322338156289305</v>
      </c>
      <c r="AH62" s="39">
        <f t="shared" si="14"/>
        <v>1.1367655380686958</v>
      </c>
      <c r="AI62" s="39">
        <f t="shared" si="14"/>
        <v>155.75718007873147</v>
      </c>
      <c r="AJ62" s="39">
        <f t="shared" si="14"/>
        <v>88.692633893104897</v>
      </c>
      <c r="AK62" s="39">
        <f t="shared" si="14"/>
        <v>71.707189748246066</v>
      </c>
      <c r="AL62" s="39">
        <f t="shared" si="14"/>
        <v>28.69554387433346</v>
      </c>
      <c r="AM62" s="39">
        <f t="shared" si="14"/>
        <v>187.64781099619171</v>
      </c>
      <c r="AN62" s="39">
        <f t="shared" si="14"/>
        <v>72.569467591171545</v>
      </c>
      <c r="AO62" s="39">
        <f t="shared" si="14"/>
        <v>234.89233893735855</v>
      </c>
      <c r="AP62" s="39">
        <f t="shared" si="14"/>
        <v>29.842043344367625</v>
      </c>
      <c r="AQ62" s="39">
        <f t="shared" si="14"/>
        <v>54.67762422481124</v>
      </c>
      <c r="AR62" s="39">
        <f t="shared" si="14"/>
        <v>218.36200846914025</v>
      </c>
    </row>
    <row r="63" spans="2:44" ht="14.4">
      <c r="B63" s="26" t="s">
        <v>231</v>
      </c>
      <c r="C63" s="26" t="s">
        <v>226</v>
      </c>
      <c r="D63" s="26" t="s">
        <v>210</v>
      </c>
      <c r="E63" s="26" t="s">
        <v>230</v>
      </c>
      <c r="F63" s="26">
        <v>2060</v>
      </c>
      <c r="H63" s="39">
        <f t="shared" si="15" ref="H63:AR63">(1+FV(-H$38,($F$56-$F$41),0,100,1)/100)*H153</f>
        <v>14.434729807264475</v>
      </c>
      <c r="I63" s="39">
        <f t="shared" si="15"/>
        <v>119.39988947957562</v>
      </c>
      <c r="J63" s="39">
        <f t="shared" si="15"/>
        <v>18.337187525624184</v>
      </c>
      <c r="K63" s="39">
        <f t="shared" si="15"/>
        <v>4.0599619794911295</v>
      </c>
      <c r="L63" s="39">
        <f t="shared" si="15"/>
        <v>40.112447912886147</v>
      </c>
      <c r="M63" s="39">
        <f t="shared" si="15"/>
        <v>75.000929583374457</v>
      </c>
      <c r="N63" s="39">
        <f t="shared" si="15"/>
        <v>3.4676621878347675</v>
      </c>
      <c r="O63" s="39">
        <f t="shared" si="15"/>
        <v>111.69287373515627</v>
      </c>
      <c r="P63" s="39">
        <f t="shared" si="15"/>
        <v>1452.5366820661502</v>
      </c>
      <c r="Q63" s="39">
        <f t="shared" si="15"/>
        <v>52.225620269012659</v>
      </c>
      <c r="R63" s="39">
        <f t="shared" si="15"/>
        <v>31.95902125012859</v>
      </c>
      <c r="S63" s="39">
        <f t="shared" si="15"/>
        <v>123.23705929970602</v>
      </c>
      <c r="T63" s="39">
        <f t="shared" si="15"/>
        <v>428.28734768748848</v>
      </c>
      <c r="U63" s="39">
        <f t="shared" si="15"/>
        <v>68.998878687412528</v>
      </c>
      <c r="V63" s="39">
        <f t="shared" si="15"/>
        <v>964.50343139400138</v>
      </c>
      <c r="W63" s="39">
        <f t="shared" si="15"/>
        <v>31.949062099291293</v>
      </c>
      <c r="X63" s="39">
        <f t="shared" si="15"/>
        <v>61.631308477663673</v>
      </c>
      <c r="Y63" s="39">
        <f t="shared" si="15"/>
        <v>-3.4687468667547052</v>
      </c>
      <c r="Z63" s="39">
        <f t="shared" si="15"/>
        <v>4.1817611904560996</v>
      </c>
      <c r="AA63" s="39">
        <f t="shared" si="15"/>
        <v>782.21142193383503</v>
      </c>
      <c r="AB63" s="39">
        <f t="shared" si="15"/>
        <v>10.794173170579787</v>
      </c>
      <c r="AC63" s="39">
        <f t="shared" si="15"/>
        <v>47.467012536462377</v>
      </c>
      <c r="AD63" s="39">
        <f t="shared" si="15"/>
        <v>2.9073504287000387</v>
      </c>
      <c r="AE63" s="39">
        <f t="shared" si="15"/>
        <v>35.935525699402689</v>
      </c>
      <c r="AF63" s="39">
        <f t="shared" si="15"/>
        <v>6.6639208285634801</v>
      </c>
      <c r="AG63" s="39">
        <f t="shared" si="15"/>
        <v>8.3039487318021656</v>
      </c>
      <c r="AH63" s="39">
        <f t="shared" si="15"/>
        <v>0.74694467927391328</v>
      </c>
      <c r="AI63" s="39">
        <f t="shared" si="15"/>
        <v>95.964884181436162</v>
      </c>
      <c r="AJ63" s="39">
        <f t="shared" si="15"/>
        <v>56.932732752996117</v>
      </c>
      <c r="AK63" s="39">
        <f t="shared" si="15"/>
        <v>41.210992842903437</v>
      </c>
      <c r="AL63" s="39">
        <f t="shared" si="15"/>
        <v>32.159416080198703</v>
      </c>
      <c r="AM63" s="39">
        <f t="shared" si="15"/>
        <v>135.37854162856155</v>
      </c>
      <c r="AN63" s="39">
        <f t="shared" si="15"/>
        <v>54.180895367763078</v>
      </c>
      <c r="AO63" s="39">
        <f t="shared" si="15"/>
        <v>127.8214645426732</v>
      </c>
      <c r="AP63" s="39">
        <f t="shared" si="15"/>
        <v>25.69032884685539</v>
      </c>
      <c r="AQ63" s="39">
        <f t="shared" si="15"/>
        <v>22.380612314421267</v>
      </c>
      <c r="AR63" s="39">
        <f t="shared" si="15"/>
        <v>95.932074219151417</v>
      </c>
    </row>
    <row r="64" spans="2:44" ht="14.4">
      <c r="B64" s="26" t="s">
        <v>231</v>
      </c>
      <c r="C64" s="26" t="s">
        <v>226</v>
      </c>
      <c r="D64" s="26" t="s">
        <v>211</v>
      </c>
      <c r="E64" s="26" t="s">
        <v>230</v>
      </c>
      <c r="F64" s="26">
        <v>2060</v>
      </c>
      <c r="H64" s="39">
        <f t="shared" si="16" ref="H64:AR64">(1+FV(-H$38,($F$56-$F$41),0,100,1)/100)*H154</f>
        <v>11.04961810404591</v>
      </c>
      <c r="I64" s="39">
        <f t="shared" si="16"/>
        <v>94.736710638792857</v>
      </c>
      <c r="J64" s="39">
        <f t="shared" si="16"/>
        <v>15.497810129254091</v>
      </c>
      <c r="K64" s="39">
        <f t="shared" si="16"/>
        <v>4.0599619794911295</v>
      </c>
      <c r="L64" s="39">
        <f t="shared" si="16"/>
        <v>37.799405291008519</v>
      </c>
      <c r="M64" s="39">
        <f t="shared" si="16"/>
        <v>59.508776721238469</v>
      </c>
      <c r="N64" s="39">
        <f t="shared" si="16"/>
        <v>5.0060013073314273</v>
      </c>
      <c r="O64" s="39">
        <f t="shared" si="16"/>
        <v>129.46270532130876</v>
      </c>
      <c r="P64" s="39">
        <f t="shared" si="16"/>
        <v>1012.3861295215609</v>
      </c>
      <c r="Q64" s="39">
        <f t="shared" si="16"/>
        <v>21.391201512556115</v>
      </c>
      <c r="R64" s="39">
        <f t="shared" si="16"/>
        <v>30.055752129842027</v>
      </c>
      <c r="S64" s="39">
        <f t="shared" si="16"/>
        <v>94.33653831484321</v>
      </c>
      <c r="T64" s="39">
        <f t="shared" si="16"/>
        <v>271.35833400176085</v>
      </c>
      <c r="U64" s="39">
        <f t="shared" si="16"/>
        <v>54.672483055382848</v>
      </c>
      <c r="V64" s="39">
        <f t="shared" si="16"/>
        <v>710.78108147339299</v>
      </c>
      <c r="W64" s="39">
        <f t="shared" si="16"/>
        <v>25.329731929033155</v>
      </c>
      <c r="X64" s="39">
        <f t="shared" si="16"/>
        <v>83.78231031792717</v>
      </c>
      <c r="Y64" s="39">
        <f t="shared" si="16"/>
        <v>-3.0188305228095742</v>
      </c>
      <c r="Z64" s="39">
        <f t="shared" si="16"/>
        <v>3.3134925114163858</v>
      </c>
      <c r="AA64" s="39">
        <f t="shared" si="16"/>
        <v>566.64380114640426</v>
      </c>
      <c r="AB64" s="39">
        <f t="shared" si="16"/>
        <v>9.1227755655642753</v>
      </c>
      <c r="AC64" s="39">
        <f t="shared" si="16"/>
        <v>47.467012536462377</v>
      </c>
      <c r="AD64" s="39">
        <f t="shared" si="16"/>
        <v>2.2597013273228264</v>
      </c>
      <c r="AE64" s="39">
        <f t="shared" si="16"/>
        <v>34.688324705247247</v>
      </c>
      <c r="AF64" s="39">
        <f t="shared" si="16"/>
        <v>5.6320621454703099</v>
      </c>
      <c r="AG64" s="39">
        <f t="shared" si="16"/>
        <v>7.82511015809414</v>
      </c>
      <c r="AH64" s="39">
        <f t="shared" si="16"/>
        <v>0.85798210698438426</v>
      </c>
      <c r="AI64" s="39">
        <f t="shared" si="16"/>
        <v>93.342241765040029</v>
      </c>
      <c r="AJ64" s="39">
        <f t="shared" si="16"/>
        <v>47.886513633655539</v>
      </c>
      <c r="AK64" s="39">
        <f t="shared" si="16"/>
        <v>42.603005834546181</v>
      </c>
      <c r="AL64" s="39">
        <f t="shared" si="16"/>
        <v>27.486508747811286</v>
      </c>
      <c r="AM64" s="39">
        <f t="shared" si="16"/>
        <v>185.21009021148978</v>
      </c>
      <c r="AN64" s="39">
        <f t="shared" si="16"/>
        <v>45.791385831072112</v>
      </c>
      <c r="AO64" s="39">
        <f t="shared" si="16"/>
        <v>88.05363091161334</v>
      </c>
      <c r="AP64" s="39">
        <f t="shared" si="16"/>
        <v>13.956269114078323</v>
      </c>
      <c r="AQ64" s="39">
        <f t="shared" si="16"/>
        <v>25.96116949954126</v>
      </c>
      <c r="AR64" s="39">
        <f t="shared" si="16"/>
        <v>68.111055126993321</v>
      </c>
    </row>
    <row r="65" spans="2:44" ht="14.4">
      <c r="B65" s="26" t="s">
        <v>231</v>
      </c>
      <c r="C65" s="26" t="s">
        <v>226</v>
      </c>
      <c r="D65" s="26" t="s">
        <v>212</v>
      </c>
      <c r="E65" s="26" t="s">
        <v>230</v>
      </c>
      <c r="F65" s="26">
        <v>2060</v>
      </c>
      <c r="H65" s="39">
        <f t="shared" si="17" ref="H65:AR65">(1+FV(-H$38,($F$56-$F$41),0,100,1)/100)*H155</f>
        <v>7.4336143375803054</v>
      </c>
      <c r="I65" s="39">
        <f t="shared" si="17"/>
        <v>113.07006304673637</v>
      </c>
      <c r="J65" s="39">
        <f t="shared" si="17"/>
        <v>7.5960540219740631</v>
      </c>
      <c r="K65" s="39">
        <f t="shared" si="17"/>
        <v>2.9906515306755872</v>
      </c>
      <c r="L65" s="39">
        <f t="shared" si="17"/>
        <v>21.829834864233508</v>
      </c>
      <c r="M65" s="39">
        <f t="shared" si="17"/>
        <v>71.024854993744498</v>
      </c>
      <c r="N65" s="39">
        <f t="shared" si="17"/>
        <v>4.3165097065282048</v>
      </c>
      <c r="O65" s="39">
        <f t="shared" si="17"/>
        <v>66.827691435718236</v>
      </c>
      <c r="P65" s="39">
        <f t="shared" si="17"/>
        <v>931.76195917717655</v>
      </c>
      <c r="Q65" s="39">
        <f t="shared" si="17"/>
        <v>21.408158310876715</v>
      </c>
      <c r="R65" s="39">
        <f t="shared" si="17"/>
        <v>9.7517757361206048</v>
      </c>
      <c r="S65" s="39">
        <f t="shared" si="17"/>
        <v>63.464767485324764</v>
      </c>
      <c r="T65" s="39">
        <f t="shared" si="17"/>
        <v>268.69006532541101</v>
      </c>
      <c r="U65" s="39">
        <f t="shared" si="17"/>
        <v>39.919411529753638</v>
      </c>
      <c r="V65" s="39">
        <f t="shared" si="17"/>
        <v>428.16577198574913</v>
      </c>
      <c r="W65" s="39">
        <f t="shared" si="17"/>
        <v>13.558166661183549</v>
      </c>
      <c r="X65" s="39">
        <f t="shared" si="17"/>
        <v>34.556290218282626</v>
      </c>
      <c r="Y65" s="39">
        <f t="shared" si="17"/>
        <v>-3.922370064634856</v>
      </c>
      <c r="Z65" s="39">
        <f t="shared" si="17"/>
        <v>2.4193646194923311</v>
      </c>
      <c r="AA65" s="39">
        <f t="shared" si="17"/>
        <v>209.65608086465619</v>
      </c>
      <c r="AB65" s="39">
        <f t="shared" si="17"/>
        <v>4.4714121187718092</v>
      </c>
      <c r="AC65" s="39">
        <f t="shared" si="17"/>
        <v>14.760708394365594</v>
      </c>
      <c r="AD65" s="39">
        <f t="shared" si="17"/>
        <v>1.7978599809076914</v>
      </c>
      <c r="AE65" s="39">
        <f t="shared" si="17"/>
        <v>10.858021486798858</v>
      </c>
      <c r="AF65" s="39">
        <f t="shared" si="17"/>
        <v>2.7604834460677918</v>
      </c>
      <c r="AG65" s="39">
        <f t="shared" si="17"/>
        <v>4.5191415375591681</v>
      </c>
      <c r="AH65" s="39">
        <f t="shared" si="17"/>
        <v>0.83091432659328035</v>
      </c>
      <c r="AI65" s="39">
        <f t="shared" si="17"/>
        <v>82.343954755362759</v>
      </c>
      <c r="AJ65" s="39">
        <f t="shared" si="17"/>
        <v>52.741550447944952</v>
      </c>
      <c r="AK65" s="39">
        <f t="shared" si="17"/>
        <v>42.603005834546181</v>
      </c>
      <c r="AL65" s="39">
        <f t="shared" si="17"/>
        <v>29.934611390584905</v>
      </c>
      <c r="AM65" s="39">
        <f t="shared" si="17"/>
        <v>25.505362591413906</v>
      </c>
      <c r="AN65" s="39">
        <f t="shared" si="17"/>
        <v>22.444063878244314</v>
      </c>
      <c r="AO65" s="39">
        <f t="shared" si="17"/>
        <v>72.097128709335763</v>
      </c>
      <c r="AP65" s="39">
        <f t="shared" si="17"/>
        <v>13.956269114078323</v>
      </c>
      <c r="AQ65" s="39">
        <f t="shared" si="17"/>
        <v>13.812686119186642</v>
      </c>
      <c r="AR65" s="39">
        <f t="shared" si="17"/>
        <v>68.111055126993321</v>
      </c>
    </row>
    <row r="66" spans="2:44" ht="14.4">
      <c r="B66" s="26" t="s">
        <v>231</v>
      </c>
      <c r="C66" s="26" t="s">
        <v>226</v>
      </c>
      <c r="D66" s="26" t="s">
        <v>220</v>
      </c>
      <c r="E66" s="26" t="s">
        <v>230</v>
      </c>
      <c r="F66" s="26">
        <v>2060</v>
      </c>
      <c r="H66" s="39">
        <f t="shared" si="18" ref="H66:AR66">(1+FV(-H$38,($F$56-$F$41),0,100,1)/100)*H156</f>
        <v>1.2216383850225794</v>
      </c>
      <c r="I66" s="39">
        <f t="shared" si="18"/>
        <v>61.628551248318495</v>
      </c>
      <c r="J66" s="39">
        <f t="shared" si="18"/>
        <v>3.1672257874387384</v>
      </c>
      <c r="K66" s="39">
        <f t="shared" si="18"/>
        <v>23.646363201709693</v>
      </c>
      <c r="L66" s="39">
        <f t="shared" si="18"/>
        <v>14.419132412867244</v>
      </c>
      <c r="M66" s="39">
        <f t="shared" si="18"/>
        <v>69.199805652529307</v>
      </c>
      <c r="N66" s="39">
        <f t="shared" si="18"/>
        <v>0.99481878116416</v>
      </c>
      <c r="O66" s="39">
        <f t="shared" si="18"/>
        <v>55.336285562101573</v>
      </c>
      <c r="P66" s="39">
        <f t="shared" si="18"/>
        <v>811.03517959890701</v>
      </c>
      <c r="Q66" s="39">
        <f t="shared" si="18"/>
        <v>57.9615465355796</v>
      </c>
      <c r="R66" s="39">
        <f t="shared" si="18"/>
        <v>2.9537153632366469</v>
      </c>
      <c r="S66" s="39">
        <f t="shared" si="18"/>
        <v>10.429784561818225</v>
      </c>
      <c r="T66" s="39">
        <f t="shared" si="18"/>
        <v>84.680359168854011</v>
      </c>
      <c r="U66" s="39">
        <f t="shared" si="18"/>
        <v>25.657955444614917</v>
      </c>
      <c r="V66" s="39">
        <f t="shared" si="18"/>
        <v>786.31414711679906</v>
      </c>
      <c r="W66" s="39">
        <f t="shared" si="18"/>
        <v>10.260700882004024</v>
      </c>
      <c r="X66" s="39">
        <f t="shared" si="18"/>
        <v>32.922294052383599</v>
      </c>
      <c r="Y66" s="39">
        <f t="shared" si="18"/>
        <v>-21.383574478595733</v>
      </c>
      <c r="Z66" s="39">
        <f t="shared" si="18"/>
        <v>1.7446673282150276</v>
      </c>
      <c r="AA66" s="39">
        <f t="shared" si="18"/>
        <v>217.13973702411019</v>
      </c>
      <c r="AB66" s="39">
        <f t="shared" si="18"/>
        <v>1.8643853411089601</v>
      </c>
      <c r="AC66" s="39">
        <f t="shared" si="18"/>
        <v>12.256918738721401</v>
      </c>
      <c r="AD66" s="39">
        <f t="shared" si="18"/>
        <v>5.826754647064603</v>
      </c>
      <c r="AE66" s="39">
        <f t="shared" si="18"/>
        <v>4.6828853320086141</v>
      </c>
      <c r="AF66" s="39">
        <f t="shared" si="18"/>
        <v>0.95946256177871547</v>
      </c>
      <c r="AG66" s="39">
        <f t="shared" si="18"/>
        <v>2.7213550903155603</v>
      </c>
      <c r="AH66" s="39">
        <f t="shared" si="18"/>
        <v>3.0262520488041189</v>
      </c>
      <c r="AI66" s="39">
        <f t="shared" si="18"/>
        <v>268.78190065491469</v>
      </c>
      <c r="AJ66" s="39">
        <f t="shared" si="18"/>
        <v>21.078441705869896</v>
      </c>
      <c r="AK66" s="39">
        <f t="shared" si="18"/>
        <v>11.973328943261725</v>
      </c>
      <c r="AL66" s="39">
        <f t="shared" si="18"/>
        <v>13.635147984077166</v>
      </c>
      <c r="AM66" s="39">
        <f t="shared" si="18"/>
        <v>19.075522590171126</v>
      </c>
      <c r="AN66" s="39">
        <f t="shared" si="18"/>
        <v>9.3582033098316959</v>
      </c>
      <c r="AO66" s="39">
        <f t="shared" si="18"/>
        <v>60.352047545122389</v>
      </c>
      <c r="AP66" s="39">
        <f t="shared" si="18"/>
        <v>6.2770486775219805</v>
      </c>
      <c r="AQ66" s="39">
        <f t="shared" si="18"/>
        <v>9.4160794560709267</v>
      </c>
      <c r="AR66" s="39">
        <f t="shared" si="18"/>
        <v>1168.8377250398144</v>
      </c>
    </row>
    <row r="67" spans="2:44" ht="14.4">
      <c r="B67" s="26" t="s">
        <v>231</v>
      </c>
      <c r="C67" s="26" t="s">
        <v>226</v>
      </c>
      <c r="D67" s="26" t="s">
        <v>221</v>
      </c>
      <c r="E67" s="26" t="s">
        <v>230</v>
      </c>
      <c r="F67" s="26">
        <v>2060</v>
      </c>
      <c r="H67" s="39">
        <f t="shared" si="19" ref="H67:AR67">(1+FV(-H$38,($F$56-$F$41),0,100,1)/100)*H157</f>
        <v>4.445981577627677</v>
      </c>
      <c r="I67" s="39">
        <f t="shared" si="19"/>
        <v>74.356469068644458</v>
      </c>
      <c r="J67" s="39">
        <f t="shared" si="19"/>
        <v>7.2311249026825184</v>
      </c>
      <c r="K67" s="39">
        <f t="shared" si="19"/>
        <v>13.136868439522109</v>
      </c>
      <c r="L67" s="39">
        <f t="shared" si="19"/>
        <v>29.849824270208202</v>
      </c>
      <c r="M67" s="39">
        <f t="shared" si="19"/>
        <v>83.491386773413623</v>
      </c>
      <c r="N67" s="39">
        <f t="shared" si="19"/>
        <v>3.3145798544316714</v>
      </c>
      <c r="O67" s="39">
        <f t="shared" si="19"/>
        <v>75.155226626304255</v>
      </c>
      <c r="P67" s="39">
        <f t="shared" si="19"/>
        <v>1231.0743282861604</v>
      </c>
      <c r="Q67" s="39">
        <f t="shared" si="19"/>
        <v>42.088371672374322</v>
      </c>
      <c r="R67" s="39">
        <f t="shared" si="19"/>
        <v>4.3665015547467334</v>
      </c>
      <c r="S67" s="39">
        <f t="shared" si="19"/>
        <v>37.957738221865455</v>
      </c>
      <c r="T67" s="39">
        <f t="shared" si="19"/>
        <v>150.53074050479964</v>
      </c>
      <c r="U67" s="39">
        <f t="shared" si="19"/>
        <v>46.928857847208469</v>
      </c>
      <c r="V67" s="39">
        <f t="shared" si="19"/>
        <v>531.82602372851056</v>
      </c>
      <c r="W67" s="39">
        <f t="shared" si="19"/>
        <v>18.643099921055274</v>
      </c>
      <c r="X67" s="39">
        <f t="shared" si="19"/>
        <v>44.356923625269737</v>
      </c>
      <c r="Y67" s="39">
        <f t="shared" si="19"/>
        <v>-19.403464692112415</v>
      </c>
      <c r="Z67" s="39">
        <f t="shared" si="19"/>
        <v>3.1910276410451939</v>
      </c>
      <c r="AA67" s="39">
        <f t="shared" si="19"/>
        <v>304.58308767205261</v>
      </c>
      <c r="AB67" s="39">
        <f t="shared" si="19"/>
        <v>4.2565968368145377</v>
      </c>
      <c r="AC67" s="39">
        <f t="shared" si="19"/>
        <v>13.098616453798144</v>
      </c>
      <c r="AD67" s="39">
        <f t="shared" si="19"/>
        <v>5.3591682142812642</v>
      </c>
      <c r="AE67" s="39">
        <f t="shared" si="19"/>
        <v>5.6792976007332951</v>
      </c>
      <c r="AF67" s="39">
        <f t="shared" si="19"/>
        <v>2.1905585800626541</v>
      </c>
      <c r="AG67" s="39">
        <f t="shared" si="19"/>
        <v>5.6336240556517101</v>
      </c>
      <c r="AH67" s="39">
        <f t="shared" si="19"/>
        <v>3.1727405993812794</v>
      </c>
      <c r="AI67" s="39">
        <f t="shared" si="19"/>
        <v>302.51461647657788</v>
      </c>
      <c r="AJ67" s="39">
        <f t="shared" si="19"/>
        <v>28.042669884940054</v>
      </c>
      <c r="AK67" s="39">
        <f t="shared" si="19"/>
        <v>13.28563074024175</v>
      </c>
      <c r="AL67" s="39">
        <f t="shared" si="19"/>
        <v>18.444938071797658</v>
      </c>
      <c r="AM67" s="39">
        <f t="shared" si="19"/>
        <v>55.272009249085869</v>
      </c>
      <c r="AN67" s="39">
        <f t="shared" si="19"/>
        <v>21.365807662488475</v>
      </c>
      <c r="AO67" s="39">
        <f t="shared" si="19"/>
        <v>54.734539885120697</v>
      </c>
      <c r="AP67" s="39">
        <f t="shared" si="19"/>
        <v>4.1957681652667898</v>
      </c>
      <c r="AQ67" s="39">
        <f t="shared" si="19"/>
        <v>12.09821602418293</v>
      </c>
      <c r="AR67" s="39">
        <f t="shared" si="19"/>
        <v>735.47217138583846</v>
      </c>
    </row>
    <row r="68" spans="2:44" ht="14.4">
      <c r="B68" s="26" t="s">
        <v>231</v>
      </c>
      <c r="C68" s="26" t="s">
        <v>226</v>
      </c>
      <c r="D68" s="26" t="s">
        <v>222</v>
      </c>
      <c r="E68" s="26" t="s">
        <v>230</v>
      </c>
      <c r="F68" s="26">
        <v>2060</v>
      </c>
      <c r="H68" s="39">
        <f t="shared" si="20" ref="H68:AR68">(1+FV(-H$38,($F$56-$F$41),0,100,1)/100)*H158</f>
        <v>3.5426311967174415</v>
      </c>
      <c r="I68" s="39">
        <f t="shared" si="20"/>
        <v>38.25830450781654</v>
      </c>
      <c r="J68" s="39">
        <f t="shared" si="20"/>
        <v>5.3988107498687583</v>
      </c>
      <c r="K68" s="39">
        <f t="shared" si="20"/>
        <v>7.1095121352003412</v>
      </c>
      <c r="L68" s="39">
        <f t="shared" si="20"/>
        <v>17.306630222542694</v>
      </c>
      <c r="M68" s="39">
        <f t="shared" si="20"/>
        <v>42.958453231665381</v>
      </c>
      <c r="N68" s="39">
        <f t="shared" si="20"/>
        <v>4.4870391685275788</v>
      </c>
      <c r="O68" s="39">
        <f t="shared" si="20"/>
        <v>30.79505950626563</v>
      </c>
      <c r="P68" s="39">
        <f t="shared" si="20"/>
        <v>634.55491038462617</v>
      </c>
      <c r="Q68" s="39">
        <f t="shared" si="20"/>
        <v>25.998582669484435</v>
      </c>
      <c r="R68" s="39">
        <f t="shared" si="20"/>
        <v>3.3917261655171069</v>
      </c>
      <c r="S68" s="39">
        <f t="shared" si="20"/>
        <v>30.245349701463663</v>
      </c>
      <c r="T68" s="39">
        <f t="shared" si="20"/>
        <v>124.28511993714672</v>
      </c>
      <c r="U68" s="39">
        <f t="shared" si="20"/>
        <v>37.277648071547212</v>
      </c>
      <c r="V68" s="39">
        <f t="shared" si="20"/>
        <v>587.44566015254941</v>
      </c>
      <c r="W68" s="39">
        <f t="shared" si="20"/>
        <v>14.401020873944026</v>
      </c>
      <c r="X68" s="39">
        <f t="shared" si="20"/>
        <v>26.602989753393853</v>
      </c>
      <c r="Y68" s="39">
        <f t="shared" si="20"/>
        <v>-16.397342638240975</v>
      </c>
      <c r="Z68" s="39">
        <f t="shared" si="20"/>
        <v>2.5347730766590062</v>
      </c>
      <c r="AA68" s="39">
        <f t="shared" si="20"/>
        <v>172.32159907849845</v>
      </c>
      <c r="AB68" s="39">
        <f t="shared" si="20"/>
        <v>3.1780063364590192</v>
      </c>
      <c r="AC68" s="39">
        <f t="shared" si="20"/>
        <v>8.6223095864234001</v>
      </c>
      <c r="AD68" s="39">
        <f t="shared" si="20"/>
        <v>2.8940374468144778</v>
      </c>
      <c r="AE68" s="39">
        <f t="shared" si="20"/>
        <v>4.5914590706910117</v>
      </c>
      <c r="AF68" s="39">
        <f t="shared" si="20"/>
        <v>1.6354870603704053</v>
      </c>
      <c r="AG68" s="39">
        <f t="shared" si="20"/>
        <v>3.2663190061488847</v>
      </c>
      <c r="AH68" s="39">
        <f t="shared" si="20"/>
        <v>2.0847409866509832</v>
      </c>
      <c r="AI68" s="39">
        <f t="shared" si="20"/>
        <v>186.38485955313266</v>
      </c>
      <c r="AJ68" s="39">
        <f t="shared" si="20"/>
        <v>18.000884178994976</v>
      </c>
      <c r="AK68" s="39">
        <f t="shared" si="20"/>
        <v>7.6354133423971096</v>
      </c>
      <c r="AL68" s="39">
        <f t="shared" si="20"/>
        <v>20.671447825562993</v>
      </c>
      <c r="AM68" s="39">
        <f t="shared" si="20"/>
        <v>39.875999433712764</v>
      </c>
      <c r="AN68" s="39">
        <f t="shared" si="20"/>
        <v>15.951868297155212</v>
      </c>
      <c r="AO68" s="39">
        <f t="shared" si="20"/>
        <v>29.784917979173677</v>
      </c>
      <c r="AP68" s="39">
        <f t="shared" si="20"/>
        <v>3.6120403246855828</v>
      </c>
      <c r="AQ68" s="39">
        <f t="shared" si="20"/>
        <v>4.9520345181803034</v>
      </c>
      <c r="AR68" s="39">
        <f t="shared" si="20"/>
        <v>323.1119342881388</v>
      </c>
    </row>
    <row r="69" spans="2:44" ht="14.4">
      <c r="B69" s="26" t="s">
        <v>231</v>
      </c>
      <c r="C69" s="26" t="s">
        <v>226</v>
      </c>
      <c r="D69" s="26" t="s">
        <v>223</v>
      </c>
      <c r="E69" s="26" t="s">
        <v>230</v>
      </c>
      <c r="F69" s="26">
        <v>2060</v>
      </c>
      <c r="H69" s="39">
        <f t="shared" si="21" ref="H69:AR69">(1+FV(-H$38,($F$56-$F$41),0,100,1)/100)*H159</f>
        <v>2.711843056979613</v>
      </c>
      <c r="I69" s="39">
        <f t="shared" si="21"/>
        <v>30.355689100598724</v>
      </c>
      <c r="J69" s="39">
        <f t="shared" si="21"/>
        <v>4.5628449732720835</v>
      </c>
      <c r="K69" s="39">
        <f t="shared" si="21"/>
        <v>7.1095121352003412</v>
      </c>
      <c r="L69" s="39">
        <f t="shared" si="21"/>
        <v>16.308661376743224</v>
      </c>
      <c r="M69" s="39">
        <f t="shared" si="21"/>
        <v>34.084977557659833</v>
      </c>
      <c r="N69" s="39">
        <f t="shared" si="21"/>
        <v>6.4775986607051461</v>
      </c>
      <c r="O69" s="39">
        <f t="shared" si="21"/>
        <v>35.694414342541535</v>
      </c>
      <c r="P69" s="39">
        <f t="shared" si="21"/>
        <v>442.27082016227979</v>
      </c>
      <c r="Q69" s="39">
        <f t="shared" si="21"/>
        <v>10.648814088930397</v>
      </c>
      <c r="R69" s="39">
        <f t="shared" si="21"/>
        <v>3.1897372615149195</v>
      </c>
      <c r="S69" s="39">
        <f t="shared" si="21"/>
        <v>23.152464097824836</v>
      </c>
      <c r="T69" s="39">
        <f t="shared" si="21"/>
        <v>78.745737574209599</v>
      </c>
      <c r="U69" s="39">
        <f t="shared" si="21"/>
        <v>29.537604397446302</v>
      </c>
      <c r="V69" s="39">
        <f t="shared" si="21"/>
        <v>432.91215773758211</v>
      </c>
      <c r="W69" s="39">
        <f t="shared" si="21"/>
        <v>11.417361708702659</v>
      </c>
      <c r="X69" s="39">
        <f t="shared" si="21"/>
        <v>36.164410556223366</v>
      </c>
      <c r="Y69" s="39">
        <f t="shared" si="21"/>
        <v>-14.270513344088602</v>
      </c>
      <c r="Z69" s="39">
        <f t="shared" si="21"/>
        <v>2.0084723218576177</v>
      </c>
      <c r="AA69" s="39">
        <f t="shared" si="21"/>
        <v>124.83193569337394</v>
      </c>
      <c r="AB69" s="39">
        <f t="shared" si="21"/>
        <v>2.6859156412718175</v>
      </c>
      <c r="AC69" s="39">
        <f t="shared" si="21"/>
        <v>8.6223095864234001</v>
      </c>
      <c r="AD69" s="39">
        <f t="shared" si="21"/>
        <v>2.2493539806320189</v>
      </c>
      <c r="AE69" s="39">
        <f t="shared" si="21"/>
        <v>4.4321049995834692</v>
      </c>
      <c r="AF69" s="39">
        <f t="shared" si="21"/>
        <v>1.3822440270654162</v>
      </c>
      <c r="AG69" s="39">
        <f t="shared" si="21"/>
        <v>3.0779701151941548</v>
      </c>
      <c r="AH69" s="39">
        <f t="shared" si="21"/>
        <v>2.394649180689306</v>
      </c>
      <c r="AI69" s="39">
        <f t="shared" si="21"/>
        <v>181.2911125788344</v>
      </c>
      <c r="AJ69" s="39">
        <f t="shared" si="21"/>
        <v>15.140667661169548</v>
      </c>
      <c r="AK69" s="39">
        <f t="shared" si="21"/>
        <v>7.8933201249319609</v>
      </c>
      <c r="AL69" s="39">
        <f t="shared" si="21"/>
        <v>17.667793783019221</v>
      </c>
      <c r="AM69" s="39">
        <f t="shared" si="21"/>
        <v>54.553974090330648</v>
      </c>
      <c r="AN69" s="39">
        <f t="shared" si="21"/>
        <v>13.48183988033707</v>
      </c>
      <c r="AO69" s="39">
        <f t="shared" si="21"/>
        <v>20.518229734374987</v>
      </c>
      <c r="AP69" s="39">
        <f t="shared" si="21"/>
        <v>1.9622406206912049</v>
      </c>
      <c r="AQ69" s="39">
        <f t="shared" si="21"/>
        <v>5.7442846374322887</v>
      </c>
      <c r="AR69" s="39">
        <f t="shared" si="21"/>
        <v>229.40705647846141</v>
      </c>
    </row>
    <row r="70" spans="2:44" ht="14.4">
      <c r="B70" s="26" t="s">
        <v>231</v>
      </c>
      <c r="C70" s="26" t="s">
        <v>226</v>
      </c>
      <c r="D70" s="26" t="s">
        <v>224</v>
      </c>
      <c r="E70" s="26" t="s">
        <v>230</v>
      </c>
      <c r="F70" s="26">
        <v>2060</v>
      </c>
      <c r="H70" s="39">
        <f t="shared" si="22" ref="H70:AR70">(1+FV(-H$38,($F$56-$F$41),0,100,1)/100)*H160</f>
        <v>1.8243884304245666</v>
      </c>
      <c r="I70" s="39">
        <f t="shared" si="22"/>
        <v>36.230091347781723</v>
      </c>
      <c r="J70" s="39">
        <f t="shared" si="22"/>
        <v>2.2364202827238886</v>
      </c>
      <c r="K70" s="39">
        <f t="shared" si="22"/>
        <v>5.2370129220171897</v>
      </c>
      <c r="L70" s="39">
        <f t="shared" si="22"/>
        <v>9.4185446032848841</v>
      </c>
      <c r="M70" s="39">
        <f t="shared" si="22"/>
        <v>40.681067934536053</v>
      </c>
      <c r="N70" s="39">
        <f t="shared" si="22"/>
        <v>5.5854195349447355</v>
      </c>
      <c r="O70" s="39">
        <f t="shared" si="22"/>
        <v>18.425192813187937</v>
      </c>
      <c r="P70" s="39">
        <f t="shared" si="22"/>
        <v>407.04935978928484</v>
      </c>
      <c r="Q70" s="39">
        <f t="shared" si="22"/>
        <v>10.657255400315082</v>
      </c>
      <c r="R70" s="39">
        <f t="shared" si="22"/>
        <v>1.0349300958120584</v>
      </c>
      <c r="S70" s="39">
        <f t="shared" si="22"/>
        <v>15.575786189830879</v>
      </c>
      <c r="T70" s="39">
        <f t="shared" si="22"/>
        <v>77.971430104574424</v>
      </c>
      <c r="U70" s="39">
        <f t="shared" si="22"/>
        <v>21.567042864145684</v>
      </c>
      <c r="V70" s="39">
        <f t="shared" si="22"/>
        <v>260.7809535891069</v>
      </c>
      <c r="W70" s="39">
        <f t="shared" si="22"/>
        <v>6.1113356158410186</v>
      </c>
      <c r="X70" s="39">
        <f t="shared" si="22"/>
        <v>14.916130410008225</v>
      </c>
      <c r="Y70" s="39">
        <f t="shared" si="22"/>
        <v>-18.54169484669546</v>
      </c>
      <c r="Z70" s="39">
        <f t="shared" si="22"/>
        <v>1.4664970142500278</v>
      </c>
      <c r="AA70" s="39">
        <f t="shared" si="22"/>
        <v>46.187347944638596</v>
      </c>
      <c r="AB70" s="39">
        <f t="shared" si="22"/>
        <v>1.3164673034065475</v>
      </c>
      <c r="AC70" s="39">
        <f t="shared" si="22"/>
        <v>2.6812599043045693</v>
      </c>
      <c r="AD70" s="39">
        <f t="shared" si="22"/>
        <v>1.7896274413684869</v>
      </c>
      <c r="AE70" s="39">
        <f t="shared" si="22"/>
        <v>1.3873224413730862</v>
      </c>
      <c r="AF70" s="39">
        <f t="shared" si="22"/>
        <v>0.67748928484551185</v>
      </c>
      <c r="AG70" s="39">
        <f t="shared" si="22"/>
        <v>1.7775829755638315</v>
      </c>
      <c r="AH70" s="39">
        <f t="shared" si="22"/>
        <v>2.3191023393169892</v>
      </c>
      <c r="AI70" s="39">
        <f t="shared" si="22"/>
        <v>159.9300262074064</v>
      </c>
      <c r="AJ70" s="39">
        <f t="shared" si="22"/>
        <v>16.675724054087574</v>
      </c>
      <c r="AK70" s="39">
        <f t="shared" si="22"/>
        <v>7.8933201249319609</v>
      </c>
      <c r="AL70" s="39">
        <f t="shared" si="22"/>
        <v>19.241386597189631</v>
      </c>
      <c r="AM70" s="39">
        <f t="shared" si="22"/>
        <v>7.5126516508233019</v>
      </c>
      <c r="AN70" s="39">
        <f t="shared" si="22"/>
        <v>6.6079519101434299</v>
      </c>
      <c r="AO70" s="39">
        <f t="shared" si="22"/>
        <v>16.80005054569359</v>
      </c>
      <c r="AP70" s="39">
        <f t="shared" si="22"/>
        <v>1.9622406206912049</v>
      </c>
      <c r="AQ70" s="39">
        <f t="shared" si="22"/>
        <v>3.0562567944991974</v>
      </c>
      <c r="AR70" s="39">
        <f t="shared" si="22"/>
        <v>229.40705647846141</v>
      </c>
    </row>
    <row r="71" spans="2:44" s="26" customFormat="1" ht="14.4">
      <c r="B71" s="26" t="s">
        <v>231</v>
      </c>
      <c r="C71" s="26" t="s">
        <v>226</v>
      </c>
      <c r="D71" s="26" t="s">
        <v>214</v>
      </c>
      <c r="E71" s="26" t="s">
        <v>230</v>
      </c>
      <c r="F71" s="26">
        <v>0</v>
      </c>
      <c r="G71" s="26">
        <v>15</v>
      </c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</row>
    <row r="72" spans="2:44" s="26" customFormat="1" ht="14.4">
      <c r="B72" s="26" t="s">
        <v>231</v>
      </c>
      <c r="C72" s="26" t="s">
        <v>226</v>
      </c>
      <c r="D72" s="26" t="s">
        <v>215</v>
      </c>
      <c r="E72" s="26" t="s">
        <v>230</v>
      </c>
      <c r="F72" s="26">
        <v>0</v>
      </c>
      <c r="G72" s="26">
        <v>15</v>
      </c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</row>
    <row r="73" spans="2:44" s="26" customFormat="1" ht="14.4">
      <c r="B73" s="26" t="s">
        <v>231</v>
      </c>
      <c r="C73" s="26" t="s">
        <v>226</v>
      </c>
      <c r="D73" s="26" t="s">
        <v>216</v>
      </c>
      <c r="E73" s="26" t="s">
        <v>230</v>
      </c>
      <c r="F73" s="26">
        <v>0</v>
      </c>
      <c r="G73" s="26">
        <v>15</v>
      </c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</row>
    <row r="74" spans="2:44" s="26" customFormat="1" ht="14.4">
      <c r="B74" s="26" t="s">
        <v>231</v>
      </c>
      <c r="C74" s="26" t="s">
        <v>226</v>
      </c>
      <c r="D74" s="26" t="s">
        <v>217</v>
      </c>
      <c r="E74" s="26" t="s">
        <v>230</v>
      </c>
      <c r="F74" s="26">
        <v>0</v>
      </c>
      <c r="G74" s="26">
        <v>15</v>
      </c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</row>
    <row r="75" spans="2:44" s="26" customFormat="1" ht="14.4">
      <c r="B75" s="26" t="s">
        <v>231</v>
      </c>
      <c r="C75" s="26" t="s">
        <v>226</v>
      </c>
      <c r="D75" s="26" t="s">
        <v>218</v>
      </c>
      <c r="E75" s="26" t="s">
        <v>230</v>
      </c>
      <c r="F75" s="26">
        <v>0</v>
      </c>
      <c r="G75" s="26">
        <v>15</v>
      </c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</row>
    <row r="76" spans="2:44" s="26" customFormat="1" ht="14.4">
      <c r="B76" s="26" t="s">
        <v>231</v>
      </c>
      <c r="C76" s="26" t="s">
        <v>226</v>
      </c>
      <c r="D76" s="26" t="s">
        <v>208</v>
      </c>
      <c r="E76" s="26" t="s">
        <v>230</v>
      </c>
      <c r="F76" s="26">
        <v>0</v>
      </c>
      <c r="G76" s="26">
        <v>15</v>
      </c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</row>
    <row r="77" spans="2:44" s="26" customFormat="1" ht="14.4">
      <c r="B77" s="26" t="s">
        <v>231</v>
      </c>
      <c r="C77" s="26" t="s">
        <v>226</v>
      </c>
      <c r="D77" s="26" t="s">
        <v>209</v>
      </c>
      <c r="E77" s="26" t="s">
        <v>230</v>
      </c>
      <c r="F77" s="26">
        <v>0</v>
      </c>
      <c r="G77" s="26">
        <v>15</v>
      </c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</row>
    <row r="78" spans="2:44" s="26" customFormat="1" ht="14.4">
      <c r="B78" s="26" t="s">
        <v>231</v>
      </c>
      <c r="C78" s="26" t="s">
        <v>226</v>
      </c>
      <c r="D78" s="26" t="s">
        <v>210</v>
      </c>
      <c r="E78" s="26" t="s">
        <v>230</v>
      </c>
      <c r="F78" s="26">
        <v>0</v>
      </c>
      <c r="G78" s="26">
        <v>15</v>
      </c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</row>
    <row r="79" spans="2:44" s="26" customFormat="1" ht="14.4">
      <c r="B79" s="26" t="s">
        <v>231</v>
      </c>
      <c r="C79" s="26" t="s">
        <v>226</v>
      </c>
      <c r="D79" s="26" t="s">
        <v>211</v>
      </c>
      <c r="E79" s="26" t="s">
        <v>230</v>
      </c>
      <c r="F79" s="26">
        <v>0</v>
      </c>
      <c r="G79" s="26">
        <v>15</v>
      </c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</row>
    <row r="80" spans="2:44" s="26" customFormat="1" ht="14.4">
      <c r="B80" s="26" t="s">
        <v>231</v>
      </c>
      <c r="C80" s="26" t="s">
        <v>226</v>
      </c>
      <c r="D80" s="26" t="s">
        <v>212</v>
      </c>
      <c r="E80" s="26" t="s">
        <v>230</v>
      </c>
      <c r="F80" s="26">
        <v>0</v>
      </c>
      <c r="G80" s="26">
        <v>15</v>
      </c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</row>
    <row r="81" spans="2:44" s="26" customFormat="1" ht="14.4">
      <c r="B81" s="26" t="s">
        <v>231</v>
      </c>
      <c r="C81" s="26" t="s">
        <v>226</v>
      </c>
      <c r="D81" s="26" t="s">
        <v>220</v>
      </c>
      <c r="E81" s="26" t="s">
        <v>230</v>
      </c>
      <c r="F81" s="26">
        <v>0</v>
      </c>
      <c r="G81" s="26">
        <v>15</v>
      </c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</row>
    <row r="82" spans="2:44" s="26" customFormat="1" ht="14.4">
      <c r="B82" s="26" t="s">
        <v>231</v>
      </c>
      <c r="C82" s="26" t="s">
        <v>226</v>
      </c>
      <c r="D82" s="26" t="s">
        <v>221</v>
      </c>
      <c r="E82" s="26" t="s">
        <v>230</v>
      </c>
      <c r="F82" s="26">
        <v>0</v>
      </c>
      <c r="G82" s="26">
        <v>15</v>
      </c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</row>
    <row r="83" spans="2:44" s="26" customFormat="1" ht="14.4">
      <c r="B83" s="26" t="s">
        <v>231</v>
      </c>
      <c r="C83" s="26" t="s">
        <v>226</v>
      </c>
      <c r="D83" s="26" t="s">
        <v>222</v>
      </c>
      <c r="E83" s="26" t="s">
        <v>230</v>
      </c>
      <c r="F83" s="26">
        <v>0</v>
      </c>
      <c r="G83" s="26">
        <v>15</v>
      </c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</row>
    <row r="84" spans="2:44" s="26" customFormat="1" ht="14.4">
      <c r="B84" s="26" t="s">
        <v>231</v>
      </c>
      <c r="C84" s="26" t="s">
        <v>226</v>
      </c>
      <c r="D84" s="26" t="s">
        <v>223</v>
      </c>
      <c r="E84" s="26" t="s">
        <v>230</v>
      </c>
      <c r="F84" s="26">
        <v>0</v>
      </c>
      <c r="G84" s="26">
        <v>15</v>
      </c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</row>
    <row r="85" spans="2:44" s="26" customFormat="1" ht="14.4">
      <c r="B85" s="26" t="s">
        <v>231</v>
      </c>
      <c r="C85" s="26" t="s">
        <v>226</v>
      </c>
      <c r="D85" s="26" t="s">
        <v>224</v>
      </c>
      <c r="E85" s="26" t="s">
        <v>230</v>
      </c>
      <c r="F85" s="26">
        <v>0</v>
      </c>
      <c r="G85" s="26">
        <v>15</v>
      </c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</row>
    <row r="86" spans="8:44" s="35" customFormat="1" ht="14.4"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</row>
    <row r="87" s="26" customFormat="1" ht="14.4"/>
    <row r="88" spans="2:2" s="35" customFormat="1" ht="14.4">
      <c r="B88" s="35" t="s">
        <v>72</v>
      </c>
    </row>
    <row r="89" spans="2:44" s="35" customFormat="1" ht="14.4">
      <c r="B89" s="35" t="s">
        <v>0</v>
      </c>
      <c r="C89" s="35" t="s">
        <v>67</v>
      </c>
      <c r="D89" s="35" t="s">
        <v>227</v>
      </c>
      <c r="E89" s="35" t="s">
        <v>1</v>
      </c>
      <c r="F89" s="35" t="s">
        <v>2</v>
      </c>
      <c r="G89" s="35" t="s">
        <v>229</v>
      </c>
      <c r="H89" s="32" t="s">
        <v>12</v>
      </c>
      <c r="I89" s="32" t="s">
        <v>13</v>
      </c>
      <c r="J89" s="32" t="s">
        <v>14</v>
      </c>
      <c r="K89" s="32" t="s">
        <v>15</v>
      </c>
      <c r="L89" s="32" t="s">
        <v>16</v>
      </c>
      <c r="M89" s="32" t="s">
        <v>17</v>
      </c>
      <c r="N89" s="32" t="s">
        <v>18</v>
      </c>
      <c r="O89" s="32" t="s">
        <v>19</v>
      </c>
      <c r="P89" s="32" t="s">
        <v>20</v>
      </c>
      <c r="Q89" s="32" t="s">
        <v>21</v>
      </c>
      <c r="R89" s="32" t="s">
        <v>22</v>
      </c>
      <c r="S89" s="32" t="s">
        <v>23</v>
      </c>
      <c r="T89" s="32" t="s">
        <v>24</v>
      </c>
      <c r="U89" s="32" t="s">
        <v>25</v>
      </c>
      <c r="V89" s="32" t="s">
        <v>26</v>
      </c>
      <c r="W89" s="32" t="s">
        <v>27</v>
      </c>
      <c r="X89" s="32" t="s">
        <v>28</v>
      </c>
      <c r="Y89" s="32" t="s">
        <v>29</v>
      </c>
      <c r="Z89" s="32" t="s">
        <v>30</v>
      </c>
      <c r="AA89" s="32" t="s">
        <v>31</v>
      </c>
      <c r="AB89" s="32" t="s">
        <v>32</v>
      </c>
      <c r="AC89" s="32" t="s">
        <v>33</v>
      </c>
      <c r="AD89" s="32" t="s">
        <v>34</v>
      </c>
      <c r="AE89" s="32" t="s">
        <v>35</v>
      </c>
      <c r="AF89" s="32" t="s">
        <v>36</v>
      </c>
      <c r="AG89" s="32" t="s">
        <v>37</v>
      </c>
      <c r="AH89" s="32" t="s">
        <v>38</v>
      </c>
      <c r="AI89" s="32" t="s">
        <v>39</v>
      </c>
      <c r="AJ89" s="32" t="s">
        <v>40</v>
      </c>
      <c r="AK89" s="32" t="s">
        <v>41</v>
      </c>
      <c r="AL89" s="32" t="s">
        <v>42</v>
      </c>
      <c r="AM89" s="32" t="s">
        <v>43</v>
      </c>
      <c r="AN89" s="32" t="s">
        <v>44</v>
      </c>
      <c r="AO89" s="32" t="s">
        <v>45</v>
      </c>
      <c r="AP89" s="32" t="s">
        <v>46</v>
      </c>
      <c r="AQ89" s="32" t="s">
        <v>47</v>
      </c>
      <c r="AR89" s="32" t="s">
        <v>48</v>
      </c>
    </row>
    <row r="90" spans="2:44" s="35" customFormat="1" ht="14.4">
      <c r="B90" s="35" t="s">
        <v>231</v>
      </c>
      <c r="D90" s="35" t="s">
        <v>214</v>
      </c>
      <c r="E90" s="35" t="s">
        <v>75</v>
      </c>
      <c r="F90" s="35">
        <v>2015</v>
      </c>
      <c r="G90" s="35">
        <v>0</v>
      </c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</row>
    <row r="91" spans="2:44" s="35" customFormat="1" ht="14.4">
      <c r="B91" s="35" t="s">
        <v>231</v>
      </c>
      <c r="D91" s="35" t="s">
        <v>215</v>
      </c>
      <c r="E91" s="35" t="s">
        <v>75</v>
      </c>
      <c r="F91" s="35">
        <v>2015</v>
      </c>
      <c r="G91" s="35">
        <v>0</v>
      </c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</row>
    <row r="92" spans="2:44" s="35" customFormat="1" ht="14.4">
      <c r="B92" s="35" t="s">
        <v>231</v>
      </c>
      <c r="D92" s="35" t="s">
        <v>216</v>
      </c>
      <c r="E92" s="35" t="s">
        <v>75</v>
      </c>
      <c r="F92" s="35">
        <v>2015</v>
      </c>
      <c r="G92" s="35">
        <v>0</v>
      </c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</row>
    <row r="93" spans="2:44" s="35" customFormat="1" ht="14.4">
      <c r="B93" s="35" t="s">
        <v>231</v>
      </c>
      <c r="D93" s="35" t="s">
        <v>217</v>
      </c>
      <c r="E93" s="35" t="s">
        <v>75</v>
      </c>
      <c r="F93" s="35">
        <v>2015</v>
      </c>
      <c r="G93" s="35">
        <v>0</v>
      </c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</row>
    <row r="94" spans="2:44" s="35" customFormat="1" ht="14.4">
      <c r="B94" s="35" t="s">
        <v>231</v>
      </c>
      <c r="D94" s="35" t="s">
        <v>218</v>
      </c>
      <c r="E94" s="35" t="s">
        <v>75</v>
      </c>
      <c r="F94" s="35">
        <v>2015</v>
      </c>
      <c r="G94" s="35">
        <v>0</v>
      </c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</row>
    <row r="95" spans="2:44" s="35" customFormat="1" ht="14.4">
      <c r="B95" s="35" t="s">
        <v>231</v>
      </c>
      <c r="D95" s="35" t="s">
        <v>208</v>
      </c>
      <c r="E95" s="35" t="s">
        <v>75</v>
      </c>
      <c r="F95" s="35">
        <v>2015</v>
      </c>
      <c r="G95" s="35">
        <v>0</v>
      </c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</row>
    <row r="96" spans="2:44" s="35" customFormat="1" ht="14.4">
      <c r="B96" s="35" t="s">
        <v>231</v>
      </c>
      <c r="D96" s="35" t="s">
        <v>209</v>
      </c>
      <c r="E96" s="35" t="s">
        <v>75</v>
      </c>
      <c r="F96" s="35">
        <v>2015</v>
      </c>
      <c r="G96" s="35">
        <v>0</v>
      </c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</row>
    <row r="97" spans="2:44" s="35" customFormat="1" ht="14.4">
      <c r="B97" s="35" t="s">
        <v>231</v>
      </c>
      <c r="D97" s="35" t="s">
        <v>210</v>
      </c>
      <c r="E97" s="35" t="s">
        <v>75</v>
      </c>
      <c r="F97" s="35">
        <v>2015</v>
      </c>
      <c r="G97" s="35">
        <v>0</v>
      </c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</row>
    <row r="98" spans="2:44" s="35" customFormat="1" ht="14.4">
      <c r="B98" s="35" t="s">
        <v>231</v>
      </c>
      <c r="D98" s="35" t="s">
        <v>211</v>
      </c>
      <c r="E98" s="35" t="s">
        <v>75</v>
      </c>
      <c r="F98" s="35">
        <v>2015</v>
      </c>
      <c r="G98" s="35">
        <v>0</v>
      </c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</row>
    <row r="99" spans="2:44" s="35" customFormat="1" ht="14.4">
      <c r="B99" s="35" t="s">
        <v>231</v>
      </c>
      <c r="D99" s="35" t="s">
        <v>212</v>
      </c>
      <c r="E99" s="35" t="s">
        <v>75</v>
      </c>
      <c r="F99" s="35">
        <v>2015</v>
      </c>
      <c r="G99" s="35">
        <v>0</v>
      </c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</row>
    <row r="100" spans="2:44" s="35" customFormat="1" ht="14.4">
      <c r="B100" s="35" t="s">
        <v>231</v>
      </c>
      <c r="D100" s="35" t="s">
        <v>220</v>
      </c>
      <c r="E100" s="35" t="s">
        <v>75</v>
      </c>
      <c r="F100" s="35">
        <v>2015</v>
      </c>
      <c r="G100" s="35">
        <v>0</v>
      </c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</row>
    <row r="101" spans="2:44" s="35" customFormat="1" ht="14.4">
      <c r="B101" s="35" t="s">
        <v>231</v>
      </c>
      <c r="D101" s="35" t="s">
        <v>221</v>
      </c>
      <c r="E101" s="35" t="s">
        <v>75</v>
      </c>
      <c r="F101" s="35">
        <v>2015</v>
      </c>
      <c r="G101" s="35">
        <v>0</v>
      </c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</row>
    <row r="102" spans="2:44" s="35" customFormat="1" ht="14.4">
      <c r="B102" s="35" t="s">
        <v>231</v>
      </c>
      <c r="D102" s="35" t="s">
        <v>222</v>
      </c>
      <c r="E102" s="35" t="s">
        <v>75</v>
      </c>
      <c r="F102" s="35">
        <v>2015</v>
      </c>
      <c r="G102" s="35">
        <v>0</v>
      </c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</row>
    <row r="103" spans="2:44" s="35" customFormat="1" ht="14.4">
      <c r="B103" s="35" t="s">
        <v>231</v>
      </c>
      <c r="D103" s="35" t="s">
        <v>223</v>
      </c>
      <c r="E103" s="35" t="s">
        <v>75</v>
      </c>
      <c r="F103" s="35">
        <v>2015</v>
      </c>
      <c r="G103" s="35">
        <v>0</v>
      </c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</row>
    <row r="104" spans="2:44" s="35" customFormat="1" ht="14.4">
      <c r="B104" s="35" t="s">
        <v>231</v>
      </c>
      <c r="D104" s="35" t="s">
        <v>224</v>
      </c>
      <c r="E104" s="35" t="s">
        <v>75</v>
      </c>
      <c r="F104" s="35">
        <v>2015</v>
      </c>
      <c r="G104" s="35">
        <v>0</v>
      </c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</row>
    <row r="105" spans="2:7" s="35" customFormat="1" ht="14.4">
      <c r="B105" s="35" t="s">
        <v>231</v>
      </c>
      <c r="D105" s="35" t="s">
        <v>219</v>
      </c>
      <c r="E105" s="35" t="s">
        <v>75</v>
      </c>
      <c r="F105" s="35">
        <v>2015</v>
      </c>
      <c r="G105" s="35">
        <v>0</v>
      </c>
    </row>
    <row r="106" spans="2:7" s="35" customFormat="1" ht="14.4">
      <c r="B106" s="35" t="s">
        <v>231</v>
      </c>
      <c r="D106" s="35" t="s">
        <v>213</v>
      </c>
      <c r="E106" s="35" t="s">
        <v>75</v>
      </c>
      <c r="F106" s="35">
        <v>2015</v>
      </c>
      <c r="G106" s="35">
        <v>0</v>
      </c>
    </row>
    <row r="107" spans="2:7" s="35" customFormat="1" ht="14.4">
      <c r="B107" s="35" t="s">
        <v>231</v>
      </c>
      <c r="D107" s="35" t="s">
        <v>225</v>
      </c>
      <c r="E107" s="35" t="s">
        <v>75</v>
      </c>
      <c r="F107" s="35">
        <v>2015</v>
      </c>
      <c r="G107" s="35">
        <v>0</v>
      </c>
    </row>
    <row r="108" spans="2:44" s="35" customFormat="1" ht="14.4">
      <c r="B108" s="35" t="s">
        <v>231</v>
      </c>
      <c r="D108" s="35" t="s">
        <v>214</v>
      </c>
      <c r="E108" s="35" t="s">
        <v>75</v>
      </c>
      <c r="F108" s="35">
        <v>2060</v>
      </c>
      <c r="H108" s="39">
        <f>H146</f>
        <v>7.1060888712241397</v>
      </c>
      <c r="I108" s="39">
        <f t="shared" si="23" ref="I108:AR115">I146</f>
        <v>244.728938699097</v>
      </c>
      <c r="J108" s="39">
        <f t="shared" si="23"/>
        <v>29.1075161543497</v>
      </c>
      <c r="K108" s="39">
        <f>K146</f>
        <v>376.060486524216</v>
      </c>
      <c r="L108" s="39">
        <f t="shared" si="23"/>
        <v>87.260262363001999</v>
      </c>
      <c r="M108" s="39">
        <f t="shared" si="23"/>
        <v>202.87574694946099</v>
      </c>
      <c r="N108" s="39">
        <f t="shared" si="23"/>
        <v>3.20376134917406</v>
      </c>
      <c r="O108" s="39">
        <f t="shared" si="23"/>
        <v>247.83001714924399</v>
      </c>
      <c r="P108" s="39">
        <f t="shared" si="23"/>
        <v>1672.68283163193</v>
      </c>
      <c r="Q108" s="39">
        <f t="shared" si="23"/>
        <v>358.06514760756801</v>
      </c>
      <c r="R108" s="39">
        <f t="shared" si="23"/>
        <v>20.940127776042502</v>
      </c>
      <c r="S108" s="39">
        <f t="shared" si="23"/>
        <v>60.668506255746202</v>
      </c>
      <c r="T108" s="39">
        <f t="shared" si="23"/>
        <v>127.039848002768</v>
      </c>
      <c r="U108" s="39">
        <f t="shared" si="23"/>
        <v>111.650230725554</v>
      </c>
      <c r="V108" s="39">
        <f t="shared" si="23"/>
        <v>1676.3358896187999</v>
      </c>
      <c r="W108" s="39">
        <f t="shared" si="23"/>
        <v>94.298145039859406</v>
      </c>
      <c r="X108" s="39">
        <f t="shared" si="23"/>
        <v>293.18281213521198</v>
      </c>
      <c r="Y108" s="39">
        <f t="shared" si="23"/>
        <v>78.4192740181511</v>
      </c>
      <c r="Z108" s="39">
        <f t="shared" si="23"/>
        <v>6.1429929449196701</v>
      </c>
      <c r="AA108" s="39">
        <f t="shared" si="23"/>
        <v>508.827786899047</v>
      </c>
      <c r="AB108" s="39">
        <f t="shared" si="23"/>
        <v>17.1341199132338</v>
      </c>
      <c r="AC108" s="39">
        <f t="shared" si="23"/>
        <v>67.066682592128998</v>
      </c>
      <c r="AD108" s="39">
        <f t="shared" si="23"/>
        <v>14.8103993517646</v>
      </c>
      <c r="AE108" s="39">
        <f t="shared" si="23"/>
        <v>38.565279561532797</v>
      </c>
      <c r="AF108" s="39">
        <f t="shared" si="23"/>
        <v>5.5810510836935796</v>
      </c>
      <c r="AG108" s="39">
        <f t="shared" si="23"/>
        <v>16.468824362270102</v>
      </c>
      <c r="AH108" s="39">
        <f t="shared" si="23"/>
        <v>0.77894954316550202</v>
      </c>
      <c r="AI108" s="39">
        <f t="shared" si="23"/>
        <v>144.57043395471001</v>
      </c>
      <c r="AJ108" s="39">
        <f t="shared" si="23"/>
        <v>88.2665296328761</v>
      </c>
      <c r="AK108" s="39">
        <f t="shared" si="23"/>
        <v>680.48064779497702</v>
      </c>
      <c r="AL108" s="39">
        <f t="shared" si="23"/>
        <v>55.552390290687399</v>
      </c>
      <c r="AM108" s="39">
        <f t="shared" si="23"/>
        <v>218.45730286903299</v>
      </c>
      <c r="AN108" s="39">
        <f t="shared" si="23"/>
        <v>86.003989705101603</v>
      </c>
      <c r="AO108" s="39">
        <f t="shared" si="23"/>
        <v>380.67209163992197</v>
      </c>
      <c r="AP108" s="39">
        <f t="shared" si="23"/>
        <v>62.074832529094799</v>
      </c>
      <c r="AQ108" s="39">
        <f t="shared" si="23"/>
        <v>104.06477940104401</v>
      </c>
      <c r="AR108" s="39">
        <f t="shared" si="23"/>
        <v>1548.85139511387</v>
      </c>
    </row>
    <row r="109" spans="2:44" s="35" customFormat="1" ht="14.4">
      <c r="B109" s="35" t="s">
        <v>231</v>
      </c>
      <c r="D109" s="35" t="s">
        <v>215</v>
      </c>
      <c r="E109" s="35" t="s">
        <v>75</v>
      </c>
      <c r="F109" s="35">
        <v>2060</v>
      </c>
      <c r="H109" s="39">
        <f t="shared" si="24" ref="H109:W125">H147</f>
        <v>25.861613876731401</v>
      </c>
      <c r="I109" s="39">
        <f t="shared" si="24"/>
        <v>295.27190550464297</v>
      </c>
      <c r="J109" s="39">
        <f t="shared" si="24"/>
        <v>66.455661529947903</v>
      </c>
      <c r="K109" s="39">
        <f t="shared" si="24"/>
        <v>208.922492420065</v>
      </c>
      <c r="L109" s="39">
        <f t="shared" si="24"/>
        <v>180.64217892773499</v>
      </c>
      <c r="M109" s="39">
        <f t="shared" si="24"/>
        <v>244.77492813425999</v>
      </c>
      <c r="N109" s="39">
        <f t="shared" si="24"/>
        <v>10.674429380949601</v>
      </c>
      <c r="O109" s="39">
        <f t="shared" si="24"/>
        <v>336.591459192711</v>
      </c>
      <c r="P109" s="39">
        <f t="shared" si="24"/>
        <v>2538.9735799197201</v>
      </c>
      <c r="Q109" s="39">
        <f t="shared" si="24"/>
        <v>260.00650286617201</v>
      </c>
      <c r="R109" s="39">
        <f t="shared" si="24"/>
        <v>30.9559619822308</v>
      </c>
      <c r="S109" s="39">
        <f t="shared" si="24"/>
        <v>220.79452026243601</v>
      </c>
      <c r="T109" s="39">
        <f t="shared" si="24"/>
        <v>225.830435548124</v>
      </c>
      <c r="U109" s="39">
        <f t="shared" si="24"/>
        <v>204.21026210127201</v>
      </c>
      <c r="V109" s="39">
        <f t="shared" si="24"/>
        <v>1133.79500277124</v>
      </c>
      <c r="W109" s="39">
        <f t="shared" si="24"/>
        <v>171.33427438973399</v>
      </c>
      <c r="X109" s="39">
        <f t="shared" si="23"/>
        <v>395.01158653862899</v>
      </c>
      <c r="Y109" s="39">
        <f t="shared" si="23"/>
        <v>71.157683020458407</v>
      </c>
      <c r="Z109" s="39">
        <f t="shared" si="23"/>
        <v>11.235643591743999</v>
      </c>
      <c r="AA109" s="39">
        <f t="shared" si="23"/>
        <v>713.73549839862005</v>
      </c>
      <c r="AB109" s="39">
        <f t="shared" si="23"/>
        <v>39.119080705113603</v>
      </c>
      <c r="AC109" s="39">
        <f t="shared" si="23"/>
        <v>71.672234337955601</v>
      </c>
      <c r="AD109" s="39">
        <f t="shared" si="23"/>
        <v>13.6218918170468</v>
      </c>
      <c r="AE109" s="39">
        <f t="shared" si="23"/>
        <v>46.771100327471899</v>
      </c>
      <c r="AF109" s="39">
        <f t="shared" si="23"/>
        <v>12.742153601583199</v>
      </c>
      <c r="AG109" s="39">
        <f t="shared" si="23"/>
        <v>34.093002205320197</v>
      </c>
      <c r="AH109" s="39">
        <f t="shared" si="23"/>
        <v>0.81665532170306498</v>
      </c>
      <c r="AI109" s="39">
        <f t="shared" si="23"/>
        <v>162.71433930297201</v>
      </c>
      <c r="AJ109" s="39">
        <f t="shared" si="23"/>
        <v>117.429418498936</v>
      </c>
      <c r="AK109" s="39">
        <f t="shared" si="23"/>
        <v>755.06274448196598</v>
      </c>
      <c r="AL109" s="39">
        <f t="shared" si="23"/>
        <v>75.148461890449397</v>
      </c>
      <c r="AM109" s="39">
        <f t="shared" si="23"/>
        <v>632.987851715744</v>
      </c>
      <c r="AN109" s="39">
        <f t="shared" si="23"/>
        <v>196.35656988936401</v>
      </c>
      <c r="AO109" s="39">
        <f t="shared" si="23"/>
        <v>345.239517639224</v>
      </c>
      <c r="AP109" s="39">
        <f t="shared" si="23"/>
        <v>41.492685427550498</v>
      </c>
      <c r="AQ109" s="39">
        <f t="shared" si="23"/>
        <v>133.70725975459399</v>
      </c>
      <c r="AR109" s="39">
        <f t="shared" si="23"/>
        <v>974.58960667921701</v>
      </c>
    </row>
    <row r="110" spans="2:44" s="35" customFormat="1" ht="14.4">
      <c r="B110" s="35" t="s">
        <v>231</v>
      </c>
      <c r="D110" s="35" t="s">
        <v>216</v>
      </c>
      <c r="E110" s="35" t="s">
        <v>75</v>
      </c>
      <c r="F110" s="35">
        <v>2060</v>
      </c>
      <c r="H110" s="39">
        <f t="shared" si="24"/>
        <v>20.606959007251501</v>
      </c>
      <c r="I110" s="39">
        <f>I148</f>
        <v>151.92494499666299</v>
      </c>
      <c r="J110" s="39">
        <f t="shared" si="23"/>
        <v>49.616283038400397</v>
      </c>
      <c r="K110" s="39">
        <f t="shared" si="23"/>
        <v>113.066291408395</v>
      </c>
      <c r="L110" s="39">
        <f t="shared" si="23"/>
        <v>104.734532605505</v>
      </c>
      <c r="M110" s="39">
        <f t="shared" si="23"/>
        <v>125.942959015363</v>
      </c>
      <c r="N110" s="39">
        <f t="shared" si="23"/>
        <v>14.4502726853793</v>
      </c>
      <c r="O110" s="39">
        <f t="shared" si="23"/>
        <v>137.919270294802</v>
      </c>
      <c r="P110" s="39">
        <f t="shared" si="23"/>
        <v>1308.7090807244799</v>
      </c>
      <c r="Q110" s="39">
        <f t="shared" si="23"/>
        <v>160.60969552325699</v>
      </c>
      <c r="R110" s="39">
        <f t="shared" si="23"/>
        <v>24.045370170485299</v>
      </c>
      <c r="S110" s="39">
        <f t="shared" si="23"/>
        <v>175.93270279885701</v>
      </c>
      <c r="T110" s="39">
        <f t="shared" si="23"/>
        <v>186.45602003573299</v>
      </c>
      <c r="U110" s="39">
        <f t="shared" si="23"/>
        <v>162.21315907568899</v>
      </c>
      <c r="V110" s="39">
        <f t="shared" si="23"/>
        <v>1252.36999350114</v>
      </c>
      <c r="W110" s="39">
        <f t="shared" si="23"/>
        <v>132.34861543181299</v>
      </c>
      <c r="X110" s="39">
        <f t="shared" si="23"/>
        <v>236.90752942957599</v>
      </c>
      <c r="Y110" s="39">
        <f t="shared" si="23"/>
        <v>60.133431237365997</v>
      </c>
      <c r="Z110" s="39">
        <f t="shared" si="23"/>
        <v>8.92496401753532</v>
      </c>
      <c r="AA110" s="39">
        <f t="shared" si="23"/>
        <v>403.80456887207799</v>
      </c>
      <c r="AB110" s="39">
        <f t="shared" si="23"/>
        <v>29.206591820506802</v>
      </c>
      <c r="AC110" s="39">
        <f t="shared" si="23"/>
        <v>47.179043328148303</v>
      </c>
      <c r="AD110" s="39">
        <f t="shared" si="23"/>
        <v>7.3560417286278499</v>
      </c>
      <c r="AE110" s="39">
        <f t="shared" si="23"/>
        <v>37.812350741585099</v>
      </c>
      <c r="AF110" s="39">
        <f t="shared" si="23"/>
        <v>9.51338509105085</v>
      </c>
      <c r="AG110" s="39">
        <f t="shared" si="23"/>
        <v>19.766782444099601</v>
      </c>
      <c r="AH110" s="39">
        <f t="shared" si="23"/>
        <v>0.53660700198845002</v>
      </c>
      <c r="AI110" s="39">
        <f t="shared" si="23"/>
        <v>100.251318866814</v>
      </c>
      <c r="AJ110" s="39">
        <f t="shared" si="23"/>
        <v>75.379176457848104</v>
      </c>
      <c r="AK110" s="39">
        <f t="shared" si="23"/>
        <v>433.94372960419003</v>
      </c>
      <c r="AL110" s="39">
        <f t="shared" si="23"/>
        <v>84.219719420740603</v>
      </c>
      <c r="AM110" s="39">
        <f t="shared" si="23"/>
        <v>456.669181371972</v>
      </c>
      <c r="AN110" s="39">
        <f t="shared" si="23"/>
        <v>146.60125147786999</v>
      </c>
      <c r="AO110" s="39">
        <f t="shared" si="23"/>
        <v>187.86913597220499</v>
      </c>
      <c r="AP110" s="39">
        <f t="shared" si="23"/>
        <v>35.720098690027797</v>
      </c>
      <c r="AQ110" s="39">
        <f t="shared" si="23"/>
        <v>54.728975273093198</v>
      </c>
      <c r="AR110" s="39">
        <f t="shared" si="23"/>
        <v>428.16240396679302</v>
      </c>
    </row>
    <row r="111" spans="2:44" s="35" customFormat="1" ht="14.4">
      <c r="B111" s="35" t="s">
        <v>231</v>
      </c>
      <c r="D111" s="35" t="s">
        <v>217</v>
      </c>
      <c r="E111" s="35" t="s">
        <v>75</v>
      </c>
      <c r="F111" s="35">
        <v>2060</v>
      </c>
      <c r="H111" s="39">
        <f>H149</f>
        <v>15.774387907230899</v>
      </c>
      <c r="I111" s="39">
        <f t="shared" si="23"/>
        <v>120.54340766726899</v>
      </c>
      <c r="J111" s="39">
        <f t="shared" si="23"/>
        <v>41.933569844009497</v>
      </c>
      <c r="K111" s="39">
        <f t="shared" si="23"/>
        <v>113.066291408395</v>
      </c>
      <c r="L111" s="39">
        <f t="shared" si="23"/>
        <v>98.695124628582704</v>
      </c>
      <c r="M111" s="39">
        <f t="shared" si="23"/>
        <v>99.928247146935504</v>
      </c>
      <c r="N111" s="39">
        <f t="shared" si="23"/>
        <v>20.860764410120499</v>
      </c>
      <c r="O111" s="39">
        <f t="shared" si="23"/>
        <v>159.86160308350699</v>
      </c>
      <c r="P111" s="39">
        <f t="shared" si="23"/>
        <v>912.14145381840399</v>
      </c>
      <c r="Q111" s="39">
        <f t="shared" si="23"/>
        <v>65.784462570504999</v>
      </c>
      <c r="R111" s="39">
        <f t="shared" si="23"/>
        <v>22.613386062675399</v>
      </c>
      <c r="S111" s="39">
        <f t="shared" si="23"/>
        <v>134.67444170389999</v>
      </c>
      <c r="T111" s="39">
        <f t="shared" si="23"/>
        <v>118.13656236797</v>
      </c>
      <c r="U111" s="39">
        <f t="shared" si="23"/>
        <v>128.53246834783101</v>
      </c>
      <c r="V111" s="39">
        <f t="shared" si="23"/>
        <v>922.92144269410505</v>
      </c>
      <c r="W111" s="39">
        <f t="shared" si="23"/>
        <v>104.928117753444</v>
      </c>
      <c r="X111" s="39">
        <f t="shared" si="23"/>
        <v>322.05482306960499</v>
      </c>
      <c r="Y111" s="39">
        <f t="shared" si="23"/>
        <v>52.333780651589898</v>
      </c>
      <c r="Z111" s="39">
        <f t="shared" si="23"/>
        <v>7.0718532431399703</v>
      </c>
      <c r="AA111" s="39">
        <f t="shared" si="23"/>
        <v>292.52111310299199</v>
      </c>
      <c r="AB111" s="39">
        <f t="shared" si="23"/>
        <v>24.6841678378611</v>
      </c>
      <c r="AC111" s="39">
        <f t="shared" si="23"/>
        <v>47.179043328148303</v>
      </c>
      <c r="AD111" s="39">
        <f t="shared" si="23"/>
        <v>5.7173903406803399</v>
      </c>
      <c r="AE111" s="39">
        <f t="shared" si="23"/>
        <v>36.500011475123699</v>
      </c>
      <c r="AF111" s="39">
        <f t="shared" si="23"/>
        <v>8.0403080146045607</v>
      </c>
      <c r="AG111" s="39">
        <f t="shared" si="23"/>
        <v>18.626951477166902</v>
      </c>
      <c r="AH111" s="39">
        <f t="shared" si="23"/>
        <v>0.616376579101101</v>
      </c>
      <c r="AI111" s="39">
        <f t="shared" si="23"/>
        <v>97.511531668585206</v>
      </c>
      <c r="AJ111" s="39">
        <f t="shared" si="23"/>
        <v>63.401944480743602</v>
      </c>
      <c r="AK111" s="39">
        <f t="shared" si="23"/>
        <v>448.60135533899398</v>
      </c>
      <c r="AL111" s="39">
        <f t="shared" si="23"/>
        <v>71.982216618097794</v>
      </c>
      <c r="AM111" s="39">
        <f t="shared" si="23"/>
        <v>624.76474677037004</v>
      </c>
      <c r="AN111" s="39">
        <f t="shared" si="23"/>
        <v>123.90113570798199</v>
      </c>
      <c r="AO111" s="39">
        <f t="shared" si="23"/>
        <v>129.419261606547</v>
      </c>
      <c r="AP111" s="39">
        <f t="shared" si="23"/>
        <v>19.404940788077301</v>
      </c>
      <c r="AQ111" s="39">
        <f t="shared" si="23"/>
        <v>63.484777969432301</v>
      </c>
      <c r="AR111" s="39">
        <f t="shared" si="23"/>
        <v>303.99210417641899</v>
      </c>
    </row>
    <row r="112" spans="2:44" s="35" customFormat="1" ht="14.4">
      <c r="B112" s="35" t="s">
        <v>231</v>
      </c>
      <c r="D112" s="35" t="s">
        <v>218</v>
      </c>
      <c r="E112" s="35" t="s">
        <v>75</v>
      </c>
      <c r="F112" s="35">
        <v>2060</v>
      </c>
      <c r="H112" s="39">
        <f t="shared" si="24"/>
        <v>10.6121962776984</v>
      </c>
      <c r="I112" s="39">
        <f t="shared" si="23"/>
        <v>143.870845978321</v>
      </c>
      <c r="J112" s="39">
        <f t="shared" si="23"/>
        <v>20.553204563272701</v>
      </c>
      <c r="K112" s="39">
        <f t="shared" si="23"/>
        <v>83.286956670148896</v>
      </c>
      <c r="L112" s="39">
        <f t="shared" si="23"/>
        <v>56.998205552704697</v>
      </c>
      <c r="M112" s="39">
        <f t="shared" si="23"/>
        <v>119.266260448219</v>
      </c>
      <c r="N112" s="39">
        <f t="shared" si="23"/>
        <v>17.987548650858098</v>
      </c>
      <c r="O112" s="39">
        <f t="shared" si="23"/>
        <v>82.519377737161605</v>
      </c>
      <c r="P112" s="39">
        <f t="shared" si="23"/>
        <v>839.50054556575697</v>
      </c>
      <c r="Q112" s="39">
        <f t="shared" si="23"/>
        <v>65.836609892093406</v>
      </c>
      <c r="R112" s="39">
        <f t="shared" si="23"/>
        <v>7.3370537714334496</v>
      </c>
      <c r="S112" s="39">
        <f t="shared" si="23"/>
        <v>90.602032697325797</v>
      </c>
      <c r="T112" s="39">
        <f t="shared" si="23"/>
        <v>116.97492460196</v>
      </c>
      <c r="U112" s="39">
        <f t="shared" si="23"/>
        <v>93.848682411488397</v>
      </c>
      <c r="V112" s="39">
        <f t="shared" si="23"/>
        <v>555.95651360638396</v>
      </c>
      <c r="W112" s="39">
        <f t="shared" si="23"/>
        <v>56.1645465467736</v>
      </c>
      <c r="X112" s="39">
        <f t="shared" si="23"/>
        <v>132.83257396412</v>
      </c>
      <c r="Y112" s="39">
        <f t="shared" si="23"/>
        <v>67.997343026040298</v>
      </c>
      <c r="Z112" s="39">
        <f t="shared" si="23"/>
        <v>5.1635521950769103</v>
      </c>
      <c r="AA112" s="39">
        <f t="shared" si="23"/>
        <v>108.231714560828</v>
      </c>
      <c r="AB112" s="39">
        <f t="shared" si="23"/>
        <v>12.0986301174211</v>
      </c>
      <c r="AC112" s="39">
        <f t="shared" si="23"/>
        <v>14.6711592678598</v>
      </c>
      <c r="AD112" s="39">
        <f t="shared" si="23"/>
        <v>4.5488610217862204</v>
      </c>
      <c r="AE112" s="39">
        <f t="shared" si="23"/>
        <v>11.425109521226</v>
      </c>
      <c r="AF112" s="39">
        <f t="shared" si="23"/>
        <v>3.9408544512338</v>
      </c>
      <c r="AG112" s="39">
        <f t="shared" si="23"/>
        <v>10.7573987378941</v>
      </c>
      <c r="AH112" s="39">
        <f t="shared" si="23"/>
        <v>0.59693101520703595</v>
      </c>
      <c r="AI112" s="39">
        <f t="shared" si="23"/>
        <v>86.021987473322497</v>
      </c>
      <c r="AJ112" s="39">
        <f t="shared" si="23"/>
        <v>69.830033543698406</v>
      </c>
      <c r="AK112" s="39">
        <f t="shared" si="23"/>
        <v>448.60135533899398</v>
      </c>
      <c r="AL112" s="39">
        <f t="shared" si="23"/>
        <v>78.393356583245307</v>
      </c>
      <c r="AM112" s="39">
        <f t="shared" si="23"/>
        <v>86.036626743798394</v>
      </c>
      <c r="AN112" s="39">
        <f t="shared" si="23"/>
        <v>60.728561801464302</v>
      </c>
      <c r="AO112" s="39">
        <f t="shared" si="23"/>
        <v>105.966750773519</v>
      </c>
      <c r="AP112" s="39">
        <f t="shared" si="23"/>
        <v>19.404940788077301</v>
      </c>
      <c r="AQ112" s="39">
        <f t="shared" si="23"/>
        <v>33.777188329420902</v>
      </c>
      <c r="AR112" s="39">
        <f t="shared" si="23"/>
        <v>303.99210417641899</v>
      </c>
    </row>
    <row r="113" spans="2:44" s="35" customFormat="1" ht="14.4">
      <c r="B113" s="35" t="s">
        <v>231</v>
      </c>
      <c r="D113" s="35" t="s">
        <v>208</v>
      </c>
      <c r="E113" s="35" t="s">
        <v>75</v>
      </c>
      <c r="F113" s="35">
        <v>2060</v>
      </c>
      <c r="H113" s="39">
        <f t="shared" si="24"/>
        <v>16.371367137160401</v>
      </c>
      <c r="I113" s="39">
        <f t="shared" si="23"/>
        <v>353.94295821763399</v>
      </c>
      <c r="J113" s="39">
        <f t="shared" si="23"/>
        <v>35.381252957228</v>
      </c>
      <c r="K113" s="39">
        <f t="shared" si="23"/>
        <v>358.308086490145</v>
      </c>
      <c r="L113" s="39">
        <f t="shared" si="23"/>
        <v>109.917120600476</v>
      </c>
      <c r="M113" s="39">
        <f t="shared" si="23"/>
        <v>397.35844425136798</v>
      </c>
      <c r="N113" s="39">
        <f t="shared" si="23"/>
        <v>2.5286018964208599</v>
      </c>
      <c r="O113" s="39">
        <f t="shared" si="23"/>
        <v>532.79970810153497</v>
      </c>
      <c r="P113" s="39">
        <f t="shared" si="23"/>
        <v>4002.9176360012598</v>
      </c>
      <c r="Q113" s="39">
        <f t="shared" si="23"/>
        <v>382.94240472377498</v>
      </c>
      <c r="R113" s="39">
        <f t="shared" si="23"/>
        <v>91.537888851347205</v>
      </c>
      <c r="S113" s="39">
        <f t="shared" si="23"/>
        <v>139.771174773506</v>
      </c>
      <c r="T113" s="39">
        <f t="shared" si="23"/>
        <v>970.51998456202705</v>
      </c>
      <c r="U113" s="39">
        <f t="shared" si="23"/>
        <v>156.19788070804401</v>
      </c>
      <c r="V113" s="39">
        <f t="shared" si="23"/>
        <v>2447.18837835461</v>
      </c>
      <c r="W113" s="39">
        <f t="shared" si="23"/>
        <v>74.868894817319401</v>
      </c>
      <c r="X113" s="39">
        <f t="shared" si="23"/>
        <v>250.853746745124</v>
      </c>
      <c r="Y113" s="39">
        <f t="shared" si="23"/>
        <v>24.952699163763199</v>
      </c>
      <c r="Z113" s="39">
        <f t="shared" si="23"/>
        <v>9.4665630514884107</v>
      </c>
      <c r="AA113" s="39">
        <f t="shared" si="23"/>
        <v>4107.5884773512898</v>
      </c>
      <c r="AB113" s="39">
        <f t="shared" si="23"/>
        <v>20.827150885528599</v>
      </c>
      <c r="AC113" s="39">
        <f t="shared" si="23"/>
        <v>186.703496135731</v>
      </c>
      <c r="AD113" s="39">
        <f t="shared" si="23"/>
        <v>19.252162893617001</v>
      </c>
      <c r="AE113" s="39">
        <f t="shared" si="23"/>
        <v>120.54421417464199</v>
      </c>
      <c r="AF113" s="39">
        <f t="shared" si="23"/>
        <v>12.8579079094257</v>
      </c>
      <c r="AG113" s="39">
        <f t="shared" si="23"/>
        <v>22.754685433208198</v>
      </c>
      <c r="AH113" s="39">
        <f t="shared" si="23"/>
        <v>3.5661613679711199</v>
      </c>
      <c r="AI113" s="39">
        <f t="shared" si="23"/>
        <v>393.08475119009103</v>
      </c>
      <c r="AJ113" s="39">
        <f t="shared" si="23"/>
        <v>219.26345602994601</v>
      </c>
      <c r="AK113" s="39">
        <f t="shared" si="23"/>
        <v>1378.2357576796801</v>
      </c>
      <c r="AL113" s="39">
        <f t="shared" si="23"/>
        <v>69.7680646909822</v>
      </c>
      <c r="AM113" s="39">
        <f t="shared" si="23"/>
        <v>212.997377468347</v>
      </c>
      <c r="AN113" s="39">
        <f t="shared" si="23"/>
        <v>104.541002363484</v>
      </c>
      <c r="AO113" s="39">
        <f t="shared" si="23"/>
        <v>783.731208503179</v>
      </c>
      <c r="AP113" s="39">
        <f t="shared" si="23"/>
        <v>146.8358600315</v>
      </c>
      <c r="AQ113" s="39">
        <f t="shared" si="23"/>
        <v>139.96452575991799</v>
      </c>
      <c r="AR113" s="39">
        <f t="shared" si="23"/>
        <v>1596.5037647952399</v>
      </c>
    </row>
    <row r="114" spans="2:44" s="35" customFormat="1" ht="14.4">
      <c r="B114" s="35" t="s">
        <v>231</v>
      </c>
      <c r="D114" s="35" t="s">
        <v>209</v>
      </c>
      <c r="E114" s="35" t="s">
        <v>75</v>
      </c>
      <c r="F114" s="35">
        <v>2060</v>
      </c>
      <c r="H114" s="39">
        <f t="shared" si="24"/>
        <v>59.581294747094297</v>
      </c>
      <c r="I114" s="39">
        <f t="shared" si="23"/>
        <v>427.04149443221098</v>
      </c>
      <c r="J114" s="39">
        <f t="shared" si="23"/>
        <v>80.779292831540502</v>
      </c>
      <c r="K114" s="39">
        <f t="shared" si="23"/>
        <v>199.06004796110099</v>
      </c>
      <c r="L114" s="39">
        <f t="shared" si="23"/>
        <v>227.545364052807</v>
      </c>
      <c r="M114" s="39">
        <f t="shared" si="23"/>
        <v>479.423420974019</v>
      </c>
      <c r="N114" s="39">
        <f t="shared" si="23"/>
        <v>8.4249041779713405</v>
      </c>
      <c r="O114" s="39">
        <f t="shared" si="23"/>
        <v>723.62433441365295</v>
      </c>
      <c r="P114" s="39">
        <f t="shared" si="23"/>
        <v>6076.0485659353599</v>
      </c>
      <c r="Q114" s="39">
        <f t="shared" si="23"/>
        <v>278.07094914614498</v>
      </c>
      <c r="R114" s="39">
        <f t="shared" si="23"/>
        <v>135.32120899748901</v>
      </c>
      <c r="S114" s="39">
        <f t="shared" si="23"/>
        <v>508.67758883894402</v>
      </c>
      <c r="T114" s="39">
        <f t="shared" si="23"/>
        <v>1725.22995160562</v>
      </c>
      <c r="U114" s="39">
        <f t="shared" si="23"/>
        <v>285.688707956717</v>
      </c>
      <c r="V114" s="39">
        <f t="shared" si="23"/>
        <v>1655.1634856718799</v>
      </c>
      <c r="W114" s="39">
        <f t="shared" si="23"/>
        <v>136.03245071750399</v>
      </c>
      <c r="X114" s="39">
        <f t="shared" si="23"/>
        <v>337.98071506747101</v>
      </c>
      <c r="Y114" s="39">
        <f t="shared" si="23"/>
        <v>22.642089968710302</v>
      </c>
      <c r="Z114" s="39">
        <f t="shared" si="23"/>
        <v>17.314512557475702</v>
      </c>
      <c r="AA114" s="39">
        <f t="shared" si="23"/>
        <v>5761.7366515410404</v>
      </c>
      <c r="AB114" s="39">
        <f t="shared" si="23"/>
        <v>47.5506766892237</v>
      </c>
      <c r="AC114" s="39">
        <f t="shared" si="23"/>
        <v>199.52465530665901</v>
      </c>
      <c r="AD114" s="39">
        <f t="shared" si="23"/>
        <v>17.7072119361702</v>
      </c>
      <c r="AE114" s="39">
        <f t="shared" si="23"/>
        <v>146.193301310386</v>
      </c>
      <c r="AF114" s="39">
        <f t="shared" si="23"/>
        <v>29.356018269677801</v>
      </c>
      <c r="AG114" s="39">
        <f t="shared" si="23"/>
        <v>47.105702483112601</v>
      </c>
      <c r="AH114" s="39">
        <f t="shared" si="23"/>
        <v>3.7387847322823502</v>
      </c>
      <c r="AI114" s="39">
        <f t="shared" si="23"/>
        <v>442.41774635611898</v>
      </c>
      <c r="AJ114" s="39">
        <f t="shared" si="23"/>
        <v>291.70717651137102</v>
      </c>
      <c r="AK114" s="39">
        <f t="shared" si="23"/>
        <v>1529.29326808768</v>
      </c>
      <c r="AL114" s="39">
        <f t="shared" si="23"/>
        <v>94.378706715696396</v>
      </c>
      <c r="AM114" s="39">
        <f t="shared" si="23"/>
        <v>617.167522504864</v>
      </c>
      <c r="AN114" s="39">
        <f t="shared" si="23"/>
        <v>238.67860906541199</v>
      </c>
      <c r="AO114" s="39">
        <f t="shared" si="23"/>
        <v>710.78229879373703</v>
      </c>
      <c r="AP114" s="39">
        <f t="shared" si="23"/>
        <v>98.149506032340099</v>
      </c>
      <c r="AQ114" s="39">
        <f t="shared" si="23"/>
        <v>179.83292051279801</v>
      </c>
      <c r="AR114" s="39">
        <f t="shared" si="23"/>
        <v>1004.57408703131</v>
      </c>
    </row>
    <row r="115" spans="2:44" s="35" customFormat="1" ht="14.4">
      <c r="B115" s="35" t="s">
        <v>231</v>
      </c>
      <c r="D115" s="35" t="s">
        <v>210</v>
      </c>
      <c r="E115" s="35" t="s">
        <v>75</v>
      </c>
      <c r="F115" s="35">
        <v>2060</v>
      </c>
      <c r="H115" s="39">
        <f t="shared" si="24"/>
        <v>47.4753549528874</v>
      </c>
      <c r="I115" s="39">
        <f t="shared" si="23"/>
        <v>219.72376763046299</v>
      </c>
      <c r="J115" s="39">
        <f t="shared" si="23"/>
        <v>60.310410949191699</v>
      </c>
      <c r="K115" s="39">
        <f t="shared" si="23"/>
        <v>107.728857385474</v>
      </c>
      <c r="L115" s="39">
        <f t="shared" si="23"/>
        <v>131.928531265967</v>
      </c>
      <c r="M115" s="39">
        <f t="shared" si="23"/>
        <v>246.67560815549501</v>
      </c>
      <c r="N115" s="39">
        <f t="shared" si="23"/>
        <v>11.405027695171</v>
      </c>
      <c r="O115" s="39">
        <f t="shared" si="23"/>
        <v>296.507048661483</v>
      </c>
      <c r="P115" s="39">
        <f t="shared" si="23"/>
        <v>3131.8876242162501</v>
      </c>
      <c r="Q115" s="39">
        <f t="shared" si="23"/>
        <v>171.76835957527101</v>
      </c>
      <c r="R115" s="39">
        <f t="shared" si="23"/>
        <v>105.112177231966</v>
      </c>
      <c r="S115" s="39">
        <f t="shared" si="23"/>
        <v>405.32266358453899</v>
      </c>
      <c r="T115" s="39">
        <f t="shared" si="23"/>
        <v>1424.4293938594301</v>
      </c>
      <c r="U115" s="39">
        <f t="shared" si="23"/>
        <v>226.93505876276001</v>
      </c>
      <c r="V115" s="39">
        <f t="shared" si="23"/>
        <v>1828.2644382164799</v>
      </c>
      <c r="W115" s="39">
        <f t="shared" si="23"/>
        <v>105.07942191009001</v>
      </c>
      <c r="X115" s="39">
        <f t="shared" si="23"/>
        <v>202.70336093963101</v>
      </c>
      <c r="Y115" s="39">
        <f t="shared" si="23"/>
        <v>19.134217169665799</v>
      </c>
      <c r="Z115" s="39">
        <f t="shared" si="23"/>
        <v>13.753675995043499</v>
      </c>
      <c r="AA115" s="39">
        <f t="shared" si="25" ref="I115:AR122">AA153</f>
        <v>3259.77282866008</v>
      </c>
      <c r="AB115" s="39">
        <f t="shared" si="25"/>
        <v>35.501683061522101</v>
      </c>
      <c r="AC115" s="39">
        <f t="shared" si="25"/>
        <v>131.33931772462799</v>
      </c>
      <c r="AD115" s="39">
        <f t="shared" si="25"/>
        <v>9.56218061702128</v>
      </c>
      <c r="AE115" s="39">
        <f t="shared" si="25"/>
        <v>118.19077050816399</v>
      </c>
      <c r="AF115" s="39">
        <f t="shared" si="25"/>
        <v>21.9174179869146</v>
      </c>
      <c r="AG115" s="39">
        <f t="shared" si="25"/>
        <v>27.3114162036122</v>
      </c>
      <c r="AH115" s="39">
        <f t="shared" si="25"/>
        <v>2.4566766577683499</v>
      </c>
      <c r="AI115" s="39">
        <f t="shared" si="25"/>
        <v>272.58176969701299</v>
      </c>
      <c r="AJ115" s="39">
        <f t="shared" si="25"/>
        <v>187.249898818757</v>
      </c>
      <c r="AK115" s="39">
        <f t="shared" si="25"/>
        <v>878.90341466635596</v>
      </c>
      <c r="AL115" s="39">
        <f t="shared" si="25"/>
        <v>105.77126928393599</v>
      </c>
      <c r="AM115" s="39">
        <f t="shared" si="25"/>
        <v>445.25560246965301</v>
      </c>
      <c r="AN115" s="39">
        <f t="shared" si="25"/>
        <v>178.199195523236</v>
      </c>
      <c r="AO115" s="39">
        <f t="shared" si="25"/>
        <v>386.786707535201</v>
      </c>
      <c r="AP115" s="39">
        <f t="shared" si="25"/>
        <v>84.494652629178603</v>
      </c>
      <c r="AQ115" s="39">
        <f t="shared" si="25"/>
        <v>73.609103036717798</v>
      </c>
      <c r="AR115" s="39">
        <f t="shared" si="25"/>
        <v>441.33536118002598</v>
      </c>
    </row>
    <row r="116" spans="2:44" s="35" customFormat="1" ht="14.4">
      <c r="B116" s="35" t="s">
        <v>231</v>
      </c>
      <c r="D116" s="35" t="s">
        <v>211</v>
      </c>
      <c r="E116" s="35" t="s">
        <v>75</v>
      </c>
      <c r="F116" s="35">
        <v>2060</v>
      </c>
      <c r="H116" s="39">
        <f t="shared" si="24"/>
        <v>36.3418331058352</v>
      </c>
      <c r="I116" s="39">
        <f t="shared" si="25"/>
        <v>174.33774089073401</v>
      </c>
      <c r="J116" s="39">
        <f t="shared" si="25"/>
        <v>50.971791415763697</v>
      </c>
      <c r="K116" s="39">
        <f t="shared" si="25"/>
        <v>107.728857385474</v>
      </c>
      <c r="L116" s="39">
        <f t="shared" si="25"/>
        <v>124.321009617759</v>
      </c>
      <c r="M116" s="39">
        <f t="shared" si="25"/>
        <v>195.72242330653799</v>
      </c>
      <c r="N116" s="39">
        <f t="shared" si="25"/>
        <v>16.464574822908801</v>
      </c>
      <c r="O116" s="39">
        <f t="shared" si="25"/>
        <v>343.67998049341998</v>
      </c>
      <c r="P116" s="39">
        <f t="shared" si="25"/>
        <v>2182.8568112074499</v>
      </c>
      <c r="Q116" s="39">
        <f t="shared" si="25"/>
        <v>70.354963219765395</v>
      </c>
      <c r="R116" s="39">
        <f t="shared" si="25"/>
        <v>98.852387248851798</v>
      </c>
      <c r="S116" s="39">
        <f t="shared" si="25"/>
        <v>310.269793846082</v>
      </c>
      <c r="T116" s="39">
        <f t="shared" si="25"/>
        <v>902.50339943003803</v>
      </c>
      <c r="U116" s="39">
        <f t="shared" si="25"/>
        <v>179.816011374439</v>
      </c>
      <c r="V116" s="39">
        <f t="shared" si="25"/>
        <v>1347.32104865266</v>
      </c>
      <c r="W116" s="39">
        <f t="shared" si="25"/>
        <v>83.308661142180895</v>
      </c>
      <c r="X116" s="39">
        <f t="shared" si="25"/>
        <v>275.55728262504601</v>
      </c>
      <c r="Y116" s="39">
        <f t="shared" si="25"/>
        <v>16.6523995669641</v>
      </c>
      <c r="Z116" s="39">
        <f t="shared" si="25"/>
        <v>10.8979686640244</v>
      </c>
      <c r="AA116" s="39">
        <f t="shared" si="25"/>
        <v>2361.4204736861502</v>
      </c>
      <c r="AB116" s="39">
        <f t="shared" si="25"/>
        <v>30.004510920095299</v>
      </c>
      <c r="AC116" s="39">
        <f t="shared" si="25"/>
        <v>131.33931772462799</v>
      </c>
      <c r="AD116" s="39">
        <f t="shared" si="25"/>
        <v>7.4320838723404297</v>
      </c>
      <c r="AE116" s="39">
        <f t="shared" si="25"/>
        <v>114.08876716721301</v>
      </c>
      <c r="AF116" s="39">
        <f t="shared" si="25"/>
        <v>18.523668474789101</v>
      </c>
      <c r="AG116" s="39">
        <f t="shared" si="25"/>
        <v>25.736531771727499</v>
      </c>
      <c r="AH116" s="39">
        <f t="shared" si="25"/>
        <v>2.8218751314493198</v>
      </c>
      <c r="AI116" s="39">
        <f t="shared" si="25"/>
        <v>265.13233111078898</v>
      </c>
      <c r="AJ116" s="39">
        <f t="shared" si="25"/>
        <v>157.49717955025</v>
      </c>
      <c r="AK116" s="39">
        <f t="shared" si="25"/>
        <v>908.59075989190103</v>
      </c>
      <c r="AL116" s="39">
        <f t="shared" si="25"/>
        <v>90.402229667039606</v>
      </c>
      <c r="AM116" s="39">
        <f t="shared" si="25"/>
        <v>609.14993845063998</v>
      </c>
      <c r="AN116" s="39">
        <f t="shared" si="25"/>
        <v>150.60637262643399</v>
      </c>
      <c r="AO116" s="39">
        <f t="shared" si="25"/>
        <v>266.44956783023298</v>
      </c>
      <c r="AP116" s="39">
        <f t="shared" si="25"/>
        <v>45.901713357699002</v>
      </c>
      <c r="AQ116" s="39">
        <f t="shared" si="25"/>
        <v>85.385438691239997</v>
      </c>
      <c r="AR116" s="39">
        <f t="shared" si="25"/>
        <v>313.344805264549</v>
      </c>
    </row>
    <row r="117" spans="2:44" s="35" customFormat="1" ht="14.4">
      <c r="B117" s="35" t="s">
        <v>231</v>
      </c>
      <c r="D117" s="35" t="s">
        <v>212</v>
      </c>
      <c r="E117" s="35" t="s">
        <v>75</v>
      </c>
      <c r="F117" s="35">
        <v>2060</v>
      </c>
      <c r="H117" s="39">
        <f t="shared" si="24"/>
        <v>24.448914802817399</v>
      </c>
      <c r="I117" s="39">
        <f t="shared" si="25"/>
        <v>208.07540414928701</v>
      </c>
      <c r="J117" s="39">
        <f t="shared" si="25"/>
        <v>24.983173620128099</v>
      </c>
      <c r="K117" s="39">
        <f t="shared" si="25"/>
        <v>79.355292947393906</v>
      </c>
      <c r="L117" s="39">
        <f t="shared" si="25"/>
        <v>71.797613989340505</v>
      </c>
      <c r="M117" s="39">
        <f t="shared" si="25"/>
        <v>233.598428673629</v>
      </c>
      <c r="N117" s="39">
        <f t="shared" si="25"/>
        <v>14.196859464032199</v>
      </c>
      <c r="O117" s="39">
        <f t="shared" si="25"/>
        <v>177.40506528151201</v>
      </c>
      <c r="P117" s="39">
        <f t="shared" si="25"/>
        <v>2009.01896984216</v>
      </c>
      <c r="Q117" s="39">
        <f t="shared" si="25"/>
        <v>70.410733575697506</v>
      </c>
      <c r="R117" s="39">
        <f t="shared" si="25"/>
        <v>32.073271940309198</v>
      </c>
      <c r="S117" s="39">
        <f t="shared" si="25"/>
        <v>208.733547742052</v>
      </c>
      <c r="T117" s="39">
        <f t="shared" si="25"/>
        <v>893.62907625932303</v>
      </c>
      <c r="U117" s="39">
        <f t="shared" si="25"/>
        <v>131.293640905676</v>
      </c>
      <c r="V117" s="39">
        <f t="shared" si="25"/>
        <v>811.60961081462005</v>
      </c>
      <c r="W117" s="39">
        <f t="shared" si="25"/>
        <v>44.592367390635403</v>
      </c>
      <c r="X117" s="39">
        <f t="shared" si="25"/>
        <v>113.654510051329</v>
      </c>
      <c r="Y117" s="39">
        <f t="shared" si="25"/>
        <v>21.636482429960701</v>
      </c>
      <c r="Z117" s="39">
        <f t="shared" si="25"/>
        <v>7.9572112262919399</v>
      </c>
      <c r="AA117" s="39">
        <f t="shared" si="25"/>
        <v>873.71671724805901</v>
      </c>
      <c r="AB117" s="39">
        <f t="shared" si="25"/>
        <v>14.7063284393796</v>
      </c>
      <c r="AC117" s="39">
        <f t="shared" si="25"/>
        <v>40.842287434014501</v>
      </c>
      <c r="AD117" s="39">
        <f t="shared" si="25"/>
        <v>5.9131027659574498</v>
      </c>
      <c r="AE117" s="39">
        <f t="shared" si="25"/>
        <v>35.711678088524202</v>
      </c>
      <c r="AF117" s="39">
        <f t="shared" si="25"/>
        <v>9.0791399072591599</v>
      </c>
      <c r="AG117" s="39">
        <f t="shared" si="25"/>
        <v>14.8633089391105</v>
      </c>
      <c r="AH117" s="39">
        <f t="shared" si="25"/>
        <v>2.7328500856734199</v>
      </c>
      <c r="AI117" s="39">
        <f t="shared" si="25"/>
        <v>233.89243995367099</v>
      </c>
      <c r="AJ117" s="39">
        <f t="shared" si="25"/>
        <v>173.465237085468</v>
      </c>
      <c r="AK117" s="39">
        <f t="shared" si="25"/>
        <v>908.59075989190103</v>
      </c>
      <c r="AL117" s="39">
        <f t="shared" si="25"/>
        <v>98.453959313429493</v>
      </c>
      <c r="AM117" s="39">
        <f t="shared" si="25"/>
        <v>83.886304655323798</v>
      </c>
      <c r="AN117" s="39">
        <f t="shared" si="25"/>
        <v>73.817793158045802</v>
      </c>
      <c r="AO117" s="39">
        <f t="shared" si="25"/>
        <v>218.16532251448101</v>
      </c>
      <c r="AP117" s="39">
        <f t="shared" si="25"/>
        <v>45.901713357699002</v>
      </c>
      <c r="AQ117" s="39">
        <f t="shared" si="25"/>
        <v>45.429473576373098</v>
      </c>
      <c r="AR117" s="39">
        <f t="shared" si="25"/>
        <v>313.344805264549</v>
      </c>
    </row>
    <row r="118" spans="2:44" s="35" customFormat="1" ht="14.4">
      <c r="B118" s="35" t="s">
        <v>231</v>
      </c>
      <c r="D118" s="35" t="s">
        <v>220</v>
      </c>
      <c r="E118" s="35" t="s">
        <v>75</v>
      </c>
      <c r="F118" s="35">
        <v>2060</v>
      </c>
      <c r="H118" s="39">
        <f t="shared" si="24"/>
        <v>4.0179287542902902</v>
      </c>
      <c r="I118" s="39">
        <f t="shared" si="25"/>
        <v>113.410971592264</v>
      </c>
      <c r="J118" s="39">
        <f t="shared" si="25"/>
        <v>10.4169021853751</v>
      </c>
      <c r="K118" s="39">
        <f t="shared" si="25"/>
        <v>627.44323762396198</v>
      </c>
      <c r="L118" s="39">
        <f t="shared" si="25"/>
        <v>47.424055632066299</v>
      </c>
      <c r="M118" s="39">
        <f t="shared" si="25"/>
        <v>227.595900989521</v>
      </c>
      <c r="N118" s="39">
        <f t="shared" si="25"/>
        <v>3.2719264842628699</v>
      </c>
      <c r="O118" s="39">
        <f t="shared" si="25"/>
        <v>146.899244036044</v>
      </c>
      <c r="P118" s="39">
        <f t="shared" si="25"/>
        <v>1748.7138694333801</v>
      </c>
      <c r="Q118" s="39">
        <f t="shared" si="25"/>
        <v>190.63363375254099</v>
      </c>
      <c r="R118" s="39">
        <f t="shared" si="25"/>
        <v>9.7146733726103101</v>
      </c>
      <c r="S118" s="39">
        <f t="shared" si="25"/>
        <v>34.303220826847102</v>
      </c>
      <c r="T118" s="39">
        <f t="shared" si="25"/>
        <v>281.63613362378402</v>
      </c>
      <c r="U118" s="39">
        <f t="shared" si="25"/>
        <v>84.388177566401495</v>
      </c>
      <c r="V118" s="39">
        <f t="shared" si="25"/>
        <v>1490.4977480094699</v>
      </c>
      <c r="W118" s="39">
        <f t="shared" si="25"/>
        <v>33.747110125566103</v>
      </c>
      <c r="X118" s="39">
        <f t="shared" si="25"/>
        <v>108.280350021768</v>
      </c>
      <c r="Y118" s="39">
        <f t="shared" si="25"/>
        <v>117.95555387988701</v>
      </c>
      <c r="Z118" s="39">
        <f t="shared" si="25"/>
        <v>5.7381538683203797</v>
      </c>
      <c r="AA118" s="39">
        <f t="shared" si="25"/>
        <v>904.90396192841899</v>
      </c>
      <c r="AB118" s="39">
        <f t="shared" si="25"/>
        <v>6.1319025031949597</v>
      </c>
      <c r="AC118" s="39">
        <f t="shared" si="25"/>
        <v>33.914401992610699</v>
      </c>
      <c r="AD118" s="39">
        <f t="shared" si="25"/>
        <v>19.164005754618401</v>
      </c>
      <c r="AE118" s="39">
        <f t="shared" si="25"/>
        <v>15.401856931807099</v>
      </c>
      <c r="AF118" s="39">
        <f t="shared" si="25"/>
        <v>3.1556410333033802</v>
      </c>
      <c r="AG118" s="39">
        <f t="shared" si="25"/>
        <v>8.9504480229728909</v>
      </c>
      <c r="AH118" s="39">
        <f t="shared" si="25"/>
        <v>9.9532441626703108</v>
      </c>
      <c r="AI118" s="39">
        <f t="shared" si="25"/>
        <v>763.45682869292796</v>
      </c>
      <c r="AJ118" s="39">
        <f t="shared" si="25"/>
        <v>69.326306429116499</v>
      </c>
      <c r="AK118" s="39">
        <f t="shared" si="25"/>
        <v>255.35418991897399</v>
      </c>
      <c r="AL118" s="39">
        <f t="shared" si="25"/>
        <v>44.845556447716199</v>
      </c>
      <c r="AM118" s="39">
        <f t="shared" si="25"/>
        <v>62.738770865280202</v>
      </c>
      <c r="AN118" s="39">
        <f t="shared" si="25"/>
        <v>30.778825082818901</v>
      </c>
      <c r="AO118" s="39">
        <f t="shared" si="25"/>
        <v>182.62480285689901</v>
      </c>
      <c r="AP118" s="39">
        <f t="shared" si="25"/>
        <v>20.645008115907601</v>
      </c>
      <c r="AQ118" s="39">
        <f t="shared" si="25"/>
        <v>30.969177837785601</v>
      </c>
      <c r="AR118" s="39">
        <f t="shared" si="25"/>
        <v>5377.2361719486798</v>
      </c>
    </row>
    <row r="119" spans="2:44" s="35" customFormat="1" ht="14.4">
      <c r="B119" s="35" t="s">
        <v>231</v>
      </c>
      <c r="D119" s="35" t="s">
        <v>221</v>
      </c>
      <c r="E119" s="35" t="s">
        <v>75</v>
      </c>
      <c r="F119" s="35">
        <v>2060</v>
      </c>
      <c r="H119" s="39">
        <f t="shared" si="24"/>
        <v>14.622688220021001</v>
      </c>
      <c r="I119" s="39">
        <f t="shared" si="25"/>
        <v>136.83332206312701</v>
      </c>
      <c r="J119" s="39">
        <f t="shared" si="25"/>
        <v>23.782933663971001</v>
      </c>
      <c r="K119" s="39">
        <f t="shared" si="25"/>
        <v>348.57957630194198</v>
      </c>
      <c r="L119" s="39">
        <f t="shared" si="25"/>
        <v>98.175097243334406</v>
      </c>
      <c r="M119" s="39">
        <f t="shared" si="25"/>
        <v>274.60044458759398</v>
      </c>
      <c r="N119" s="39">
        <f t="shared" si="25"/>
        <v>10.901544899693199</v>
      </c>
      <c r="O119" s="39">
        <f t="shared" si="25"/>
        <v>199.51187298922801</v>
      </c>
      <c r="P119" s="39">
        <f t="shared" si="25"/>
        <v>2654.3814699160698</v>
      </c>
      <c r="Q119" s="39">
        <f t="shared" si="25"/>
        <v>138.42727998479199</v>
      </c>
      <c r="R119" s="39">
        <f t="shared" si="25"/>
        <v>14.3612810202799</v>
      </c>
      <c r="S119" s="39">
        <f t="shared" si="25"/>
        <v>124.841761456798</v>
      </c>
      <c r="T119" s="39">
        <f t="shared" si="25"/>
        <v>500.64614939529002</v>
      </c>
      <c r="U119" s="39">
        <f t="shared" si="25"/>
        <v>154.34748094201001</v>
      </c>
      <c r="V119" s="39">
        <f t="shared" si="25"/>
        <v>1008.10279658167</v>
      </c>
      <c r="W119" s="39">
        <f t="shared" si="25"/>
        <v>61.316546827832802</v>
      </c>
      <c r="X119" s="39">
        <f t="shared" si="25"/>
        <v>145.88847327561299</v>
      </c>
      <c r="Y119" s="39">
        <f t="shared" si="25"/>
        <v>107.032920395882</v>
      </c>
      <c r="Z119" s="39">
        <f t="shared" si="25"/>
        <v>10.495185704609</v>
      </c>
      <c r="AA119" s="39">
        <f t="shared" si="25"/>
        <v>1269.31369885664</v>
      </c>
      <c r="AB119" s="39">
        <f t="shared" si="25"/>
        <v>13.9998079920697</v>
      </c>
      <c r="AC119" s="39">
        <f t="shared" si="25"/>
        <v>36.243345773170702</v>
      </c>
      <c r="AD119" s="39">
        <f t="shared" si="25"/>
        <v>17.626129246783002</v>
      </c>
      <c r="AE119" s="39">
        <f t="shared" si="25"/>
        <v>18.6790243446193</v>
      </c>
      <c r="AF119" s="39">
        <f t="shared" si="25"/>
        <v>7.2046756345400604</v>
      </c>
      <c r="AG119" s="39">
        <f t="shared" si="25"/>
        <v>18.5288055463697</v>
      </c>
      <c r="AH119" s="39">
        <f t="shared" si="25"/>
        <v>10.435040221761399</v>
      </c>
      <c r="AI119" s="39">
        <f t="shared" si="25"/>
        <v>859.27232884995396</v>
      </c>
      <c r="AJ119" s="39">
        <f t="shared" si="25"/>
        <v>92.231425484955196</v>
      </c>
      <c r="AK119" s="39">
        <f t="shared" si="25"/>
        <v>283.34154112973602</v>
      </c>
      <c r="AL119" s="39">
        <f t="shared" si="25"/>
        <v>60.664798976834497</v>
      </c>
      <c r="AM119" s="39">
        <f t="shared" si="25"/>
        <v>181.78783344729001</v>
      </c>
      <c r="AN119" s="39">
        <f t="shared" si="25"/>
        <v>70.271443676159194</v>
      </c>
      <c r="AO119" s="39">
        <f t="shared" si="25"/>
        <v>165.626270567039</v>
      </c>
      <c r="AP119" s="39">
        <f t="shared" si="25"/>
        <v>13.7997444777815</v>
      </c>
      <c r="AQ119" s="39">
        <f t="shared" si="25"/>
        <v>39.790637421958301</v>
      </c>
      <c r="AR119" s="39">
        <f t="shared" si="25"/>
        <v>3383.5386031049402</v>
      </c>
    </row>
    <row r="120" spans="2:44" s="35" customFormat="1" ht="14.4">
      <c r="B120" s="35" t="s">
        <v>231</v>
      </c>
      <c r="D120" s="35" t="s">
        <v>222</v>
      </c>
      <c r="E120" s="35" t="s">
        <v>75</v>
      </c>
      <c r="F120" s="35">
        <v>2060</v>
      </c>
      <c r="H120" s="39">
        <f t="shared" si="24"/>
        <v>11.6515983171843</v>
      </c>
      <c r="I120" s="39">
        <f t="shared" si="25"/>
        <v>70.4042428033314</v>
      </c>
      <c r="J120" s="39">
        <f t="shared" si="25"/>
        <v>17.756512251756298</v>
      </c>
      <c r="K120" s="39">
        <f t="shared" si="25"/>
        <v>188.64699294284799</v>
      </c>
      <c r="L120" s="39">
        <f t="shared" si="25"/>
        <v>56.920941633426501</v>
      </c>
      <c r="M120" s="39">
        <f t="shared" si="25"/>
        <v>141.288949819756</v>
      </c>
      <c r="N120" s="39">
        <f t="shared" si="25"/>
        <v>14.7577252957065</v>
      </c>
      <c r="O120" s="39">
        <f t="shared" si="25"/>
        <v>81.750535215063806</v>
      </c>
      <c r="P120" s="39">
        <f t="shared" si="25"/>
        <v>1368.19585712105</v>
      </c>
      <c r="Q120" s="39">
        <f t="shared" si="25"/>
        <v>85.508489385411707</v>
      </c>
      <c r="R120" s="39">
        <f t="shared" si="25"/>
        <v>11.155276597548999</v>
      </c>
      <c r="S120" s="39">
        <f t="shared" si="25"/>
        <v>99.475967470382002</v>
      </c>
      <c r="T120" s="39">
        <f t="shared" si="25"/>
        <v>413.35654441745299</v>
      </c>
      <c r="U120" s="39">
        <f t="shared" si="25"/>
        <v>122.604967161551</v>
      </c>
      <c r="V120" s="39">
        <f t="shared" si="25"/>
        <v>1113.5325960315599</v>
      </c>
      <c r="W120" s="39">
        <f t="shared" si="25"/>
        <v>47.364487372001598</v>
      </c>
      <c r="X120" s="39">
        <f t="shared" si="25"/>
        <v>87.496364546760304</v>
      </c>
      <c r="Y120" s="39">
        <f t="shared" si="25"/>
        <v>90.450622976435994</v>
      </c>
      <c r="Z120" s="39">
        <f t="shared" si="25"/>
        <v>8.3367858731132198</v>
      </c>
      <c r="AA120" s="39">
        <f t="shared" si="25"/>
        <v>718.12971623272995</v>
      </c>
      <c r="AB120" s="39">
        <f t="shared" si="25"/>
        <v>10.452359059051201</v>
      </c>
      <c r="AC120" s="39">
        <f t="shared" si="25"/>
        <v>23.857584410256798</v>
      </c>
      <c r="AD120" s="39">
        <f t="shared" si="25"/>
        <v>9.5183946543508693</v>
      </c>
      <c r="AE120" s="39">
        <f t="shared" si="25"/>
        <v>15.1011589439664</v>
      </c>
      <c r="AF120" s="39">
        <f t="shared" si="25"/>
        <v>5.3790635327904299</v>
      </c>
      <c r="AG120" s="39">
        <f t="shared" si="25"/>
        <v>10.742816545706299</v>
      </c>
      <c r="AH120" s="39">
        <f t="shared" si="25"/>
        <v>6.8566450254079703</v>
      </c>
      <c r="AI120" s="39">
        <f t="shared" si="25"/>
        <v>529.413600559006</v>
      </c>
      <c r="AJ120" s="39">
        <f t="shared" si="25"/>
        <v>59.2043202245125</v>
      </c>
      <c r="AK120" s="39">
        <f t="shared" si="25"/>
        <v>162.83982491282001</v>
      </c>
      <c r="AL120" s="39">
        <f t="shared" si="25"/>
        <v>67.987716847654497</v>
      </c>
      <c r="AM120" s="39">
        <f t="shared" si="25"/>
        <v>131.15085993947099</v>
      </c>
      <c r="AN120" s="39">
        <f t="shared" si="25"/>
        <v>52.465173902182997</v>
      </c>
      <c r="AO120" s="39">
        <f t="shared" si="25"/>
        <v>90.128918492594096</v>
      </c>
      <c r="AP120" s="39">
        <f t="shared" si="25"/>
        <v>11.879882672434199</v>
      </c>
      <c r="AQ120" s="39">
        <f t="shared" si="25"/>
        <v>16.287079815740199</v>
      </c>
      <c r="AR120" s="39">
        <f t="shared" si="25"/>
        <v>1486.47596105208</v>
      </c>
    </row>
    <row r="121" spans="2:44" s="35" customFormat="1" ht="14.4">
      <c r="B121" s="35" t="s">
        <v>231</v>
      </c>
      <c r="D121" s="35" t="s">
        <v>223</v>
      </c>
      <c r="E121" s="35" t="s">
        <v>75</v>
      </c>
      <c r="F121" s="35">
        <v>2060</v>
      </c>
      <c r="H121" s="39">
        <f t="shared" si="24"/>
        <v>8.9191632559576792</v>
      </c>
      <c r="I121" s="39">
        <f t="shared" si="25"/>
        <v>55.861579162880801</v>
      </c>
      <c r="J121" s="39">
        <f t="shared" si="25"/>
        <v>15.007048111982799</v>
      </c>
      <c r="K121" s="39">
        <f t="shared" si="25"/>
        <v>188.64699294284799</v>
      </c>
      <c r="L121" s="39">
        <f t="shared" si="25"/>
        <v>53.6386546894472</v>
      </c>
      <c r="M121" s="39">
        <f t="shared" si="25"/>
        <v>112.10437810181401</v>
      </c>
      <c r="N121" s="39">
        <f t="shared" si="25"/>
        <v>21.304610461399701</v>
      </c>
      <c r="O121" s="39">
        <f t="shared" si="25"/>
        <v>94.756676021272497</v>
      </c>
      <c r="P121" s="39">
        <f t="shared" si="25"/>
        <v>953.60242899196805</v>
      </c>
      <c r="Q121" s="39">
        <f t="shared" si="25"/>
        <v>35.0236017888503</v>
      </c>
      <c r="R121" s="39">
        <f t="shared" si="25"/>
        <v>10.4909416884728</v>
      </c>
      <c r="S121" s="39">
        <f t="shared" si="25"/>
        <v>76.147698346597593</v>
      </c>
      <c r="T121" s="39">
        <f t="shared" si="25"/>
        <v>261.89833495546401</v>
      </c>
      <c r="U121" s="39">
        <f t="shared" si="25"/>
        <v>97.148216277730398</v>
      </c>
      <c r="V121" s="39">
        <f t="shared" si="25"/>
        <v>820.60662212394402</v>
      </c>
      <c r="W121" s="39">
        <f t="shared" si="25"/>
        <v>37.551329812448103</v>
      </c>
      <c r="X121" s="39">
        <f t="shared" si="25"/>
        <v>118.943565327741</v>
      </c>
      <c r="Y121" s="39">
        <f t="shared" si="25"/>
        <v>78.718658909772302</v>
      </c>
      <c r="Z121" s="39">
        <f t="shared" si="25"/>
        <v>6.6057998775462101</v>
      </c>
      <c r="AA121" s="39">
        <f t="shared" si="25"/>
        <v>520.22220682520697</v>
      </c>
      <c r="AB121" s="39">
        <f t="shared" si="25"/>
        <v>8.8338888323852203</v>
      </c>
      <c r="AC121" s="39">
        <f t="shared" si="25"/>
        <v>23.857584410256798</v>
      </c>
      <c r="AD121" s="39">
        <f t="shared" si="25"/>
        <v>7.3980517869792299</v>
      </c>
      <c r="AE121" s="39">
        <f t="shared" si="25"/>
        <v>14.577048607989701</v>
      </c>
      <c r="AF121" s="39">
        <f t="shared" si="25"/>
        <v>4.5461554662016397</v>
      </c>
      <c r="AG121" s="39">
        <f t="shared" si="25"/>
        <v>10.123343194112399</v>
      </c>
      <c r="AH121" s="39">
        <f t="shared" si="25"/>
        <v>7.8759229551807302</v>
      </c>
      <c r="AI121" s="39">
        <f t="shared" si="25"/>
        <v>514.94515643502905</v>
      </c>
      <c r="AJ121" s="39">
        <f t="shared" si="25"/>
        <v>49.797161501144103</v>
      </c>
      <c r="AK121" s="39">
        <f t="shared" si="25"/>
        <v>168.34018140021601</v>
      </c>
      <c r="AL121" s="39">
        <f t="shared" si="25"/>
        <v>58.108796789609798</v>
      </c>
      <c r="AM121" s="39">
        <f t="shared" si="25"/>
        <v>179.42623925843299</v>
      </c>
      <c r="AN121" s="39">
        <f t="shared" si="25"/>
        <v>44.341331100972802</v>
      </c>
      <c r="AO121" s="39">
        <f t="shared" si="25"/>
        <v>62.087995563219899</v>
      </c>
      <c r="AP121" s="39">
        <f t="shared" si="25"/>
        <v>6.4537453221608603</v>
      </c>
      <c r="AQ121" s="39">
        <f t="shared" si="25"/>
        <v>18.892764586093602</v>
      </c>
      <c r="AR121" s="39">
        <f t="shared" si="25"/>
        <v>1055.3868135580899</v>
      </c>
    </row>
    <row r="122" spans="2:44" s="35" customFormat="1" ht="14.4">
      <c r="B122" s="35" t="s">
        <v>231</v>
      </c>
      <c r="D122" s="35" t="s">
        <v>224</v>
      </c>
      <c r="E122" s="35" t="s">
        <v>75</v>
      </c>
      <c r="F122" s="35">
        <v>2060</v>
      </c>
      <c r="H122" s="39">
        <f t="shared" si="24"/>
        <v>6.0003539701005</v>
      </c>
      <c r="I122" s="39">
        <f t="shared" si="25"/>
        <v>66.671855453368494</v>
      </c>
      <c r="J122" s="39">
        <f t="shared" si="25"/>
        <v>7.3555132769246203</v>
      </c>
      <c r="K122" s="39">
        <f t="shared" si="25"/>
        <v>138.96125654669001</v>
      </c>
      <c r="L122" s="39">
        <f t="shared" si="25"/>
        <v>30.97728562647</v>
      </c>
      <c r="M122" s="39">
        <f t="shared" si="25"/>
        <v>133.79870394821299</v>
      </c>
      <c r="N122" s="39">
        <f t="shared" si="25"/>
        <v>18.370262451940199</v>
      </c>
      <c r="O122" s="39">
        <f t="shared" si="25"/>
        <v>48.9126956748498</v>
      </c>
      <c r="P122" s="39">
        <f t="shared" si="25"/>
        <v>877.65966127329204</v>
      </c>
      <c r="Q122" s="39">
        <f t="shared" si="25"/>
        <v>35.051364986333503</v>
      </c>
      <c r="R122" s="39">
        <f t="shared" si="25"/>
        <v>3.4038512882573002</v>
      </c>
      <c r="S122" s="39">
        <f t="shared" si="25"/>
        <v>51.228252132600097</v>
      </c>
      <c r="T122" s="39">
        <f t="shared" si="25"/>
        <v>259.323086525669</v>
      </c>
      <c r="U122" s="39">
        <f t="shared" si="25"/>
        <v>70.933299682835795</v>
      </c>
      <c r="V122" s="39">
        <f t="shared" si="25"/>
        <v>494.32332544640002</v>
      </c>
      <c r="W122" s="39">
        <f t="shared" si="25"/>
        <v>20.099983267595299</v>
      </c>
      <c r="X122" s="39">
        <f t="shared" si="25"/>
        <v>49.058665814604502</v>
      </c>
      <c r="Y122" s="39">
        <f t="shared" si="25"/>
        <v>102.27924651713499</v>
      </c>
      <c r="Z122" s="39">
        <f t="shared" si="25"/>
        <v>4.8232607896706998</v>
      </c>
      <c r="AA122" s="39">
        <f t="shared" si="25"/>
        <v>192.48026509965399</v>
      </c>
      <c r="AB122" s="39">
        <f t="shared" si="25"/>
        <v>4.3298179701044699</v>
      </c>
      <c r="AC122" s="39">
        <f t="shared" si="25"/>
        <v>7.4189384934063698</v>
      </c>
      <c r="AD122" s="39">
        <f t="shared" si="26" ref="I122:AR125">AD160</f>
        <v>5.8860262122563398</v>
      </c>
      <c r="AE122" s="39">
        <f t="shared" si="26"/>
        <v>4.56285820501793</v>
      </c>
      <c r="AF122" s="39">
        <f t="shared" si="26"/>
        <v>2.2282401336415401</v>
      </c>
      <c r="AG122" s="39">
        <f t="shared" si="26"/>
        <v>5.84641235755113</v>
      </c>
      <c r="AH122" s="39">
        <f t="shared" si="26"/>
        <v>7.6274518609788</v>
      </c>
      <c r="AI122" s="39">
        <f t="shared" si="26"/>
        <v>454.270433848317</v>
      </c>
      <c r="AJ122" s="39">
        <f t="shared" si="26"/>
        <v>54.8459118483661</v>
      </c>
      <c r="AK122" s="39">
        <f t="shared" si="26"/>
        <v>168.34018140021601</v>
      </c>
      <c r="AL122" s="39">
        <f t="shared" si="26"/>
        <v>63.284292167878398</v>
      </c>
      <c r="AM122" s="39">
        <f t="shared" si="26"/>
        <v>24.708865945016498</v>
      </c>
      <c r="AN122" s="39">
        <f t="shared" si="26"/>
        <v>21.733338041962401</v>
      </c>
      <c r="AO122" s="39">
        <f t="shared" si="26"/>
        <v>50.836815711999698</v>
      </c>
      <c r="AP122" s="39">
        <f t="shared" si="26"/>
        <v>6.4537453221608603</v>
      </c>
      <c r="AQ122" s="39">
        <f t="shared" si="26"/>
        <v>10.051928791420901</v>
      </c>
      <c r="AR122" s="39">
        <f t="shared" si="26"/>
        <v>1055.3868135580899</v>
      </c>
    </row>
    <row r="123" spans="2:44" s="35" customFormat="1" ht="14.4">
      <c r="B123" s="35" t="s">
        <v>231</v>
      </c>
      <c r="D123" s="35" t="s">
        <v>219</v>
      </c>
      <c r="E123" s="35" t="s">
        <v>75</v>
      </c>
      <c r="F123" s="35">
        <v>2060</v>
      </c>
      <c r="H123" s="39">
        <f t="shared" si="24"/>
        <v>5.4044127146963401</v>
      </c>
      <c r="I123" s="39">
        <f t="shared" si="26"/>
        <v>58.821699220737997</v>
      </c>
      <c r="J123" s="39">
        <f t="shared" si="26"/>
        <v>15.4347295427409</v>
      </c>
      <c r="K123" s="39">
        <f t="shared" si="26"/>
        <v>55.984699156776998</v>
      </c>
      <c r="L123" s="39">
        <f t="shared" si="26"/>
        <v>88.682046404681799</v>
      </c>
      <c r="M123" s="39">
        <f t="shared" si="26"/>
        <v>48.762096667760296</v>
      </c>
      <c r="N123" s="39">
        <f t="shared" si="26"/>
        <v>38.675330032484602</v>
      </c>
      <c r="O123" s="39">
        <f t="shared" si="26"/>
        <v>62.336668628559401</v>
      </c>
      <c r="P123" s="39">
        <f t="shared" si="26"/>
        <v>461.637086112703</v>
      </c>
      <c r="Q123" s="39">
        <f t="shared" si="26"/>
        <v>87.078871290688298</v>
      </c>
      <c r="R123" s="39">
        <f t="shared" si="26"/>
        <v>5.7760409414806704</v>
      </c>
      <c r="S123" s="39">
        <f t="shared" si="26"/>
        <v>46.140380810310198</v>
      </c>
      <c r="T123" s="39">
        <f t="shared" si="26"/>
        <v>198.546824564069</v>
      </c>
      <c r="U123" s="39">
        <f t="shared" si="26"/>
        <v>91.666666069515102</v>
      </c>
      <c r="V123" s="39">
        <f t="shared" si="26"/>
        <v>757.48228431523796</v>
      </c>
      <c r="W123" s="39">
        <f t="shared" si="26"/>
        <v>77.010151925427806</v>
      </c>
      <c r="X123" s="39">
        <f t="shared" si="26"/>
        <v>156.67274299196799</v>
      </c>
      <c r="Y123" s="39">
        <f t="shared" si="26"/>
        <v>135.452305413152</v>
      </c>
      <c r="Z123" s="39">
        <f t="shared" si="26"/>
        <v>5.0434977096778697</v>
      </c>
      <c r="AA123" s="39">
        <f t="shared" si="26"/>
        <v>84.687064655640896</v>
      </c>
      <c r="AB123" s="39">
        <f t="shared" si="26"/>
        <v>9.0856432205100592</v>
      </c>
      <c r="AC123" s="39">
        <f t="shared" si="26"/>
        <v>12.857879782292899</v>
      </c>
      <c r="AD123" s="39">
        <f t="shared" si="26"/>
        <v>6.2567927073512504</v>
      </c>
      <c r="AE123" s="39">
        <f t="shared" si="26"/>
        <v>13.255013264649399</v>
      </c>
      <c r="AF123" s="39">
        <f t="shared" si="26"/>
        <v>2.9594422823384301</v>
      </c>
      <c r="AG123" s="39">
        <f t="shared" si="26"/>
        <v>16.737160842466501</v>
      </c>
      <c r="AH123" s="39">
        <f t="shared" si="26"/>
        <v>0.22260315556722701</v>
      </c>
      <c r="AI123" s="39">
        <f t="shared" si="26"/>
        <v>44.719465985035598</v>
      </c>
      <c r="AJ123" s="39">
        <f t="shared" si="26"/>
        <v>49.3054003367089</v>
      </c>
      <c r="AK123" s="39">
        <f t="shared" si="26"/>
        <v>558.17775197097706</v>
      </c>
      <c r="AL123" s="39">
        <f t="shared" si="26"/>
        <v>44.519214779684098</v>
      </c>
      <c r="AM123" s="39">
        <f t="shared" si="26"/>
        <v>84.564117239625801</v>
      </c>
      <c r="AN123" s="39">
        <f t="shared" si="26"/>
        <v>45.605001596694002</v>
      </c>
      <c r="AO123" s="39">
        <f t="shared" si="26"/>
        <v>29.5638793265278</v>
      </c>
      <c r="AP123" s="39">
        <f t="shared" si="26"/>
        <v>16.9672607812794</v>
      </c>
      <c r="AQ123" s="39">
        <f t="shared" si="26"/>
        <v>41.740025513100697</v>
      </c>
      <c r="AR123" s="39">
        <f t="shared" si="26"/>
        <v>251.389929404219</v>
      </c>
    </row>
    <row r="124" spans="2:44" s="35" customFormat="1" ht="14.4">
      <c r="B124" s="35" t="s">
        <v>231</v>
      </c>
      <c r="D124" s="35" t="s">
        <v>213</v>
      </c>
      <c r="E124" s="35" t="s">
        <v>75</v>
      </c>
      <c r="F124" s="35">
        <v>2060</v>
      </c>
      <c r="H124" s="39">
        <f t="shared" si="24"/>
        <v>12.450959496343801</v>
      </c>
      <c r="I124" s="39">
        <f t="shared" si="26"/>
        <v>85.071779170236496</v>
      </c>
      <c r="J124" s="39">
        <f t="shared" si="26"/>
        <v>18.761479591122999</v>
      </c>
      <c r="K124" s="39">
        <f t="shared" si="26"/>
        <v>53.341872242404499</v>
      </c>
      <c r="L124" s="39">
        <f t="shared" si="26"/>
        <v>111.708066487472</v>
      </c>
      <c r="M124" s="39">
        <f t="shared" si="26"/>
        <v>95.506886168916395</v>
      </c>
      <c r="N124" s="39">
        <f t="shared" si="26"/>
        <v>30.524905636324899</v>
      </c>
      <c r="O124" s="39">
        <f t="shared" si="26"/>
        <v>134.015077073241</v>
      </c>
      <c r="P124" s="39">
        <f t="shared" si="26"/>
        <v>1104.7493275398199</v>
      </c>
      <c r="Q124" s="39">
        <f t="shared" si="26"/>
        <v>93.128841484552794</v>
      </c>
      <c r="R124" s="39">
        <f t="shared" si="26"/>
        <v>25.2494444808022</v>
      </c>
      <c r="S124" s="39">
        <f t="shared" si="26"/>
        <v>106.300544192864</v>
      </c>
      <c r="T124" s="39">
        <f t="shared" si="26"/>
        <v>1516.7970061374899</v>
      </c>
      <c r="U124" s="39">
        <f t="shared" si="26"/>
        <v>128.24101552307101</v>
      </c>
      <c r="V124" s="39">
        <f t="shared" si="26"/>
        <v>1105.80573646687</v>
      </c>
      <c r="W124" s="39">
        <f t="shared" si="26"/>
        <v>61.142930880915202</v>
      </c>
      <c r="X124" s="39">
        <f t="shared" si="26"/>
        <v>134.052689876805</v>
      </c>
      <c r="Y124" s="39">
        <f t="shared" si="26"/>
        <v>43.100381511185901</v>
      </c>
      <c r="Z124" s="39">
        <f t="shared" si="26"/>
        <v>7.7722031421488502</v>
      </c>
      <c r="AA124" s="39">
        <f t="shared" si="26"/>
        <v>683.64900643531598</v>
      </c>
      <c r="AB124" s="39">
        <f t="shared" si="26"/>
        <v>11.043932411111999</v>
      </c>
      <c r="AC124" s="39">
        <f t="shared" si="26"/>
        <v>35.794391722735099</v>
      </c>
      <c r="AD124" s="39">
        <f t="shared" si="26"/>
        <v>8.1332575531914895</v>
      </c>
      <c r="AE124" s="39">
        <f t="shared" si="26"/>
        <v>41.431442375834997</v>
      </c>
      <c r="AF124" s="39">
        <f t="shared" si="26"/>
        <v>6.8181128892991296</v>
      </c>
      <c r="AG124" s="39">
        <f t="shared" si="26"/>
        <v>23.125441235978901</v>
      </c>
      <c r="AH124" s="39">
        <f t="shared" si="26"/>
        <v>1.0191144994402299</v>
      </c>
      <c r="AI124" s="39">
        <f t="shared" si="26"/>
        <v>121.59152932741701</v>
      </c>
      <c r="AJ124" s="39">
        <f t="shared" si="26"/>
        <v>122.479863247509</v>
      </c>
      <c r="AK124" s="39">
        <f t="shared" si="26"/>
        <v>1130.5252241933699</v>
      </c>
      <c r="AL124" s="39">
        <f t="shared" si="26"/>
        <v>55.911535768091198</v>
      </c>
      <c r="AM124" s="39">
        <f t="shared" si="26"/>
        <v>82.450597729682499</v>
      </c>
      <c r="AN124" s="39">
        <f t="shared" si="26"/>
        <v>55.434551304587799</v>
      </c>
      <c r="AO124" s="39">
        <f t="shared" si="26"/>
        <v>60.866387059806897</v>
      </c>
      <c r="AP124" s="39">
        <f t="shared" si="26"/>
        <v>40.135465980196997</v>
      </c>
      <c r="AQ124" s="39">
        <f t="shared" si="26"/>
        <v>56.1392904474787</v>
      </c>
      <c r="AR124" s="39">
        <f t="shared" si="26"/>
        <v>259.12425813836097</v>
      </c>
    </row>
    <row r="125" spans="2:44" s="35" customFormat="1" ht="14.4">
      <c r="B125" s="35" t="s">
        <v>231</v>
      </c>
      <c r="D125" s="35" t="s">
        <v>225</v>
      </c>
      <c r="E125" s="35" t="s">
        <v>75</v>
      </c>
      <c r="F125" s="35">
        <v>2060</v>
      </c>
      <c r="H125" s="39">
        <f t="shared" si="24"/>
        <v>3.0557660676554099</v>
      </c>
      <c r="I125" s="39">
        <f t="shared" si="26"/>
        <v>27.258836224244401</v>
      </c>
      <c r="J125" s="39">
        <f t="shared" si="26"/>
        <v>5.5237302644398101</v>
      </c>
      <c r="K125" s="39">
        <f t="shared" si="26"/>
        <v>93.408433364002505</v>
      </c>
      <c r="L125" s="39">
        <f t="shared" si="26"/>
        <v>48.1967643503706</v>
      </c>
      <c r="M125" s="39">
        <f t="shared" si="26"/>
        <v>54.703696681899103</v>
      </c>
      <c r="N125" s="39">
        <f t="shared" si="26"/>
        <v>39.498209394877797</v>
      </c>
      <c r="O125" s="39">
        <f t="shared" si="26"/>
        <v>36.949557614508997</v>
      </c>
      <c r="P125" s="39">
        <f t="shared" si="26"/>
        <v>482.620590026917</v>
      </c>
      <c r="Q125" s="39">
        <f t="shared" si="26"/>
        <v>46.360730074201797</v>
      </c>
      <c r="R125" s="39">
        <f t="shared" si="26"/>
        <v>2.67965657771712</v>
      </c>
      <c r="S125" s="39">
        <f t="shared" si="26"/>
        <v>26.088719990876299</v>
      </c>
      <c r="T125" s="39">
        <f t="shared" si="26"/>
        <v>440.16079122107999</v>
      </c>
      <c r="U125" s="39">
        <f t="shared" si="26"/>
        <v>69.284074407414195</v>
      </c>
      <c r="V125" s="39">
        <f t="shared" si="26"/>
        <v>673.50800392735005</v>
      </c>
      <c r="W125" s="39">
        <f t="shared" si="26"/>
        <v>27.560139987010999</v>
      </c>
      <c r="X125" s="39">
        <f t="shared" si="26"/>
        <v>57.863485674655003</v>
      </c>
      <c r="Y125" s="39">
        <f t="shared" si="26"/>
        <v>203.74266287670201</v>
      </c>
      <c r="Z125" s="39">
        <f t="shared" si="26"/>
        <v>4.7111182044555404</v>
      </c>
      <c r="AA125" s="39">
        <f t="shared" si="26"/>
        <v>150.608245665998</v>
      </c>
      <c r="AB125" s="39">
        <f t="shared" si="26"/>
        <v>3.2515401251482898</v>
      </c>
      <c r="AC125" s="39">
        <f t="shared" si="26"/>
        <v>6.50199602627311</v>
      </c>
      <c r="AD125" s="39">
        <f t="shared" si="26"/>
        <v>8.0960147394572495</v>
      </c>
      <c r="AE125" s="39">
        <f t="shared" si="26"/>
        <v>5.2936688195297998</v>
      </c>
      <c r="AF125" s="39">
        <f t="shared" si="26"/>
        <v>1.6733295147801399</v>
      </c>
      <c r="AG125" s="39">
        <f t="shared" si="26"/>
        <v>9.0962830665579002</v>
      </c>
      <c r="AH125" s="39">
        <f t="shared" si="26"/>
        <v>2.8443736544701301</v>
      </c>
      <c r="AI125" s="39">
        <f t="shared" si="26"/>
        <v>236.15742685307401</v>
      </c>
      <c r="AJ125" s="39">
        <f t="shared" si="26"/>
        <v>38.725452406138402</v>
      </c>
      <c r="AK125" s="39">
        <f t="shared" si="26"/>
        <v>209.45934046354699</v>
      </c>
      <c r="AL125" s="39">
        <f t="shared" si="26"/>
        <v>35.9388488769494</v>
      </c>
      <c r="AM125" s="39">
        <f t="shared" si="26"/>
        <v>24.285975818818201</v>
      </c>
      <c r="AN125" s="39">
        <f t="shared" si="26"/>
        <v>16.320968037172999</v>
      </c>
      <c r="AO125" s="39">
        <f t="shared" si="26"/>
        <v>14.1830666136653</v>
      </c>
      <c r="AP125" s="39">
        <f t="shared" si="26"/>
        <v>5.6430154099900802</v>
      </c>
      <c r="AQ125" s="39">
        <f t="shared" si="26"/>
        <v>12.421630839069101</v>
      </c>
      <c r="AR125" s="39">
        <f t="shared" si="26"/>
        <v>872.76482813033897</v>
      </c>
    </row>
    <row r="126" spans="2:44" s="35" customFormat="1" ht="14.4">
      <c r="B126" s="35" t="s">
        <v>231</v>
      </c>
      <c r="D126" s="35" t="s">
        <v>214</v>
      </c>
      <c r="E126" s="35" t="s">
        <v>75</v>
      </c>
      <c r="F126" s="35">
        <v>0</v>
      </c>
      <c r="G126" s="35">
        <v>15</v>
      </c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</row>
    <row r="127" spans="2:44" s="35" customFormat="1" ht="14.4">
      <c r="B127" s="35" t="s">
        <v>231</v>
      </c>
      <c r="D127" s="35" t="s">
        <v>215</v>
      </c>
      <c r="E127" s="35" t="s">
        <v>75</v>
      </c>
      <c r="F127" s="35">
        <v>0</v>
      </c>
      <c r="G127" s="35">
        <v>15</v>
      </c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</row>
    <row r="128" spans="2:44" s="35" customFormat="1" ht="14.4">
      <c r="B128" s="35" t="s">
        <v>231</v>
      </c>
      <c r="D128" s="35" t="s">
        <v>216</v>
      </c>
      <c r="E128" s="35" t="s">
        <v>75</v>
      </c>
      <c r="F128" s="35">
        <v>0</v>
      </c>
      <c r="G128" s="35">
        <v>15</v>
      </c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</row>
    <row r="129" spans="2:44" s="35" customFormat="1" ht="14.4">
      <c r="B129" s="35" t="s">
        <v>231</v>
      </c>
      <c r="D129" s="35" t="s">
        <v>217</v>
      </c>
      <c r="E129" s="35" t="s">
        <v>75</v>
      </c>
      <c r="F129" s="35">
        <v>0</v>
      </c>
      <c r="G129" s="35">
        <v>15</v>
      </c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</row>
    <row r="130" spans="2:44" s="35" customFormat="1" ht="14.4">
      <c r="B130" s="35" t="s">
        <v>231</v>
      </c>
      <c r="D130" s="35" t="s">
        <v>218</v>
      </c>
      <c r="E130" s="35" t="s">
        <v>75</v>
      </c>
      <c r="F130" s="35">
        <v>0</v>
      </c>
      <c r="G130" s="35">
        <v>15</v>
      </c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</row>
    <row r="131" spans="2:44" s="35" customFormat="1" ht="14.4">
      <c r="B131" s="35" t="s">
        <v>231</v>
      </c>
      <c r="D131" s="35" t="s">
        <v>208</v>
      </c>
      <c r="E131" s="35" t="s">
        <v>75</v>
      </c>
      <c r="F131" s="35">
        <v>0</v>
      </c>
      <c r="G131" s="35">
        <v>15</v>
      </c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</row>
    <row r="132" spans="2:44" s="35" customFormat="1" ht="14.4">
      <c r="B132" s="35" t="s">
        <v>231</v>
      </c>
      <c r="D132" s="35" t="s">
        <v>209</v>
      </c>
      <c r="E132" s="35" t="s">
        <v>75</v>
      </c>
      <c r="F132" s="35">
        <v>0</v>
      </c>
      <c r="G132" s="35">
        <v>15</v>
      </c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</row>
    <row r="133" spans="2:44" s="35" customFormat="1" ht="14.4">
      <c r="B133" s="35" t="s">
        <v>231</v>
      </c>
      <c r="D133" s="35" t="s">
        <v>210</v>
      </c>
      <c r="E133" s="35" t="s">
        <v>75</v>
      </c>
      <c r="F133" s="35">
        <v>0</v>
      </c>
      <c r="G133" s="35">
        <v>15</v>
      </c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</row>
    <row r="134" spans="2:44" s="35" customFormat="1" ht="14.4">
      <c r="B134" s="35" t="s">
        <v>231</v>
      </c>
      <c r="D134" s="35" t="s">
        <v>211</v>
      </c>
      <c r="E134" s="35" t="s">
        <v>75</v>
      </c>
      <c r="F134" s="35">
        <v>0</v>
      </c>
      <c r="G134" s="35">
        <v>15</v>
      </c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</row>
    <row r="135" spans="2:44" s="35" customFormat="1" ht="14.4">
      <c r="B135" s="35" t="s">
        <v>231</v>
      </c>
      <c r="D135" s="35" t="s">
        <v>212</v>
      </c>
      <c r="E135" s="35" t="s">
        <v>75</v>
      </c>
      <c r="F135" s="35">
        <v>0</v>
      </c>
      <c r="G135" s="35">
        <v>15</v>
      </c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</row>
    <row r="136" spans="2:44" s="35" customFormat="1" ht="14.4">
      <c r="B136" s="35" t="s">
        <v>231</v>
      </c>
      <c r="D136" s="35" t="s">
        <v>220</v>
      </c>
      <c r="E136" s="35" t="s">
        <v>75</v>
      </c>
      <c r="F136" s="35">
        <v>0</v>
      </c>
      <c r="G136" s="35">
        <v>15</v>
      </c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</row>
    <row r="137" spans="2:44" s="35" customFormat="1" ht="14.4">
      <c r="B137" s="35" t="s">
        <v>231</v>
      </c>
      <c r="D137" s="35" t="s">
        <v>221</v>
      </c>
      <c r="E137" s="35" t="s">
        <v>75</v>
      </c>
      <c r="F137" s="35">
        <v>0</v>
      </c>
      <c r="G137" s="35">
        <v>15</v>
      </c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</row>
    <row r="138" spans="2:44" s="35" customFormat="1" ht="14.4">
      <c r="B138" s="35" t="s">
        <v>231</v>
      </c>
      <c r="D138" s="35" t="s">
        <v>222</v>
      </c>
      <c r="E138" s="35" t="s">
        <v>75</v>
      </c>
      <c r="F138" s="35">
        <v>0</v>
      </c>
      <c r="G138" s="35">
        <v>15</v>
      </c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</row>
    <row r="139" spans="2:44" s="35" customFormat="1" ht="14.4">
      <c r="B139" s="35" t="s">
        <v>231</v>
      </c>
      <c r="D139" s="35" t="s">
        <v>223</v>
      </c>
      <c r="E139" s="35" t="s">
        <v>75</v>
      </c>
      <c r="F139" s="35">
        <v>0</v>
      </c>
      <c r="G139" s="35">
        <v>15</v>
      </c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</row>
    <row r="140" spans="2:44" s="35" customFormat="1" ht="14.4">
      <c r="B140" s="35" t="s">
        <v>231</v>
      </c>
      <c r="D140" s="35" t="s">
        <v>224</v>
      </c>
      <c r="E140" s="35" t="s">
        <v>75</v>
      </c>
      <c r="F140" s="35">
        <v>0</v>
      </c>
      <c r="G140" s="35">
        <v>15</v>
      </c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</row>
    <row r="141" spans="2:8" ht="14.4">
      <c r="B141" s="26" t="s">
        <v>231</v>
      </c>
      <c r="C141" s="26"/>
      <c r="D141" s="26" t="s">
        <v>219</v>
      </c>
      <c r="E141" s="35" t="s">
        <v>75</v>
      </c>
      <c r="F141" s="35">
        <v>0</v>
      </c>
      <c r="G141" s="35">
        <v>15</v>
      </c>
      <c r="H141" s="26"/>
    </row>
    <row r="142" spans="2:8" ht="14.4">
      <c r="B142" s="26" t="s">
        <v>231</v>
      </c>
      <c r="C142" s="26"/>
      <c r="D142" s="26" t="s">
        <v>213</v>
      </c>
      <c r="E142" s="35" t="s">
        <v>75</v>
      </c>
      <c r="F142" s="35">
        <v>0</v>
      </c>
      <c r="G142" s="35">
        <v>15</v>
      </c>
      <c r="H142" s="26"/>
    </row>
    <row r="143" spans="2:8" ht="14.4">
      <c r="B143" s="26" t="s">
        <v>231</v>
      </c>
      <c r="C143" s="26"/>
      <c r="D143" s="26" t="s">
        <v>225</v>
      </c>
      <c r="E143" s="35" t="s">
        <v>75</v>
      </c>
      <c r="F143" s="35">
        <v>0</v>
      </c>
      <c r="G143" s="35">
        <v>15</v>
      </c>
      <c r="H143" s="26"/>
    </row>
    <row r="145" spans="8:44" ht="14.4">
      <c r="H145" s="32" t="s">
        <v>12</v>
      </c>
      <c r="I145" s="32" t="s">
        <v>13</v>
      </c>
      <c r="J145" s="32" t="s">
        <v>14</v>
      </c>
      <c r="K145" s="32" t="s">
        <v>15</v>
      </c>
      <c r="L145" s="32" t="s">
        <v>16</v>
      </c>
      <c r="M145" s="32" t="s">
        <v>17</v>
      </c>
      <c r="N145" s="32" t="s">
        <v>18</v>
      </c>
      <c r="O145" s="32" t="s">
        <v>19</v>
      </c>
      <c r="P145" s="32" t="s">
        <v>20</v>
      </c>
      <c r="Q145" s="32" t="s">
        <v>21</v>
      </c>
      <c r="R145" s="32" t="s">
        <v>22</v>
      </c>
      <c r="S145" s="32" t="s">
        <v>23</v>
      </c>
      <c r="T145" s="32" t="s">
        <v>24</v>
      </c>
      <c r="U145" s="32" t="s">
        <v>25</v>
      </c>
      <c r="V145" s="32" t="s">
        <v>26</v>
      </c>
      <c r="W145" s="32" t="s">
        <v>27</v>
      </c>
      <c r="X145" s="32" t="s">
        <v>28</v>
      </c>
      <c r="Y145" s="32" t="s">
        <v>29</v>
      </c>
      <c r="Z145" s="32" t="s">
        <v>30</v>
      </c>
      <c r="AA145" s="32" t="s">
        <v>31</v>
      </c>
      <c r="AB145" s="32" t="s">
        <v>32</v>
      </c>
      <c r="AC145" s="32" t="s">
        <v>33</v>
      </c>
      <c r="AD145" s="32" t="s">
        <v>34</v>
      </c>
      <c r="AE145" s="32" t="s">
        <v>35</v>
      </c>
      <c r="AF145" s="32" t="s">
        <v>36</v>
      </c>
      <c r="AG145" s="32" t="s">
        <v>37</v>
      </c>
      <c r="AH145" s="32" t="s">
        <v>38</v>
      </c>
      <c r="AI145" s="32" t="s">
        <v>39</v>
      </c>
      <c r="AJ145" s="32" t="s">
        <v>40</v>
      </c>
      <c r="AK145" s="32" t="s">
        <v>41</v>
      </c>
      <c r="AL145" s="32" t="s">
        <v>42</v>
      </c>
      <c r="AM145" s="32" t="s">
        <v>43</v>
      </c>
      <c r="AN145" s="32" t="s">
        <v>44</v>
      </c>
      <c r="AO145" s="32" t="s">
        <v>45</v>
      </c>
      <c r="AP145" s="32" t="s">
        <v>46</v>
      </c>
      <c r="AQ145" s="32" t="s">
        <v>47</v>
      </c>
      <c r="AR145" s="32" t="s">
        <v>48</v>
      </c>
    </row>
    <row r="146" spans="5:44" ht="14.4">
      <c r="E146" s="26" t="s">
        <v>50</v>
      </c>
      <c r="G146" s="26">
        <f>G151</f>
        <v>1940</v>
      </c>
      <c r="H146" s="27">
        <f>SUMIFS(OldHouses!L$2:L$82,OldHouses!$C$2:$C$82,$E146,OldHouses!$G$2:$G$82,$G146,OldHouses!$B$2:$B$82,"PASTI")</f>
        <v>7.1060888712241397</v>
      </c>
      <c r="I146" s="39">
        <f>SUMIFS(OldHouses!M$2:M$82,OldHouses!$C$2:$C$82,$E146,OldHouses!$G$2:$G$82,$G146,OldHouses!$B$2:$B$82,"PASTI")</f>
        <v>244.728938699097</v>
      </c>
      <c r="J146" s="39">
        <f>SUMIFS(OldHouses!N$2:N$82,OldHouses!$C$2:$C$82,$E146,OldHouses!$G$2:$G$82,$G146,OldHouses!$B$2:$B$82,"PASTI")</f>
        <v>29.1075161543497</v>
      </c>
      <c r="K146" s="39">
        <f>SUMIFS(OldHouses!O$2:O$82,OldHouses!$C$2:$C$82,$E146,OldHouses!$G$2:$G$82,$G146,OldHouses!$B$2:$B$82,"PASTI")</f>
        <v>376.060486524216</v>
      </c>
      <c r="L146" s="39">
        <f>SUMIFS(OldHouses!P$2:P$82,OldHouses!$C$2:$C$82,$E146,OldHouses!$G$2:$G$82,$G146,OldHouses!$B$2:$B$82,"PASTI")</f>
        <v>87.260262363001999</v>
      </c>
      <c r="M146" s="39">
        <f>SUMIFS(OldHouses!Q$2:Q$82,OldHouses!$C$2:$C$82,$E146,OldHouses!$G$2:$G$82,$G146,OldHouses!$B$2:$B$82,"PASTI")</f>
        <v>202.87574694946099</v>
      </c>
      <c r="N146" s="39">
        <f>SUMIFS(OldHouses!R$2:R$82,OldHouses!$C$2:$C$82,$E146,OldHouses!$G$2:$G$82,$G146,OldHouses!$B$2:$B$82,"PASTI")</f>
        <v>3.20376134917406</v>
      </c>
      <c r="O146" s="39">
        <f>SUMIFS(OldHouses!S$2:S$82,OldHouses!$C$2:$C$82,$E146,OldHouses!$G$2:$G$82,$G146,OldHouses!$B$2:$B$82,"PASTI")</f>
        <v>247.83001714924399</v>
      </c>
      <c r="P146" s="39">
        <f>SUMIFS(OldHouses!T$2:T$82,OldHouses!$C$2:$C$82,$E146,OldHouses!$G$2:$G$82,$G146,OldHouses!$B$2:$B$82,"PASTI")</f>
        <v>1672.68283163193</v>
      </c>
      <c r="Q146" s="39">
        <f>SUMIFS(OldHouses!U$2:U$82,OldHouses!$C$2:$C$82,$E146,OldHouses!$G$2:$G$82,$G146,OldHouses!$B$2:$B$82,"PASTI")</f>
        <v>358.06514760756801</v>
      </c>
      <c r="R146" s="39">
        <f>SUMIFS(OldHouses!V$2:V$82,OldHouses!$C$2:$C$82,$E146,OldHouses!$G$2:$G$82,$G146,OldHouses!$B$2:$B$82,"PASTI")</f>
        <v>20.940127776042502</v>
      </c>
      <c r="S146" s="39">
        <f>SUMIFS(OldHouses!W$2:W$82,OldHouses!$C$2:$C$82,$E146,OldHouses!$G$2:$G$82,$G146,OldHouses!$B$2:$B$82,"PASTI")</f>
        <v>60.668506255746202</v>
      </c>
      <c r="T146" s="39">
        <f>SUMIFS(OldHouses!X$2:X$82,OldHouses!$C$2:$C$82,$E146,OldHouses!$G$2:$G$82,$G146,OldHouses!$B$2:$B$82,"PASTI")</f>
        <v>127.039848002768</v>
      </c>
      <c r="U146" s="39">
        <f>SUMIFS(OldHouses!Y$2:Y$82,OldHouses!$C$2:$C$82,$E146,OldHouses!$G$2:$G$82,$G146,OldHouses!$B$2:$B$82,"PASTI")</f>
        <v>111.650230725554</v>
      </c>
      <c r="V146" s="39">
        <f>SUMIFS(OldHouses!Z$2:Z$82,OldHouses!$C$2:$C$82,$E146,OldHouses!$G$2:$G$82,$G146,OldHouses!$B$2:$B$82,"PASTI")</f>
        <v>1676.3358896187999</v>
      </c>
      <c r="W146" s="39">
        <f>SUMIFS(OldHouses!AA$2:AA$82,OldHouses!$C$2:$C$82,$E146,OldHouses!$G$2:$G$82,$G146,OldHouses!$B$2:$B$82,"PASTI")</f>
        <v>94.298145039859406</v>
      </c>
      <c r="X146" s="39">
        <f>SUMIFS(OldHouses!AB$2:AB$82,OldHouses!$C$2:$C$82,$E146,OldHouses!$G$2:$G$82,$G146,OldHouses!$B$2:$B$82,"PASTI")</f>
        <v>293.18281213521198</v>
      </c>
      <c r="Y146" s="39">
        <f>SUMIFS(OldHouses!AC$2:AC$82,OldHouses!$C$2:$C$82,$E146,OldHouses!$G$2:$G$82,$G146,OldHouses!$B$2:$B$82,"PASTI")</f>
        <v>78.4192740181511</v>
      </c>
      <c r="Z146" s="39">
        <f>SUMIFS(OldHouses!AD$2:AD$82,OldHouses!$C$2:$C$82,$E146,OldHouses!$G$2:$G$82,$G146,OldHouses!$B$2:$B$82,"PASTI")</f>
        <v>6.1429929449196701</v>
      </c>
      <c r="AA146" s="39">
        <f>SUMIFS(OldHouses!AE$2:AE$82,OldHouses!$C$2:$C$82,$E146,OldHouses!$G$2:$G$82,$G146,OldHouses!$B$2:$B$82,"PASTI")</f>
        <v>508.827786899047</v>
      </c>
      <c r="AB146" s="39">
        <f>SUMIFS(OldHouses!AF$2:AF$82,OldHouses!$C$2:$C$82,$E146,OldHouses!$G$2:$G$82,$G146,OldHouses!$B$2:$B$82,"PASTI")</f>
        <v>17.1341199132338</v>
      </c>
      <c r="AC146" s="39">
        <f>SUMIFS(OldHouses!AG$2:AG$82,OldHouses!$C$2:$C$82,$E146,OldHouses!$G$2:$G$82,$G146,OldHouses!$B$2:$B$82,"PASTI")</f>
        <v>67.066682592128998</v>
      </c>
      <c r="AD146" s="39">
        <f>SUMIFS(OldHouses!AH$2:AH$82,OldHouses!$C$2:$C$82,$E146,OldHouses!$G$2:$G$82,$G146,OldHouses!$B$2:$B$82,"PASTI")</f>
        <v>14.8103993517646</v>
      </c>
      <c r="AE146" s="39">
        <f>SUMIFS(OldHouses!AI$2:AI$82,OldHouses!$C$2:$C$82,$E146,OldHouses!$G$2:$G$82,$G146,OldHouses!$B$2:$B$82,"PASTI")</f>
        <v>38.565279561532797</v>
      </c>
      <c r="AF146" s="39">
        <f>SUMIFS(OldHouses!AJ$2:AJ$82,OldHouses!$C$2:$C$82,$E146,OldHouses!$G$2:$G$82,$G146,OldHouses!$B$2:$B$82,"PASTI")</f>
        <v>5.5810510836935796</v>
      </c>
      <c r="AG146" s="39">
        <f>SUMIFS(OldHouses!AK$2:AK$82,OldHouses!$C$2:$C$82,$E146,OldHouses!$G$2:$G$82,$G146,OldHouses!$B$2:$B$82,"PASTI")</f>
        <v>16.468824362270102</v>
      </c>
      <c r="AH146" s="39">
        <f>SUMIFS(OldHouses!AL$2:AL$82,OldHouses!$C$2:$C$82,$E146,OldHouses!$G$2:$G$82,$G146,OldHouses!$B$2:$B$82,"PASTI")</f>
        <v>0.77894954316550202</v>
      </c>
      <c r="AI146" s="39">
        <f>SUMIFS(OldHouses!AM$2:AM$82,OldHouses!$C$2:$C$82,$E146,OldHouses!$G$2:$G$82,$G146,OldHouses!$B$2:$B$82,"PASTI")</f>
        <v>144.57043395471001</v>
      </c>
      <c r="AJ146" s="39">
        <f>SUMIFS(OldHouses!AN$2:AN$82,OldHouses!$C$2:$C$82,$E146,OldHouses!$G$2:$G$82,$G146,OldHouses!$B$2:$B$82,"PASTI")</f>
        <v>88.2665296328761</v>
      </c>
      <c r="AK146" s="39">
        <f>SUMIFS(OldHouses!AO$2:AO$82,OldHouses!$C$2:$C$82,$E146,OldHouses!$G$2:$G$82,$G146,OldHouses!$B$2:$B$82,"PASTI")</f>
        <v>680.48064779497702</v>
      </c>
      <c r="AL146" s="39">
        <f>SUMIFS(OldHouses!AP$2:AP$82,OldHouses!$C$2:$C$82,$E146,OldHouses!$G$2:$G$82,$G146,OldHouses!$B$2:$B$82,"PASTI")</f>
        <v>55.552390290687399</v>
      </c>
      <c r="AM146" s="39">
        <f>SUMIFS(OldHouses!AQ$2:AQ$82,OldHouses!$C$2:$C$82,$E146,OldHouses!$G$2:$G$82,$G146,OldHouses!$B$2:$B$82,"PASTI")</f>
        <v>218.45730286903299</v>
      </c>
      <c r="AN146" s="39">
        <f>SUMIFS(OldHouses!AR$2:AR$82,OldHouses!$C$2:$C$82,$E146,OldHouses!$G$2:$G$82,$G146,OldHouses!$B$2:$B$82,"PASTI")</f>
        <v>86.003989705101603</v>
      </c>
      <c r="AO146" s="39">
        <f>SUMIFS(OldHouses!AS$2:AS$82,OldHouses!$C$2:$C$82,$E146,OldHouses!$G$2:$G$82,$G146,OldHouses!$B$2:$B$82,"PASTI")</f>
        <v>380.67209163992197</v>
      </c>
      <c r="AP146" s="39">
        <f>SUMIFS(OldHouses!AT$2:AT$82,OldHouses!$C$2:$C$82,$E146,OldHouses!$G$2:$G$82,$G146,OldHouses!$B$2:$B$82,"PASTI")</f>
        <v>62.074832529094799</v>
      </c>
      <c r="AQ146" s="39">
        <f>SUMIFS(OldHouses!AU$2:AU$82,OldHouses!$C$2:$C$82,$E146,OldHouses!$G$2:$G$82,$G146,OldHouses!$B$2:$B$82,"PASTI")</f>
        <v>104.06477940104401</v>
      </c>
      <c r="AR146" s="39">
        <f>SUMIFS(OldHouses!AV$2:AV$82,OldHouses!$C$2:$C$82,$E146,OldHouses!$G$2:$G$82,$G146,OldHouses!$B$2:$B$82,"PASTI")</f>
        <v>1548.85139511387</v>
      </c>
    </row>
    <row r="147" spans="5:44" ht="14.4">
      <c r="E147" s="26" t="s">
        <v>50</v>
      </c>
      <c r="G147" s="26">
        <f>G152</f>
        <v>1957</v>
      </c>
      <c r="H147" s="39">
        <f>SUMIFS(OldHouses!L$2:L$82,OldHouses!$C$2:$C$82,$E147,OldHouses!$G$2:$G$82,$G147,OldHouses!$B$2:$B$82,"PASTI")</f>
        <v>25.861613876731401</v>
      </c>
      <c r="I147" s="39">
        <f>SUMIFS(OldHouses!M$2:M$82,OldHouses!$C$2:$C$82,$E147,OldHouses!$G$2:$G$82,$G147,OldHouses!$B$2:$B$82,"PASTI")</f>
        <v>295.27190550464297</v>
      </c>
      <c r="J147" s="39">
        <f>SUMIFS(OldHouses!N$2:N$82,OldHouses!$C$2:$C$82,$E147,OldHouses!$G$2:$G$82,$G147,OldHouses!$B$2:$B$82,"PASTI")</f>
        <v>66.455661529947903</v>
      </c>
      <c r="K147" s="39">
        <f>SUMIFS(OldHouses!O$2:O$82,OldHouses!$C$2:$C$82,$E147,OldHouses!$G$2:$G$82,$G147,OldHouses!$B$2:$B$82,"PASTI")</f>
        <v>208.922492420065</v>
      </c>
      <c r="L147" s="39">
        <f>SUMIFS(OldHouses!P$2:P$82,OldHouses!$C$2:$C$82,$E147,OldHouses!$G$2:$G$82,$G147,OldHouses!$B$2:$B$82,"PASTI")</f>
        <v>180.64217892773499</v>
      </c>
      <c r="M147" s="39">
        <f>SUMIFS(OldHouses!Q$2:Q$82,OldHouses!$C$2:$C$82,$E147,OldHouses!$G$2:$G$82,$G147,OldHouses!$B$2:$B$82,"PASTI")</f>
        <v>244.77492813425999</v>
      </c>
      <c r="N147" s="39">
        <f>SUMIFS(OldHouses!R$2:R$82,OldHouses!$C$2:$C$82,$E147,OldHouses!$G$2:$G$82,$G147,OldHouses!$B$2:$B$82,"PASTI")</f>
        <v>10.674429380949601</v>
      </c>
      <c r="O147" s="39">
        <f>SUMIFS(OldHouses!S$2:S$82,OldHouses!$C$2:$C$82,$E147,OldHouses!$G$2:$G$82,$G147,OldHouses!$B$2:$B$82,"PASTI")</f>
        <v>336.591459192711</v>
      </c>
      <c r="P147" s="39">
        <f>SUMIFS(OldHouses!T$2:T$82,OldHouses!$C$2:$C$82,$E147,OldHouses!$G$2:$G$82,$G147,OldHouses!$B$2:$B$82,"PASTI")</f>
        <v>2538.9735799197201</v>
      </c>
      <c r="Q147" s="39">
        <f>SUMIFS(OldHouses!U$2:U$82,OldHouses!$C$2:$C$82,$E147,OldHouses!$G$2:$G$82,$G147,OldHouses!$B$2:$B$82,"PASTI")</f>
        <v>260.00650286617201</v>
      </c>
      <c r="R147" s="39">
        <f>SUMIFS(OldHouses!V$2:V$82,OldHouses!$C$2:$C$82,$E147,OldHouses!$G$2:$G$82,$G147,OldHouses!$B$2:$B$82,"PASTI")</f>
        <v>30.9559619822308</v>
      </c>
      <c r="S147" s="39">
        <f>SUMIFS(OldHouses!W$2:W$82,OldHouses!$C$2:$C$82,$E147,OldHouses!$G$2:$G$82,$G147,OldHouses!$B$2:$B$82,"PASTI")</f>
        <v>220.79452026243601</v>
      </c>
      <c r="T147" s="39">
        <f>SUMIFS(OldHouses!X$2:X$82,OldHouses!$C$2:$C$82,$E147,OldHouses!$G$2:$G$82,$G147,OldHouses!$B$2:$B$82,"PASTI")</f>
        <v>225.830435548124</v>
      </c>
      <c r="U147" s="39">
        <f>SUMIFS(OldHouses!Y$2:Y$82,OldHouses!$C$2:$C$82,$E147,OldHouses!$G$2:$G$82,$G147,OldHouses!$B$2:$B$82,"PASTI")</f>
        <v>204.21026210127201</v>
      </c>
      <c r="V147" s="39">
        <f>SUMIFS(OldHouses!Z$2:Z$82,OldHouses!$C$2:$C$82,$E147,OldHouses!$G$2:$G$82,$G147,OldHouses!$B$2:$B$82,"PASTI")</f>
        <v>1133.79500277124</v>
      </c>
      <c r="W147" s="39">
        <f>SUMIFS(OldHouses!AA$2:AA$82,OldHouses!$C$2:$C$82,$E147,OldHouses!$G$2:$G$82,$G147,OldHouses!$B$2:$B$82,"PASTI")</f>
        <v>171.33427438973399</v>
      </c>
      <c r="X147" s="39">
        <f>SUMIFS(OldHouses!AB$2:AB$82,OldHouses!$C$2:$C$82,$E147,OldHouses!$G$2:$G$82,$G147,OldHouses!$B$2:$B$82,"PASTI")</f>
        <v>395.01158653862899</v>
      </c>
      <c r="Y147" s="39">
        <f>SUMIFS(OldHouses!AC$2:AC$82,OldHouses!$C$2:$C$82,$E147,OldHouses!$G$2:$G$82,$G147,OldHouses!$B$2:$B$82,"PASTI")</f>
        <v>71.157683020458407</v>
      </c>
      <c r="Z147" s="39">
        <f>SUMIFS(OldHouses!AD$2:AD$82,OldHouses!$C$2:$C$82,$E147,OldHouses!$G$2:$G$82,$G147,OldHouses!$B$2:$B$82,"PASTI")</f>
        <v>11.235643591743999</v>
      </c>
      <c r="AA147" s="39">
        <f>SUMIFS(OldHouses!AE$2:AE$82,OldHouses!$C$2:$C$82,$E147,OldHouses!$G$2:$G$82,$G147,OldHouses!$B$2:$B$82,"PASTI")</f>
        <v>713.73549839862005</v>
      </c>
      <c r="AB147" s="39">
        <f>SUMIFS(OldHouses!AF$2:AF$82,OldHouses!$C$2:$C$82,$E147,OldHouses!$G$2:$G$82,$G147,OldHouses!$B$2:$B$82,"PASTI")</f>
        <v>39.119080705113603</v>
      </c>
      <c r="AC147" s="39">
        <f>SUMIFS(OldHouses!AG$2:AG$82,OldHouses!$C$2:$C$82,$E147,OldHouses!$G$2:$G$82,$G147,OldHouses!$B$2:$B$82,"PASTI")</f>
        <v>71.672234337955601</v>
      </c>
      <c r="AD147" s="39">
        <f>SUMIFS(OldHouses!AH$2:AH$82,OldHouses!$C$2:$C$82,$E147,OldHouses!$G$2:$G$82,$G147,OldHouses!$B$2:$B$82,"PASTI")</f>
        <v>13.6218918170468</v>
      </c>
      <c r="AE147" s="39">
        <f>SUMIFS(OldHouses!AI$2:AI$82,OldHouses!$C$2:$C$82,$E147,OldHouses!$G$2:$G$82,$G147,OldHouses!$B$2:$B$82,"PASTI")</f>
        <v>46.771100327471899</v>
      </c>
      <c r="AF147" s="39">
        <f>SUMIFS(OldHouses!AJ$2:AJ$82,OldHouses!$C$2:$C$82,$E147,OldHouses!$G$2:$G$82,$G147,OldHouses!$B$2:$B$82,"PASTI")</f>
        <v>12.742153601583199</v>
      </c>
      <c r="AG147" s="39">
        <f>SUMIFS(OldHouses!AK$2:AK$82,OldHouses!$C$2:$C$82,$E147,OldHouses!$G$2:$G$82,$G147,OldHouses!$B$2:$B$82,"PASTI")</f>
        <v>34.093002205320197</v>
      </c>
      <c r="AH147" s="39">
        <f>SUMIFS(OldHouses!AL$2:AL$82,OldHouses!$C$2:$C$82,$E147,OldHouses!$G$2:$G$82,$G147,OldHouses!$B$2:$B$82,"PASTI")</f>
        <v>0.81665532170306498</v>
      </c>
      <c r="AI147" s="39">
        <f>SUMIFS(OldHouses!AM$2:AM$82,OldHouses!$C$2:$C$82,$E147,OldHouses!$G$2:$G$82,$G147,OldHouses!$B$2:$B$82,"PASTI")</f>
        <v>162.71433930297201</v>
      </c>
      <c r="AJ147" s="39">
        <f>SUMIFS(OldHouses!AN$2:AN$82,OldHouses!$C$2:$C$82,$E147,OldHouses!$G$2:$G$82,$G147,OldHouses!$B$2:$B$82,"PASTI")</f>
        <v>117.429418498936</v>
      </c>
      <c r="AK147" s="39">
        <f>SUMIFS(OldHouses!AO$2:AO$82,OldHouses!$C$2:$C$82,$E147,OldHouses!$G$2:$G$82,$G147,OldHouses!$B$2:$B$82,"PASTI")</f>
        <v>755.06274448196598</v>
      </c>
      <c r="AL147" s="39">
        <f>SUMIFS(OldHouses!AP$2:AP$82,OldHouses!$C$2:$C$82,$E147,OldHouses!$G$2:$G$82,$G147,OldHouses!$B$2:$B$82,"PASTI")</f>
        <v>75.148461890449397</v>
      </c>
      <c r="AM147" s="39">
        <f>SUMIFS(OldHouses!AQ$2:AQ$82,OldHouses!$C$2:$C$82,$E147,OldHouses!$G$2:$G$82,$G147,OldHouses!$B$2:$B$82,"PASTI")</f>
        <v>632.987851715744</v>
      </c>
      <c r="AN147" s="39">
        <f>SUMIFS(OldHouses!AR$2:AR$82,OldHouses!$C$2:$C$82,$E147,OldHouses!$G$2:$G$82,$G147,OldHouses!$B$2:$B$82,"PASTI")</f>
        <v>196.35656988936401</v>
      </c>
      <c r="AO147" s="39">
        <f>SUMIFS(OldHouses!AS$2:AS$82,OldHouses!$C$2:$C$82,$E147,OldHouses!$G$2:$G$82,$G147,OldHouses!$B$2:$B$82,"PASTI")</f>
        <v>345.239517639224</v>
      </c>
      <c r="AP147" s="39">
        <f>SUMIFS(OldHouses!AT$2:AT$82,OldHouses!$C$2:$C$82,$E147,OldHouses!$G$2:$G$82,$G147,OldHouses!$B$2:$B$82,"PASTI")</f>
        <v>41.492685427550498</v>
      </c>
      <c r="AQ147" s="39">
        <f>SUMIFS(OldHouses!AU$2:AU$82,OldHouses!$C$2:$C$82,$E147,OldHouses!$G$2:$G$82,$G147,OldHouses!$B$2:$B$82,"PASTI")</f>
        <v>133.70725975459399</v>
      </c>
      <c r="AR147" s="39">
        <f>SUMIFS(OldHouses!AV$2:AV$82,OldHouses!$C$2:$C$82,$E147,OldHouses!$G$2:$G$82,$G147,OldHouses!$B$2:$B$82,"PASTI")</f>
        <v>974.58960667921701</v>
      </c>
    </row>
    <row r="148" spans="5:44" ht="14.4">
      <c r="E148" s="26" t="s">
        <v>238</v>
      </c>
      <c r="G148" s="26">
        <f>G153</f>
        <v>1975</v>
      </c>
      <c r="H148" s="39">
        <f>SUMIFS(OldHouses!L$2:L$82,OldHouses!$C$2:$C$82,$E148,OldHouses!$G$2:$G$82,$G148,OldHouses!$B$2:$B$82,"PASTI")</f>
        <v>20.606959007251501</v>
      </c>
      <c r="I148" s="39">
        <f>SUMIFS(OldHouses!M$2:M$82,OldHouses!$C$2:$C$82,$E148,OldHouses!$G$2:$G$82,$G148,OldHouses!$B$2:$B$82,"PASTI")</f>
        <v>151.92494499666299</v>
      </c>
      <c r="J148" s="39">
        <f>SUMIFS(OldHouses!N$2:N$82,OldHouses!$C$2:$C$82,$E148,OldHouses!$G$2:$G$82,$G148,OldHouses!$B$2:$B$82,"PASTI")</f>
        <v>49.616283038400397</v>
      </c>
      <c r="K148" s="39">
        <f>SUMIFS(OldHouses!O$2:O$82,OldHouses!$C$2:$C$82,$E148,OldHouses!$G$2:$G$82,$G148,OldHouses!$B$2:$B$82,"PASTI")</f>
        <v>113.066291408395</v>
      </c>
      <c r="L148" s="39">
        <f>SUMIFS(OldHouses!P$2:P$82,OldHouses!$C$2:$C$82,$E148,OldHouses!$G$2:$G$82,$G148,OldHouses!$B$2:$B$82,"PASTI")</f>
        <v>104.734532605505</v>
      </c>
      <c r="M148" s="39">
        <f>SUMIFS(OldHouses!Q$2:Q$82,OldHouses!$C$2:$C$82,$E148,OldHouses!$G$2:$G$82,$G148,OldHouses!$B$2:$B$82,"PASTI")</f>
        <v>125.942959015363</v>
      </c>
      <c r="N148" s="39">
        <f>SUMIFS(OldHouses!R$2:R$82,OldHouses!$C$2:$C$82,$E148,OldHouses!$G$2:$G$82,$G148,OldHouses!$B$2:$B$82,"PASTI")</f>
        <v>14.4502726853793</v>
      </c>
      <c r="O148" s="39">
        <f>SUMIFS(OldHouses!S$2:S$82,OldHouses!$C$2:$C$82,$E148,OldHouses!$G$2:$G$82,$G148,OldHouses!$B$2:$B$82,"PASTI")</f>
        <v>137.919270294802</v>
      </c>
      <c r="P148" s="39">
        <f>SUMIFS(OldHouses!T$2:T$82,OldHouses!$C$2:$C$82,$E148,OldHouses!$G$2:$G$82,$G148,OldHouses!$B$2:$B$82,"PASTI")</f>
        <v>1308.7090807244799</v>
      </c>
      <c r="Q148" s="39">
        <f>SUMIFS(OldHouses!U$2:U$82,OldHouses!$C$2:$C$82,$E148,OldHouses!$G$2:$G$82,$G148,OldHouses!$B$2:$B$82,"PASTI")</f>
        <v>160.60969552325699</v>
      </c>
      <c r="R148" s="39">
        <f>SUMIFS(OldHouses!V$2:V$82,OldHouses!$C$2:$C$82,$E148,OldHouses!$G$2:$G$82,$G148,OldHouses!$B$2:$B$82,"PASTI")</f>
        <v>24.045370170485299</v>
      </c>
      <c r="S148" s="39">
        <f>SUMIFS(OldHouses!W$2:W$82,OldHouses!$C$2:$C$82,$E148,OldHouses!$G$2:$G$82,$G148,OldHouses!$B$2:$B$82,"PASTI")</f>
        <v>175.93270279885701</v>
      </c>
      <c r="T148" s="39">
        <f>SUMIFS(OldHouses!X$2:X$82,OldHouses!$C$2:$C$82,$E148,OldHouses!$G$2:$G$82,$G148,OldHouses!$B$2:$B$82,"PASTI")</f>
        <v>186.45602003573299</v>
      </c>
      <c r="U148" s="39">
        <f>SUMIFS(OldHouses!Y$2:Y$82,OldHouses!$C$2:$C$82,$E148,OldHouses!$G$2:$G$82,$G148,OldHouses!$B$2:$B$82,"PASTI")</f>
        <v>162.21315907568899</v>
      </c>
      <c r="V148" s="39">
        <f>SUMIFS(OldHouses!Z$2:Z$82,OldHouses!$C$2:$C$82,$E148,OldHouses!$G$2:$G$82,$G148,OldHouses!$B$2:$B$82,"PASTI")</f>
        <v>1252.36999350114</v>
      </c>
      <c r="W148" s="39">
        <f>SUMIFS(OldHouses!AA$2:AA$82,OldHouses!$C$2:$C$82,$E148,OldHouses!$G$2:$G$82,$G148,OldHouses!$B$2:$B$82,"PASTI")</f>
        <v>132.34861543181299</v>
      </c>
      <c r="X148" s="39">
        <f>SUMIFS(OldHouses!AB$2:AB$82,OldHouses!$C$2:$C$82,$E148,OldHouses!$G$2:$G$82,$G148,OldHouses!$B$2:$B$82,"PASTI")</f>
        <v>236.90752942957599</v>
      </c>
      <c r="Y148" s="39">
        <f>SUMIFS(OldHouses!AC$2:AC$82,OldHouses!$C$2:$C$82,$E148,OldHouses!$G$2:$G$82,$G148,OldHouses!$B$2:$B$82,"PASTI")</f>
        <v>60.133431237365997</v>
      </c>
      <c r="Z148" s="39">
        <f>SUMIFS(OldHouses!AD$2:AD$82,OldHouses!$C$2:$C$82,$E148,OldHouses!$G$2:$G$82,$G148,OldHouses!$B$2:$B$82,"PASTI")</f>
        <v>8.92496401753532</v>
      </c>
      <c r="AA148" s="39">
        <f>SUMIFS(OldHouses!AE$2:AE$82,OldHouses!$C$2:$C$82,$E148,OldHouses!$G$2:$G$82,$G148,OldHouses!$B$2:$B$82,"PASTI")</f>
        <v>403.80456887207799</v>
      </c>
      <c r="AB148" s="39">
        <f>SUMIFS(OldHouses!AF$2:AF$82,OldHouses!$C$2:$C$82,$E148,OldHouses!$G$2:$G$82,$G148,OldHouses!$B$2:$B$82,"PASTI")</f>
        <v>29.206591820506802</v>
      </c>
      <c r="AC148" s="39">
        <f>SUMIFS(OldHouses!AG$2:AG$82,OldHouses!$C$2:$C$82,$E148,OldHouses!$G$2:$G$82,$G148,OldHouses!$B$2:$B$82,"PASTI")</f>
        <v>47.179043328148303</v>
      </c>
      <c r="AD148" s="39">
        <f>SUMIFS(OldHouses!AH$2:AH$82,OldHouses!$C$2:$C$82,$E148,OldHouses!$G$2:$G$82,$G148,OldHouses!$B$2:$B$82,"PASTI")</f>
        <v>7.3560417286278499</v>
      </c>
      <c r="AE148" s="39">
        <f>SUMIFS(OldHouses!AI$2:AI$82,OldHouses!$C$2:$C$82,$E148,OldHouses!$G$2:$G$82,$G148,OldHouses!$B$2:$B$82,"PASTI")</f>
        <v>37.812350741585099</v>
      </c>
      <c r="AF148" s="39">
        <f>SUMIFS(OldHouses!AJ$2:AJ$82,OldHouses!$C$2:$C$82,$E148,OldHouses!$G$2:$G$82,$G148,OldHouses!$B$2:$B$82,"PASTI")</f>
        <v>9.51338509105085</v>
      </c>
      <c r="AG148" s="39">
        <f>SUMIFS(OldHouses!AK$2:AK$82,OldHouses!$C$2:$C$82,$E148,OldHouses!$G$2:$G$82,$G148,OldHouses!$B$2:$B$82,"PASTI")</f>
        <v>19.766782444099601</v>
      </c>
      <c r="AH148" s="39">
        <f>SUMIFS(OldHouses!AL$2:AL$82,OldHouses!$C$2:$C$82,$E148,OldHouses!$G$2:$G$82,$G148,OldHouses!$B$2:$B$82,"PASTI")</f>
        <v>0.53660700198845002</v>
      </c>
      <c r="AI148" s="39">
        <f>SUMIFS(OldHouses!AM$2:AM$82,OldHouses!$C$2:$C$82,$E148,OldHouses!$G$2:$G$82,$G148,OldHouses!$B$2:$B$82,"PASTI")</f>
        <v>100.251318866814</v>
      </c>
      <c r="AJ148" s="39">
        <f>SUMIFS(OldHouses!AN$2:AN$82,OldHouses!$C$2:$C$82,$E148,OldHouses!$G$2:$G$82,$G148,OldHouses!$B$2:$B$82,"PASTI")</f>
        <v>75.379176457848104</v>
      </c>
      <c r="AK148" s="39">
        <f>SUMIFS(OldHouses!AO$2:AO$82,OldHouses!$C$2:$C$82,$E148,OldHouses!$G$2:$G$82,$G148,OldHouses!$B$2:$B$82,"PASTI")</f>
        <v>433.94372960419003</v>
      </c>
      <c r="AL148" s="39">
        <f>SUMIFS(OldHouses!AP$2:AP$82,OldHouses!$C$2:$C$82,$E148,OldHouses!$G$2:$G$82,$G148,OldHouses!$B$2:$B$82,"PASTI")</f>
        <v>84.219719420740603</v>
      </c>
      <c r="AM148" s="39">
        <f>SUMIFS(OldHouses!AQ$2:AQ$82,OldHouses!$C$2:$C$82,$E148,OldHouses!$G$2:$G$82,$G148,OldHouses!$B$2:$B$82,"PASTI")</f>
        <v>456.669181371972</v>
      </c>
      <c r="AN148" s="39">
        <f>SUMIFS(OldHouses!AR$2:AR$82,OldHouses!$C$2:$C$82,$E148,OldHouses!$G$2:$G$82,$G148,OldHouses!$B$2:$B$82,"PASTI")</f>
        <v>146.60125147786999</v>
      </c>
      <c r="AO148" s="39">
        <f>SUMIFS(OldHouses!AS$2:AS$82,OldHouses!$C$2:$C$82,$E148,OldHouses!$G$2:$G$82,$G148,OldHouses!$B$2:$B$82,"PASTI")</f>
        <v>187.86913597220499</v>
      </c>
      <c r="AP148" s="39">
        <f>SUMIFS(OldHouses!AT$2:AT$82,OldHouses!$C$2:$C$82,$E148,OldHouses!$G$2:$G$82,$G148,OldHouses!$B$2:$B$82,"PASTI")</f>
        <v>35.720098690027797</v>
      </c>
      <c r="AQ148" s="39">
        <f>SUMIFS(OldHouses!AU$2:AU$82,OldHouses!$C$2:$C$82,$E148,OldHouses!$G$2:$G$82,$G148,OldHouses!$B$2:$B$82,"PASTI")</f>
        <v>54.728975273093198</v>
      </c>
      <c r="AR148" s="39">
        <f>SUMIFS(OldHouses!AV$2:AV$82,OldHouses!$C$2:$C$82,$E148,OldHouses!$G$2:$G$82,$G148,OldHouses!$B$2:$B$82,"PASTI")</f>
        <v>428.16240396679302</v>
      </c>
    </row>
    <row r="149" spans="5:44" ht="14.4">
      <c r="E149" s="35" t="s">
        <v>238</v>
      </c>
      <c r="G149" s="26">
        <f>G154</f>
        <v>1985</v>
      </c>
      <c r="H149" s="39">
        <f>SUMIFS(OldHouses!L$2:L$82,OldHouses!$C$2:$C$82,$E149,OldHouses!$G$2:$G$82,$G149,OldHouses!$B$2:$B$82,"PASTI")</f>
        <v>15.774387907230899</v>
      </c>
      <c r="I149" s="39">
        <f>SUMIFS(OldHouses!M$2:M$82,OldHouses!$C$2:$C$82,$E149,OldHouses!$G$2:$G$82,$G149,OldHouses!$B$2:$B$82,"PASTI")</f>
        <v>120.54340766726899</v>
      </c>
      <c r="J149" s="39">
        <f>SUMIFS(OldHouses!N$2:N$82,OldHouses!$C$2:$C$82,$E149,OldHouses!$G$2:$G$82,$G149,OldHouses!$B$2:$B$82,"PASTI")</f>
        <v>41.933569844009497</v>
      </c>
      <c r="K149" s="39">
        <f>SUMIFS(OldHouses!O$2:O$82,OldHouses!$C$2:$C$82,$E149,OldHouses!$G$2:$G$82,$G149,OldHouses!$B$2:$B$82,"PASTI")</f>
        <v>113.066291408395</v>
      </c>
      <c r="L149" s="39">
        <f>SUMIFS(OldHouses!P$2:P$82,OldHouses!$C$2:$C$82,$E149,OldHouses!$G$2:$G$82,$G149,OldHouses!$B$2:$B$82,"PASTI")</f>
        <v>98.695124628582704</v>
      </c>
      <c r="M149" s="39">
        <f>SUMIFS(OldHouses!Q$2:Q$82,OldHouses!$C$2:$C$82,$E149,OldHouses!$G$2:$G$82,$G149,OldHouses!$B$2:$B$82,"PASTI")</f>
        <v>99.928247146935504</v>
      </c>
      <c r="N149" s="39">
        <f>SUMIFS(OldHouses!R$2:R$82,OldHouses!$C$2:$C$82,$E149,OldHouses!$G$2:$G$82,$G149,OldHouses!$B$2:$B$82,"PASTI")</f>
        <v>20.860764410120499</v>
      </c>
      <c r="O149" s="39">
        <f>SUMIFS(OldHouses!S$2:S$82,OldHouses!$C$2:$C$82,$E149,OldHouses!$G$2:$G$82,$G149,OldHouses!$B$2:$B$82,"PASTI")</f>
        <v>159.86160308350699</v>
      </c>
      <c r="P149" s="39">
        <f>SUMIFS(OldHouses!T$2:T$82,OldHouses!$C$2:$C$82,$E149,OldHouses!$G$2:$G$82,$G149,OldHouses!$B$2:$B$82,"PASTI")</f>
        <v>912.14145381840399</v>
      </c>
      <c r="Q149" s="39">
        <f>SUMIFS(OldHouses!U$2:U$82,OldHouses!$C$2:$C$82,$E149,OldHouses!$G$2:$G$82,$G149,OldHouses!$B$2:$B$82,"PASTI")</f>
        <v>65.784462570504999</v>
      </c>
      <c r="R149" s="39">
        <f>SUMIFS(OldHouses!V$2:V$82,OldHouses!$C$2:$C$82,$E149,OldHouses!$G$2:$G$82,$G149,OldHouses!$B$2:$B$82,"PASTI")</f>
        <v>22.613386062675399</v>
      </c>
      <c r="S149" s="39">
        <f>SUMIFS(OldHouses!W$2:W$82,OldHouses!$C$2:$C$82,$E149,OldHouses!$G$2:$G$82,$G149,OldHouses!$B$2:$B$82,"PASTI")</f>
        <v>134.67444170389999</v>
      </c>
      <c r="T149" s="39">
        <f>SUMIFS(OldHouses!X$2:X$82,OldHouses!$C$2:$C$82,$E149,OldHouses!$G$2:$G$82,$G149,OldHouses!$B$2:$B$82,"PASTI")</f>
        <v>118.13656236797</v>
      </c>
      <c r="U149" s="39">
        <f>SUMIFS(OldHouses!Y$2:Y$82,OldHouses!$C$2:$C$82,$E149,OldHouses!$G$2:$G$82,$G149,OldHouses!$B$2:$B$82,"PASTI")</f>
        <v>128.53246834783101</v>
      </c>
      <c r="V149" s="39">
        <f>SUMIFS(OldHouses!Z$2:Z$82,OldHouses!$C$2:$C$82,$E149,OldHouses!$G$2:$G$82,$G149,OldHouses!$B$2:$B$82,"PASTI")</f>
        <v>922.92144269410505</v>
      </c>
      <c r="W149" s="39">
        <f>SUMIFS(OldHouses!AA$2:AA$82,OldHouses!$C$2:$C$82,$E149,OldHouses!$G$2:$G$82,$G149,OldHouses!$B$2:$B$82,"PASTI")</f>
        <v>104.928117753444</v>
      </c>
      <c r="X149" s="39">
        <f>SUMIFS(OldHouses!AB$2:AB$82,OldHouses!$C$2:$C$82,$E149,OldHouses!$G$2:$G$82,$G149,OldHouses!$B$2:$B$82,"PASTI")</f>
        <v>322.05482306960499</v>
      </c>
      <c r="Y149" s="39">
        <f>SUMIFS(OldHouses!AC$2:AC$82,OldHouses!$C$2:$C$82,$E149,OldHouses!$G$2:$G$82,$G149,OldHouses!$B$2:$B$82,"PASTI")</f>
        <v>52.333780651589898</v>
      </c>
      <c r="Z149" s="39">
        <f>SUMIFS(OldHouses!AD$2:AD$82,OldHouses!$C$2:$C$82,$E149,OldHouses!$G$2:$G$82,$G149,OldHouses!$B$2:$B$82,"PASTI")</f>
        <v>7.0718532431399703</v>
      </c>
      <c r="AA149" s="39">
        <f>SUMIFS(OldHouses!AE$2:AE$82,OldHouses!$C$2:$C$82,$E149,OldHouses!$G$2:$G$82,$G149,OldHouses!$B$2:$B$82,"PASTI")</f>
        <v>292.52111310299199</v>
      </c>
      <c r="AB149" s="39">
        <f>SUMIFS(OldHouses!AF$2:AF$82,OldHouses!$C$2:$C$82,$E149,OldHouses!$G$2:$G$82,$G149,OldHouses!$B$2:$B$82,"PASTI")</f>
        <v>24.6841678378611</v>
      </c>
      <c r="AC149" s="39">
        <f>SUMIFS(OldHouses!AG$2:AG$82,OldHouses!$C$2:$C$82,$E149,OldHouses!$G$2:$G$82,$G149,OldHouses!$B$2:$B$82,"PASTI")</f>
        <v>47.179043328148303</v>
      </c>
      <c r="AD149" s="39">
        <f>SUMIFS(OldHouses!AH$2:AH$82,OldHouses!$C$2:$C$82,$E149,OldHouses!$G$2:$G$82,$G149,OldHouses!$B$2:$B$82,"PASTI")</f>
        <v>5.7173903406803399</v>
      </c>
      <c r="AE149" s="39">
        <f>SUMIFS(OldHouses!AI$2:AI$82,OldHouses!$C$2:$C$82,$E149,OldHouses!$G$2:$G$82,$G149,OldHouses!$B$2:$B$82,"PASTI")</f>
        <v>36.500011475123699</v>
      </c>
      <c r="AF149" s="39">
        <f>SUMIFS(OldHouses!AJ$2:AJ$82,OldHouses!$C$2:$C$82,$E149,OldHouses!$G$2:$G$82,$G149,OldHouses!$B$2:$B$82,"PASTI")</f>
        <v>8.0403080146045607</v>
      </c>
      <c r="AG149" s="39">
        <f>SUMIFS(OldHouses!AK$2:AK$82,OldHouses!$C$2:$C$82,$E149,OldHouses!$G$2:$G$82,$G149,OldHouses!$B$2:$B$82,"PASTI")</f>
        <v>18.626951477166902</v>
      </c>
      <c r="AH149" s="39">
        <f>SUMIFS(OldHouses!AL$2:AL$82,OldHouses!$C$2:$C$82,$E149,OldHouses!$G$2:$G$82,$G149,OldHouses!$B$2:$B$82,"PASTI")</f>
        <v>0.616376579101101</v>
      </c>
      <c r="AI149" s="39">
        <f>SUMIFS(OldHouses!AM$2:AM$82,OldHouses!$C$2:$C$82,$E149,OldHouses!$G$2:$G$82,$G149,OldHouses!$B$2:$B$82,"PASTI")</f>
        <v>97.511531668585206</v>
      </c>
      <c r="AJ149" s="39">
        <f>SUMIFS(OldHouses!AN$2:AN$82,OldHouses!$C$2:$C$82,$E149,OldHouses!$G$2:$G$82,$G149,OldHouses!$B$2:$B$82,"PASTI")</f>
        <v>63.401944480743602</v>
      </c>
      <c r="AK149" s="39">
        <f>SUMIFS(OldHouses!AO$2:AO$82,OldHouses!$C$2:$C$82,$E149,OldHouses!$G$2:$G$82,$G149,OldHouses!$B$2:$B$82,"PASTI")</f>
        <v>448.60135533899398</v>
      </c>
      <c r="AL149" s="39">
        <f>SUMIFS(OldHouses!AP$2:AP$82,OldHouses!$C$2:$C$82,$E149,OldHouses!$G$2:$G$82,$G149,OldHouses!$B$2:$B$82,"PASTI")</f>
        <v>71.982216618097794</v>
      </c>
      <c r="AM149" s="39">
        <f>SUMIFS(OldHouses!AQ$2:AQ$82,OldHouses!$C$2:$C$82,$E149,OldHouses!$G$2:$G$82,$G149,OldHouses!$B$2:$B$82,"PASTI")</f>
        <v>624.76474677037004</v>
      </c>
      <c r="AN149" s="39">
        <f>SUMIFS(OldHouses!AR$2:AR$82,OldHouses!$C$2:$C$82,$E149,OldHouses!$G$2:$G$82,$G149,OldHouses!$B$2:$B$82,"PASTI")</f>
        <v>123.90113570798199</v>
      </c>
      <c r="AO149" s="39">
        <f>SUMIFS(OldHouses!AS$2:AS$82,OldHouses!$C$2:$C$82,$E149,OldHouses!$G$2:$G$82,$G149,OldHouses!$B$2:$B$82,"PASTI")</f>
        <v>129.419261606547</v>
      </c>
      <c r="AP149" s="39">
        <f>SUMIFS(OldHouses!AT$2:AT$82,OldHouses!$C$2:$C$82,$E149,OldHouses!$G$2:$G$82,$G149,OldHouses!$B$2:$B$82,"PASTI")</f>
        <v>19.404940788077301</v>
      </c>
      <c r="AQ149" s="39">
        <f>SUMIFS(OldHouses!AU$2:AU$82,OldHouses!$C$2:$C$82,$E149,OldHouses!$G$2:$G$82,$G149,OldHouses!$B$2:$B$82,"PASTI")</f>
        <v>63.484777969432301</v>
      </c>
      <c r="AR149" s="39">
        <f>SUMIFS(OldHouses!AV$2:AV$82,OldHouses!$C$2:$C$82,$E149,OldHouses!$G$2:$G$82,$G149,OldHouses!$B$2:$B$82,"PASTI")</f>
        <v>303.99210417641899</v>
      </c>
    </row>
    <row r="150" spans="5:44" ht="14.4">
      <c r="E150" s="35" t="s">
        <v>238</v>
      </c>
      <c r="G150" s="26">
        <f>G155</f>
        <v>1995</v>
      </c>
      <c r="H150" s="39">
        <f>SUMIFS(OldHouses!L$2:L$82,OldHouses!$C$2:$C$82,$E150,OldHouses!$G$2:$G$82,$G150,OldHouses!$B$2:$B$82,"PASTI")</f>
        <v>10.6121962776984</v>
      </c>
      <c r="I150" s="39">
        <f>SUMIFS(OldHouses!M$2:M$82,OldHouses!$C$2:$C$82,$E150,OldHouses!$G$2:$G$82,$G150,OldHouses!$B$2:$B$82,"PASTI")</f>
        <v>143.870845978321</v>
      </c>
      <c r="J150" s="39">
        <f>SUMIFS(OldHouses!N$2:N$82,OldHouses!$C$2:$C$82,$E150,OldHouses!$G$2:$G$82,$G150,OldHouses!$B$2:$B$82,"PASTI")</f>
        <v>20.553204563272701</v>
      </c>
      <c r="K150" s="39">
        <f>SUMIFS(OldHouses!O$2:O$82,OldHouses!$C$2:$C$82,$E150,OldHouses!$G$2:$G$82,$G150,OldHouses!$B$2:$B$82,"PASTI")</f>
        <v>83.286956670148896</v>
      </c>
      <c r="L150" s="39">
        <f>SUMIFS(OldHouses!P$2:P$82,OldHouses!$C$2:$C$82,$E150,OldHouses!$G$2:$G$82,$G150,OldHouses!$B$2:$B$82,"PASTI")</f>
        <v>56.998205552704697</v>
      </c>
      <c r="M150" s="39">
        <f>SUMIFS(OldHouses!Q$2:Q$82,OldHouses!$C$2:$C$82,$E150,OldHouses!$G$2:$G$82,$G150,OldHouses!$B$2:$B$82,"PASTI")</f>
        <v>119.266260448219</v>
      </c>
      <c r="N150" s="39">
        <f>SUMIFS(OldHouses!R$2:R$82,OldHouses!$C$2:$C$82,$E150,OldHouses!$G$2:$G$82,$G150,OldHouses!$B$2:$B$82,"PASTI")</f>
        <v>17.987548650858098</v>
      </c>
      <c r="O150" s="39">
        <f>SUMIFS(OldHouses!S$2:S$82,OldHouses!$C$2:$C$82,$E150,OldHouses!$G$2:$G$82,$G150,OldHouses!$B$2:$B$82,"PASTI")</f>
        <v>82.519377737161605</v>
      </c>
      <c r="P150" s="39">
        <f>SUMIFS(OldHouses!T$2:T$82,OldHouses!$C$2:$C$82,$E150,OldHouses!$G$2:$G$82,$G150,OldHouses!$B$2:$B$82,"PASTI")</f>
        <v>839.50054556575697</v>
      </c>
      <c r="Q150" s="39">
        <f>SUMIFS(OldHouses!U$2:U$82,OldHouses!$C$2:$C$82,$E150,OldHouses!$G$2:$G$82,$G150,OldHouses!$B$2:$B$82,"PASTI")</f>
        <v>65.836609892093406</v>
      </c>
      <c r="R150" s="39">
        <f>SUMIFS(OldHouses!V$2:V$82,OldHouses!$C$2:$C$82,$E150,OldHouses!$G$2:$G$82,$G150,OldHouses!$B$2:$B$82,"PASTI")</f>
        <v>7.3370537714334496</v>
      </c>
      <c r="S150" s="39">
        <f>SUMIFS(OldHouses!W$2:W$82,OldHouses!$C$2:$C$82,$E150,OldHouses!$G$2:$G$82,$G150,OldHouses!$B$2:$B$82,"PASTI")</f>
        <v>90.602032697325797</v>
      </c>
      <c r="T150" s="39">
        <f>SUMIFS(OldHouses!X$2:X$82,OldHouses!$C$2:$C$82,$E150,OldHouses!$G$2:$G$82,$G150,OldHouses!$B$2:$B$82,"PASTI")</f>
        <v>116.97492460196</v>
      </c>
      <c r="U150" s="39">
        <f>SUMIFS(OldHouses!Y$2:Y$82,OldHouses!$C$2:$C$82,$E150,OldHouses!$G$2:$G$82,$G150,OldHouses!$B$2:$B$82,"PASTI")</f>
        <v>93.848682411488397</v>
      </c>
      <c r="V150" s="39">
        <f>SUMIFS(OldHouses!Z$2:Z$82,OldHouses!$C$2:$C$82,$E150,OldHouses!$G$2:$G$82,$G150,OldHouses!$B$2:$B$82,"PASTI")</f>
        <v>555.95651360638396</v>
      </c>
      <c r="W150" s="39">
        <f>SUMIFS(OldHouses!AA$2:AA$82,OldHouses!$C$2:$C$82,$E150,OldHouses!$G$2:$G$82,$G150,OldHouses!$B$2:$B$82,"PASTI")</f>
        <v>56.1645465467736</v>
      </c>
      <c r="X150" s="39">
        <f>SUMIFS(OldHouses!AB$2:AB$82,OldHouses!$C$2:$C$82,$E150,OldHouses!$G$2:$G$82,$G150,OldHouses!$B$2:$B$82,"PASTI")</f>
        <v>132.83257396412</v>
      </c>
      <c r="Y150" s="39">
        <f>SUMIFS(OldHouses!AC$2:AC$82,OldHouses!$C$2:$C$82,$E150,OldHouses!$G$2:$G$82,$G150,OldHouses!$B$2:$B$82,"PASTI")</f>
        <v>67.997343026040298</v>
      </c>
      <c r="Z150" s="39">
        <f>SUMIFS(OldHouses!AD$2:AD$82,OldHouses!$C$2:$C$82,$E150,OldHouses!$G$2:$G$82,$G150,OldHouses!$B$2:$B$82,"PASTI")</f>
        <v>5.1635521950769103</v>
      </c>
      <c r="AA150" s="39">
        <f>SUMIFS(OldHouses!AE$2:AE$82,OldHouses!$C$2:$C$82,$E150,OldHouses!$G$2:$G$82,$G150,OldHouses!$B$2:$B$82,"PASTI")</f>
        <v>108.231714560828</v>
      </c>
      <c r="AB150" s="39">
        <f>SUMIFS(OldHouses!AF$2:AF$82,OldHouses!$C$2:$C$82,$E150,OldHouses!$G$2:$G$82,$G150,OldHouses!$B$2:$B$82,"PASTI")</f>
        <v>12.0986301174211</v>
      </c>
      <c r="AC150" s="39">
        <f>SUMIFS(OldHouses!AG$2:AG$82,OldHouses!$C$2:$C$82,$E150,OldHouses!$G$2:$G$82,$G150,OldHouses!$B$2:$B$82,"PASTI")</f>
        <v>14.6711592678598</v>
      </c>
      <c r="AD150" s="39">
        <f>SUMIFS(OldHouses!AH$2:AH$82,OldHouses!$C$2:$C$82,$E150,OldHouses!$G$2:$G$82,$G150,OldHouses!$B$2:$B$82,"PASTI")</f>
        <v>4.5488610217862204</v>
      </c>
      <c r="AE150" s="39">
        <f>SUMIFS(OldHouses!AI$2:AI$82,OldHouses!$C$2:$C$82,$E150,OldHouses!$G$2:$G$82,$G150,OldHouses!$B$2:$B$82,"PASTI")</f>
        <v>11.425109521226</v>
      </c>
      <c r="AF150" s="39">
        <f>SUMIFS(OldHouses!AJ$2:AJ$82,OldHouses!$C$2:$C$82,$E150,OldHouses!$G$2:$G$82,$G150,OldHouses!$B$2:$B$82,"PASTI")</f>
        <v>3.9408544512338</v>
      </c>
      <c r="AG150" s="39">
        <f>SUMIFS(OldHouses!AK$2:AK$82,OldHouses!$C$2:$C$82,$E150,OldHouses!$G$2:$G$82,$G150,OldHouses!$B$2:$B$82,"PASTI")</f>
        <v>10.7573987378941</v>
      </c>
      <c r="AH150" s="39">
        <f>SUMIFS(OldHouses!AL$2:AL$82,OldHouses!$C$2:$C$82,$E150,OldHouses!$G$2:$G$82,$G150,OldHouses!$B$2:$B$82,"PASTI")</f>
        <v>0.59693101520703595</v>
      </c>
      <c r="AI150" s="39">
        <f>SUMIFS(OldHouses!AM$2:AM$82,OldHouses!$C$2:$C$82,$E150,OldHouses!$G$2:$G$82,$G150,OldHouses!$B$2:$B$82,"PASTI")</f>
        <v>86.021987473322497</v>
      </c>
      <c r="AJ150" s="39">
        <f>SUMIFS(OldHouses!AN$2:AN$82,OldHouses!$C$2:$C$82,$E150,OldHouses!$G$2:$G$82,$G150,OldHouses!$B$2:$B$82,"PASTI")</f>
        <v>69.830033543698406</v>
      </c>
      <c r="AK150" s="39">
        <f>SUMIFS(OldHouses!AO$2:AO$82,OldHouses!$C$2:$C$82,$E150,OldHouses!$G$2:$G$82,$G150,OldHouses!$B$2:$B$82,"PASTI")</f>
        <v>448.60135533899398</v>
      </c>
      <c r="AL150" s="39">
        <f>SUMIFS(OldHouses!AP$2:AP$82,OldHouses!$C$2:$C$82,$E150,OldHouses!$G$2:$G$82,$G150,OldHouses!$B$2:$B$82,"PASTI")</f>
        <v>78.393356583245307</v>
      </c>
      <c r="AM150" s="39">
        <f>SUMIFS(OldHouses!AQ$2:AQ$82,OldHouses!$C$2:$C$82,$E150,OldHouses!$G$2:$G$82,$G150,OldHouses!$B$2:$B$82,"PASTI")</f>
        <v>86.036626743798394</v>
      </c>
      <c r="AN150" s="39">
        <f>SUMIFS(OldHouses!AR$2:AR$82,OldHouses!$C$2:$C$82,$E150,OldHouses!$G$2:$G$82,$G150,OldHouses!$B$2:$B$82,"PASTI")</f>
        <v>60.728561801464302</v>
      </c>
      <c r="AO150" s="39">
        <f>SUMIFS(OldHouses!AS$2:AS$82,OldHouses!$C$2:$C$82,$E150,OldHouses!$G$2:$G$82,$G150,OldHouses!$B$2:$B$82,"PASTI")</f>
        <v>105.966750773519</v>
      </c>
      <c r="AP150" s="39">
        <f>SUMIFS(OldHouses!AT$2:AT$82,OldHouses!$C$2:$C$82,$E150,OldHouses!$G$2:$G$82,$G150,OldHouses!$B$2:$B$82,"PASTI")</f>
        <v>19.404940788077301</v>
      </c>
      <c r="AQ150" s="39">
        <f>SUMIFS(OldHouses!AU$2:AU$82,OldHouses!$C$2:$C$82,$E150,OldHouses!$G$2:$G$82,$G150,OldHouses!$B$2:$B$82,"PASTI")</f>
        <v>33.777188329420902</v>
      </c>
      <c r="AR150" s="39">
        <f>SUMIFS(OldHouses!AV$2:AV$82,OldHouses!$C$2:$C$82,$E150,OldHouses!$G$2:$G$82,$G150,OldHouses!$B$2:$B$82,"PASTI")</f>
        <v>303.99210417641899</v>
      </c>
    </row>
    <row r="151" spans="5:44" ht="14.4">
      <c r="E151" s="26" t="s">
        <v>56</v>
      </c>
      <c r="G151" s="26">
        <v>1940</v>
      </c>
      <c r="H151" s="39">
        <f>SUMIFS(OldHouses!L$2:L$82,OldHouses!$C$2:$C$82,$E151,OldHouses!$G$2:$G$82,$G151,OldHouses!$B$2:$B$82,"PASTI")</f>
        <v>16.371367137160401</v>
      </c>
      <c r="I151" s="39">
        <f>SUMIFS(OldHouses!M$2:M$82,OldHouses!$C$2:$C$82,$E151,OldHouses!$G$2:$G$82,$G151,OldHouses!$B$2:$B$82,"PASTI")</f>
        <v>353.94295821763399</v>
      </c>
      <c r="J151" s="39">
        <f>SUMIFS(OldHouses!N$2:N$82,OldHouses!$C$2:$C$82,$E151,OldHouses!$G$2:$G$82,$G151,OldHouses!$B$2:$B$82,"PASTI")</f>
        <v>35.381252957228</v>
      </c>
      <c r="K151" s="39">
        <f>SUMIFS(OldHouses!O$2:O$82,OldHouses!$C$2:$C$82,$E151,OldHouses!$G$2:$G$82,$G151,OldHouses!$B$2:$B$82,"PASTI")</f>
        <v>358.308086490145</v>
      </c>
      <c r="L151" s="39">
        <f>SUMIFS(OldHouses!P$2:P$82,OldHouses!$C$2:$C$82,$E151,OldHouses!$G$2:$G$82,$G151,OldHouses!$B$2:$B$82,"PASTI")</f>
        <v>109.917120600476</v>
      </c>
      <c r="M151" s="39">
        <f>SUMIFS(OldHouses!Q$2:Q$82,OldHouses!$C$2:$C$82,$E151,OldHouses!$G$2:$G$82,$G151,OldHouses!$B$2:$B$82,"PASTI")</f>
        <v>397.35844425136798</v>
      </c>
      <c r="N151" s="39">
        <f>SUMIFS(OldHouses!R$2:R$82,OldHouses!$C$2:$C$82,$E151,OldHouses!$G$2:$G$82,$G151,OldHouses!$B$2:$B$82,"PASTI")</f>
        <v>2.5286018964208599</v>
      </c>
      <c r="O151" s="39">
        <f>SUMIFS(OldHouses!S$2:S$82,OldHouses!$C$2:$C$82,$E151,OldHouses!$G$2:$G$82,$G151,OldHouses!$B$2:$B$82,"PASTI")</f>
        <v>532.79970810153497</v>
      </c>
      <c r="P151" s="39">
        <f>SUMIFS(OldHouses!T$2:T$82,OldHouses!$C$2:$C$82,$E151,OldHouses!$G$2:$G$82,$G151,OldHouses!$B$2:$B$82,"PASTI")</f>
        <v>4002.9176360012598</v>
      </c>
      <c r="Q151" s="39">
        <f>SUMIFS(OldHouses!U$2:U$82,OldHouses!$C$2:$C$82,$E151,OldHouses!$G$2:$G$82,$G151,OldHouses!$B$2:$B$82,"PASTI")</f>
        <v>382.94240472377498</v>
      </c>
      <c r="R151" s="39">
        <f>SUMIFS(OldHouses!V$2:V$82,OldHouses!$C$2:$C$82,$E151,OldHouses!$G$2:$G$82,$G151,OldHouses!$B$2:$B$82,"PASTI")</f>
        <v>91.537888851347205</v>
      </c>
      <c r="S151" s="39">
        <f>SUMIFS(OldHouses!W$2:W$82,OldHouses!$C$2:$C$82,$E151,OldHouses!$G$2:$G$82,$G151,OldHouses!$B$2:$B$82,"PASTI")</f>
        <v>139.771174773506</v>
      </c>
      <c r="T151" s="39">
        <f>SUMIFS(OldHouses!X$2:X$82,OldHouses!$C$2:$C$82,$E151,OldHouses!$G$2:$G$82,$G151,OldHouses!$B$2:$B$82,"PASTI")</f>
        <v>970.51998456202705</v>
      </c>
      <c r="U151" s="39">
        <f>SUMIFS(OldHouses!Y$2:Y$82,OldHouses!$C$2:$C$82,$E151,OldHouses!$G$2:$G$82,$G151,OldHouses!$B$2:$B$82,"PASTI")</f>
        <v>156.19788070804401</v>
      </c>
      <c r="V151" s="39">
        <f>SUMIFS(OldHouses!Z$2:Z$82,OldHouses!$C$2:$C$82,$E151,OldHouses!$G$2:$G$82,$G151,OldHouses!$B$2:$B$82,"PASTI")</f>
        <v>2447.18837835461</v>
      </c>
      <c r="W151" s="39">
        <f>SUMIFS(OldHouses!AA$2:AA$82,OldHouses!$C$2:$C$82,$E151,OldHouses!$G$2:$G$82,$G151,OldHouses!$B$2:$B$82,"PASTI")</f>
        <v>74.868894817319401</v>
      </c>
      <c r="X151" s="39">
        <f>SUMIFS(OldHouses!AB$2:AB$82,OldHouses!$C$2:$C$82,$E151,OldHouses!$G$2:$G$82,$G151,OldHouses!$B$2:$B$82,"PASTI")</f>
        <v>250.853746745124</v>
      </c>
      <c r="Y151" s="39">
        <f>SUMIFS(OldHouses!AC$2:AC$82,OldHouses!$C$2:$C$82,$E151,OldHouses!$G$2:$G$82,$G151,OldHouses!$B$2:$B$82,"PASTI")</f>
        <v>24.952699163763199</v>
      </c>
      <c r="Z151" s="39">
        <f>SUMIFS(OldHouses!AD$2:AD$82,OldHouses!$C$2:$C$82,$E151,OldHouses!$G$2:$G$82,$G151,OldHouses!$B$2:$B$82,"PASTI")</f>
        <v>9.4665630514884107</v>
      </c>
      <c r="AA151" s="39">
        <f>SUMIFS(OldHouses!AE$2:AE$82,OldHouses!$C$2:$C$82,$E151,OldHouses!$G$2:$G$82,$G151,OldHouses!$B$2:$B$82,"PASTI")</f>
        <v>4107.5884773512898</v>
      </c>
      <c r="AB151" s="39">
        <f>SUMIFS(OldHouses!AF$2:AF$82,OldHouses!$C$2:$C$82,$E151,OldHouses!$G$2:$G$82,$G151,OldHouses!$B$2:$B$82,"PASTI")</f>
        <v>20.827150885528599</v>
      </c>
      <c r="AC151" s="39">
        <f>SUMIFS(OldHouses!AG$2:AG$82,OldHouses!$C$2:$C$82,$E151,OldHouses!$G$2:$G$82,$G151,OldHouses!$B$2:$B$82,"PASTI")</f>
        <v>186.703496135731</v>
      </c>
      <c r="AD151" s="39">
        <f>SUMIFS(OldHouses!AH$2:AH$82,OldHouses!$C$2:$C$82,$E151,OldHouses!$G$2:$G$82,$G151,OldHouses!$B$2:$B$82,"PASTI")</f>
        <v>19.252162893617001</v>
      </c>
      <c r="AE151" s="39">
        <f>SUMIFS(OldHouses!AI$2:AI$82,OldHouses!$C$2:$C$82,$E151,OldHouses!$G$2:$G$82,$G151,OldHouses!$B$2:$B$82,"PASTI")</f>
        <v>120.54421417464199</v>
      </c>
      <c r="AF151" s="39">
        <f>SUMIFS(OldHouses!AJ$2:AJ$82,OldHouses!$C$2:$C$82,$E151,OldHouses!$G$2:$G$82,$G151,OldHouses!$B$2:$B$82,"PASTI")</f>
        <v>12.8579079094257</v>
      </c>
      <c r="AG151" s="39">
        <f>SUMIFS(OldHouses!AK$2:AK$82,OldHouses!$C$2:$C$82,$E151,OldHouses!$G$2:$G$82,$G151,OldHouses!$B$2:$B$82,"PASTI")</f>
        <v>22.754685433208198</v>
      </c>
      <c r="AH151" s="39">
        <f>SUMIFS(OldHouses!AL$2:AL$82,OldHouses!$C$2:$C$82,$E151,OldHouses!$G$2:$G$82,$G151,OldHouses!$B$2:$B$82,"PASTI")</f>
        <v>3.5661613679711199</v>
      </c>
      <c r="AI151" s="39">
        <f>SUMIFS(OldHouses!AM$2:AM$82,OldHouses!$C$2:$C$82,$E151,OldHouses!$G$2:$G$82,$G151,OldHouses!$B$2:$B$82,"PASTI")</f>
        <v>393.08475119009103</v>
      </c>
      <c r="AJ151" s="39">
        <f>SUMIFS(OldHouses!AN$2:AN$82,OldHouses!$C$2:$C$82,$E151,OldHouses!$G$2:$G$82,$G151,OldHouses!$B$2:$B$82,"PASTI")</f>
        <v>219.26345602994601</v>
      </c>
      <c r="AK151" s="39">
        <f>SUMIFS(OldHouses!AO$2:AO$82,OldHouses!$C$2:$C$82,$E151,OldHouses!$G$2:$G$82,$G151,OldHouses!$B$2:$B$82,"PASTI")</f>
        <v>1378.2357576796801</v>
      </c>
      <c r="AL151" s="39">
        <f>SUMIFS(OldHouses!AP$2:AP$82,OldHouses!$C$2:$C$82,$E151,OldHouses!$G$2:$G$82,$G151,OldHouses!$B$2:$B$82,"PASTI")</f>
        <v>69.7680646909822</v>
      </c>
      <c r="AM151" s="39">
        <f>SUMIFS(OldHouses!AQ$2:AQ$82,OldHouses!$C$2:$C$82,$E151,OldHouses!$G$2:$G$82,$G151,OldHouses!$B$2:$B$82,"PASTI")</f>
        <v>212.997377468347</v>
      </c>
      <c r="AN151" s="39">
        <f>SUMIFS(OldHouses!AR$2:AR$82,OldHouses!$C$2:$C$82,$E151,OldHouses!$G$2:$G$82,$G151,OldHouses!$B$2:$B$82,"PASTI")</f>
        <v>104.541002363484</v>
      </c>
      <c r="AO151" s="39">
        <f>SUMIFS(OldHouses!AS$2:AS$82,OldHouses!$C$2:$C$82,$E151,OldHouses!$G$2:$G$82,$G151,OldHouses!$B$2:$B$82,"PASTI")</f>
        <v>783.731208503179</v>
      </c>
      <c r="AP151" s="39">
        <f>SUMIFS(OldHouses!AT$2:AT$82,OldHouses!$C$2:$C$82,$E151,OldHouses!$G$2:$G$82,$G151,OldHouses!$B$2:$B$82,"PASTI")</f>
        <v>146.8358600315</v>
      </c>
      <c r="AQ151" s="39">
        <f>SUMIFS(OldHouses!AU$2:AU$82,OldHouses!$C$2:$C$82,$E151,OldHouses!$G$2:$G$82,$G151,OldHouses!$B$2:$B$82,"PASTI")</f>
        <v>139.96452575991799</v>
      </c>
      <c r="AR151" s="39">
        <f>SUMIFS(OldHouses!AV$2:AV$82,OldHouses!$C$2:$C$82,$E151,OldHouses!$G$2:$G$82,$G151,OldHouses!$B$2:$B$82,"PASTI")</f>
        <v>1596.5037647952399</v>
      </c>
    </row>
    <row r="152" spans="5:44" ht="14.4">
      <c r="E152" s="26" t="s">
        <v>56</v>
      </c>
      <c r="G152" s="26">
        <v>1957</v>
      </c>
      <c r="H152" s="39">
        <f>SUMIFS(OldHouses!L$2:L$82,OldHouses!$C$2:$C$82,$E152,OldHouses!$G$2:$G$82,$G152,OldHouses!$B$2:$B$82,"PASTI")</f>
        <v>59.581294747094297</v>
      </c>
      <c r="I152" s="39">
        <f>SUMIFS(OldHouses!M$2:M$82,OldHouses!$C$2:$C$82,$E152,OldHouses!$G$2:$G$82,$G152,OldHouses!$B$2:$B$82,"PASTI")</f>
        <v>427.04149443221098</v>
      </c>
      <c r="J152" s="39">
        <f>SUMIFS(OldHouses!N$2:N$82,OldHouses!$C$2:$C$82,$E152,OldHouses!$G$2:$G$82,$G152,OldHouses!$B$2:$B$82,"PASTI")</f>
        <v>80.779292831540502</v>
      </c>
      <c r="K152" s="39">
        <f>SUMIFS(OldHouses!O$2:O$82,OldHouses!$C$2:$C$82,$E152,OldHouses!$G$2:$G$82,$G152,OldHouses!$B$2:$B$82,"PASTI")</f>
        <v>199.06004796110099</v>
      </c>
      <c r="L152" s="39">
        <f>SUMIFS(OldHouses!P$2:P$82,OldHouses!$C$2:$C$82,$E152,OldHouses!$G$2:$G$82,$G152,OldHouses!$B$2:$B$82,"PASTI")</f>
        <v>227.545364052807</v>
      </c>
      <c r="M152" s="39">
        <f>SUMIFS(OldHouses!Q$2:Q$82,OldHouses!$C$2:$C$82,$E152,OldHouses!$G$2:$G$82,$G152,OldHouses!$B$2:$B$82,"PASTI")</f>
        <v>479.423420974019</v>
      </c>
      <c r="N152" s="39">
        <f>SUMIFS(OldHouses!R$2:R$82,OldHouses!$C$2:$C$82,$E152,OldHouses!$G$2:$G$82,$G152,OldHouses!$B$2:$B$82,"PASTI")</f>
        <v>8.4249041779713405</v>
      </c>
      <c r="O152" s="39">
        <f>SUMIFS(OldHouses!S$2:S$82,OldHouses!$C$2:$C$82,$E152,OldHouses!$G$2:$G$82,$G152,OldHouses!$B$2:$B$82,"PASTI")</f>
        <v>723.62433441365295</v>
      </c>
      <c r="P152" s="39">
        <f>SUMIFS(OldHouses!T$2:T$82,OldHouses!$C$2:$C$82,$E152,OldHouses!$G$2:$G$82,$G152,OldHouses!$B$2:$B$82,"PASTI")</f>
        <v>6076.0485659353599</v>
      </c>
      <c r="Q152" s="39">
        <f>SUMIFS(OldHouses!U$2:U$82,OldHouses!$C$2:$C$82,$E152,OldHouses!$G$2:$G$82,$G152,OldHouses!$B$2:$B$82,"PASTI")</f>
        <v>278.07094914614498</v>
      </c>
      <c r="R152" s="39">
        <f>SUMIFS(OldHouses!V$2:V$82,OldHouses!$C$2:$C$82,$E152,OldHouses!$G$2:$G$82,$G152,OldHouses!$B$2:$B$82,"PASTI")</f>
        <v>135.32120899748901</v>
      </c>
      <c r="S152" s="39">
        <f>SUMIFS(OldHouses!W$2:W$82,OldHouses!$C$2:$C$82,$E152,OldHouses!$G$2:$G$82,$G152,OldHouses!$B$2:$B$82,"PASTI")</f>
        <v>508.67758883894402</v>
      </c>
      <c r="T152" s="39">
        <f>SUMIFS(OldHouses!X$2:X$82,OldHouses!$C$2:$C$82,$E152,OldHouses!$G$2:$G$82,$G152,OldHouses!$B$2:$B$82,"PASTI")</f>
        <v>1725.22995160562</v>
      </c>
      <c r="U152" s="39">
        <f>SUMIFS(OldHouses!Y$2:Y$82,OldHouses!$C$2:$C$82,$E152,OldHouses!$G$2:$G$82,$G152,OldHouses!$B$2:$B$82,"PASTI")</f>
        <v>285.688707956717</v>
      </c>
      <c r="V152" s="39">
        <f>SUMIFS(OldHouses!Z$2:Z$82,OldHouses!$C$2:$C$82,$E152,OldHouses!$G$2:$G$82,$G152,OldHouses!$B$2:$B$82,"PASTI")</f>
        <v>1655.1634856718799</v>
      </c>
      <c r="W152" s="39">
        <f>SUMIFS(OldHouses!AA$2:AA$82,OldHouses!$C$2:$C$82,$E152,OldHouses!$G$2:$G$82,$G152,OldHouses!$B$2:$B$82,"PASTI")</f>
        <v>136.03245071750399</v>
      </c>
      <c r="X152" s="39">
        <f>SUMIFS(OldHouses!AB$2:AB$82,OldHouses!$C$2:$C$82,$E152,OldHouses!$G$2:$G$82,$G152,OldHouses!$B$2:$B$82,"PASTI")</f>
        <v>337.98071506747101</v>
      </c>
      <c r="Y152" s="39">
        <f>SUMIFS(OldHouses!AC$2:AC$82,OldHouses!$C$2:$C$82,$E152,OldHouses!$G$2:$G$82,$G152,OldHouses!$B$2:$B$82,"PASTI")</f>
        <v>22.642089968710302</v>
      </c>
      <c r="Z152" s="39">
        <f>SUMIFS(OldHouses!AD$2:AD$82,OldHouses!$C$2:$C$82,$E152,OldHouses!$G$2:$G$82,$G152,OldHouses!$B$2:$B$82,"PASTI")</f>
        <v>17.314512557475702</v>
      </c>
      <c r="AA152" s="39">
        <f>SUMIFS(OldHouses!AE$2:AE$82,OldHouses!$C$2:$C$82,$E152,OldHouses!$G$2:$G$82,$G152,OldHouses!$B$2:$B$82,"PASTI")</f>
        <v>5761.7366515410404</v>
      </c>
      <c r="AB152" s="39">
        <f>SUMIFS(OldHouses!AF$2:AF$82,OldHouses!$C$2:$C$82,$E152,OldHouses!$G$2:$G$82,$G152,OldHouses!$B$2:$B$82,"PASTI")</f>
        <v>47.5506766892237</v>
      </c>
      <c r="AC152" s="39">
        <f>SUMIFS(OldHouses!AG$2:AG$82,OldHouses!$C$2:$C$82,$E152,OldHouses!$G$2:$G$82,$G152,OldHouses!$B$2:$B$82,"PASTI")</f>
        <v>199.52465530665901</v>
      </c>
      <c r="AD152" s="39">
        <f>SUMIFS(OldHouses!AH$2:AH$82,OldHouses!$C$2:$C$82,$E152,OldHouses!$G$2:$G$82,$G152,OldHouses!$B$2:$B$82,"PASTI")</f>
        <v>17.7072119361702</v>
      </c>
      <c r="AE152" s="39">
        <f>SUMIFS(OldHouses!AI$2:AI$82,OldHouses!$C$2:$C$82,$E152,OldHouses!$G$2:$G$82,$G152,OldHouses!$B$2:$B$82,"PASTI")</f>
        <v>146.193301310386</v>
      </c>
      <c r="AF152" s="39">
        <f>SUMIFS(OldHouses!AJ$2:AJ$82,OldHouses!$C$2:$C$82,$E152,OldHouses!$G$2:$G$82,$G152,OldHouses!$B$2:$B$82,"PASTI")</f>
        <v>29.356018269677801</v>
      </c>
      <c r="AG152" s="39">
        <f>SUMIFS(OldHouses!AK$2:AK$82,OldHouses!$C$2:$C$82,$E152,OldHouses!$G$2:$G$82,$G152,OldHouses!$B$2:$B$82,"PASTI")</f>
        <v>47.105702483112601</v>
      </c>
      <c r="AH152" s="39">
        <f>SUMIFS(OldHouses!AL$2:AL$82,OldHouses!$C$2:$C$82,$E152,OldHouses!$G$2:$G$82,$G152,OldHouses!$B$2:$B$82,"PASTI")</f>
        <v>3.7387847322823502</v>
      </c>
      <c r="AI152" s="39">
        <f>SUMIFS(OldHouses!AM$2:AM$82,OldHouses!$C$2:$C$82,$E152,OldHouses!$G$2:$G$82,$G152,OldHouses!$B$2:$B$82,"PASTI")</f>
        <v>442.41774635611898</v>
      </c>
      <c r="AJ152" s="39">
        <f>SUMIFS(OldHouses!AN$2:AN$82,OldHouses!$C$2:$C$82,$E152,OldHouses!$G$2:$G$82,$G152,OldHouses!$B$2:$B$82,"PASTI")</f>
        <v>291.70717651137102</v>
      </c>
      <c r="AK152" s="39">
        <f>SUMIFS(OldHouses!AO$2:AO$82,OldHouses!$C$2:$C$82,$E152,OldHouses!$G$2:$G$82,$G152,OldHouses!$B$2:$B$82,"PASTI")</f>
        <v>1529.29326808768</v>
      </c>
      <c r="AL152" s="39">
        <f>SUMIFS(OldHouses!AP$2:AP$82,OldHouses!$C$2:$C$82,$E152,OldHouses!$G$2:$G$82,$G152,OldHouses!$B$2:$B$82,"PASTI")</f>
        <v>94.378706715696396</v>
      </c>
      <c r="AM152" s="39">
        <f>SUMIFS(OldHouses!AQ$2:AQ$82,OldHouses!$C$2:$C$82,$E152,OldHouses!$G$2:$G$82,$G152,OldHouses!$B$2:$B$82,"PASTI")</f>
        <v>617.167522504864</v>
      </c>
      <c r="AN152" s="39">
        <f>SUMIFS(OldHouses!AR$2:AR$82,OldHouses!$C$2:$C$82,$E152,OldHouses!$G$2:$G$82,$G152,OldHouses!$B$2:$B$82,"PASTI")</f>
        <v>238.67860906541199</v>
      </c>
      <c r="AO152" s="39">
        <f>SUMIFS(OldHouses!AS$2:AS$82,OldHouses!$C$2:$C$82,$E152,OldHouses!$G$2:$G$82,$G152,OldHouses!$B$2:$B$82,"PASTI")</f>
        <v>710.78229879373703</v>
      </c>
      <c r="AP152" s="39">
        <f>SUMIFS(OldHouses!AT$2:AT$82,OldHouses!$C$2:$C$82,$E152,OldHouses!$G$2:$G$82,$G152,OldHouses!$B$2:$B$82,"PASTI")</f>
        <v>98.149506032340099</v>
      </c>
      <c r="AQ152" s="39">
        <f>SUMIFS(OldHouses!AU$2:AU$82,OldHouses!$C$2:$C$82,$E152,OldHouses!$G$2:$G$82,$G152,OldHouses!$B$2:$B$82,"PASTI")</f>
        <v>179.83292051279801</v>
      </c>
      <c r="AR152" s="39">
        <f>SUMIFS(OldHouses!AV$2:AV$82,OldHouses!$C$2:$C$82,$E152,OldHouses!$G$2:$G$82,$G152,OldHouses!$B$2:$B$82,"PASTI")</f>
        <v>1004.57408703131</v>
      </c>
    </row>
    <row r="153" spans="5:44" ht="14.4">
      <c r="E153" s="26" t="s">
        <v>56</v>
      </c>
      <c r="G153" s="26">
        <v>1975</v>
      </c>
      <c r="H153" s="39">
        <f>SUMIFS(OldHouses!L$2:L$82,OldHouses!$C$2:$C$82,$E153,OldHouses!$G$2:$G$82,$G153,OldHouses!$B$2:$B$82,"PASTI")</f>
        <v>47.4753549528874</v>
      </c>
      <c r="I153" s="39">
        <f>SUMIFS(OldHouses!M$2:M$82,OldHouses!$C$2:$C$82,$E153,OldHouses!$G$2:$G$82,$G153,OldHouses!$B$2:$B$82,"PASTI")</f>
        <v>219.72376763046299</v>
      </c>
      <c r="J153" s="39">
        <f>SUMIFS(OldHouses!N$2:N$82,OldHouses!$C$2:$C$82,$E153,OldHouses!$G$2:$G$82,$G153,OldHouses!$B$2:$B$82,"PASTI")</f>
        <v>60.310410949191699</v>
      </c>
      <c r="K153" s="39">
        <f>SUMIFS(OldHouses!O$2:O$82,OldHouses!$C$2:$C$82,$E153,OldHouses!$G$2:$G$82,$G153,OldHouses!$B$2:$B$82,"PASTI")</f>
        <v>107.728857385474</v>
      </c>
      <c r="L153" s="39">
        <f>SUMIFS(OldHouses!P$2:P$82,OldHouses!$C$2:$C$82,$E153,OldHouses!$G$2:$G$82,$G153,OldHouses!$B$2:$B$82,"PASTI")</f>
        <v>131.928531265967</v>
      </c>
      <c r="M153" s="39">
        <f>SUMIFS(OldHouses!Q$2:Q$82,OldHouses!$C$2:$C$82,$E153,OldHouses!$G$2:$G$82,$G153,OldHouses!$B$2:$B$82,"PASTI")</f>
        <v>246.67560815549501</v>
      </c>
      <c r="N153" s="39">
        <f>SUMIFS(OldHouses!R$2:R$82,OldHouses!$C$2:$C$82,$E153,OldHouses!$G$2:$G$82,$G153,OldHouses!$B$2:$B$82,"PASTI")</f>
        <v>11.405027695171</v>
      </c>
      <c r="O153" s="39">
        <f>SUMIFS(OldHouses!S$2:S$82,OldHouses!$C$2:$C$82,$E153,OldHouses!$G$2:$G$82,$G153,OldHouses!$B$2:$B$82,"PASTI")</f>
        <v>296.507048661483</v>
      </c>
      <c r="P153" s="39">
        <f>SUMIFS(OldHouses!T$2:T$82,OldHouses!$C$2:$C$82,$E153,OldHouses!$G$2:$G$82,$G153,OldHouses!$B$2:$B$82,"PASTI")</f>
        <v>3131.8876242162501</v>
      </c>
      <c r="Q153" s="39">
        <f>SUMIFS(OldHouses!U$2:U$82,OldHouses!$C$2:$C$82,$E153,OldHouses!$G$2:$G$82,$G153,OldHouses!$B$2:$B$82,"PASTI")</f>
        <v>171.76835957527101</v>
      </c>
      <c r="R153" s="39">
        <f>SUMIFS(OldHouses!V$2:V$82,OldHouses!$C$2:$C$82,$E153,OldHouses!$G$2:$G$82,$G153,OldHouses!$B$2:$B$82,"PASTI")</f>
        <v>105.112177231966</v>
      </c>
      <c r="S153" s="39">
        <f>SUMIFS(OldHouses!W$2:W$82,OldHouses!$C$2:$C$82,$E153,OldHouses!$G$2:$G$82,$G153,OldHouses!$B$2:$B$82,"PASTI")</f>
        <v>405.32266358453899</v>
      </c>
      <c r="T153" s="39">
        <f>SUMIFS(OldHouses!X$2:X$82,OldHouses!$C$2:$C$82,$E153,OldHouses!$G$2:$G$82,$G153,OldHouses!$B$2:$B$82,"PASTI")</f>
        <v>1424.4293938594301</v>
      </c>
      <c r="U153" s="39">
        <f>SUMIFS(OldHouses!Y$2:Y$82,OldHouses!$C$2:$C$82,$E153,OldHouses!$G$2:$G$82,$G153,OldHouses!$B$2:$B$82,"PASTI")</f>
        <v>226.93505876276001</v>
      </c>
      <c r="V153" s="39">
        <f>SUMIFS(OldHouses!Z$2:Z$82,OldHouses!$C$2:$C$82,$E153,OldHouses!$G$2:$G$82,$G153,OldHouses!$B$2:$B$82,"PASTI")</f>
        <v>1828.2644382164799</v>
      </c>
      <c r="W153" s="39">
        <f>SUMIFS(OldHouses!AA$2:AA$82,OldHouses!$C$2:$C$82,$E153,OldHouses!$G$2:$G$82,$G153,OldHouses!$B$2:$B$82,"PASTI")</f>
        <v>105.07942191009001</v>
      </c>
      <c r="X153" s="39">
        <f>SUMIFS(OldHouses!AB$2:AB$82,OldHouses!$C$2:$C$82,$E153,OldHouses!$G$2:$G$82,$G153,OldHouses!$B$2:$B$82,"PASTI")</f>
        <v>202.70336093963101</v>
      </c>
      <c r="Y153" s="39">
        <f>SUMIFS(OldHouses!AC$2:AC$82,OldHouses!$C$2:$C$82,$E153,OldHouses!$G$2:$G$82,$G153,OldHouses!$B$2:$B$82,"PASTI")</f>
        <v>19.134217169665799</v>
      </c>
      <c r="Z153" s="39">
        <f>SUMIFS(OldHouses!AD$2:AD$82,OldHouses!$C$2:$C$82,$E153,OldHouses!$G$2:$G$82,$G153,OldHouses!$B$2:$B$82,"PASTI")</f>
        <v>13.753675995043499</v>
      </c>
      <c r="AA153" s="39">
        <f>SUMIFS(OldHouses!AE$2:AE$82,OldHouses!$C$2:$C$82,$E153,OldHouses!$G$2:$G$82,$G153,OldHouses!$B$2:$B$82,"PASTI")</f>
        <v>3259.77282866008</v>
      </c>
      <c r="AB153" s="39">
        <f>SUMIFS(OldHouses!AF$2:AF$82,OldHouses!$C$2:$C$82,$E153,OldHouses!$G$2:$G$82,$G153,OldHouses!$B$2:$B$82,"PASTI")</f>
        <v>35.501683061522101</v>
      </c>
      <c r="AC153" s="39">
        <f>SUMIFS(OldHouses!AG$2:AG$82,OldHouses!$C$2:$C$82,$E153,OldHouses!$G$2:$G$82,$G153,OldHouses!$B$2:$B$82,"PASTI")</f>
        <v>131.33931772462799</v>
      </c>
      <c r="AD153" s="39">
        <f>SUMIFS(OldHouses!AH$2:AH$82,OldHouses!$C$2:$C$82,$E153,OldHouses!$G$2:$G$82,$G153,OldHouses!$B$2:$B$82,"PASTI")</f>
        <v>9.56218061702128</v>
      </c>
      <c r="AE153" s="39">
        <f>SUMIFS(OldHouses!AI$2:AI$82,OldHouses!$C$2:$C$82,$E153,OldHouses!$G$2:$G$82,$G153,OldHouses!$B$2:$B$82,"PASTI")</f>
        <v>118.19077050816399</v>
      </c>
      <c r="AF153" s="39">
        <f>SUMIFS(OldHouses!AJ$2:AJ$82,OldHouses!$C$2:$C$82,$E153,OldHouses!$G$2:$G$82,$G153,OldHouses!$B$2:$B$82,"PASTI")</f>
        <v>21.9174179869146</v>
      </c>
      <c r="AG153" s="39">
        <f>SUMIFS(OldHouses!AK$2:AK$82,OldHouses!$C$2:$C$82,$E153,OldHouses!$G$2:$G$82,$G153,OldHouses!$B$2:$B$82,"PASTI")</f>
        <v>27.3114162036122</v>
      </c>
      <c r="AH153" s="39">
        <f>SUMIFS(OldHouses!AL$2:AL$82,OldHouses!$C$2:$C$82,$E153,OldHouses!$G$2:$G$82,$G153,OldHouses!$B$2:$B$82,"PASTI")</f>
        <v>2.4566766577683499</v>
      </c>
      <c r="AI153" s="39">
        <f>SUMIFS(OldHouses!AM$2:AM$82,OldHouses!$C$2:$C$82,$E153,OldHouses!$G$2:$G$82,$G153,OldHouses!$B$2:$B$82,"PASTI")</f>
        <v>272.58176969701299</v>
      </c>
      <c r="AJ153" s="39">
        <f>SUMIFS(OldHouses!AN$2:AN$82,OldHouses!$C$2:$C$82,$E153,OldHouses!$G$2:$G$82,$G153,OldHouses!$B$2:$B$82,"PASTI")</f>
        <v>187.249898818757</v>
      </c>
      <c r="AK153" s="39">
        <f>SUMIFS(OldHouses!AO$2:AO$82,OldHouses!$C$2:$C$82,$E153,OldHouses!$G$2:$G$82,$G153,OldHouses!$B$2:$B$82,"PASTI")</f>
        <v>878.90341466635596</v>
      </c>
      <c r="AL153" s="39">
        <f>SUMIFS(OldHouses!AP$2:AP$82,OldHouses!$C$2:$C$82,$E153,OldHouses!$G$2:$G$82,$G153,OldHouses!$B$2:$B$82,"PASTI")</f>
        <v>105.77126928393599</v>
      </c>
      <c r="AM153" s="39">
        <f>SUMIFS(OldHouses!AQ$2:AQ$82,OldHouses!$C$2:$C$82,$E153,OldHouses!$G$2:$G$82,$G153,OldHouses!$B$2:$B$82,"PASTI")</f>
        <v>445.25560246965301</v>
      </c>
      <c r="AN153" s="39">
        <f>SUMIFS(OldHouses!AR$2:AR$82,OldHouses!$C$2:$C$82,$E153,OldHouses!$G$2:$G$82,$G153,OldHouses!$B$2:$B$82,"PASTI")</f>
        <v>178.199195523236</v>
      </c>
      <c r="AO153" s="39">
        <f>SUMIFS(OldHouses!AS$2:AS$82,OldHouses!$C$2:$C$82,$E153,OldHouses!$G$2:$G$82,$G153,OldHouses!$B$2:$B$82,"PASTI")</f>
        <v>386.786707535201</v>
      </c>
      <c r="AP153" s="39">
        <f>SUMIFS(OldHouses!AT$2:AT$82,OldHouses!$C$2:$C$82,$E153,OldHouses!$G$2:$G$82,$G153,OldHouses!$B$2:$B$82,"PASTI")</f>
        <v>84.494652629178603</v>
      </c>
      <c r="AQ153" s="39">
        <f>SUMIFS(OldHouses!AU$2:AU$82,OldHouses!$C$2:$C$82,$E153,OldHouses!$G$2:$G$82,$G153,OldHouses!$B$2:$B$82,"PASTI")</f>
        <v>73.609103036717798</v>
      </c>
      <c r="AR153" s="39">
        <f>SUMIFS(OldHouses!AV$2:AV$82,OldHouses!$C$2:$C$82,$E153,OldHouses!$G$2:$G$82,$G153,OldHouses!$B$2:$B$82,"PASTI")</f>
        <v>441.33536118002598</v>
      </c>
    </row>
    <row r="154" spans="5:44" ht="14.4">
      <c r="E154" s="26" t="s">
        <v>56</v>
      </c>
      <c r="G154" s="26">
        <v>1985</v>
      </c>
      <c r="H154" s="39">
        <f>SUMIFS(OldHouses!L$2:L$82,OldHouses!$C$2:$C$82,$E154,OldHouses!$G$2:$G$82,$G154,OldHouses!$B$2:$B$82,"PASTI")</f>
        <v>36.3418331058352</v>
      </c>
      <c r="I154" s="39">
        <f>SUMIFS(OldHouses!M$2:M$82,OldHouses!$C$2:$C$82,$E154,OldHouses!$G$2:$G$82,$G154,OldHouses!$B$2:$B$82,"PASTI")</f>
        <v>174.33774089073401</v>
      </c>
      <c r="J154" s="39">
        <f>SUMIFS(OldHouses!N$2:N$82,OldHouses!$C$2:$C$82,$E154,OldHouses!$G$2:$G$82,$G154,OldHouses!$B$2:$B$82,"PASTI")</f>
        <v>50.971791415763697</v>
      </c>
      <c r="K154" s="39">
        <f>SUMIFS(OldHouses!O$2:O$82,OldHouses!$C$2:$C$82,$E154,OldHouses!$G$2:$G$82,$G154,OldHouses!$B$2:$B$82,"PASTI")</f>
        <v>107.728857385474</v>
      </c>
      <c r="L154" s="39">
        <f>SUMIFS(OldHouses!P$2:P$82,OldHouses!$C$2:$C$82,$E154,OldHouses!$G$2:$G$82,$G154,OldHouses!$B$2:$B$82,"PASTI")</f>
        <v>124.321009617759</v>
      </c>
      <c r="M154" s="39">
        <f>SUMIFS(OldHouses!Q$2:Q$82,OldHouses!$C$2:$C$82,$E154,OldHouses!$G$2:$G$82,$G154,OldHouses!$B$2:$B$82,"PASTI")</f>
        <v>195.72242330653799</v>
      </c>
      <c r="N154" s="39">
        <f>SUMIFS(OldHouses!R$2:R$82,OldHouses!$C$2:$C$82,$E154,OldHouses!$G$2:$G$82,$G154,OldHouses!$B$2:$B$82,"PASTI")</f>
        <v>16.464574822908801</v>
      </c>
      <c r="O154" s="39">
        <f>SUMIFS(OldHouses!S$2:S$82,OldHouses!$C$2:$C$82,$E154,OldHouses!$G$2:$G$82,$G154,OldHouses!$B$2:$B$82,"PASTI")</f>
        <v>343.67998049341998</v>
      </c>
      <c r="P154" s="39">
        <f>SUMIFS(OldHouses!T$2:T$82,OldHouses!$C$2:$C$82,$E154,OldHouses!$G$2:$G$82,$G154,OldHouses!$B$2:$B$82,"PASTI")</f>
        <v>2182.8568112074499</v>
      </c>
      <c r="Q154" s="39">
        <f>SUMIFS(OldHouses!U$2:U$82,OldHouses!$C$2:$C$82,$E154,OldHouses!$G$2:$G$82,$G154,OldHouses!$B$2:$B$82,"PASTI")</f>
        <v>70.354963219765395</v>
      </c>
      <c r="R154" s="39">
        <f>SUMIFS(OldHouses!V$2:V$82,OldHouses!$C$2:$C$82,$E154,OldHouses!$G$2:$G$82,$G154,OldHouses!$B$2:$B$82,"PASTI")</f>
        <v>98.852387248851798</v>
      </c>
      <c r="S154" s="39">
        <f>SUMIFS(OldHouses!W$2:W$82,OldHouses!$C$2:$C$82,$E154,OldHouses!$G$2:$G$82,$G154,OldHouses!$B$2:$B$82,"PASTI")</f>
        <v>310.269793846082</v>
      </c>
      <c r="T154" s="39">
        <f>SUMIFS(OldHouses!X$2:X$82,OldHouses!$C$2:$C$82,$E154,OldHouses!$G$2:$G$82,$G154,OldHouses!$B$2:$B$82,"PASTI")</f>
        <v>902.50339943003803</v>
      </c>
      <c r="U154" s="39">
        <f>SUMIFS(OldHouses!Y$2:Y$82,OldHouses!$C$2:$C$82,$E154,OldHouses!$G$2:$G$82,$G154,OldHouses!$B$2:$B$82,"PASTI")</f>
        <v>179.816011374439</v>
      </c>
      <c r="V154" s="39">
        <f>SUMIFS(OldHouses!Z$2:Z$82,OldHouses!$C$2:$C$82,$E154,OldHouses!$G$2:$G$82,$G154,OldHouses!$B$2:$B$82,"PASTI")</f>
        <v>1347.32104865266</v>
      </c>
      <c r="W154" s="39">
        <f>SUMIFS(OldHouses!AA$2:AA$82,OldHouses!$C$2:$C$82,$E154,OldHouses!$G$2:$G$82,$G154,OldHouses!$B$2:$B$82,"PASTI")</f>
        <v>83.308661142180895</v>
      </c>
      <c r="X154" s="39">
        <f>SUMIFS(OldHouses!AB$2:AB$82,OldHouses!$C$2:$C$82,$E154,OldHouses!$G$2:$G$82,$G154,OldHouses!$B$2:$B$82,"PASTI")</f>
        <v>275.55728262504601</v>
      </c>
      <c r="Y154" s="39">
        <f>SUMIFS(OldHouses!AC$2:AC$82,OldHouses!$C$2:$C$82,$E154,OldHouses!$G$2:$G$82,$G154,OldHouses!$B$2:$B$82,"PASTI")</f>
        <v>16.6523995669641</v>
      </c>
      <c r="Z154" s="39">
        <f>SUMIFS(OldHouses!AD$2:AD$82,OldHouses!$C$2:$C$82,$E154,OldHouses!$G$2:$G$82,$G154,OldHouses!$B$2:$B$82,"PASTI")</f>
        <v>10.8979686640244</v>
      </c>
      <c r="AA154" s="39">
        <f>SUMIFS(OldHouses!AE$2:AE$82,OldHouses!$C$2:$C$82,$E154,OldHouses!$G$2:$G$82,$G154,OldHouses!$B$2:$B$82,"PASTI")</f>
        <v>2361.4204736861502</v>
      </c>
      <c r="AB154" s="39">
        <f>SUMIFS(OldHouses!AF$2:AF$82,OldHouses!$C$2:$C$82,$E154,OldHouses!$G$2:$G$82,$G154,OldHouses!$B$2:$B$82,"PASTI")</f>
        <v>30.004510920095299</v>
      </c>
      <c r="AC154" s="39">
        <f>SUMIFS(OldHouses!AG$2:AG$82,OldHouses!$C$2:$C$82,$E154,OldHouses!$G$2:$G$82,$G154,OldHouses!$B$2:$B$82,"PASTI")</f>
        <v>131.33931772462799</v>
      </c>
      <c r="AD154" s="39">
        <f>SUMIFS(OldHouses!AH$2:AH$82,OldHouses!$C$2:$C$82,$E154,OldHouses!$G$2:$G$82,$G154,OldHouses!$B$2:$B$82,"PASTI")</f>
        <v>7.4320838723404297</v>
      </c>
      <c r="AE154" s="39">
        <f>SUMIFS(OldHouses!AI$2:AI$82,OldHouses!$C$2:$C$82,$E154,OldHouses!$G$2:$G$82,$G154,OldHouses!$B$2:$B$82,"PASTI")</f>
        <v>114.08876716721301</v>
      </c>
      <c r="AF154" s="39">
        <f>SUMIFS(OldHouses!AJ$2:AJ$82,OldHouses!$C$2:$C$82,$E154,OldHouses!$G$2:$G$82,$G154,OldHouses!$B$2:$B$82,"PASTI")</f>
        <v>18.523668474789101</v>
      </c>
      <c r="AG154" s="39">
        <f>SUMIFS(OldHouses!AK$2:AK$82,OldHouses!$C$2:$C$82,$E154,OldHouses!$G$2:$G$82,$G154,OldHouses!$B$2:$B$82,"PASTI")</f>
        <v>25.736531771727499</v>
      </c>
      <c r="AH154" s="39">
        <f>SUMIFS(OldHouses!AL$2:AL$82,OldHouses!$C$2:$C$82,$E154,OldHouses!$G$2:$G$82,$G154,OldHouses!$B$2:$B$82,"PASTI")</f>
        <v>2.8218751314493198</v>
      </c>
      <c r="AI154" s="39">
        <f>SUMIFS(OldHouses!AM$2:AM$82,OldHouses!$C$2:$C$82,$E154,OldHouses!$G$2:$G$82,$G154,OldHouses!$B$2:$B$82,"PASTI")</f>
        <v>265.13233111078898</v>
      </c>
      <c r="AJ154" s="39">
        <f>SUMIFS(OldHouses!AN$2:AN$82,OldHouses!$C$2:$C$82,$E154,OldHouses!$G$2:$G$82,$G154,OldHouses!$B$2:$B$82,"PASTI")</f>
        <v>157.49717955025</v>
      </c>
      <c r="AK154" s="39">
        <f>SUMIFS(OldHouses!AO$2:AO$82,OldHouses!$C$2:$C$82,$E154,OldHouses!$G$2:$G$82,$G154,OldHouses!$B$2:$B$82,"PASTI")</f>
        <v>908.59075989190103</v>
      </c>
      <c r="AL154" s="39">
        <f>SUMIFS(OldHouses!AP$2:AP$82,OldHouses!$C$2:$C$82,$E154,OldHouses!$G$2:$G$82,$G154,OldHouses!$B$2:$B$82,"PASTI")</f>
        <v>90.402229667039606</v>
      </c>
      <c r="AM154" s="39">
        <f>SUMIFS(OldHouses!AQ$2:AQ$82,OldHouses!$C$2:$C$82,$E154,OldHouses!$G$2:$G$82,$G154,OldHouses!$B$2:$B$82,"PASTI")</f>
        <v>609.14993845063998</v>
      </c>
      <c r="AN154" s="39">
        <f>SUMIFS(OldHouses!AR$2:AR$82,OldHouses!$C$2:$C$82,$E154,OldHouses!$G$2:$G$82,$G154,OldHouses!$B$2:$B$82,"PASTI")</f>
        <v>150.60637262643399</v>
      </c>
      <c r="AO154" s="39">
        <f>SUMIFS(OldHouses!AS$2:AS$82,OldHouses!$C$2:$C$82,$E154,OldHouses!$G$2:$G$82,$G154,OldHouses!$B$2:$B$82,"PASTI")</f>
        <v>266.44956783023298</v>
      </c>
      <c r="AP154" s="39">
        <f>SUMIFS(OldHouses!AT$2:AT$82,OldHouses!$C$2:$C$82,$E154,OldHouses!$G$2:$G$82,$G154,OldHouses!$B$2:$B$82,"PASTI")</f>
        <v>45.901713357699002</v>
      </c>
      <c r="AQ154" s="39">
        <f>SUMIFS(OldHouses!AU$2:AU$82,OldHouses!$C$2:$C$82,$E154,OldHouses!$G$2:$G$82,$G154,OldHouses!$B$2:$B$82,"PASTI")</f>
        <v>85.385438691239997</v>
      </c>
      <c r="AR154" s="39">
        <f>SUMIFS(OldHouses!AV$2:AV$82,OldHouses!$C$2:$C$82,$E154,OldHouses!$G$2:$G$82,$G154,OldHouses!$B$2:$B$82,"PASTI")</f>
        <v>313.344805264549</v>
      </c>
    </row>
    <row r="155" spans="5:44" ht="14.4">
      <c r="E155" s="26" t="s">
        <v>56</v>
      </c>
      <c r="G155" s="26">
        <v>1995</v>
      </c>
      <c r="H155" s="39">
        <f>SUMIFS(OldHouses!L$2:L$82,OldHouses!$C$2:$C$82,$E155,OldHouses!$G$2:$G$82,$G155,OldHouses!$B$2:$B$82,"PASTI")</f>
        <v>24.448914802817399</v>
      </c>
      <c r="I155" s="39">
        <f>SUMIFS(OldHouses!M$2:M$82,OldHouses!$C$2:$C$82,$E155,OldHouses!$G$2:$G$82,$G155,OldHouses!$B$2:$B$82,"PASTI")</f>
        <v>208.07540414928701</v>
      </c>
      <c r="J155" s="39">
        <f>SUMIFS(OldHouses!N$2:N$82,OldHouses!$C$2:$C$82,$E155,OldHouses!$G$2:$G$82,$G155,OldHouses!$B$2:$B$82,"PASTI")</f>
        <v>24.983173620128099</v>
      </c>
      <c r="K155" s="39">
        <f>SUMIFS(OldHouses!O$2:O$82,OldHouses!$C$2:$C$82,$E155,OldHouses!$G$2:$G$82,$G155,OldHouses!$B$2:$B$82,"PASTI")</f>
        <v>79.355292947393906</v>
      </c>
      <c r="L155" s="39">
        <f>SUMIFS(OldHouses!P$2:P$82,OldHouses!$C$2:$C$82,$E155,OldHouses!$G$2:$G$82,$G155,OldHouses!$B$2:$B$82,"PASTI")</f>
        <v>71.797613989340505</v>
      </c>
      <c r="M155" s="39">
        <f>SUMIFS(OldHouses!Q$2:Q$82,OldHouses!$C$2:$C$82,$E155,OldHouses!$G$2:$G$82,$G155,OldHouses!$B$2:$B$82,"PASTI")</f>
        <v>233.598428673629</v>
      </c>
      <c r="N155" s="39">
        <f>SUMIFS(OldHouses!R$2:R$82,OldHouses!$C$2:$C$82,$E155,OldHouses!$G$2:$G$82,$G155,OldHouses!$B$2:$B$82,"PASTI")</f>
        <v>14.196859464032199</v>
      </c>
      <c r="O155" s="39">
        <f>SUMIFS(OldHouses!S$2:S$82,OldHouses!$C$2:$C$82,$E155,OldHouses!$G$2:$G$82,$G155,OldHouses!$B$2:$B$82,"PASTI")</f>
        <v>177.40506528151201</v>
      </c>
      <c r="P155" s="39">
        <f>SUMIFS(OldHouses!T$2:T$82,OldHouses!$C$2:$C$82,$E155,OldHouses!$G$2:$G$82,$G155,OldHouses!$B$2:$B$82,"PASTI")</f>
        <v>2009.01896984216</v>
      </c>
      <c r="Q155" s="39">
        <f>SUMIFS(OldHouses!U$2:U$82,OldHouses!$C$2:$C$82,$E155,OldHouses!$G$2:$G$82,$G155,OldHouses!$B$2:$B$82,"PASTI")</f>
        <v>70.410733575697506</v>
      </c>
      <c r="R155" s="39">
        <f>SUMIFS(OldHouses!V$2:V$82,OldHouses!$C$2:$C$82,$E155,OldHouses!$G$2:$G$82,$G155,OldHouses!$B$2:$B$82,"PASTI")</f>
        <v>32.073271940309198</v>
      </c>
      <c r="S155" s="39">
        <f>SUMIFS(OldHouses!W$2:W$82,OldHouses!$C$2:$C$82,$E155,OldHouses!$G$2:$G$82,$G155,OldHouses!$B$2:$B$82,"PASTI")</f>
        <v>208.733547742052</v>
      </c>
      <c r="T155" s="39">
        <f>SUMIFS(OldHouses!X$2:X$82,OldHouses!$C$2:$C$82,$E155,OldHouses!$G$2:$G$82,$G155,OldHouses!$B$2:$B$82,"PASTI")</f>
        <v>893.62907625932303</v>
      </c>
      <c r="U155" s="39">
        <f>SUMIFS(OldHouses!Y$2:Y$82,OldHouses!$C$2:$C$82,$E155,OldHouses!$G$2:$G$82,$G155,OldHouses!$B$2:$B$82,"PASTI")</f>
        <v>131.293640905676</v>
      </c>
      <c r="V155" s="39">
        <f>SUMIFS(OldHouses!Z$2:Z$82,OldHouses!$C$2:$C$82,$E155,OldHouses!$G$2:$G$82,$G155,OldHouses!$B$2:$B$82,"PASTI")</f>
        <v>811.60961081462005</v>
      </c>
      <c r="W155" s="39">
        <f>SUMIFS(OldHouses!AA$2:AA$82,OldHouses!$C$2:$C$82,$E155,OldHouses!$G$2:$G$82,$G155,OldHouses!$B$2:$B$82,"PASTI")</f>
        <v>44.592367390635403</v>
      </c>
      <c r="X155" s="39">
        <f>SUMIFS(OldHouses!AB$2:AB$82,OldHouses!$C$2:$C$82,$E155,OldHouses!$G$2:$G$82,$G155,OldHouses!$B$2:$B$82,"PASTI")</f>
        <v>113.654510051329</v>
      </c>
      <c r="Y155" s="39">
        <f>SUMIFS(OldHouses!AC$2:AC$82,OldHouses!$C$2:$C$82,$E155,OldHouses!$G$2:$G$82,$G155,OldHouses!$B$2:$B$82,"PASTI")</f>
        <v>21.636482429960701</v>
      </c>
      <c r="Z155" s="39">
        <f>SUMIFS(OldHouses!AD$2:AD$82,OldHouses!$C$2:$C$82,$E155,OldHouses!$G$2:$G$82,$G155,OldHouses!$B$2:$B$82,"PASTI")</f>
        <v>7.9572112262919399</v>
      </c>
      <c r="AA155" s="39">
        <f>SUMIFS(OldHouses!AE$2:AE$82,OldHouses!$C$2:$C$82,$E155,OldHouses!$G$2:$G$82,$G155,OldHouses!$B$2:$B$82,"PASTI")</f>
        <v>873.71671724805901</v>
      </c>
      <c r="AB155" s="39">
        <f>SUMIFS(OldHouses!AF$2:AF$82,OldHouses!$C$2:$C$82,$E155,OldHouses!$G$2:$G$82,$G155,OldHouses!$B$2:$B$82,"PASTI")</f>
        <v>14.7063284393796</v>
      </c>
      <c r="AC155" s="39">
        <f>SUMIFS(OldHouses!AG$2:AG$82,OldHouses!$C$2:$C$82,$E155,OldHouses!$G$2:$G$82,$G155,OldHouses!$B$2:$B$82,"PASTI")</f>
        <v>40.842287434014501</v>
      </c>
      <c r="AD155" s="39">
        <f>SUMIFS(OldHouses!AH$2:AH$82,OldHouses!$C$2:$C$82,$E155,OldHouses!$G$2:$G$82,$G155,OldHouses!$B$2:$B$82,"PASTI")</f>
        <v>5.9131027659574498</v>
      </c>
      <c r="AE155" s="39">
        <f>SUMIFS(OldHouses!AI$2:AI$82,OldHouses!$C$2:$C$82,$E155,OldHouses!$G$2:$G$82,$G155,OldHouses!$B$2:$B$82,"PASTI")</f>
        <v>35.711678088524202</v>
      </c>
      <c r="AF155" s="39">
        <f>SUMIFS(OldHouses!AJ$2:AJ$82,OldHouses!$C$2:$C$82,$E155,OldHouses!$G$2:$G$82,$G155,OldHouses!$B$2:$B$82,"PASTI")</f>
        <v>9.0791399072591599</v>
      </c>
      <c r="AG155" s="39">
        <f>SUMIFS(OldHouses!AK$2:AK$82,OldHouses!$C$2:$C$82,$E155,OldHouses!$G$2:$G$82,$G155,OldHouses!$B$2:$B$82,"PASTI")</f>
        <v>14.8633089391105</v>
      </c>
      <c r="AH155" s="39">
        <f>SUMIFS(OldHouses!AL$2:AL$82,OldHouses!$C$2:$C$82,$E155,OldHouses!$G$2:$G$82,$G155,OldHouses!$B$2:$B$82,"PASTI")</f>
        <v>2.7328500856734199</v>
      </c>
      <c r="AI155" s="39">
        <f>SUMIFS(OldHouses!AM$2:AM$82,OldHouses!$C$2:$C$82,$E155,OldHouses!$G$2:$G$82,$G155,OldHouses!$B$2:$B$82,"PASTI")</f>
        <v>233.89243995367099</v>
      </c>
      <c r="AJ155" s="39">
        <f>SUMIFS(OldHouses!AN$2:AN$82,OldHouses!$C$2:$C$82,$E155,OldHouses!$G$2:$G$82,$G155,OldHouses!$B$2:$B$82,"PASTI")</f>
        <v>173.465237085468</v>
      </c>
      <c r="AK155" s="39">
        <f>SUMIFS(OldHouses!AO$2:AO$82,OldHouses!$C$2:$C$82,$E155,OldHouses!$G$2:$G$82,$G155,OldHouses!$B$2:$B$82,"PASTI")</f>
        <v>908.59075989190103</v>
      </c>
      <c r="AL155" s="39">
        <f>SUMIFS(OldHouses!AP$2:AP$82,OldHouses!$C$2:$C$82,$E155,OldHouses!$G$2:$G$82,$G155,OldHouses!$B$2:$B$82,"PASTI")</f>
        <v>98.453959313429493</v>
      </c>
      <c r="AM155" s="39">
        <f>SUMIFS(OldHouses!AQ$2:AQ$82,OldHouses!$C$2:$C$82,$E155,OldHouses!$G$2:$G$82,$G155,OldHouses!$B$2:$B$82,"PASTI")</f>
        <v>83.886304655323798</v>
      </c>
      <c r="AN155" s="39">
        <f>SUMIFS(OldHouses!AR$2:AR$82,OldHouses!$C$2:$C$82,$E155,OldHouses!$G$2:$G$82,$G155,OldHouses!$B$2:$B$82,"PASTI")</f>
        <v>73.817793158045802</v>
      </c>
      <c r="AO155" s="39">
        <f>SUMIFS(OldHouses!AS$2:AS$82,OldHouses!$C$2:$C$82,$E155,OldHouses!$G$2:$G$82,$G155,OldHouses!$B$2:$B$82,"PASTI")</f>
        <v>218.16532251448101</v>
      </c>
      <c r="AP155" s="39">
        <f>SUMIFS(OldHouses!AT$2:AT$82,OldHouses!$C$2:$C$82,$E155,OldHouses!$G$2:$G$82,$G155,OldHouses!$B$2:$B$82,"PASTI")</f>
        <v>45.901713357699002</v>
      </c>
      <c r="AQ155" s="39">
        <f>SUMIFS(OldHouses!AU$2:AU$82,OldHouses!$C$2:$C$82,$E155,OldHouses!$G$2:$G$82,$G155,OldHouses!$B$2:$B$82,"PASTI")</f>
        <v>45.429473576373098</v>
      </c>
      <c r="AR155" s="39">
        <f>SUMIFS(OldHouses!AV$2:AV$82,OldHouses!$C$2:$C$82,$E155,OldHouses!$G$2:$G$82,$G155,OldHouses!$B$2:$B$82,"PASTI")</f>
        <v>313.344805264549</v>
      </c>
    </row>
    <row r="156" spans="5:44" ht="14.4">
      <c r="E156" s="26" t="s">
        <v>61</v>
      </c>
      <c r="G156" s="26">
        <f>G146</f>
        <v>1940</v>
      </c>
      <c r="H156" s="39">
        <f>SUMIFS(OldHouses!L$2:L$82,OldHouses!$C$2:$C$82,$E156,OldHouses!$G$2:$G$82,$G156,OldHouses!$B$2:$B$82,"PASTI")</f>
        <v>4.0179287542902902</v>
      </c>
      <c r="I156" s="39">
        <f>SUMIFS(OldHouses!M$2:M$82,OldHouses!$C$2:$C$82,$E156,OldHouses!$G$2:$G$82,$G156,OldHouses!$B$2:$B$82,"PASTI")</f>
        <v>113.410971592264</v>
      </c>
      <c r="J156" s="39">
        <f>SUMIFS(OldHouses!N$2:N$82,OldHouses!$C$2:$C$82,$E156,OldHouses!$G$2:$G$82,$G156,OldHouses!$B$2:$B$82,"PASTI")</f>
        <v>10.4169021853751</v>
      </c>
      <c r="K156" s="39">
        <f>SUMIFS(OldHouses!O$2:O$82,OldHouses!$C$2:$C$82,$E156,OldHouses!$G$2:$G$82,$G156,OldHouses!$B$2:$B$82,"PASTI")</f>
        <v>627.44323762396198</v>
      </c>
      <c r="L156" s="39">
        <f>SUMIFS(OldHouses!P$2:P$82,OldHouses!$C$2:$C$82,$E156,OldHouses!$G$2:$G$82,$G156,OldHouses!$B$2:$B$82,"PASTI")</f>
        <v>47.424055632066299</v>
      </c>
      <c r="M156" s="39">
        <f>SUMIFS(OldHouses!Q$2:Q$82,OldHouses!$C$2:$C$82,$E156,OldHouses!$G$2:$G$82,$G156,OldHouses!$B$2:$B$82,"PASTI")</f>
        <v>227.595900989521</v>
      </c>
      <c r="N156" s="39">
        <f>SUMIFS(OldHouses!R$2:R$82,OldHouses!$C$2:$C$82,$E156,OldHouses!$G$2:$G$82,$G156,OldHouses!$B$2:$B$82,"PASTI")</f>
        <v>3.2719264842628699</v>
      </c>
      <c r="O156" s="39">
        <f>SUMIFS(OldHouses!S$2:S$82,OldHouses!$C$2:$C$82,$E156,OldHouses!$G$2:$G$82,$G156,OldHouses!$B$2:$B$82,"PASTI")</f>
        <v>146.899244036044</v>
      </c>
      <c r="P156" s="39">
        <f>SUMIFS(OldHouses!T$2:T$82,OldHouses!$C$2:$C$82,$E156,OldHouses!$G$2:$G$82,$G156,OldHouses!$B$2:$B$82,"PASTI")</f>
        <v>1748.7138694333801</v>
      </c>
      <c r="Q156" s="39">
        <f>SUMIFS(OldHouses!U$2:U$82,OldHouses!$C$2:$C$82,$E156,OldHouses!$G$2:$G$82,$G156,OldHouses!$B$2:$B$82,"PASTI")</f>
        <v>190.63363375254099</v>
      </c>
      <c r="R156" s="39">
        <f>SUMIFS(OldHouses!V$2:V$82,OldHouses!$C$2:$C$82,$E156,OldHouses!$G$2:$G$82,$G156,OldHouses!$B$2:$B$82,"PASTI")</f>
        <v>9.7146733726103101</v>
      </c>
      <c r="S156" s="39">
        <f>SUMIFS(OldHouses!W$2:W$82,OldHouses!$C$2:$C$82,$E156,OldHouses!$G$2:$G$82,$G156,OldHouses!$B$2:$B$82,"PASTI")</f>
        <v>34.303220826847102</v>
      </c>
      <c r="T156" s="39">
        <f>SUMIFS(OldHouses!X$2:X$82,OldHouses!$C$2:$C$82,$E156,OldHouses!$G$2:$G$82,$G156,OldHouses!$B$2:$B$82,"PASTI")</f>
        <v>281.63613362378402</v>
      </c>
      <c r="U156" s="39">
        <f>SUMIFS(OldHouses!Y$2:Y$82,OldHouses!$C$2:$C$82,$E156,OldHouses!$G$2:$G$82,$G156,OldHouses!$B$2:$B$82,"PASTI")</f>
        <v>84.388177566401495</v>
      </c>
      <c r="V156" s="39">
        <f>SUMIFS(OldHouses!Z$2:Z$82,OldHouses!$C$2:$C$82,$E156,OldHouses!$G$2:$G$82,$G156,OldHouses!$B$2:$B$82,"PASTI")</f>
        <v>1490.4977480094699</v>
      </c>
      <c r="W156" s="39">
        <f>SUMIFS(OldHouses!AA$2:AA$82,OldHouses!$C$2:$C$82,$E156,OldHouses!$G$2:$G$82,$G156,OldHouses!$B$2:$B$82,"PASTI")</f>
        <v>33.747110125566103</v>
      </c>
      <c r="X156" s="39">
        <f>SUMIFS(OldHouses!AB$2:AB$82,OldHouses!$C$2:$C$82,$E156,OldHouses!$G$2:$G$82,$G156,OldHouses!$B$2:$B$82,"PASTI")</f>
        <v>108.280350021768</v>
      </c>
      <c r="Y156" s="39">
        <f>SUMIFS(OldHouses!AC$2:AC$82,OldHouses!$C$2:$C$82,$E156,OldHouses!$G$2:$G$82,$G156,OldHouses!$B$2:$B$82,"PASTI")</f>
        <v>117.95555387988701</v>
      </c>
      <c r="Z156" s="39">
        <f>SUMIFS(OldHouses!AD$2:AD$82,OldHouses!$C$2:$C$82,$E156,OldHouses!$G$2:$G$82,$G156,OldHouses!$B$2:$B$82,"PASTI")</f>
        <v>5.7381538683203797</v>
      </c>
      <c r="AA156" s="39">
        <f>SUMIFS(OldHouses!AE$2:AE$82,OldHouses!$C$2:$C$82,$E156,OldHouses!$G$2:$G$82,$G156,OldHouses!$B$2:$B$82,"PASTI")</f>
        <v>904.90396192841899</v>
      </c>
      <c r="AB156" s="39">
        <f>SUMIFS(OldHouses!AF$2:AF$82,OldHouses!$C$2:$C$82,$E156,OldHouses!$G$2:$G$82,$G156,OldHouses!$B$2:$B$82,"PASTI")</f>
        <v>6.1319025031949597</v>
      </c>
      <c r="AC156" s="39">
        <f>SUMIFS(OldHouses!AG$2:AG$82,OldHouses!$C$2:$C$82,$E156,OldHouses!$G$2:$G$82,$G156,OldHouses!$B$2:$B$82,"PASTI")</f>
        <v>33.914401992610699</v>
      </c>
      <c r="AD156" s="39">
        <f>SUMIFS(OldHouses!AH$2:AH$82,OldHouses!$C$2:$C$82,$E156,OldHouses!$G$2:$G$82,$G156,OldHouses!$B$2:$B$82,"PASTI")</f>
        <v>19.164005754618401</v>
      </c>
      <c r="AE156" s="39">
        <f>SUMIFS(OldHouses!AI$2:AI$82,OldHouses!$C$2:$C$82,$E156,OldHouses!$G$2:$G$82,$G156,OldHouses!$B$2:$B$82,"PASTI")</f>
        <v>15.401856931807099</v>
      </c>
      <c r="AF156" s="39">
        <f>SUMIFS(OldHouses!AJ$2:AJ$82,OldHouses!$C$2:$C$82,$E156,OldHouses!$G$2:$G$82,$G156,OldHouses!$B$2:$B$82,"PASTI")</f>
        <v>3.1556410333033802</v>
      </c>
      <c r="AG156" s="39">
        <f>SUMIFS(OldHouses!AK$2:AK$82,OldHouses!$C$2:$C$82,$E156,OldHouses!$G$2:$G$82,$G156,OldHouses!$B$2:$B$82,"PASTI")</f>
        <v>8.9504480229728909</v>
      </c>
      <c r="AH156" s="39">
        <f>SUMIFS(OldHouses!AL$2:AL$82,OldHouses!$C$2:$C$82,$E156,OldHouses!$G$2:$G$82,$G156,OldHouses!$B$2:$B$82,"PASTI")</f>
        <v>9.9532441626703108</v>
      </c>
      <c r="AI156" s="39">
        <f>SUMIFS(OldHouses!AM$2:AM$82,OldHouses!$C$2:$C$82,$E156,OldHouses!$G$2:$G$82,$G156,OldHouses!$B$2:$B$82,"PASTI")</f>
        <v>763.45682869292796</v>
      </c>
      <c r="AJ156" s="39">
        <f>SUMIFS(OldHouses!AN$2:AN$82,OldHouses!$C$2:$C$82,$E156,OldHouses!$G$2:$G$82,$G156,OldHouses!$B$2:$B$82,"PASTI")</f>
        <v>69.326306429116499</v>
      </c>
      <c r="AK156" s="39">
        <f>SUMIFS(OldHouses!AO$2:AO$82,OldHouses!$C$2:$C$82,$E156,OldHouses!$G$2:$G$82,$G156,OldHouses!$B$2:$B$82,"PASTI")</f>
        <v>255.35418991897399</v>
      </c>
      <c r="AL156" s="39">
        <f>SUMIFS(OldHouses!AP$2:AP$82,OldHouses!$C$2:$C$82,$E156,OldHouses!$G$2:$G$82,$G156,OldHouses!$B$2:$B$82,"PASTI")</f>
        <v>44.845556447716199</v>
      </c>
      <c r="AM156" s="39">
        <f>SUMIFS(OldHouses!AQ$2:AQ$82,OldHouses!$C$2:$C$82,$E156,OldHouses!$G$2:$G$82,$G156,OldHouses!$B$2:$B$82,"PASTI")</f>
        <v>62.738770865280202</v>
      </c>
      <c r="AN156" s="39">
        <f>SUMIFS(OldHouses!AR$2:AR$82,OldHouses!$C$2:$C$82,$E156,OldHouses!$G$2:$G$82,$G156,OldHouses!$B$2:$B$82,"PASTI")</f>
        <v>30.778825082818901</v>
      </c>
      <c r="AO156" s="39">
        <f>SUMIFS(OldHouses!AS$2:AS$82,OldHouses!$C$2:$C$82,$E156,OldHouses!$G$2:$G$82,$G156,OldHouses!$B$2:$B$82,"PASTI")</f>
        <v>182.62480285689901</v>
      </c>
      <c r="AP156" s="39">
        <f>SUMIFS(OldHouses!AT$2:AT$82,OldHouses!$C$2:$C$82,$E156,OldHouses!$G$2:$G$82,$G156,OldHouses!$B$2:$B$82,"PASTI")</f>
        <v>20.645008115907601</v>
      </c>
      <c r="AQ156" s="39">
        <f>SUMIFS(OldHouses!AU$2:AU$82,OldHouses!$C$2:$C$82,$E156,OldHouses!$G$2:$G$82,$G156,OldHouses!$B$2:$B$82,"PASTI")</f>
        <v>30.969177837785601</v>
      </c>
      <c r="AR156" s="39">
        <f>SUMIFS(OldHouses!AV$2:AV$82,OldHouses!$C$2:$C$82,$E156,OldHouses!$G$2:$G$82,$G156,OldHouses!$B$2:$B$82,"PASTI")</f>
        <v>5377.2361719486798</v>
      </c>
    </row>
    <row r="157" spans="5:44" ht="14.4">
      <c r="E157" s="26" t="s">
        <v>61</v>
      </c>
      <c r="G157" s="26">
        <f>G147</f>
        <v>1957</v>
      </c>
      <c r="H157" s="39">
        <f>SUMIFS(OldHouses!L$2:L$82,OldHouses!$C$2:$C$82,$E157,OldHouses!$G$2:$G$82,$G157,OldHouses!$B$2:$B$82,"PASTI")</f>
        <v>14.622688220021001</v>
      </c>
      <c r="I157" s="39">
        <f>SUMIFS(OldHouses!M$2:M$82,OldHouses!$C$2:$C$82,$E157,OldHouses!$G$2:$G$82,$G157,OldHouses!$B$2:$B$82,"PASTI")</f>
        <v>136.83332206312701</v>
      </c>
      <c r="J157" s="39">
        <f>SUMIFS(OldHouses!N$2:N$82,OldHouses!$C$2:$C$82,$E157,OldHouses!$G$2:$G$82,$G157,OldHouses!$B$2:$B$82,"PASTI")</f>
        <v>23.782933663971001</v>
      </c>
      <c r="K157" s="39">
        <f>SUMIFS(OldHouses!O$2:O$82,OldHouses!$C$2:$C$82,$E157,OldHouses!$G$2:$G$82,$G157,OldHouses!$B$2:$B$82,"PASTI")</f>
        <v>348.57957630194198</v>
      </c>
      <c r="L157" s="39">
        <f>SUMIFS(OldHouses!P$2:P$82,OldHouses!$C$2:$C$82,$E157,OldHouses!$G$2:$G$82,$G157,OldHouses!$B$2:$B$82,"PASTI")</f>
        <v>98.175097243334406</v>
      </c>
      <c r="M157" s="39">
        <f>SUMIFS(OldHouses!Q$2:Q$82,OldHouses!$C$2:$C$82,$E157,OldHouses!$G$2:$G$82,$G157,OldHouses!$B$2:$B$82,"PASTI")</f>
        <v>274.60044458759398</v>
      </c>
      <c r="N157" s="39">
        <f>SUMIFS(OldHouses!R$2:R$82,OldHouses!$C$2:$C$82,$E157,OldHouses!$G$2:$G$82,$G157,OldHouses!$B$2:$B$82,"PASTI")</f>
        <v>10.901544899693199</v>
      </c>
      <c r="O157" s="39">
        <f>SUMIFS(OldHouses!S$2:S$82,OldHouses!$C$2:$C$82,$E157,OldHouses!$G$2:$G$82,$G157,OldHouses!$B$2:$B$82,"PASTI")</f>
        <v>199.51187298922801</v>
      </c>
      <c r="P157" s="39">
        <f>SUMIFS(OldHouses!T$2:T$82,OldHouses!$C$2:$C$82,$E157,OldHouses!$G$2:$G$82,$G157,OldHouses!$B$2:$B$82,"PASTI")</f>
        <v>2654.3814699160698</v>
      </c>
      <c r="Q157" s="39">
        <f>SUMIFS(OldHouses!U$2:U$82,OldHouses!$C$2:$C$82,$E157,OldHouses!$G$2:$G$82,$G157,OldHouses!$B$2:$B$82,"PASTI")</f>
        <v>138.42727998479199</v>
      </c>
      <c r="R157" s="39">
        <f>SUMIFS(OldHouses!V$2:V$82,OldHouses!$C$2:$C$82,$E157,OldHouses!$G$2:$G$82,$G157,OldHouses!$B$2:$B$82,"PASTI")</f>
        <v>14.3612810202799</v>
      </c>
      <c r="S157" s="39">
        <f>SUMIFS(OldHouses!W$2:W$82,OldHouses!$C$2:$C$82,$E157,OldHouses!$G$2:$G$82,$G157,OldHouses!$B$2:$B$82,"PASTI")</f>
        <v>124.841761456798</v>
      </c>
      <c r="T157" s="39">
        <f>SUMIFS(OldHouses!X$2:X$82,OldHouses!$C$2:$C$82,$E157,OldHouses!$G$2:$G$82,$G157,OldHouses!$B$2:$B$82,"PASTI")</f>
        <v>500.64614939529002</v>
      </c>
      <c r="U157" s="39">
        <f>SUMIFS(OldHouses!Y$2:Y$82,OldHouses!$C$2:$C$82,$E157,OldHouses!$G$2:$G$82,$G157,OldHouses!$B$2:$B$82,"PASTI")</f>
        <v>154.34748094201001</v>
      </c>
      <c r="V157" s="39">
        <f>SUMIFS(OldHouses!Z$2:Z$82,OldHouses!$C$2:$C$82,$E157,OldHouses!$G$2:$G$82,$G157,OldHouses!$B$2:$B$82,"PASTI")</f>
        <v>1008.10279658167</v>
      </c>
      <c r="W157" s="39">
        <f>SUMIFS(OldHouses!AA$2:AA$82,OldHouses!$C$2:$C$82,$E157,OldHouses!$G$2:$G$82,$G157,OldHouses!$B$2:$B$82,"PASTI")</f>
        <v>61.316546827832802</v>
      </c>
      <c r="X157" s="39">
        <f>SUMIFS(OldHouses!AB$2:AB$82,OldHouses!$C$2:$C$82,$E157,OldHouses!$G$2:$G$82,$G157,OldHouses!$B$2:$B$82,"PASTI")</f>
        <v>145.88847327561299</v>
      </c>
      <c r="Y157" s="39">
        <f>SUMIFS(OldHouses!AC$2:AC$82,OldHouses!$C$2:$C$82,$E157,OldHouses!$G$2:$G$82,$G157,OldHouses!$B$2:$B$82,"PASTI")</f>
        <v>107.032920395882</v>
      </c>
      <c r="Z157" s="39">
        <f>SUMIFS(OldHouses!AD$2:AD$82,OldHouses!$C$2:$C$82,$E157,OldHouses!$G$2:$G$82,$G157,OldHouses!$B$2:$B$82,"PASTI")</f>
        <v>10.495185704609</v>
      </c>
      <c r="AA157" s="39">
        <f>SUMIFS(OldHouses!AE$2:AE$82,OldHouses!$C$2:$C$82,$E157,OldHouses!$G$2:$G$82,$G157,OldHouses!$B$2:$B$82,"PASTI")</f>
        <v>1269.31369885664</v>
      </c>
      <c r="AB157" s="39">
        <f>SUMIFS(OldHouses!AF$2:AF$82,OldHouses!$C$2:$C$82,$E157,OldHouses!$G$2:$G$82,$G157,OldHouses!$B$2:$B$82,"PASTI")</f>
        <v>13.9998079920697</v>
      </c>
      <c r="AC157" s="39">
        <f>SUMIFS(OldHouses!AG$2:AG$82,OldHouses!$C$2:$C$82,$E157,OldHouses!$G$2:$G$82,$G157,OldHouses!$B$2:$B$82,"PASTI")</f>
        <v>36.243345773170702</v>
      </c>
      <c r="AD157" s="39">
        <f>SUMIFS(OldHouses!AH$2:AH$82,OldHouses!$C$2:$C$82,$E157,OldHouses!$G$2:$G$82,$G157,OldHouses!$B$2:$B$82,"PASTI")</f>
        <v>17.626129246783002</v>
      </c>
      <c r="AE157" s="39">
        <f>SUMIFS(OldHouses!AI$2:AI$82,OldHouses!$C$2:$C$82,$E157,OldHouses!$G$2:$G$82,$G157,OldHouses!$B$2:$B$82,"PASTI")</f>
        <v>18.6790243446193</v>
      </c>
      <c r="AF157" s="39">
        <f>SUMIFS(OldHouses!AJ$2:AJ$82,OldHouses!$C$2:$C$82,$E157,OldHouses!$G$2:$G$82,$G157,OldHouses!$B$2:$B$82,"PASTI")</f>
        <v>7.2046756345400604</v>
      </c>
      <c r="AG157" s="39">
        <f>SUMIFS(OldHouses!AK$2:AK$82,OldHouses!$C$2:$C$82,$E157,OldHouses!$G$2:$G$82,$G157,OldHouses!$B$2:$B$82,"PASTI")</f>
        <v>18.5288055463697</v>
      </c>
      <c r="AH157" s="39">
        <f>SUMIFS(OldHouses!AL$2:AL$82,OldHouses!$C$2:$C$82,$E157,OldHouses!$G$2:$G$82,$G157,OldHouses!$B$2:$B$82,"PASTI")</f>
        <v>10.435040221761399</v>
      </c>
      <c r="AI157" s="39">
        <f>SUMIFS(OldHouses!AM$2:AM$82,OldHouses!$C$2:$C$82,$E157,OldHouses!$G$2:$G$82,$G157,OldHouses!$B$2:$B$82,"PASTI")</f>
        <v>859.27232884995396</v>
      </c>
      <c r="AJ157" s="39">
        <f>SUMIFS(OldHouses!AN$2:AN$82,OldHouses!$C$2:$C$82,$E157,OldHouses!$G$2:$G$82,$G157,OldHouses!$B$2:$B$82,"PASTI")</f>
        <v>92.231425484955196</v>
      </c>
      <c r="AK157" s="39">
        <f>SUMIFS(OldHouses!AO$2:AO$82,OldHouses!$C$2:$C$82,$E157,OldHouses!$G$2:$G$82,$G157,OldHouses!$B$2:$B$82,"PASTI")</f>
        <v>283.34154112973602</v>
      </c>
      <c r="AL157" s="39">
        <f>SUMIFS(OldHouses!AP$2:AP$82,OldHouses!$C$2:$C$82,$E157,OldHouses!$G$2:$G$82,$G157,OldHouses!$B$2:$B$82,"PASTI")</f>
        <v>60.664798976834497</v>
      </c>
      <c r="AM157" s="39">
        <f>SUMIFS(OldHouses!AQ$2:AQ$82,OldHouses!$C$2:$C$82,$E157,OldHouses!$G$2:$G$82,$G157,OldHouses!$B$2:$B$82,"PASTI")</f>
        <v>181.78783344729001</v>
      </c>
      <c r="AN157" s="39">
        <f>SUMIFS(OldHouses!AR$2:AR$82,OldHouses!$C$2:$C$82,$E157,OldHouses!$G$2:$G$82,$G157,OldHouses!$B$2:$B$82,"PASTI")</f>
        <v>70.271443676159194</v>
      </c>
      <c r="AO157" s="39">
        <f>SUMIFS(OldHouses!AS$2:AS$82,OldHouses!$C$2:$C$82,$E157,OldHouses!$G$2:$G$82,$G157,OldHouses!$B$2:$B$82,"PASTI")</f>
        <v>165.626270567039</v>
      </c>
      <c r="AP157" s="39">
        <f>SUMIFS(OldHouses!AT$2:AT$82,OldHouses!$C$2:$C$82,$E157,OldHouses!$G$2:$G$82,$G157,OldHouses!$B$2:$B$82,"PASTI")</f>
        <v>13.7997444777815</v>
      </c>
      <c r="AQ157" s="39">
        <f>SUMIFS(OldHouses!AU$2:AU$82,OldHouses!$C$2:$C$82,$E157,OldHouses!$G$2:$G$82,$G157,OldHouses!$B$2:$B$82,"PASTI")</f>
        <v>39.790637421958301</v>
      </c>
      <c r="AR157" s="39">
        <f>SUMIFS(OldHouses!AV$2:AV$82,OldHouses!$C$2:$C$82,$E157,OldHouses!$G$2:$G$82,$G157,OldHouses!$B$2:$B$82,"PASTI")</f>
        <v>3383.5386031049402</v>
      </c>
    </row>
    <row r="158" spans="5:44" ht="14.4">
      <c r="E158" s="26" t="s">
        <v>61</v>
      </c>
      <c r="G158" s="26">
        <f>G148</f>
        <v>1975</v>
      </c>
      <c r="H158" s="39">
        <f>SUMIFS(OldHouses!L$2:L$82,OldHouses!$C$2:$C$82,$E158,OldHouses!$G$2:$G$82,$G158,OldHouses!$B$2:$B$82,"PASTI")</f>
        <v>11.6515983171843</v>
      </c>
      <c r="I158" s="39">
        <f>SUMIFS(OldHouses!M$2:M$82,OldHouses!$C$2:$C$82,$E158,OldHouses!$G$2:$G$82,$G158,OldHouses!$B$2:$B$82,"PASTI")</f>
        <v>70.4042428033314</v>
      </c>
      <c r="J158" s="39">
        <f>SUMIFS(OldHouses!N$2:N$82,OldHouses!$C$2:$C$82,$E158,OldHouses!$G$2:$G$82,$G158,OldHouses!$B$2:$B$82,"PASTI")</f>
        <v>17.756512251756298</v>
      </c>
      <c r="K158" s="39">
        <f>SUMIFS(OldHouses!O$2:O$82,OldHouses!$C$2:$C$82,$E158,OldHouses!$G$2:$G$82,$G158,OldHouses!$B$2:$B$82,"PASTI")</f>
        <v>188.64699294284799</v>
      </c>
      <c r="L158" s="39">
        <f>SUMIFS(OldHouses!P$2:P$82,OldHouses!$C$2:$C$82,$E158,OldHouses!$G$2:$G$82,$G158,OldHouses!$B$2:$B$82,"PASTI")</f>
        <v>56.920941633426501</v>
      </c>
      <c r="M158" s="39">
        <f>SUMIFS(OldHouses!Q$2:Q$82,OldHouses!$C$2:$C$82,$E158,OldHouses!$G$2:$G$82,$G158,OldHouses!$B$2:$B$82,"PASTI")</f>
        <v>141.288949819756</v>
      </c>
      <c r="N158" s="39">
        <f>SUMIFS(OldHouses!R$2:R$82,OldHouses!$C$2:$C$82,$E158,OldHouses!$G$2:$G$82,$G158,OldHouses!$B$2:$B$82,"PASTI")</f>
        <v>14.7577252957065</v>
      </c>
      <c r="O158" s="39">
        <f>SUMIFS(OldHouses!S$2:S$82,OldHouses!$C$2:$C$82,$E158,OldHouses!$G$2:$G$82,$G158,OldHouses!$B$2:$B$82,"PASTI")</f>
        <v>81.750535215063806</v>
      </c>
      <c r="P158" s="39">
        <f>SUMIFS(OldHouses!T$2:T$82,OldHouses!$C$2:$C$82,$E158,OldHouses!$G$2:$G$82,$G158,OldHouses!$B$2:$B$82,"PASTI")</f>
        <v>1368.19585712105</v>
      </c>
      <c r="Q158" s="39">
        <f>SUMIFS(OldHouses!U$2:U$82,OldHouses!$C$2:$C$82,$E158,OldHouses!$G$2:$G$82,$G158,OldHouses!$B$2:$B$82,"PASTI")</f>
        <v>85.508489385411707</v>
      </c>
      <c r="R158" s="39">
        <f>SUMIFS(OldHouses!V$2:V$82,OldHouses!$C$2:$C$82,$E158,OldHouses!$G$2:$G$82,$G158,OldHouses!$B$2:$B$82,"PASTI")</f>
        <v>11.155276597548999</v>
      </c>
      <c r="S158" s="39">
        <f>SUMIFS(OldHouses!W$2:W$82,OldHouses!$C$2:$C$82,$E158,OldHouses!$G$2:$G$82,$G158,OldHouses!$B$2:$B$82,"PASTI")</f>
        <v>99.475967470382002</v>
      </c>
      <c r="T158" s="39">
        <f>SUMIFS(OldHouses!X$2:X$82,OldHouses!$C$2:$C$82,$E158,OldHouses!$G$2:$G$82,$G158,OldHouses!$B$2:$B$82,"PASTI")</f>
        <v>413.35654441745299</v>
      </c>
      <c r="U158" s="39">
        <f>SUMIFS(OldHouses!Y$2:Y$82,OldHouses!$C$2:$C$82,$E158,OldHouses!$G$2:$G$82,$G158,OldHouses!$B$2:$B$82,"PASTI")</f>
        <v>122.604967161551</v>
      </c>
      <c r="V158" s="39">
        <f>SUMIFS(OldHouses!Z$2:Z$82,OldHouses!$C$2:$C$82,$E158,OldHouses!$G$2:$G$82,$G158,OldHouses!$B$2:$B$82,"PASTI")</f>
        <v>1113.5325960315599</v>
      </c>
      <c r="W158" s="39">
        <f>SUMIFS(OldHouses!AA$2:AA$82,OldHouses!$C$2:$C$82,$E158,OldHouses!$G$2:$G$82,$G158,OldHouses!$B$2:$B$82,"PASTI")</f>
        <v>47.364487372001598</v>
      </c>
      <c r="X158" s="39">
        <f>SUMIFS(OldHouses!AB$2:AB$82,OldHouses!$C$2:$C$82,$E158,OldHouses!$G$2:$G$82,$G158,OldHouses!$B$2:$B$82,"PASTI")</f>
        <v>87.496364546760304</v>
      </c>
      <c r="Y158" s="39">
        <f>SUMIFS(OldHouses!AC$2:AC$82,OldHouses!$C$2:$C$82,$E158,OldHouses!$G$2:$G$82,$G158,OldHouses!$B$2:$B$82,"PASTI")</f>
        <v>90.450622976435994</v>
      </c>
      <c r="Z158" s="39">
        <f>SUMIFS(OldHouses!AD$2:AD$82,OldHouses!$C$2:$C$82,$E158,OldHouses!$G$2:$G$82,$G158,OldHouses!$B$2:$B$82,"PASTI")</f>
        <v>8.3367858731132198</v>
      </c>
      <c r="AA158" s="39">
        <f>SUMIFS(OldHouses!AE$2:AE$82,OldHouses!$C$2:$C$82,$E158,OldHouses!$G$2:$G$82,$G158,OldHouses!$B$2:$B$82,"PASTI")</f>
        <v>718.12971623272995</v>
      </c>
      <c r="AB158" s="39">
        <f>SUMIFS(OldHouses!AF$2:AF$82,OldHouses!$C$2:$C$82,$E158,OldHouses!$G$2:$G$82,$G158,OldHouses!$B$2:$B$82,"PASTI")</f>
        <v>10.452359059051201</v>
      </c>
      <c r="AC158" s="39">
        <f>SUMIFS(OldHouses!AG$2:AG$82,OldHouses!$C$2:$C$82,$E158,OldHouses!$G$2:$G$82,$G158,OldHouses!$B$2:$B$82,"PASTI")</f>
        <v>23.857584410256798</v>
      </c>
      <c r="AD158" s="39">
        <f>SUMIFS(OldHouses!AH$2:AH$82,OldHouses!$C$2:$C$82,$E158,OldHouses!$G$2:$G$82,$G158,OldHouses!$B$2:$B$82,"PASTI")</f>
        <v>9.5183946543508693</v>
      </c>
      <c r="AE158" s="39">
        <f>SUMIFS(OldHouses!AI$2:AI$82,OldHouses!$C$2:$C$82,$E158,OldHouses!$G$2:$G$82,$G158,OldHouses!$B$2:$B$82,"PASTI")</f>
        <v>15.1011589439664</v>
      </c>
      <c r="AF158" s="39">
        <f>SUMIFS(OldHouses!AJ$2:AJ$82,OldHouses!$C$2:$C$82,$E158,OldHouses!$G$2:$G$82,$G158,OldHouses!$B$2:$B$82,"PASTI")</f>
        <v>5.3790635327904299</v>
      </c>
      <c r="AG158" s="39">
        <f>SUMIFS(OldHouses!AK$2:AK$82,OldHouses!$C$2:$C$82,$E158,OldHouses!$G$2:$G$82,$G158,OldHouses!$B$2:$B$82,"PASTI")</f>
        <v>10.742816545706299</v>
      </c>
      <c r="AH158" s="39">
        <f>SUMIFS(OldHouses!AL$2:AL$82,OldHouses!$C$2:$C$82,$E158,OldHouses!$G$2:$G$82,$G158,OldHouses!$B$2:$B$82,"PASTI")</f>
        <v>6.8566450254079703</v>
      </c>
      <c r="AI158" s="39">
        <f>SUMIFS(OldHouses!AM$2:AM$82,OldHouses!$C$2:$C$82,$E158,OldHouses!$G$2:$G$82,$G158,OldHouses!$B$2:$B$82,"PASTI")</f>
        <v>529.413600559006</v>
      </c>
      <c r="AJ158" s="39">
        <f>SUMIFS(OldHouses!AN$2:AN$82,OldHouses!$C$2:$C$82,$E158,OldHouses!$G$2:$G$82,$G158,OldHouses!$B$2:$B$82,"PASTI")</f>
        <v>59.2043202245125</v>
      </c>
      <c r="AK158" s="39">
        <f>SUMIFS(OldHouses!AO$2:AO$82,OldHouses!$C$2:$C$82,$E158,OldHouses!$G$2:$G$82,$G158,OldHouses!$B$2:$B$82,"PASTI")</f>
        <v>162.83982491282001</v>
      </c>
      <c r="AL158" s="39">
        <f>SUMIFS(OldHouses!AP$2:AP$82,OldHouses!$C$2:$C$82,$E158,OldHouses!$G$2:$G$82,$G158,OldHouses!$B$2:$B$82,"PASTI")</f>
        <v>67.987716847654497</v>
      </c>
      <c r="AM158" s="39">
        <f>SUMIFS(OldHouses!AQ$2:AQ$82,OldHouses!$C$2:$C$82,$E158,OldHouses!$G$2:$G$82,$G158,OldHouses!$B$2:$B$82,"PASTI")</f>
        <v>131.15085993947099</v>
      </c>
      <c r="AN158" s="39">
        <f>SUMIFS(OldHouses!AR$2:AR$82,OldHouses!$C$2:$C$82,$E158,OldHouses!$G$2:$G$82,$G158,OldHouses!$B$2:$B$82,"PASTI")</f>
        <v>52.465173902182997</v>
      </c>
      <c r="AO158" s="39">
        <f>SUMIFS(OldHouses!AS$2:AS$82,OldHouses!$C$2:$C$82,$E158,OldHouses!$G$2:$G$82,$G158,OldHouses!$B$2:$B$82,"PASTI")</f>
        <v>90.128918492594096</v>
      </c>
      <c r="AP158" s="39">
        <f>SUMIFS(OldHouses!AT$2:AT$82,OldHouses!$C$2:$C$82,$E158,OldHouses!$G$2:$G$82,$G158,OldHouses!$B$2:$B$82,"PASTI")</f>
        <v>11.879882672434199</v>
      </c>
      <c r="AQ158" s="39">
        <f>SUMIFS(OldHouses!AU$2:AU$82,OldHouses!$C$2:$C$82,$E158,OldHouses!$G$2:$G$82,$G158,OldHouses!$B$2:$B$82,"PASTI")</f>
        <v>16.287079815740199</v>
      </c>
      <c r="AR158" s="39">
        <f>SUMIFS(OldHouses!AV$2:AV$82,OldHouses!$C$2:$C$82,$E158,OldHouses!$G$2:$G$82,$G158,OldHouses!$B$2:$B$82,"PASTI")</f>
        <v>1486.47596105208</v>
      </c>
    </row>
    <row r="159" spans="5:44" ht="14.4">
      <c r="E159" s="26" t="s">
        <v>61</v>
      </c>
      <c r="G159" s="26">
        <f>G149</f>
        <v>1985</v>
      </c>
      <c r="H159" s="39">
        <f>SUMIFS(OldHouses!L$2:L$82,OldHouses!$C$2:$C$82,$E159,OldHouses!$G$2:$G$82,$G159,OldHouses!$B$2:$B$82,"PASTI")</f>
        <v>8.9191632559576792</v>
      </c>
      <c r="I159" s="39">
        <f>SUMIFS(OldHouses!M$2:M$82,OldHouses!$C$2:$C$82,$E159,OldHouses!$G$2:$G$82,$G159,OldHouses!$B$2:$B$82,"PASTI")</f>
        <v>55.861579162880801</v>
      </c>
      <c r="J159" s="39">
        <f>SUMIFS(OldHouses!N$2:N$82,OldHouses!$C$2:$C$82,$E159,OldHouses!$G$2:$G$82,$G159,OldHouses!$B$2:$B$82,"PASTI")</f>
        <v>15.007048111982799</v>
      </c>
      <c r="K159" s="39">
        <f>SUMIFS(OldHouses!O$2:O$82,OldHouses!$C$2:$C$82,$E159,OldHouses!$G$2:$G$82,$G159,OldHouses!$B$2:$B$82,"PASTI")</f>
        <v>188.64699294284799</v>
      </c>
      <c r="L159" s="39">
        <f>SUMIFS(OldHouses!P$2:P$82,OldHouses!$C$2:$C$82,$E159,OldHouses!$G$2:$G$82,$G159,OldHouses!$B$2:$B$82,"PASTI")</f>
        <v>53.6386546894472</v>
      </c>
      <c r="M159" s="39">
        <f>SUMIFS(OldHouses!Q$2:Q$82,OldHouses!$C$2:$C$82,$E159,OldHouses!$G$2:$G$82,$G159,OldHouses!$B$2:$B$82,"PASTI")</f>
        <v>112.10437810181401</v>
      </c>
      <c r="N159" s="39">
        <f>SUMIFS(OldHouses!R$2:R$82,OldHouses!$C$2:$C$82,$E159,OldHouses!$G$2:$G$82,$G159,OldHouses!$B$2:$B$82,"PASTI")</f>
        <v>21.304610461399701</v>
      </c>
      <c r="O159" s="39">
        <f>SUMIFS(OldHouses!S$2:S$82,OldHouses!$C$2:$C$82,$E159,OldHouses!$G$2:$G$82,$G159,OldHouses!$B$2:$B$82,"PASTI")</f>
        <v>94.756676021272497</v>
      </c>
      <c r="P159" s="39">
        <f>SUMIFS(OldHouses!T$2:T$82,OldHouses!$C$2:$C$82,$E159,OldHouses!$G$2:$G$82,$G159,OldHouses!$B$2:$B$82,"PASTI")</f>
        <v>953.60242899196805</v>
      </c>
      <c r="Q159" s="39">
        <f>SUMIFS(OldHouses!U$2:U$82,OldHouses!$C$2:$C$82,$E159,OldHouses!$G$2:$G$82,$G159,OldHouses!$B$2:$B$82,"PASTI")</f>
        <v>35.0236017888503</v>
      </c>
      <c r="R159" s="39">
        <f>SUMIFS(OldHouses!V$2:V$82,OldHouses!$C$2:$C$82,$E159,OldHouses!$G$2:$G$82,$G159,OldHouses!$B$2:$B$82,"PASTI")</f>
        <v>10.4909416884728</v>
      </c>
      <c r="S159" s="39">
        <f>SUMIFS(OldHouses!W$2:W$82,OldHouses!$C$2:$C$82,$E159,OldHouses!$G$2:$G$82,$G159,OldHouses!$B$2:$B$82,"PASTI")</f>
        <v>76.147698346597593</v>
      </c>
      <c r="T159" s="39">
        <f>SUMIFS(OldHouses!X$2:X$82,OldHouses!$C$2:$C$82,$E159,OldHouses!$G$2:$G$82,$G159,OldHouses!$B$2:$B$82,"PASTI")</f>
        <v>261.89833495546401</v>
      </c>
      <c r="U159" s="39">
        <f>SUMIFS(OldHouses!Y$2:Y$82,OldHouses!$C$2:$C$82,$E159,OldHouses!$G$2:$G$82,$G159,OldHouses!$B$2:$B$82,"PASTI")</f>
        <v>97.148216277730398</v>
      </c>
      <c r="V159" s="39">
        <f>SUMIFS(OldHouses!Z$2:Z$82,OldHouses!$C$2:$C$82,$E159,OldHouses!$G$2:$G$82,$G159,OldHouses!$B$2:$B$82,"PASTI")</f>
        <v>820.60662212394402</v>
      </c>
      <c r="W159" s="39">
        <f>SUMIFS(OldHouses!AA$2:AA$82,OldHouses!$C$2:$C$82,$E159,OldHouses!$G$2:$G$82,$G159,OldHouses!$B$2:$B$82,"PASTI")</f>
        <v>37.551329812448103</v>
      </c>
      <c r="X159" s="39">
        <f>SUMIFS(OldHouses!AB$2:AB$82,OldHouses!$C$2:$C$82,$E159,OldHouses!$G$2:$G$82,$G159,OldHouses!$B$2:$B$82,"PASTI")</f>
        <v>118.943565327741</v>
      </c>
      <c r="Y159" s="39">
        <f>SUMIFS(OldHouses!AC$2:AC$82,OldHouses!$C$2:$C$82,$E159,OldHouses!$G$2:$G$82,$G159,OldHouses!$B$2:$B$82,"PASTI")</f>
        <v>78.718658909772302</v>
      </c>
      <c r="Z159" s="39">
        <f>SUMIFS(OldHouses!AD$2:AD$82,OldHouses!$C$2:$C$82,$E159,OldHouses!$G$2:$G$82,$G159,OldHouses!$B$2:$B$82,"PASTI")</f>
        <v>6.6057998775462101</v>
      </c>
      <c r="AA159" s="39">
        <f>SUMIFS(OldHouses!AE$2:AE$82,OldHouses!$C$2:$C$82,$E159,OldHouses!$G$2:$G$82,$G159,OldHouses!$B$2:$B$82,"PASTI")</f>
        <v>520.22220682520697</v>
      </c>
      <c r="AB159" s="39">
        <f>SUMIFS(OldHouses!AF$2:AF$82,OldHouses!$C$2:$C$82,$E159,OldHouses!$G$2:$G$82,$G159,OldHouses!$B$2:$B$82,"PASTI")</f>
        <v>8.8338888323852203</v>
      </c>
      <c r="AC159" s="39">
        <f>SUMIFS(OldHouses!AG$2:AG$82,OldHouses!$C$2:$C$82,$E159,OldHouses!$G$2:$G$82,$G159,OldHouses!$B$2:$B$82,"PASTI")</f>
        <v>23.857584410256798</v>
      </c>
      <c r="AD159" s="39">
        <f>SUMIFS(OldHouses!AH$2:AH$82,OldHouses!$C$2:$C$82,$E159,OldHouses!$G$2:$G$82,$G159,OldHouses!$B$2:$B$82,"PASTI")</f>
        <v>7.3980517869792299</v>
      </c>
      <c r="AE159" s="39">
        <f>SUMIFS(OldHouses!AI$2:AI$82,OldHouses!$C$2:$C$82,$E159,OldHouses!$G$2:$G$82,$G159,OldHouses!$B$2:$B$82,"PASTI")</f>
        <v>14.577048607989701</v>
      </c>
      <c r="AF159" s="39">
        <f>SUMIFS(OldHouses!AJ$2:AJ$82,OldHouses!$C$2:$C$82,$E159,OldHouses!$G$2:$G$82,$G159,OldHouses!$B$2:$B$82,"PASTI")</f>
        <v>4.5461554662016397</v>
      </c>
      <c r="AG159" s="39">
        <f>SUMIFS(OldHouses!AK$2:AK$82,OldHouses!$C$2:$C$82,$E159,OldHouses!$G$2:$G$82,$G159,OldHouses!$B$2:$B$82,"PASTI")</f>
        <v>10.123343194112399</v>
      </c>
      <c r="AH159" s="39">
        <f>SUMIFS(OldHouses!AL$2:AL$82,OldHouses!$C$2:$C$82,$E159,OldHouses!$G$2:$G$82,$G159,OldHouses!$B$2:$B$82,"PASTI")</f>
        <v>7.8759229551807302</v>
      </c>
      <c r="AI159" s="39">
        <f>SUMIFS(OldHouses!AM$2:AM$82,OldHouses!$C$2:$C$82,$E159,OldHouses!$G$2:$G$82,$G159,OldHouses!$B$2:$B$82,"PASTI")</f>
        <v>514.94515643502905</v>
      </c>
      <c r="AJ159" s="39">
        <f>SUMIFS(OldHouses!AN$2:AN$82,OldHouses!$C$2:$C$82,$E159,OldHouses!$G$2:$G$82,$G159,OldHouses!$B$2:$B$82,"PASTI")</f>
        <v>49.797161501144103</v>
      </c>
      <c r="AK159" s="39">
        <f>SUMIFS(OldHouses!AO$2:AO$82,OldHouses!$C$2:$C$82,$E159,OldHouses!$G$2:$G$82,$G159,OldHouses!$B$2:$B$82,"PASTI")</f>
        <v>168.34018140021601</v>
      </c>
      <c r="AL159" s="39">
        <f>SUMIFS(OldHouses!AP$2:AP$82,OldHouses!$C$2:$C$82,$E159,OldHouses!$G$2:$G$82,$G159,OldHouses!$B$2:$B$82,"PASTI")</f>
        <v>58.108796789609798</v>
      </c>
      <c r="AM159" s="39">
        <f>SUMIFS(OldHouses!AQ$2:AQ$82,OldHouses!$C$2:$C$82,$E159,OldHouses!$G$2:$G$82,$G159,OldHouses!$B$2:$B$82,"PASTI")</f>
        <v>179.42623925843299</v>
      </c>
      <c r="AN159" s="39">
        <f>SUMIFS(OldHouses!AR$2:AR$82,OldHouses!$C$2:$C$82,$E159,OldHouses!$G$2:$G$82,$G159,OldHouses!$B$2:$B$82,"PASTI")</f>
        <v>44.341331100972802</v>
      </c>
      <c r="AO159" s="39">
        <f>SUMIFS(OldHouses!AS$2:AS$82,OldHouses!$C$2:$C$82,$E159,OldHouses!$G$2:$G$82,$G159,OldHouses!$B$2:$B$82,"PASTI")</f>
        <v>62.087995563219899</v>
      </c>
      <c r="AP159" s="39">
        <f>SUMIFS(OldHouses!AT$2:AT$82,OldHouses!$C$2:$C$82,$E159,OldHouses!$G$2:$G$82,$G159,OldHouses!$B$2:$B$82,"PASTI")</f>
        <v>6.4537453221608603</v>
      </c>
      <c r="AQ159" s="39">
        <f>SUMIFS(OldHouses!AU$2:AU$82,OldHouses!$C$2:$C$82,$E159,OldHouses!$G$2:$G$82,$G159,OldHouses!$B$2:$B$82,"PASTI")</f>
        <v>18.892764586093602</v>
      </c>
      <c r="AR159" s="39">
        <f>SUMIFS(OldHouses!AV$2:AV$82,OldHouses!$C$2:$C$82,$E159,OldHouses!$G$2:$G$82,$G159,OldHouses!$B$2:$B$82,"PASTI")</f>
        <v>1055.3868135580899</v>
      </c>
    </row>
    <row r="160" spans="5:44" ht="14.4">
      <c r="E160" s="26" t="s">
        <v>61</v>
      </c>
      <c r="G160" s="26">
        <f>G150</f>
        <v>1995</v>
      </c>
      <c r="H160" s="39">
        <f>SUMIFS(OldHouses!L$2:L$82,OldHouses!$C$2:$C$82,$E160,OldHouses!$G$2:$G$82,$G160,OldHouses!$B$2:$B$82,"PASTI")</f>
        <v>6.0003539701005</v>
      </c>
      <c r="I160" s="39">
        <f>SUMIFS(OldHouses!M$2:M$82,OldHouses!$C$2:$C$82,$E160,OldHouses!$G$2:$G$82,$G160,OldHouses!$B$2:$B$82,"PASTI")</f>
        <v>66.671855453368494</v>
      </c>
      <c r="J160" s="39">
        <f>SUMIFS(OldHouses!N$2:N$82,OldHouses!$C$2:$C$82,$E160,OldHouses!$G$2:$G$82,$G160,OldHouses!$B$2:$B$82,"PASTI")</f>
        <v>7.3555132769246203</v>
      </c>
      <c r="K160" s="39">
        <f>SUMIFS(OldHouses!O$2:O$82,OldHouses!$C$2:$C$82,$E160,OldHouses!$G$2:$G$82,$G160,OldHouses!$B$2:$B$82,"PASTI")</f>
        <v>138.96125654669001</v>
      </c>
      <c r="L160" s="39">
        <f>SUMIFS(OldHouses!P$2:P$82,OldHouses!$C$2:$C$82,$E160,OldHouses!$G$2:$G$82,$G160,OldHouses!$B$2:$B$82,"PASTI")</f>
        <v>30.97728562647</v>
      </c>
      <c r="M160" s="39">
        <f>SUMIFS(OldHouses!Q$2:Q$82,OldHouses!$C$2:$C$82,$E160,OldHouses!$G$2:$G$82,$G160,OldHouses!$B$2:$B$82,"PASTI")</f>
        <v>133.79870394821299</v>
      </c>
      <c r="N160" s="39">
        <f>SUMIFS(OldHouses!R$2:R$82,OldHouses!$C$2:$C$82,$E160,OldHouses!$G$2:$G$82,$G160,OldHouses!$B$2:$B$82,"PASTI")</f>
        <v>18.370262451940199</v>
      </c>
      <c r="O160" s="39">
        <f>SUMIFS(OldHouses!S$2:S$82,OldHouses!$C$2:$C$82,$E160,OldHouses!$G$2:$G$82,$G160,OldHouses!$B$2:$B$82,"PASTI")</f>
        <v>48.9126956748498</v>
      </c>
      <c r="P160" s="39">
        <f>SUMIFS(OldHouses!T$2:T$82,OldHouses!$C$2:$C$82,$E160,OldHouses!$G$2:$G$82,$G160,OldHouses!$B$2:$B$82,"PASTI")</f>
        <v>877.65966127329204</v>
      </c>
      <c r="Q160" s="39">
        <f>SUMIFS(OldHouses!U$2:U$82,OldHouses!$C$2:$C$82,$E160,OldHouses!$G$2:$G$82,$G160,OldHouses!$B$2:$B$82,"PASTI")</f>
        <v>35.051364986333503</v>
      </c>
      <c r="R160" s="39">
        <f>SUMIFS(OldHouses!V$2:V$82,OldHouses!$C$2:$C$82,$E160,OldHouses!$G$2:$G$82,$G160,OldHouses!$B$2:$B$82,"PASTI")</f>
        <v>3.4038512882573002</v>
      </c>
      <c r="S160" s="39">
        <f>SUMIFS(OldHouses!W$2:W$82,OldHouses!$C$2:$C$82,$E160,OldHouses!$G$2:$G$82,$G160,OldHouses!$B$2:$B$82,"PASTI")</f>
        <v>51.228252132600097</v>
      </c>
      <c r="T160" s="39">
        <f>SUMIFS(OldHouses!X$2:X$82,OldHouses!$C$2:$C$82,$E160,OldHouses!$G$2:$G$82,$G160,OldHouses!$B$2:$B$82,"PASTI")</f>
        <v>259.323086525669</v>
      </c>
      <c r="U160" s="39">
        <f>SUMIFS(OldHouses!Y$2:Y$82,OldHouses!$C$2:$C$82,$E160,OldHouses!$G$2:$G$82,$G160,OldHouses!$B$2:$B$82,"PASTI")</f>
        <v>70.933299682835795</v>
      </c>
      <c r="V160" s="39">
        <f>SUMIFS(OldHouses!Z$2:Z$82,OldHouses!$C$2:$C$82,$E160,OldHouses!$G$2:$G$82,$G160,OldHouses!$B$2:$B$82,"PASTI")</f>
        <v>494.32332544640002</v>
      </c>
      <c r="W160" s="39">
        <f>SUMIFS(OldHouses!AA$2:AA$82,OldHouses!$C$2:$C$82,$E160,OldHouses!$G$2:$G$82,$G160,OldHouses!$B$2:$B$82,"PASTI")</f>
        <v>20.099983267595299</v>
      </c>
      <c r="X160" s="39">
        <f>SUMIFS(OldHouses!AB$2:AB$82,OldHouses!$C$2:$C$82,$E160,OldHouses!$G$2:$G$82,$G160,OldHouses!$B$2:$B$82,"PASTI")</f>
        <v>49.058665814604502</v>
      </c>
      <c r="Y160" s="39">
        <f>SUMIFS(OldHouses!AC$2:AC$82,OldHouses!$C$2:$C$82,$E160,OldHouses!$G$2:$G$82,$G160,OldHouses!$B$2:$B$82,"PASTI")</f>
        <v>102.27924651713499</v>
      </c>
      <c r="Z160" s="39">
        <f>SUMIFS(OldHouses!AD$2:AD$82,OldHouses!$C$2:$C$82,$E160,OldHouses!$G$2:$G$82,$G160,OldHouses!$B$2:$B$82,"PASTI")</f>
        <v>4.8232607896706998</v>
      </c>
      <c r="AA160" s="39">
        <f>SUMIFS(OldHouses!AE$2:AE$82,OldHouses!$C$2:$C$82,$E160,OldHouses!$G$2:$G$82,$G160,OldHouses!$B$2:$B$82,"PASTI")</f>
        <v>192.48026509965399</v>
      </c>
      <c r="AB160" s="39">
        <f>SUMIFS(OldHouses!AF$2:AF$82,OldHouses!$C$2:$C$82,$E160,OldHouses!$G$2:$G$82,$G160,OldHouses!$B$2:$B$82,"PASTI")</f>
        <v>4.3298179701044699</v>
      </c>
      <c r="AC160" s="39">
        <f>SUMIFS(OldHouses!AG$2:AG$82,OldHouses!$C$2:$C$82,$E160,OldHouses!$G$2:$G$82,$G160,OldHouses!$B$2:$B$82,"PASTI")</f>
        <v>7.4189384934063698</v>
      </c>
      <c r="AD160" s="39">
        <f>SUMIFS(OldHouses!AH$2:AH$82,OldHouses!$C$2:$C$82,$E160,OldHouses!$G$2:$G$82,$G160,OldHouses!$B$2:$B$82,"PASTI")</f>
        <v>5.8860262122563398</v>
      </c>
      <c r="AE160" s="39">
        <f>SUMIFS(OldHouses!AI$2:AI$82,OldHouses!$C$2:$C$82,$E160,OldHouses!$G$2:$G$82,$G160,OldHouses!$B$2:$B$82,"PASTI")</f>
        <v>4.56285820501793</v>
      </c>
      <c r="AF160" s="39">
        <f>SUMIFS(OldHouses!AJ$2:AJ$82,OldHouses!$C$2:$C$82,$E160,OldHouses!$G$2:$G$82,$G160,OldHouses!$B$2:$B$82,"PASTI")</f>
        <v>2.2282401336415401</v>
      </c>
      <c r="AG160" s="39">
        <f>SUMIFS(OldHouses!AK$2:AK$82,OldHouses!$C$2:$C$82,$E160,OldHouses!$G$2:$G$82,$G160,OldHouses!$B$2:$B$82,"PASTI")</f>
        <v>5.84641235755113</v>
      </c>
      <c r="AH160" s="39">
        <f>SUMIFS(OldHouses!AL$2:AL$82,OldHouses!$C$2:$C$82,$E160,OldHouses!$G$2:$G$82,$G160,OldHouses!$B$2:$B$82,"PASTI")</f>
        <v>7.6274518609788</v>
      </c>
      <c r="AI160" s="39">
        <f>SUMIFS(OldHouses!AM$2:AM$82,OldHouses!$C$2:$C$82,$E160,OldHouses!$G$2:$G$82,$G160,OldHouses!$B$2:$B$82,"PASTI")</f>
        <v>454.270433848317</v>
      </c>
      <c r="AJ160" s="39">
        <f>SUMIFS(OldHouses!AN$2:AN$82,OldHouses!$C$2:$C$82,$E160,OldHouses!$G$2:$G$82,$G160,OldHouses!$B$2:$B$82,"PASTI")</f>
        <v>54.8459118483661</v>
      </c>
      <c r="AK160" s="39">
        <f>SUMIFS(OldHouses!AO$2:AO$82,OldHouses!$C$2:$C$82,$E160,OldHouses!$G$2:$G$82,$G160,OldHouses!$B$2:$B$82,"PASTI")</f>
        <v>168.34018140021601</v>
      </c>
      <c r="AL160" s="39">
        <f>SUMIFS(OldHouses!AP$2:AP$82,OldHouses!$C$2:$C$82,$E160,OldHouses!$G$2:$G$82,$G160,OldHouses!$B$2:$B$82,"PASTI")</f>
        <v>63.284292167878398</v>
      </c>
      <c r="AM160" s="39">
        <f>SUMIFS(OldHouses!AQ$2:AQ$82,OldHouses!$C$2:$C$82,$E160,OldHouses!$G$2:$G$82,$G160,OldHouses!$B$2:$B$82,"PASTI")</f>
        <v>24.708865945016498</v>
      </c>
      <c r="AN160" s="39">
        <f>SUMIFS(OldHouses!AR$2:AR$82,OldHouses!$C$2:$C$82,$E160,OldHouses!$G$2:$G$82,$G160,OldHouses!$B$2:$B$82,"PASTI")</f>
        <v>21.733338041962401</v>
      </c>
      <c r="AO160" s="39">
        <f>SUMIFS(OldHouses!AS$2:AS$82,OldHouses!$C$2:$C$82,$E160,OldHouses!$G$2:$G$82,$G160,OldHouses!$B$2:$B$82,"PASTI")</f>
        <v>50.836815711999698</v>
      </c>
      <c r="AP160" s="39">
        <f>SUMIFS(OldHouses!AT$2:AT$82,OldHouses!$C$2:$C$82,$E160,OldHouses!$G$2:$G$82,$G160,OldHouses!$B$2:$B$82,"PASTI")</f>
        <v>6.4537453221608603</v>
      </c>
      <c r="AQ160" s="39">
        <f>SUMIFS(OldHouses!AU$2:AU$82,OldHouses!$C$2:$C$82,$E160,OldHouses!$G$2:$G$82,$G160,OldHouses!$B$2:$B$82,"PASTI")</f>
        <v>10.051928791420901</v>
      </c>
      <c r="AR160" s="39">
        <f>SUMIFS(OldHouses!AV$2:AV$82,OldHouses!$C$2:$C$82,$E160,OldHouses!$G$2:$G$82,$G160,OldHouses!$B$2:$B$82,"PASTI")</f>
        <v>1055.3868135580899</v>
      </c>
    </row>
    <row r="161" spans="5:44" ht="14.4">
      <c r="E161" s="26" t="s">
        <v>238</v>
      </c>
      <c r="G161" s="26">
        <f>G162</f>
        <v>2004</v>
      </c>
      <c r="H161" s="39">
        <f>SUMIFS(OldHouses!L$2:L$82,OldHouses!$C$2:$C$82,$E161,OldHouses!$G$2:$G$82,$G161,OldHouses!$B$2:$B$82,"PASTI")</f>
        <v>5.4044127146963401</v>
      </c>
      <c r="I161" s="39">
        <f>SUMIFS(OldHouses!M$2:M$82,OldHouses!$C$2:$C$82,$E161,OldHouses!$G$2:$G$82,$G161,OldHouses!$B$2:$B$82,"PASTI")</f>
        <v>58.821699220737997</v>
      </c>
      <c r="J161" s="39">
        <f>SUMIFS(OldHouses!N$2:N$82,OldHouses!$C$2:$C$82,$E161,OldHouses!$G$2:$G$82,$G161,OldHouses!$B$2:$B$82,"PASTI")</f>
        <v>15.4347295427409</v>
      </c>
      <c r="K161" s="39">
        <f>SUMIFS(OldHouses!O$2:O$82,OldHouses!$C$2:$C$82,$E161,OldHouses!$G$2:$G$82,$G161,OldHouses!$B$2:$B$82,"PASTI")</f>
        <v>55.984699156776998</v>
      </c>
      <c r="L161" s="39">
        <f>SUMIFS(OldHouses!P$2:P$82,OldHouses!$C$2:$C$82,$E161,OldHouses!$G$2:$G$82,$G161,OldHouses!$B$2:$B$82,"PASTI")</f>
        <v>88.682046404681799</v>
      </c>
      <c r="M161" s="39">
        <f>SUMIFS(OldHouses!Q$2:Q$82,OldHouses!$C$2:$C$82,$E161,OldHouses!$G$2:$G$82,$G161,OldHouses!$B$2:$B$82,"PASTI")</f>
        <v>48.762096667760296</v>
      </c>
      <c r="N161" s="39">
        <f>SUMIFS(OldHouses!R$2:R$82,OldHouses!$C$2:$C$82,$E161,OldHouses!$G$2:$G$82,$G161,OldHouses!$B$2:$B$82,"PASTI")</f>
        <v>38.675330032484602</v>
      </c>
      <c r="O161" s="39">
        <f>SUMIFS(OldHouses!S$2:S$82,OldHouses!$C$2:$C$82,$E161,OldHouses!$G$2:$G$82,$G161,OldHouses!$B$2:$B$82,"PASTI")</f>
        <v>62.336668628559401</v>
      </c>
      <c r="P161" s="39">
        <f>SUMIFS(OldHouses!T$2:T$82,OldHouses!$C$2:$C$82,$E161,OldHouses!$G$2:$G$82,$G161,OldHouses!$B$2:$B$82,"PASTI")</f>
        <v>461.637086112703</v>
      </c>
      <c r="Q161" s="39">
        <f>SUMIFS(OldHouses!U$2:U$82,OldHouses!$C$2:$C$82,$E161,OldHouses!$G$2:$G$82,$G161,OldHouses!$B$2:$B$82,"PASTI")</f>
        <v>87.078871290688298</v>
      </c>
      <c r="R161" s="39">
        <f>SUMIFS(OldHouses!V$2:V$82,OldHouses!$C$2:$C$82,$E161,OldHouses!$G$2:$G$82,$G161,OldHouses!$B$2:$B$82,"PASTI")</f>
        <v>5.7760409414806704</v>
      </c>
      <c r="S161" s="39">
        <f>SUMIFS(OldHouses!W$2:W$82,OldHouses!$C$2:$C$82,$E161,OldHouses!$G$2:$G$82,$G161,OldHouses!$B$2:$B$82,"PASTI")</f>
        <v>46.140380810310198</v>
      </c>
      <c r="T161" s="39">
        <f>SUMIFS(OldHouses!X$2:X$82,OldHouses!$C$2:$C$82,$E161,OldHouses!$G$2:$G$82,$G161,OldHouses!$B$2:$B$82,"PASTI")</f>
        <v>198.546824564069</v>
      </c>
      <c r="U161" s="39">
        <f>SUMIFS(OldHouses!Y$2:Y$82,OldHouses!$C$2:$C$82,$E161,OldHouses!$G$2:$G$82,$G161,OldHouses!$B$2:$B$82,"PASTI")</f>
        <v>91.666666069515102</v>
      </c>
      <c r="V161" s="39">
        <f>SUMIFS(OldHouses!Z$2:Z$82,OldHouses!$C$2:$C$82,$E161,OldHouses!$G$2:$G$82,$G161,OldHouses!$B$2:$B$82,"PASTI")</f>
        <v>757.48228431523796</v>
      </c>
      <c r="W161" s="39">
        <f>SUMIFS(OldHouses!AA$2:AA$82,OldHouses!$C$2:$C$82,$E161,OldHouses!$G$2:$G$82,$G161,OldHouses!$B$2:$B$82,"PASTI")</f>
        <v>77.010151925427806</v>
      </c>
      <c r="X161" s="39">
        <f>SUMIFS(OldHouses!AB$2:AB$82,OldHouses!$C$2:$C$82,$E161,OldHouses!$G$2:$G$82,$G161,OldHouses!$B$2:$B$82,"PASTI")</f>
        <v>156.67274299196799</v>
      </c>
      <c r="Y161" s="39">
        <f>SUMIFS(OldHouses!AC$2:AC$82,OldHouses!$C$2:$C$82,$E161,OldHouses!$G$2:$G$82,$G161,OldHouses!$B$2:$B$82,"PASTI")</f>
        <v>135.452305413152</v>
      </c>
      <c r="Z161" s="39">
        <f>SUMIFS(OldHouses!AD$2:AD$82,OldHouses!$C$2:$C$82,$E161,OldHouses!$G$2:$G$82,$G161,OldHouses!$B$2:$B$82,"PASTI")</f>
        <v>5.0434977096778697</v>
      </c>
      <c r="AA161" s="39">
        <f>SUMIFS(OldHouses!AE$2:AE$82,OldHouses!$C$2:$C$82,$E161,OldHouses!$G$2:$G$82,$G161,OldHouses!$B$2:$B$82,"PASTI")</f>
        <v>84.687064655640896</v>
      </c>
      <c r="AB161" s="39">
        <f>SUMIFS(OldHouses!AF$2:AF$82,OldHouses!$C$2:$C$82,$E161,OldHouses!$G$2:$G$82,$G161,OldHouses!$B$2:$B$82,"PASTI")</f>
        <v>9.0856432205100592</v>
      </c>
      <c r="AC161" s="39">
        <f>SUMIFS(OldHouses!AG$2:AG$82,OldHouses!$C$2:$C$82,$E161,OldHouses!$G$2:$G$82,$G161,OldHouses!$B$2:$B$82,"PASTI")</f>
        <v>12.857879782292899</v>
      </c>
      <c r="AD161" s="39">
        <f>SUMIFS(OldHouses!AH$2:AH$82,OldHouses!$C$2:$C$82,$E161,OldHouses!$G$2:$G$82,$G161,OldHouses!$B$2:$B$82,"PASTI")</f>
        <v>6.2567927073512504</v>
      </c>
      <c r="AE161" s="39">
        <f>SUMIFS(OldHouses!AI$2:AI$82,OldHouses!$C$2:$C$82,$E161,OldHouses!$G$2:$G$82,$G161,OldHouses!$B$2:$B$82,"PASTI")</f>
        <v>13.255013264649399</v>
      </c>
      <c r="AF161" s="39">
        <f>SUMIFS(OldHouses!AJ$2:AJ$82,OldHouses!$C$2:$C$82,$E161,OldHouses!$G$2:$G$82,$G161,OldHouses!$B$2:$B$82,"PASTI")</f>
        <v>2.9594422823384301</v>
      </c>
      <c r="AG161" s="39">
        <f>SUMIFS(OldHouses!AK$2:AK$82,OldHouses!$C$2:$C$82,$E161,OldHouses!$G$2:$G$82,$G161,OldHouses!$B$2:$B$82,"PASTI")</f>
        <v>16.737160842466501</v>
      </c>
      <c r="AH161" s="39">
        <f>SUMIFS(OldHouses!AL$2:AL$82,OldHouses!$C$2:$C$82,$E161,OldHouses!$G$2:$G$82,$G161,OldHouses!$B$2:$B$82,"PASTI")</f>
        <v>0.22260315556722701</v>
      </c>
      <c r="AI161" s="39">
        <f>SUMIFS(OldHouses!AM$2:AM$82,OldHouses!$C$2:$C$82,$E161,OldHouses!$G$2:$G$82,$G161,OldHouses!$B$2:$B$82,"PASTI")</f>
        <v>44.719465985035598</v>
      </c>
      <c r="AJ161" s="39">
        <f>SUMIFS(OldHouses!AN$2:AN$82,OldHouses!$C$2:$C$82,$E161,OldHouses!$G$2:$G$82,$G161,OldHouses!$B$2:$B$82,"PASTI")</f>
        <v>49.3054003367089</v>
      </c>
      <c r="AK161" s="39">
        <f>SUMIFS(OldHouses!AO$2:AO$82,OldHouses!$C$2:$C$82,$E161,OldHouses!$G$2:$G$82,$G161,OldHouses!$B$2:$B$82,"PASTI")</f>
        <v>558.17775197097706</v>
      </c>
      <c r="AL161" s="39">
        <f>SUMIFS(OldHouses!AP$2:AP$82,OldHouses!$C$2:$C$82,$E161,OldHouses!$G$2:$G$82,$G161,OldHouses!$B$2:$B$82,"PASTI")</f>
        <v>44.519214779684098</v>
      </c>
      <c r="AM161" s="39">
        <f>SUMIFS(OldHouses!AQ$2:AQ$82,OldHouses!$C$2:$C$82,$E161,OldHouses!$G$2:$G$82,$G161,OldHouses!$B$2:$B$82,"PASTI")</f>
        <v>84.564117239625801</v>
      </c>
      <c r="AN161" s="39">
        <f>SUMIFS(OldHouses!AR$2:AR$82,OldHouses!$C$2:$C$82,$E161,OldHouses!$G$2:$G$82,$G161,OldHouses!$B$2:$B$82,"PASTI")</f>
        <v>45.605001596694002</v>
      </c>
      <c r="AO161" s="39">
        <f>SUMIFS(OldHouses!AS$2:AS$82,OldHouses!$C$2:$C$82,$E161,OldHouses!$G$2:$G$82,$G161,OldHouses!$B$2:$B$82,"PASTI")</f>
        <v>29.5638793265278</v>
      </c>
      <c r="AP161" s="39">
        <f>SUMIFS(OldHouses!AT$2:AT$82,OldHouses!$C$2:$C$82,$E161,OldHouses!$G$2:$G$82,$G161,OldHouses!$B$2:$B$82,"PASTI")</f>
        <v>16.9672607812794</v>
      </c>
      <c r="AQ161" s="39">
        <f>SUMIFS(OldHouses!AU$2:AU$82,OldHouses!$C$2:$C$82,$E161,OldHouses!$G$2:$G$82,$G161,OldHouses!$B$2:$B$82,"PASTI")</f>
        <v>41.740025513100697</v>
      </c>
      <c r="AR161" s="39">
        <f>SUMIFS(OldHouses!AV$2:AV$82,OldHouses!$C$2:$C$82,$E161,OldHouses!$G$2:$G$82,$G161,OldHouses!$B$2:$B$82,"PASTI")</f>
        <v>251.389929404219</v>
      </c>
    </row>
    <row r="162" spans="5:44" ht="14.4">
      <c r="E162" s="26" t="s">
        <v>56</v>
      </c>
      <c r="G162" s="26">
        <v>2004</v>
      </c>
      <c r="H162" s="39">
        <f>SUMIFS(OldHouses!L$2:L$82,OldHouses!$C$2:$C$82,$E162,OldHouses!$G$2:$G$82,$G162,OldHouses!$B$2:$B$82,"PASTI")</f>
        <v>12.450959496343801</v>
      </c>
      <c r="I162" s="39">
        <f>SUMIFS(OldHouses!M$2:M$82,OldHouses!$C$2:$C$82,$E162,OldHouses!$G$2:$G$82,$G162,OldHouses!$B$2:$B$82,"PASTI")</f>
        <v>85.071779170236496</v>
      </c>
      <c r="J162" s="39">
        <f>SUMIFS(OldHouses!N$2:N$82,OldHouses!$C$2:$C$82,$E162,OldHouses!$G$2:$G$82,$G162,OldHouses!$B$2:$B$82,"PASTI")</f>
        <v>18.761479591122999</v>
      </c>
      <c r="K162" s="39">
        <f>SUMIFS(OldHouses!O$2:O$82,OldHouses!$C$2:$C$82,$E162,OldHouses!$G$2:$G$82,$G162,OldHouses!$B$2:$B$82,"PASTI")</f>
        <v>53.341872242404499</v>
      </c>
      <c r="L162" s="39">
        <f>SUMIFS(OldHouses!P$2:P$82,OldHouses!$C$2:$C$82,$E162,OldHouses!$G$2:$G$82,$G162,OldHouses!$B$2:$B$82,"PASTI")</f>
        <v>111.708066487472</v>
      </c>
      <c r="M162" s="39">
        <f>SUMIFS(OldHouses!Q$2:Q$82,OldHouses!$C$2:$C$82,$E162,OldHouses!$G$2:$G$82,$G162,OldHouses!$B$2:$B$82,"PASTI")</f>
        <v>95.506886168916395</v>
      </c>
      <c r="N162" s="39">
        <f>SUMIFS(OldHouses!R$2:R$82,OldHouses!$C$2:$C$82,$E162,OldHouses!$G$2:$G$82,$G162,OldHouses!$B$2:$B$82,"PASTI")</f>
        <v>30.524905636324899</v>
      </c>
      <c r="O162" s="39">
        <f>SUMIFS(OldHouses!S$2:S$82,OldHouses!$C$2:$C$82,$E162,OldHouses!$G$2:$G$82,$G162,OldHouses!$B$2:$B$82,"PASTI")</f>
        <v>134.015077073241</v>
      </c>
      <c r="P162" s="39">
        <f>SUMIFS(OldHouses!T$2:T$82,OldHouses!$C$2:$C$82,$E162,OldHouses!$G$2:$G$82,$G162,OldHouses!$B$2:$B$82,"PASTI")</f>
        <v>1104.7493275398199</v>
      </c>
      <c r="Q162" s="39">
        <f>SUMIFS(OldHouses!U$2:U$82,OldHouses!$C$2:$C$82,$E162,OldHouses!$G$2:$G$82,$G162,OldHouses!$B$2:$B$82,"PASTI")</f>
        <v>93.128841484552794</v>
      </c>
      <c r="R162" s="39">
        <f>SUMIFS(OldHouses!V$2:V$82,OldHouses!$C$2:$C$82,$E162,OldHouses!$G$2:$G$82,$G162,OldHouses!$B$2:$B$82,"PASTI")</f>
        <v>25.2494444808022</v>
      </c>
      <c r="S162" s="39">
        <f>SUMIFS(OldHouses!W$2:W$82,OldHouses!$C$2:$C$82,$E162,OldHouses!$G$2:$G$82,$G162,OldHouses!$B$2:$B$82,"PASTI")</f>
        <v>106.300544192864</v>
      </c>
      <c r="T162" s="39">
        <f>SUMIFS(OldHouses!X$2:X$82,OldHouses!$C$2:$C$82,$E162,OldHouses!$G$2:$G$82,$G162,OldHouses!$B$2:$B$82,"PASTI")</f>
        <v>1516.7970061374899</v>
      </c>
      <c r="U162" s="39">
        <f>SUMIFS(OldHouses!Y$2:Y$82,OldHouses!$C$2:$C$82,$E162,OldHouses!$G$2:$G$82,$G162,OldHouses!$B$2:$B$82,"PASTI")</f>
        <v>128.24101552307101</v>
      </c>
      <c r="V162" s="39">
        <f>SUMIFS(OldHouses!Z$2:Z$82,OldHouses!$C$2:$C$82,$E162,OldHouses!$G$2:$G$82,$G162,OldHouses!$B$2:$B$82,"PASTI")</f>
        <v>1105.80573646687</v>
      </c>
      <c r="W162" s="39">
        <f>SUMIFS(OldHouses!AA$2:AA$82,OldHouses!$C$2:$C$82,$E162,OldHouses!$G$2:$G$82,$G162,OldHouses!$B$2:$B$82,"PASTI")</f>
        <v>61.142930880915202</v>
      </c>
      <c r="X162" s="39">
        <f>SUMIFS(OldHouses!AB$2:AB$82,OldHouses!$C$2:$C$82,$E162,OldHouses!$G$2:$G$82,$G162,OldHouses!$B$2:$B$82,"PASTI")</f>
        <v>134.052689876805</v>
      </c>
      <c r="Y162" s="39">
        <f>SUMIFS(OldHouses!AC$2:AC$82,OldHouses!$C$2:$C$82,$E162,OldHouses!$G$2:$G$82,$G162,OldHouses!$B$2:$B$82,"PASTI")</f>
        <v>43.100381511185901</v>
      </c>
      <c r="Z162" s="39">
        <f>SUMIFS(OldHouses!AD$2:AD$82,OldHouses!$C$2:$C$82,$E162,OldHouses!$G$2:$G$82,$G162,OldHouses!$B$2:$B$82,"PASTI")</f>
        <v>7.7722031421488502</v>
      </c>
      <c r="AA162" s="39">
        <f>SUMIFS(OldHouses!AE$2:AE$82,OldHouses!$C$2:$C$82,$E162,OldHouses!$G$2:$G$82,$G162,OldHouses!$B$2:$B$82,"PASTI")</f>
        <v>683.64900643531598</v>
      </c>
      <c r="AB162" s="39">
        <f>SUMIFS(OldHouses!AF$2:AF$82,OldHouses!$C$2:$C$82,$E162,OldHouses!$G$2:$G$82,$G162,OldHouses!$B$2:$B$82,"PASTI")</f>
        <v>11.043932411111999</v>
      </c>
      <c r="AC162" s="39">
        <f>SUMIFS(OldHouses!AG$2:AG$82,OldHouses!$C$2:$C$82,$E162,OldHouses!$G$2:$G$82,$G162,OldHouses!$B$2:$B$82,"PASTI")</f>
        <v>35.794391722735099</v>
      </c>
      <c r="AD162" s="39">
        <f>SUMIFS(OldHouses!AH$2:AH$82,OldHouses!$C$2:$C$82,$E162,OldHouses!$G$2:$G$82,$G162,OldHouses!$B$2:$B$82,"PASTI")</f>
        <v>8.1332575531914895</v>
      </c>
      <c r="AE162" s="39">
        <f>SUMIFS(OldHouses!AI$2:AI$82,OldHouses!$C$2:$C$82,$E162,OldHouses!$G$2:$G$82,$G162,OldHouses!$B$2:$B$82,"PASTI")</f>
        <v>41.431442375834997</v>
      </c>
      <c r="AF162" s="39">
        <f>SUMIFS(OldHouses!AJ$2:AJ$82,OldHouses!$C$2:$C$82,$E162,OldHouses!$G$2:$G$82,$G162,OldHouses!$B$2:$B$82,"PASTI")</f>
        <v>6.8181128892991296</v>
      </c>
      <c r="AG162" s="39">
        <f>SUMIFS(OldHouses!AK$2:AK$82,OldHouses!$C$2:$C$82,$E162,OldHouses!$G$2:$G$82,$G162,OldHouses!$B$2:$B$82,"PASTI")</f>
        <v>23.125441235978901</v>
      </c>
      <c r="AH162" s="39">
        <f>SUMIFS(OldHouses!AL$2:AL$82,OldHouses!$C$2:$C$82,$E162,OldHouses!$G$2:$G$82,$G162,OldHouses!$B$2:$B$82,"PASTI")</f>
        <v>1.0191144994402299</v>
      </c>
      <c r="AI162" s="39">
        <f>SUMIFS(OldHouses!AM$2:AM$82,OldHouses!$C$2:$C$82,$E162,OldHouses!$G$2:$G$82,$G162,OldHouses!$B$2:$B$82,"PASTI")</f>
        <v>121.59152932741701</v>
      </c>
      <c r="AJ162" s="39">
        <f>SUMIFS(OldHouses!AN$2:AN$82,OldHouses!$C$2:$C$82,$E162,OldHouses!$G$2:$G$82,$G162,OldHouses!$B$2:$B$82,"PASTI")</f>
        <v>122.479863247509</v>
      </c>
      <c r="AK162" s="39">
        <f>SUMIFS(OldHouses!AO$2:AO$82,OldHouses!$C$2:$C$82,$E162,OldHouses!$G$2:$G$82,$G162,OldHouses!$B$2:$B$82,"PASTI")</f>
        <v>1130.5252241933699</v>
      </c>
      <c r="AL162" s="39">
        <f>SUMIFS(OldHouses!AP$2:AP$82,OldHouses!$C$2:$C$82,$E162,OldHouses!$G$2:$G$82,$G162,OldHouses!$B$2:$B$82,"PASTI")</f>
        <v>55.911535768091198</v>
      </c>
      <c r="AM162" s="39">
        <f>SUMIFS(OldHouses!AQ$2:AQ$82,OldHouses!$C$2:$C$82,$E162,OldHouses!$G$2:$G$82,$G162,OldHouses!$B$2:$B$82,"PASTI")</f>
        <v>82.450597729682499</v>
      </c>
      <c r="AN162" s="39">
        <f>SUMIFS(OldHouses!AR$2:AR$82,OldHouses!$C$2:$C$82,$E162,OldHouses!$G$2:$G$82,$G162,OldHouses!$B$2:$B$82,"PASTI")</f>
        <v>55.434551304587799</v>
      </c>
      <c r="AO162" s="39">
        <f>SUMIFS(OldHouses!AS$2:AS$82,OldHouses!$C$2:$C$82,$E162,OldHouses!$G$2:$G$82,$G162,OldHouses!$B$2:$B$82,"PASTI")</f>
        <v>60.866387059806897</v>
      </c>
      <c r="AP162" s="39">
        <f>SUMIFS(OldHouses!AT$2:AT$82,OldHouses!$C$2:$C$82,$E162,OldHouses!$G$2:$G$82,$G162,OldHouses!$B$2:$B$82,"PASTI")</f>
        <v>40.135465980196997</v>
      </c>
      <c r="AQ162" s="39">
        <f>SUMIFS(OldHouses!AU$2:AU$82,OldHouses!$C$2:$C$82,$E162,OldHouses!$G$2:$G$82,$G162,OldHouses!$B$2:$B$82,"PASTI")</f>
        <v>56.1392904474787</v>
      </c>
      <c r="AR162" s="39">
        <f>SUMIFS(OldHouses!AV$2:AV$82,OldHouses!$C$2:$C$82,$E162,OldHouses!$G$2:$G$82,$G162,OldHouses!$B$2:$B$82,"PASTI")</f>
        <v>259.12425813836097</v>
      </c>
    </row>
    <row r="163" spans="5:44" ht="14.4">
      <c r="E163" s="26" t="s">
        <v>61</v>
      </c>
      <c r="G163" s="26">
        <f>G161</f>
        <v>2004</v>
      </c>
      <c r="H163" s="39">
        <f>SUMIFS(OldHouses!L$2:L$82,OldHouses!$C$2:$C$82,$E163,OldHouses!$G$2:$G$82,$G163,OldHouses!$B$2:$B$82,"PASTI")</f>
        <v>3.0557660676554099</v>
      </c>
      <c r="I163" s="39">
        <f>SUMIFS(OldHouses!M$2:M$82,OldHouses!$C$2:$C$82,$E163,OldHouses!$G$2:$G$82,$G163,OldHouses!$B$2:$B$82,"PASTI")</f>
        <v>27.258836224244401</v>
      </c>
      <c r="J163" s="39">
        <f>SUMIFS(OldHouses!N$2:N$82,OldHouses!$C$2:$C$82,$E163,OldHouses!$G$2:$G$82,$G163,OldHouses!$B$2:$B$82,"PASTI")</f>
        <v>5.5237302644398101</v>
      </c>
      <c r="K163" s="39">
        <f>SUMIFS(OldHouses!O$2:O$82,OldHouses!$C$2:$C$82,$E163,OldHouses!$G$2:$G$82,$G163,OldHouses!$B$2:$B$82,"PASTI")</f>
        <v>93.408433364002505</v>
      </c>
      <c r="L163" s="39">
        <f>SUMIFS(OldHouses!P$2:P$82,OldHouses!$C$2:$C$82,$E163,OldHouses!$G$2:$G$82,$G163,OldHouses!$B$2:$B$82,"PASTI")</f>
        <v>48.1967643503706</v>
      </c>
      <c r="M163" s="39">
        <f>SUMIFS(OldHouses!Q$2:Q$82,OldHouses!$C$2:$C$82,$E163,OldHouses!$G$2:$G$82,$G163,OldHouses!$B$2:$B$82,"PASTI")</f>
        <v>54.703696681899103</v>
      </c>
      <c r="N163" s="39">
        <f>SUMIFS(OldHouses!R$2:R$82,OldHouses!$C$2:$C$82,$E163,OldHouses!$G$2:$G$82,$G163,OldHouses!$B$2:$B$82,"PASTI")</f>
        <v>39.498209394877797</v>
      </c>
      <c r="O163" s="39">
        <f>SUMIFS(OldHouses!S$2:S$82,OldHouses!$C$2:$C$82,$E163,OldHouses!$G$2:$G$82,$G163,OldHouses!$B$2:$B$82,"PASTI")</f>
        <v>36.949557614508997</v>
      </c>
      <c r="P163" s="39">
        <f>SUMIFS(OldHouses!T$2:T$82,OldHouses!$C$2:$C$82,$E163,OldHouses!$G$2:$G$82,$G163,OldHouses!$B$2:$B$82,"PASTI")</f>
        <v>482.620590026917</v>
      </c>
      <c r="Q163" s="39">
        <f>SUMIFS(OldHouses!U$2:U$82,OldHouses!$C$2:$C$82,$E163,OldHouses!$G$2:$G$82,$G163,OldHouses!$B$2:$B$82,"PASTI")</f>
        <v>46.360730074201797</v>
      </c>
      <c r="R163" s="39">
        <f>SUMIFS(OldHouses!V$2:V$82,OldHouses!$C$2:$C$82,$E163,OldHouses!$G$2:$G$82,$G163,OldHouses!$B$2:$B$82,"PASTI")</f>
        <v>2.67965657771712</v>
      </c>
      <c r="S163" s="39">
        <f>SUMIFS(OldHouses!W$2:W$82,OldHouses!$C$2:$C$82,$E163,OldHouses!$G$2:$G$82,$G163,OldHouses!$B$2:$B$82,"PASTI")</f>
        <v>26.088719990876299</v>
      </c>
      <c r="T163" s="39">
        <f>SUMIFS(OldHouses!X$2:X$82,OldHouses!$C$2:$C$82,$E163,OldHouses!$G$2:$G$82,$G163,OldHouses!$B$2:$B$82,"PASTI")</f>
        <v>440.16079122107999</v>
      </c>
      <c r="U163" s="39">
        <f>SUMIFS(OldHouses!Y$2:Y$82,OldHouses!$C$2:$C$82,$E163,OldHouses!$G$2:$G$82,$G163,OldHouses!$B$2:$B$82,"PASTI")</f>
        <v>69.284074407414195</v>
      </c>
      <c r="V163" s="39">
        <f>SUMIFS(OldHouses!Z$2:Z$82,OldHouses!$C$2:$C$82,$E163,OldHouses!$G$2:$G$82,$G163,OldHouses!$B$2:$B$82,"PASTI")</f>
        <v>673.50800392735005</v>
      </c>
      <c r="W163" s="39">
        <f>SUMIFS(OldHouses!AA$2:AA$82,OldHouses!$C$2:$C$82,$E163,OldHouses!$G$2:$G$82,$G163,OldHouses!$B$2:$B$82,"PASTI")</f>
        <v>27.560139987010999</v>
      </c>
      <c r="X163" s="39">
        <f>SUMIFS(OldHouses!AB$2:AB$82,OldHouses!$C$2:$C$82,$E163,OldHouses!$G$2:$G$82,$G163,OldHouses!$B$2:$B$82,"PASTI")</f>
        <v>57.863485674655003</v>
      </c>
      <c r="Y163" s="39">
        <f>SUMIFS(OldHouses!AC$2:AC$82,OldHouses!$C$2:$C$82,$E163,OldHouses!$G$2:$G$82,$G163,OldHouses!$B$2:$B$82,"PASTI")</f>
        <v>203.74266287670201</v>
      </c>
      <c r="Z163" s="39">
        <f>SUMIFS(OldHouses!AD$2:AD$82,OldHouses!$C$2:$C$82,$E163,OldHouses!$G$2:$G$82,$G163,OldHouses!$B$2:$B$82,"PASTI")</f>
        <v>4.7111182044555404</v>
      </c>
      <c r="AA163" s="39">
        <f>SUMIFS(OldHouses!AE$2:AE$82,OldHouses!$C$2:$C$82,$E163,OldHouses!$G$2:$G$82,$G163,OldHouses!$B$2:$B$82,"PASTI")</f>
        <v>150.608245665998</v>
      </c>
      <c r="AB163" s="39">
        <f>SUMIFS(OldHouses!AF$2:AF$82,OldHouses!$C$2:$C$82,$E163,OldHouses!$G$2:$G$82,$G163,OldHouses!$B$2:$B$82,"PASTI")</f>
        <v>3.2515401251482898</v>
      </c>
      <c r="AC163" s="39">
        <f>SUMIFS(OldHouses!AG$2:AG$82,OldHouses!$C$2:$C$82,$E163,OldHouses!$G$2:$G$82,$G163,OldHouses!$B$2:$B$82,"PASTI")</f>
        <v>6.50199602627311</v>
      </c>
      <c r="AD163" s="39">
        <f>SUMIFS(OldHouses!AH$2:AH$82,OldHouses!$C$2:$C$82,$E163,OldHouses!$G$2:$G$82,$G163,OldHouses!$B$2:$B$82,"PASTI")</f>
        <v>8.0960147394572495</v>
      </c>
      <c r="AE163" s="39">
        <f>SUMIFS(OldHouses!AI$2:AI$82,OldHouses!$C$2:$C$82,$E163,OldHouses!$G$2:$G$82,$G163,OldHouses!$B$2:$B$82,"PASTI")</f>
        <v>5.2936688195297998</v>
      </c>
      <c r="AF163" s="39">
        <f>SUMIFS(OldHouses!AJ$2:AJ$82,OldHouses!$C$2:$C$82,$E163,OldHouses!$G$2:$G$82,$G163,OldHouses!$B$2:$B$82,"PASTI")</f>
        <v>1.6733295147801399</v>
      </c>
      <c r="AG163" s="39">
        <f>SUMIFS(OldHouses!AK$2:AK$82,OldHouses!$C$2:$C$82,$E163,OldHouses!$G$2:$G$82,$G163,OldHouses!$B$2:$B$82,"PASTI")</f>
        <v>9.0962830665579002</v>
      </c>
      <c r="AH163" s="39">
        <f>SUMIFS(OldHouses!AL$2:AL$82,OldHouses!$C$2:$C$82,$E163,OldHouses!$G$2:$G$82,$G163,OldHouses!$B$2:$B$82,"PASTI")</f>
        <v>2.8443736544701301</v>
      </c>
      <c r="AI163" s="39">
        <f>SUMIFS(OldHouses!AM$2:AM$82,OldHouses!$C$2:$C$82,$E163,OldHouses!$G$2:$G$82,$G163,OldHouses!$B$2:$B$82,"PASTI")</f>
        <v>236.15742685307401</v>
      </c>
      <c r="AJ163" s="39">
        <f>SUMIFS(OldHouses!AN$2:AN$82,OldHouses!$C$2:$C$82,$E163,OldHouses!$G$2:$G$82,$G163,OldHouses!$B$2:$B$82,"PASTI")</f>
        <v>38.725452406138402</v>
      </c>
      <c r="AK163" s="39">
        <f>SUMIFS(OldHouses!AO$2:AO$82,OldHouses!$C$2:$C$82,$E163,OldHouses!$G$2:$G$82,$G163,OldHouses!$B$2:$B$82,"PASTI")</f>
        <v>209.45934046354699</v>
      </c>
      <c r="AL163" s="39">
        <f>SUMIFS(OldHouses!AP$2:AP$82,OldHouses!$C$2:$C$82,$E163,OldHouses!$G$2:$G$82,$G163,OldHouses!$B$2:$B$82,"PASTI")</f>
        <v>35.9388488769494</v>
      </c>
      <c r="AM163" s="39">
        <f>SUMIFS(OldHouses!AQ$2:AQ$82,OldHouses!$C$2:$C$82,$E163,OldHouses!$G$2:$G$82,$G163,OldHouses!$B$2:$B$82,"PASTI")</f>
        <v>24.285975818818201</v>
      </c>
      <c r="AN163" s="39">
        <f>SUMIFS(OldHouses!AR$2:AR$82,OldHouses!$C$2:$C$82,$E163,OldHouses!$G$2:$G$82,$G163,OldHouses!$B$2:$B$82,"PASTI")</f>
        <v>16.320968037172999</v>
      </c>
      <c r="AO163" s="39">
        <f>SUMIFS(OldHouses!AS$2:AS$82,OldHouses!$C$2:$C$82,$E163,OldHouses!$G$2:$G$82,$G163,OldHouses!$B$2:$B$82,"PASTI")</f>
        <v>14.1830666136653</v>
      </c>
      <c r="AP163" s="39">
        <f>SUMIFS(OldHouses!AT$2:AT$82,OldHouses!$C$2:$C$82,$E163,OldHouses!$G$2:$G$82,$G163,OldHouses!$B$2:$B$82,"PASTI")</f>
        <v>5.6430154099900802</v>
      </c>
      <c r="AQ163" s="39">
        <f>SUMIFS(OldHouses!AU$2:AU$82,OldHouses!$C$2:$C$82,$E163,OldHouses!$G$2:$G$82,$G163,OldHouses!$B$2:$B$82,"PASTI")</f>
        <v>12.421630839069101</v>
      </c>
      <c r="AR163" s="39">
        <f>SUMIFS(OldHouses!AV$2:AV$82,OldHouses!$C$2:$C$82,$E163,OldHouses!$G$2:$G$82,$G163,OldHouses!$B$2:$B$82,"PASTI")</f>
        <v>872.76482813033897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7"/>
  <sheetViews>
    <sheetView workbookViewId="0" topLeftCell="A1">
      <selection pane="topLeft" activeCell="B13" sqref="B13"/>
    </sheetView>
  </sheetViews>
  <sheetFormatPr defaultRowHeight="14.4"/>
  <cols>
    <col min="3" max="3" width="15.4285714285714" bestFit="1" customWidth="1"/>
  </cols>
  <sheetData>
    <row r="1" spans="1:49" ht="14.4">
      <c r="A1" t="s">
        <v>242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54</v>
      </c>
    </row>
    <row r="2" spans="1:49" ht="14.4">
      <c r="A2" t="s">
        <v>49</v>
      </c>
      <c r="B2" t="s">
        <v>11</v>
      </c>
      <c r="C2" t="s">
        <v>107</v>
      </c>
      <c r="D2" t="s">
        <v>52</v>
      </c>
      <c r="E2" t="s">
        <v>52</v>
      </c>
      <c r="F2" t="s">
        <v>52</v>
      </c>
      <c r="G2" t="s">
        <v>255</v>
      </c>
      <c r="H2" t="s">
        <v>52</v>
      </c>
      <c r="I2" t="s">
        <v>52</v>
      </c>
      <c r="J2" t="s">
        <v>52</v>
      </c>
      <c r="K2" t="s">
        <v>52</v>
      </c>
      <c r="L2">
        <v>0.67999037669225504</v>
      </c>
      <c r="M2">
        <v>36.346693561999999</v>
      </c>
      <c r="N2">
        <v>0.78448403105061804</v>
      </c>
      <c r="O2">
        <v>12.595735535132</v>
      </c>
      <c r="P2">
        <v>1.2</v>
      </c>
      <c r="Q2">
        <v>42.3730166339557</v>
      </c>
      <c r="R2">
        <v>3.16710232112084</v>
      </c>
      <c r="S2">
        <v>1.4790000000000001</v>
      </c>
      <c r="T2">
        <v>284.60000000000002</v>
      </c>
      <c r="U2">
        <v>5.3209999999999997</v>
      </c>
      <c r="V2">
        <v>0.57199999999999995</v>
      </c>
      <c r="W2">
        <v>26.056999999999999</v>
      </c>
      <c r="X2">
        <v>36.218000000000004</v>
      </c>
      <c r="Y2">
        <v>5.9859999999999998</v>
      </c>
      <c r="Z2">
        <v>64.119</v>
      </c>
      <c r="AA2">
        <v>8.7780000000000005</v>
      </c>
      <c r="AB2">
        <v>28.463000000000001</v>
      </c>
      <c r="AC2">
        <v>6.5120185421563903</v>
      </c>
      <c r="AD2">
        <v>0.32715699906268397</v>
      </c>
      <c r="AE2">
        <v>41.389000000000003</v>
      </c>
      <c r="AF2">
        <v>0.42918684277574598</v>
      </c>
      <c r="AG2">
        <v>2.2448778741442599</v>
      </c>
      <c r="AH2">
        <v>1.33725175289155</v>
      </c>
      <c r="AI2">
        <v>1.431</v>
      </c>
      <c r="AJ2">
        <v>0.0063291182578825598</v>
      </c>
      <c r="AK2">
        <v>0.83488341838213598</v>
      </c>
      <c r="AL2">
        <v>0.72452379154769397</v>
      </c>
      <c r="AM2">
        <v>13.352</v>
      </c>
      <c r="AN2">
        <v>4.5773725610572402</v>
      </c>
      <c r="AO2">
        <v>42.692999999999998</v>
      </c>
      <c r="AP2">
        <v>6.4496276002986201</v>
      </c>
      <c r="AQ2">
        <v>5.1699999999999999</v>
      </c>
      <c r="AR2">
        <v>2.89443642160971</v>
      </c>
      <c r="AS2">
        <v>6.4580000000000002</v>
      </c>
      <c r="AT2">
        <v>3.0049999999999999</v>
      </c>
      <c r="AU2">
        <v>5.6050000000000004</v>
      </c>
      <c r="AV2">
        <v>67.399000000000001</v>
      </c>
      <c r="AW2" t="s">
        <v>52</v>
      </c>
    </row>
    <row r="3" spans="1:49" ht="14.4">
      <c r="A3" t="s">
        <v>49</v>
      </c>
      <c r="B3" t="s">
        <v>11</v>
      </c>
      <c r="C3" t="s">
        <v>108</v>
      </c>
      <c r="D3" t="s">
        <v>52</v>
      </c>
      <c r="E3" t="s">
        <v>52</v>
      </c>
      <c r="F3" t="s">
        <v>52</v>
      </c>
      <c r="G3" t="s">
        <v>255</v>
      </c>
      <c r="H3" t="s">
        <v>52</v>
      </c>
      <c r="I3" t="s">
        <v>52</v>
      </c>
      <c r="J3" t="s">
        <v>52</v>
      </c>
      <c r="K3" t="s">
        <v>52</v>
      </c>
      <c r="L3">
        <v>0.27767905741145998</v>
      </c>
      <c r="M3">
        <v>4.5699690520000003</v>
      </c>
      <c r="N3">
        <v>0.67945643596713601</v>
      </c>
      <c r="O3">
        <v>25.700716050977402</v>
      </c>
      <c r="P3">
        <v>4.04</v>
      </c>
      <c r="Q3">
        <v>5.6389075288589501</v>
      </c>
      <c r="R3">
        <v>0.25635961929860701</v>
      </c>
      <c r="S3">
        <v>5.1420000000000003</v>
      </c>
      <c r="T3">
        <v>64.373999999999995</v>
      </c>
      <c r="U3">
        <v>3.6669999999999998</v>
      </c>
      <c r="V3">
        <v>0.53800000000000003</v>
      </c>
      <c r="W3">
        <v>1.96</v>
      </c>
      <c r="X3">
        <v>19.056000000000001</v>
      </c>
      <c r="Y3">
        <v>8.4260000000000002</v>
      </c>
      <c r="Z3">
        <v>116.864</v>
      </c>
      <c r="AA3">
        <v>3.1499999999999999</v>
      </c>
      <c r="AB3">
        <v>11.236000000000001</v>
      </c>
      <c r="AC3">
        <v>2.7957309775145802</v>
      </c>
      <c r="AD3">
        <v>1.07449424174065</v>
      </c>
      <c r="AE3">
        <v>31.038419999999999</v>
      </c>
      <c r="AF3">
        <v>0.22316241534447101</v>
      </c>
      <c r="AG3">
        <v>2.7927300000000002</v>
      </c>
      <c r="AH3">
        <v>1.1946464798554399</v>
      </c>
      <c r="AI3">
        <v>1.3280000000000001</v>
      </c>
      <c r="AJ3">
        <v>0.0029917815178845402</v>
      </c>
      <c r="AK3">
        <v>0.49677715694226598</v>
      </c>
      <c r="AL3">
        <v>0.047529948008047697</v>
      </c>
      <c r="AM3">
        <v>5.4160000000000004</v>
      </c>
      <c r="AN3">
        <v>11.7506514777929</v>
      </c>
      <c r="AO3">
        <v>10.247999999999999</v>
      </c>
      <c r="AP3">
        <v>3.42007133570758</v>
      </c>
      <c r="AQ3">
        <v>9.25</v>
      </c>
      <c r="AR3">
        <v>2.0523982694370502</v>
      </c>
      <c r="AS3">
        <v>19.146999999999998</v>
      </c>
      <c r="AT3">
        <v>1.2430000000000001</v>
      </c>
      <c r="AU3">
        <v>6.7300000000000004</v>
      </c>
      <c r="AV3">
        <v>23.268000000000001</v>
      </c>
      <c r="AW3" t="s">
        <v>52</v>
      </c>
    </row>
    <row r="4" spans="1:49" ht="14.4">
      <c r="A4" t="s">
        <v>49</v>
      </c>
      <c r="B4" t="s">
        <v>11</v>
      </c>
      <c r="C4" t="s">
        <v>109</v>
      </c>
      <c r="D4" t="s">
        <v>52</v>
      </c>
      <c r="E4" t="s">
        <v>52</v>
      </c>
      <c r="F4" t="s">
        <v>52</v>
      </c>
      <c r="G4" t="s">
        <v>255</v>
      </c>
      <c r="H4" t="s">
        <v>52</v>
      </c>
      <c r="I4" t="s">
        <v>52</v>
      </c>
      <c r="J4" t="s">
        <v>52</v>
      </c>
      <c r="K4" t="s">
        <v>52</v>
      </c>
      <c r="L4">
        <v>2.07005385961221</v>
      </c>
      <c r="M4">
        <v>50.124227542</v>
      </c>
      <c r="N4">
        <v>5.0876389394866397</v>
      </c>
      <c r="O4">
        <v>86.946263185174104</v>
      </c>
      <c r="P4">
        <v>37.700000000000003</v>
      </c>
      <c r="Q4">
        <v>61.966292641333197</v>
      </c>
      <c r="R4">
        <v>9.1045149099354603</v>
      </c>
      <c r="S4">
        <v>48.024999999999999</v>
      </c>
      <c r="T4">
        <v>554.86356255199996</v>
      </c>
      <c r="U4">
        <v>73.372</v>
      </c>
      <c r="V4">
        <v>3.9140000000000001</v>
      </c>
      <c r="W4">
        <v>69.816000000000003</v>
      </c>
      <c r="X4">
        <v>138.11199999999999</v>
      </c>
      <c r="Y4">
        <v>28.100000000000001</v>
      </c>
      <c r="Z4">
        <v>394.47199999999998</v>
      </c>
      <c r="AA4">
        <v>11.619999999999999</v>
      </c>
      <c r="AB4">
        <v>21.007999999999999</v>
      </c>
      <c r="AC4">
        <v>27.684686877083799</v>
      </c>
      <c r="AD4">
        <v>5.05297667614576</v>
      </c>
      <c r="AE4">
        <v>129.92919599999999</v>
      </c>
      <c r="AF4">
        <v>1.7091305172881801</v>
      </c>
      <c r="AG4">
        <v>19.599046999999999</v>
      </c>
      <c r="AH4">
        <v>6.9747372210001704</v>
      </c>
      <c r="AI4">
        <v>8.5570000000000004</v>
      </c>
      <c r="AJ4">
        <v>0.0207125362023617</v>
      </c>
      <c r="AK4">
        <v>3.6710913251058801</v>
      </c>
      <c r="AL4">
        <v>1.4940635229466901</v>
      </c>
      <c r="AM4">
        <v>51.409999999999997</v>
      </c>
      <c r="AN4">
        <v>43.4501236561415</v>
      </c>
      <c r="AO4">
        <v>190.14699999999999</v>
      </c>
      <c r="AP4">
        <v>24.921273905849901</v>
      </c>
      <c r="AQ4">
        <v>25.244</v>
      </c>
      <c r="AR4">
        <v>15.433749636472101</v>
      </c>
      <c r="AS4">
        <v>83.274000000000001</v>
      </c>
      <c r="AT4">
        <v>10.907999999999999</v>
      </c>
      <c r="AU4">
        <v>20.609999999999999</v>
      </c>
      <c r="AV4">
        <v>229.84</v>
      </c>
      <c r="AW4" t="s">
        <v>52</v>
      </c>
    </row>
    <row r="5" spans="1:49" ht="14.4">
      <c r="A5" t="s">
        <v>49</v>
      </c>
      <c r="B5" t="s">
        <v>11</v>
      </c>
      <c r="C5" t="s">
        <v>110</v>
      </c>
      <c r="D5" t="s">
        <v>52</v>
      </c>
      <c r="E5" t="s">
        <v>52</v>
      </c>
      <c r="F5" t="s">
        <v>52</v>
      </c>
      <c r="G5" t="s">
        <v>255</v>
      </c>
      <c r="H5" t="s">
        <v>52</v>
      </c>
      <c r="I5" t="s">
        <v>52</v>
      </c>
      <c r="J5" t="s">
        <v>52</v>
      </c>
      <c r="K5" t="s">
        <v>52</v>
      </c>
      <c r="L5">
        <v>0.53191942157110605</v>
      </c>
      <c r="M5">
        <v>8.4983246621501305</v>
      </c>
      <c r="N5">
        <v>1.3384770096107801</v>
      </c>
      <c r="O5">
        <v>23.285750394380798</v>
      </c>
      <c r="P5">
        <v>7.0763682607854399</v>
      </c>
      <c r="Q5">
        <v>10.524958381880399</v>
      </c>
      <c r="R5">
        <v>1.72027454550543</v>
      </c>
      <c r="S5">
        <v>9.5258803510573191</v>
      </c>
      <c r="T5">
        <v>307.79177845416302</v>
      </c>
      <c r="U5">
        <v>7.5360151981499399</v>
      </c>
      <c r="V5">
        <v>1.11747084850615</v>
      </c>
      <c r="W5">
        <v>12.9307402807434</v>
      </c>
      <c r="X5">
        <v>35.896456455453901</v>
      </c>
      <c r="Y5">
        <v>19.2442468830805</v>
      </c>
      <c r="Z5">
        <v>103.59699999999999</v>
      </c>
      <c r="AA5">
        <v>1.4346740827847499</v>
      </c>
      <c r="AB5">
        <v>15.6411931275361</v>
      </c>
      <c r="AC5">
        <v>24.2387282958424</v>
      </c>
      <c r="AD5">
        <v>0.50228381294402402</v>
      </c>
      <c r="AE5">
        <v>69.018754232100804</v>
      </c>
      <c r="AF5">
        <v>0.44652662341229599</v>
      </c>
      <c r="AG5">
        <v>5.2975676602624002</v>
      </c>
      <c r="AH5">
        <v>2.4194108433281798</v>
      </c>
      <c r="AI5">
        <v>1.319</v>
      </c>
      <c r="AJ5">
        <v>0.0053180310999297398</v>
      </c>
      <c r="AK5">
        <v>0.95399757761450599</v>
      </c>
      <c r="AL5">
        <v>0.26461103010710801</v>
      </c>
      <c r="AM5">
        <v>44.438499999999998</v>
      </c>
      <c r="AN5">
        <v>4.4465438908792203</v>
      </c>
      <c r="AO5">
        <v>57.973600589834803</v>
      </c>
      <c r="AP5">
        <v>6.4727724417919603</v>
      </c>
      <c r="AQ5">
        <v>11.068165741228499</v>
      </c>
      <c r="AR5">
        <v>4.0535137614190599</v>
      </c>
      <c r="AS5">
        <v>8.2929241280454207</v>
      </c>
      <c r="AT5">
        <v>3.1581047904855302</v>
      </c>
      <c r="AU5">
        <v>0.18084052222007199</v>
      </c>
      <c r="AV5">
        <v>197.75986737297501</v>
      </c>
      <c r="AW5" t="s">
        <v>52</v>
      </c>
    </row>
    <row r="6" spans="1:49" ht="14.4">
      <c r="A6" t="s">
        <v>49</v>
      </c>
      <c r="B6" t="s">
        <v>11</v>
      </c>
      <c r="C6" t="s">
        <v>111</v>
      </c>
      <c r="D6" t="s">
        <v>52</v>
      </c>
      <c r="E6" t="s">
        <v>52</v>
      </c>
      <c r="F6" t="s">
        <v>52</v>
      </c>
      <c r="G6" t="s">
        <v>255</v>
      </c>
      <c r="H6" t="s">
        <v>52</v>
      </c>
      <c r="I6" t="s">
        <v>52</v>
      </c>
      <c r="J6" t="s">
        <v>52</v>
      </c>
      <c r="K6" t="s">
        <v>52</v>
      </c>
      <c r="L6">
        <v>0.63597382892708298</v>
      </c>
      <c r="M6">
        <v>5.5527245318498704</v>
      </c>
      <c r="N6">
        <v>1.60031071288726</v>
      </c>
      <c r="O6">
        <v>23.285750394380798</v>
      </c>
      <c r="P6">
        <v>4.6236317392145603</v>
      </c>
      <c r="Q6">
        <v>6.8769077350099899</v>
      </c>
      <c r="R6">
        <v>2.0567957196964999</v>
      </c>
      <c r="S6">
        <v>6.2241196489426702</v>
      </c>
      <c r="T6">
        <v>201.10822154583701</v>
      </c>
      <c r="U6">
        <v>6.3629848018500601</v>
      </c>
      <c r="V6">
        <v>0.94352915149384697</v>
      </c>
      <c r="W6">
        <v>15.4602597192566</v>
      </c>
      <c r="X6">
        <v>42.918543544546097</v>
      </c>
      <c r="Y6">
        <v>16.248753116919499</v>
      </c>
      <c r="Z6">
        <v>103.59699999999999</v>
      </c>
      <c r="AA6">
        <v>1.71532591721526</v>
      </c>
      <c r="AB6">
        <v>10.2198068724639</v>
      </c>
      <c r="AC6">
        <v>10.016883353185101</v>
      </c>
      <c r="AD6">
        <v>0.42410002951728798</v>
      </c>
      <c r="AE6">
        <v>82.520245767899198</v>
      </c>
      <c r="AF6">
        <v>0.53387643859782896</v>
      </c>
      <c r="AG6">
        <v>3.4613803397376</v>
      </c>
      <c r="AH6">
        <v>1.5808200411789199</v>
      </c>
      <c r="AI6">
        <v>1.319</v>
      </c>
      <c r="AJ6">
        <v>0.0063583476440585499</v>
      </c>
      <c r="AK6">
        <v>1.14061917579664</v>
      </c>
      <c r="AL6">
        <v>0.31637440403379102</v>
      </c>
      <c r="AM6">
        <v>44.438499999999998</v>
      </c>
      <c r="AN6">
        <v>3.7544100502039299</v>
      </c>
      <c r="AO6">
        <v>37.879399410165199</v>
      </c>
      <c r="AP6">
        <v>7.7389802038462499</v>
      </c>
      <c r="AQ6">
        <v>7.2318342587714897</v>
      </c>
      <c r="AR6">
        <v>4.84646463903122</v>
      </c>
      <c r="AS6">
        <v>7.0020758719545801</v>
      </c>
      <c r="AT6">
        <v>3.77589520951447</v>
      </c>
      <c r="AU6">
        <v>0.118159477779928</v>
      </c>
      <c r="AV6">
        <v>81.726132627025294</v>
      </c>
      <c r="AW6" t="s">
        <v>52</v>
      </c>
    </row>
    <row r="7" spans="1:49" ht="14.4">
      <c r="A7" t="s">
        <v>49</v>
      </c>
      <c r="B7" t="s">
        <v>11</v>
      </c>
      <c r="C7" t="s">
        <v>112</v>
      </c>
      <c r="D7" t="s">
        <v>52</v>
      </c>
      <c r="E7" t="s">
        <v>52</v>
      </c>
      <c r="F7" t="s">
        <v>52</v>
      </c>
      <c r="G7" t="s">
        <v>255</v>
      </c>
      <c r="H7" t="s">
        <v>52</v>
      </c>
      <c r="I7" t="s">
        <v>52</v>
      </c>
      <c r="J7" t="s">
        <v>52</v>
      </c>
      <c r="K7" t="s">
        <v>52</v>
      </c>
      <c r="L7">
        <v>1.22510879959818</v>
      </c>
      <c r="M7">
        <v>9.2284821099999998</v>
      </c>
      <c r="N7">
        <v>2.4992713513806701</v>
      </c>
      <c r="O7">
        <v>26.5243492472393</v>
      </c>
      <c r="P7">
        <v>9.2029999999999994</v>
      </c>
      <c r="Q7">
        <v>11.1272300791607</v>
      </c>
      <c r="R7">
        <v>1.7546385522768799</v>
      </c>
      <c r="S7">
        <v>18.341999999999999</v>
      </c>
      <c r="T7">
        <v>42.835000000000001</v>
      </c>
      <c r="U7">
        <v>26.236000000000001</v>
      </c>
      <c r="V7">
        <v>4.9299999999999997</v>
      </c>
      <c r="W7">
        <v>13.755000000000001</v>
      </c>
      <c r="X7">
        <v>77.796000000000006</v>
      </c>
      <c r="Y7">
        <v>29.114000000000001</v>
      </c>
      <c r="Z7">
        <v>124.723</v>
      </c>
      <c r="AA7">
        <v>5.5019999999999998</v>
      </c>
      <c r="AB7">
        <v>12.183999999999999</v>
      </c>
      <c r="AC7">
        <v>14.780185549913799</v>
      </c>
      <c r="AD7">
        <v>1.6069015407379601</v>
      </c>
      <c r="AE7">
        <v>73.418000000000006</v>
      </c>
      <c r="AF7">
        <v>0.91928834448152497</v>
      </c>
      <c r="AG7">
        <v>1.8338121166732799</v>
      </c>
      <c r="AH7">
        <v>1.43921228491168</v>
      </c>
      <c r="AI7">
        <v>2.6219999999999999</v>
      </c>
      <c r="AJ7">
        <v>0.0125338034482156</v>
      </c>
      <c r="AK7">
        <v>1.97404591309815</v>
      </c>
      <c r="AL7">
        <v>0.34474723568420101</v>
      </c>
      <c r="AM7">
        <v>135.76400000000001</v>
      </c>
      <c r="AN7">
        <v>16.555727709034301</v>
      </c>
      <c r="AO7">
        <v>46.439</v>
      </c>
      <c r="AP7">
        <v>13.948118850132699</v>
      </c>
      <c r="AQ7">
        <v>1.375</v>
      </c>
      <c r="AR7">
        <v>7.844933179411</v>
      </c>
      <c r="AS7">
        <v>28.326000000000001</v>
      </c>
      <c r="AT7">
        <v>5.4329999999999998</v>
      </c>
      <c r="AU7">
        <v>4.9059999999999997</v>
      </c>
      <c r="AV7">
        <v>136.10499999999999</v>
      </c>
      <c r="AW7" t="s">
        <v>52</v>
      </c>
    </row>
  </sheetData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AP26"/>
  <sheetViews>
    <sheetView workbookViewId="0" topLeftCell="A7">
      <selection pane="topLeft" activeCell="I21" sqref="I21"/>
    </sheetView>
  </sheetViews>
  <sheetFormatPr defaultRowHeight="14.4"/>
  <cols>
    <col min="1" max="1" width="15.4285714285714" bestFit="1" customWidth="1"/>
    <col min="3" max="3" width="10.7142857142857" bestFit="1" customWidth="1"/>
    <col min="5" max="5" width="11.7142857142857" bestFit="1" customWidth="1"/>
    <col min="6" max="6" width="4.57142857142857" bestFit="1" customWidth="1"/>
    <col min="7" max="7" width="5.57142857142857" bestFit="1" customWidth="1"/>
    <col min="8" max="8" width="4.57142857142857" bestFit="1" customWidth="1"/>
    <col min="9" max="11" width="5.57142857142857" bestFit="1" customWidth="1"/>
    <col min="12" max="12" width="4.57142857142857" bestFit="1" customWidth="1"/>
    <col min="13" max="13" width="5.57142857142857" bestFit="1" customWidth="1"/>
    <col min="14" max="14" width="6.57142857142857" bestFit="1" customWidth="1"/>
    <col min="15" max="15" width="5.57142857142857" bestFit="1" customWidth="1"/>
    <col min="16" max="16" width="4.57142857142857" bestFit="1" customWidth="1"/>
    <col min="17" max="17" width="5.57142857142857" bestFit="1" customWidth="1"/>
    <col min="18" max="18" width="6.57142857142857" bestFit="1" customWidth="1"/>
    <col min="19" max="19" width="5.57142857142857" bestFit="1" customWidth="1"/>
    <col min="20" max="20" width="6.57142857142857" bestFit="1" customWidth="1"/>
    <col min="21" max="23" width="5.57142857142857" bestFit="1" customWidth="1"/>
    <col min="24" max="24" width="4.57142857142857" bestFit="1" customWidth="1"/>
    <col min="25" max="25" width="6.57142857142857" bestFit="1" customWidth="1"/>
    <col min="26" max="26" width="4.57142857142857" bestFit="1" customWidth="1"/>
    <col min="27" max="27" width="5.57142857142857" bestFit="1" customWidth="1"/>
    <col min="28" max="32" width="4.57142857142857" bestFit="1" customWidth="1"/>
    <col min="33" max="33" width="6.57142857142857" bestFit="1" customWidth="1"/>
    <col min="34" max="34" width="5.57142857142857" bestFit="1" customWidth="1"/>
    <col min="35" max="35" width="6.57142857142857" bestFit="1" customWidth="1"/>
    <col min="36" max="41" width="5.57142857142857" bestFit="1" customWidth="1"/>
    <col min="42" max="42" width="6.57142857142857" bestFit="1" customWidth="1"/>
  </cols>
  <sheetData>
    <row r="4" spans="3:3" ht="14.4">
      <c r="C4" t="s">
        <v>113</v>
      </c>
    </row>
    <row r="5" spans="3:42" ht="14.4">
      <c r="C5" t="s">
        <v>0</v>
      </c>
      <c r="D5" t="s">
        <v>2</v>
      </c>
      <c r="E5" t="s">
        <v>77</v>
      </c>
      <c r="F5" t="str">
        <f>ServBldg!L1</f>
        <v>AL</v>
      </c>
      <c r="G5" t="str">
        <f>ServBldg!M1</f>
        <v>AT</v>
      </c>
      <c r="H5" t="str">
        <f>ServBldg!N1</f>
        <v>BA</v>
      </c>
      <c r="I5" t="str">
        <f>ServBldg!O1</f>
        <v>BE</v>
      </c>
      <c r="J5" t="str">
        <f>ServBldg!P1</f>
        <v>BG</v>
      </c>
      <c r="K5" t="str">
        <f>ServBldg!Q1</f>
        <v>CH</v>
      </c>
      <c r="L5" t="str">
        <f>ServBldg!R1</f>
        <v>CY</v>
      </c>
      <c r="M5" t="str">
        <f>ServBldg!S1</f>
        <v>CZ</v>
      </c>
      <c r="N5" t="str">
        <f>ServBldg!T1</f>
        <v>DE</v>
      </c>
      <c r="O5" t="str">
        <f>ServBldg!U1</f>
        <v>DK</v>
      </c>
      <c r="P5" t="str">
        <f>ServBldg!V1</f>
        <v>EE</v>
      </c>
      <c r="Q5" t="str">
        <f>ServBldg!W1</f>
        <v>EL</v>
      </c>
      <c r="R5" t="str">
        <f>ServBldg!X1</f>
        <v>ES</v>
      </c>
      <c r="S5" t="str">
        <f>ServBldg!Y1</f>
        <v>FI</v>
      </c>
      <c r="T5" t="str">
        <f>ServBldg!Z1</f>
        <v>FR</v>
      </c>
      <c r="U5" t="str">
        <f>ServBldg!AA1</f>
        <v>HR</v>
      </c>
      <c r="V5" t="str">
        <f>ServBldg!AB1</f>
        <v>HU</v>
      </c>
      <c r="W5" t="str">
        <f>ServBldg!AC1</f>
        <v>IE</v>
      </c>
      <c r="X5" t="str">
        <f>ServBldg!AD1</f>
        <v>IS</v>
      </c>
      <c r="Y5" t="str">
        <f>ServBldg!AE1</f>
        <v>IT</v>
      </c>
      <c r="Z5" t="str">
        <f>ServBldg!AF1</f>
        <v>KS</v>
      </c>
      <c r="AA5" t="str">
        <f>ServBldg!AG1</f>
        <v>LT</v>
      </c>
      <c r="AB5" t="str">
        <f>ServBldg!AH1</f>
        <v>LU</v>
      </c>
      <c r="AC5" t="str">
        <f>ServBldg!AI1</f>
        <v>LV</v>
      </c>
      <c r="AD5" t="str">
        <f>ServBldg!AJ1</f>
        <v>ME</v>
      </c>
      <c r="AE5" t="str">
        <f>ServBldg!AK1</f>
        <v>MK</v>
      </c>
      <c r="AF5" t="str">
        <f>ServBldg!AL1</f>
        <v>MT</v>
      </c>
      <c r="AG5" t="str">
        <f>ServBldg!AM1</f>
        <v>NL</v>
      </c>
      <c r="AH5" t="str">
        <f>ServBldg!AN1</f>
        <v>NO</v>
      </c>
      <c r="AI5" t="str">
        <f>ServBldg!AO1</f>
        <v>PL</v>
      </c>
      <c r="AJ5" t="str">
        <f>ServBldg!AP1</f>
        <v>PT</v>
      </c>
      <c r="AK5" t="str">
        <f>ServBldg!AQ1</f>
        <v>RO</v>
      </c>
      <c r="AL5" t="str">
        <f>ServBldg!AR1</f>
        <v>RS</v>
      </c>
      <c r="AM5" t="str">
        <f>ServBldg!AS1</f>
        <v>SE</v>
      </c>
      <c r="AN5" t="str">
        <f>ServBldg!AT1</f>
        <v>SI</v>
      </c>
      <c r="AO5" t="str">
        <f>ServBldg!AU1</f>
        <v>SK</v>
      </c>
      <c r="AP5" t="str">
        <f>ServBldg!AV1</f>
        <v>UK</v>
      </c>
    </row>
    <row r="6" spans="1:42" ht="14.4">
      <c r="A6" t="s">
        <v>107</v>
      </c>
      <c r="C6" t="s">
        <v>76</v>
      </c>
      <c r="D6">
        <v>2010</v>
      </c>
      <c r="E6" t="s">
        <v>99</v>
      </c>
      <c r="F6" s="5">
        <f>SUMIF(ServBldg!$C$2:$C$42,'ServBldg Projection'!$A6,ServBldg!L$2:L$42)</f>
        <v>0.67999037669225504</v>
      </c>
      <c r="G6" s="5">
        <f>SUMIF(ServBldg!$C$2:$C$42,'ServBldg Projection'!$A6,ServBldg!M$2:M$42)</f>
        <v>36.346693561999999</v>
      </c>
      <c r="H6" s="5">
        <f>SUMIF(ServBldg!$C$2:$C$42,'ServBldg Projection'!$A6,ServBldg!N$2:N$42)</f>
        <v>0.78448403105061804</v>
      </c>
      <c r="I6" s="5">
        <f>SUMIF(ServBldg!$C$2:$C$42,'ServBldg Projection'!$A6,ServBldg!O$2:O$42)</f>
        <v>12.595735535132</v>
      </c>
      <c r="J6" s="5">
        <f>SUMIF(ServBldg!$C$2:$C$42,'ServBldg Projection'!$A6,ServBldg!P$2:P$42)</f>
        <v>1.2</v>
      </c>
      <c r="K6" s="5">
        <f>SUMIF(ServBldg!$C$2:$C$42,'ServBldg Projection'!$A6,ServBldg!Q$2:Q$42)</f>
        <v>42.3730166339557</v>
      </c>
      <c r="L6" s="5">
        <f>SUMIF(ServBldg!$C$2:$C$42,'ServBldg Projection'!$A6,ServBldg!R$2:R$42)</f>
        <v>3.16710232112084</v>
      </c>
      <c r="M6" s="5">
        <f>SUMIF(ServBldg!$C$2:$C$42,'ServBldg Projection'!$A6,ServBldg!S$2:S$42)</f>
        <v>1.4790000000000001</v>
      </c>
      <c r="N6" s="5">
        <f>SUMIF(ServBldg!$C$2:$C$42,'ServBldg Projection'!$A6,ServBldg!T$2:T$42)</f>
        <v>284.60000000000002</v>
      </c>
      <c r="O6" s="5">
        <f>SUMIF(ServBldg!$C$2:$C$42,'ServBldg Projection'!$A6,ServBldg!U$2:U$42)</f>
        <v>5.3209999999999997</v>
      </c>
      <c r="P6" s="5">
        <f>SUMIF(ServBldg!$C$2:$C$42,'ServBldg Projection'!$A6,ServBldg!V$2:V$42)</f>
        <v>0.57199999999999995</v>
      </c>
      <c r="Q6" s="5">
        <f>SUMIF(ServBldg!$C$2:$C$42,'ServBldg Projection'!$A6,ServBldg!W$2:W$42)</f>
        <v>26.056999999999999</v>
      </c>
      <c r="R6" s="5">
        <f>SUMIF(ServBldg!$C$2:$C$42,'ServBldg Projection'!$A6,ServBldg!X$2:X$42)</f>
        <v>36.218000000000004</v>
      </c>
      <c r="S6" s="5">
        <f>SUMIF(ServBldg!$C$2:$C$42,'ServBldg Projection'!$A6,ServBldg!Y$2:Y$42)</f>
        <v>5.9859999999999998</v>
      </c>
      <c r="T6" s="5">
        <f>SUMIF(ServBldg!$C$2:$C$42,'ServBldg Projection'!$A6,ServBldg!Z$2:Z$42)</f>
        <v>64.119</v>
      </c>
      <c r="U6" s="5">
        <f>SUMIF(ServBldg!$C$2:$C$42,'ServBldg Projection'!$A6,ServBldg!AA$2:AA$42)</f>
        <v>8.7780000000000005</v>
      </c>
      <c r="V6" s="5">
        <f>SUMIF(ServBldg!$C$2:$C$42,'ServBldg Projection'!$A6,ServBldg!AB$2:AB$42)</f>
        <v>28.463000000000001</v>
      </c>
      <c r="W6" s="5">
        <f>SUMIF(ServBldg!$C$2:$C$42,'ServBldg Projection'!$A6,ServBldg!AC$2:AC$42)</f>
        <v>6.5120185421563903</v>
      </c>
      <c r="X6" s="5">
        <f>SUMIF(ServBldg!$C$2:$C$42,'ServBldg Projection'!$A6,ServBldg!AD$2:AD$42)</f>
        <v>0.32715699906268397</v>
      </c>
      <c r="Y6" s="5">
        <f>SUMIF(ServBldg!$C$2:$C$42,'ServBldg Projection'!$A6,ServBldg!AE$2:AE$42)</f>
        <v>41.389000000000003</v>
      </c>
      <c r="Z6" s="5">
        <f>SUMIF(ServBldg!$C$2:$C$42,'ServBldg Projection'!$A6,ServBldg!AF$2:AF$42)</f>
        <v>0.42918684277574598</v>
      </c>
      <c r="AA6" s="5">
        <f>SUMIF(ServBldg!$C$2:$C$42,'ServBldg Projection'!$A6,ServBldg!AG$2:AG$42)</f>
        <v>2.2448778741442599</v>
      </c>
      <c r="AB6" s="5">
        <f>SUMIF(ServBldg!$C$2:$C$42,'ServBldg Projection'!$A6,ServBldg!AH$2:AH$42)</f>
        <v>1.33725175289155</v>
      </c>
      <c r="AC6" s="5">
        <f>SUMIF(ServBldg!$C$2:$C$42,'ServBldg Projection'!$A6,ServBldg!AI$2:AI$42)</f>
        <v>1.431</v>
      </c>
      <c r="AD6" s="5">
        <f>SUMIF(ServBldg!$C$2:$C$42,'ServBldg Projection'!$A6,ServBldg!AJ$2:AJ$42)</f>
        <v>0.0063291182578825598</v>
      </c>
      <c r="AE6" s="5">
        <f>SUMIF(ServBldg!$C$2:$C$42,'ServBldg Projection'!$A6,ServBldg!AK$2:AK$42)</f>
        <v>0.83488341838213598</v>
      </c>
      <c r="AF6" s="5">
        <f>SUMIF(ServBldg!$C$2:$C$42,'ServBldg Projection'!$A6,ServBldg!AL$2:AL$42)</f>
        <v>0.72452379154769397</v>
      </c>
      <c r="AG6" s="5">
        <f>SUMIF(ServBldg!$C$2:$C$42,'ServBldg Projection'!$A6,ServBldg!AM$2:AM$42)</f>
        <v>13.352</v>
      </c>
      <c r="AH6" s="5">
        <f>SUMIF(ServBldg!$C$2:$C$42,'ServBldg Projection'!$A6,ServBldg!AN$2:AN$42)</f>
        <v>4.5773725610572402</v>
      </c>
      <c r="AI6" s="5">
        <f>SUMIF(ServBldg!$C$2:$C$42,'ServBldg Projection'!$A6,ServBldg!AO$2:AO$42)</f>
        <v>42.692999999999998</v>
      </c>
      <c r="AJ6" s="5">
        <f>SUMIF(ServBldg!$C$2:$C$42,'ServBldg Projection'!$A6,ServBldg!AP$2:AP$42)</f>
        <v>6.4496276002986201</v>
      </c>
      <c r="AK6" s="5">
        <f>SUMIF(ServBldg!$C$2:$C$42,'ServBldg Projection'!$A6,ServBldg!AQ$2:AQ$42)</f>
        <v>5.1699999999999999</v>
      </c>
      <c r="AL6" s="5">
        <f>SUMIF(ServBldg!$C$2:$C$42,'ServBldg Projection'!$A6,ServBldg!AR$2:AR$42)</f>
        <v>2.89443642160971</v>
      </c>
      <c r="AM6" s="5">
        <f>SUMIF(ServBldg!$C$2:$C$42,'ServBldg Projection'!$A6,ServBldg!AS$2:AS$42)</f>
        <v>6.4580000000000002</v>
      </c>
      <c r="AN6" s="5">
        <f>SUMIF(ServBldg!$C$2:$C$42,'ServBldg Projection'!$A6,ServBldg!AT$2:AT$42)</f>
        <v>3.0049999999999999</v>
      </c>
      <c r="AO6" s="5">
        <f>SUMIF(ServBldg!$C$2:$C$42,'ServBldg Projection'!$A6,ServBldg!AU$2:AU$42)</f>
        <v>5.6050000000000004</v>
      </c>
      <c r="AP6" s="5">
        <f>SUMIF(ServBldg!$C$2:$C$42,'ServBldg Projection'!$A6,ServBldg!AV$2:AV$42)</f>
        <v>67.399000000000001</v>
      </c>
    </row>
    <row r="7" spans="1:42" ht="14.4">
      <c r="A7" t="s">
        <v>108</v>
      </c>
      <c r="C7" t="s">
        <v>76</v>
      </c>
      <c r="D7">
        <v>2010</v>
      </c>
      <c r="E7" t="s">
        <v>100</v>
      </c>
      <c r="F7" s="5">
        <f>SUMIF(ServBldg!$C$2:$C$42,'ServBldg Projection'!$A7,ServBldg!L$2:L$42)</f>
        <v>0.27767905741145998</v>
      </c>
      <c r="G7" s="5">
        <f>SUMIF(ServBldg!$C$2:$C$42,'ServBldg Projection'!$A7,ServBldg!M$2:M$42)</f>
        <v>4.5699690520000003</v>
      </c>
      <c r="H7" s="5">
        <f>SUMIF(ServBldg!$C$2:$C$42,'ServBldg Projection'!$A7,ServBldg!N$2:N$42)</f>
        <v>0.67945643596713601</v>
      </c>
      <c r="I7" s="5">
        <f>SUMIF(ServBldg!$C$2:$C$42,'ServBldg Projection'!$A7,ServBldg!O$2:O$42)</f>
        <v>25.700716050977402</v>
      </c>
      <c r="J7" s="5">
        <f>SUMIF(ServBldg!$C$2:$C$42,'ServBldg Projection'!$A7,ServBldg!P$2:P$42)</f>
        <v>4.04</v>
      </c>
      <c r="K7" s="5">
        <f>SUMIF(ServBldg!$C$2:$C$42,'ServBldg Projection'!$A7,ServBldg!Q$2:Q$42)</f>
        <v>5.6389075288589501</v>
      </c>
      <c r="L7" s="5">
        <f>SUMIF(ServBldg!$C$2:$C$42,'ServBldg Projection'!$A7,ServBldg!R$2:R$42)</f>
        <v>0.25635961929860701</v>
      </c>
      <c r="M7" s="5">
        <f>SUMIF(ServBldg!$C$2:$C$42,'ServBldg Projection'!$A7,ServBldg!S$2:S$42)</f>
        <v>5.1420000000000003</v>
      </c>
      <c r="N7" s="5">
        <f>SUMIF(ServBldg!$C$2:$C$42,'ServBldg Projection'!$A7,ServBldg!T$2:T$42)</f>
        <v>64.373999999999995</v>
      </c>
      <c r="O7" s="5">
        <f>SUMIF(ServBldg!$C$2:$C$42,'ServBldg Projection'!$A7,ServBldg!U$2:U$42)</f>
        <v>3.6669999999999998</v>
      </c>
      <c r="P7" s="5">
        <f>SUMIF(ServBldg!$C$2:$C$42,'ServBldg Projection'!$A7,ServBldg!V$2:V$42)</f>
        <v>0.53800000000000003</v>
      </c>
      <c r="Q7" s="5">
        <f>SUMIF(ServBldg!$C$2:$C$42,'ServBldg Projection'!$A7,ServBldg!W$2:W$42)</f>
        <v>1.96</v>
      </c>
      <c r="R7" s="5">
        <f>SUMIF(ServBldg!$C$2:$C$42,'ServBldg Projection'!$A7,ServBldg!X$2:X$42)</f>
        <v>19.056000000000001</v>
      </c>
      <c r="S7" s="5">
        <f>SUMIF(ServBldg!$C$2:$C$42,'ServBldg Projection'!$A7,ServBldg!Y$2:Y$42)</f>
        <v>8.4260000000000002</v>
      </c>
      <c r="T7" s="5">
        <f>SUMIF(ServBldg!$C$2:$C$42,'ServBldg Projection'!$A7,ServBldg!Z$2:Z$42)</f>
        <v>116.864</v>
      </c>
      <c r="U7" s="5">
        <f>SUMIF(ServBldg!$C$2:$C$42,'ServBldg Projection'!$A7,ServBldg!AA$2:AA$42)</f>
        <v>3.1499999999999999</v>
      </c>
      <c r="V7" s="5">
        <f>SUMIF(ServBldg!$C$2:$C$42,'ServBldg Projection'!$A7,ServBldg!AB$2:AB$42)</f>
        <v>11.236000000000001</v>
      </c>
      <c r="W7" s="5">
        <f>SUMIF(ServBldg!$C$2:$C$42,'ServBldg Projection'!$A7,ServBldg!AC$2:AC$42)</f>
        <v>2.7957309775145802</v>
      </c>
      <c r="X7" s="5">
        <f>SUMIF(ServBldg!$C$2:$C$42,'ServBldg Projection'!$A7,ServBldg!AD$2:AD$42)</f>
        <v>1.07449424174065</v>
      </c>
      <c r="Y7" s="5">
        <f>SUMIF(ServBldg!$C$2:$C$42,'ServBldg Projection'!$A7,ServBldg!AE$2:AE$42)</f>
        <v>31.038419999999999</v>
      </c>
      <c r="Z7" s="5">
        <f>SUMIF(ServBldg!$C$2:$C$42,'ServBldg Projection'!$A7,ServBldg!AF$2:AF$42)</f>
        <v>0.22316241534447101</v>
      </c>
      <c r="AA7" s="5">
        <f>SUMIF(ServBldg!$C$2:$C$42,'ServBldg Projection'!$A7,ServBldg!AG$2:AG$42)</f>
        <v>2.7927300000000002</v>
      </c>
      <c r="AB7" s="5">
        <f>SUMIF(ServBldg!$C$2:$C$42,'ServBldg Projection'!$A7,ServBldg!AH$2:AH$42)</f>
        <v>1.1946464798554399</v>
      </c>
      <c r="AC7" s="5">
        <f>SUMIF(ServBldg!$C$2:$C$42,'ServBldg Projection'!$A7,ServBldg!AI$2:AI$42)</f>
        <v>1.3280000000000001</v>
      </c>
      <c r="AD7" s="5">
        <f>SUMIF(ServBldg!$C$2:$C$42,'ServBldg Projection'!$A7,ServBldg!AJ$2:AJ$42)</f>
        <v>0.0029917815178845402</v>
      </c>
      <c r="AE7" s="5">
        <f>SUMIF(ServBldg!$C$2:$C$42,'ServBldg Projection'!$A7,ServBldg!AK$2:AK$42)</f>
        <v>0.49677715694226598</v>
      </c>
      <c r="AF7" s="5">
        <f>SUMIF(ServBldg!$C$2:$C$42,'ServBldg Projection'!$A7,ServBldg!AL$2:AL$42)</f>
        <v>0.047529948008047697</v>
      </c>
      <c r="AG7" s="5">
        <f>SUMIF(ServBldg!$C$2:$C$42,'ServBldg Projection'!$A7,ServBldg!AM$2:AM$42)</f>
        <v>5.4160000000000004</v>
      </c>
      <c r="AH7" s="5">
        <f>SUMIF(ServBldg!$C$2:$C$42,'ServBldg Projection'!$A7,ServBldg!AN$2:AN$42)</f>
        <v>11.7506514777929</v>
      </c>
      <c r="AI7" s="5">
        <f>SUMIF(ServBldg!$C$2:$C$42,'ServBldg Projection'!$A7,ServBldg!AO$2:AO$42)</f>
        <v>10.247999999999999</v>
      </c>
      <c r="AJ7" s="5">
        <f>SUMIF(ServBldg!$C$2:$C$42,'ServBldg Projection'!$A7,ServBldg!AP$2:AP$42)</f>
        <v>3.42007133570758</v>
      </c>
      <c r="AK7" s="5">
        <f>SUMIF(ServBldg!$C$2:$C$42,'ServBldg Projection'!$A7,ServBldg!AQ$2:AQ$42)</f>
        <v>9.25</v>
      </c>
      <c r="AL7" s="5">
        <f>SUMIF(ServBldg!$C$2:$C$42,'ServBldg Projection'!$A7,ServBldg!AR$2:AR$42)</f>
        <v>2.0523982694370502</v>
      </c>
      <c r="AM7" s="5">
        <f>SUMIF(ServBldg!$C$2:$C$42,'ServBldg Projection'!$A7,ServBldg!AS$2:AS$42)</f>
        <v>19.146999999999998</v>
      </c>
      <c r="AN7" s="5">
        <f>SUMIF(ServBldg!$C$2:$C$42,'ServBldg Projection'!$A7,ServBldg!AT$2:AT$42)</f>
        <v>1.2430000000000001</v>
      </c>
      <c r="AO7" s="5">
        <f>SUMIF(ServBldg!$C$2:$C$42,'ServBldg Projection'!$A7,ServBldg!AU$2:AU$42)</f>
        <v>6.7300000000000004</v>
      </c>
      <c r="AP7" s="5">
        <f>SUMIF(ServBldg!$C$2:$C$42,'ServBldg Projection'!$A7,ServBldg!AV$2:AV$42)</f>
        <v>23.268000000000001</v>
      </c>
    </row>
    <row r="8" spans="1:42" ht="14.4">
      <c r="A8" t="s">
        <v>109</v>
      </c>
      <c r="C8" t="s">
        <v>76</v>
      </c>
      <c r="D8">
        <v>2010</v>
      </c>
      <c r="E8" t="s">
        <v>101</v>
      </c>
      <c r="F8" s="5">
        <f>SUMIF(ServBldg!$C$2:$C$42,'ServBldg Projection'!$A8,ServBldg!L$2:L$42)</f>
        <v>2.07005385961221</v>
      </c>
      <c r="G8" s="5">
        <f>SUMIF(ServBldg!$C$2:$C$42,'ServBldg Projection'!$A8,ServBldg!M$2:M$42)</f>
        <v>50.124227542</v>
      </c>
      <c r="H8" s="5">
        <f>SUMIF(ServBldg!$C$2:$C$42,'ServBldg Projection'!$A8,ServBldg!N$2:N$42)</f>
        <v>5.0876389394866397</v>
      </c>
      <c r="I8" s="5">
        <f>SUMIF(ServBldg!$C$2:$C$42,'ServBldg Projection'!$A8,ServBldg!O$2:O$42)</f>
        <v>86.946263185174104</v>
      </c>
      <c r="J8" s="5">
        <f>SUMIF(ServBldg!$C$2:$C$42,'ServBldg Projection'!$A8,ServBldg!P$2:P$42)</f>
        <v>37.700000000000003</v>
      </c>
      <c r="K8" s="5">
        <f>SUMIF(ServBldg!$C$2:$C$42,'ServBldg Projection'!$A8,ServBldg!Q$2:Q$42)</f>
        <v>61.966292641333197</v>
      </c>
      <c r="L8" s="5">
        <f>SUMIF(ServBldg!$C$2:$C$42,'ServBldg Projection'!$A8,ServBldg!R$2:R$42)</f>
        <v>9.1045149099354603</v>
      </c>
      <c r="M8" s="5">
        <f>SUMIF(ServBldg!$C$2:$C$42,'ServBldg Projection'!$A8,ServBldg!S$2:S$42)</f>
        <v>48.024999999999999</v>
      </c>
      <c r="N8" s="5">
        <f>SUMIF(ServBldg!$C$2:$C$42,'ServBldg Projection'!$A8,ServBldg!T$2:T$42)</f>
        <v>554.86356255199996</v>
      </c>
      <c r="O8" s="5">
        <f>SUMIF(ServBldg!$C$2:$C$42,'ServBldg Projection'!$A8,ServBldg!U$2:U$42)</f>
        <v>73.372</v>
      </c>
      <c r="P8" s="5">
        <f>SUMIF(ServBldg!$C$2:$C$42,'ServBldg Projection'!$A8,ServBldg!V$2:V$42)</f>
        <v>3.9140000000000001</v>
      </c>
      <c r="Q8" s="5">
        <f>SUMIF(ServBldg!$C$2:$C$42,'ServBldg Projection'!$A8,ServBldg!W$2:W$42)</f>
        <v>69.816000000000003</v>
      </c>
      <c r="R8" s="5">
        <f>SUMIF(ServBldg!$C$2:$C$42,'ServBldg Projection'!$A8,ServBldg!X$2:X$42)</f>
        <v>138.11199999999999</v>
      </c>
      <c r="S8" s="5">
        <f>SUMIF(ServBldg!$C$2:$C$42,'ServBldg Projection'!$A8,ServBldg!Y$2:Y$42)</f>
        <v>28.100000000000001</v>
      </c>
      <c r="T8" s="5">
        <f>SUMIF(ServBldg!$C$2:$C$42,'ServBldg Projection'!$A8,ServBldg!Z$2:Z$42)</f>
        <v>394.47199999999998</v>
      </c>
      <c r="U8" s="5">
        <f>SUMIF(ServBldg!$C$2:$C$42,'ServBldg Projection'!$A8,ServBldg!AA$2:AA$42)</f>
        <v>11.619999999999999</v>
      </c>
      <c r="V8" s="5">
        <f>SUMIF(ServBldg!$C$2:$C$42,'ServBldg Projection'!$A8,ServBldg!AB$2:AB$42)</f>
        <v>21.007999999999999</v>
      </c>
      <c r="W8" s="5">
        <f>SUMIF(ServBldg!$C$2:$C$42,'ServBldg Projection'!$A8,ServBldg!AC$2:AC$42)</f>
        <v>27.684686877083799</v>
      </c>
      <c r="X8" s="5">
        <f>SUMIF(ServBldg!$C$2:$C$42,'ServBldg Projection'!$A8,ServBldg!AD$2:AD$42)</f>
        <v>5.05297667614576</v>
      </c>
      <c r="Y8" s="5">
        <f>SUMIF(ServBldg!$C$2:$C$42,'ServBldg Projection'!$A8,ServBldg!AE$2:AE$42)</f>
        <v>129.92919599999999</v>
      </c>
      <c r="Z8" s="5">
        <f>SUMIF(ServBldg!$C$2:$C$42,'ServBldg Projection'!$A8,ServBldg!AF$2:AF$42)</f>
        <v>1.7091305172881801</v>
      </c>
      <c r="AA8" s="5">
        <f>SUMIF(ServBldg!$C$2:$C$42,'ServBldg Projection'!$A8,ServBldg!AG$2:AG$42)</f>
        <v>19.599046999999999</v>
      </c>
      <c r="AB8" s="5">
        <f>SUMIF(ServBldg!$C$2:$C$42,'ServBldg Projection'!$A8,ServBldg!AH$2:AH$42)</f>
        <v>6.9747372210001704</v>
      </c>
      <c r="AC8" s="5">
        <f>SUMIF(ServBldg!$C$2:$C$42,'ServBldg Projection'!$A8,ServBldg!AI$2:AI$42)</f>
        <v>8.5570000000000004</v>
      </c>
      <c r="AD8" s="5">
        <f>SUMIF(ServBldg!$C$2:$C$42,'ServBldg Projection'!$A8,ServBldg!AJ$2:AJ$42)</f>
        <v>0.0207125362023617</v>
      </c>
      <c r="AE8" s="5">
        <f>SUMIF(ServBldg!$C$2:$C$42,'ServBldg Projection'!$A8,ServBldg!AK$2:AK$42)</f>
        <v>3.6710913251058801</v>
      </c>
      <c r="AF8" s="5">
        <f>SUMIF(ServBldg!$C$2:$C$42,'ServBldg Projection'!$A8,ServBldg!AL$2:AL$42)</f>
        <v>1.4940635229466901</v>
      </c>
      <c r="AG8" s="5">
        <f>SUMIF(ServBldg!$C$2:$C$42,'ServBldg Projection'!$A8,ServBldg!AM$2:AM$42)</f>
        <v>51.409999999999997</v>
      </c>
      <c r="AH8" s="5">
        <f>SUMIF(ServBldg!$C$2:$C$42,'ServBldg Projection'!$A8,ServBldg!AN$2:AN$42)</f>
        <v>43.4501236561415</v>
      </c>
      <c r="AI8" s="5">
        <f>SUMIF(ServBldg!$C$2:$C$42,'ServBldg Projection'!$A8,ServBldg!AO$2:AO$42)</f>
        <v>190.14699999999999</v>
      </c>
      <c r="AJ8" s="5">
        <f>SUMIF(ServBldg!$C$2:$C$42,'ServBldg Projection'!$A8,ServBldg!AP$2:AP$42)</f>
        <v>24.921273905849901</v>
      </c>
      <c r="AK8" s="5">
        <f>SUMIF(ServBldg!$C$2:$C$42,'ServBldg Projection'!$A8,ServBldg!AQ$2:AQ$42)</f>
        <v>25.244</v>
      </c>
      <c r="AL8" s="5">
        <f>SUMIF(ServBldg!$C$2:$C$42,'ServBldg Projection'!$A8,ServBldg!AR$2:AR$42)</f>
        <v>15.433749636472101</v>
      </c>
      <c r="AM8" s="5">
        <f>SUMIF(ServBldg!$C$2:$C$42,'ServBldg Projection'!$A8,ServBldg!AS$2:AS$42)</f>
        <v>83.274000000000001</v>
      </c>
      <c r="AN8" s="5">
        <f>SUMIF(ServBldg!$C$2:$C$42,'ServBldg Projection'!$A8,ServBldg!AT$2:AT$42)</f>
        <v>10.907999999999999</v>
      </c>
      <c r="AO8" s="5">
        <f>SUMIF(ServBldg!$C$2:$C$42,'ServBldg Projection'!$A8,ServBldg!AU$2:AU$42)</f>
        <v>20.609999999999999</v>
      </c>
      <c r="AP8" s="5">
        <f>SUMIF(ServBldg!$C$2:$C$42,'ServBldg Projection'!$A8,ServBldg!AV$2:AV$42)</f>
        <v>229.84</v>
      </c>
    </row>
    <row r="9" spans="1:42" ht="14.4">
      <c r="A9" t="s">
        <v>110</v>
      </c>
      <c r="C9" t="s">
        <v>76</v>
      </c>
      <c r="D9">
        <v>2010</v>
      </c>
      <c r="E9" t="s">
        <v>102</v>
      </c>
      <c r="F9" s="5">
        <f>SUMIF(ServBldg!$C$2:$C$42,'ServBldg Projection'!$A9,ServBldg!L$2:L$42)</f>
        <v>0.53191942157110605</v>
      </c>
      <c r="G9" s="5">
        <f>SUMIF(ServBldg!$C$2:$C$42,'ServBldg Projection'!$A9,ServBldg!M$2:M$42)</f>
        <v>8.4983246621501305</v>
      </c>
      <c r="H9" s="5">
        <f>SUMIF(ServBldg!$C$2:$C$42,'ServBldg Projection'!$A9,ServBldg!N$2:N$42)</f>
        <v>1.3384770096107801</v>
      </c>
      <c r="I9" s="5">
        <f>SUMIF(ServBldg!$C$2:$C$42,'ServBldg Projection'!$A9,ServBldg!O$2:O$42)</f>
        <v>23.285750394380798</v>
      </c>
      <c r="J9" s="5">
        <f>SUMIF(ServBldg!$C$2:$C$42,'ServBldg Projection'!$A9,ServBldg!P$2:P$42)</f>
        <v>7.0763682607854399</v>
      </c>
      <c r="K9" s="5">
        <f>SUMIF(ServBldg!$C$2:$C$42,'ServBldg Projection'!$A9,ServBldg!Q$2:Q$42)</f>
        <v>10.524958381880399</v>
      </c>
      <c r="L9" s="5">
        <f>SUMIF(ServBldg!$C$2:$C$42,'ServBldg Projection'!$A9,ServBldg!R$2:R$42)</f>
        <v>1.72027454550543</v>
      </c>
      <c r="M9" s="5">
        <f>SUMIF(ServBldg!$C$2:$C$42,'ServBldg Projection'!$A9,ServBldg!S$2:S$42)</f>
        <v>9.5258803510573191</v>
      </c>
      <c r="N9" s="5">
        <f>SUMIF(ServBldg!$C$2:$C$42,'ServBldg Projection'!$A9,ServBldg!T$2:T$42)</f>
        <v>307.79177845416302</v>
      </c>
      <c r="O9" s="5">
        <f>SUMIF(ServBldg!$C$2:$C$42,'ServBldg Projection'!$A9,ServBldg!U$2:U$42)</f>
        <v>7.5360151981499399</v>
      </c>
      <c r="P9" s="5">
        <f>SUMIF(ServBldg!$C$2:$C$42,'ServBldg Projection'!$A9,ServBldg!V$2:V$42)</f>
        <v>1.11747084850615</v>
      </c>
      <c r="Q9" s="5">
        <f>SUMIF(ServBldg!$C$2:$C$42,'ServBldg Projection'!$A9,ServBldg!W$2:W$42)</f>
        <v>12.9307402807434</v>
      </c>
      <c r="R9" s="5">
        <f>SUMIF(ServBldg!$C$2:$C$42,'ServBldg Projection'!$A9,ServBldg!X$2:X$42)</f>
        <v>35.896456455453901</v>
      </c>
      <c r="S9" s="5">
        <f>SUMIF(ServBldg!$C$2:$C$42,'ServBldg Projection'!$A9,ServBldg!Y$2:Y$42)</f>
        <v>19.2442468830805</v>
      </c>
      <c r="T9" s="5">
        <f>SUMIF(ServBldg!$C$2:$C$42,'ServBldg Projection'!$A9,ServBldg!Z$2:Z$42)</f>
        <v>103.59699999999999</v>
      </c>
      <c r="U9" s="5">
        <f>SUMIF(ServBldg!$C$2:$C$42,'ServBldg Projection'!$A9,ServBldg!AA$2:AA$42)</f>
        <v>1.4346740827847499</v>
      </c>
      <c r="V9" s="5">
        <f>SUMIF(ServBldg!$C$2:$C$42,'ServBldg Projection'!$A9,ServBldg!AB$2:AB$42)</f>
        <v>15.6411931275361</v>
      </c>
      <c r="W9" s="5">
        <f>SUMIF(ServBldg!$C$2:$C$42,'ServBldg Projection'!$A9,ServBldg!AC$2:AC$42)</f>
        <v>24.2387282958424</v>
      </c>
      <c r="X9" s="5">
        <f>SUMIF(ServBldg!$C$2:$C$42,'ServBldg Projection'!$A9,ServBldg!AD$2:AD$42)</f>
        <v>0.50228381294402402</v>
      </c>
      <c r="Y9" s="5">
        <f>SUMIF(ServBldg!$C$2:$C$42,'ServBldg Projection'!$A9,ServBldg!AE$2:AE$42)</f>
        <v>69.018754232100804</v>
      </c>
      <c r="Z9" s="5">
        <f>SUMIF(ServBldg!$C$2:$C$42,'ServBldg Projection'!$A9,ServBldg!AF$2:AF$42)</f>
        <v>0.44652662341229599</v>
      </c>
      <c r="AA9" s="5">
        <f>SUMIF(ServBldg!$C$2:$C$42,'ServBldg Projection'!$A9,ServBldg!AG$2:AG$42)</f>
        <v>5.2975676602624002</v>
      </c>
      <c r="AB9" s="5">
        <f>SUMIF(ServBldg!$C$2:$C$42,'ServBldg Projection'!$A9,ServBldg!AH$2:AH$42)</f>
        <v>2.4194108433281798</v>
      </c>
      <c r="AC9" s="5">
        <f>SUMIF(ServBldg!$C$2:$C$42,'ServBldg Projection'!$A9,ServBldg!AI$2:AI$42)</f>
        <v>1.319</v>
      </c>
      <c r="AD9" s="5">
        <f>SUMIF(ServBldg!$C$2:$C$42,'ServBldg Projection'!$A9,ServBldg!AJ$2:AJ$42)</f>
        <v>0.0053180310999297398</v>
      </c>
      <c r="AE9" s="5">
        <f>SUMIF(ServBldg!$C$2:$C$42,'ServBldg Projection'!$A9,ServBldg!AK$2:AK$42)</f>
        <v>0.95399757761450599</v>
      </c>
      <c r="AF9" s="5">
        <f>SUMIF(ServBldg!$C$2:$C$42,'ServBldg Projection'!$A9,ServBldg!AL$2:AL$42)</f>
        <v>0.26461103010710801</v>
      </c>
      <c r="AG9" s="5">
        <f>SUMIF(ServBldg!$C$2:$C$42,'ServBldg Projection'!$A9,ServBldg!AM$2:AM$42)</f>
        <v>44.438499999999998</v>
      </c>
      <c r="AH9" s="5">
        <f>SUMIF(ServBldg!$C$2:$C$42,'ServBldg Projection'!$A9,ServBldg!AN$2:AN$42)</f>
        <v>4.4465438908792203</v>
      </c>
      <c r="AI9" s="5">
        <f>SUMIF(ServBldg!$C$2:$C$42,'ServBldg Projection'!$A9,ServBldg!AO$2:AO$42)</f>
        <v>57.973600589834803</v>
      </c>
      <c r="AJ9" s="5">
        <f>SUMIF(ServBldg!$C$2:$C$42,'ServBldg Projection'!$A9,ServBldg!AP$2:AP$42)</f>
        <v>6.4727724417919603</v>
      </c>
      <c r="AK9" s="5">
        <f>SUMIF(ServBldg!$C$2:$C$42,'ServBldg Projection'!$A9,ServBldg!AQ$2:AQ$42)</f>
        <v>11.068165741228499</v>
      </c>
      <c r="AL9" s="5">
        <f>SUMIF(ServBldg!$C$2:$C$42,'ServBldg Projection'!$A9,ServBldg!AR$2:AR$42)</f>
        <v>4.0535137614190599</v>
      </c>
      <c r="AM9" s="5">
        <f>SUMIF(ServBldg!$C$2:$C$42,'ServBldg Projection'!$A9,ServBldg!AS$2:AS$42)</f>
        <v>8.2929241280454207</v>
      </c>
      <c r="AN9" s="5">
        <f>SUMIF(ServBldg!$C$2:$C$42,'ServBldg Projection'!$A9,ServBldg!AT$2:AT$42)</f>
        <v>3.1581047904855302</v>
      </c>
      <c r="AO9" s="5">
        <f>SUMIF(ServBldg!$C$2:$C$42,'ServBldg Projection'!$A9,ServBldg!AU$2:AU$42)</f>
        <v>0.18084052222007199</v>
      </c>
      <c r="AP9" s="5">
        <f>SUMIF(ServBldg!$C$2:$C$42,'ServBldg Projection'!$A9,ServBldg!AV$2:AV$42)</f>
        <v>197.75986737297501</v>
      </c>
    </row>
    <row r="10" spans="1:42" ht="14.4">
      <c r="A10" t="s">
        <v>111</v>
      </c>
      <c r="C10" t="s">
        <v>76</v>
      </c>
      <c r="D10">
        <v>2010</v>
      </c>
      <c r="E10" t="s">
        <v>103</v>
      </c>
      <c r="F10" s="5">
        <f>SUMIF(ServBldg!$C$2:$C$42,'ServBldg Projection'!$A10,ServBldg!L$2:L$42)</f>
        <v>0.63597382892708298</v>
      </c>
      <c r="G10" s="5">
        <f>SUMIF(ServBldg!$C$2:$C$42,'ServBldg Projection'!$A10,ServBldg!M$2:M$42)</f>
        <v>5.5527245318498704</v>
      </c>
      <c r="H10" s="5">
        <f>SUMIF(ServBldg!$C$2:$C$42,'ServBldg Projection'!$A10,ServBldg!N$2:N$42)</f>
        <v>1.60031071288726</v>
      </c>
      <c r="I10" s="5">
        <f>SUMIF(ServBldg!$C$2:$C$42,'ServBldg Projection'!$A10,ServBldg!O$2:O$42)</f>
        <v>23.285750394380798</v>
      </c>
      <c r="J10" s="5">
        <f>SUMIF(ServBldg!$C$2:$C$42,'ServBldg Projection'!$A10,ServBldg!P$2:P$42)</f>
        <v>4.6236317392145603</v>
      </c>
      <c r="K10" s="5">
        <f>SUMIF(ServBldg!$C$2:$C$42,'ServBldg Projection'!$A10,ServBldg!Q$2:Q$42)</f>
        <v>6.8769077350099899</v>
      </c>
      <c r="L10" s="5">
        <f>SUMIF(ServBldg!$C$2:$C$42,'ServBldg Projection'!$A10,ServBldg!R$2:R$42)</f>
        <v>2.0567957196964999</v>
      </c>
      <c r="M10" s="5">
        <f>SUMIF(ServBldg!$C$2:$C$42,'ServBldg Projection'!$A10,ServBldg!S$2:S$42)</f>
        <v>6.2241196489426702</v>
      </c>
      <c r="N10" s="5">
        <f>SUMIF(ServBldg!$C$2:$C$42,'ServBldg Projection'!$A10,ServBldg!T$2:T$42)</f>
        <v>201.10822154583701</v>
      </c>
      <c r="O10" s="5">
        <f>SUMIF(ServBldg!$C$2:$C$42,'ServBldg Projection'!$A10,ServBldg!U$2:U$42)</f>
        <v>6.3629848018500601</v>
      </c>
      <c r="P10" s="5">
        <f>SUMIF(ServBldg!$C$2:$C$42,'ServBldg Projection'!$A10,ServBldg!V$2:V$42)</f>
        <v>0.94352915149384697</v>
      </c>
      <c r="Q10" s="5">
        <f>SUMIF(ServBldg!$C$2:$C$42,'ServBldg Projection'!$A10,ServBldg!W$2:W$42)</f>
        <v>15.4602597192566</v>
      </c>
      <c r="R10" s="5">
        <f>SUMIF(ServBldg!$C$2:$C$42,'ServBldg Projection'!$A10,ServBldg!X$2:X$42)</f>
        <v>42.918543544546097</v>
      </c>
      <c r="S10" s="5">
        <f>SUMIF(ServBldg!$C$2:$C$42,'ServBldg Projection'!$A10,ServBldg!Y$2:Y$42)</f>
        <v>16.248753116919499</v>
      </c>
      <c r="T10" s="5">
        <f>SUMIF(ServBldg!$C$2:$C$42,'ServBldg Projection'!$A10,ServBldg!Z$2:Z$42)</f>
        <v>103.59699999999999</v>
      </c>
      <c r="U10" s="5">
        <f>SUMIF(ServBldg!$C$2:$C$42,'ServBldg Projection'!$A10,ServBldg!AA$2:AA$42)</f>
        <v>1.71532591721526</v>
      </c>
      <c r="V10" s="5">
        <f>SUMIF(ServBldg!$C$2:$C$42,'ServBldg Projection'!$A10,ServBldg!AB$2:AB$42)</f>
        <v>10.2198068724639</v>
      </c>
      <c r="W10" s="5">
        <f>SUMIF(ServBldg!$C$2:$C$42,'ServBldg Projection'!$A10,ServBldg!AC$2:AC$42)</f>
        <v>10.016883353185101</v>
      </c>
      <c r="X10" s="5">
        <f>SUMIF(ServBldg!$C$2:$C$42,'ServBldg Projection'!$A10,ServBldg!AD$2:AD$42)</f>
        <v>0.42410002951728798</v>
      </c>
      <c r="Y10" s="5">
        <f>SUMIF(ServBldg!$C$2:$C$42,'ServBldg Projection'!$A10,ServBldg!AE$2:AE$42)</f>
        <v>82.520245767899198</v>
      </c>
      <c r="Z10" s="5">
        <f>SUMIF(ServBldg!$C$2:$C$42,'ServBldg Projection'!$A10,ServBldg!AF$2:AF$42)</f>
        <v>0.53387643859782896</v>
      </c>
      <c r="AA10" s="5">
        <f>SUMIF(ServBldg!$C$2:$C$42,'ServBldg Projection'!$A10,ServBldg!AG$2:AG$42)</f>
        <v>3.4613803397376</v>
      </c>
      <c r="AB10" s="5">
        <f>SUMIF(ServBldg!$C$2:$C$42,'ServBldg Projection'!$A10,ServBldg!AH$2:AH$42)</f>
        <v>1.5808200411789199</v>
      </c>
      <c r="AC10" s="5">
        <f>SUMIF(ServBldg!$C$2:$C$42,'ServBldg Projection'!$A10,ServBldg!AI$2:AI$42)</f>
        <v>1.319</v>
      </c>
      <c r="AD10" s="5">
        <f>SUMIF(ServBldg!$C$2:$C$42,'ServBldg Projection'!$A10,ServBldg!AJ$2:AJ$42)</f>
        <v>0.0063583476440585499</v>
      </c>
      <c r="AE10" s="5">
        <f>SUMIF(ServBldg!$C$2:$C$42,'ServBldg Projection'!$A10,ServBldg!AK$2:AK$42)</f>
        <v>1.14061917579664</v>
      </c>
      <c r="AF10" s="5">
        <f>SUMIF(ServBldg!$C$2:$C$42,'ServBldg Projection'!$A10,ServBldg!AL$2:AL$42)</f>
        <v>0.31637440403379102</v>
      </c>
      <c r="AG10" s="5">
        <f>SUMIF(ServBldg!$C$2:$C$42,'ServBldg Projection'!$A10,ServBldg!AM$2:AM$42)</f>
        <v>44.438499999999998</v>
      </c>
      <c r="AH10" s="5">
        <f>SUMIF(ServBldg!$C$2:$C$42,'ServBldg Projection'!$A10,ServBldg!AN$2:AN$42)</f>
        <v>3.7544100502039299</v>
      </c>
      <c r="AI10" s="5">
        <f>SUMIF(ServBldg!$C$2:$C$42,'ServBldg Projection'!$A10,ServBldg!AO$2:AO$42)</f>
        <v>37.879399410165199</v>
      </c>
      <c r="AJ10" s="5">
        <f>SUMIF(ServBldg!$C$2:$C$42,'ServBldg Projection'!$A10,ServBldg!AP$2:AP$42)</f>
        <v>7.7389802038462499</v>
      </c>
      <c r="AK10" s="5">
        <f>SUMIF(ServBldg!$C$2:$C$42,'ServBldg Projection'!$A10,ServBldg!AQ$2:AQ$42)</f>
        <v>7.2318342587714897</v>
      </c>
      <c r="AL10" s="5">
        <f>SUMIF(ServBldg!$C$2:$C$42,'ServBldg Projection'!$A10,ServBldg!AR$2:AR$42)</f>
        <v>4.84646463903122</v>
      </c>
      <c r="AM10" s="5">
        <f>SUMIF(ServBldg!$C$2:$C$42,'ServBldg Projection'!$A10,ServBldg!AS$2:AS$42)</f>
        <v>7.0020758719545801</v>
      </c>
      <c r="AN10" s="5">
        <f>SUMIF(ServBldg!$C$2:$C$42,'ServBldg Projection'!$A10,ServBldg!AT$2:AT$42)</f>
        <v>3.77589520951447</v>
      </c>
      <c r="AO10" s="5">
        <f>SUMIF(ServBldg!$C$2:$C$42,'ServBldg Projection'!$A10,ServBldg!AU$2:AU$42)</f>
        <v>0.118159477779928</v>
      </c>
      <c r="AP10" s="5">
        <f>SUMIF(ServBldg!$C$2:$C$42,'ServBldg Projection'!$A10,ServBldg!AV$2:AV$42)</f>
        <v>81.726132627025294</v>
      </c>
    </row>
    <row r="11" spans="1:42" ht="14.4">
      <c r="A11" t="s">
        <v>112</v>
      </c>
      <c r="C11" t="s">
        <v>76</v>
      </c>
      <c r="D11">
        <v>2010</v>
      </c>
      <c r="E11" t="s">
        <v>104</v>
      </c>
      <c r="F11" s="5">
        <f>SUMIF(ServBldg!$C$2:$C$42,'ServBldg Projection'!$A11,ServBldg!L$2:L$42)</f>
        <v>1.22510879959818</v>
      </c>
      <c r="G11" s="5">
        <f>SUMIF(ServBldg!$C$2:$C$42,'ServBldg Projection'!$A11,ServBldg!M$2:M$42)</f>
        <v>9.2284821099999998</v>
      </c>
      <c r="H11" s="5">
        <f>SUMIF(ServBldg!$C$2:$C$42,'ServBldg Projection'!$A11,ServBldg!N$2:N$42)</f>
        <v>2.4992713513806701</v>
      </c>
      <c r="I11" s="5">
        <f>SUMIF(ServBldg!$C$2:$C$42,'ServBldg Projection'!$A11,ServBldg!O$2:O$42)</f>
        <v>26.5243492472393</v>
      </c>
      <c r="J11" s="5">
        <f>SUMIF(ServBldg!$C$2:$C$42,'ServBldg Projection'!$A11,ServBldg!P$2:P$42)</f>
        <v>9.2029999999999994</v>
      </c>
      <c r="K11" s="5">
        <f>SUMIF(ServBldg!$C$2:$C$42,'ServBldg Projection'!$A11,ServBldg!Q$2:Q$42)</f>
        <v>11.1272300791607</v>
      </c>
      <c r="L11" s="5">
        <f>SUMIF(ServBldg!$C$2:$C$42,'ServBldg Projection'!$A11,ServBldg!R$2:R$42)</f>
        <v>1.7546385522768799</v>
      </c>
      <c r="M11" s="5">
        <f>SUMIF(ServBldg!$C$2:$C$42,'ServBldg Projection'!$A11,ServBldg!S$2:S$42)</f>
        <v>18.341999999999999</v>
      </c>
      <c r="N11" s="5">
        <f>SUMIF(ServBldg!$C$2:$C$42,'ServBldg Projection'!$A11,ServBldg!T$2:T$42)</f>
        <v>42.835000000000001</v>
      </c>
      <c r="O11" s="5">
        <f>SUMIF(ServBldg!$C$2:$C$42,'ServBldg Projection'!$A11,ServBldg!U$2:U$42)</f>
        <v>26.236000000000001</v>
      </c>
      <c r="P11" s="5">
        <f>SUMIF(ServBldg!$C$2:$C$42,'ServBldg Projection'!$A11,ServBldg!V$2:V$42)</f>
        <v>4.9299999999999997</v>
      </c>
      <c r="Q11" s="5">
        <f>SUMIF(ServBldg!$C$2:$C$42,'ServBldg Projection'!$A11,ServBldg!W$2:W$42)</f>
        <v>13.755000000000001</v>
      </c>
      <c r="R11" s="5">
        <f>SUMIF(ServBldg!$C$2:$C$42,'ServBldg Projection'!$A11,ServBldg!X$2:X$42)</f>
        <v>77.796000000000006</v>
      </c>
      <c r="S11" s="5">
        <f>SUMIF(ServBldg!$C$2:$C$42,'ServBldg Projection'!$A11,ServBldg!Y$2:Y$42)</f>
        <v>29.114000000000001</v>
      </c>
      <c r="T11" s="5">
        <f>SUMIF(ServBldg!$C$2:$C$42,'ServBldg Projection'!$A11,ServBldg!Z$2:Z$42)</f>
        <v>124.723</v>
      </c>
      <c r="U11" s="5">
        <f>SUMIF(ServBldg!$C$2:$C$42,'ServBldg Projection'!$A11,ServBldg!AA$2:AA$42)</f>
        <v>5.5019999999999998</v>
      </c>
      <c r="V11" s="5">
        <f>SUMIF(ServBldg!$C$2:$C$42,'ServBldg Projection'!$A11,ServBldg!AB$2:AB$42)</f>
        <v>12.183999999999999</v>
      </c>
      <c r="W11" s="5">
        <f>SUMIF(ServBldg!$C$2:$C$42,'ServBldg Projection'!$A11,ServBldg!AC$2:AC$42)</f>
        <v>14.780185549913799</v>
      </c>
      <c r="X11" s="5">
        <f>SUMIF(ServBldg!$C$2:$C$42,'ServBldg Projection'!$A11,ServBldg!AD$2:AD$42)</f>
        <v>1.6069015407379601</v>
      </c>
      <c r="Y11" s="5">
        <f>SUMIF(ServBldg!$C$2:$C$42,'ServBldg Projection'!$A11,ServBldg!AE$2:AE$42)</f>
        <v>73.418000000000006</v>
      </c>
      <c r="Z11" s="5">
        <f>SUMIF(ServBldg!$C$2:$C$42,'ServBldg Projection'!$A11,ServBldg!AF$2:AF$42)</f>
        <v>0.91928834448152497</v>
      </c>
      <c r="AA11" s="5">
        <f>SUMIF(ServBldg!$C$2:$C$42,'ServBldg Projection'!$A11,ServBldg!AG$2:AG$42)</f>
        <v>1.8338121166732799</v>
      </c>
      <c r="AB11" s="5">
        <f>SUMIF(ServBldg!$C$2:$C$42,'ServBldg Projection'!$A11,ServBldg!AH$2:AH$42)</f>
        <v>1.43921228491168</v>
      </c>
      <c r="AC11" s="5">
        <f>SUMIF(ServBldg!$C$2:$C$42,'ServBldg Projection'!$A11,ServBldg!AI$2:AI$42)</f>
        <v>2.6219999999999999</v>
      </c>
      <c r="AD11" s="5">
        <f>SUMIF(ServBldg!$C$2:$C$42,'ServBldg Projection'!$A11,ServBldg!AJ$2:AJ$42)</f>
        <v>0.0125338034482156</v>
      </c>
      <c r="AE11" s="5">
        <f>SUMIF(ServBldg!$C$2:$C$42,'ServBldg Projection'!$A11,ServBldg!AK$2:AK$42)</f>
        <v>1.97404591309815</v>
      </c>
      <c r="AF11" s="5">
        <f>SUMIF(ServBldg!$C$2:$C$42,'ServBldg Projection'!$A11,ServBldg!AL$2:AL$42)</f>
        <v>0.34474723568420101</v>
      </c>
      <c r="AG11" s="5">
        <f>SUMIF(ServBldg!$C$2:$C$42,'ServBldg Projection'!$A11,ServBldg!AM$2:AM$42)</f>
        <v>135.76400000000001</v>
      </c>
      <c r="AH11" s="5">
        <f>SUMIF(ServBldg!$C$2:$C$42,'ServBldg Projection'!$A11,ServBldg!AN$2:AN$42)</f>
        <v>16.555727709034301</v>
      </c>
      <c r="AI11" s="5">
        <f>SUMIF(ServBldg!$C$2:$C$42,'ServBldg Projection'!$A11,ServBldg!AO$2:AO$42)</f>
        <v>46.439</v>
      </c>
      <c r="AJ11" s="5">
        <f>SUMIF(ServBldg!$C$2:$C$42,'ServBldg Projection'!$A11,ServBldg!AP$2:AP$42)</f>
        <v>13.948118850132699</v>
      </c>
      <c r="AK11" s="5">
        <f>SUMIF(ServBldg!$C$2:$C$42,'ServBldg Projection'!$A11,ServBldg!AQ$2:AQ$42)</f>
        <v>1.375</v>
      </c>
      <c r="AL11" s="5">
        <f>SUMIF(ServBldg!$C$2:$C$42,'ServBldg Projection'!$A11,ServBldg!AR$2:AR$42)</f>
        <v>7.844933179411</v>
      </c>
      <c r="AM11" s="5">
        <f>SUMIF(ServBldg!$C$2:$C$42,'ServBldg Projection'!$A11,ServBldg!AS$2:AS$42)</f>
        <v>28.326000000000001</v>
      </c>
      <c r="AN11" s="5">
        <f>SUMIF(ServBldg!$C$2:$C$42,'ServBldg Projection'!$A11,ServBldg!AT$2:AT$42)</f>
        <v>5.4329999999999998</v>
      </c>
      <c r="AO11" s="5">
        <f>SUMIF(ServBldg!$C$2:$C$42,'ServBldg Projection'!$A11,ServBldg!AU$2:AU$42)</f>
        <v>4.9059999999999997</v>
      </c>
      <c r="AP11" s="5">
        <f>SUMIF(ServBldg!$C$2:$C$42,'ServBldg Projection'!$A11,ServBldg!AV$2:AV$42)</f>
        <v>136.10499999999999</v>
      </c>
    </row>
    <row r="12" spans="3:42" ht="14.4">
      <c r="C12" t="str">
        <f>C6</f>
        <v>COM_PROJ</v>
      </c>
      <c r="D12">
        <v>2060</v>
      </c>
      <c r="E12" t="str">
        <f t="shared" si="0" ref="E12">E6</f>
        <v>NR_HoRest</v>
      </c>
      <c r="F12">
        <f>F6*(1+F21)</f>
        <v>0.84998797086531885</v>
      </c>
      <c r="G12">
        <f t="shared" si="1" ref="G12:AP12">G6*(1+G21)</f>
        <v>45.433366952499995</v>
      </c>
      <c r="H12">
        <f t="shared" si="1"/>
        <v>0.98060503881327254</v>
      </c>
      <c r="I12">
        <f t="shared" si="1"/>
        <v>15.744669418915</v>
      </c>
      <c r="J12">
        <f t="shared" si="1"/>
        <v>1.5</v>
      </c>
      <c r="K12">
        <f t="shared" si="1"/>
        <v>52.966270792444625</v>
      </c>
      <c r="L12">
        <f t="shared" si="1"/>
        <v>3.95887790140105</v>
      </c>
      <c r="M12">
        <f t="shared" si="1"/>
        <v>1.8487500000000001</v>
      </c>
      <c r="N12">
        <f t="shared" si="1"/>
        <v>355.75</v>
      </c>
      <c r="O12">
        <f t="shared" si="1"/>
        <v>6.6512499999999992</v>
      </c>
      <c r="P12">
        <f t="shared" si="1"/>
        <v>0.71499999999999997</v>
      </c>
      <c r="Q12">
        <f t="shared" si="1"/>
        <v>32.571249999999999</v>
      </c>
      <c r="R12">
        <f t="shared" si="1"/>
        <v>45.272500000000008</v>
      </c>
      <c r="S12">
        <f t="shared" si="1"/>
        <v>7.4824999999999999</v>
      </c>
      <c r="T12">
        <f t="shared" si="1"/>
        <v>80.148750000000007</v>
      </c>
      <c r="U12">
        <f t="shared" si="1"/>
        <v>10.9725</v>
      </c>
      <c r="V12">
        <f t="shared" si="1"/>
        <v>35.578749999999999</v>
      </c>
      <c r="W12">
        <f t="shared" si="1"/>
        <v>8.1400231776954879</v>
      </c>
      <c r="X12">
        <f t="shared" si="1"/>
        <v>0.40894624882835495</v>
      </c>
      <c r="Y12">
        <f t="shared" si="1"/>
        <v>51.736250000000005</v>
      </c>
      <c r="Z12">
        <f t="shared" si="1"/>
        <v>0.53648355346968246</v>
      </c>
      <c r="AA12">
        <f t="shared" si="1"/>
        <v>2.8060973426803248</v>
      </c>
      <c r="AB12">
        <f t="shared" si="1"/>
        <v>1.6715646911144375</v>
      </c>
      <c r="AC12">
        <f t="shared" si="1"/>
        <v>1.7887500000000001</v>
      </c>
      <c r="AD12">
        <f t="shared" si="1"/>
        <v>0.0079113978223532</v>
      </c>
      <c r="AE12">
        <f t="shared" si="1"/>
        <v>1.04360427297767</v>
      </c>
      <c r="AF12">
        <f t="shared" si="1"/>
        <v>0.9056547394346175</v>
      </c>
      <c r="AG12">
        <f t="shared" si="1"/>
        <v>16.690000000000001</v>
      </c>
      <c r="AH12">
        <f t="shared" si="1"/>
        <v>5.7217157013215498</v>
      </c>
      <c r="AI12">
        <f t="shared" si="1"/>
        <v>53.366249999999994</v>
      </c>
      <c r="AJ12">
        <f t="shared" si="1"/>
        <v>8.0620345003732758</v>
      </c>
      <c r="AK12">
        <f t="shared" si="1"/>
        <v>6.4625000000000004</v>
      </c>
      <c r="AL12">
        <f t="shared" si="1"/>
        <v>3.6180455270121374</v>
      </c>
      <c r="AM12">
        <f t="shared" si="1"/>
        <v>8.0724999999999998</v>
      </c>
      <c r="AN12">
        <f t="shared" si="1"/>
        <v>3.7562499999999996</v>
      </c>
      <c r="AO12">
        <f t="shared" si="1"/>
        <v>7.0062500000000005</v>
      </c>
      <c r="AP12">
        <f t="shared" si="1"/>
        <v>84.248750000000001</v>
      </c>
    </row>
    <row r="13" spans="3:42" ht="14.4">
      <c r="C13" t="str">
        <f t="shared" si="2" ref="C13:E13">C7</f>
        <v>COM_PROJ</v>
      </c>
      <c r="D13">
        <v>2060</v>
      </c>
      <c r="E13" t="str">
        <f t="shared" si="2"/>
        <v>NR_Hosp</v>
      </c>
      <c r="F13">
        <f t="shared" si="3" ref="F13:AP13">F7*(1+F22)</f>
        <v>0.34709882176432499</v>
      </c>
      <c r="G13">
        <f t="shared" si="3"/>
        <v>5.7124613150000005</v>
      </c>
      <c r="H13">
        <f t="shared" si="3"/>
        <v>0.84932054495892007</v>
      </c>
      <c r="I13">
        <f t="shared" si="3"/>
        <v>32.12589506372175</v>
      </c>
      <c r="J13">
        <f t="shared" si="3"/>
        <v>5.0499999999999998</v>
      </c>
      <c r="K13">
        <f t="shared" si="3"/>
        <v>7.0486344110736878</v>
      </c>
      <c r="L13">
        <f t="shared" si="3"/>
        <v>0.32044952412325878</v>
      </c>
      <c r="M13">
        <f t="shared" si="3"/>
        <v>6.4275000000000002</v>
      </c>
      <c r="N13">
        <f t="shared" si="3"/>
        <v>80.467500000000001</v>
      </c>
      <c r="O13">
        <f t="shared" si="3"/>
        <v>4.5837500000000002</v>
      </c>
      <c r="P13">
        <f t="shared" si="3"/>
        <v>0.6725000000000001</v>
      </c>
      <c r="Q13">
        <f t="shared" si="3"/>
        <v>2.4500000000000002</v>
      </c>
      <c r="R13">
        <f t="shared" si="3"/>
        <v>23.82</v>
      </c>
      <c r="S13">
        <f t="shared" si="3"/>
        <v>10.532500000000001</v>
      </c>
      <c r="T13">
        <f t="shared" si="3"/>
        <v>146.08000000000001</v>
      </c>
      <c r="U13">
        <f t="shared" si="3"/>
        <v>3.9375</v>
      </c>
      <c r="V13">
        <f t="shared" si="3"/>
        <v>14.045000000000002</v>
      </c>
      <c r="W13">
        <f t="shared" si="3"/>
        <v>3.4946637218932253</v>
      </c>
      <c r="X13">
        <f t="shared" si="3"/>
        <v>1.3431178021758126</v>
      </c>
      <c r="Y13">
        <f t="shared" si="3"/>
        <v>38.798024999999996</v>
      </c>
      <c r="Z13">
        <f t="shared" si="3"/>
        <v>0.27895301918058879</v>
      </c>
      <c r="AA13">
        <f t="shared" si="3"/>
        <v>3.4909125000000003</v>
      </c>
      <c r="AB13">
        <f t="shared" si="3"/>
        <v>1.4933080998192998</v>
      </c>
      <c r="AC13">
        <f t="shared" si="3"/>
        <v>1.6600000000000001</v>
      </c>
      <c r="AD13">
        <f t="shared" si="3"/>
        <v>0.0037397268973556751</v>
      </c>
      <c r="AE13">
        <f t="shared" si="3"/>
        <v>0.62097144617783251</v>
      </c>
      <c r="AF13">
        <f t="shared" si="3"/>
        <v>0.059412435010059619</v>
      </c>
      <c r="AG13">
        <f t="shared" si="3"/>
        <v>6.7700000000000005</v>
      </c>
      <c r="AH13">
        <f t="shared" si="3"/>
        <v>14.688314347241125</v>
      </c>
      <c r="AI13">
        <f t="shared" si="3"/>
        <v>12.809999999999999</v>
      </c>
      <c r="AJ13">
        <f t="shared" si="3"/>
        <v>4.2750891696344748</v>
      </c>
      <c r="AK13">
        <f t="shared" si="3"/>
        <v>11.5625</v>
      </c>
      <c r="AL13">
        <f t="shared" si="3"/>
        <v>2.5654978367963128</v>
      </c>
      <c r="AM13">
        <f t="shared" si="3"/>
        <v>23.933749999999996</v>
      </c>
      <c r="AN13">
        <f t="shared" si="3"/>
        <v>1.5537500000000002</v>
      </c>
      <c r="AO13">
        <f t="shared" si="3"/>
        <v>8.4125000000000014</v>
      </c>
      <c r="AP13">
        <f t="shared" si="3"/>
        <v>29.085000000000001</v>
      </c>
    </row>
    <row r="14" spans="3:42" ht="14.4">
      <c r="C14" t="str">
        <f t="shared" si="4" ref="C14:E14">C8</f>
        <v>COM_PROJ</v>
      </c>
      <c r="D14">
        <v>2060</v>
      </c>
      <c r="E14" t="str">
        <f t="shared" si="4"/>
        <v>NR_Offic</v>
      </c>
      <c r="F14">
        <f t="shared" si="5" ref="F14:AP14">F8*(1+F23)</f>
        <v>2.5875673245152626</v>
      </c>
      <c r="G14">
        <f t="shared" si="5"/>
        <v>62.6552844275</v>
      </c>
      <c r="H14">
        <f t="shared" si="5"/>
        <v>6.3595486743582992</v>
      </c>
      <c r="I14">
        <f t="shared" si="5"/>
        <v>108.68282898146762</v>
      </c>
      <c r="J14">
        <f t="shared" si="5"/>
        <v>47.125</v>
      </c>
      <c r="K14">
        <f t="shared" si="5"/>
        <v>77.4578658016665</v>
      </c>
      <c r="L14">
        <f t="shared" si="5"/>
        <v>11.380643637419325</v>
      </c>
      <c r="M14">
        <f t="shared" si="5"/>
        <v>60.03125</v>
      </c>
      <c r="N14">
        <f t="shared" si="5"/>
        <v>693.57945318999998</v>
      </c>
      <c r="O14">
        <f t="shared" si="5"/>
        <v>91.715000000000003</v>
      </c>
      <c r="P14">
        <f t="shared" si="5"/>
        <v>4.8925000000000001</v>
      </c>
      <c r="Q14">
        <f t="shared" si="5"/>
        <v>87.27000000000001</v>
      </c>
      <c r="R14">
        <f t="shared" si="5"/>
        <v>172.63999999999999</v>
      </c>
      <c r="S14">
        <f t="shared" si="5"/>
        <v>35.125</v>
      </c>
      <c r="T14">
        <f t="shared" si="5"/>
        <v>493.08999999999997</v>
      </c>
      <c r="U14">
        <f t="shared" si="5"/>
        <v>14.524999999999999</v>
      </c>
      <c r="V14">
        <f t="shared" si="5"/>
        <v>26.259999999999998</v>
      </c>
      <c r="W14">
        <f t="shared" si="5"/>
        <v>34.60585859635475</v>
      </c>
      <c r="X14">
        <f t="shared" si="5"/>
        <v>6.3162208451822002</v>
      </c>
      <c r="Y14">
        <f t="shared" si="5"/>
        <v>162.411495</v>
      </c>
      <c r="Z14">
        <f t="shared" si="5"/>
        <v>2.136413146610225</v>
      </c>
      <c r="AA14">
        <f t="shared" si="5"/>
        <v>24.498808749999998</v>
      </c>
      <c r="AB14">
        <f t="shared" si="5"/>
        <v>8.7184215262502125</v>
      </c>
      <c r="AC14">
        <f t="shared" si="5"/>
        <v>10.696250000000001</v>
      </c>
      <c r="AD14">
        <f t="shared" si="5"/>
        <v>0.025890670252952126</v>
      </c>
      <c r="AE14">
        <f t="shared" si="5"/>
        <v>4.5888641563823498</v>
      </c>
      <c r="AF14">
        <f t="shared" si="5"/>
        <v>1.8675794036833626</v>
      </c>
      <c r="AG14">
        <f t="shared" si="5"/>
        <v>64.262499999999989</v>
      </c>
      <c r="AH14">
        <f t="shared" si="5"/>
        <v>54.312654570176875</v>
      </c>
      <c r="AI14">
        <f t="shared" si="5"/>
        <v>237.68374999999997</v>
      </c>
      <c r="AJ14">
        <f t="shared" si="5"/>
        <v>31.151592382312376</v>
      </c>
      <c r="AK14">
        <f t="shared" si="5"/>
        <v>31.555</v>
      </c>
      <c r="AL14">
        <f t="shared" si="5"/>
        <v>19.292187045590126</v>
      </c>
      <c r="AM14">
        <f t="shared" si="5"/>
        <v>104.0925</v>
      </c>
      <c r="AN14">
        <f t="shared" si="5"/>
        <v>13.635</v>
      </c>
      <c r="AO14">
        <f t="shared" si="5"/>
        <v>25.762499999999999</v>
      </c>
      <c r="AP14">
        <f t="shared" si="5"/>
        <v>287.30000000000001</v>
      </c>
    </row>
    <row r="15" spans="3:42" ht="14.4">
      <c r="C15" t="str">
        <f t="shared" si="6" ref="C15:E15">C9</f>
        <v>COM_PROJ</v>
      </c>
      <c r="D15">
        <v>2060</v>
      </c>
      <c r="E15" t="str">
        <f t="shared" si="6"/>
        <v>NR_ShopL</v>
      </c>
      <c r="F15">
        <f t="shared" si="7" ref="F15:AP15">F9*(1+F24)</f>
        <v>0.66489927696388262</v>
      </c>
      <c r="G15">
        <f t="shared" si="7"/>
        <v>10.622905827687664</v>
      </c>
      <c r="H15">
        <f t="shared" si="7"/>
        <v>1.6730962620134751</v>
      </c>
      <c r="I15">
        <f t="shared" si="7"/>
        <v>29.107187992975998</v>
      </c>
      <c r="J15">
        <f t="shared" si="7"/>
        <v>8.8454603259818008</v>
      </c>
      <c r="K15">
        <f t="shared" si="7"/>
        <v>13.156197977350498</v>
      </c>
      <c r="L15">
        <f t="shared" si="7"/>
        <v>2.1503431818817873</v>
      </c>
      <c r="M15">
        <f t="shared" si="7"/>
        <v>11.907350438821648</v>
      </c>
      <c r="N15">
        <f t="shared" si="7"/>
        <v>384.73972306770378</v>
      </c>
      <c r="O15">
        <f t="shared" si="7"/>
        <v>9.4200189976874249</v>
      </c>
      <c r="P15">
        <f t="shared" si="7"/>
        <v>1.3968385606326874</v>
      </c>
      <c r="Q15">
        <f t="shared" si="7"/>
        <v>16.163425350929252</v>
      </c>
      <c r="R15">
        <f t="shared" si="7"/>
        <v>44.87057056931738</v>
      </c>
      <c r="S15">
        <f t="shared" si="7"/>
        <v>24.055308603850627</v>
      </c>
      <c r="T15">
        <f t="shared" si="7"/>
        <v>129.49625</v>
      </c>
      <c r="U15">
        <f t="shared" si="7"/>
        <v>1.7933426034809374</v>
      </c>
      <c r="V15">
        <f t="shared" si="7"/>
        <v>19.551491409420127</v>
      </c>
      <c r="W15">
        <f t="shared" si="7"/>
        <v>30.298410369803001</v>
      </c>
      <c r="X15">
        <f t="shared" si="7"/>
        <v>0.62785476618003</v>
      </c>
      <c r="Y15">
        <f t="shared" si="7"/>
        <v>86.273442790126012</v>
      </c>
      <c r="Z15">
        <f t="shared" si="7"/>
        <v>0.55815827926536998</v>
      </c>
      <c r="AA15">
        <f t="shared" si="7"/>
        <v>6.6219595753280007</v>
      </c>
      <c r="AB15">
        <f t="shared" si="7"/>
        <v>3.0242635541602247</v>
      </c>
      <c r="AC15">
        <f t="shared" si="7"/>
        <v>1.6487499999999999</v>
      </c>
      <c r="AD15">
        <f t="shared" si="7"/>
        <v>0.0066475388749121745</v>
      </c>
      <c r="AE15">
        <f t="shared" si="7"/>
        <v>1.1924969720181324</v>
      </c>
      <c r="AF15">
        <f t="shared" si="7"/>
        <v>0.33076378763388503</v>
      </c>
      <c r="AG15">
        <f t="shared" si="7"/>
        <v>55.548124999999999</v>
      </c>
      <c r="AH15">
        <f t="shared" si="7"/>
        <v>5.5581798635990252</v>
      </c>
      <c r="AI15">
        <f t="shared" si="7"/>
        <v>72.467000737293503</v>
      </c>
      <c r="AJ15">
        <f t="shared" si="7"/>
        <v>8.0909655522399504</v>
      </c>
      <c r="AK15">
        <f t="shared" si="7"/>
        <v>13.835207176535624</v>
      </c>
      <c r="AL15">
        <f t="shared" si="7"/>
        <v>5.0668922017738254</v>
      </c>
      <c r="AM15">
        <f t="shared" si="7"/>
        <v>10.366155160056776</v>
      </c>
      <c r="AN15">
        <f t="shared" si="7"/>
        <v>3.9476309881069129</v>
      </c>
      <c r="AO15">
        <f t="shared" si="7"/>
        <v>0.22605065277508998</v>
      </c>
      <c r="AP15">
        <f t="shared" si="7"/>
        <v>247.19983421621876</v>
      </c>
    </row>
    <row r="16" spans="3:42" ht="14.4">
      <c r="C16" t="str">
        <f t="shared" si="8" ref="C16:E16">C10</f>
        <v>COM_PROJ</v>
      </c>
      <c r="D16">
        <v>2060</v>
      </c>
      <c r="E16" t="str">
        <f t="shared" si="8"/>
        <v>NR_ShopS</v>
      </c>
      <c r="F16">
        <f t="shared" si="9" ref="F16:AP16">F10*(1+F25)</f>
        <v>0.7949672861588537</v>
      </c>
      <c r="G16">
        <f t="shared" si="9"/>
        <v>6.9409056648123375</v>
      </c>
      <c r="H16">
        <f t="shared" si="9"/>
        <v>2.000388391109075</v>
      </c>
      <c r="I16">
        <f t="shared" si="9"/>
        <v>29.107187992975998</v>
      </c>
      <c r="J16">
        <f t="shared" si="9"/>
        <v>5.7795396740182001</v>
      </c>
      <c r="K16">
        <f t="shared" si="9"/>
        <v>8.5961346687624882</v>
      </c>
      <c r="L16">
        <f t="shared" si="9"/>
        <v>2.5709946496206246</v>
      </c>
      <c r="M16">
        <f t="shared" si="9"/>
        <v>7.7801495611783373</v>
      </c>
      <c r="N16">
        <f t="shared" si="9"/>
        <v>251.38527693229628</v>
      </c>
      <c r="O16">
        <f t="shared" si="9"/>
        <v>7.9537310023125753</v>
      </c>
      <c r="P16">
        <f t="shared" si="9"/>
        <v>1.1794114393673087</v>
      </c>
      <c r="Q16">
        <f t="shared" si="9"/>
        <v>19.325324649070751</v>
      </c>
      <c r="R16">
        <f t="shared" si="9"/>
        <v>53.648179430682617</v>
      </c>
      <c r="S16">
        <f t="shared" si="9"/>
        <v>20.310941396149374</v>
      </c>
      <c r="T16">
        <f t="shared" si="9"/>
        <v>129.49625</v>
      </c>
      <c r="U16">
        <f t="shared" si="9"/>
        <v>2.1441573965190748</v>
      </c>
      <c r="V16">
        <f t="shared" si="9"/>
        <v>12.774758590579875</v>
      </c>
      <c r="W16">
        <f t="shared" si="9"/>
        <v>12.521104191481376</v>
      </c>
      <c r="X16">
        <f t="shared" si="9"/>
        <v>0.53012503689660995</v>
      </c>
      <c r="Y16">
        <f t="shared" si="9"/>
        <v>103.150307209874</v>
      </c>
      <c r="Z16">
        <f t="shared" si="9"/>
        <v>0.6673455482472862</v>
      </c>
      <c r="AA16">
        <f t="shared" si="9"/>
        <v>4.3267254246720004</v>
      </c>
      <c r="AB16">
        <f t="shared" si="9"/>
        <v>1.9760250514736499</v>
      </c>
      <c r="AC16">
        <f t="shared" si="9"/>
        <v>1.6487499999999999</v>
      </c>
      <c r="AD16">
        <f t="shared" si="9"/>
        <v>0.0079479345550731873</v>
      </c>
      <c r="AE16">
        <f t="shared" si="9"/>
        <v>1.4257739697458001</v>
      </c>
      <c r="AF16">
        <f t="shared" si="9"/>
        <v>0.39546800504223878</v>
      </c>
      <c r="AG16">
        <f t="shared" si="9"/>
        <v>55.548124999999999</v>
      </c>
      <c r="AH16">
        <f t="shared" si="9"/>
        <v>4.6930125627549124</v>
      </c>
      <c r="AI16">
        <f t="shared" si="9"/>
        <v>47.3492492627065</v>
      </c>
      <c r="AJ16">
        <f t="shared" si="9"/>
        <v>9.6737252548078132</v>
      </c>
      <c r="AK16">
        <f t="shared" si="9"/>
        <v>9.0397928234643619</v>
      </c>
      <c r="AL16">
        <f t="shared" si="9"/>
        <v>6.0580807987890246</v>
      </c>
      <c r="AM16">
        <f t="shared" si="9"/>
        <v>8.7525948399432245</v>
      </c>
      <c r="AN16">
        <f t="shared" si="9"/>
        <v>4.7198690118930875</v>
      </c>
      <c r="AO16">
        <f t="shared" si="9"/>
        <v>0.14769934722490999</v>
      </c>
      <c r="AP16">
        <f t="shared" si="9"/>
        <v>102.15766578378162</v>
      </c>
    </row>
    <row r="17" spans="3:42" ht="14.4">
      <c r="C17" t="str">
        <f t="shared" si="10" ref="C17:E17">C11</f>
        <v>COM_PROJ</v>
      </c>
      <c r="D17">
        <v>2060</v>
      </c>
      <c r="E17" t="str">
        <f t="shared" si="10"/>
        <v>NR_SpoRecr</v>
      </c>
      <c r="F17">
        <f t="shared" si="11" ref="F17:AP17">F11*(1+F26)</f>
        <v>1.531385999497725</v>
      </c>
      <c r="G17">
        <f t="shared" si="11"/>
        <v>11.5356026375</v>
      </c>
      <c r="H17">
        <f t="shared" si="11"/>
        <v>3.1240891892258378</v>
      </c>
      <c r="I17">
        <f t="shared" si="11"/>
        <v>33.155436559049122</v>
      </c>
      <c r="J17">
        <f t="shared" si="11"/>
        <v>11.50375</v>
      </c>
      <c r="K17">
        <f t="shared" si="11"/>
        <v>13.909037598950874</v>
      </c>
      <c r="L17">
        <f t="shared" si="11"/>
        <v>2.1932981903460997</v>
      </c>
      <c r="M17">
        <f t="shared" si="11"/>
        <v>22.927499999999998</v>
      </c>
      <c r="N17">
        <f t="shared" si="11"/>
        <v>53.543750000000003</v>
      </c>
      <c r="O17">
        <f t="shared" si="11"/>
        <v>32.795000000000002</v>
      </c>
      <c r="P17">
        <f t="shared" si="11"/>
        <v>6.1624999999999996</v>
      </c>
      <c r="Q17">
        <f t="shared" si="11"/>
        <v>17.193750000000001</v>
      </c>
      <c r="R17">
        <f t="shared" si="11"/>
        <v>97.245000000000005</v>
      </c>
      <c r="S17">
        <f t="shared" si="11"/>
        <v>36.392499999999998</v>
      </c>
      <c r="T17">
        <f t="shared" si="11"/>
        <v>155.90375</v>
      </c>
      <c r="U17">
        <f t="shared" si="11"/>
        <v>6.8774999999999995</v>
      </c>
      <c r="V17">
        <f t="shared" si="11"/>
        <v>15.229999999999999</v>
      </c>
      <c r="W17">
        <f t="shared" si="11"/>
        <v>18.475231937392248</v>
      </c>
      <c r="X17">
        <f t="shared" si="11"/>
        <v>2.0086269259224503</v>
      </c>
      <c r="Y17">
        <f t="shared" si="11"/>
        <v>91.772500000000008</v>
      </c>
      <c r="Z17">
        <f t="shared" si="11"/>
        <v>1.1491104306019062</v>
      </c>
      <c r="AA17">
        <f t="shared" si="11"/>
        <v>2.2922651458415997</v>
      </c>
      <c r="AB17">
        <f t="shared" si="11"/>
        <v>1.7990153561395998</v>
      </c>
      <c r="AC17">
        <f t="shared" si="11"/>
        <v>3.2774999999999999</v>
      </c>
      <c r="AD17">
        <f t="shared" si="11"/>
        <v>0.0156672543102695</v>
      </c>
      <c r="AE17">
        <f t="shared" si="11"/>
        <v>2.4675573913726874</v>
      </c>
      <c r="AF17">
        <f t="shared" si="11"/>
        <v>0.43093404460525125</v>
      </c>
      <c r="AG17">
        <f t="shared" si="11"/>
        <v>169.70500000000001</v>
      </c>
      <c r="AH17">
        <f t="shared" si="11"/>
        <v>20.694659636292876</v>
      </c>
      <c r="AI17">
        <f t="shared" si="11"/>
        <v>58.048749999999998</v>
      </c>
      <c r="AJ17">
        <f t="shared" si="11"/>
        <v>17.435148562665873</v>
      </c>
      <c r="AK17">
        <f t="shared" si="11"/>
        <v>1.71875</v>
      </c>
      <c r="AL17">
        <f t="shared" si="11"/>
        <v>9.8061664742637493</v>
      </c>
      <c r="AM17">
        <f t="shared" si="11"/>
        <v>35.407499999999999</v>
      </c>
      <c r="AN17">
        <f t="shared" si="11"/>
        <v>6.7912499999999998</v>
      </c>
      <c r="AO17">
        <f t="shared" si="11"/>
        <v>6.1324999999999994</v>
      </c>
      <c r="AP17">
        <f t="shared" si="11"/>
        <v>170.13124999999999</v>
      </c>
    </row>
    <row r="20" spans="5:42" ht="14.4">
      <c r="E20" s="14" t="s">
        <v>114</v>
      </c>
      <c r="F20" t="s">
        <v>12</v>
      </c>
      <c r="G20" t="s">
        <v>13</v>
      </c>
      <c r="H20" t="s">
        <v>14</v>
      </c>
      <c r="I20" t="s">
        <v>15</v>
      </c>
      <c r="J20" t="s">
        <v>16</v>
      </c>
      <c r="K20" t="s">
        <v>17</v>
      </c>
      <c r="L20" t="s">
        <v>18</v>
      </c>
      <c r="M20" t="s">
        <v>19</v>
      </c>
      <c r="N20" t="s">
        <v>20</v>
      </c>
      <c r="O20" t="s">
        <v>21</v>
      </c>
      <c r="P20" t="s">
        <v>22</v>
      </c>
      <c r="Q20" t="s">
        <v>23</v>
      </c>
      <c r="R20" t="s">
        <v>24</v>
      </c>
      <c r="S20" t="s">
        <v>25</v>
      </c>
      <c r="T20" t="s">
        <v>26</v>
      </c>
      <c r="U20" t="s">
        <v>27</v>
      </c>
      <c r="V20" t="s">
        <v>28</v>
      </c>
      <c r="W20" t="s">
        <v>29</v>
      </c>
      <c r="X20" t="s">
        <v>30</v>
      </c>
      <c r="Y20" t="s">
        <v>31</v>
      </c>
      <c r="Z20" t="s">
        <v>32</v>
      </c>
      <c r="AA20" t="s">
        <v>33</v>
      </c>
      <c r="AB20" t="s">
        <v>34</v>
      </c>
      <c r="AC20" t="s">
        <v>35</v>
      </c>
      <c r="AD20" t="s">
        <v>36</v>
      </c>
      <c r="AE20" t="s">
        <v>37</v>
      </c>
      <c r="AF20" t="s">
        <v>38</v>
      </c>
      <c r="AG20" t="s">
        <v>39</v>
      </c>
      <c r="AH20" t="s">
        <v>40</v>
      </c>
      <c r="AI20" t="s">
        <v>41</v>
      </c>
      <c r="AJ20" t="s">
        <v>42</v>
      </c>
      <c r="AK20" t="s">
        <v>43</v>
      </c>
      <c r="AL20" t="s">
        <v>44</v>
      </c>
      <c r="AM20" t="s">
        <v>45</v>
      </c>
      <c r="AN20" t="s">
        <v>46</v>
      </c>
      <c r="AO20" t="s">
        <v>47</v>
      </c>
      <c r="AP20" t="s">
        <v>48</v>
      </c>
    </row>
    <row r="21" spans="2:42" ht="14.4">
      <c r="B21" s="10" t="s">
        <v>115</v>
      </c>
      <c r="E21" t="s">
        <v>99</v>
      </c>
      <c r="F21" s="13">
        <v>0.25</v>
      </c>
      <c r="G21" s="13">
        <v>0.25</v>
      </c>
      <c r="H21" s="13">
        <v>0.25</v>
      </c>
      <c r="I21" s="13">
        <v>0.25</v>
      </c>
      <c r="J21" s="13">
        <v>0.25</v>
      </c>
      <c r="K21" s="13">
        <v>0.25</v>
      </c>
      <c r="L21" s="13">
        <v>0.25</v>
      </c>
      <c r="M21" s="13">
        <v>0.25</v>
      </c>
      <c r="N21" s="13">
        <v>0.25</v>
      </c>
      <c r="O21" s="13">
        <v>0.25</v>
      </c>
      <c r="P21" s="13">
        <v>0.25</v>
      </c>
      <c r="Q21" s="13">
        <v>0.25</v>
      </c>
      <c r="R21" s="13">
        <v>0.25</v>
      </c>
      <c r="S21" s="13">
        <v>0.25</v>
      </c>
      <c r="T21" s="13">
        <v>0.25</v>
      </c>
      <c r="U21" s="13">
        <v>0.25</v>
      </c>
      <c r="V21" s="13">
        <v>0.25</v>
      </c>
      <c r="W21" s="13">
        <v>0.25</v>
      </c>
      <c r="X21" s="13">
        <v>0.25</v>
      </c>
      <c r="Y21" s="13">
        <v>0.25</v>
      </c>
      <c r="Z21" s="13">
        <v>0.25</v>
      </c>
      <c r="AA21" s="13">
        <v>0.25</v>
      </c>
      <c r="AB21" s="13">
        <v>0.25</v>
      </c>
      <c r="AC21" s="13">
        <v>0.25</v>
      </c>
      <c r="AD21" s="13">
        <v>0.25</v>
      </c>
      <c r="AE21" s="13">
        <v>0.25</v>
      </c>
      <c r="AF21" s="13">
        <v>0.25</v>
      </c>
      <c r="AG21" s="13">
        <v>0.25</v>
      </c>
      <c r="AH21" s="13">
        <v>0.25</v>
      </c>
      <c r="AI21" s="13">
        <v>0.25</v>
      </c>
      <c r="AJ21" s="13">
        <v>0.25</v>
      </c>
      <c r="AK21" s="13">
        <v>0.25</v>
      </c>
      <c r="AL21" s="13">
        <v>0.25</v>
      </c>
      <c r="AM21" s="13">
        <v>0.25</v>
      </c>
      <c r="AN21" s="13">
        <v>0.25</v>
      </c>
      <c r="AO21" s="13">
        <v>0.25</v>
      </c>
      <c r="AP21" s="13">
        <v>0.25</v>
      </c>
    </row>
    <row r="22" spans="5:42" ht="14.4">
      <c r="E22" t="s">
        <v>100</v>
      </c>
      <c r="F22" s="13">
        <v>0.25</v>
      </c>
      <c r="G22" s="13">
        <v>0.25</v>
      </c>
      <c r="H22" s="13">
        <v>0.25</v>
      </c>
      <c r="I22" s="13">
        <v>0.25</v>
      </c>
      <c r="J22" s="13">
        <v>0.25</v>
      </c>
      <c r="K22" s="13">
        <v>0.25</v>
      </c>
      <c r="L22" s="13">
        <v>0.25</v>
      </c>
      <c r="M22" s="13">
        <v>0.25</v>
      </c>
      <c r="N22" s="13">
        <v>0.25</v>
      </c>
      <c r="O22" s="13">
        <v>0.25</v>
      </c>
      <c r="P22" s="13">
        <v>0.25</v>
      </c>
      <c r="Q22" s="13">
        <v>0.25</v>
      </c>
      <c r="R22" s="13">
        <v>0.25</v>
      </c>
      <c r="S22" s="13">
        <v>0.25</v>
      </c>
      <c r="T22" s="13">
        <v>0.25</v>
      </c>
      <c r="U22" s="13">
        <v>0.25</v>
      </c>
      <c r="V22" s="13">
        <v>0.25</v>
      </c>
      <c r="W22" s="13">
        <v>0.25</v>
      </c>
      <c r="X22" s="13">
        <v>0.25</v>
      </c>
      <c r="Y22" s="13">
        <v>0.25</v>
      </c>
      <c r="Z22" s="13">
        <v>0.25</v>
      </c>
      <c r="AA22" s="13">
        <v>0.25</v>
      </c>
      <c r="AB22" s="13">
        <v>0.25</v>
      </c>
      <c r="AC22" s="13">
        <v>0.25</v>
      </c>
      <c r="AD22" s="13">
        <v>0.25</v>
      </c>
      <c r="AE22" s="13">
        <v>0.25</v>
      </c>
      <c r="AF22" s="13">
        <v>0.25</v>
      </c>
      <c r="AG22" s="13">
        <v>0.25</v>
      </c>
      <c r="AH22" s="13">
        <v>0.25</v>
      </c>
      <c r="AI22" s="13">
        <v>0.25</v>
      </c>
      <c r="AJ22" s="13">
        <v>0.25</v>
      </c>
      <c r="AK22" s="13">
        <v>0.25</v>
      </c>
      <c r="AL22" s="13">
        <v>0.25</v>
      </c>
      <c r="AM22" s="13">
        <v>0.25</v>
      </c>
      <c r="AN22" s="13">
        <v>0.25</v>
      </c>
      <c r="AO22" s="13">
        <v>0.25</v>
      </c>
      <c r="AP22" s="13">
        <v>0.25</v>
      </c>
    </row>
    <row r="23" spans="5:42" ht="14.4">
      <c r="E23" t="s">
        <v>101</v>
      </c>
      <c r="F23" s="13">
        <v>0.25</v>
      </c>
      <c r="G23" s="13">
        <v>0.25</v>
      </c>
      <c r="H23" s="13">
        <v>0.25</v>
      </c>
      <c r="I23" s="13">
        <v>0.25</v>
      </c>
      <c r="J23" s="13">
        <v>0.25</v>
      </c>
      <c r="K23" s="13">
        <v>0.25</v>
      </c>
      <c r="L23" s="13">
        <v>0.25</v>
      </c>
      <c r="M23" s="13">
        <v>0.25</v>
      </c>
      <c r="N23" s="13">
        <v>0.25</v>
      </c>
      <c r="O23" s="13">
        <v>0.25</v>
      </c>
      <c r="P23" s="13">
        <v>0.25</v>
      </c>
      <c r="Q23" s="13">
        <v>0.25</v>
      </c>
      <c r="R23" s="13">
        <v>0.25</v>
      </c>
      <c r="S23" s="13">
        <v>0.25</v>
      </c>
      <c r="T23" s="13">
        <v>0.25</v>
      </c>
      <c r="U23" s="13">
        <v>0.25</v>
      </c>
      <c r="V23" s="13">
        <v>0.25</v>
      </c>
      <c r="W23" s="13">
        <v>0.25</v>
      </c>
      <c r="X23" s="13">
        <v>0.25</v>
      </c>
      <c r="Y23" s="13">
        <v>0.25</v>
      </c>
      <c r="Z23" s="13">
        <v>0.25</v>
      </c>
      <c r="AA23" s="13">
        <v>0.25</v>
      </c>
      <c r="AB23" s="13">
        <v>0.25</v>
      </c>
      <c r="AC23" s="13">
        <v>0.25</v>
      </c>
      <c r="AD23" s="13">
        <v>0.25</v>
      </c>
      <c r="AE23" s="13">
        <v>0.25</v>
      </c>
      <c r="AF23" s="13">
        <v>0.25</v>
      </c>
      <c r="AG23" s="13">
        <v>0.25</v>
      </c>
      <c r="AH23" s="13">
        <v>0.25</v>
      </c>
      <c r="AI23" s="13">
        <v>0.25</v>
      </c>
      <c r="AJ23" s="13">
        <v>0.25</v>
      </c>
      <c r="AK23" s="13">
        <v>0.25</v>
      </c>
      <c r="AL23" s="13">
        <v>0.25</v>
      </c>
      <c r="AM23" s="13">
        <v>0.25</v>
      </c>
      <c r="AN23" s="13">
        <v>0.25</v>
      </c>
      <c r="AO23" s="13">
        <v>0.25</v>
      </c>
      <c r="AP23" s="13">
        <v>0.25</v>
      </c>
    </row>
    <row r="24" spans="5:42" ht="14.4">
      <c r="E24" t="s">
        <v>102</v>
      </c>
      <c r="F24" s="13">
        <v>0.25</v>
      </c>
      <c r="G24" s="13">
        <v>0.25</v>
      </c>
      <c r="H24" s="13">
        <v>0.25</v>
      </c>
      <c r="I24" s="13">
        <v>0.25</v>
      </c>
      <c r="J24" s="13">
        <v>0.25</v>
      </c>
      <c r="K24" s="13">
        <v>0.25</v>
      </c>
      <c r="L24" s="13">
        <v>0.25</v>
      </c>
      <c r="M24" s="13">
        <v>0.25</v>
      </c>
      <c r="N24" s="13">
        <v>0.25</v>
      </c>
      <c r="O24" s="13">
        <v>0.25</v>
      </c>
      <c r="P24" s="13">
        <v>0.25</v>
      </c>
      <c r="Q24" s="13">
        <v>0.25</v>
      </c>
      <c r="R24" s="13">
        <v>0.25</v>
      </c>
      <c r="S24" s="13">
        <v>0.25</v>
      </c>
      <c r="T24" s="13">
        <v>0.25</v>
      </c>
      <c r="U24" s="13">
        <v>0.25</v>
      </c>
      <c r="V24" s="13">
        <v>0.25</v>
      </c>
      <c r="W24" s="13">
        <v>0.25</v>
      </c>
      <c r="X24" s="13">
        <v>0.25</v>
      </c>
      <c r="Y24" s="13">
        <v>0.25</v>
      </c>
      <c r="Z24" s="13">
        <v>0.25</v>
      </c>
      <c r="AA24" s="13">
        <v>0.25</v>
      </c>
      <c r="AB24" s="13">
        <v>0.25</v>
      </c>
      <c r="AC24" s="13">
        <v>0.25</v>
      </c>
      <c r="AD24" s="13">
        <v>0.25</v>
      </c>
      <c r="AE24" s="13">
        <v>0.25</v>
      </c>
      <c r="AF24" s="13">
        <v>0.25</v>
      </c>
      <c r="AG24" s="13">
        <v>0.25</v>
      </c>
      <c r="AH24" s="13">
        <v>0.25</v>
      </c>
      <c r="AI24" s="13">
        <v>0.25</v>
      </c>
      <c r="AJ24" s="13">
        <v>0.25</v>
      </c>
      <c r="AK24" s="13">
        <v>0.25</v>
      </c>
      <c r="AL24" s="13">
        <v>0.25</v>
      </c>
      <c r="AM24" s="13">
        <v>0.25</v>
      </c>
      <c r="AN24" s="13">
        <v>0.25</v>
      </c>
      <c r="AO24" s="13">
        <v>0.25</v>
      </c>
      <c r="AP24" s="13">
        <v>0.25</v>
      </c>
    </row>
    <row r="25" spans="5:42" ht="14.4">
      <c r="E25" t="s">
        <v>103</v>
      </c>
      <c r="F25" s="13">
        <v>0.25</v>
      </c>
      <c r="G25" s="13">
        <v>0.25</v>
      </c>
      <c r="H25" s="13">
        <v>0.25</v>
      </c>
      <c r="I25" s="13">
        <v>0.25</v>
      </c>
      <c r="J25" s="13">
        <v>0.25</v>
      </c>
      <c r="K25" s="13">
        <v>0.25</v>
      </c>
      <c r="L25" s="13">
        <v>0.25</v>
      </c>
      <c r="M25" s="13">
        <v>0.25</v>
      </c>
      <c r="N25" s="13">
        <v>0.25</v>
      </c>
      <c r="O25" s="13">
        <v>0.25</v>
      </c>
      <c r="P25" s="13">
        <v>0.25</v>
      </c>
      <c r="Q25" s="13">
        <v>0.25</v>
      </c>
      <c r="R25" s="13">
        <v>0.25</v>
      </c>
      <c r="S25" s="13">
        <v>0.25</v>
      </c>
      <c r="T25" s="13">
        <v>0.25</v>
      </c>
      <c r="U25" s="13">
        <v>0.25</v>
      </c>
      <c r="V25" s="13">
        <v>0.25</v>
      </c>
      <c r="W25" s="13">
        <v>0.25</v>
      </c>
      <c r="X25" s="13">
        <v>0.25</v>
      </c>
      <c r="Y25" s="13">
        <v>0.25</v>
      </c>
      <c r="Z25" s="13">
        <v>0.25</v>
      </c>
      <c r="AA25" s="13">
        <v>0.25</v>
      </c>
      <c r="AB25" s="13">
        <v>0.25</v>
      </c>
      <c r="AC25" s="13">
        <v>0.25</v>
      </c>
      <c r="AD25" s="13">
        <v>0.25</v>
      </c>
      <c r="AE25" s="13">
        <v>0.25</v>
      </c>
      <c r="AF25" s="13">
        <v>0.25</v>
      </c>
      <c r="AG25" s="13">
        <v>0.25</v>
      </c>
      <c r="AH25" s="13">
        <v>0.25</v>
      </c>
      <c r="AI25" s="13">
        <v>0.25</v>
      </c>
      <c r="AJ25" s="13">
        <v>0.25</v>
      </c>
      <c r="AK25" s="13">
        <v>0.25</v>
      </c>
      <c r="AL25" s="13">
        <v>0.25</v>
      </c>
      <c r="AM25" s="13">
        <v>0.25</v>
      </c>
      <c r="AN25" s="13">
        <v>0.25</v>
      </c>
      <c r="AO25" s="13">
        <v>0.25</v>
      </c>
      <c r="AP25" s="13">
        <v>0.25</v>
      </c>
    </row>
    <row r="26" spans="5:42" ht="14.4">
      <c r="E26" t="s">
        <v>104</v>
      </c>
      <c r="F26" s="13">
        <v>0.25</v>
      </c>
      <c r="G26" s="13">
        <v>0.25</v>
      </c>
      <c r="H26" s="13">
        <v>0.25</v>
      </c>
      <c r="I26" s="13">
        <v>0.25</v>
      </c>
      <c r="J26" s="13">
        <v>0.25</v>
      </c>
      <c r="K26" s="13">
        <v>0.25</v>
      </c>
      <c r="L26" s="13">
        <v>0.25</v>
      </c>
      <c r="M26" s="13">
        <v>0.25</v>
      </c>
      <c r="N26" s="13">
        <v>0.25</v>
      </c>
      <c r="O26" s="13">
        <v>0.25</v>
      </c>
      <c r="P26" s="13">
        <v>0.25</v>
      </c>
      <c r="Q26" s="13">
        <v>0.25</v>
      </c>
      <c r="R26" s="13">
        <v>0.25</v>
      </c>
      <c r="S26" s="13">
        <v>0.25</v>
      </c>
      <c r="T26" s="13">
        <v>0.25</v>
      </c>
      <c r="U26" s="13">
        <v>0.25</v>
      </c>
      <c r="V26" s="13">
        <v>0.25</v>
      </c>
      <c r="W26" s="13">
        <v>0.25</v>
      </c>
      <c r="X26" s="13">
        <v>0.25</v>
      </c>
      <c r="Y26" s="13">
        <v>0.25</v>
      </c>
      <c r="Z26" s="13">
        <v>0.25</v>
      </c>
      <c r="AA26" s="13">
        <v>0.25</v>
      </c>
      <c r="AB26" s="13">
        <v>0.25</v>
      </c>
      <c r="AC26" s="13">
        <v>0.25</v>
      </c>
      <c r="AD26" s="13">
        <v>0.25</v>
      </c>
      <c r="AE26" s="13">
        <v>0.25</v>
      </c>
      <c r="AF26" s="13">
        <v>0.25</v>
      </c>
      <c r="AG26" s="13">
        <v>0.25</v>
      </c>
      <c r="AH26" s="13">
        <v>0.25</v>
      </c>
      <c r="AI26" s="13">
        <v>0.25</v>
      </c>
      <c r="AJ26" s="13">
        <v>0.25</v>
      </c>
      <c r="AK26" s="13">
        <v>0.25</v>
      </c>
      <c r="AL26" s="13">
        <v>0.25</v>
      </c>
      <c r="AM26" s="13">
        <v>0.25</v>
      </c>
      <c r="AN26" s="13">
        <v>0.25</v>
      </c>
      <c r="AO26" s="13">
        <v>0.25</v>
      </c>
      <c r="AP26" s="13">
        <v>0.25</v>
      </c>
    </row>
  </sheetData>
  <sortState ref="F28:F33">
    <sortCondition sortBy="value" ref="F28:F33"/>
  </sortState>
  <pageMargins left="0.7" right="0.7" top="0.75" bottom="0.75" header="0.3" footer="0.3"/>
  <pageSetup orientation="portrait" paperSize="1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H71"/>
  <sheetViews>
    <sheetView workbookViewId="0" topLeftCell="A1">
      <selection pane="topLeft" activeCell="E23" sqref="E23"/>
    </sheetView>
  </sheetViews>
  <sheetFormatPr defaultRowHeight="14.4"/>
  <cols>
    <col min="5" max="5" width="9.14285714285714" style="24"/>
  </cols>
  <sheetData>
    <row r="2" spans="2:15" ht="14.4">
      <c r="B2" s="24" t="s">
        <v>124</v>
      </c>
      <c r="C2" s="24"/>
      <c r="D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2:16" ht="14.4">
      <c r="B3" s="24"/>
      <c r="C3" s="24" t="s">
        <v>125</v>
      </c>
      <c r="D3" s="24" t="s">
        <v>117</v>
      </c>
      <c r="F3" s="24">
        <v>2011</v>
      </c>
      <c r="G3" s="24">
        <v>2012</v>
      </c>
      <c r="H3" s="24">
        <v>2013</v>
      </c>
      <c r="I3" s="24">
        <v>2014</v>
      </c>
      <c r="J3" s="24">
        <v>2015</v>
      </c>
      <c r="K3" s="24" t="s">
        <v>126</v>
      </c>
      <c r="L3" s="24" t="s">
        <v>127</v>
      </c>
      <c r="M3" s="24" t="s">
        <v>128</v>
      </c>
      <c r="N3" s="24" t="s">
        <v>129</v>
      </c>
      <c r="P3" s="24" t="s">
        <v>130</v>
      </c>
    </row>
    <row r="4" spans="2:16" ht="14.4">
      <c r="B4" s="24" t="s">
        <v>131</v>
      </c>
      <c r="C4" s="24" t="s">
        <v>13</v>
      </c>
      <c r="D4" s="24" t="s">
        <v>132</v>
      </c>
      <c r="E4" s="24">
        <f>G4</f>
        <v>1.8200000000000001</v>
      </c>
      <c r="F4" s="24" t="s">
        <v>52</v>
      </c>
      <c r="G4" s="24">
        <v>1.82</v>
      </c>
      <c r="H4" s="24" t="s">
        <v>52</v>
      </c>
      <c r="I4" s="24" t="s">
        <v>52</v>
      </c>
      <c r="J4" s="24" t="s">
        <v>52</v>
      </c>
      <c r="K4" s="24" t="s">
        <v>133</v>
      </c>
      <c r="L4" s="24" t="s">
        <v>134</v>
      </c>
      <c r="M4" s="24" t="s">
        <v>135</v>
      </c>
      <c r="N4" s="24">
        <v>4</v>
      </c>
      <c r="P4" s="24"/>
    </row>
    <row r="5" spans="2:16" ht="14.4">
      <c r="B5" s="24" t="s">
        <v>136</v>
      </c>
      <c r="C5" s="24" t="s">
        <v>15</v>
      </c>
      <c r="D5" s="24" t="s">
        <v>132</v>
      </c>
      <c r="E5" s="24">
        <f>I5</f>
        <v>0.33000000000000002</v>
      </c>
      <c r="F5" s="24" t="s">
        <v>52</v>
      </c>
      <c r="G5" s="24" t="s">
        <v>52</v>
      </c>
      <c r="H5" s="24" t="s">
        <v>52</v>
      </c>
      <c r="I5" s="24">
        <v>0.33</v>
      </c>
      <c r="J5" s="24" t="s">
        <v>52</v>
      </c>
      <c r="K5" s="24" t="s">
        <v>133</v>
      </c>
      <c r="L5" s="24" t="s">
        <v>134</v>
      </c>
      <c r="M5" s="24" t="s">
        <v>135</v>
      </c>
      <c r="N5" s="24">
        <v>4</v>
      </c>
      <c r="P5" s="24"/>
    </row>
    <row r="6" spans="2:16" ht="14.4">
      <c r="B6" s="24" t="s">
        <v>137</v>
      </c>
      <c r="C6" s="24" t="s">
        <v>16</v>
      </c>
      <c r="D6" s="24" t="s">
        <v>132</v>
      </c>
      <c r="F6" s="24" t="s">
        <v>52</v>
      </c>
      <c r="G6" s="24" t="s">
        <v>52</v>
      </c>
      <c r="H6" s="24" t="s">
        <v>52</v>
      </c>
      <c r="I6" s="24" t="s">
        <v>52</v>
      </c>
      <c r="J6" s="24" t="s">
        <v>52</v>
      </c>
      <c r="K6" s="24"/>
      <c r="L6" s="24"/>
      <c r="M6" s="24"/>
      <c r="N6" s="24"/>
      <c r="P6" s="24"/>
    </row>
    <row r="7" spans="2:16" ht="14.4">
      <c r="B7" s="24" t="s">
        <v>138</v>
      </c>
      <c r="C7" s="24" t="s">
        <v>27</v>
      </c>
      <c r="D7" s="24" t="s">
        <v>132</v>
      </c>
      <c r="F7" s="24" t="s">
        <v>52</v>
      </c>
      <c r="G7" s="24" t="s">
        <v>52</v>
      </c>
      <c r="H7" s="24" t="s">
        <v>52</v>
      </c>
      <c r="I7" s="24" t="s">
        <v>52</v>
      </c>
      <c r="J7" s="24" t="s">
        <v>52</v>
      </c>
      <c r="K7" s="24"/>
      <c r="L7" s="24"/>
      <c r="M7" s="24"/>
      <c r="N7" s="24"/>
      <c r="P7" s="24"/>
    </row>
    <row r="8" spans="2:16" ht="14.4">
      <c r="B8" s="24" t="s">
        <v>139</v>
      </c>
      <c r="C8" s="24" t="s">
        <v>18</v>
      </c>
      <c r="D8" s="24" t="s">
        <v>132</v>
      </c>
      <c r="F8" s="24" t="s">
        <v>52</v>
      </c>
      <c r="G8" s="24" t="s">
        <v>52</v>
      </c>
      <c r="H8" s="24" t="s">
        <v>52</v>
      </c>
      <c r="I8" s="24" t="s">
        <v>52</v>
      </c>
      <c r="J8" s="24" t="s">
        <v>52</v>
      </c>
      <c r="K8" s="24"/>
      <c r="L8" s="24"/>
      <c r="M8" s="24"/>
      <c r="N8" s="24"/>
      <c r="P8" s="24"/>
    </row>
    <row r="9" spans="2:16" ht="14.4">
      <c r="B9" s="24" t="s">
        <v>140</v>
      </c>
      <c r="C9" s="24" t="s">
        <v>19</v>
      </c>
      <c r="D9" s="24" t="s">
        <v>132</v>
      </c>
      <c r="E9" s="24">
        <f>G9</f>
        <v>1.1799999999999999</v>
      </c>
      <c r="F9" s="24" t="s">
        <v>52</v>
      </c>
      <c r="G9" s="24">
        <v>1.18</v>
      </c>
      <c r="H9" s="24" t="s">
        <v>52</v>
      </c>
      <c r="I9" s="24" t="s">
        <v>52</v>
      </c>
      <c r="J9" s="24" t="s">
        <v>52</v>
      </c>
      <c r="K9" s="24" t="s">
        <v>133</v>
      </c>
      <c r="L9" s="24" t="s">
        <v>134</v>
      </c>
      <c r="M9" s="24" t="s">
        <v>135</v>
      </c>
      <c r="N9" s="24">
        <v>4</v>
      </c>
      <c r="P9" s="24"/>
    </row>
    <row r="10" spans="2:16" ht="14.4">
      <c r="B10" s="24" t="s">
        <v>141</v>
      </c>
      <c r="C10" s="24" t="s">
        <v>21</v>
      </c>
      <c r="D10" s="24" t="s">
        <v>132</v>
      </c>
      <c r="F10" s="24" t="s">
        <v>52</v>
      </c>
      <c r="G10" s="24" t="s">
        <v>52</v>
      </c>
      <c r="H10" s="24" t="s">
        <v>52</v>
      </c>
      <c r="I10" s="24" t="s">
        <v>52</v>
      </c>
      <c r="J10" s="24" t="s">
        <v>52</v>
      </c>
      <c r="K10" s="24"/>
      <c r="L10" s="24"/>
      <c r="M10" s="24"/>
      <c r="N10" s="24"/>
      <c r="P10" s="24"/>
    </row>
    <row r="11" spans="2:16" ht="14.4">
      <c r="B11" s="24" t="s">
        <v>142</v>
      </c>
      <c r="C11" s="24" t="s">
        <v>22</v>
      </c>
      <c r="D11" s="24" t="s">
        <v>132</v>
      </c>
      <c r="F11" s="24" t="s">
        <v>52</v>
      </c>
      <c r="G11" s="24" t="s">
        <v>52</v>
      </c>
      <c r="H11" s="24" t="s">
        <v>52</v>
      </c>
      <c r="I11" s="24" t="s">
        <v>52</v>
      </c>
      <c r="J11" s="24" t="s">
        <v>52</v>
      </c>
      <c r="K11" s="24"/>
      <c r="L11" s="24"/>
      <c r="M11" s="24"/>
      <c r="N11" s="24"/>
      <c r="P11" s="24"/>
    </row>
    <row r="12" spans="2:16" ht="14.4">
      <c r="B12" s="24" t="s">
        <v>143</v>
      </c>
      <c r="C12" s="24" t="s">
        <v>25</v>
      </c>
      <c r="D12" s="24" t="s">
        <v>132</v>
      </c>
      <c r="F12" s="24" t="s">
        <v>52</v>
      </c>
      <c r="G12" s="24" t="s">
        <v>52</v>
      </c>
      <c r="H12" s="24" t="s">
        <v>52</v>
      </c>
      <c r="I12" s="24" t="s">
        <v>52</v>
      </c>
      <c r="J12" s="24" t="s">
        <v>52</v>
      </c>
      <c r="K12" s="24"/>
      <c r="L12" s="24"/>
      <c r="M12" s="24"/>
      <c r="N12" s="24"/>
      <c r="P12" s="24"/>
    </row>
    <row r="13" spans="2:16" ht="14.4">
      <c r="B13" s="24" t="s">
        <v>144</v>
      </c>
      <c r="C13" s="24" t="s">
        <v>26</v>
      </c>
      <c r="D13" s="24" t="s">
        <v>132</v>
      </c>
      <c r="E13" s="24">
        <f>H13</f>
        <v>1.75</v>
      </c>
      <c r="F13" s="24">
        <v>1.88</v>
      </c>
      <c r="G13" s="24">
        <v>1.76</v>
      </c>
      <c r="H13" s="24">
        <v>1.75</v>
      </c>
      <c r="I13" s="24" t="s">
        <v>52</v>
      </c>
      <c r="J13" s="24" t="s">
        <v>52</v>
      </c>
      <c r="K13" s="24" t="s">
        <v>133</v>
      </c>
      <c r="L13" s="24" t="s">
        <v>134</v>
      </c>
      <c r="M13" s="24" t="s">
        <v>135</v>
      </c>
      <c r="N13" s="24">
        <v>4</v>
      </c>
      <c r="P13" s="24"/>
    </row>
    <row r="14" spans="2:16" ht="14.4">
      <c r="B14" s="24" t="s">
        <v>145</v>
      </c>
      <c r="C14" s="24" t="s">
        <v>20</v>
      </c>
      <c r="D14" s="24" t="s">
        <v>132</v>
      </c>
      <c r="E14" s="24">
        <f>I14</f>
        <v>1.49</v>
      </c>
      <c r="F14" s="24" t="s">
        <v>52</v>
      </c>
      <c r="G14" s="24" t="s">
        <v>52</v>
      </c>
      <c r="H14" s="24" t="s">
        <v>52</v>
      </c>
      <c r="I14" s="24">
        <v>1.49</v>
      </c>
      <c r="J14" s="24" t="s">
        <v>52</v>
      </c>
      <c r="K14" s="24" t="s">
        <v>133</v>
      </c>
      <c r="L14" s="24" t="s">
        <v>134</v>
      </c>
      <c r="M14" s="24" t="s">
        <v>135</v>
      </c>
      <c r="N14" s="24">
        <v>4</v>
      </c>
      <c r="P14" s="24"/>
    </row>
    <row r="15" spans="2:16" ht="14.4">
      <c r="B15" s="24" t="s">
        <v>146</v>
      </c>
      <c r="C15" s="24" t="s">
        <v>23</v>
      </c>
      <c r="D15" s="24" t="s">
        <v>132</v>
      </c>
      <c r="F15" s="24" t="s">
        <v>52</v>
      </c>
      <c r="G15" s="24" t="s">
        <v>52</v>
      </c>
      <c r="H15" s="24" t="s">
        <v>52</v>
      </c>
      <c r="I15" s="24" t="s">
        <v>52</v>
      </c>
      <c r="J15" s="24" t="s">
        <v>52</v>
      </c>
      <c r="K15" s="24"/>
      <c r="L15" s="24"/>
      <c r="M15" s="24"/>
      <c r="N15" s="24"/>
      <c r="P15" s="24"/>
    </row>
    <row r="16" spans="2:16" ht="14.4">
      <c r="B16" s="24" t="s">
        <v>147</v>
      </c>
      <c r="C16" s="24" t="s">
        <v>28</v>
      </c>
      <c r="D16" s="24" t="s">
        <v>132</v>
      </c>
      <c r="F16" s="24" t="s">
        <v>52</v>
      </c>
      <c r="G16" s="24" t="s">
        <v>52</v>
      </c>
      <c r="H16" s="24" t="s">
        <v>52</v>
      </c>
      <c r="I16" s="24" t="s">
        <v>52</v>
      </c>
      <c r="J16" s="24" t="s">
        <v>52</v>
      </c>
      <c r="K16" s="24"/>
      <c r="L16" s="24"/>
      <c r="M16" s="24"/>
      <c r="N16" s="24"/>
      <c r="P16" s="24"/>
    </row>
    <row r="17" spans="2:16" ht="14.4">
      <c r="B17" s="24" t="s">
        <v>148</v>
      </c>
      <c r="C17" s="24" t="s">
        <v>29</v>
      </c>
      <c r="D17" s="24" t="s">
        <v>132</v>
      </c>
      <c r="F17" s="24" t="s">
        <v>52</v>
      </c>
      <c r="G17" s="24" t="s">
        <v>52</v>
      </c>
      <c r="H17" s="24" t="s">
        <v>52</v>
      </c>
      <c r="I17" s="24" t="s">
        <v>52</v>
      </c>
      <c r="J17" s="24" t="s">
        <v>52</v>
      </c>
      <c r="K17" s="24"/>
      <c r="L17" s="24"/>
      <c r="M17" s="24"/>
      <c r="N17" s="24"/>
      <c r="P17" s="24"/>
    </row>
    <row r="18" spans="2:14" ht="14.4">
      <c r="B18" s="24" t="s">
        <v>149</v>
      </c>
      <c r="C18" s="24" t="s">
        <v>31</v>
      </c>
      <c r="D18" s="24" t="s">
        <v>132</v>
      </c>
      <c r="E18" s="24">
        <f>G18</f>
        <v>0.77000000000000002</v>
      </c>
      <c r="F18" s="24" t="s">
        <v>52</v>
      </c>
      <c r="G18" s="24">
        <v>0.77</v>
      </c>
      <c r="H18" s="24" t="s">
        <v>52</v>
      </c>
      <c r="I18" s="24" t="s">
        <v>52</v>
      </c>
      <c r="J18" s="24" t="s">
        <v>52</v>
      </c>
      <c r="K18" s="24" t="s">
        <v>133</v>
      </c>
      <c r="L18" s="24" t="s">
        <v>134</v>
      </c>
      <c r="M18" s="24" t="s">
        <v>135</v>
      </c>
      <c r="N18" s="24">
        <v>4</v>
      </c>
    </row>
    <row r="19" spans="2:14" ht="14.4">
      <c r="B19" s="24" t="s">
        <v>150</v>
      </c>
      <c r="C19" s="24" t="s">
        <v>35</v>
      </c>
      <c r="D19" s="24" t="s">
        <v>132</v>
      </c>
      <c r="F19" s="24" t="s">
        <v>52</v>
      </c>
      <c r="G19" s="24" t="s">
        <v>52</v>
      </c>
      <c r="H19" s="24" t="s">
        <v>52</v>
      </c>
      <c r="I19" s="24" t="s">
        <v>52</v>
      </c>
      <c r="J19" s="24" t="s">
        <v>52</v>
      </c>
      <c r="K19" s="24"/>
      <c r="L19" s="24"/>
      <c r="M19" s="24"/>
      <c r="N19" s="24"/>
    </row>
    <row r="20" spans="2:14" ht="14.4">
      <c r="B20" s="24" t="s">
        <v>151</v>
      </c>
      <c r="C20" s="24" t="s">
        <v>33</v>
      </c>
      <c r="D20" s="24" t="s">
        <v>132</v>
      </c>
      <c r="E20" s="24">
        <f>I20</f>
        <v>1.1299999999999999</v>
      </c>
      <c r="F20" s="24" t="s">
        <v>52</v>
      </c>
      <c r="G20" s="24" t="s">
        <v>52</v>
      </c>
      <c r="H20" s="24" t="s">
        <v>52</v>
      </c>
      <c r="I20" s="24">
        <v>1.1299999999999999</v>
      </c>
      <c r="J20" s="24" t="s">
        <v>52</v>
      </c>
      <c r="K20" s="24" t="s">
        <v>133</v>
      </c>
      <c r="L20" s="24" t="s">
        <v>134</v>
      </c>
      <c r="M20" s="24" t="s">
        <v>135</v>
      </c>
      <c r="N20" s="24">
        <v>4</v>
      </c>
    </row>
    <row r="21" spans="2:14" ht="14.4">
      <c r="B21" s="24" t="s">
        <v>152</v>
      </c>
      <c r="C21" s="24" t="s">
        <v>34</v>
      </c>
      <c r="D21" s="24" t="s">
        <v>132</v>
      </c>
      <c r="F21" s="24" t="s">
        <v>52</v>
      </c>
      <c r="G21" s="24" t="s">
        <v>52</v>
      </c>
      <c r="H21" s="24" t="s">
        <v>52</v>
      </c>
      <c r="I21" s="24" t="s">
        <v>52</v>
      </c>
      <c r="J21" s="24" t="s">
        <v>52</v>
      </c>
      <c r="K21" s="24"/>
      <c r="L21" s="24"/>
      <c r="M21" s="24"/>
      <c r="N21" s="24"/>
    </row>
    <row r="22" spans="2:14" ht="14.4">
      <c r="B22" s="24" t="s">
        <v>153</v>
      </c>
      <c r="C22" s="24" t="s">
        <v>38</v>
      </c>
      <c r="D22" s="24" t="s">
        <v>132</v>
      </c>
      <c r="F22" s="24" t="s">
        <v>52</v>
      </c>
      <c r="G22" s="24" t="s">
        <v>52</v>
      </c>
      <c r="H22" s="24" t="s">
        <v>52</v>
      </c>
      <c r="I22" s="24" t="s">
        <v>52</v>
      </c>
      <c r="J22" s="24" t="s">
        <v>52</v>
      </c>
      <c r="K22" s="24"/>
      <c r="L22" s="24"/>
      <c r="M22" s="24"/>
      <c r="N22" s="24"/>
    </row>
    <row r="23" spans="2:14" ht="14.4">
      <c r="B23" s="24" t="s">
        <v>154</v>
      </c>
      <c r="C23" s="24" t="s">
        <v>39</v>
      </c>
      <c r="D23" s="24" t="s">
        <v>132</v>
      </c>
      <c r="E23" s="24">
        <f>I23</f>
        <v>1.1000000000000001</v>
      </c>
      <c r="F23" s="24" t="s">
        <v>52</v>
      </c>
      <c r="G23" s="24" t="s">
        <v>52</v>
      </c>
      <c r="H23" s="24" t="s">
        <v>52</v>
      </c>
      <c r="I23" s="24">
        <v>1.1000000000000001</v>
      </c>
      <c r="J23" s="24" t="s">
        <v>52</v>
      </c>
      <c r="K23" s="24" t="s">
        <v>155</v>
      </c>
      <c r="L23" s="24" t="s">
        <v>156</v>
      </c>
      <c r="M23" s="24" t="s">
        <v>157</v>
      </c>
      <c r="N23" s="24">
        <v>4</v>
      </c>
    </row>
    <row r="24" spans="2:14" ht="14.4">
      <c r="B24" s="24" t="s">
        <v>158</v>
      </c>
      <c r="C24" s="24" t="s">
        <v>41</v>
      </c>
      <c r="D24" s="24" t="s">
        <v>132</v>
      </c>
      <c r="E24" s="24">
        <f>H24</f>
        <v>0.12</v>
      </c>
      <c r="F24" s="24">
        <v>0.13</v>
      </c>
      <c r="G24" s="24">
        <v>0.13</v>
      </c>
      <c r="H24" s="24">
        <v>0.12</v>
      </c>
      <c r="I24" s="24" t="s">
        <v>52</v>
      </c>
      <c r="J24" s="24" t="s">
        <v>52</v>
      </c>
      <c r="K24" s="24" t="s">
        <v>133</v>
      </c>
      <c r="L24" s="24" t="s">
        <v>134</v>
      </c>
      <c r="M24" s="24" t="s">
        <v>135</v>
      </c>
      <c r="N24" s="24">
        <v>4</v>
      </c>
    </row>
    <row r="25" spans="2:14" ht="14.4">
      <c r="B25" s="24" t="s">
        <v>159</v>
      </c>
      <c r="C25" s="24" t="s">
        <v>42</v>
      </c>
      <c r="D25" s="24" t="s">
        <v>132</v>
      </c>
      <c r="F25" s="24" t="s">
        <v>52</v>
      </c>
      <c r="G25" s="24" t="s">
        <v>52</v>
      </c>
      <c r="H25" s="24" t="s">
        <v>52</v>
      </c>
      <c r="I25" s="24" t="s">
        <v>52</v>
      </c>
      <c r="J25" s="24" t="s">
        <v>52</v>
      </c>
      <c r="K25" s="24"/>
      <c r="L25" s="24"/>
      <c r="M25" s="24"/>
      <c r="N25" s="24"/>
    </row>
    <row r="26" spans="2:14" ht="14.4">
      <c r="B26" s="24" t="s">
        <v>160</v>
      </c>
      <c r="C26" s="24" t="s">
        <v>43</v>
      </c>
      <c r="D26" s="24" t="s">
        <v>132</v>
      </c>
      <c r="E26" s="24">
        <f>I26</f>
        <v>0.46999999999999997</v>
      </c>
      <c r="F26" s="24" t="s">
        <v>52</v>
      </c>
      <c r="G26" s="24" t="s">
        <v>52</v>
      </c>
      <c r="H26" s="24" t="s">
        <v>52</v>
      </c>
      <c r="I26" s="24">
        <v>0.47</v>
      </c>
      <c r="J26" s="24" t="s">
        <v>52</v>
      </c>
      <c r="K26" s="24" t="s">
        <v>133</v>
      </c>
      <c r="L26" s="24" t="s">
        <v>134</v>
      </c>
      <c r="M26" s="24" t="s">
        <v>135</v>
      </c>
      <c r="N26" s="24">
        <v>4</v>
      </c>
    </row>
    <row r="27" spans="2:14" ht="14.4">
      <c r="B27" s="24" t="s">
        <v>161</v>
      </c>
      <c r="C27" s="24" t="s">
        <v>47</v>
      </c>
      <c r="D27" s="24" t="s">
        <v>132</v>
      </c>
      <c r="E27" s="24">
        <f>I27</f>
        <v>1.26</v>
      </c>
      <c r="F27" s="24" t="s">
        <v>52</v>
      </c>
      <c r="G27" s="24" t="s">
        <v>52</v>
      </c>
      <c r="H27" s="24" t="s">
        <v>52</v>
      </c>
      <c r="I27" s="24">
        <v>1.26</v>
      </c>
      <c r="J27" s="24" t="s">
        <v>52</v>
      </c>
      <c r="K27" s="24" t="s">
        <v>133</v>
      </c>
      <c r="L27" s="24" t="s">
        <v>134</v>
      </c>
      <c r="M27" s="24" t="s">
        <v>135</v>
      </c>
      <c r="N27" s="24">
        <v>4</v>
      </c>
    </row>
    <row r="28" spans="2:14" ht="14.4">
      <c r="B28" s="24" t="s">
        <v>162</v>
      </c>
      <c r="C28" s="24" t="s">
        <v>46</v>
      </c>
      <c r="D28" s="24" t="s">
        <v>132</v>
      </c>
      <c r="F28" s="24" t="s">
        <v>52</v>
      </c>
      <c r="G28" s="24" t="s">
        <v>52</v>
      </c>
      <c r="H28" s="24" t="s">
        <v>52</v>
      </c>
      <c r="I28" s="24" t="s">
        <v>52</v>
      </c>
      <c r="J28" s="24" t="s">
        <v>52</v>
      </c>
      <c r="K28" s="24"/>
      <c r="L28" s="24"/>
      <c r="M28" s="24"/>
      <c r="N28" s="24"/>
    </row>
    <row r="29" spans="2:14" ht="14.4">
      <c r="B29" s="24" t="s">
        <v>163</v>
      </c>
      <c r="C29" s="24" t="s">
        <v>24</v>
      </c>
      <c r="D29" s="24" t="s">
        <v>132</v>
      </c>
      <c r="E29" s="24">
        <f>I29</f>
        <v>0.080000000000000002</v>
      </c>
      <c r="F29" s="24" t="s">
        <v>52</v>
      </c>
      <c r="G29" s="24" t="s">
        <v>52</v>
      </c>
      <c r="H29" s="24" t="s">
        <v>52</v>
      </c>
      <c r="I29" s="24">
        <v>0.08</v>
      </c>
      <c r="J29" s="24" t="s">
        <v>52</v>
      </c>
      <c r="K29" s="24" t="s">
        <v>133</v>
      </c>
      <c r="L29" s="24" t="s">
        <v>134</v>
      </c>
      <c r="M29" s="24" t="s">
        <v>135</v>
      </c>
      <c r="N29" s="24">
        <v>4</v>
      </c>
    </row>
    <row r="30" spans="2:14" ht="14.4">
      <c r="B30" s="24" t="s">
        <v>164</v>
      </c>
      <c r="C30" s="24" t="s">
        <v>45</v>
      </c>
      <c r="D30" s="24" t="s">
        <v>132</v>
      </c>
      <c r="E30" s="24">
        <f>H30</f>
        <v>0.88</v>
      </c>
      <c r="F30" s="24" t="s">
        <v>52</v>
      </c>
      <c r="G30" s="24" t="s">
        <v>52</v>
      </c>
      <c r="H30" s="24">
        <v>0.88</v>
      </c>
      <c r="I30" s="24" t="s">
        <v>52</v>
      </c>
      <c r="J30" s="24" t="s">
        <v>52</v>
      </c>
      <c r="K30" s="24" t="s">
        <v>133</v>
      </c>
      <c r="L30" s="24" t="s">
        <v>134</v>
      </c>
      <c r="M30" s="24" t="s">
        <v>135</v>
      </c>
      <c r="N30" s="24">
        <v>4</v>
      </c>
    </row>
    <row r="31" spans="2:14" ht="14.4">
      <c r="B31" s="24" t="s">
        <v>165</v>
      </c>
      <c r="C31" s="24" t="s">
        <v>48</v>
      </c>
      <c r="D31" s="24" t="s">
        <v>132</v>
      </c>
      <c r="F31" s="24" t="s">
        <v>52</v>
      </c>
      <c r="G31" s="24" t="s">
        <v>52</v>
      </c>
      <c r="H31" s="24" t="s">
        <v>52</v>
      </c>
      <c r="I31" s="24" t="s">
        <v>52</v>
      </c>
      <c r="J31" s="24" t="s">
        <v>52</v>
      </c>
      <c r="K31" s="24"/>
      <c r="L31" s="24"/>
      <c r="M31" s="24"/>
      <c r="N31" s="24"/>
    </row>
    <row r="32" spans="2:14" ht="14.4">
      <c r="B32" s="24" t="s">
        <v>166</v>
      </c>
      <c r="C32" s="24" t="s">
        <v>167</v>
      </c>
      <c r="D32" s="24" t="s">
        <v>132</v>
      </c>
      <c r="F32" s="24" t="s">
        <v>52</v>
      </c>
      <c r="G32" s="24" t="s">
        <v>52</v>
      </c>
      <c r="H32" s="24" t="s">
        <v>52</v>
      </c>
      <c r="I32" s="24" t="s">
        <v>52</v>
      </c>
      <c r="J32" s="24" t="s">
        <v>52</v>
      </c>
      <c r="K32" s="24"/>
      <c r="L32" s="24"/>
      <c r="M32" s="24"/>
      <c r="N32" s="24"/>
    </row>
    <row r="33" spans="5:5" ht="14.4">
      <c r="E33" s="24">
        <f>AVERAGE(E4:E32)</f>
        <v>0.95230769230769219</v>
      </c>
    </row>
    <row r="34" spans="2:15" ht="14.4">
      <c r="B34" s="24" t="s">
        <v>168</v>
      </c>
      <c r="C34" s="24"/>
      <c r="D34" s="24"/>
      <c r="F34" s="24"/>
      <c r="G34" s="24"/>
      <c r="H34" s="24"/>
      <c r="I34" s="24"/>
      <c r="J34" s="24"/>
      <c r="K34" s="24"/>
      <c r="L34" s="24"/>
      <c r="M34" s="24"/>
      <c r="N34" s="24"/>
      <c r="O34" s="24"/>
    </row>
    <row r="35" spans="2:15" ht="14.4">
      <c r="B35" s="24"/>
      <c r="C35" s="24" t="s">
        <v>125</v>
      </c>
      <c r="D35" s="24" t="s">
        <v>117</v>
      </c>
      <c r="F35" s="24">
        <v>2011</v>
      </c>
      <c r="G35" s="24">
        <v>2012</v>
      </c>
      <c r="H35" s="24">
        <v>2013</v>
      </c>
      <c r="I35" s="24">
        <v>2014</v>
      </c>
      <c r="J35" s="24">
        <v>2015</v>
      </c>
      <c r="K35" s="24" t="s">
        <v>126</v>
      </c>
      <c r="L35" s="24" t="s">
        <v>127</v>
      </c>
      <c r="M35" s="24" t="s">
        <v>128</v>
      </c>
      <c r="N35" s="24" t="s">
        <v>129</v>
      </c>
      <c r="O35" s="24" t="s">
        <v>130</v>
      </c>
    </row>
    <row r="36" spans="2:15" ht="14.4">
      <c r="B36" s="24" t="s">
        <v>131</v>
      </c>
      <c r="C36" s="24" t="s">
        <v>13</v>
      </c>
      <c r="D36" s="24" t="s">
        <v>169</v>
      </c>
      <c r="E36" s="24">
        <f>MIN(F36:J36)</f>
        <v>160</v>
      </c>
      <c r="F36" s="24" t="s">
        <v>52</v>
      </c>
      <c r="G36" s="24" t="s">
        <v>52</v>
      </c>
      <c r="H36" s="24" t="s">
        <v>52</v>
      </c>
      <c r="I36" s="24">
        <v>160</v>
      </c>
      <c r="J36" s="24">
        <v>160</v>
      </c>
      <c r="K36" s="24" t="s">
        <v>170</v>
      </c>
      <c r="L36" s="24"/>
      <c r="M36" s="24" t="s">
        <v>171</v>
      </c>
      <c r="N36" s="24">
        <v>5</v>
      </c>
      <c r="O36" s="24"/>
    </row>
    <row r="37" spans="2:15" ht="14.4">
      <c r="B37" s="24" t="s">
        <v>136</v>
      </c>
      <c r="C37" s="24" t="s">
        <v>15</v>
      </c>
      <c r="D37" s="24" t="s">
        <v>169</v>
      </c>
      <c r="E37" s="24">
        <f t="shared" si="0" ref="E37:E63">MIN(F37:J37)</f>
        <v>32.259999999999998</v>
      </c>
      <c r="F37" s="24" t="s">
        <v>52</v>
      </c>
      <c r="G37" s="24" t="s">
        <v>52</v>
      </c>
      <c r="H37" s="24" t="s">
        <v>52</v>
      </c>
      <c r="I37" s="24" t="s">
        <v>52</v>
      </c>
      <c r="J37" s="24">
        <v>32.26</v>
      </c>
      <c r="K37" s="24" t="s">
        <v>172</v>
      </c>
      <c r="L37" s="24" t="s">
        <v>173</v>
      </c>
      <c r="M37" s="24" t="s">
        <v>174</v>
      </c>
      <c r="N37" s="24">
        <v>4</v>
      </c>
      <c r="O37" s="25" t="s">
        <v>175</v>
      </c>
    </row>
    <row r="38" spans="2:15" ht="14.4">
      <c r="B38" s="24" t="s">
        <v>137</v>
      </c>
      <c r="C38" s="24" t="s">
        <v>16</v>
      </c>
      <c r="D38" s="24" t="s">
        <v>169</v>
      </c>
      <c r="E38" s="24">
        <f t="shared" si="0"/>
        <v>40</v>
      </c>
      <c r="F38" s="24" t="s">
        <v>52</v>
      </c>
      <c r="G38" s="24">
        <v>40</v>
      </c>
      <c r="H38" s="24">
        <v>40</v>
      </c>
      <c r="I38" s="24">
        <v>40</v>
      </c>
      <c r="J38" s="24">
        <v>40</v>
      </c>
      <c r="K38" s="24" t="s">
        <v>172</v>
      </c>
      <c r="L38" s="24" t="s">
        <v>173</v>
      </c>
      <c r="M38" s="24" t="s">
        <v>174</v>
      </c>
      <c r="N38" s="24">
        <v>4</v>
      </c>
      <c r="O38" s="24"/>
    </row>
    <row r="39" spans="2:15" ht="14.4">
      <c r="B39" s="24" t="s">
        <v>138</v>
      </c>
      <c r="C39" s="24" t="s">
        <v>27</v>
      </c>
      <c r="D39" s="24" t="s">
        <v>169</v>
      </c>
      <c r="E39" s="24">
        <f t="shared" si="0"/>
        <v>62.789999999999999</v>
      </c>
      <c r="F39" s="24" t="s">
        <v>52</v>
      </c>
      <c r="G39" s="24" t="s">
        <v>52</v>
      </c>
      <c r="H39" s="24" t="s">
        <v>52</v>
      </c>
      <c r="I39" s="24" t="s">
        <v>52</v>
      </c>
      <c r="J39" s="24">
        <v>62.79</v>
      </c>
      <c r="K39" s="24" t="s">
        <v>176</v>
      </c>
      <c r="L39" s="24"/>
      <c r="M39" s="24"/>
      <c r="N39" s="24">
        <v>1</v>
      </c>
      <c r="O39" s="24"/>
    </row>
    <row r="40" spans="2:15" ht="14.4">
      <c r="B40" s="24" t="s">
        <v>139</v>
      </c>
      <c r="C40" s="24" t="s">
        <v>18</v>
      </c>
      <c r="D40" s="24" t="s">
        <v>169</v>
      </c>
      <c r="E40" s="24">
        <f t="shared" si="0"/>
        <v>100</v>
      </c>
      <c r="F40" s="24" t="s">
        <v>52</v>
      </c>
      <c r="G40" s="24" t="s">
        <v>52</v>
      </c>
      <c r="H40" s="24" t="s">
        <v>52</v>
      </c>
      <c r="I40" s="24">
        <v>100</v>
      </c>
      <c r="J40" s="24">
        <v>100</v>
      </c>
      <c r="K40" s="24" t="s">
        <v>172</v>
      </c>
      <c r="L40" s="24" t="s">
        <v>173</v>
      </c>
      <c r="M40" s="24" t="s">
        <v>174</v>
      </c>
      <c r="N40" s="24">
        <v>4</v>
      </c>
      <c r="O40" s="24"/>
    </row>
    <row r="41" spans="2:15" ht="14.4">
      <c r="B41" s="24" t="s">
        <v>140</v>
      </c>
      <c r="C41" s="24" t="s">
        <v>19</v>
      </c>
      <c r="D41" s="24" t="s">
        <v>169</v>
      </c>
      <c r="E41" s="24">
        <f t="shared" si="0"/>
        <v>0</v>
      </c>
      <c r="F41" s="24" t="s">
        <v>52</v>
      </c>
      <c r="G41" s="24" t="s">
        <v>52</v>
      </c>
      <c r="H41" s="24" t="s">
        <v>52</v>
      </c>
      <c r="I41" s="24" t="s">
        <v>52</v>
      </c>
      <c r="J41" s="24" t="s">
        <v>52</v>
      </c>
      <c r="K41" s="24"/>
      <c r="L41" s="24"/>
      <c r="M41" s="24"/>
      <c r="N41" s="24"/>
      <c r="O41" s="24"/>
    </row>
    <row r="42" spans="2:15" ht="14.4">
      <c r="B42" s="24" t="s">
        <v>141</v>
      </c>
      <c r="C42" s="24" t="s">
        <v>21</v>
      </c>
      <c r="D42" s="24" t="s">
        <v>169</v>
      </c>
      <c r="E42" s="24">
        <f t="shared" si="0"/>
        <v>20</v>
      </c>
      <c r="F42" s="24" t="s">
        <v>52</v>
      </c>
      <c r="G42" s="24" t="s">
        <v>52</v>
      </c>
      <c r="H42" s="24" t="s">
        <v>52</v>
      </c>
      <c r="I42" s="24">
        <v>20</v>
      </c>
      <c r="J42" s="24">
        <v>20</v>
      </c>
      <c r="K42" s="24" t="s">
        <v>177</v>
      </c>
      <c r="L42" s="24" t="s">
        <v>177</v>
      </c>
      <c r="M42" s="24" t="s">
        <v>178</v>
      </c>
      <c r="N42" s="24">
        <v>3</v>
      </c>
      <c r="O42" s="24"/>
    </row>
    <row r="43" spans="2:15" ht="14.4">
      <c r="B43" s="24" t="s">
        <v>142</v>
      </c>
      <c r="C43" s="24" t="s">
        <v>22</v>
      </c>
      <c r="D43" s="24" t="s">
        <v>169</v>
      </c>
      <c r="E43" s="24">
        <f t="shared" si="0"/>
        <v>50</v>
      </c>
      <c r="F43" s="24" t="s">
        <v>52</v>
      </c>
      <c r="G43" s="24" t="s">
        <v>52</v>
      </c>
      <c r="H43" s="24" t="s">
        <v>52</v>
      </c>
      <c r="I43" s="24">
        <v>50</v>
      </c>
      <c r="J43" s="24">
        <v>50</v>
      </c>
      <c r="K43" s="24" t="s">
        <v>177</v>
      </c>
      <c r="L43" s="24" t="s">
        <v>177</v>
      </c>
      <c r="M43" s="24" t="s">
        <v>178</v>
      </c>
      <c r="N43" s="24">
        <v>3</v>
      </c>
      <c r="O43" s="24"/>
    </row>
    <row r="44" spans="2:15" ht="14.4">
      <c r="B44" s="24" t="s">
        <v>143</v>
      </c>
      <c r="C44" s="24" t="s">
        <v>25</v>
      </c>
      <c r="D44" s="24" t="s">
        <v>169</v>
      </c>
      <c r="E44" s="24">
        <f t="shared" si="0"/>
        <v>0</v>
      </c>
      <c r="F44" s="24" t="s">
        <v>52</v>
      </c>
      <c r="G44" s="24" t="s">
        <v>52</v>
      </c>
      <c r="H44" s="24" t="s">
        <v>52</v>
      </c>
      <c r="I44" s="24" t="s">
        <v>52</v>
      </c>
      <c r="J44" s="24" t="s">
        <v>52</v>
      </c>
      <c r="K44" s="24"/>
      <c r="L44" s="24"/>
      <c r="M44" s="24"/>
      <c r="N44" s="24"/>
      <c r="O44" s="24"/>
    </row>
    <row r="45" spans="2:15" ht="14.4">
      <c r="B45" s="24" t="s">
        <v>144</v>
      </c>
      <c r="C45" s="24" t="s">
        <v>26</v>
      </c>
      <c r="D45" s="24" t="s">
        <v>169</v>
      </c>
      <c r="E45" s="24">
        <f t="shared" si="0"/>
        <v>50</v>
      </c>
      <c r="F45" s="24" t="s">
        <v>52</v>
      </c>
      <c r="G45" s="24" t="s">
        <v>52</v>
      </c>
      <c r="H45" s="24">
        <v>50</v>
      </c>
      <c r="I45" s="24">
        <v>50</v>
      </c>
      <c r="J45" s="24">
        <v>50</v>
      </c>
      <c r="K45" s="24" t="s">
        <v>133</v>
      </c>
      <c r="L45" s="24" t="s">
        <v>134</v>
      </c>
      <c r="M45" s="24" t="s">
        <v>179</v>
      </c>
      <c r="N45" s="24">
        <v>4</v>
      </c>
      <c r="O45" s="24"/>
    </row>
    <row r="46" spans="2:15" ht="14.4">
      <c r="B46" s="24" t="s">
        <v>145</v>
      </c>
      <c r="C46" s="24" t="s">
        <v>20</v>
      </c>
      <c r="D46" s="24" t="s">
        <v>169</v>
      </c>
      <c r="E46" s="24">
        <f t="shared" si="0"/>
        <v>36</v>
      </c>
      <c r="F46" s="24">
        <v>36</v>
      </c>
      <c r="G46" s="24">
        <v>36</v>
      </c>
      <c r="H46" s="24">
        <v>36</v>
      </c>
      <c r="I46" s="24" t="s">
        <v>52</v>
      </c>
      <c r="J46" s="24" t="s">
        <v>52</v>
      </c>
      <c r="K46" s="24" t="s">
        <v>180</v>
      </c>
      <c r="L46" s="24" t="s">
        <v>181</v>
      </c>
      <c r="M46" s="24" t="s">
        <v>182</v>
      </c>
      <c r="N46" s="24">
        <v>5</v>
      </c>
      <c r="O46" s="24" t="s">
        <v>183</v>
      </c>
    </row>
    <row r="47" spans="2:15" ht="14.4">
      <c r="B47" s="24" t="s">
        <v>146</v>
      </c>
      <c r="C47" s="24" t="s">
        <v>23</v>
      </c>
      <c r="D47" s="24" t="s">
        <v>169</v>
      </c>
      <c r="E47" s="24">
        <f t="shared" si="0"/>
        <v>0</v>
      </c>
      <c r="F47" s="24" t="s">
        <v>52</v>
      </c>
      <c r="G47" s="24" t="s">
        <v>52</v>
      </c>
      <c r="H47" s="24" t="s">
        <v>52</v>
      </c>
      <c r="I47" s="24" t="s">
        <v>52</v>
      </c>
      <c r="J47" s="24" t="s">
        <v>52</v>
      </c>
      <c r="K47" s="24"/>
      <c r="L47" s="24"/>
      <c r="M47" s="24"/>
      <c r="N47" s="24"/>
      <c r="O47" s="24"/>
    </row>
    <row r="48" spans="2:15" ht="14.4">
      <c r="B48" s="24" t="s">
        <v>147</v>
      </c>
      <c r="C48" s="24" t="s">
        <v>28</v>
      </c>
      <c r="D48" s="24" t="s">
        <v>169</v>
      </c>
      <c r="E48" s="24">
        <f t="shared" si="0"/>
        <v>0</v>
      </c>
      <c r="F48" s="24" t="s">
        <v>52</v>
      </c>
      <c r="G48" s="24" t="s">
        <v>52</v>
      </c>
      <c r="H48" s="24" t="s">
        <v>52</v>
      </c>
      <c r="I48" s="24" t="s">
        <v>52</v>
      </c>
      <c r="J48" s="24" t="s">
        <v>52</v>
      </c>
      <c r="K48" s="24"/>
      <c r="L48" s="24"/>
      <c r="M48" s="24"/>
      <c r="N48" s="24"/>
      <c r="O48" s="24"/>
    </row>
    <row r="49" spans="2:15" ht="14.4">
      <c r="B49" s="24" t="s">
        <v>148</v>
      </c>
      <c r="C49" s="24" t="s">
        <v>29</v>
      </c>
      <c r="D49" s="24" t="s">
        <v>169</v>
      </c>
      <c r="E49" s="24">
        <f t="shared" si="0"/>
        <v>45</v>
      </c>
      <c r="F49" s="24" t="s">
        <v>52</v>
      </c>
      <c r="G49" s="24" t="s">
        <v>52</v>
      </c>
      <c r="H49" s="24" t="s">
        <v>52</v>
      </c>
      <c r="I49" s="24">
        <v>45</v>
      </c>
      <c r="J49" s="24">
        <v>45</v>
      </c>
      <c r="K49" s="24" t="s">
        <v>177</v>
      </c>
      <c r="L49" s="24" t="s">
        <v>184</v>
      </c>
      <c r="M49" s="24" t="s">
        <v>178</v>
      </c>
      <c r="N49" s="24">
        <v>3</v>
      </c>
      <c r="O49" s="24"/>
    </row>
    <row r="50" spans="2:15" ht="14.4">
      <c r="B50" s="24" t="s">
        <v>149</v>
      </c>
      <c r="C50" s="24" t="s">
        <v>31</v>
      </c>
      <c r="D50" s="24" t="s">
        <v>169</v>
      </c>
      <c r="E50" s="24">
        <f t="shared" si="0"/>
        <v>20.399999999999999</v>
      </c>
      <c r="F50" s="24" t="s">
        <v>52</v>
      </c>
      <c r="G50" s="24" t="s">
        <v>52</v>
      </c>
      <c r="H50" s="24" t="s">
        <v>52</v>
      </c>
      <c r="I50" s="24">
        <v>20.40</v>
      </c>
      <c r="J50" s="24" t="s">
        <v>52</v>
      </c>
      <c r="K50" s="24" t="s">
        <v>185</v>
      </c>
      <c r="L50" s="24" t="s">
        <v>186</v>
      </c>
      <c r="M50" s="24" t="s">
        <v>187</v>
      </c>
      <c r="N50" s="24">
        <v>4</v>
      </c>
      <c r="O50" s="24"/>
    </row>
    <row r="51" spans="2:15" ht="14.4">
      <c r="B51" s="24" t="s">
        <v>150</v>
      </c>
      <c r="C51" s="24" t="s">
        <v>35</v>
      </c>
      <c r="D51" s="24" t="s">
        <v>169</v>
      </c>
      <c r="E51" s="24">
        <f t="shared" si="0"/>
        <v>95</v>
      </c>
      <c r="F51" s="24" t="s">
        <v>52</v>
      </c>
      <c r="G51" s="24" t="s">
        <v>52</v>
      </c>
      <c r="H51" s="24" t="s">
        <v>52</v>
      </c>
      <c r="I51" s="24">
        <v>95</v>
      </c>
      <c r="J51" s="24">
        <v>95</v>
      </c>
      <c r="K51" s="24" t="s">
        <v>177</v>
      </c>
      <c r="L51" s="24" t="s">
        <v>184</v>
      </c>
      <c r="M51" s="24" t="s">
        <v>178</v>
      </c>
      <c r="N51" s="24">
        <v>3</v>
      </c>
      <c r="O51" s="24" t="s">
        <v>188</v>
      </c>
    </row>
    <row r="52" spans="2:15" ht="14.4">
      <c r="B52" s="24" t="s">
        <v>151</v>
      </c>
      <c r="C52" s="24" t="s">
        <v>33</v>
      </c>
      <c r="D52" s="24" t="s">
        <v>169</v>
      </c>
      <c r="E52" s="24">
        <f t="shared" si="0"/>
        <v>0</v>
      </c>
      <c r="F52" s="24" t="s">
        <v>52</v>
      </c>
      <c r="G52" s="24" t="s">
        <v>52</v>
      </c>
      <c r="H52" s="24" t="s">
        <v>52</v>
      </c>
      <c r="I52" s="24" t="s">
        <v>52</v>
      </c>
      <c r="J52" s="24" t="s">
        <v>52</v>
      </c>
      <c r="K52" s="24"/>
      <c r="L52" s="24"/>
      <c r="M52" s="24"/>
      <c r="N52" s="24"/>
      <c r="O52" s="24"/>
    </row>
    <row r="53" spans="2:15" ht="14.4">
      <c r="B53" s="24" t="s">
        <v>152</v>
      </c>
      <c r="C53" s="24" t="s">
        <v>34</v>
      </c>
      <c r="D53" s="24" t="s">
        <v>169</v>
      </c>
      <c r="E53" s="24">
        <f t="shared" si="0"/>
        <v>0</v>
      </c>
      <c r="F53" s="24" t="s">
        <v>52</v>
      </c>
      <c r="G53" s="24" t="s">
        <v>52</v>
      </c>
      <c r="H53" s="24" t="s">
        <v>52</v>
      </c>
      <c r="I53" s="24" t="s">
        <v>52</v>
      </c>
      <c r="J53" s="24" t="s">
        <v>52</v>
      </c>
      <c r="K53" s="24"/>
      <c r="L53" s="24"/>
      <c r="M53" s="24"/>
      <c r="N53" s="24"/>
      <c r="O53" s="24"/>
    </row>
    <row r="54" spans="2:15" ht="14.4">
      <c r="B54" s="24" t="s">
        <v>153</v>
      </c>
      <c r="C54" s="24" t="s">
        <v>38</v>
      </c>
      <c r="D54" s="24" t="s">
        <v>169</v>
      </c>
      <c r="E54" s="24">
        <f t="shared" si="0"/>
        <v>40</v>
      </c>
      <c r="F54" s="24" t="s">
        <v>52</v>
      </c>
      <c r="G54" s="24" t="s">
        <v>52</v>
      </c>
      <c r="H54" s="24" t="s">
        <v>52</v>
      </c>
      <c r="I54" s="24">
        <v>40</v>
      </c>
      <c r="J54" s="24">
        <v>40</v>
      </c>
      <c r="K54" s="24" t="s">
        <v>177</v>
      </c>
      <c r="L54" s="24" t="s">
        <v>184</v>
      </c>
      <c r="M54" s="24" t="s">
        <v>178</v>
      </c>
      <c r="N54" s="24">
        <v>3</v>
      </c>
      <c r="O54" s="24" t="s">
        <v>188</v>
      </c>
    </row>
    <row r="55" spans="2:15" ht="14.4">
      <c r="B55" s="24" t="s">
        <v>154</v>
      </c>
      <c r="C55" s="24" t="s">
        <v>39</v>
      </c>
      <c r="D55" s="24" t="s">
        <v>169</v>
      </c>
      <c r="E55" s="24">
        <f t="shared" si="0"/>
        <v>25</v>
      </c>
      <c r="F55" s="24" t="s">
        <v>52</v>
      </c>
      <c r="G55" s="24" t="s">
        <v>52</v>
      </c>
      <c r="H55" s="24" t="s">
        <v>52</v>
      </c>
      <c r="I55" s="24" t="s">
        <v>52</v>
      </c>
      <c r="J55" s="24">
        <v>25</v>
      </c>
      <c r="K55" s="24" t="s">
        <v>189</v>
      </c>
      <c r="L55" s="24" t="s">
        <v>190</v>
      </c>
      <c r="M55" s="24" t="s">
        <v>191</v>
      </c>
      <c r="N55" s="24">
        <v>4</v>
      </c>
      <c r="O55" s="24"/>
    </row>
    <row r="56" spans="2:15" ht="14.4">
      <c r="B56" s="24" t="s">
        <v>158</v>
      </c>
      <c r="C56" s="24" t="s">
        <v>41</v>
      </c>
      <c r="D56" s="24" t="s">
        <v>169</v>
      </c>
      <c r="E56" s="24">
        <f t="shared" si="0"/>
        <v>67.109999999999999</v>
      </c>
      <c r="F56" s="24" t="s">
        <v>52</v>
      </c>
      <c r="G56" s="24" t="s">
        <v>52</v>
      </c>
      <c r="H56" s="24" t="s">
        <v>52</v>
      </c>
      <c r="I56" s="24" t="s">
        <v>52</v>
      </c>
      <c r="J56" s="24">
        <v>67.11</v>
      </c>
      <c r="K56" s="24" t="s">
        <v>176</v>
      </c>
      <c r="L56" s="24"/>
      <c r="M56" s="24"/>
      <c r="N56" s="24">
        <v>1</v>
      </c>
      <c r="O56" s="24" t="s">
        <v>192</v>
      </c>
    </row>
    <row r="57" spans="2:15" ht="14.4">
      <c r="B57" s="24" t="s">
        <v>159</v>
      </c>
      <c r="C57" s="24" t="s">
        <v>42</v>
      </c>
      <c r="D57" s="24" t="s">
        <v>169</v>
      </c>
      <c r="E57" s="24">
        <f t="shared" si="0"/>
        <v>0</v>
      </c>
      <c r="F57" s="24" t="s">
        <v>52</v>
      </c>
      <c r="G57" s="24" t="s">
        <v>52</v>
      </c>
      <c r="H57" s="24" t="s">
        <v>52</v>
      </c>
      <c r="I57" s="24" t="s">
        <v>52</v>
      </c>
      <c r="J57" s="24" t="s">
        <v>52</v>
      </c>
      <c r="K57" s="24"/>
      <c r="L57" s="24"/>
      <c r="M57" s="24"/>
      <c r="N57" s="24"/>
      <c r="O57" s="24"/>
    </row>
    <row r="58" spans="2:15" ht="14.4">
      <c r="B58" s="24" t="s">
        <v>160</v>
      </c>
      <c r="C58" s="24" t="s">
        <v>43</v>
      </c>
      <c r="D58" s="24" t="s">
        <v>169</v>
      </c>
      <c r="E58" s="24">
        <f t="shared" si="0"/>
        <v>105.5</v>
      </c>
      <c r="F58" s="24" t="s">
        <v>52</v>
      </c>
      <c r="G58" s="24" t="s">
        <v>52</v>
      </c>
      <c r="H58" s="24" t="s">
        <v>52</v>
      </c>
      <c r="I58" s="24">
        <v>105.50</v>
      </c>
      <c r="J58" s="24" t="s">
        <v>52</v>
      </c>
      <c r="K58" s="24" t="s">
        <v>193</v>
      </c>
      <c r="L58" s="24" t="s">
        <v>194</v>
      </c>
      <c r="M58" s="24" t="s">
        <v>195</v>
      </c>
      <c r="N58" s="24">
        <v>5</v>
      </c>
      <c r="O58" s="24"/>
    </row>
    <row r="59" spans="2:15" ht="14.4">
      <c r="B59" s="24" t="s">
        <v>161</v>
      </c>
      <c r="C59" s="24" t="s">
        <v>47</v>
      </c>
      <c r="D59" s="24" t="s">
        <v>169</v>
      </c>
      <c r="E59" s="24">
        <f t="shared" si="0"/>
        <v>0</v>
      </c>
      <c r="F59" s="24" t="s">
        <v>52</v>
      </c>
      <c r="G59" s="24" t="s">
        <v>52</v>
      </c>
      <c r="H59" s="24" t="s">
        <v>52</v>
      </c>
      <c r="I59" s="24" t="s">
        <v>52</v>
      </c>
      <c r="J59" s="24" t="s">
        <v>52</v>
      </c>
      <c r="K59" s="24"/>
      <c r="L59" s="24"/>
      <c r="M59" s="24"/>
      <c r="N59" s="24"/>
      <c r="O59" s="24"/>
    </row>
    <row r="60" spans="2:15" ht="14.4">
      <c r="B60" s="24" t="s">
        <v>162</v>
      </c>
      <c r="C60" s="24" t="s">
        <v>46</v>
      </c>
      <c r="D60" s="24" t="s">
        <v>169</v>
      </c>
      <c r="E60" s="24">
        <f t="shared" si="0"/>
        <v>80.709999999999994</v>
      </c>
      <c r="F60" s="24" t="s">
        <v>52</v>
      </c>
      <c r="G60" s="24" t="s">
        <v>52</v>
      </c>
      <c r="H60" s="24" t="s">
        <v>52</v>
      </c>
      <c r="I60" s="24">
        <v>80.709999999999994</v>
      </c>
      <c r="J60" s="24">
        <v>80.709999999999994</v>
      </c>
      <c r="K60" s="24" t="s">
        <v>176</v>
      </c>
      <c r="L60" s="24"/>
      <c r="M60" s="24"/>
      <c r="N60" s="24">
        <v>1</v>
      </c>
      <c r="O60" s="24" t="s">
        <v>192</v>
      </c>
    </row>
    <row r="61" spans="2:15" ht="14.4">
      <c r="B61" s="24" t="s">
        <v>163</v>
      </c>
      <c r="C61" s="24" t="s">
        <v>24</v>
      </c>
      <c r="D61" s="24" t="s">
        <v>169</v>
      </c>
      <c r="E61" s="24">
        <f t="shared" si="0"/>
        <v>0</v>
      </c>
      <c r="F61" s="24" t="s">
        <v>52</v>
      </c>
      <c r="G61" s="24" t="s">
        <v>52</v>
      </c>
      <c r="H61" s="24" t="s">
        <v>52</v>
      </c>
      <c r="I61" s="24" t="s">
        <v>52</v>
      </c>
      <c r="J61" s="24" t="s">
        <v>52</v>
      </c>
      <c r="K61" s="24"/>
      <c r="L61" s="24"/>
      <c r="M61" s="24"/>
      <c r="N61" s="24"/>
      <c r="O61" s="24"/>
    </row>
    <row r="62" spans="2:15" ht="14.4">
      <c r="B62" s="24" t="s">
        <v>164</v>
      </c>
      <c r="C62" s="24" t="s">
        <v>45</v>
      </c>
      <c r="D62" s="24" t="s">
        <v>169</v>
      </c>
      <c r="E62" s="24">
        <f t="shared" si="0"/>
        <v>58.25</v>
      </c>
      <c r="F62" s="24" t="s">
        <v>52</v>
      </c>
      <c r="G62" s="24" t="s">
        <v>52</v>
      </c>
      <c r="H62" s="24" t="s">
        <v>52</v>
      </c>
      <c r="I62" s="24" t="s">
        <v>52</v>
      </c>
      <c r="J62" s="24">
        <v>58.25</v>
      </c>
      <c r="K62" s="24" t="s">
        <v>172</v>
      </c>
      <c r="L62" s="24" t="s">
        <v>173</v>
      </c>
      <c r="M62" s="24" t="s">
        <v>174</v>
      </c>
      <c r="N62" s="24">
        <v>4</v>
      </c>
      <c r="O62" s="24" t="s">
        <v>196</v>
      </c>
    </row>
    <row r="63" spans="2:15" ht="14.4">
      <c r="B63" s="24" t="s">
        <v>165</v>
      </c>
      <c r="C63" s="24" t="s">
        <v>48</v>
      </c>
      <c r="D63" s="24" t="s">
        <v>169</v>
      </c>
      <c r="E63" s="24">
        <f t="shared" si="0"/>
        <v>0</v>
      </c>
      <c r="F63" s="24" t="s">
        <v>52</v>
      </c>
      <c r="G63" s="24" t="s">
        <v>52</v>
      </c>
      <c r="H63" s="24" t="s">
        <v>52</v>
      </c>
      <c r="I63" s="24" t="s">
        <v>52</v>
      </c>
      <c r="J63" s="24" t="s">
        <v>52</v>
      </c>
      <c r="K63" s="24"/>
      <c r="L63" s="24"/>
      <c r="M63" s="24"/>
      <c r="N63" s="24"/>
      <c r="O63" s="24"/>
    </row>
    <row r="64" spans="2:15" ht="14.4">
      <c r="B64" s="24" t="s">
        <v>166</v>
      </c>
      <c r="C64" s="24" t="s">
        <v>167</v>
      </c>
      <c r="D64" s="24" t="s">
        <v>169</v>
      </c>
      <c r="F64" s="24" t="s">
        <v>52</v>
      </c>
      <c r="G64" s="24" t="s">
        <v>52</v>
      </c>
      <c r="H64" s="24" t="s">
        <v>52</v>
      </c>
      <c r="I64" s="24" t="s">
        <v>52</v>
      </c>
      <c r="J64" s="24" t="s">
        <v>52</v>
      </c>
      <c r="K64" s="24"/>
      <c r="L64" s="24"/>
      <c r="M64" s="24"/>
      <c r="N64" s="24"/>
      <c r="O64" s="24"/>
    </row>
    <row r="66" spans="2:2" ht="14.4">
      <c r="B66" s="24" t="s">
        <v>197</v>
      </c>
    </row>
    <row r="67" spans="2:2" ht="14.4">
      <c r="B67" s="24" t="s">
        <v>198</v>
      </c>
    </row>
    <row r="68" spans="2:2" ht="14.4">
      <c r="B68" s="24" t="s">
        <v>199</v>
      </c>
    </row>
    <row r="70" spans="7:34" ht="14.4"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</row>
    <row r="71" spans="7:34" ht="14.4"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</row>
  </sheetData>
  <pageMargins left="0.7" right="0.7" top="0.75" bottom="0.75" header="0.3" footer="0.3"/>
  <pageSetup orientation="portrait" paperSize="1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60"/>
  <sheetViews>
    <sheetView workbookViewId="0" topLeftCell="A1">
      <selection pane="topLeft" activeCell="H3" sqref="H3"/>
    </sheetView>
  </sheetViews>
  <sheetFormatPr defaultRowHeight="14.4"/>
  <cols>
    <col min="8" max="8" width="9.57142857142857" bestFit="1" customWidth="1"/>
  </cols>
  <sheetData>
    <row r="2" spans="2:8" ht="14.4">
      <c r="B2" s="26"/>
      <c r="C2" s="33">
        <v>0.0149</v>
      </c>
      <c r="D2" s="26"/>
      <c r="E2" s="26"/>
      <c r="F2" s="26"/>
      <c r="H2" t="s">
        <v>228</v>
      </c>
    </row>
    <row r="3" spans="2:8" ht="14.4">
      <c r="B3" s="26">
        <v>2012</v>
      </c>
      <c r="C3" s="26">
        <v>100</v>
      </c>
      <c r="D3" s="26">
        <f t="shared" si="0" ref="D3:D43">C3*$C$2</f>
        <v>1.49</v>
      </c>
      <c r="E3" s="26"/>
      <c r="F3" s="26">
        <f t="shared" si="1" ref="F3:F43">$C$3-C3</f>
        <v>0</v>
      </c>
      <c r="H3" s="34">
        <f>1+FV(-0.0149,48,0,100,1)/100</f>
        <v>0.51353083749288886</v>
      </c>
    </row>
    <row r="4" spans="1:7" ht="14.4">
      <c r="A4">
        <v>1</v>
      </c>
      <c r="B4" s="26">
        <f>B3+1</f>
        <v>2013</v>
      </c>
      <c r="C4" s="31">
        <f t="shared" si="2" ref="C4:C43">C3-D3</f>
        <v>98.510000000000005</v>
      </c>
      <c r="D4" s="31">
        <f t="shared" si="0"/>
        <v>1.4677990000000001</v>
      </c>
      <c r="E4" s="31"/>
      <c r="F4" s="5">
        <f t="shared" si="1"/>
        <v>1.4899999999999949</v>
      </c>
      <c r="G4" s="29">
        <f>1+FV(-0.0149,A4,0,100,1)/100</f>
        <v>0.014900000000000135</v>
      </c>
    </row>
    <row r="5" spans="1:7" ht="14.4">
      <c r="A5">
        <v>2</v>
      </c>
      <c r="B5" s="26">
        <f t="shared" si="3" ref="B5:B43">B4+1</f>
        <v>2014</v>
      </c>
      <c r="C5" s="31">
        <f t="shared" si="2"/>
        <v>97.042201000000006</v>
      </c>
      <c r="D5" s="31">
        <f t="shared" si="0"/>
        <v>1.4459287949000001</v>
      </c>
      <c r="E5" s="31"/>
      <c r="F5" s="31">
        <f t="shared" si="1"/>
        <v>2.9577989999999943</v>
      </c>
      <c r="G5" s="29">
        <f>1+FV(-0.0149,A5,0,100,1)/100</f>
        <v>0.029577990000000054</v>
      </c>
    </row>
    <row r="6" spans="1:7" ht="14.4">
      <c r="A6" s="35">
        <v>3</v>
      </c>
      <c r="B6" s="26">
        <f t="shared" si="3"/>
        <v>2015</v>
      </c>
      <c r="C6" s="31">
        <f t="shared" si="2"/>
        <v>95.596272205100007</v>
      </c>
      <c r="D6" s="31">
        <f t="shared" si="0"/>
        <v>1.4243844558559902</v>
      </c>
      <c r="E6" s="31"/>
      <c r="F6" s="31">
        <f t="shared" si="1"/>
        <v>4.4037277948999929</v>
      </c>
      <c r="G6" s="29">
        <f t="shared" si="4" ref="G6:G48">1+FV(-0.0149,A6,0,100,1)/100</f>
        <v>0.044037277949000031</v>
      </c>
    </row>
    <row r="7" spans="1:7" ht="14.4">
      <c r="A7" s="35">
        <v>4</v>
      </c>
      <c r="B7" s="26">
        <f t="shared" si="3"/>
        <v>2016</v>
      </c>
      <c r="C7" s="31">
        <f t="shared" si="2"/>
        <v>94.171887749244021</v>
      </c>
      <c r="D7" s="31">
        <f t="shared" si="0"/>
        <v>1.4031611274637359</v>
      </c>
      <c r="E7" s="31"/>
      <c r="F7" s="31">
        <f t="shared" si="1"/>
        <v>5.8281122507559786</v>
      </c>
      <c r="G7" s="29">
        <f t="shared" si="4"/>
        <v>0.058281122507560124</v>
      </c>
    </row>
    <row r="8" spans="1:7" ht="14.4">
      <c r="A8" s="35">
        <v>5</v>
      </c>
      <c r="B8" s="26">
        <f t="shared" si="3"/>
        <v>2017</v>
      </c>
      <c r="C8" s="31">
        <f t="shared" si="2"/>
        <v>92.768726621780289</v>
      </c>
      <c r="D8" s="31">
        <f t="shared" si="0"/>
        <v>1.3822540266645262</v>
      </c>
      <c r="E8" s="31"/>
      <c r="F8" s="31">
        <f t="shared" si="1"/>
        <v>7.2312733782197114</v>
      </c>
      <c r="G8" s="29">
        <f t="shared" si="4"/>
        <v>0.07231273378219738</v>
      </c>
    </row>
    <row r="9" spans="1:7" ht="14.4">
      <c r="A9" s="35">
        <v>6</v>
      </c>
      <c r="B9" s="26">
        <f t="shared" si="3"/>
        <v>2018</v>
      </c>
      <c r="C9" s="31">
        <f t="shared" si="2"/>
        <v>91.386472595115762</v>
      </c>
      <c r="D9" s="31">
        <f t="shared" si="0"/>
        <v>1.3616584416672248</v>
      </c>
      <c r="E9" s="31"/>
      <c r="F9" s="31">
        <f t="shared" si="1"/>
        <v>8.6135274048842376</v>
      </c>
      <c r="G9" s="29">
        <f t="shared" si="4"/>
        <v>0.086135274048842692</v>
      </c>
    </row>
    <row r="10" spans="1:7" ht="14.4">
      <c r="A10" s="35">
        <v>7</v>
      </c>
      <c r="B10" s="26">
        <f t="shared" si="3"/>
        <v>2019</v>
      </c>
      <c r="C10" s="31">
        <f t="shared" si="2"/>
        <v>90.024814153448531</v>
      </c>
      <c r="D10" s="31">
        <f t="shared" si="0"/>
        <v>1.3413697308863832</v>
      </c>
      <c r="E10" s="31"/>
      <c r="F10" s="31">
        <f t="shared" si="1"/>
        <v>9.9751858465514687</v>
      </c>
      <c r="G10" s="29">
        <f t="shared" si="4"/>
        <v>0.099751858465514931</v>
      </c>
    </row>
    <row r="11" spans="1:7" ht="14.4">
      <c r="A11" s="35">
        <v>8</v>
      </c>
      <c r="B11" s="26">
        <f t="shared" si="3"/>
        <v>2020</v>
      </c>
      <c r="C11" s="31">
        <f t="shared" si="2"/>
        <v>88.683444422562147</v>
      </c>
      <c r="D11" s="31">
        <f t="shared" si="0"/>
        <v>1.3213833218961759</v>
      </c>
      <c r="E11" s="31"/>
      <c r="F11" s="31">
        <f t="shared" si="1"/>
        <v>11.316555577437853</v>
      </c>
      <c r="G11" s="29">
        <f t="shared" si="4"/>
        <v>0.11316555577437881</v>
      </c>
    </row>
    <row r="12" spans="1:7" ht="14.4">
      <c r="A12" s="35">
        <v>9</v>
      </c>
      <c r="B12" s="26">
        <f t="shared" si="3"/>
        <v>2021</v>
      </c>
      <c r="C12" s="31">
        <f t="shared" si="2"/>
        <v>87.362061100665969</v>
      </c>
      <c r="D12" s="31">
        <f t="shared" si="0"/>
        <v>1.301694710399923</v>
      </c>
      <c r="E12" s="31"/>
      <c r="F12" s="31">
        <f t="shared" si="1"/>
        <v>12.637938899334031</v>
      </c>
      <c r="G12" s="29">
        <f t="shared" si="4"/>
        <v>0.12637938899334056</v>
      </c>
    </row>
    <row r="13" spans="1:7" ht="14.4">
      <c r="A13" s="35">
        <v>10</v>
      </c>
      <c r="B13" s="26">
        <f t="shared" si="3"/>
        <v>2022</v>
      </c>
      <c r="C13" s="31">
        <f t="shared" si="2"/>
        <v>86.06036639026604</v>
      </c>
      <c r="D13" s="31">
        <f t="shared" si="0"/>
        <v>1.2822994592149639</v>
      </c>
      <c r="E13" s="31"/>
      <c r="F13" s="31">
        <f t="shared" si="1"/>
        <v>13.93963360973396</v>
      </c>
      <c r="G13" s="29">
        <f t="shared" si="4"/>
        <v>0.13939633609733992</v>
      </c>
    </row>
    <row r="14" spans="1:7" ht="14.4">
      <c r="A14" s="35">
        <v>11</v>
      </c>
      <c r="B14" s="26">
        <f t="shared" si="3"/>
        <v>2023</v>
      </c>
      <c r="C14" s="31">
        <f t="shared" si="2"/>
        <v>84.778066931051072</v>
      </c>
      <c r="D14" s="31">
        <f t="shared" si="0"/>
        <v>1.2631931972726609</v>
      </c>
      <c r="E14" s="31"/>
      <c r="F14" s="31">
        <f t="shared" si="1"/>
        <v>15.221933068948928</v>
      </c>
      <c r="G14" s="29">
        <f t="shared" si="4"/>
        <v>0.15221933068948945</v>
      </c>
    </row>
    <row r="15" spans="1:7" ht="14.4">
      <c r="A15" s="35">
        <v>12</v>
      </c>
      <c r="B15" s="26">
        <f t="shared" si="3"/>
        <v>2024</v>
      </c>
      <c r="C15" s="31">
        <f t="shared" si="2"/>
        <v>83.514873733778415</v>
      </c>
      <c r="D15" s="31">
        <f t="shared" si="0"/>
        <v>1.2443716186332985</v>
      </c>
      <c r="E15" s="31"/>
      <c r="F15" s="31">
        <f t="shared" si="1"/>
        <v>16.485126266221585</v>
      </c>
      <c r="G15" s="29">
        <f t="shared" si="4"/>
        <v>0.16485126266221617</v>
      </c>
    </row>
    <row r="16" spans="1:7" ht="14.4">
      <c r="A16" s="35">
        <v>13</v>
      </c>
      <c r="B16" s="26">
        <f t="shared" si="3"/>
        <v>2025</v>
      </c>
      <c r="C16" s="31">
        <f t="shared" si="2"/>
        <v>82.270502115145121</v>
      </c>
      <c r="D16" s="31">
        <f t="shared" si="0"/>
        <v>1.2258304815156622</v>
      </c>
      <c r="E16" s="31"/>
      <c r="F16" s="31">
        <f t="shared" si="1"/>
        <v>17.729497884854879</v>
      </c>
      <c r="G16" s="29">
        <f t="shared" si="4"/>
        <v>0.17729497884854917</v>
      </c>
    </row>
    <row r="17" spans="1:7" ht="14.4">
      <c r="A17" s="35">
        <v>14</v>
      </c>
      <c r="B17" s="26">
        <f t="shared" si="3"/>
        <v>2026</v>
      </c>
      <c r="C17" s="31">
        <f t="shared" si="2"/>
        <v>81.044671633629463</v>
      </c>
      <c r="D17" s="31">
        <f t="shared" si="0"/>
        <v>1.207565607341079</v>
      </c>
      <c r="E17" s="31"/>
      <c r="F17" s="31">
        <f t="shared" si="1"/>
        <v>18.955328366370537</v>
      </c>
      <c r="G17" s="29">
        <f t="shared" si="4"/>
        <v>0.18955328366370583</v>
      </c>
    </row>
    <row r="18" spans="1:7" ht="14.4">
      <c r="A18" s="35">
        <v>15</v>
      </c>
      <c r="B18" s="26">
        <f t="shared" si="3"/>
        <v>2027</v>
      </c>
      <c r="C18" s="31">
        <f t="shared" si="2"/>
        <v>79.837106026288382</v>
      </c>
      <c r="D18" s="31">
        <f t="shared" si="0"/>
        <v>1.1895728797916969</v>
      </c>
      <c r="E18" s="31"/>
      <c r="F18" s="31">
        <f t="shared" si="1"/>
        <v>20.162893973711618</v>
      </c>
      <c r="G18" s="29">
        <f t="shared" si="4"/>
        <v>0.2016289397371166</v>
      </c>
    </row>
    <row r="19" spans="1:7" ht="14.4">
      <c r="A19" s="35">
        <v>16</v>
      </c>
      <c r="B19" s="26">
        <f t="shared" si="3"/>
        <v>2028</v>
      </c>
      <c r="C19" s="31">
        <f t="shared" si="2"/>
        <v>78.647533146496684</v>
      </c>
      <c r="D19" s="31">
        <f t="shared" si="0"/>
        <v>1.1718482438828006</v>
      </c>
      <c r="E19" s="31"/>
      <c r="F19" s="31">
        <f t="shared" si="1"/>
        <v>21.352466853503316</v>
      </c>
      <c r="G19" s="29">
        <f t="shared" si="4"/>
        <v>0.2135246685350336</v>
      </c>
    </row>
    <row r="20" spans="1:7" ht="14.4">
      <c r="A20" s="35">
        <v>17</v>
      </c>
      <c r="B20" s="26">
        <f t="shared" si="3"/>
        <v>2029</v>
      </c>
      <c r="C20" s="31">
        <f t="shared" si="2"/>
        <v>77.475684902613878</v>
      </c>
      <c r="D20" s="31">
        <f t="shared" si="0"/>
        <v>1.1543877050489468</v>
      </c>
      <c r="E20" s="31"/>
      <c r="F20" s="31">
        <f t="shared" si="1"/>
        <v>22.524315097386122</v>
      </c>
      <c r="G20" s="29">
        <f t="shared" si="4"/>
        <v>0.22524315097386161</v>
      </c>
    </row>
    <row r="21" spans="1:7" ht="14.4">
      <c r="A21" s="35">
        <v>18</v>
      </c>
      <c r="B21" s="26">
        <f t="shared" si="3"/>
        <v>2030</v>
      </c>
      <c r="C21" s="31">
        <f t="shared" si="2"/>
        <v>76.321297197564931</v>
      </c>
      <c r="D21" s="31">
        <f t="shared" si="0"/>
        <v>1.1371873282437175</v>
      </c>
      <c r="E21" s="31"/>
      <c r="F21" s="31">
        <f t="shared" si="1"/>
        <v>23.678702802435069</v>
      </c>
      <c r="G21" s="29">
        <f t="shared" si="4"/>
        <v>0.23678702802435114</v>
      </c>
    </row>
    <row r="22" spans="1:7" ht="14.4">
      <c r="A22" s="35">
        <v>19</v>
      </c>
      <c r="B22" s="26">
        <f t="shared" si="3"/>
        <v>2031</v>
      </c>
      <c r="C22" s="31">
        <f t="shared" si="2"/>
        <v>75.184109869321219</v>
      </c>
      <c r="D22" s="31">
        <f t="shared" si="0"/>
        <v>1.1202432370528861</v>
      </c>
      <c r="E22" s="31"/>
      <c r="F22" s="31">
        <f t="shared" si="1"/>
        <v>24.815890130678781</v>
      </c>
      <c r="G22" s="29">
        <f t="shared" si="4"/>
        <v>0.24815890130678819</v>
      </c>
    </row>
    <row r="23" spans="1:7" ht="14.4">
      <c r="A23" s="35">
        <v>20</v>
      </c>
      <c r="B23" s="26">
        <f t="shared" si="3"/>
        <v>2032</v>
      </c>
      <c r="C23" s="31">
        <f t="shared" si="2"/>
        <v>74.063866632268329</v>
      </c>
      <c r="D23" s="31">
        <f t="shared" si="0"/>
        <v>1.1035516128207981</v>
      </c>
      <c r="E23" s="31"/>
      <c r="F23" s="31">
        <f t="shared" si="1"/>
        <v>25.936133367731671</v>
      </c>
      <c r="G23" s="29">
        <f t="shared" si="4"/>
        <v>0.25936133367731717</v>
      </c>
    </row>
    <row r="24" spans="1:7" ht="14.4">
      <c r="A24" s="35">
        <v>21</v>
      </c>
      <c r="B24" s="26">
        <f t="shared" si="3"/>
        <v>2033</v>
      </c>
      <c r="C24" s="31">
        <f t="shared" si="2"/>
        <v>72.960315019447535</v>
      </c>
      <c r="D24" s="31">
        <f t="shared" si="0"/>
        <v>1.0871086937897683</v>
      </c>
      <c r="E24" s="31"/>
      <c r="F24" s="31">
        <f t="shared" si="1"/>
        <v>27.039684980552465</v>
      </c>
      <c r="G24" s="29">
        <f t="shared" si="4"/>
        <v>0.27039684980552503</v>
      </c>
    </row>
    <row r="25" spans="1:7" ht="14.4">
      <c r="A25" s="35">
        <v>22</v>
      </c>
      <c r="B25" s="26">
        <f t="shared" si="3"/>
        <v>2034</v>
      </c>
      <c r="C25" s="31">
        <f t="shared" si="2"/>
        <v>71.873206325657762</v>
      </c>
      <c r="D25" s="31">
        <f t="shared" si="0"/>
        <v>1.0709107742523007</v>
      </c>
      <c r="E25" s="31"/>
      <c r="F25" s="31">
        <f t="shared" si="1"/>
        <v>28.126793674342238</v>
      </c>
      <c r="G25" s="29">
        <f t="shared" si="4"/>
        <v>0.28126793674342276</v>
      </c>
    </row>
    <row r="26" spans="1:7" ht="14.4">
      <c r="A26" s="35">
        <v>23</v>
      </c>
      <c r="B26" s="26">
        <f t="shared" si="3"/>
        <v>2035</v>
      </c>
      <c r="C26" s="31">
        <f t="shared" si="2"/>
        <v>70.802295551405464</v>
      </c>
      <c r="D26" s="31">
        <f t="shared" si="0"/>
        <v>1.0549542037159414</v>
      </c>
      <c r="E26" s="31"/>
      <c r="F26" s="31">
        <f t="shared" si="1"/>
        <v>29.197704448594536</v>
      </c>
      <c r="G26" s="29">
        <f t="shared" si="4"/>
        <v>0.29197704448594597</v>
      </c>
    </row>
    <row r="27" spans="1:7" ht="14.4">
      <c r="A27" s="35">
        <v>24</v>
      </c>
      <c r="B27" s="26">
        <f t="shared" si="3"/>
        <v>2036</v>
      </c>
      <c r="C27" s="31">
        <f t="shared" si="2"/>
        <v>69.747341347689527</v>
      </c>
      <c r="D27" s="31">
        <f t="shared" si="0"/>
        <v>1.0392353860805739</v>
      </c>
      <c r="E27" s="31"/>
      <c r="F27" s="31">
        <f t="shared" si="1"/>
        <v>30.252658652310473</v>
      </c>
      <c r="G27" s="29">
        <f t="shared" si="4"/>
        <v>0.30252658652310527</v>
      </c>
    </row>
    <row r="28" spans="1:7" ht="14.4">
      <c r="A28" s="35">
        <v>25</v>
      </c>
      <c r="B28" s="26">
        <f t="shared" si="3"/>
        <v>2037</v>
      </c>
      <c r="C28" s="31">
        <f t="shared" si="2"/>
        <v>68.70810596160895</v>
      </c>
      <c r="D28" s="31">
        <f t="shared" si="0"/>
        <v>1.0237507788279734</v>
      </c>
      <c r="E28" s="31"/>
      <c r="F28" s="31">
        <f t="shared" si="1"/>
        <v>31.29189403839105</v>
      </c>
      <c r="G28" s="29">
        <f t="shared" si="4"/>
        <v>0.31291894038391088</v>
      </c>
    </row>
    <row r="29" spans="1:7" ht="14.4">
      <c r="A29" s="35">
        <v>26</v>
      </c>
      <c r="B29" s="26">
        <f t="shared" si="3"/>
        <v>2038</v>
      </c>
      <c r="C29" s="31">
        <f t="shared" si="2"/>
        <v>67.684355182780976</v>
      </c>
      <c r="D29" s="31">
        <f t="shared" si="0"/>
        <v>1.0084968922234365</v>
      </c>
      <c r="E29" s="31"/>
      <c r="F29" s="31">
        <f t="shared" si="1"/>
        <v>32.315644817219024</v>
      </c>
      <c r="G29" s="29">
        <f t="shared" si="4"/>
        <v>0.3231564481721908</v>
      </c>
    </row>
    <row r="30" spans="1:7" ht="14.4">
      <c r="A30" s="35">
        <v>27</v>
      </c>
      <c r="B30" s="26">
        <f t="shared" si="3"/>
        <v>2039</v>
      </c>
      <c r="C30" s="31">
        <f t="shared" si="2"/>
        <v>66.675858290557542</v>
      </c>
      <c r="D30" s="31">
        <f t="shared" si="0"/>
        <v>0.99347028852930741</v>
      </c>
      <c r="E30" s="31"/>
      <c r="F30" s="31">
        <f t="shared" si="1"/>
        <v>33.324141709442458</v>
      </c>
      <c r="G30" s="29">
        <f t="shared" si="4"/>
        <v>0.33324141709442512</v>
      </c>
    </row>
    <row r="31" spans="1:7" ht="14.4">
      <c r="A31" s="35">
        <v>28</v>
      </c>
      <c r="B31" s="26">
        <f t="shared" si="3"/>
        <v>2040</v>
      </c>
      <c r="C31" s="31">
        <f t="shared" si="2"/>
        <v>65.682388002028233</v>
      </c>
      <c r="D31" s="31">
        <f t="shared" si="0"/>
        <v>0.97866758123022068</v>
      </c>
      <c r="E31" s="31"/>
      <c r="F31" s="31">
        <f t="shared" si="1"/>
        <v>34.317611997971767</v>
      </c>
      <c r="G31" s="29">
        <f t="shared" si="4"/>
        <v>0.3431761199797182</v>
      </c>
    </row>
    <row r="32" spans="1:7" ht="14.4">
      <c r="A32" s="35">
        <v>29</v>
      </c>
      <c r="B32" s="26">
        <f t="shared" si="3"/>
        <v>2041</v>
      </c>
      <c r="C32" s="31">
        <f t="shared" si="2"/>
        <v>64.703720420798007</v>
      </c>
      <c r="D32" s="31">
        <f t="shared" si="0"/>
        <v>0.96408543426989035</v>
      </c>
      <c r="E32" s="31"/>
      <c r="F32" s="31">
        <f t="shared" si="1"/>
        <v>35.296279579201993</v>
      </c>
      <c r="G32" s="29">
        <f t="shared" si="4"/>
        <v>0.3529627957920205</v>
      </c>
    </row>
    <row r="33" spans="1:7" ht="14.4">
      <c r="A33" s="35">
        <v>30</v>
      </c>
      <c r="B33" s="26">
        <f t="shared" si="3"/>
        <v>2042</v>
      </c>
      <c r="C33" s="31">
        <f t="shared" si="2"/>
        <v>63.739634986528117</v>
      </c>
      <c r="D33" s="31">
        <f t="shared" si="0"/>
        <v>0.94972056129926896</v>
      </c>
      <c r="E33" s="31"/>
      <c r="F33" s="31">
        <f t="shared" si="1"/>
        <v>36.260365013471883</v>
      </c>
      <c r="G33" s="29">
        <f t="shared" si="4"/>
        <v>0.3626036501347194</v>
      </c>
    </row>
    <row r="34" spans="1:7" ht="14.4">
      <c r="A34" s="35">
        <v>31</v>
      </c>
      <c r="B34" s="26">
        <f t="shared" si="3"/>
        <v>2043</v>
      </c>
      <c r="C34" s="31">
        <f t="shared" si="2"/>
        <v>62.789914425228851</v>
      </c>
      <c r="D34" s="31">
        <f t="shared" si="0"/>
        <v>0.93556972493590984</v>
      </c>
      <c r="E34" s="31"/>
      <c r="F34" s="31">
        <f t="shared" si="1"/>
        <v>37.210085574771149</v>
      </c>
      <c r="G34" s="29">
        <f t="shared" si="4"/>
        <v>0.37210085574771212</v>
      </c>
    </row>
    <row r="35" spans="1:7" ht="14.4">
      <c r="A35" s="35">
        <v>32</v>
      </c>
      <c r="B35" s="26">
        <f t="shared" si="3"/>
        <v>2044</v>
      </c>
      <c r="C35" s="31">
        <f t="shared" si="2"/>
        <v>61.854344700292941</v>
      </c>
      <c r="D35" s="31">
        <f t="shared" si="0"/>
        <v>0.92162973603436482</v>
      </c>
      <c r="E35" s="31"/>
      <c r="F35" s="31">
        <f t="shared" si="1"/>
        <v>38.145655299707059</v>
      </c>
      <c r="G35" s="29">
        <f t="shared" si="4"/>
        <v>0.38145655299707126</v>
      </c>
    </row>
    <row r="36" spans="1:7" ht="14.4">
      <c r="A36" s="35">
        <v>33</v>
      </c>
      <c r="B36" s="26">
        <f t="shared" si="3"/>
        <v>2045</v>
      </c>
      <c r="C36" s="31">
        <f t="shared" si="2"/>
        <v>60.932714964258579</v>
      </c>
      <c r="D36" s="31">
        <f t="shared" si="0"/>
        <v>0.90789745296745283</v>
      </c>
      <c r="E36" s="31"/>
      <c r="F36" s="31">
        <f t="shared" si="1"/>
        <v>39.067285035741421</v>
      </c>
      <c r="G36" s="29">
        <f t="shared" si="4"/>
        <v>0.39067285035741495</v>
      </c>
    </row>
    <row r="37" spans="1:7" ht="14.4">
      <c r="A37" s="35">
        <v>34</v>
      </c>
      <c r="B37" s="26">
        <f t="shared" si="3"/>
        <v>2046</v>
      </c>
      <c r="C37" s="31">
        <f t="shared" si="2"/>
        <v>60.024817511291126</v>
      </c>
      <c r="D37" s="31">
        <f t="shared" si="0"/>
        <v>0.89436978091823782</v>
      </c>
      <c r="E37" s="31"/>
      <c r="F37" s="31">
        <f t="shared" si="1"/>
        <v>39.975182488708874</v>
      </c>
      <c r="G37" s="29">
        <f t="shared" si="4"/>
        <v>0.39975182488708949</v>
      </c>
    </row>
    <row r="38" spans="1:7" ht="14.4">
      <c r="A38" s="35">
        <v>35</v>
      </c>
      <c r="B38" s="26">
        <f t="shared" si="3"/>
        <v>2047</v>
      </c>
      <c r="C38" s="31">
        <f t="shared" si="2"/>
        <v>59.130447730372886</v>
      </c>
      <c r="D38" s="31">
        <f t="shared" si="0"/>
        <v>0.881043671182556</v>
      </c>
      <c r="E38" s="31"/>
      <c r="F38" s="31">
        <f t="shared" si="1"/>
        <v>40.869552269627114</v>
      </c>
      <c r="G38" s="29">
        <f t="shared" si="4"/>
        <v>0.40869552269627185</v>
      </c>
    </row>
    <row r="39" spans="1:7" ht="14.4">
      <c r="A39" s="35">
        <v>36</v>
      </c>
      <c r="B39" s="26">
        <f t="shared" si="3"/>
        <v>2048</v>
      </c>
      <c r="C39" s="31">
        <f t="shared" si="2"/>
        <v>58.249404059190333</v>
      </c>
      <c r="D39" s="31">
        <f t="shared" si="0"/>
        <v>0.867916120481936</v>
      </c>
      <c r="E39" s="31"/>
      <c r="F39" s="31">
        <f t="shared" si="1"/>
        <v>41.750595940809667</v>
      </c>
      <c r="G39" s="29">
        <f t="shared" si="4"/>
        <v>0.41750595940809743</v>
      </c>
    </row>
    <row r="40" spans="1:7" ht="14.4">
      <c r="A40" s="35">
        <v>37</v>
      </c>
      <c r="B40" s="26">
        <f t="shared" si="3"/>
        <v>2049</v>
      </c>
      <c r="C40" s="31">
        <f t="shared" si="2"/>
        <v>57.381487938708396</v>
      </c>
      <c r="D40" s="31">
        <f t="shared" si="0"/>
        <v>0.85498417028675511</v>
      </c>
      <c r="E40" s="31"/>
      <c r="F40" s="31">
        <f t="shared" si="1"/>
        <v>42.618512061291604</v>
      </c>
      <c r="G40" s="29">
        <f t="shared" si="4"/>
        <v>0.4261851206129168</v>
      </c>
    </row>
    <row r="41" spans="1:7" ht="14.4">
      <c r="A41" s="35">
        <v>38</v>
      </c>
      <c r="B41" s="26">
        <f t="shared" si="3"/>
        <v>2050</v>
      </c>
      <c r="C41" s="31">
        <f t="shared" si="2"/>
        <v>56.526503768421641</v>
      </c>
      <c r="D41" s="31">
        <f t="shared" si="0"/>
        <v>0.84224490614948244</v>
      </c>
      <c r="E41" s="31"/>
      <c r="F41" s="31">
        <f t="shared" si="1"/>
        <v>43.473496231578359</v>
      </c>
      <c r="G41" s="29">
        <f t="shared" si="4"/>
        <v>0.43473496231578435</v>
      </c>
    </row>
    <row r="42" spans="1:7" ht="14.4">
      <c r="A42" s="35">
        <v>39</v>
      </c>
      <c r="B42" s="26">
        <f t="shared" si="3"/>
        <v>2051</v>
      </c>
      <c r="C42" s="31">
        <f t="shared" si="2"/>
        <v>55.684258862272159</v>
      </c>
      <c r="D42" s="31">
        <f t="shared" si="0"/>
        <v>0.82969545704785519</v>
      </c>
      <c r="E42" s="31"/>
      <c r="F42" s="31">
        <f t="shared" si="1"/>
        <v>44.315741137727841</v>
      </c>
      <c r="G42" s="29">
        <f t="shared" si="4"/>
        <v>0.44315741137727915</v>
      </c>
    </row>
    <row r="43" spans="1:7" ht="14.4">
      <c r="A43" s="35">
        <v>40</v>
      </c>
      <c r="B43" s="26">
        <f t="shared" si="3"/>
        <v>2052</v>
      </c>
      <c r="C43" s="31">
        <f t="shared" si="2"/>
        <v>54.854563405224305</v>
      </c>
      <c r="D43" s="31">
        <f t="shared" si="0"/>
        <v>0.81733299473784216</v>
      </c>
      <c r="E43" s="31"/>
      <c r="F43" s="31">
        <f t="shared" si="1"/>
        <v>45.145436594775695</v>
      </c>
      <c r="G43" s="29">
        <f t="shared" si="4"/>
        <v>0.45145436594775767</v>
      </c>
    </row>
    <row r="44" spans="1:7" ht="14.4">
      <c r="A44" s="35">
        <v>41</v>
      </c>
      <c r="B44" s="26">
        <f t="shared" si="5" ref="B44:B51">B43+1</f>
        <v>2053</v>
      </c>
      <c r="C44" s="31">
        <f t="shared" si="6" ref="C44:C48">C43-D43</f>
        <v>54.037230410486465</v>
      </c>
      <c r="D44" s="31">
        <f t="shared" si="7" ref="D44:D48">C44*$C$2</f>
        <v>0.8051547331162483</v>
      </c>
      <c r="E44" s="31"/>
      <c r="F44" s="31">
        <f t="shared" si="8" ref="F44:F47">$C$3-C44</f>
        <v>45.962769589513535</v>
      </c>
      <c r="G44" s="29">
        <f t="shared" si="4"/>
        <v>0.45962769589513608</v>
      </c>
    </row>
    <row r="45" spans="1:7" ht="14.4">
      <c r="A45" s="35">
        <v>42</v>
      </c>
      <c r="B45" s="26">
        <f t="shared" si="5"/>
        <v>2054</v>
      </c>
      <c r="C45" s="31">
        <f t="shared" si="6"/>
        <v>53.232075677370219</v>
      </c>
      <c r="D45" s="31">
        <f t="shared" si="7"/>
        <v>0.79315792759281623</v>
      </c>
      <c r="E45" s="31"/>
      <c r="F45" s="31">
        <f t="shared" si="8"/>
        <v>46.767924322629781</v>
      </c>
      <c r="G45" s="29">
        <f t="shared" si="4"/>
        <v>0.46767924322629861</v>
      </c>
    </row>
    <row r="46" spans="1:7" ht="14.4">
      <c r="A46" s="35">
        <v>43</v>
      </c>
      <c r="B46" s="26">
        <f t="shared" si="5"/>
        <v>2055</v>
      </c>
      <c r="C46" s="31">
        <f t="shared" si="6"/>
        <v>52.438917749777403</v>
      </c>
      <c r="D46" s="31">
        <f t="shared" si="7"/>
        <v>0.78133987447168329</v>
      </c>
      <c r="E46" s="31"/>
      <c r="F46" s="31">
        <f t="shared" si="8"/>
        <v>47.561082250222597</v>
      </c>
      <c r="G46" s="29">
        <f t="shared" si="4"/>
        <v>0.47561082250222675</v>
      </c>
    </row>
    <row r="47" spans="1:7" ht="14.4">
      <c r="A47" s="35">
        <v>44</v>
      </c>
      <c r="B47" s="26">
        <f t="shared" si="5"/>
        <v>2056</v>
      </c>
      <c r="C47" s="31">
        <f t="shared" si="6"/>
        <v>51.657577875305719</v>
      </c>
      <c r="D47" s="31">
        <f t="shared" si="7"/>
        <v>0.76969791034205526</v>
      </c>
      <c r="E47" s="31"/>
      <c r="F47" s="31">
        <f t="shared" si="8"/>
        <v>48.342422124694281</v>
      </c>
      <c r="G47" s="29">
        <f t="shared" si="4"/>
        <v>0.48342422124694362</v>
      </c>
    </row>
    <row r="48" spans="1:7" ht="14.4">
      <c r="A48" s="35">
        <v>45</v>
      </c>
      <c r="B48" s="26">
        <f t="shared" si="5"/>
        <v>2057</v>
      </c>
      <c r="C48" s="31">
        <f t="shared" si="6"/>
        <v>50.887879964963666</v>
      </c>
      <c r="D48" s="31">
        <f t="shared" si="7"/>
        <v>0.75822941147795864</v>
      </c>
      <c r="E48" s="31"/>
      <c r="F48" s="30">
        <f>$C$3-C48</f>
        <v>49.112120035036334</v>
      </c>
      <c r="G48" s="29">
        <f t="shared" si="4"/>
        <v>0.49112120035036422</v>
      </c>
    </row>
    <row r="49" spans="1:7" ht="14.4">
      <c r="A49" s="35">
        <v>46</v>
      </c>
      <c r="B49" s="35">
        <f t="shared" si="5"/>
        <v>2058</v>
      </c>
      <c r="C49" s="31">
        <f t="shared" si="9" ref="C49:C51">C48-D48</f>
        <v>50.12965055348571</v>
      </c>
      <c r="D49" s="31">
        <f t="shared" si="10" ref="D49:D51">C49*$C$2</f>
        <v>0.74693179324693704</v>
      </c>
      <c r="E49" s="31"/>
      <c r="F49" s="31">
        <f t="shared" si="11" ref="F49">$C$3-C49</f>
        <v>49.87034944651429</v>
      </c>
      <c r="G49" s="29">
        <f t="shared" si="12" ref="G49:G51">1+FV(-0.0149,A49,0,100,1)/100</f>
        <v>0.49870349446514384</v>
      </c>
    </row>
    <row r="50" spans="1:7" ht="14.4">
      <c r="A50" s="35">
        <v>47</v>
      </c>
      <c r="B50" s="35">
        <f t="shared" si="5"/>
        <v>2059</v>
      </c>
      <c r="C50" s="31">
        <f t="shared" si="9"/>
        <v>49.382718760238774</v>
      </c>
      <c r="D50" s="31">
        <f t="shared" si="10"/>
        <v>0.73580250952755777</v>
      </c>
      <c r="E50" s="31"/>
      <c r="F50" s="30">
        <f>$C$3-C50</f>
        <v>50.617281239761226</v>
      </c>
      <c r="G50" s="29">
        <f t="shared" si="12"/>
        <v>0.50617281239761314</v>
      </c>
    </row>
    <row r="51" spans="1:7" ht="14.4">
      <c r="A51" s="35">
        <v>48</v>
      </c>
      <c r="B51" s="35">
        <f t="shared" si="5"/>
        <v>2060</v>
      </c>
      <c r="C51" s="31">
        <f t="shared" si="9"/>
        <v>48.646916250711215</v>
      </c>
      <c r="D51" s="31">
        <f t="shared" si="10"/>
        <v>0.72483905213559707</v>
      </c>
      <c r="E51" s="31"/>
      <c r="F51" s="31">
        <f t="shared" si="13" ref="F51">$C$3-C51</f>
        <v>51.353083749288785</v>
      </c>
      <c r="G51" s="29">
        <f t="shared" si="12"/>
        <v>0.51353083749288886</v>
      </c>
    </row>
    <row r="52" spans="2:6" ht="14.4">
      <c r="B52" s="26"/>
      <c r="C52" s="31"/>
      <c r="D52" s="31"/>
      <c r="E52" s="31"/>
      <c r="F52" s="31"/>
    </row>
    <row r="53" spans="2:6" ht="14.4">
      <c r="B53" s="26"/>
      <c r="C53" s="31"/>
      <c r="D53" s="31"/>
      <c r="E53" s="31"/>
      <c r="F53" s="31"/>
    </row>
    <row r="54" spans="2:6" ht="14.4">
      <c r="B54" s="26"/>
      <c r="C54" s="31"/>
      <c r="D54" s="31"/>
      <c r="E54" s="31"/>
      <c r="F54" s="31"/>
    </row>
    <row r="55" spans="2:6" ht="14.4">
      <c r="B55" s="26"/>
      <c r="C55" s="31"/>
      <c r="D55" s="31"/>
      <c r="E55" s="31"/>
      <c r="F55" s="31"/>
    </row>
    <row r="56" spans="2:6" ht="14.4">
      <c r="B56" s="26"/>
      <c r="C56" s="31"/>
      <c r="D56" s="31"/>
      <c r="E56" s="31"/>
      <c r="F56" s="31"/>
    </row>
    <row r="57" spans="2:6" ht="14.4">
      <c r="B57" s="26"/>
      <c r="C57" s="31"/>
      <c r="D57" s="31"/>
      <c r="E57" s="31"/>
      <c r="F57" s="31"/>
    </row>
    <row r="58" spans="2:6" ht="14.4">
      <c r="B58" s="26"/>
      <c r="C58" s="31"/>
      <c r="D58" s="31"/>
      <c r="E58" s="31"/>
      <c r="F58" s="31"/>
    </row>
    <row r="59" spans="2:6" ht="14.4">
      <c r="B59" s="26"/>
      <c r="C59" s="31"/>
      <c r="D59" s="31"/>
      <c r="E59" s="31"/>
      <c r="F59" s="31"/>
    </row>
    <row r="60" spans="2:6" ht="14.4">
      <c r="B60" s="26"/>
      <c r="C60" s="31"/>
      <c r="D60" s="31"/>
      <c r="E60" s="31"/>
      <c r="F60" s="31"/>
    </row>
  </sheetData>
  <sortState ref="B4:B57">
    <sortCondition sortBy="value" ref="B4:B57"/>
  </sortState>
  <pageMargins left="0.7" right="0.7" top="0.75" bottom="0.75" header="0.3" footer="0.3"/>
  <pageSetup orientation="portrait" paperSize="1" r:id="rId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AJ13"/>
  <sheetViews>
    <sheetView workbookViewId="0" topLeftCell="A1">
      <selection pane="topLeft" activeCell="S32" sqref="A30:S32"/>
    </sheetView>
  </sheetViews>
  <sheetFormatPr defaultRowHeight="14.4"/>
  <sheetData>
    <row r="2" spans="2:36" ht="14.4"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</row>
    <row r="3" spans="2:36" ht="15" thickBot="1">
      <c r="B3" s="35"/>
      <c r="C3" s="35"/>
      <c r="D3" s="35"/>
      <c r="E3" s="35"/>
      <c r="F3" s="35"/>
      <c r="G3" s="36" t="s">
        <v>13</v>
      </c>
      <c r="H3" s="37" t="s">
        <v>15</v>
      </c>
      <c r="I3" s="37" t="s">
        <v>16</v>
      </c>
      <c r="J3" s="37" t="s">
        <v>17</v>
      </c>
      <c r="K3" s="37" t="s">
        <v>18</v>
      </c>
      <c r="L3" s="37" t="s">
        <v>19</v>
      </c>
      <c r="M3" s="37" t="s">
        <v>20</v>
      </c>
      <c r="N3" s="37" t="s">
        <v>21</v>
      </c>
      <c r="O3" s="37" t="s">
        <v>22</v>
      </c>
      <c r="P3" s="37" t="s">
        <v>24</v>
      </c>
      <c r="Q3" s="37" t="s">
        <v>25</v>
      </c>
      <c r="R3" s="37" t="s">
        <v>26</v>
      </c>
      <c r="S3" s="37" t="s">
        <v>232</v>
      </c>
      <c r="T3" s="37" t="s">
        <v>28</v>
      </c>
      <c r="U3" s="37" t="s">
        <v>29</v>
      </c>
      <c r="V3" s="37" t="s">
        <v>30</v>
      </c>
      <c r="W3" s="37" t="s">
        <v>31</v>
      </c>
      <c r="X3" s="37" t="s">
        <v>33</v>
      </c>
      <c r="Y3" s="37" t="s">
        <v>34</v>
      </c>
      <c r="Z3" s="37" t="s">
        <v>35</v>
      </c>
      <c r="AA3" s="37" t="s">
        <v>38</v>
      </c>
      <c r="AB3" s="37" t="s">
        <v>39</v>
      </c>
      <c r="AC3" s="37" t="s">
        <v>40</v>
      </c>
      <c r="AD3" s="37" t="s">
        <v>41</v>
      </c>
      <c r="AE3" s="37" t="s">
        <v>42</v>
      </c>
      <c r="AF3" s="37" t="s">
        <v>43</v>
      </c>
      <c r="AG3" s="37" t="s">
        <v>45</v>
      </c>
      <c r="AH3" s="37" t="s">
        <v>46</v>
      </c>
      <c r="AI3" s="37" t="s">
        <v>47</v>
      </c>
      <c r="AJ3" s="37" t="s">
        <v>48</v>
      </c>
    </row>
    <row r="4" spans="2:36" ht="14.4">
      <c r="B4" s="35" t="s">
        <v>233</v>
      </c>
      <c r="C4" s="35"/>
      <c r="D4" s="35"/>
      <c r="E4" s="35"/>
      <c r="F4" s="35"/>
      <c r="G4" s="38">
        <v>0.002</v>
      </c>
      <c r="H4" s="38">
        <v>0.0025000000000000001</v>
      </c>
      <c r="I4" s="38">
        <v>0.002</v>
      </c>
      <c r="J4" s="38">
        <v>0.002</v>
      </c>
      <c r="K4" s="38">
        <v>0.002</v>
      </c>
      <c r="L4" s="38">
        <v>0.002</v>
      </c>
      <c r="M4" s="38">
        <v>0.002</v>
      </c>
      <c r="N4" s="38">
        <v>0.002</v>
      </c>
      <c r="O4" s="38">
        <v>0.002</v>
      </c>
      <c r="P4" s="38">
        <v>0.0020999999999999999</v>
      </c>
      <c r="Q4" s="38">
        <v>0.002</v>
      </c>
      <c r="R4" s="38">
        <v>0.002</v>
      </c>
      <c r="S4" s="38">
        <v>0.002</v>
      </c>
      <c r="T4" s="38">
        <v>0.002</v>
      </c>
      <c r="U4" s="38">
        <v>0.012999999999999999</v>
      </c>
      <c r="V4" s="38">
        <v>0.002</v>
      </c>
      <c r="W4" s="38">
        <v>0.002</v>
      </c>
      <c r="X4" s="38">
        <v>0.002</v>
      </c>
      <c r="Y4" s="38">
        <v>0.002</v>
      </c>
      <c r="Z4" s="38">
        <v>0.002</v>
      </c>
      <c r="AA4" s="38">
        <v>0.002</v>
      </c>
      <c r="AB4" s="38">
        <v>0.002</v>
      </c>
      <c r="AC4" s="38">
        <v>0.002</v>
      </c>
      <c r="AD4" s="38">
        <v>0.002</v>
      </c>
      <c r="AE4" s="38">
        <v>0.002</v>
      </c>
      <c r="AF4" s="38">
        <v>0.002</v>
      </c>
      <c r="AG4" s="38">
        <v>0.0012000000000000008</v>
      </c>
      <c r="AH4" s="38">
        <v>0.002</v>
      </c>
      <c r="AI4" s="38">
        <v>0.002</v>
      </c>
      <c r="AJ4" s="38">
        <v>0.0044299999999999999</v>
      </c>
    </row>
    <row r="5" spans="2:36" ht="14.4"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</row>
    <row r="6" spans="2:36" ht="14.4"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</row>
    <row r="7" spans="2:36" ht="14.4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</row>
    <row r="8" spans="2:36" ht="14.4">
      <c r="B8" s="35"/>
      <c r="C8" s="35"/>
      <c r="D8" s="35"/>
      <c r="E8" s="35" t="s">
        <v>234</v>
      </c>
      <c r="F8" s="35"/>
      <c r="G8" s="35"/>
      <c r="H8" s="35"/>
      <c r="I8" s="35"/>
      <c r="J8" s="35" t="s">
        <v>15</v>
      </c>
      <c r="K8" s="40">
        <v>0.0025000000000000001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</row>
    <row r="9" spans="2:36" ht="14.4">
      <c r="B9" s="35"/>
      <c r="C9" s="35"/>
      <c r="D9" s="35"/>
      <c r="E9" s="35"/>
      <c r="F9" s="35"/>
      <c r="G9" s="35"/>
      <c r="H9" s="35"/>
      <c r="I9" s="35"/>
      <c r="J9" s="35" t="s">
        <v>24</v>
      </c>
      <c r="K9" s="40">
        <v>0.0020999999999999999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</row>
    <row r="10" spans="2:36" ht="14.4">
      <c r="B10" s="35"/>
      <c r="C10" s="35"/>
      <c r="D10" s="35"/>
      <c r="E10" s="35"/>
      <c r="F10" s="35"/>
      <c r="G10" s="35"/>
      <c r="H10" s="35"/>
      <c r="I10" s="35"/>
      <c r="J10" s="35" t="s">
        <v>29</v>
      </c>
      <c r="K10" s="40">
        <v>0.012999999999999999</v>
      </c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</row>
    <row r="11" spans="2:36" ht="14.4">
      <c r="B11" s="35"/>
      <c r="C11" s="35"/>
      <c r="D11" s="35"/>
      <c r="E11" s="35"/>
      <c r="F11" s="35"/>
      <c r="G11" s="35"/>
      <c r="H11" s="35"/>
      <c r="I11" s="35"/>
      <c r="J11" s="35" t="s">
        <v>45</v>
      </c>
      <c r="K11" s="40">
        <v>0.0012000000000000008</v>
      </c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</row>
    <row r="12" spans="2:36" ht="14.4">
      <c r="B12" s="35"/>
      <c r="C12" s="35"/>
      <c r="D12" s="35"/>
      <c r="E12" s="35"/>
      <c r="F12" s="35"/>
      <c r="G12" s="35"/>
      <c r="H12" s="35"/>
      <c r="I12" s="35"/>
      <c r="J12" s="35" t="s">
        <v>48</v>
      </c>
      <c r="K12" s="40">
        <v>0.0044299999999999999</v>
      </c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</row>
    <row r="13" spans="2:36" ht="14.4">
      <c r="B13" s="35"/>
      <c r="C13" s="35"/>
      <c r="D13" s="35"/>
      <c r="E13" s="35"/>
      <c r="F13" s="35"/>
      <c r="G13" s="35"/>
      <c r="H13" s="35"/>
      <c r="I13" s="35"/>
      <c r="J13" s="35" t="s">
        <v>235</v>
      </c>
      <c r="K13" s="40">
        <v>0.0046459999999999991</v>
      </c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Fill Data</vt:lpstr>
      <vt:lpstr>OldHouses</vt:lpstr>
      <vt:lpstr>Stock</vt:lpstr>
      <vt:lpstr>Input</vt:lpstr>
      <vt:lpstr>Retrofit control</vt:lpstr>
      <vt:lpstr>ServBldg</vt:lpstr>
      <vt:lpstr>ServBldg Projection</vt:lpstr>
      <vt:lpstr>Data EU Buildings Observatory</vt:lpstr>
      <vt:lpstr>Major refurbishment speed</vt:lpstr>
      <vt:lpstr>Demolition</vt:lpstr>
    </vt:vector>
  </TitlesOfParts>
  <Template/>
  <Manager/>
  <Company>Microsoft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Rocco2</dc:creator>
  <cp:keywords/>
  <dc:description/>
  <cp:lastModifiedBy>Johanna Markkanen</cp:lastModifiedBy>
  <dcterms:created xsi:type="dcterms:W3CDTF">2014-12-22T10:04:48Z</dcterms:created>
  <dcterms:modified xsi:type="dcterms:W3CDTF">2025-07-07T10:03:03Z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402183115482330</vt:r8>
  </property>
</Properties>
</file>