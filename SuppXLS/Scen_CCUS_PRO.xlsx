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06657E74-F6BF-4A89-A7F8-F9C3196EB2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NETS" sheetId="2" r:id="rId1"/>
    <sheet name="CO2Storage" sheetId="13" r:id="rId2"/>
    <sheet name="DACCS" sheetId="18" r:id="rId3"/>
    <sheet name="PyCCs" sheetId="5" r:id="rId4"/>
    <sheet name="SCS" sheetId="15" r:id="rId5"/>
    <sheet name="SOC" sheetId="14" r:id="rId6"/>
    <sheet name="Forestry" sheetId="16" r:id="rId7"/>
    <sheet name="EW" sheetId="17" r:id="rId8"/>
  </sheets>
  <externalReferences>
    <externalReference r:id="rId9"/>
    <externalReference r:id="rId10"/>
  </externalReferences>
  <definedNames>
    <definedName name="BE" localSheetId="1">#REF!</definedName>
    <definedName name="BE" localSheetId="2">#REF!</definedName>
    <definedName name="BE" localSheetId="7">#REF!</definedName>
    <definedName name="BE" localSheetId="6">#REF!</definedName>
    <definedName name="BE" localSheetId="3">#REF!</definedName>
    <definedName name="BE" localSheetId="4">#REF!</definedName>
    <definedName name="BE" localSheetId="5">#REF!</definedName>
    <definedName name="BE">#REF!</definedName>
    <definedName name="bel" localSheetId="1">#REF!</definedName>
    <definedName name="bel" localSheetId="2">#REF!</definedName>
    <definedName name="bel" localSheetId="7">#REF!</definedName>
    <definedName name="bel" localSheetId="6">#REF!</definedName>
    <definedName name="bel" localSheetId="3">#REF!</definedName>
    <definedName name="bel" localSheetId="4">#REF!</definedName>
    <definedName name="bel" localSheetId="5">#REF!</definedName>
    <definedName name="bel">#REF!</definedName>
    <definedName name="dsg" localSheetId="1">#REF!</definedName>
    <definedName name="dsg" localSheetId="2">#REF!</definedName>
    <definedName name="dsg" localSheetId="7">#REF!</definedName>
    <definedName name="dsg" localSheetId="6">#REF!</definedName>
    <definedName name="dsg" localSheetId="3">#REF!</definedName>
    <definedName name="dsg" localSheetId="4">#REF!</definedName>
    <definedName name="dsg" localSheetId="5">#REF!</definedName>
    <definedName name="dsg">#REF!</definedName>
    <definedName name="Scenario" localSheetId="1">[1]BioCrops!$G$1</definedName>
    <definedName name="Scenario" localSheetId="2">[1]BioCrops!$G$1</definedName>
    <definedName name="Scenario" localSheetId="7">[1]BioCrops!$G$1</definedName>
    <definedName name="Scenario" localSheetId="6">[1]BioCrops!$G$1</definedName>
    <definedName name="Scenario" localSheetId="3">[1]BioCrops!$G$1</definedName>
    <definedName name="Scenario" localSheetId="4">[1]BioCrops!$G$1</definedName>
    <definedName name="Scenario" localSheetId="5">[1]BioCrops!$G$1</definedName>
    <definedName name="Scenario">[2]BioCrops!$G$1</definedName>
    <definedName name="scenn" localSheetId="1">#REF!</definedName>
    <definedName name="scenn" localSheetId="2">#REF!</definedName>
    <definedName name="scenn" localSheetId="7">#REF!</definedName>
    <definedName name="scenn" localSheetId="6">#REF!</definedName>
    <definedName name="scenn" localSheetId="4">#REF!</definedName>
    <definedName name="scenn" localSheetId="5">#REF!</definedName>
    <definedName name="scenn">#REF!</definedName>
    <definedName name="Summer" localSheetId="1">#REF!</definedName>
    <definedName name="Summer" localSheetId="2">#REF!</definedName>
    <definedName name="Summer" localSheetId="7">#REF!</definedName>
    <definedName name="Summer" localSheetId="6">#REF!</definedName>
    <definedName name="Summer" localSheetId="3">#REF!</definedName>
    <definedName name="Summer" localSheetId="4">#REF!</definedName>
    <definedName name="Summer" localSheetId="5">#REF!</definedName>
    <definedName name="Summer">#REF!</definedName>
    <definedName name="Summer1" localSheetId="1">#REF!</definedName>
    <definedName name="Summer1" localSheetId="2">#REF!</definedName>
    <definedName name="Summer1" localSheetId="7">#REF!</definedName>
    <definedName name="Summer1" localSheetId="6">#REF!</definedName>
    <definedName name="Summer1" localSheetId="3">#REF!</definedName>
    <definedName name="Summer1" localSheetId="4">#REF!</definedName>
    <definedName name="Summer1" localSheetId="5">#REF!</definedName>
    <definedName name="Summer1">#REF!</definedName>
    <definedName name="ToeTJ" localSheetId="1">#REF!</definedName>
    <definedName name="ToeTJ" localSheetId="2">#REF!</definedName>
    <definedName name="ToeTJ" localSheetId="7">#REF!</definedName>
    <definedName name="ToeTJ" localSheetId="6">#REF!</definedName>
    <definedName name="ToeTJ" localSheetId="3">#REF!</definedName>
    <definedName name="ToeTJ" localSheetId="4">#REF!</definedName>
    <definedName name="ToeTJ" localSheetId="5">#REF!</definedName>
    <definedName name="ToeTJ">#REF!</definedName>
    <definedName name="TSeg" localSheetId="1">#REF!</definedName>
    <definedName name="TSeg" localSheetId="2">#REF!</definedName>
    <definedName name="TSeg" localSheetId="7">#REF!</definedName>
    <definedName name="TSeg" localSheetId="6">#REF!</definedName>
    <definedName name="TSeg" localSheetId="3">#REF!</definedName>
    <definedName name="TSeg" localSheetId="4">#REF!</definedName>
    <definedName name="TSeg" localSheetId="5">#REF!</definedName>
    <definedName name="TSeg">#REF!</definedName>
    <definedName name="TSEG1" localSheetId="1">#REF!</definedName>
    <definedName name="TSEG1" localSheetId="2">#REF!</definedName>
    <definedName name="TSEG1" localSheetId="7">#REF!</definedName>
    <definedName name="TSEG1" localSheetId="6">#REF!</definedName>
    <definedName name="TSEG1" localSheetId="3">#REF!</definedName>
    <definedName name="TSEG1" localSheetId="4">#REF!</definedName>
    <definedName name="TSEG1" localSheetId="5">#REF!</definedName>
    <definedName name="TSEG1">#REF!</definedName>
    <definedName name="TSEG2" localSheetId="1">#REF!</definedName>
    <definedName name="TSEG2" localSheetId="2">#REF!</definedName>
    <definedName name="TSEG2" localSheetId="7">#REF!</definedName>
    <definedName name="TSEG2" localSheetId="6">#REF!</definedName>
    <definedName name="TSEG2" localSheetId="3">#REF!</definedName>
    <definedName name="TSEG2" localSheetId="4">#REF!</definedName>
    <definedName name="TSEG2" localSheetId="5">#REF!</definedName>
    <definedName name="TSEG2">#REF!</definedName>
    <definedName name="TSEG3" localSheetId="1">#REF!</definedName>
    <definedName name="TSEG3" localSheetId="2">#REF!</definedName>
    <definedName name="TSEG3" localSheetId="7">#REF!</definedName>
    <definedName name="TSEG3" localSheetId="6">#REF!</definedName>
    <definedName name="TSEG3" localSheetId="3">#REF!</definedName>
    <definedName name="TSEG3" localSheetId="4">#REF!</definedName>
    <definedName name="TSEG3" localSheetId="5">#REF!</definedName>
    <definedName name="TSEG3">#REF!</definedName>
    <definedName name="TSEG4" localSheetId="1">#REF!</definedName>
    <definedName name="TSEG4" localSheetId="2">#REF!</definedName>
    <definedName name="TSEG4" localSheetId="7">#REF!</definedName>
    <definedName name="TSEG4" localSheetId="6">#REF!</definedName>
    <definedName name="TSEG4" localSheetId="3">#REF!</definedName>
    <definedName name="TSEG4" localSheetId="4">#REF!</definedName>
    <definedName name="TSEG4" localSheetId="5">#REF!</definedName>
    <definedName name="TSEG4">#REF!</definedName>
    <definedName name="TSEG5" localSheetId="1">#REF!</definedName>
    <definedName name="TSEG5" localSheetId="2">#REF!</definedName>
    <definedName name="TSEG5" localSheetId="7">#REF!</definedName>
    <definedName name="TSEG5" localSheetId="6">#REF!</definedName>
    <definedName name="TSEG5" localSheetId="3">#REF!</definedName>
    <definedName name="TSEG5" localSheetId="4">#REF!</definedName>
    <definedName name="TSEG5" localSheetId="5">#REF!</definedName>
    <definedName name="TSEG5">#REF!</definedName>
    <definedName name="Winter" localSheetId="1">#REF!</definedName>
    <definedName name="Winter" localSheetId="2">#REF!</definedName>
    <definedName name="Winter" localSheetId="7">#REF!</definedName>
    <definedName name="Winter" localSheetId="6">#REF!</definedName>
    <definedName name="Winter" localSheetId="3">#REF!</definedName>
    <definedName name="Winter" localSheetId="4">#REF!</definedName>
    <definedName name="Winter" localSheetId="5">#REF!</definedName>
    <definedName name="Winter">#REF!</definedName>
    <definedName name="XLSIMSIM" localSheetId="1" hidden="1">{"Sim",1,"normal","'Costs'!$Q$8","1","2","100","0"}</definedName>
    <definedName name="XLSIMSIM" localSheetId="2" hidden="1">{"Sim",1,"normal","'Costs'!$Q$8","1","2","100","0"}</definedName>
    <definedName name="XLSIMSIM" localSheetId="7" hidden="1">{"Sim",1,"normal","'Costs'!$Q$8","1","2","100","0"}</definedName>
    <definedName name="XLSIMSIM" localSheetId="6" hidden="1">{"Sim",1,"normal","'Costs'!$Q$8","1","2","100","0"}</definedName>
    <definedName name="XLSIMSIM" localSheetId="4" hidden="1">{"Sim",1,"normal","'Costs'!$Q$8","1","2","100","0"}</definedName>
    <definedName name="XLSIMSIM" localSheetId="5" hidden="1">{"Sim",1,"normal","'Costs'!$Q$8","1","2","100","0"}</definedName>
    <definedName name="XLSIMSIM" hidden="1">{"Sim",1,"normal","'Costs'!$Q$8","1","2","100","0"}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8" i="13" l="1"/>
  <c r="D86" i="18"/>
  <c r="C86" i="18"/>
  <c r="D82" i="18"/>
  <c r="E76" i="18"/>
  <c r="E78" i="18"/>
  <c r="D76" i="18"/>
  <c r="D78" i="18"/>
  <c r="C76" i="18"/>
  <c r="C78" i="18"/>
  <c r="E74" i="18"/>
  <c r="D74" i="18"/>
  <c r="C74" i="18"/>
  <c r="G29" i="18"/>
  <c r="G27" i="18"/>
  <c r="H27" i="18"/>
  <c r="B21" i="18"/>
  <c r="B20" i="18"/>
  <c r="B19" i="18"/>
  <c r="I29" i="18"/>
  <c r="I27" i="18"/>
  <c r="G28" i="18"/>
  <c r="H29" i="18"/>
  <c r="H28" i="18"/>
  <c r="I28" i="18"/>
  <c r="M85" i="17"/>
  <c r="L85" i="17"/>
  <c r="L84" i="17"/>
  <c r="K85" i="17"/>
  <c r="J85" i="17"/>
  <c r="I85" i="17"/>
  <c r="H85" i="17"/>
  <c r="M84" i="17"/>
  <c r="S25" i="17"/>
  <c r="K84" i="17"/>
  <c r="Q24" i="17"/>
  <c r="J84" i="17"/>
  <c r="P24" i="17"/>
  <c r="I84" i="17"/>
  <c r="O26" i="17"/>
  <c r="H84" i="17"/>
  <c r="G84" i="17"/>
  <c r="F84" i="17"/>
  <c r="E84" i="17"/>
  <c r="K23" i="17"/>
  <c r="D84" i="17"/>
  <c r="C84" i="17"/>
  <c r="C57" i="17"/>
  <c r="C64" i="17"/>
  <c r="U64" i="17"/>
  <c r="N63" i="17"/>
  <c r="O62" i="17"/>
  <c r="N62" i="17"/>
  <c r="P62" i="17"/>
  <c r="N61" i="17"/>
  <c r="P61" i="17"/>
  <c r="N60" i="17"/>
  <c r="P60" i="17"/>
  <c r="R60" i="17"/>
  <c r="O59" i="17"/>
  <c r="N59" i="17"/>
  <c r="G57" i="17"/>
  <c r="G64" i="17"/>
  <c r="H52" i="17"/>
  <c r="G52" i="17"/>
  <c r="F52" i="17"/>
  <c r="E52" i="17"/>
  <c r="D52" i="17"/>
  <c r="L48" i="17"/>
  <c r="T31" i="17"/>
  <c r="K48" i="17"/>
  <c r="J48" i="17"/>
  <c r="T29" i="17"/>
  <c r="I48" i="17"/>
  <c r="G48" i="17"/>
  <c r="F48" i="17"/>
  <c r="E48" i="17"/>
  <c r="D48" i="17"/>
  <c r="P39" i="17"/>
  <c r="O39" i="17"/>
  <c r="U31" i="17"/>
  <c r="S31" i="17"/>
  <c r="R31" i="17"/>
  <c r="Q31" i="17"/>
  <c r="P31" i="17"/>
  <c r="O31" i="17"/>
  <c r="N31" i="17"/>
  <c r="M31" i="17"/>
  <c r="L31" i="17"/>
  <c r="K31" i="17"/>
  <c r="J31" i="17"/>
  <c r="I31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U29" i="17"/>
  <c r="S29" i="17"/>
  <c r="R29" i="17"/>
  <c r="Q29" i="17"/>
  <c r="P29" i="17"/>
  <c r="O29" i="17"/>
  <c r="N29" i="17"/>
  <c r="M29" i="17"/>
  <c r="L29" i="17"/>
  <c r="K29" i="17"/>
  <c r="J29" i="17"/>
  <c r="I29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E27" i="17"/>
  <c r="D27" i="17"/>
  <c r="B27" i="17"/>
  <c r="U26" i="17"/>
  <c r="S26" i="17"/>
  <c r="R26" i="17"/>
  <c r="Q26" i="17"/>
  <c r="P26" i="17"/>
  <c r="U25" i="17"/>
  <c r="Q25" i="17"/>
  <c r="M25" i="17"/>
  <c r="L25" i="17"/>
  <c r="K25" i="17"/>
  <c r="J25" i="17"/>
  <c r="I25" i="17"/>
  <c r="U24" i="17"/>
  <c r="S24" i="17"/>
  <c r="R24" i="17"/>
  <c r="U23" i="17"/>
  <c r="S23" i="17"/>
  <c r="Q23" i="17"/>
  <c r="P23" i="17"/>
  <c r="O23" i="17"/>
  <c r="N23" i="17"/>
  <c r="M23" i="17"/>
  <c r="U22" i="17"/>
  <c r="U21" i="17"/>
  <c r="U20" i="17"/>
  <c r="U19" i="17"/>
  <c r="U18" i="17"/>
  <c r="U17" i="17"/>
  <c r="U16" i="17"/>
  <c r="U15" i="17"/>
  <c r="U14" i="17"/>
  <c r="U13" i="17"/>
  <c r="U12" i="17"/>
  <c r="U11" i="17"/>
  <c r="U10" i="17"/>
  <c r="M10" i="17"/>
  <c r="U9" i="17"/>
  <c r="U8" i="17"/>
  <c r="U7" i="17"/>
  <c r="J6" i="17"/>
  <c r="K6" i="17"/>
  <c r="L6" i="17"/>
  <c r="M6" i="17"/>
  <c r="N6" i="17"/>
  <c r="O6" i="17"/>
  <c r="P6" i="17"/>
  <c r="Q6" i="17"/>
  <c r="R6" i="17"/>
  <c r="S6" i="17"/>
  <c r="T6" i="17"/>
  <c r="I6" i="17"/>
  <c r="K5" i="17"/>
  <c r="L5" i="17"/>
  <c r="M5" i="17"/>
  <c r="N5" i="17"/>
  <c r="O5" i="17"/>
  <c r="P5" i="17"/>
  <c r="Q5" i="17"/>
  <c r="R5" i="17"/>
  <c r="S5" i="17"/>
  <c r="T5" i="17"/>
  <c r="J5" i="17"/>
  <c r="I5" i="17"/>
  <c r="G49" i="16"/>
  <c r="G48" i="16"/>
  <c r="F47" i="16"/>
  <c r="S16" i="16"/>
  <c r="F46" i="16"/>
  <c r="AE15" i="16"/>
  <c r="G45" i="16"/>
  <c r="G44" i="16"/>
  <c r="F43" i="16"/>
  <c r="AF12" i="16"/>
  <c r="F42" i="16"/>
  <c r="M11" i="16"/>
  <c r="F39" i="16"/>
  <c r="AB8" i="16"/>
  <c r="G38" i="16"/>
  <c r="F38" i="16"/>
  <c r="AG7" i="16"/>
  <c r="R16" i="16"/>
  <c r="Q16" i="16"/>
  <c r="P16" i="16"/>
  <c r="O16" i="16"/>
  <c r="N16" i="16"/>
  <c r="M16" i="16"/>
  <c r="AL15" i="16"/>
  <c r="AG15" i="16"/>
  <c r="AF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AL12" i="16"/>
  <c r="AG12" i="16"/>
  <c r="AD12" i="16"/>
  <c r="AC12" i="16"/>
  <c r="AB12" i="16"/>
  <c r="Z12" i="16"/>
  <c r="Y12" i="16"/>
  <c r="X12" i="16"/>
  <c r="W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AL11" i="16"/>
  <c r="AG11" i="16"/>
  <c r="AE11" i="16"/>
  <c r="AD11" i="16"/>
  <c r="AC11" i="16"/>
  <c r="AB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J11" i="16"/>
  <c r="I11" i="16"/>
  <c r="AL8" i="16"/>
  <c r="AG8" i="16"/>
  <c r="AF8" i="16"/>
  <c r="AE8" i="16"/>
  <c r="AD8" i="16"/>
  <c r="AC8" i="16"/>
  <c r="Z8" i="16"/>
  <c r="Y8" i="16"/>
  <c r="X8" i="16"/>
  <c r="V8" i="16"/>
  <c r="U8" i="16"/>
  <c r="T8" i="16"/>
  <c r="S8" i="16"/>
  <c r="Q8" i="16"/>
  <c r="P8" i="16"/>
  <c r="O8" i="16"/>
  <c r="N8" i="16"/>
  <c r="M8" i="16"/>
  <c r="L8" i="16"/>
  <c r="K8" i="16"/>
  <c r="J8" i="16"/>
  <c r="I8" i="16"/>
  <c r="H8" i="16"/>
  <c r="AL7" i="16"/>
  <c r="Y7" i="16"/>
  <c r="X7" i="16"/>
  <c r="T7" i="16"/>
  <c r="S7" i="16"/>
  <c r="R7" i="16"/>
  <c r="Q7" i="16"/>
  <c r="P7" i="16"/>
  <c r="O7" i="16"/>
  <c r="N7" i="16"/>
  <c r="M7" i="16"/>
  <c r="L7" i="16"/>
  <c r="K7" i="16"/>
  <c r="J7" i="16"/>
  <c r="AT6" i="16"/>
  <c r="AS6" i="16"/>
  <c r="F42" i="15"/>
  <c r="W14" i="15"/>
  <c r="F41" i="15"/>
  <c r="H42" i="15"/>
  <c r="G39" i="15"/>
  <c r="G42" i="15"/>
  <c r="G38" i="15"/>
  <c r="G41" i="15"/>
  <c r="F38" i="15"/>
  <c r="AB10" i="15"/>
  <c r="F35" i="15"/>
  <c r="Z7" i="15"/>
  <c r="P33" i="15"/>
  <c r="O33" i="15"/>
  <c r="N33" i="15"/>
  <c r="Q33" i="15"/>
  <c r="P32" i="15"/>
  <c r="O32" i="15"/>
  <c r="N32" i="15"/>
  <c r="Q32" i="15"/>
  <c r="H21" i="15"/>
  <c r="H20" i="15"/>
  <c r="H19" i="15"/>
  <c r="H18" i="15"/>
  <c r="H17" i="15"/>
  <c r="H16" i="15"/>
  <c r="AR15" i="15"/>
  <c r="E15" i="15"/>
  <c r="D15" i="15"/>
  <c r="B15" i="15"/>
  <c r="AL14" i="15"/>
  <c r="AG14" i="15"/>
  <c r="AF14" i="15"/>
  <c r="AE14" i="15"/>
  <c r="AC14" i="15"/>
  <c r="AB14" i="15"/>
  <c r="AA14" i="15"/>
  <c r="Z14" i="15"/>
  <c r="Y14" i="15"/>
  <c r="X14" i="15"/>
  <c r="U14" i="15"/>
  <c r="R14" i="15"/>
  <c r="O14" i="15"/>
  <c r="N14" i="15"/>
  <c r="M14" i="15"/>
  <c r="L14" i="15"/>
  <c r="K14" i="15"/>
  <c r="J14" i="15"/>
  <c r="I14" i="15"/>
  <c r="AL13" i="15"/>
  <c r="AG13" i="15"/>
  <c r="AF13" i="15"/>
  <c r="AE13" i="15"/>
  <c r="AB13" i="15"/>
  <c r="AA13" i="15"/>
  <c r="Z13" i="15"/>
  <c r="Y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AL12" i="15"/>
  <c r="AR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AL10" i="15"/>
  <c r="AG10" i="15"/>
  <c r="AF10" i="15"/>
  <c r="AE10" i="15"/>
  <c r="AD10" i="15"/>
  <c r="AC10" i="15"/>
  <c r="S10" i="15"/>
  <c r="R10" i="15"/>
  <c r="Q10" i="15"/>
  <c r="P10" i="15"/>
  <c r="O10" i="15"/>
  <c r="N10" i="15"/>
  <c r="M10" i="15"/>
  <c r="L10" i="15"/>
  <c r="I10" i="15"/>
  <c r="AL9" i="15"/>
  <c r="AR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AL7" i="15"/>
  <c r="AB7" i="15"/>
  <c r="AA7" i="15"/>
  <c r="N7" i="15"/>
  <c r="M7" i="15"/>
  <c r="L7" i="15"/>
  <c r="K7" i="15"/>
  <c r="J7" i="15"/>
  <c r="AL6" i="15"/>
  <c r="AR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F40" i="14"/>
  <c r="G39" i="14"/>
  <c r="G42" i="14"/>
  <c r="G38" i="14"/>
  <c r="G41" i="14"/>
  <c r="F37" i="14"/>
  <c r="AD9" i="14"/>
  <c r="F34" i="14"/>
  <c r="AB6" i="14"/>
  <c r="H18" i="14"/>
  <c r="H21" i="14"/>
  <c r="H17" i="14"/>
  <c r="H20" i="14"/>
  <c r="H16" i="14"/>
  <c r="H19" i="14"/>
  <c r="AR15" i="14"/>
  <c r="E15" i="14"/>
  <c r="D15" i="14"/>
  <c r="B15" i="14"/>
  <c r="AL12" i="14"/>
  <c r="AG12" i="14"/>
  <c r="AF12" i="14"/>
  <c r="AE12" i="14"/>
  <c r="AD12" i="14"/>
  <c r="AA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AL9" i="14"/>
  <c r="AG9" i="14"/>
  <c r="AF9" i="14"/>
  <c r="AE9" i="14"/>
  <c r="S9" i="14"/>
  <c r="R9" i="14"/>
  <c r="Q9" i="14"/>
  <c r="P9" i="14"/>
  <c r="O9" i="14"/>
  <c r="N9" i="14"/>
  <c r="M9" i="14"/>
  <c r="L9" i="14"/>
  <c r="K9" i="14"/>
  <c r="J9" i="14"/>
  <c r="I9" i="14"/>
  <c r="AG6" i="14"/>
  <c r="AF6" i="14"/>
  <c r="AE6" i="14"/>
  <c r="AD6" i="14"/>
  <c r="AC6" i="14"/>
  <c r="M6" i="14"/>
  <c r="L6" i="14"/>
  <c r="K6" i="14"/>
  <c r="J6" i="14"/>
  <c r="I6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R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Q198" i="13"/>
  <c r="Q163" i="13" a="1"/>
  <c r="AB163" i="13"/>
  <c r="AB164" i="13"/>
  <c r="AB162" i="13"/>
  <c r="AA162" i="13"/>
  <c r="Z162" i="13"/>
  <c r="Y162" i="13"/>
  <c r="W162" i="13"/>
  <c r="V162" i="13"/>
  <c r="U162" i="13"/>
  <c r="T162" i="13"/>
  <c r="S162" i="13"/>
  <c r="R162" i="13"/>
  <c r="Q162" i="13" a="1"/>
  <c r="Q162" i="13"/>
  <c r="R143" i="13"/>
  <c r="P143" i="13"/>
  <c r="M143" i="13"/>
  <c r="L143" i="13"/>
  <c r="K143" i="13"/>
  <c r="J143" i="13"/>
  <c r="H143" i="13"/>
  <c r="G143" i="13"/>
  <c r="F143" i="13"/>
  <c r="E143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O114" i="13"/>
  <c r="O115" i="13"/>
  <c r="D114" i="13"/>
  <c r="O113" i="13"/>
  <c r="D113" i="13"/>
  <c r="O112" i="13"/>
  <c r="N112" i="13"/>
  <c r="I112" i="13"/>
  <c r="D112" i="13"/>
  <c r="Q111" i="13"/>
  <c r="O111" i="13"/>
  <c r="N111" i="13"/>
  <c r="N143" i="13"/>
  <c r="I111" i="13"/>
  <c r="D111" i="13"/>
  <c r="Q110" i="13"/>
  <c r="AE55" i="13"/>
  <c r="AE89" i="13"/>
  <c r="O110" i="13"/>
  <c r="I110" i="13"/>
  <c r="N59" i="13"/>
  <c r="D110" i="13"/>
  <c r="S109" i="13"/>
  <c r="S143" i="13"/>
  <c r="Q109" i="13"/>
  <c r="O109" i="13"/>
  <c r="D109" i="13"/>
  <c r="I109" i="13"/>
  <c r="Q108" i="13"/>
  <c r="AE49" i="13"/>
  <c r="AE88" i="13"/>
  <c r="O108" i="13"/>
  <c r="Y54" i="13"/>
  <c r="I108" i="13"/>
  <c r="I143" i="13"/>
  <c r="D108" i="13"/>
  <c r="Q107" i="13"/>
  <c r="D107" i="13"/>
  <c r="O107" i="13"/>
  <c r="I107" i="13"/>
  <c r="D106" i="13"/>
  <c r="D105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AD96" i="13"/>
  <c r="AC96" i="13"/>
  <c r="AB96" i="13"/>
  <c r="AA96" i="13"/>
  <c r="Z96" i="13"/>
  <c r="X96" i="13"/>
  <c r="W96" i="13"/>
  <c r="V96" i="13"/>
  <c r="U96" i="13"/>
  <c r="T96" i="13"/>
  <c r="S96" i="13"/>
  <c r="R96" i="13"/>
  <c r="Q96" i="13"/>
  <c r="P96" i="13"/>
  <c r="O96" i="13"/>
  <c r="M96" i="13"/>
  <c r="L96" i="13"/>
  <c r="K96" i="13"/>
  <c r="J96" i="13"/>
  <c r="AD95" i="13"/>
  <c r="AC95" i="13"/>
  <c r="AB95" i="13"/>
  <c r="AA95" i="13"/>
  <c r="Z95" i="13"/>
  <c r="X95" i="13"/>
  <c r="W95" i="13"/>
  <c r="V95" i="13"/>
  <c r="U95" i="13"/>
  <c r="T95" i="13"/>
  <c r="S95" i="13"/>
  <c r="R95" i="13"/>
  <c r="Q95" i="13"/>
  <c r="P95" i="13"/>
  <c r="O95" i="13"/>
  <c r="M95" i="13"/>
  <c r="L95" i="13"/>
  <c r="K95" i="13"/>
  <c r="J95" i="13"/>
  <c r="AD94" i="13"/>
  <c r="AC94" i="13"/>
  <c r="AB94" i="13"/>
  <c r="AA94" i="13"/>
  <c r="Z94" i="13"/>
  <c r="X94" i="13"/>
  <c r="W94" i="13"/>
  <c r="V94" i="13"/>
  <c r="U94" i="13"/>
  <c r="T94" i="13"/>
  <c r="S94" i="13"/>
  <c r="R94" i="13"/>
  <c r="Q94" i="13"/>
  <c r="P94" i="13"/>
  <c r="O94" i="13"/>
  <c r="M94" i="13"/>
  <c r="L94" i="13"/>
  <c r="K94" i="13"/>
  <c r="J94" i="13"/>
  <c r="AE93" i="13"/>
  <c r="AD93" i="13"/>
  <c r="AC93" i="13"/>
  <c r="AB93" i="13"/>
  <c r="AA93" i="13"/>
  <c r="Z93" i="13"/>
  <c r="X93" i="13"/>
  <c r="W93" i="13"/>
  <c r="V93" i="13"/>
  <c r="S93" i="13"/>
  <c r="R93" i="13"/>
  <c r="Q93" i="13"/>
  <c r="P93" i="13"/>
  <c r="N93" i="13"/>
  <c r="L93" i="13"/>
  <c r="J93" i="13"/>
  <c r="AE92" i="13"/>
  <c r="AD92" i="13"/>
  <c r="AC92" i="13"/>
  <c r="AB92" i="13"/>
  <c r="AA92" i="13"/>
  <c r="Z92" i="13"/>
  <c r="W92" i="13"/>
  <c r="V92" i="13"/>
  <c r="T92" i="13"/>
  <c r="S92" i="13"/>
  <c r="R92" i="13"/>
  <c r="Q92" i="13"/>
  <c r="P92" i="13"/>
  <c r="O92" i="13"/>
  <c r="N92" i="13"/>
  <c r="M92" i="13"/>
  <c r="L92" i="13"/>
  <c r="K92" i="13"/>
  <c r="J92" i="13"/>
  <c r="AE91" i="13"/>
  <c r="AD91" i="13"/>
  <c r="AC91" i="13"/>
  <c r="AB91" i="13"/>
  <c r="AA91" i="13"/>
  <c r="Z91" i="13"/>
  <c r="Y91" i="13"/>
  <c r="X91" i="13"/>
  <c r="W91" i="13"/>
  <c r="V91" i="13"/>
  <c r="T91" i="13"/>
  <c r="S91" i="13"/>
  <c r="R91" i="13"/>
  <c r="P91" i="13"/>
  <c r="O91" i="13"/>
  <c r="N91" i="13"/>
  <c r="M91" i="13"/>
  <c r="L91" i="13"/>
  <c r="K91" i="13"/>
  <c r="J91" i="13"/>
  <c r="AE90" i="13"/>
  <c r="AD90" i="13"/>
  <c r="AC90" i="13"/>
  <c r="AB90" i="13"/>
  <c r="AA90" i="13"/>
  <c r="Z90" i="13"/>
  <c r="Y90" i="13"/>
  <c r="X90" i="13"/>
  <c r="W90" i="13"/>
  <c r="V90" i="13"/>
  <c r="S90" i="13"/>
  <c r="R90" i="13"/>
  <c r="Q90" i="13"/>
  <c r="P90" i="13"/>
  <c r="O90" i="13"/>
  <c r="M90" i="13"/>
  <c r="L90" i="13"/>
  <c r="J90" i="13"/>
  <c r="AD89" i="13"/>
  <c r="AC89" i="13"/>
  <c r="AB89" i="13"/>
  <c r="AA89" i="13"/>
  <c r="Z89" i="13"/>
  <c r="Y89" i="13"/>
  <c r="X89" i="13"/>
  <c r="W89" i="13"/>
  <c r="V89" i="13"/>
  <c r="S89" i="13"/>
  <c r="R89" i="13"/>
  <c r="Q89" i="13"/>
  <c r="P89" i="13"/>
  <c r="O89" i="13"/>
  <c r="M89" i="13"/>
  <c r="L89" i="13"/>
  <c r="J89" i="13"/>
  <c r="AD88" i="13"/>
  <c r="AC88" i="13"/>
  <c r="AB88" i="13"/>
  <c r="AA88" i="13"/>
  <c r="Z88" i="13"/>
  <c r="Y88" i="13"/>
  <c r="X88" i="13"/>
  <c r="W88" i="13"/>
  <c r="V88" i="13"/>
  <c r="S88" i="13"/>
  <c r="R88" i="13"/>
  <c r="Q88" i="13"/>
  <c r="P88" i="13"/>
  <c r="O88" i="13"/>
  <c r="M88" i="13"/>
  <c r="L88" i="13"/>
  <c r="J88" i="13"/>
  <c r="AH84" i="13"/>
  <c r="AG84" i="13"/>
  <c r="AH83" i="13"/>
  <c r="AG99" i="13"/>
  <c r="AG83" i="13"/>
  <c r="AF99" i="13"/>
  <c r="T82" i="13"/>
  <c r="T93" i="13"/>
  <c r="O82" i="13"/>
  <c r="AH82" i="13"/>
  <c r="AH81" i="13"/>
  <c r="AG81" i="13"/>
  <c r="M80" i="13"/>
  <c r="M93" i="13"/>
  <c r="Y79" i="13"/>
  <c r="Y93" i="13"/>
  <c r="U79" i="13"/>
  <c r="U93" i="13"/>
  <c r="K79" i="13"/>
  <c r="AG79" i="13"/>
  <c r="AH78" i="13"/>
  <c r="AG78" i="13"/>
  <c r="AH77" i="13"/>
  <c r="AG98" i="13"/>
  <c r="AG77" i="13"/>
  <c r="AF98" i="13"/>
  <c r="AH76" i="13"/>
  <c r="T76" i="13"/>
  <c r="AG76" i="13"/>
  <c r="AH75" i="13"/>
  <c r="AG75" i="13"/>
  <c r="O74" i="13"/>
  <c r="AH74" i="13"/>
  <c r="Y73" i="13"/>
  <c r="Y92" i="13"/>
  <c r="X73" i="13"/>
  <c r="X92" i="13"/>
  <c r="U73" i="13"/>
  <c r="AG73" i="13"/>
  <c r="AH72" i="13"/>
  <c r="AG72" i="13"/>
  <c r="AH71" i="13"/>
  <c r="AG97" i="13"/>
  <c r="AG71" i="13"/>
  <c r="AF97" i="13"/>
  <c r="Q70" i="13"/>
  <c r="AH70" i="13"/>
  <c r="AH69" i="13"/>
  <c r="AG69" i="13"/>
  <c r="AH68" i="13"/>
  <c r="O68" i="13"/>
  <c r="AG68" i="13"/>
  <c r="Y67" i="13"/>
  <c r="X67" i="13"/>
  <c r="AH67" i="13"/>
  <c r="AG91" i="13"/>
  <c r="U67" i="13"/>
  <c r="U91" i="13"/>
  <c r="AG66" i="13"/>
  <c r="AE66" i="13"/>
  <c r="AE96" i="13"/>
  <c r="N65" i="13"/>
  <c r="N96" i="13"/>
  <c r="T64" i="13"/>
  <c r="T90" i="13"/>
  <c r="Q64" i="13"/>
  <c r="N64" i="13"/>
  <c r="AH64" i="13"/>
  <c r="AH62" i="13"/>
  <c r="AG62" i="13"/>
  <c r="AE62" i="13"/>
  <c r="O62" i="13"/>
  <c r="N62" i="13"/>
  <c r="N90" i="13"/>
  <c r="AE61" i="13"/>
  <c r="Y61" i="13"/>
  <c r="X61" i="13"/>
  <c r="U61" i="13"/>
  <c r="U90" i="13"/>
  <c r="N61" i="13"/>
  <c r="K61" i="13"/>
  <c r="K90" i="13"/>
  <c r="AG60" i="13"/>
  <c r="AE60" i="13"/>
  <c r="AE95" i="13"/>
  <c r="Y60" i="13"/>
  <c r="Y95" i="13"/>
  <c r="T58" i="13"/>
  <c r="T89" i="13"/>
  <c r="N58" i="13"/>
  <c r="AH58" i="13"/>
  <c r="AH56" i="13"/>
  <c r="AG56" i="13"/>
  <c r="AE56" i="13"/>
  <c r="O56" i="13"/>
  <c r="N56" i="13"/>
  <c r="N89" i="13"/>
  <c r="Y55" i="13"/>
  <c r="X55" i="13"/>
  <c r="U55" i="13"/>
  <c r="U89" i="13"/>
  <c r="N55" i="13"/>
  <c r="K55" i="13"/>
  <c r="K89" i="13"/>
  <c r="AG54" i="13"/>
  <c r="AE54" i="13"/>
  <c r="AE94" i="13"/>
  <c r="T52" i="13"/>
  <c r="T88" i="13"/>
  <c r="N52" i="13"/>
  <c r="AH52" i="13"/>
  <c r="AH50" i="13"/>
  <c r="AG50" i="13"/>
  <c r="AE50" i="13"/>
  <c r="O50" i="13"/>
  <c r="N50" i="13"/>
  <c r="N88" i="13"/>
  <c r="Y49" i="13"/>
  <c r="X49" i="13"/>
  <c r="U49" i="13"/>
  <c r="U88" i="13"/>
  <c r="N49" i="13"/>
  <c r="K49" i="13"/>
  <c r="K88" i="13"/>
  <c r="AH36" i="13"/>
  <c r="AG36" i="13"/>
  <c r="H36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AH29" i="13"/>
  <c r="AG29" i="13"/>
  <c r="AH28" i="13"/>
  <c r="AG28" i="13"/>
  <c r="AN23" i="13"/>
  <c r="AM23" i="13"/>
  <c r="AL23" i="13"/>
  <c r="AK23" i="13"/>
  <c r="W23" i="13"/>
  <c r="V23" i="13"/>
  <c r="U23" i="13"/>
  <c r="P23" i="13"/>
  <c r="O23" i="13"/>
  <c r="N23" i="13"/>
  <c r="M23" i="13"/>
  <c r="AO22" i="13"/>
  <c r="AN22" i="13"/>
  <c r="AM22" i="13"/>
  <c r="AL22" i="13"/>
  <c r="AK22" i="13"/>
  <c r="AJ22" i="13"/>
  <c r="AI22" i="13"/>
  <c r="AH22" i="13"/>
  <c r="AU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AU21" i="13"/>
  <c r="AO21" i="13"/>
  <c r="AO23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B23" i="13"/>
  <c r="AA21" i="13"/>
  <c r="Z21" i="13"/>
  <c r="Z23" i="13"/>
  <c r="Y21" i="13"/>
  <c r="Y23" i="13"/>
  <c r="X21" i="13"/>
  <c r="X23" i="13"/>
  <c r="W21" i="13"/>
  <c r="V21" i="13"/>
  <c r="U21" i="13"/>
  <c r="T21" i="13"/>
  <c r="T23" i="13"/>
  <c r="S21" i="13"/>
  <c r="R21" i="13"/>
  <c r="Q21" i="13"/>
  <c r="Q23" i="13"/>
  <c r="P21" i="13"/>
  <c r="O21" i="13"/>
  <c r="N21" i="13"/>
  <c r="M21" i="13"/>
  <c r="L21" i="13"/>
  <c r="K21" i="13"/>
  <c r="J21" i="13"/>
  <c r="I21" i="13"/>
  <c r="H21" i="13"/>
  <c r="AQ20" i="13"/>
  <c r="AP20" i="13"/>
  <c r="AO20" i="13"/>
  <c r="AN20" i="13"/>
  <c r="AM20" i="13"/>
  <c r="AL20" i="13"/>
  <c r="AK20" i="13"/>
  <c r="AJ20" i="13"/>
  <c r="AJ23" i="13"/>
  <c r="AI20" i="13"/>
  <c r="AI23" i="13"/>
  <c r="AH20" i="13"/>
  <c r="AH23" i="13"/>
  <c r="AG20" i="13"/>
  <c r="AG23" i="13"/>
  <c r="AF20" i="13"/>
  <c r="AF23" i="13"/>
  <c r="AE20" i="13"/>
  <c r="AE23" i="13"/>
  <c r="AD20" i="13"/>
  <c r="AD23" i="13"/>
  <c r="AC20" i="13"/>
  <c r="AC23" i="13"/>
  <c r="AB20" i="13"/>
  <c r="AA20" i="13"/>
  <c r="AA23" i="13"/>
  <c r="Z20" i="13"/>
  <c r="Y20" i="13"/>
  <c r="X20" i="13"/>
  <c r="W20" i="13"/>
  <c r="V20" i="13"/>
  <c r="U20" i="13"/>
  <c r="T20" i="13"/>
  <c r="S20" i="13"/>
  <c r="S23" i="13"/>
  <c r="R20" i="13"/>
  <c r="R23" i="13"/>
  <c r="Q20" i="13"/>
  <c r="P20" i="13"/>
  <c r="O20" i="13"/>
  <c r="N20" i="13"/>
  <c r="M20" i="13"/>
  <c r="L20" i="13"/>
  <c r="L23" i="13"/>
  <c r="K20" i="13"/>
  <c r="K23" i="13"/>
  <c r="J20" i="13"/>
  <c r="J23" i="13"/>
  <c r="I20" i="13"/>
  <c r="I23" i="13"/>
  <c r="H20" i="13"/>
  <c r="H23" i="13"/>
  <c r="AR16" i="13"/>
  <c r="AR20" i="13"/>
  <c r="AQ16" i="13"/>
  <c r="AP16" i="13"/>
  <c r="AR15" i="13"/>
  <c r="AQ15" i="13"/>
  <c r="AP15" i="13"/>
  <c r="AR14" i="13"/>
  <c r="AQ14" i="13"/>
  <c r="AP14" i="13"/>
  <c r="AR13" i="13"/>
  <c r="AQ13" i="13"/>
  <c r="AP13" i="13"/>
  <c r="AR12" i="13"/>
  <c r="AQ12" i="13"/>
  <c r="AP12" i="13"/>
  <c r="AR11" i="13"/>
  <c r="AR22" i="13"/>
  <c r="AQ11" i="13"/>
  <c r="AQ22" i="13"/>
  <c r="AP11" i="13"/>
  <c r="AP22" i="13"/>
  <c r="AR10" i="13"/>
  <c r="AQ10" i="13"/>
  <c r="AP10" i="13"/>
  <c r="AR9" i="13"/>
  <c r="AQ9" i="13"/>
  <c r="AQ21" i="13"/>
  <c r="AP9" i="13"/>
  <c r="AP21" i="13"/>
  <c r="AR8" i="13"/>
  <c r="AR21" i="13"/>
  <c r="AQ8" i="13"/>
  <c r="AP8" i="13"/>
  <c r="AR7" i="13"/>
  <c r="AQ7" i="13"/>
  <c r="AP7" i="13"/>
  <c r="AR6" i="13"/>
  <c r="AQ6" i="13"/>
  <c r="AP6" i="13"/>
  <c r="AR5" i="13"/>
  <c r="AQ5" i="13"/>
  <c r="AP5" i="13"/>
  <c r="AD4" i="13"/>
  <c r="AC4" i="13"/>
  <c r="H4" i="13" a="1"/>
  <c r="AB4" i="13"/>
  <c r="H31" i="17"/>
  <c r="H28" i="17"/>
  <c r="H30" i="17"/>
  <c r="H29" i="17"/>
  <c r="U5" i="17"/>
  <c r="V5" i="17"/>
  <c r="I8" i="17"/>
  <c r="C65" i="17"/>
  <c r="I7" i="17"/>
  <c r="I10" i="17"/>
  <c r="I9" i="17"/>
  <c r="U6" i="17"/>
  <c r="V6" i="17"/>
  <c r="R61" i="17"/>
  <c r="Q61" i="17"/>
  <c r="J26" i="17"/>
  <c r="J24" i="17"/>
  <c r="D57" i="17"/>
  <c r="D64" i="17"/>
  <c r="I23" i="17"/>
  <c r="V23" i="17"/>
  <c r="L26" i="17"/>
  <c r="L24" i="17"/>
  <c r="F57" i="17"/>
  <c r="F64" i="17"/>
  <c r="G65" i="17"/>
  <c r="G66" i="17"/>
  <c r="G67" i="17"/>
  <c r="G68" i="17"/>
  <c r="G69" i="17"/>
  <c r="M7" i="17"/>
  <c r="M9" i="17"/>
  <c r="M26" i="17"/>
  <c r="M24" i="17"/>
  <c r="L23" i="17"/>
  <c r="N26" i="17"/>
  <c r="N24" i="17"/>
  <c r="H57" i="17"/>
  <c r="H64" i="17"/>
  <c r="N25" i="17"/>
  <c r="Q60" i="17"/>
  <c r="M8" i="17"/>
  <c r="O63" i="17"/>
  <c r="P63" i="17"/>
  <c r="V25" i="17"/>
  <c r="I24" i="17"/>
  <c r="I26" i="17"/>
  <c r="V26" i="17"/>
  <c r="N84" i="17"/>
  <c r="O61" i="17"/>
  <c r="J23" i="17"/>
  <c r="R25" i="17"/>
  <c r="L57" i="17"/>
  <c r="L64" i="17"/>
  <c r="R23" i="17"/>
  <c r="K26" i="17"/>
  <c r="K24" i="17"/>
  <c r="E57" i="17"/>
  <c r="E64" i="17"/>
  <c r="R62" i="17"/>
  <c r="Q62" i="17"/>
  <c r="O25" i="17"/>
  <c r="P25" i="17"/>
  <c r="K57" i="17"/>
  <c r="K64" i="17"/>
  <c r="I57" i="17"/>
  <c r="I64" i="17"/>
  <c r="M57" i="17"/>
  <c r="M64" i="17"/>
  <c r="J57" i="17"/>
  <c r="J64" i="17"/>
  <c r="O24" i="17"/>
  <c r="O60" i="17"/>
  <c r="AT8" i="16"/>
  <c r="L16" i="16"/>
  <c r="AA16" i="16"/>
  <c r="K16" i="16"/>
  <c r="AL16" i="16"/>
  <c r="J16" i="16"/>
  <c r="AG16" i="16"/>
  <c r="I16" i="16"/>
  <c r="T16" i="16"/>
  <c r="AF16" i="16"/>
  <c r="H16" i="16"/>
  <c r="AB16" i="16"/>
  <c r="AE16" i="16"/>
  <c r="AD16" i="16"/>
  <c r="AC16" i="16"/>
  <c r="Z16" i="16"/>
  <c r="Y16" i="16"/>
  <c r="X16" i="16"/>
  <c r="W16" i="16"/>
  <c r="V16" i="16"/>
  <c r="U16" i="16"/>
  <c r="F48" i="16"/>
  <c r="AT15" i="16"/>
  <c r="AS8" i="16"/>
  <c r="U7" i="16"/>
  <c r="V7" i="16"/>
  <c r="Z11" i="16"/>
  <c r="U12" i="16"/>
  <c r="W7" i="16"/>
  <c r="R8" i="16"/>
  <c r="AA11" i="16"/>
  <c r="V12" i="16"/>
  <c r="F40" i="16"/>
  <c r="Z7" i="16"/>
  <c r="AA7" i="16"/>
  <c r="AS15" i="16"/>
  <c r="AB7" i="16"/>
  <c r="W8" i="16"/>
  <c r="H11" i="16"/>
  <c r="AF11" i="16"/>
  <c r="AA12" i="16"/>
  <c r="F44" i="16"/>
  <c r="AC7" i="16"/>
  <c r="F45" i="16"/>
  <c r="H7" i="16"/>
  <c r="AF7" i="16"/>
  <c r="AA8" i="16"/>
  <c r="L11" i="16"/>
  <c r="AE12" i="16"/>
  <c r="H45" i="16"/>
  <c r="D76" i="16"/>
  <c r="AD7" i="16"/>
  <c r="AE7" i="16"/>
  <c r="K11" i="16"/>
  <c r="I7" i="16"/>
  <c r="H12" i="16"/>
  <c r="AR5" i="15"/>
  <c r="AM5" i="15"/>
  <c r="AN5" i="15"/>
  <c r="AO5" i="15"/>
  <c r="AP5" i="15"/>
  <c r="AQ5" i="15"/>
  <c r="AK6" i="15"/>
  <c r="AJ6" i="15"/>
  <c r="AI6" i="15"/>
  <c r="AH6" i="15"/>
  <c r="AK12" i="15"/>
  <c r="AJ12" i="15"/>
  <c r="AI12" i="15"/>
  <c r="AH12" i="15"/>
  <c r="AR7" i="15"/>
  <c r="AI9" i="15"/>
  <c r="AH9" i="15"/>
  <c r="AK9" i="15"/>
  <c r="AJ9" i="15"/>
  <c r="AC7" i="15"/>
  <c r="AD7" i="15"/>
  <c r="AE7" i="15"/>
  <c r="AF7" i="15"/>
  <c r="J10" i="15"/>
  <c r="I7" i="15"/>
  <c r="AG7" i="15"/>
  <c r="K10" i="15"/>
  <c r="AD14" i="15"/>
  <c r="Q7" i="15"/>
  <c r="S7" i="15"/>
  <c r="U10" i="15"/>
  <c r="W13" i="15"/>
  <c r="AR13" i="15"/>
  <c r="P14" i="15"/>
  <c r="AR14" i="15"/>
  <c r="F39" i="15"/>
  <c r="H39" i="15"/>
  <c r="R7" i="15"/>
  <c r="T10" i="15"/>
  <c r="AR10" i="15"/>
  <c r="T7" i="15"/>
  <c r="V10" i="15"/>
  <c r="X13" i="15"/>
  <c r="Q14" i="15"/>
  <c r="F36" i="15"/>
  <c r="U7" i="15"/>
  <c r="W10" i="15"/>
  <c r="O7" i="15"/>
  <c r="V7" i="15"/>
  <c r="X10" i="15"/>
  <c r="S14" i="15"/>
  <c r="P7" i="15"/>
  <c r="W7" i="15"/>
  <c r="Y10" i="15"/>
  <c r="T14" i="15"/>
  <c r="X7" i="15"/>
  <c r="Y7" i="15"/>
  <c r="AA10" i="15"/>
  <c r="AC13" i="15"/>
  <c r="V14" i="15"/>
  <c r="Z10" i="15"/>
  <c r="AD13" i="15"/>
  <c r="AR12" i="14"/>
  <c r="AM5" i="14"/>
  <c r="AN5" i="14"/>
  <c r="AO5" i="14"/>
  <c r="AP5" i="14"/>
  <c r="AQ5" i="14"/>
  <c r="AR5" i="14"/>
  <c r="N6" i="14"/>
  <c r="AL6" i="14"/>
  <c r="F35" i="14"/>
  <c r="O6" i="14"/>
  <c r="P6" i="14"/>
  <c r="Q6" i="14"/>
  <c r="R6" i="14"/>
  <c r="T9" i="14"/>
  <c r="AR9" i="14"/>
  <c r="F38" i="14"/>
  <c r="S6" i="14"/>
  <c r="U9" i="14"/>
  <c r="V6" i="14"/>
  <c r="X9" i="14"/>
  <c r="Z12" i="14"/>
  <c r="W6" i="14"/>
  <c r="Y9" i="14"/>
  <c r="X6" i="14"/>
  <c r="Z9" i="14"/>
  <c r="AB12" i="14"/>
  <c r="F41" i="14"/>
  <c r="T6" i="14"/>
  <c r="V9" i="14"/>
  <c r="Y6" i="14"/>
  <c r="AA9" i="14"/>
  <c r="AC12" i="14"/>
  <c r="U6" i="14"/>
  <c r="Z6" i="14"/>
  <c r="AB9" i="14"/>
  <c r="W9" i="14"/>
  <c r="AA6" i="14"/>
  <c r="AC9" i="14"/>
  <c r="N95" i="13"/>
  <c r="AG59" i="13"/>
  <c r="AF95" i="13"/>
  <c r="AH59" i="13"/>
  <c r="AG95" i="13"/>
  <c r="Y66" i="13"/>
  <c r="D115" i="13"/>
  <c r="D143" i="13"/>
  <c r="Y94" i="13"/>
  <c r="AH54" i="13"/>
  <c r="AP23" i="13"/>
  <c r="AQ23" i="13"/>
  <c r="I4" i="13"/>
  <c r="AG4" i="13"/>
  <c r="AG52" i="13"/>
  <c r="AG58" i="13"/>
  <c r="AH79" i="13"/>
  <c r="J4" i="13"/>
  <c r="AH4" i="13"/>
  <c r="AG64" i="13"/>
  <c r="K4" i="13"/>
  <c r="AI4" i="13"/>
  <c r="N53" i="13"/>
  <c r="O80" i="13"/>
  <c r="U92" i="13"/>
  <c r="X162" i="13"/>
  <c r="M4" i="13"/>
  <c r="AL4" i="13"/>
  <c r="O4" i="13"/>
  <c r="P4" i="13"/>
  <c r="AN4" i="13"/>
  <c r="AG74" i="13"/>
  <c r="AF92" i="13"/>
  <c r="AG82" i="13"/>
  <c r="R163" i="13"/>
  <c r="R164" i="13"/>
  <c r="S4" i="13"/>
  <c r="AU20" i="13"/>
  <c r="S163" i="13"/>
  <c r="S164" i="13"/>
  <c r="N4" i="13"/>
  <c r="Q4" i="13"/>
  <c r="Q163" i="13"/>
  <c r="Q164" i="13"/>
  <c r="T163" i="13"/>
  <c r="T164" i="13"/>
  <c r="U163" i="13"/>
  <c r="U164" i="13"/>
  <c r="Q91" i="13"/>
  <c r="L4" i="13"/>
  <c r="AJ4" i="13"/>
  <c r="T4" i="13"/>
  <c r="AG67" i="13"/>
  <c r="AF91" i="13"/>
  <c r="O143" i="13"/>
  <c r="V163" i="13"/>
  <c r="V164" i="13"/>
  <c r="AG70" i="13"/>
  <c r="AK4" i="13"/>
  <c r="AH60" i="13"/>
  <c r="U4" i="13"/>
  <c r="V4" i="13"/>
  <c r="W4" i="13"/>
  <c r="W163" i="13"/>
  <c r="W164" i="13"/>
  <c r="AH65" i="13"/>
  <c r="R4" i="13"/>
  <c r="Q143" i="13"/>
  <c r="X163" i="13"/>
  <c r="X164" i="13"/>
  <c r="AH73" i="13"/>
  <c r="AG92" i="13"/>
  <c r="X4" i="13"/>
  <c r="AG49" i="13"/>
  <c r="AF88" i="13"/>
  <c r="AG55" i="13"/>
  <c r="AF89" i="13"/>
  <c r="AG61" i="13"/>
  <c r="Y4" i="13"/>
  <c r="AH49" i="13"/>
  <c r="AG88" i="13"/>
  <c r="AH55" i="13"/>
  <c r="AG89" i="13"/>
  <c r="AH61" i="13"/>
  <c r="AG90" i="13"/>
  <c r="K93" i="13"/>
  <c r="Y163" i="13"/>
  <c r="Y164" i="13"/>
  <c r="AE4" i="13"/>
  <c r="AF4" i="13"/>
  <c r="Z163" i="13"/>
  <c r="Z164" i="13"/>
  <c r="AG65" i="13"/>
  <c r="AF96" i="13"/>
  <c r="AA4" i="13"/>
  <c r="AA163" i="13"/>
  <c r="AA164" i="13"/>
  <c r="H4" i="13"/>
  <c r="AM4" i="13"/>
  <c r="AO4" i="13"/>
  <c r="Z4" i="13"/>
  <c r="Q9" i="17"/>
  <c r="K65" i="17"/>
  <c r="K66" i="17"/>
  <c r="K67" i="17"/>
  <c r="K68" i="17"/>
  <c r="K69" i="17"/>
  <c r="Q7" i="17"/>
  <c r="Q10" i="17"/>
  <c r="Q8" i="17"/>
  <c r="K9" i="17"/>
  <c r="K10" i="17"/>
  <c r="K8" i="17"/>
  <c r="K7" i="17"/>
  <c r="E65" i="17"/>
  <c r="E66" i="17"/>
  <c r="E67" i="17"/>
  <c r="E68" i="17"/>
  <c r="E69" i="17"/>
  <c r="O9" i="17"/>
  <c r="I65" i="17"/>
  <c r="I66" i="17"/>
  <c r="I67" i="17"/>
  <c r="I68" i="17"/>
  <c r="I69" i="17"/>
  <c r="O7" i="17"/>
  <c r="O8" i="17"/>
  <c r="O10" i="17"/>
  <c r="H65" i="17"/>
  <c r="H66" i="17"/>
  <c r="H67" i="17"/>
  <c r="H68" i="17"/>
  <c r="H69" i="17"/>
  <c r="N7" i="17"/>
  <c r="N9" i="17"/>
  <c r="V9" i="17"/>
  <c r="N8" i="17"/>
  <c r="N10" i="17"/>
  <c r="Q63" i="17"/>
  <c r="R63" i="17"/>
  <c r="R9" i="17"/>
  <c r="L65" i="17"/>
  <c r="L66" i="17"/>
  <c r="L67" i="17"/>
  <c r="L68" i="17"/>
  <c r="L69" i="17"/>
  <c r="R7" i="17"/>
  <c r="R10" i="17"/>
  <c r="R8" i="17"/>
  <c r="C66" i="17"/>
  <c r="O84" i="17"/>
  <c r="P84" i="17"/>
  <c r="P9" i="17"/>
  <c r="J65" i="17"/>
  <c r="J66" i="17"/>
  <c r="J67" i="17"/>
  <c r="J68" i="17"/>
  <c r="J69" i="17"/>
  <c r="P7" i="17"/>
  <c r="P8" i="17"/>
  <c r="P10" i="17"/>
  <c r="S9" i="17"/>
  <c r="M65" i="17"/>
  <c r="M66" i="17"/>
  <c r="M67" i="17"/>
  <c r="M68" i="17"/>
  <c r="M69" i="17"/>
  <c r="S7" i="17"/>
  <c r="S10" i="17"/>
  <c r="S8" i="17"/>
  <c r="G70" i="17"/>
  <c r="G71" i="17"/>
  <c r="G72" i="17"/>
  <c r="G73" i="17"/>
  <c r="G74" i="17"/>
  <c r="M13" i="17"/>
  <c r="M11" i="17"/>
  <c r="M14" i="17"/>
  <c r="M12" i="17"/>
  <c r="J9" i="17"/>
  <c r="D65" i="17"/>
  <c r="D66" i="17"/>
  <c r="D67" i="17"/>
  <c r="D68" i="17"/>
  <c r="D69" i="17"/>
  <c r="J7" i="17"/>
  <c r="J8" i="17"/>
  <c r="J10" i="17"/>
  <c r="V10" i="17"/>
  <c r="N64" i="17"/>
  <c r="V24" i="17"/>
  <c r="L9" i="17"/>
  <c r="L7" i="17"/>
  <c r="F65" i="17"/>
  <c r="F66" i="17"/>
  <c r="F67" i="17"/>
  <c r="F68" i="17"/>
  <c r="F69" i="17"/>
  <c r="L8" i="17"/>
  <c r="L10" i="17"/>
  <c r="AA13" i="16"/>
  <c r="Z13" i="16"/>
  <c r="Y13" i="16"/>
  <c r="R13" i="16"/>
  <c r="L13" i="16"/>
  <c r="K13" i="16"/>
  <c r="X13" i="16"/>
  <c r="S13" i="16"/>
  <c r="W13" i="16"/>
  <c r="V13" i="16"/>
  <c r="U13" i="16"/>
  <c r="T13" i="16"/>
  <c r="Q13" i="16"/>
  <c r="P13" i="16"/>
  <c r="O13" i="16"/>
  <c r="N13" i="16"/>
  <c r="M13" i="16"/>
  <c r="J13" i="16"/>
  <c r="AL13" i="16"/>
  <c r="AG13" i="16"/>
  <c r="AF13" i="16"/>
  <c r="AE13" i="16"/>
  <c r="AD13" i="16"/>
  <c r="AC13" i="16"/>
  <c r="AB13" i="16"/>
  <c r="I13" i="16"/>
  <c r="H13" i="16"/>
  <c r="AT11" i="16"/>
  <c r="AS11" i="16"/>
  <c r="AT7" i="16"/>
  <c r="AS7" i="16"/>
  <c r="AT16" i="16"/>
  <c r="AS16" i="16"/>
  <c r="W9" i="16"/>
  <c r="U9" i="16"/>
  <c r="V9" i="16"/>
  <c r="T9" i="16"/>
  <c r="AF9" i="16"/>
  <c r="S9" i="16"/>
  <c r="N9" i="16"/>
  <c r="R9" i="16"/>
  <c r="Q9" i="16"/>
  <c r="P9" i="16"/>
  <c r="O9" i="16"/>
  <c r="F41" i="16"/>
  <c r="M9" i="16"/>
  <c r="L9" i="16"/>
  <c r="K9" i="16"/>
  <c r="AL9" i="16"/>
  <c r="J9" i="16"/>
  <c r="AG9" i="16"/>
  <c r="I9" i="16"/>
  <c r="H9" i="16"/>
  <c r="AE9" i="16"/>
  <c r="AD9" i="16"/>
  <c r="AC9" i="16"/>
  <c r="AB9" i="16"/>
  <c r="AA9" i="16"/>
  <c r="Z9" i="16"/>
  <c r="Y9" i="16"/>
  <c r="X9" i="16"/>
  <c r="AE17" i="16"/>
  <c r="AD17" i="16"/>
  <c r="AC17" i="16"/>
  <c r="AB17" i="16"/>
  <c r="V17" i="16"/>
  <c r="AA17" i="16"/>
  <c r="O17" i="16"/>
  <c r="Z17" i="16"/>
  <c r="Y17" i="16"/>
  <c r="X17" i="16"/>
  <c r="W17" i="16"/>
  <c r="U17" i="16"/>
  <c r="T17" i="16"/>
  <c r="S17" i="16"/>
  <c r="R17" i="16"/>
  <c r="Q17" i="16"/>
  <c r="P17" i="16"/>
  <c r="AL17" i="16"/>
  <c r="F49" i="16"/>
  <c r="H49" i="16"/>
  <c r="D86" i="16"/>
  <c r="AG17" i="16"/>
  <c r="AF17" i="16"/>
  <c r="N17" i="16"/>
  <c r="M17" i="16"/>
  <c r="L17" i="16"/>
  <c r="K17" i="16"/>
  <c r="J17" i="16"/>
  <c r="I17" i="16"/>
  <c r="H17" i="16"/>
  <c r="AT12" i="16"/>
  <c r="AS12" i="16"/>
  <c r="V14" i="16"/>
  <c r="T14" i="16"/>
  <c r="M14" i="16"/>
  <c r="U14" i="16"/>
  <c r="S14" i="16"/>
  <c r="R14" i="16"/>
  <c r="Q14" i="16"/>
  <c r="P14" i="16"/>
  <c r="O14" i="16"/>
  <c r="N14" i="16"/>
  <c r="L14" i="16"/>
  <c r="K14" i="16"/>
  <c r="AL14" i="16"/>
  <c r="J14" i="16"/>
  <c r="AG14" i="16"/>
  <c r="I14" i="16"/>
  <c r="AF14" i="16"/>
  <c r="H14" i="16"/>
  <c r="AE14" i="16"/>
  <c r="AD14" i="16"/>
  <c r="AC14" i="16"/>
  <c r="AB14" i="16"/>
  <c r="AA14" i="16"/>
  <c r="Z14" i="16"/>
  <c r="Y14" i="16"/>
  <c r="X14" i="16"/>
  <c r="W14" i="16"/>
  <c r="AK10" i="15"/>
  <c r="AI10" i="15"/>
  <c r="AH10" i="15"/>
  <c r="AJ10" i="15"/>
  <c r="AK13" i="15"/>
  <c r="AJ13" i="15"/>
  <c r="AI13" i="15"/>
  <c r="AH13" i="15"/>
  <c r="AT14" i="15"/>
  <c r="AH14" i="15"/>
  <c r="AK14" i="15"/>
  <c r="AI14" i="15"/>
  <c r="AJ14" i="15"/>
  <c r="AK7" i="15"/>
  <c r="AH7" i="15"/>
  <c r="AJ7" i="15"/>
  <c r="AI7" i="15"/>
  <c r="S8" i="15"/>
  <c r="Q8" i="15"/>
  <c r="AL8" i="15"/>
  <c r="R8" i="15"/>
  <c r="AD8" i="15"/>
  <c r="J8" i="15"/>
  <c r="P8" i="15"/>
  <c r="O8" i="15"/>
  <c r="N8" i="15"/>
  <c r="AA8" i="15"/>
  <c r="I8" i="15"/>
  <c r="AF8" i="15"/>
  <c r="M8" i="15"/>
  <c r="AE8" i="15"/>
  <c r="L8" i="15"/>
  <c r="K8" i="15"/>
  <c r="AG8" i="15"/>
  <c r="Z8" i="15"/>
  <c r="Y8" i="15"/>
  <c r="X8" i="15"/>
  <c r="W8" i="15"/>
  <c r="V8" i="15"/>
  <c r="U8" i="15"/>
  <c r="T8" i="15"/>
  <c r="AC8" i="15"/>
  <c r="AB8" i="15"/>
  <c r="U11" i="15"/>
  <c r="AG11" i="15"/>
  <c r="T11" i="15"/>
  <c r="S11" i="15"/>
  <c r="AF11" i="15"/>
  <c r="AE11" i="15"/>
  <c r="R11" i="15"/>
  <c r="Q11" i="15"/>
  <c r="P11" i="15"/>
  <c r="I11" i="15"/>
  <c r="K11" i="15"/>
  <c r="O11" i="15"/>
  <c r="L11" i="15"/>
  <c r="J11" i="15"/>
  <c r="AL11" i="15"/>
  <c r="N11" i="15"/>
  <c r="M11" i="15"/>
  <c r="AD11" i="15"/>
  <c r="AC11" i="15"/>
  <c r="AB11" i="15"/>
  <c r="AA11" i="15"/>
  <c r="Z11" i="15"/>
  <c r="Y11" i="15"/>
  <c r="X11" i="15"/>
  <c r="W11" i="15"/>
  <c r="V11" i="15"/>
  <c r="H36" i="15"/>
  <c r="AJ9" i="14"/>
  <c r="AK9" i="14"/>
  <c r="AH9" i="14"/>
  <c r="AI9" i="14"/>
  <c r="AJ12" i="14"/>
  <c r="AH12" i="14"/>
  <c r="AI12" i="14"/>
  <c r="AK12" i="14"/>
  <c r="Y13" i="14"/>
  <c r="M13" i="14"/>
  <c r="X13" i="14"/>
  <c r="AE13" i="14"/>
  <c r="F42" i="14"/>
  <c r="W13" i="14"/>
  <c r="K13" i="14"/>
  <c r="I13" i="14"/>
  <c r="AF13" i="14"/>
  <c r="AD13" i="14"/>
  <c r="AC13" i="14"/>
  <c r="Z13" i="14"/>
  <c r="V13" i="14"/>
  <c r="AA13" i="14"/>
  <c r="U13" i="14"/>
  <c r="L13" i="14"/>
  <c r="T13" i="14"/>
  <c r="R13" i="14"/>
  <c r="Q13" i="14"/>
  <c r="AG13" i="14"/>
  <c r="AB13" i="14"/>
  <c r="S13" i="14"/>
  <c r="J13" i="14"/>
  <c r="P13" i="14"/>
  <c r="O13" i="14"/>
  <c r="AL13" i="14"/>
  <c r="N13" i="14"/>
  <c r="AR6" i="14"/>
  <c r="W10" i="14"/>
  <c r="X10" i="14"/>
  <c r="V10" i="14"/>
  <c r="F39" i="14"/>
  <c r="O10" i="14"/>
  <c r="I10" i="14"/>
  <c r="AF10" i="14"/>
  <c r="U10" i="14"/>
  <c r="T10" i="14"/>
  <c r="AD10" i="14"/>
  <c r="S10" i="14"/>
  <c r="AG10" i="14"/>
  <c r="AC10" i="14"/>
  <c r="Z10" i="14"/>
  <c r="R10" i="14"/>
  <c r="P10" i="14"/>
  <c r="J10" i="14"/>
  <c r="AB10" i="14"/>
  <c r="AA10" i="14"/>
  <c r="Q10" i="14"/>
  <c r="K10" i="14"/>
  <c r="Y10" i="14"/>
  <c r="AL10" i="14"/>
  <c r="N10" i="14"/>
  <c r="M10" i="14"/>
  <c r="L10" i="14"/>
  <c r="AE10" i="14"/>
  <c r="U7" i="14"/>
  <c r="T7" i="14"/>
  <c r="N7" i="14"/>
  <c r="AB7" i="14"/>
  <c r="Y7" i="14"/>
  <c r="S7" i="14"/>
  <c r="W7" i="14"/>
  <c r="R7" i="14"/>
  <c r="AL7" i="14"/>
  <c r="Z7" i="14"/>
  <c r="Q7" i="14"/>
  <c r="M7" i="14"/>
  <c r="P7" i="14"/>
  <c r="O7" i="14"/>
  <c r="L7" i="14"/>
  <c r="K7" i="14"/>
  <c r="J7" i="14"/>
  <c r="AG7" i="14"/>
  <c r="I7" i="14"/>
  <c r="F36" i="14"/>
  <c r="AF7" i="14"/>
  <c r="AE7" i="14"/>
  <c r="AD7" i="14"/>
  <c r="AC7" i="14"/>
  <c r="AA7" i="14"/>
  <c r="V7" i="14"/>
  <c r="X7" i="14"/>
  <c r="O93" i="13"/>
  <c r="AH80" i="13"/>
  <c r="AG80" i="13"/>
  <c r="AF93" i="13"/>
  <c r="AF90" i="13"/>
  <c r="N94" i="13"/>
  <c r="AH53" i="13"/>
  <c r="AG94" i="13"/>
  <c r="AG53" i="13"/>
  <c r="AF94" i="13"/>
  <c r="Y96" i="13"/>
  <c r="AH66" i="13"/>
  <c r="AG96" i="13"/>
  <c r="AG93" i="13"/>
  <c r="I7" i="5"/>
  <c r="C7" i="5"/>
  <c r="E7" i="5"/>
  <c r="F7" i="5"/>
  <c r="B7" i="5"/>
  <c r="AV5" i="5"/>
  <c r="AU5" i="5"/>
  <c r="AW5" i="5"/>
  <c r="M15" i="17"/>
  <c r="M18" i="17"/>
  <c r="M16" i="17"/>
  <c r="M17" i="17"/>
  <c r="G75" i="17"/>
  <c r="G76" i="17"/>
  <c r="G77" i="17"/>
  <c r="G78" i="17"/>
  <c r="G79" i="17"/>
  <c r="P13" i="17"/>
  <c r="P11" i="17"/>
  <c r="P12" i="17"/>
  <c r="J70" i="17"/>
  <c r="J71" i="17"/>
  <c r="J72" i="17"/>
  <c r="J73" i="17"/>
  <c r="J74" i="17"/>
  <c r="P14" i="17"/>
  <c r="N65" i="17"/>
  <c r="O13" i="17"/>
  <c r="O11" i="17"/>
  <c r="O14" i="17"/>
  <c r="O12" i="17"/>
  <c r="I70" i="17"/>
  <c r="I71" i="17"/>
  <c r="I72" i="17"/>
  <c r="I73" i="17"/>
  <c r="I74" i="17"/>
  <c r="R84" i="17"/>
  <c r="Q84" i="17"/>
  <c r="V8" i="17"/>
  <c r="Q11" i="17"/>
  <c r="Q14" i="17"/>
  <c r="Q12" i="17"/>
  <c r="Q13" i="17"/>
  <c r="K70" i="17"/>
  <c r="K71" i="17"/>
  <c r="K72" i="17"/>
  <c r="K73" i="17"/>
  <c r="K74" i="17"/>
  <c r="F70" i="17"/>
  <c r="F71" i="17"/>
  <c r="F72" i="17"/>
  <c r="F73" i="17"/>
  <c r="F74" i="17"/>
  <c r="L13" i="17"/>
  <c r="L11" i="17"/>
  <c r="L12" i="17"/>
  <c r="L14" i="17"/>
  <c r="N66" i="17"/>
  <c r="C67" i="17"/>
  <c r="D70" i="17"/>
  <c r="D71" i="17"/>
  <c r="D72" i="17"/>
  <c r="D73" i="17"/>
  <c r="D74" i="17"/>
  <c r="J11" i="17"/>
  <c r="J13" i="17"/>
  <c r="J12" i="17"/>
  <c r="J14" i="17"/>
  <c r="R11" i="17"/>
  <c r="R14" i="17"/>
  <c r="L70" i="17"/>
  <c r="L71" i="17"/>
  <c r="L72" i="17"/>
  <c r="L73" i="17"/>
  <c r="L74" i="17"/>
  <c r="R12" i="17"/>
  <c r="R13" i="17"/>
  <c r="H70" i="17"/>
  <c r="H71" i="17"/>
  <c r="H72" i="17"/>
  <c r="H73" i="17"/>
  <c r="H74" i="17"/>
  <c r="N13" i="17"/>
  <c r="N11" i="17"/>
  <c r="N14" i="17"/>
  <c r="N12" i="17"/>
  <c r="S14" i="17"/>
  <c r="S12" i="17"/>
  <c r="M70" i="17"/>
  <c r="M71" i="17"/>
  <c r="M72" i="17"/>
  <c r="M73" i="17"/>
  <c r="M74" i="17"/>
  <c r="S13" i="17"/>
  <c r="S11" i="17"/>
  <c r="E70" i="17"/>
  <c r="E71" i="17"/>
  <c r="E72" i="17"/>
  <c r="E73" i="17"/>
  <c r="E74" i="17"/>
  <c r="K13" i="17"/>
  <c r="K11" i="17"/>
  <c r="K14" i="17"/>
  <c r="K12" i="17"/>
  <c r="P64" i="17"/>
  <c r="O64" i="17"/>
  <c r="V7" i="17"/>
  <c r="D77" i="16"/>
  <c r="R10" i="16"/>
  <c r="P10" i="16"/>
  <c r="AL10" i="16"/>
  <c r="Q10" i="16"/>
  <c r="AG10" i="16"/>
  <c r="O10" i="16"/>
  <c r="N10" i="16"/>
  <c r="J10" i="16"/>
  <c r="M10" i="16"/>
  <c r="L10" i="16"/>
  <c r="K10" i="16"/>
  <c r="I10" i="16"/>
  <c r="AA10" i="16"/>
  <c r="AF10" i="16"/>
  <c r="H10" i="16"/>
  <c r="AE10" i="16"/>
  <c r="AD10" i="16"/>
  <c r="AC10" i="16"/>
  <c r="AB10" i="16"/>
  <c r="Z10" i="16"/>
  <c r="Y10" i="16"/>
  <c r="X10" i="16"/>
  <c r="W10" i="16"/>
  <c r="V10" i="16"/>
  <c r="U10" i="16"/>
  <c r="T10" i="16"/>
  <c r="S10" i="16"/>
  <c r="AT17" i="16"/>
  <c r="AS17" i="16"/>
  <c r="AT14" i="16"/>
  <c r="AS14" i="16"/>
  <c r="H41" i="16"/>
  <c r="D66" i="16"/>
  <c r="Z18" i="16"/>
  <c r="J18" i="16"/>
  <c r="Y18" i="16"/>
  <c r="X18" i="16"/>
  <c r="W18" i="16"/>
  <c r="R18" i="16"/>
  <c r="V18" i="16"/>
  <c r="U18" i="16"/>
  <c r="T18" i="16"/>
  <c r="Q18" i="16"/>
  <c r="AL18" i="16"/>
  <c r="S18" i="16"/>
  <c r="P18" i="16"/>
  <c r="O18" i="16"/>
  <c r="N18" i="16"/>
  <c r="M18" i="16"/>
  <c r="L18" i="16"/>
  <c r="K18" i="16"/>
  <c r="AC18" i="16"/>
  <c r="AB18" i="16"/>
  <c r="AA18" i="16"/>
  <c r="I18" i="16"/>
  <c r="H18" i="16"/>
  <c r="AG18" i="16"/>
  <c r="AF18" i="16"/>
  <c r="AE18" i="16"/>
  <c r="AD18" i="16"/>
  <c r="AT9" i="16"/>
  <c r="AS9" i="16"/>
  <c r="AS13" i="16"/>
  <c r="AT13" i="16"/>
  <c r="AR8" i="15"/>
  <c r="AR11" i="15"/>
  <c r="AL8" i="14"/>
  <c r="N8" i="14"/>
  <c r="M8" i="14"/>
  <c r="L8" i="14"/>
  <c r="K8" i="14"/>
  <c r="J8" i="14"/>
  <c r="AE8" i="14"/>
  <c r="V8" i="14"/>
  <c r="O8" i="14"/>
  <c r="AG8" i="14"/>
  <c r="I8" i="14"/>
  <c r="AD8" i="14"/>
  <c r="AF8" i="14"/>
  <c r="X8" i="14"/>
  <c r="AC8" i="14"/>
  <c r="AB8" i="14"/>
  <c r="AA8" i="14"/>
  <c r="Z8" i="14"/>
  <c r="Y8" i="14"/>
  <c r="W8" i="14"/>
  <c r="T8" i="14"/>
  <c r="S8" i="14"/>
  <c r="Q8" i="14"/>
  <c r="P8" i="14"/>
  <c r="U8" i="14"/>
  <c r="R8" i="14"/>
  <c r="H36" i="14"/>
  <c r="R14" i="14"/>
  <c r="X14" i="14"/>
  <c r="Q14" i="14"/>
  <c r="P14" i="14"/>
  <c r="J14" i="14"/>
  <c r="O14" i="14"/>
  <c r="AD14" i="14"/>
  <c r="AA14" i="14"/>
  <c r="AL14" i="14"/>
  <c r="N14" i="14"/>
  <c r="K14" i="14"/>
  <c r="M14" i="14"/>
  <c r="Y14" i="14"/>
  <c r="L14" i="14"/>
  <c r="AC14" i="14"/>
  <c r="W14" i="14"/>
  <c r="AB14" i="14"/>
  <c r="Z14" i="14"/>
  <c r="AG14" i="14"/>
  <c r="I14" i="14"/>
  <c r="AF14" i="14"/>
  <c r="AE14" i="14"/>
  <c r="V14" i="14"/>
  <c r="U14" i="14"/>
  <c r="T14" i="14"/>
  <c r="S14" i="14"/>
  <c r="AR13" i="14"/>
  <c r="AR7" i="14"/>
  <c r="P11" i="14"/>
  <c r="I11" i="14"/>
  <c r="AA11" i="14"/>
  <c r="Z11" i="14"/>
  <c r="O11" i="14"/>
  <c r="AG11" i="14"/>
  <c r="AB11" i="14"/>
  <c r="X11" i="14"/>
  <c r="T11" i="14"/>
  <c r="S11" i="14"/>
  <c r="R11" i="14"/>
  <c r="AL11" i="14"/>
  <c r="N11" i="14"/>
  <c r="M11" i="14"/>
  <c r="AF11" i="14"/>
  <c r="L11" i="14"/>
  <c r="Y11" i="14"/>
  <c r="K11" i="14"/>
  <c r="Q11" i="14"/>
  <c r="J11" i="14"/>
  <c r="U11" i="14"/>
  <c r="AE11" i="14"/>
  <c r="AD11" i="14"/>
  <c r="AC11" i="14"/>
  <c r="W11" i="14"/>
  <c r="V11" i="14"/>
  <c r="AJ6" i="14"/>
  <c r="AH6" i="14"/>
  <c r="AK6" i="14"/>
  <c r="AI6" i="14"/>
  <c r="AR10" i="14"/>
  <c r="H42" i="14"/>
  <c r="H39" i="14"/>
  <c r="Q16" i="17"/>
  <c r="Q18" i="17"/>
  <c r="K75" i="17"/>
  <c r="K76" i="17"/>
  <c r="K77" i="17"/>
  <c r="K78" i="17"/>
  <c r="K79" i="17"/>
  <c r="Q15" i="17"/>
  <c r="Q17" i="17"/>
  <c r="J17" i="17"/>
  <c r="J15" i="17"/>
  <c r="J18" i="17"/>
  <c r="J16" i="17"/>
  <c r="D75" i="17"/>
  <c r="D76" i="17"/>
  <c r="D77" i="17"/>
  <c r="D78" i="17"/>
  <c r="D79" i="17"/>
  <c r="C68" i="17"/>
  <c r="N67" i="17"/>
  <c r="O16" i="17"/>
  <c r="O18" i="17"/>
  <c r="I75" i="17"/>
  <c r="I76" i="17"/>
  <c r="I77" i="17"/>
  <c r="I78" i="17"/>
  <c r="I79" i="17"/>
  <c r="O17" i="17"/>
  <c r="O15" i="17"/>
  <c r="P66" i="17"/>
  <c r="O66" i="17"/>
  <c r="R18" i="17"/>
  <c r="R16" i="17"/>
  <c r="L75" i="17"/>
  <c r="L76" i="17"/>
  <c r="L77" i="17"/>
  <c r="L78" i="17"/>
  <c r="L79" i="17"/>
  <c r="R15" i="17"/>
  <c r="R17" i="17"/>
  <c r="P65" i="17"/>
  <c r="O65" i="17"/>
  <c r="Q64" i="17"/>
  <c r="R64" i="17"/>
  <c r="G80" i="17"/>
  <c r="G81" i="17"/>
  <c r="G82" i="17"/>
  <c r="G83" i="17"/>
  <c r="M22" i="17"/>
  <c r="M20" i="17"/>
  <c r="M21" i="17"/>
  <c r="M19" i="17"/>
  <c r="K17" i="17"/>
  <c r="K15" i="17"/>
  <c r="K18" i="17"/>
  <c r="K16" i="17"/>
  <c r="E75" i="17"/>
  <c r="E76" i="17"/>
  <c r="E77" i="17"/>
  <c r="E78" i="17"/>
  <c r="E79" i="17"/>
  <c r="N15" i="17"/>
  <c r="N18" i="17"/>
  <c r="N17" i="17"/>
  <c r="N16" i="17"/>
  <c r="H75" i="17"/>
  <c r="H76" i="17"/>
  <c r="H77" i="17"/>
  <c r="H78" i="17"/>
  <c r="H79" i="17"/>
  <c r="P18" i="17"/>
  <c r="P16" i="17"/>
  <c r="J75" i="17"/>
  <c r="J76" i="17"/>
  <c r="J77" i="17"/>
  <c r="J78" i="17"/>
  <c r="J79" i="17"/>
  <c r="P15" i="17"/>
  <c r="P17" i="17"/>
  <c r="S18" i="17"/>
  <c r="S16" i="17"/>
  <c r="S17" i="17"/>
  <c r="S15" i="17"/>
  <c r="M75" i="17"/>
  <c r="M76" i="17"/>
  <c r="M77" i="17"/>
  <c r="M78" i="17"/>
  <c r="M79" i="17"/>
  <c r="L17" i="17"/>
  <c r="L15" i="17"/>
  <c r="L16" i="17"/>
  <c r="F75" i="17"/>
  <c r="F76" i="17"/>
  <c r="F77" i="17"/>
  <c r="F78" i="17"/>
  <c r="F79" i="17"/>
  <c r="L18" i="17"/>
  <c r="AT10" i="16"/>
  <c r="AS10" i="16"/>
  <c r="E66" i="16"/>
  <c r="D67" i="16"/>
  <c r="AT18" i="16"/>
  <c r="AS18" i="16"/>
  <c r="D78" i="16"/>
  <c r="AH11" i="15"/>
  <c r="AI11" i="15"/>
  <c r="AK11" i="15"/>
  <c r="AJ11" i="15"/>
  <c r="AT11" i="15"/>
  <c r="AH8" i="15"/>
  <c r="AK8" i="15"/>
  <c r="AI8" i="15"/>
  <c r="AJ8" i="15"/>
  <c r="AT8" i="15"/>
  <c r="AK7" i="14"/>
  <c r="AJ7" i="14"/>
  <c r="AI7" i="14"/>
  <c r="AH7" i="14"/>
  <c r="AR14" i="14"/>
  <c r="AH10" i="14"/>
  <c r="AI10" i="14"/>
  <c r="AK10" i="14"/>
  <c r="AJ10" i="14"/>
  <c r="AR11" i="14"/>
  <c r="AT11" i="14"/>
  <c r="AJ13" i="14"/>
  <c r="AK13" i="14"/>
  <c r="AI13" i="14"/>
  <c r="AH13" i="14"/>
  <c r="AT14" i="14"/>
  <c r="AR8" i="14"/>
  <c r="C10" i="5"/>
  <c r="E10" i="5"/>
  <c r="F10" i="5"/>
  <c r="B10" i="5"/>
  <c r="R22" i="17"/>
  <c r="R20" i="17"/>
  <c r="L80" i="17"/>
  <c r="L81" i="17"/>
  <c r="L82" i="17"/>
  <c r="L83" i="17"/>
  <c r="R21" i="17"/>
  <c r="R19" i="17"/>
  <c r="P22" i="17"/>
  <c r="P20" i="17"/>
  <c r="J80" i="17"/>
  <c r="J81" i="17"/>
  <c r="J82" i="17"/>
  <c r="J83" i="17"/>
  <c r="P19" i="17"/>
  <c r="P21" i="17"/>
  <c r="R66" i="17"/>
  <c r="Q66" i="17"/>
  <c r="P67" i="17"/>
  <c r="O67" i="17"/>
  <c r="F80" i="17"/>
  <c r="F81" i="17"/>
  <c r="F82" i="17"/>
  <c r="F83" i="17"/>
  <c r="L20" i="17"/>
  <c r="L22" i="17"/>
  <c r="L19" i="17"/>
  <c r="L21" i="17"/>
  <c r="K20" i="17"/>
  <c r="K22" i="17"/>
  <c r="K21" i="17"/>
  <c r="K19" i="17"/>
  <c r="E80" i="17"/>
  <c r="E81" i="17"/>
  <c r="E82" i="17"/>
  <c r="E83" i="17"/>
  <c r="N68" i="17"/>
  <c r="C69" i="17"/>
  <c r="N22" i="17"/>
  <c r="H80" i="17"/>
  <c r="H81" i="17"/>
  <c r="H82" i="17"/>
  <c r="H83" i="17"/>
  <c r="N20" i="17"/>
  <c r="N19" i="17"/>
  <c r="N21" i="17"/>
  <c r="O22" i="17"/>
  <c r="O20" i="17"/>
  <c r="I80" i="17"/>
  <c r="I81" i="17"/>
  <c r="I82" i="17"/>
  <c r="I83" i="17"/>
  <c r="O21" i="17"/>
  <c r="O19" i="17"/>
  <c r="Q22" i="17"/>
  <c r="Q20" i="17"/>
  <c r="K80" i="17"/>
  <c r="K81" i="17"/>
  <c r="K82" i="17"/>
  <c r="K83" i="17"/>
  <c r="Q19" i="17"/>
  <c r="Q21" i="17"/>
  <c r="S22" i="17"/>
  <c r="S20" i="17"/>
  <c r="M80" i="17"/>
  <c r="M81" i="17"/>
  <c r="M82" i="17"/>
  <c r="M83" i="17"/>
  <c r="S21" i="17"/>
  <c r="S19" i="17"/>
  <c r="J19" i="17"/>
  <c r="J22" i="17"/>
  <c r="D80" i="17"/>
  <c r="D81" i="17"/>
  <c r="D82" i="17"/>
  <c r="D83" i="17"/>
  <c r="J21" i="17"/>
  <c r="J20" i="17"/>
  <c r="R65" i="17"/>
  <c r="Q65" i="17"/>
  <c r="D79" i="16"/>
  <c r="D68" i="16"/>
  <c r="E67" i="16"/>
  <c r="AK8" i="14"/>
  <c r="AJ8" i="14"/>
  <c r="AI8" i="14"/>
  <c r="AH8" i="14"/>
  <c r="AT8" i="14"/>
  <c r="AI14" i="14"/>
  <c r="AH14" i="14"/>
  <c r="AK14" i="14"/>
  <c r="AJ14" i="14"/>
  <c r="AK11" i="14"/>
  <c r="AJ11" i="14"/>
  <c r="AI11" i="14"/>
  <c r="AH11" i="14"/>
  <c r="R67" i="17"/>
  <c r="Q67" i="17"/>
  <c r="N69" i="17"/>
  <c r="I11" i="17"/>
  <c r="V11" i="17"/>
  <c r="C70" i="17"/>
  <c r="I13" i="17"/>
  <c r="V13" i="17"/>
  <c r="I12" i="17"/>
  <c r="V12" i="17"/>
  <c r="I14" i="17"/>
  <c r="V14" i="17"/>
  <c r="P68" i="17"/>
  <c r="O68" i="17"/>
  <c r="D69" i="16"/>
  <c r="E68" i="16"/>
  <c r="D80" i="16"/>
  <c r="R68" i="17"/>
  <c r="Q68" i="17"/>
  <c r="C71" i="17"/>
  <c r="N70" i="17"/>
  <c r="P69" i="17"/>
  <c r="O69" i="17"/>
  <c r="D81" i="16"/>
  <c r="D70" i="16"/>
  <c r="E69" i="16"/>
  <c r="R69" i="17"/>
  <c r="Q69" i="17"/>
  <c r="O70" i="17"/>
  <c r="P70" i="17"/>
  <c r="N71" i="17"/>
  <c r="C72" i="17"/>
  <c r="E70" i="16"/>
  <c r="D71" i="16"/>
  <c r="D82" i="16"/>
  <c r="P71" i="17"/>
  <c r="O71" i="17"/>
  <c r="C73" i="17"/>
  <c r="N72" i="17"/>
  <c r="R70" i="17"/>
  <c r="Q70" i="17"/>
  <c r="D83" i="16"/>
  <c r="D72" i="16"/>
  <c r="E71" i="16"/>
  <c r="N63" i="5"/>
  <c r="M63" i="5"/>
  <c r="L63" i="5"/>
  <c r="K63" i="5"/>
  <c r="J63" i="5"/>
  <c r="I63" i="5"/>
  <c r="H63" i="5"/>
  <c r="G63" i="5"/>
  <c r="F63" i="5"/>
  <c r="E63" i="5"/>
  <c r="D63" i="5"/>
  <c r="C63" i="5"/>
  <c r="U62" i="5"/>
  <c r="T62" i="5"/>
  <c r="S62" i="5"/>
  <c r="U61" i="5"/>
  <c r="T61" i="5"/>
  <c r="S61" i="5"/>
  <c r="U60" i="5"/>
  <c r="T60" i="5"/>
  <c r="S60" i="5"/>
  <c r="Y59" i="5"/>
  <c r="U59" i="5"/>
  <c r="T59" i="5"/>
  <c r="S59" i="5"/>
  <c r="U58" i="5"/>
  <c r="T58" i="5"/>
  <c r="S58" i="5"/>
  <c r="U57" i="5"/>
  <c r="T57" i="5"/>
  <c r="S57" i="5"/>
  <c r="U56" i="5"/>
  <c r="T56" i="5"/>
  <c r="S56" i="5"/>
  <c r="U55" i="5"/>
  <c r="T55" i="5"/>
  <c r="S55" i="5"/>
  <c r="U54" i="5"/>
  <c r="T54" i="5"/>
  <c r="S54" i="5"/>
  <c r="U53" i="5"/>
  <c r="T53" i="5"/>
  <c r="S53" i="5"/>
  <c r="U52" i="5"/>
  <c r="T52" i="5"/>
  <c r="S52" i="5"/>
  <c r="U51" i="5"/>
  <c r="T51" i="5"/>
  <c r="S51" i="5"/>
  <c r="U50" i="5"/>
  <c r="T50" i="5"/>
  <c r="S50" i="5"/>
  <c r="U49" i="5"/>
  <c r="T49" i="5"/>
  <c r="S49" i="5"/>
  <c r="U48" i="5"/>
  <c r="T48" i="5"/>
  <c r="S48" i="5"/>
  <c r="U47" i="5"/>
  <c r="T47" i="5"/>
  <c r="S47" i="5"/>
  <c r="U46" i="5"/>
  <c r="T46" i="5"/>
  <c r="S46" i="5"/>
  <c r="U45" i="5"/>
  <c r="T45" i="5"/>
  <c r="S45" i="5"/>
  <c r="U44" i="5"/>
  <c r="T44" i="5"/>
  <c r="S44" i="5"/>
  <c r="AA6" i="5"/>
  <c r="U43" i="5"/>
  <c r="T43" i="5"/>
  <c r="S43" i="5"/>
  <c r="U42" i="5"/>
  <c r="T42" i="5"/>
  <c r="S42" i="5"/>
  <c r="U41" i="5"/>
  <c r="T41" i="5"/>
  <c r="S41" i="5"/>
  <c r="U40" i="5"/>
  <c r="T40" i="5"/>
  <c r="S40" i="5"/>
  <c r="U39" i="5"/>
  <c r="T39" i="5"/>
  <c r="S39" i="5"/>
  <c r="U38" i="5"/>
  <c r="T38" i="5"/>
  <c r="S38" i="5"/>
  <c r="U37" i="5"/>
  <c r="T37" i="5"/>
  <c r="S37" i="5"/>
  <c r="U36" i="5"/>
  <c r="T36" i="5"/>
  <c r="S36" i="5"/>
  <c r="U35" i="5"/>
  <c r="T35" i="5"/>
  <c r="S35" i="5"/>
  <c r="U34" i="5"/>
  <c r="T34" i="5"/>
  <c r="S34" i="5"/>
  <c r="U33" i="5"/>
  <c r="T33" i="5"/>
  <c r="S33" i="5"/>
  <c r="U32" i="5"/>
  <c r="T32" i="5"/>
  <c r="S32" i="5"/>
  <c r="U31" i="5"/>
  <c r="T31" i="5"/>
  <c r="S31" i="5"/>
  <c r="U30" i="5"/>
  <c r="T30" i="5"/>
  <c r="S30" i="5"/>
  <c r="U29" i="5"/>
  <c r="T29" i="5"/>
  <c r="S29" i="5"/>
  <c r="U28" i="5"/>
  <c r="T28" i="5"/>
  <c r="S28" i="5"/>
  <c r="U27" i="5"/>
  <c r="T27" i="5"/>
  <c r="S27" i="5"/>
  <c r="U26" i="5"/>
  <c r="T26" i="5"/>
  <c r="S26" i="5"/>
  <c r="P72" i="17"/>
  <c r="O72" i="17"/>
  <c r="C74" i="17"/>
  <c r="N73" i="17"/>
  <c r="Q71" i="17"/>
  <c r="R71" i="17"/>
  <c r="D73" i="16"/>
  <c r="E72" i="16"/>
  <c r="D84" i="16"/>
  <c r="Y9" i="5"/>
  <c r="N8" i="5"/>
  <c r="AH8" i="5"/>
  <c r="Z6" i="5"/>
  <c r="AB6" i="5"/>
  <c r="AM8" i="5"/>
  <c r="Z9" i="5"/>
  <c r="AI8" i="5"/>
  <c r="AL8" i="5"/>
  <c r="AN8" i="5"/>
  <c r="V9" i="5"/>
  <c r="L8" i="5"/>
  <c r="V6" i="5"/>
  <c r="W6" i="5"/>
  <c r="X6" i="5"/>
  <c r="AA9" i="5"/>
  <c r="P8" i="5"/>
  <c r="J8" i="5"/>
  <c r="M8" i="5"/>
  <c r="O8" i="5"/>
  <c r="AB9" i="5"/>
  <c r="Y6" i="5"/>
  <c r="AK8" i="5"/>
  <c r="W9" i="5"/>
  <c r="AJ8" i="5"/>
  <c r="X9" i="5"/>
  <c r="K8" i="5"/>
  <c r="S63" i="5"/>
  <c r="T63" i="5"/>
  <c r="X62" i="5"/>
  <c r="U63" i="5"/>
  <c r="Y62" i="5"/>
  <c r="U9" i="5"/>
  <c r="AC6" i="5"/>
  <c r="Q8" i="5"/>
  <c r="AP8" i="5"/>
  <c r="X63" i="5"/>
  <c r="AF6" i="5"/>
  <c r="T8" i="5"/>
  <c r="AR8" i="5"/>
  <c r="AF9" i="5"/>
  <c r="AG6" i="5"/>
  <c r="U8" i="5"/>
  <c r="AG9" i="5"/>
  <c r="AC9" i="5"/>
  <c r="AO8" i="5"/>
  <c r="AD6" i="5"/>
  <c r="R8" i="5"/>
  <c r="AD9" i="5"/>
  <c r="AE6" i="5"/>
  <c r="S8" i="5"/>
  <c r="AQ8" i="5"/>
  <c r="AE9" i="5"/>
  <c r="Y63" i="5"/>
  <c r="J6" i="5"/>
  <c r="AH6" i="5"/>
  <c r="V8" i="5"/>
  <c r="J9" i="5"/>
  <c r="AH9" i="5"/>
  <c r="K6" i="5"/>
  <c r="AI6" i="5"/>
  <c r="W8" i="5"/>
  <c r="K9" i="5"/>
  <c r="AI9" i="5"/>
  <c r="L6" i="5"/>
  <c r="AJ6" i="5"/>
  <c r="X8" i="5"/>
  <c r="L9" i="5"/>
  <c r="AJ9" i="5"/>
  <c r="M6" i="5"/>
  <c r="AK6" i="5"/>
  <c r="Y8" i="5"/>
  <c r="M9" i="5"/>
  <c r="AK9" i="5"/>
  <c r="N6" i="5"/>
  <c r="AL6" i="5"/>
  <c r="Z8" i="5"/>
  <c r="N9" i="5"/>
  <c r="AL9" i="5"/>
  <c r="O6" i="5"/>
  <c r="AM6" i="5"/>
  <c r="AA8" i="5"/>
  <c r="AA7" i="5"/>
  <c r="O9" i="5"/>
  <c r="AM9" i="5"/>
  <c r="P6" i="5"/>
  <c r="AN6" i="5"/>
  <c r="AB8" i="5"/>
  <c r="P9" i="5"/>
  <c r="AN9" i="5"/>
  <c r="Q6" i="5"/>
  <c r="AO6" i="5"/>
  <c r="AC8" i="5"/>
  <c r="Q9" i="5"/>
  <c r="AO9" i="5"/>
  <c r="R6" i="5"/>
  <c r="AP6" i="5"/>
  <c r="AD8" i="5"/>
  <c r="R9" i="5"/>
  <c r="AP9" i="5"/>
  <c r="S6" i="5"/>
  <c r="AQ6" i="5"/>
  <c r="AE8" i="5"/>
  <c r="S9" i="5"/>
  <c r="AQ9" i="5"/>
  <c r="T6" i="5"/>
  <c r="AR6" i="5"/>
  <c r="AF8" i="5"/>
  <c r="T9" i="5"/>
  <c r="AR9" i="5"/>
  <c r="U6" i="5"/>
  <c r="AG8" i="5"/>
  <c r="P73" i="17"/>
  <c r="O73" i="17"/>
  <c r="N74" i="17"/>
  <c r="I17" i="17"/>
  <c r="V17" i="17"/>
  <c r="I15" i="17"/>
  <c r="V15" i="17"/>
  <c r="I18" i="17"/>
  <c r="V18" i="17"/>
  <c r="C75" i="17"/>
  <c r="I16" i="17"/>
  <c r="V16" i="17"/>
  <c r="R72" i="17"/>
  <c r="Q72" i="17"/>
  <c r="D85" i="16"/>
  <c r="E73" i="16"/>
  <c r="D74" i="16"/>
  <c r="AN7" i="5"/>
  <c r="P7" i="5"/>
  <c r="AI7" i="5"/>
  <c r="Y7" i="5"/>
  <c r="K7" i="5"/>
  <c r="N7" i="5"/>
  <c r="AM7" i="5"/>
  <c r="AH7" i="5"/>
  <c r="AJ7" i="5"/>
  <c r="U7" i="5"/>
  <c r="AF7" i="5"/>
  <c r="AC7" i="5"/>
  <c r="X7" i="5"/>
  <c r="AQ7" i="5"/>
  <c r="AK7" i="5"/>
  <c r="Q7" i="5"/>
  <c r="AG7" i="5"/>
  <c r="J7" i="5"/>
  <c r="L7" i="5"/>
  <c r="O7" i="5"/>
  <c r="W7" i="5"/>
  <c r="S7" i="5"/>
  <c r="AL7" i="5"/>
  <c r="AP7" i="5"/>
  <c r="R7" i="5"/>
  <c r="AD7" i="5"/>
  <c r="AB7" i="5"/>
  <c r="V7" i="5"/>
  <c r="M7" i="5"/>
  <c r="Z7" i="5"/>
  <c r="AE7" i="5"/>
  <c r="AR7" i="5"/>
  <c r="T7" i="5"/>
  <c r="AO7" i="5"/>
  <c r="AT8" i="5"/>
  <c r="AT6" i="5"/>
  <c r="AT9" i="5"/>
  <c r="N75" i="17"/>
  <c r="C76" i="17"/>
  <c r="P74" i="17"/>
  <c r="O74" i="17"/>
  <c r="R73" i="17"/>
  <c r="Q73" i="17"/>
  <c r="E74" i="16"/>
  <c r="D75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AT7" i="5"/>
  <c r="AU8" i="5"/>
  <c r="AW8" i="5"/>
  <c r="AV8" i="5"/>
  <c r="AU9" i="5"/>
  <c r="AW9" i="5"/>
  <c r="AV9" i="5"/>
  <c r="AV6" i="5"/>
  <c r="AU6" i="5"/>
  <c r="AW6" i="5"/>
  <c r="Q74" i="17"/>
  <c r="R74" i="17"/>
  <c r="C77" i="17"/>
  <c r="N76" i="17"/>
  <c r="P75" i="17"/>
  <c r="O75" i="17"/>
  <c r="AU7" i="5"/>
  <c r="AW7" i="5"/>
  <c r="AV7" i="5"/>
  <c r="N77" i="17"/>
  <c r="C78" i="17"/>
  <c r="R75" i="17"/>
  <c r="Q75" i="17"/>
  <c r="O76" i="17"/>
  <c r="P76" i="17"/>
  <c r="P20" i="2"/>
  <c r="Q20" i="2"/>
  <c r="R20" i="2"/>
  <c r="S20" i="2"/>
  <c r="P21" i="2"/>
  <c r="Q21" i="2"/>
  <c r="R21" i="2"/>
  <c r="S21" i="2"/>
  <c r="P22" i="2"/>
  <c r="Q22" i="2"/>
  <c r="R22" i="2"/>
  <c r="S22" i="2"/>
  <c r="P23" i="2"/>
  <c r="Q23" i="2"/>
  <c r="R23" i="2"/>
  <c r="S23" i="2"/>
  <c r="R76" i="17"/>
  <c r="Q76" i="17"/>
  <c r="N78" i="17"/>
  <c r="C79" i="17"/>
  <c r="P77" i="17"/>
  <c r="O77" i="17"/>
  <c r="I19" i="17"/>
  <c r="V19" i="17"/>
  <c r="I22" i="17"/>
  <c r="V22" i="17"/>
  <c r="I20" i="17"/>
  <c r="V20" i="17"/>
  <c r="C80" i="17"/>
  <c r="I21" i="17"/>
  <c r="V21" i="17"/>
  <c r="N79" i="17"/>
  <c r="R77" i="17"/>
  <c r="Q77" i="17"/>
  <c r="P78" i="17"/>
  <c r="O78" i="17"/>
  <c r="P79" i="17"/>
  <c r="O79" i="17"/>
  <c r="N80" i="17"/>
  <c r="C81" i="17"/>
  <c r="R78" i="17"/>
  <c r="Q78" i="17"/>
  <c r="C82" i="17"/>
  <c r="N81" i="17"/>
  <c r="R79" i="17"/>
  <c r="Q79" i="17"/>
  <c r="P80" i="17"/>
  <c r="O80" i="17"/>
  <c r="R80" i="17"/>
  <c r="Q80" i="17"/>
  <c r="C83" i="17"/>
  <c r="N83" i="17"/>
  <c r="N82" i="17"/>
  <c r="P81" i="17"/>
  <c r="O81" i="17"/>
  <c r="O82" i="17"/>
  <c r="P82" i="17"/>
  <c r="P83" i="17"/>
  <c r="O83" i="17"/>
  <c r="R81" i="17"/>
  <c r="Q81" i="17"/>
  <c r="Q83" i="17"/>
  <c r="R83" i="17"/>
  <c r="R82" i="17"/>
  <c r="Q8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6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note the "R_S" to sum across regions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H14" authorId="0" shapeId="0" xr:uid="{FA959EDC-1952-45D0-B256-118E47555032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on the basis that Austria does not allow CO2 storage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G8" authorId="0" shapeId="0" xr:uid="{F3F4B99E-D092-4CDC-9954-2668BDFE9D7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Disable the use of natural gas-powered DAC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I15" authorId="0" shapeId="0" xr:uid="{DA0F13F9-6315-4725-8275-7FFADA47644D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unlimited
</t>
        </r>
      </text>
    </comment>
    <comment ref="I17" authorId="0" shapeId="0" xr:uid="{E3DE936B-1A37-4F14-9143-CBE64617A6A2}">
      <text>
        <r>
          <rPr>
            <b/>
            <sz val="9"/>
            <color indexed="81"/>
            <rFont val="Tahoma"/>
            <charset val="1"/>
          </rPr>
          <t>assumed market price for biochar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G28" authorId="0" shapeId="0" xr:uid="{3989E52D-1E5D-4E7A-8B57-A2868F3511CC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EU2040 IA: relatively low price 20€(2020)/tco2 applied here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C48" authorId="0" shapeId="0" xr:uid="{1C2C1E4F-0940-4AB7-9A09-A60412EA27A6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Based on VTT expert estimates in 2024</t>
        </r>
      </text>
    </comment>
  </commentList>
</comments>
</file>

<file path=xl/sharedStrings.xml><?xml version="1.0" encoding="utf-8"?>
<sst xmlns="http://schemas.openxmlformats.org/spreadsheetml/2006/main" count="1798" uniqueCount="318">
  <si>
    <t>MINSNKAF*</t>
  </si>
  <si>
    <t>CO2_Max_Stor_MS</t>
  </si>
  <si>
    <t>UC_RHSRTS</t>
  </si>
  <si>
    <t>UC_ACT</t>
  </si>
  <si>
    <t>Year</t>
  </si>
  <si>
    <t>Pset_PN</t>
  </si>
  <si>
    <t>UC_N</t>
  </si>
  <si>
    <t>~UC_T: UP</t>
  </si>
  <si>
    <t>~UC_SETS: R_E: AT,BE,BG,CY,CZ,DE,DK,EE,ES,FI,FR,EL,HU,IE,IT,LT,LU,LV,MT,NL,PL,PT,RO,SE,SI,SK,UK,CH,IS,NO,HR</t>
  </si>
  <si>
    <t>MINSNK*,-MINSNKAF*</t>
  </si>
  <si>
    <t>CO2_Max_Stor_EU</t>
  </si>
  <si>
    <t>UC_RHSTS</t>
  </si>
  <si>
    <t>~UC_SETS: R_S: AT,BE,BG,CY,CZ,DE,DK,EE,ES,FI,FR,EL,HU,IE,IT,LT,LU,LV,MT,NL,PL,PT,RO,SE,SI,SK,UK,CH,IS,NO,HR</t>
  </si>
  <si>
    <t>SNKAFF</t>
  </si>
  <si>
    <t>MAXGRO</t>
  </si>
  <si>
    <t>SNKSCS</t>
  </si>
  <si>
    <t>SNKDACCS</t>
  </si>
  <si>
    <t>UC_COMPRD</t>
  </si>
  <si>
    <t>UC_RHST</t>
  </si>
  <si>
    <t>UC_COMNET</t>
  </si>
  <si>
    <t>Cset_CN</t>
  </si>
  <si>
    <t>~UC_Sets: R_E: AllRegions</t>
  </si>
  <si>
    <t>BBLQ*710</t>
  </si>
  <si>
    <t>NCAP_START</t>
  </si>
  <si>
    <t>S+BIOSNG</t>
  </si>
  <si>
    <t>CHPIP*BLQ07</t>
  </si>
  <si>
    <t>MINSNKCB31</t>
  </si>
  <si>
    <t>ANNUAL</t>
  </si>
  <si>
    <t>UP</t>
  </si>
  <si>
    <t>ACT_BND</t>
  </si>
  <si>
    <t>MINSNKDOGO1</t>
  </si>
  <si>
    <t>MINSNKDSAON1</t>
  </si>
  <si>
    <t>MINSNKDSAOF1</t>
  </si>
  <si>
    <t>MINSNKDOO1</t>
  </si>
  <si>
    <t>MINSNKDGO1</t>
  </si>
  <si>
    <t>MINSNKCB21</t>
  </si>
  <si>
    <t>MINSNKCB11</t>
  </si>
  <si>
    <t>SNKEWE</t>
  </si>
  <si>
    <t>COM_BNDNET</t>
  </si>
  <si>
    <t>SINKAFE</t>
  </si>
  <si>
    <t>NCAP_BND</t>
  </si>
  <si>
    <t>UC_DYNBND</t>
  </si>
  <si>
    <t>LO</t>
  </si>
  <si>
    <t>NCAP_AFSX</t>
  </si>
  <si>
    <t>NCAP_AFS</t>
  </si>
  <si>
    <t>BRF2_BTLFTDSL*</t>
  </si>
  <si>
    <t>EUR07</t>
  </si>
  <si>
    <t>NCAP_COST</t>
  </si>
  <si>
    <t>SHAPE</t>
  </si>
  <si>
    <t>ACT</t>
  </si>
  <si>
    <t>SUPCO2N</t>
  </si>
  <si>
    <t>FLO_EMIS</t>
  </si>
  <si>
    <t>BIOWOO</t>
  </si>
  <si>
    <t>BWOOGAS110</t>
  </si>
  <si>
    <t>INPUT</t>
  </si>
  <si>
    <t>EUR10</t>
  </si>
  <si>
    <t>EUSTWOOCCS01</t>
  </si>
  <si>
    <t>NCAP_TLIFE</t>
  </si>
  <si>
    <t>EUR13</t>
  </si>
  <si>
    <t>NCAP_FOM</t>
  </si>
  <si>
    <t>ACT_COST</t>
  </si>
  <si>
    <t>ACT_EFF</t>
  </si>
  <si>
    <t>Other_indexes</t>
  </si>
  <si>
    <t>Curr</t>
  </si>
  <si>
    <t>Attribute</t>
  </si>
  <si>
    <t>AllRegions</t>
  </si>
  <si>
    <t>Timeslice</t>
  </si>
  <si>
    <t>LimType</t>
  </si>
  <si>
    <t>~TFM_INS-TS</t>
  </si>
  <si>
    <t>~TFM_INS</t>
  </si>
  <si>
    <t>11_TECHS_Power</t>
  </si>
  <si>
    <t>*.5</t>
  </si>
  <si>
    <t>SepDb-ZIETASSUMPTIONS_DRATE</t>
  </si>
  <si>
    <t>NCAP_DRATE</t>
  </si>
  <si>
    <t>*.7</t>
  </si>
  <si>
    <t>SBIOH2GCC01</t>
  </si>
  <si>
    <t>NCAP_AFA</t>
  </si>
  <si>
    <t>SNKBECCS</t>
  </si>
  <si>
    <t>*-1</t>
  </si>
  <si>
    <t>INDSCO2N</t>
  </si>
  <si>
    <t>*1</t>
  </si>
  <si>
    <t>scenario</t>
  </si>
  <si>
    <t>attribute</t>
  </si>
  <si>
    <t>ELCSCO2N</t>
  </si>
  <si>
    <t>PUSCSBIO*</t>
  </si>
  <si>
    <t>SUPSCO2N</t>
  </si>
  <si>
    <t>BRF2_ETHLGC_CCS</t>
  </si>
  <si>
    <t>BRF2_BTLFTDSL_CCS</t>
  </si>
  <si>
    <t>Steam turbine biomass solid conventional w. CCS</t>
  </si>
  <si>
    <t>Steam turbine biomass solid conventional</t>
  </si>
  <si>
    <t>EUIGCCWOOCCS01</t>
  </si>
  <si>
    <t>Technology</t>
  </si>
  <si>
    <t>Cset_CN2</t>
  </si>
  <si>
    <t>Year2</t>
  </si>
  <si>
    <t>Years</t>
  </si>
  <si>
    <t>%</t>
  </si>
  <si>
    <t>ratio</t>
  </si>
  <si>
    <t>EUR/MWh</t>
  </si>
  <si>
    <t>EUR/kW</t>
  </si>
  <si>
    <t>~TFM_MIG</t>
  </si>
  <si>
    <t>Technical lifetime</t>
  </si>
  <si>
    <t>Self Consumption of electricity</t>
  </si>
  <si>
    <t>Electrical Efficiency (net) 
in optimal load operation</t>
  </si>
  <si>
    <t>Variable non fuel cost</t>
  </si>
  <si>
    <t>Fixed Operation and Maintenance costs, annually</t>
  </si>
  <si>
    <t>Overnight Investment Costs in a greenfield site, 
excluding financial costs during construction time</t>
  </si>
  <si>
    <t>EUR15</t>
  </si>
  <si>
    <t>CB31</t>
  </si>
  <si>
    <t>DOGO1</t>
  </si>
  <si>
    <t>DSAON1</t>
  </si>
  <si>
    <t>DSAOF1</t>
  </si>
  <si>
    <t>DOO1</t>
  </si>
  <si>
    <t>DGO1</t>
  </si>
  <si>
    <t>CB21</t>
  </si>
  <si>
    <t>CB11</t>
  </si>
  <si>
    <t>MK</t>
  </si>
  <si>
    <t>BA</t>
  </si>
  <si>
    <t>AL</t>
  </si>
  <si>
    <t>HR</t>
  </si>
  <si>
    <t>NO</t>
  </si>
  <si>
    <t>CH</t>
  </si>
  <si>
    <t>IS</t>
  </si>
  <si>
    <t>UK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</si>
  <si>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</si>
  <si>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</si>
  <si>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</si>
  <si>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</si>
  <si>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</si>
  <si>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</si>
  <si>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</si>
  <si>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</si>
  <si>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</si>
  <si>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LU</t>
  </si>
  <si>
    <t>LT</t>
  </si>
  <si>
    <t>IT</t>
  </si>
  <si>
    <t>IE</t>
  </si>
  <si>
    <t>HU</t>
  </si>
  <si>
    <t>EL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</si>
  <si>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</si>
  <si>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</si>
  <si>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</si>
  <si>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</si>
  <si>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</si>
  <si>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</si>
  <si>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</si>
  <si>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</si>
  <si>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</si>
  <si>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</si>
  <si>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</si>
  <si>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ANNUAL BOUNDS</t>
  </si>
  <si>
    <t/>
  </si>
  <si>
    <t>TimeSlice</t>
  </si>
  <si>
    <t>~TFM_DINS</t>
  </si>
  <si>
    <t>Exp</t>
  </si>
  <si>
    <t>IRE_XBND</t>
  </si>
  <si>
    <t>CUM</t>
  </si>
  <si>
    <t>MINSNKDOGF1</t>
  </si>
  <si>
    <t>MINSNKEOR1</t>
  </si>
  <si>
    <t>MINSNKDOF1</t>
  </si>
  <si>
    <t>MINSNKDGF1</t>
  </si>
  <si>
    <t>CSET_CN</t>
  </si>
  <si>
    <t>Other_Indexes</t>
  </si>
  <si>
    <t>*OEUR</t>
  </si>
  <si>
    <t>*EU28</t>
  </si>
  <si>
    <t>DOGF1</t>
  </si>
  <si>
    <t>EOR1</t>
  </si>
  <si>
    <t>DOF1</t>
  </si>
  <si>
    <t>DGF1</t>
  </si>
  <si>
    <t>MINSNKAFF4</t>
  </si>
  <si>
    <t>MINSNKAFF3</t>
  </si>
  <si>
    <t>MINSNKAFF2</t>
  </si>
  <si>
    <t>MINSNKAFF1</t>
  </si>
  <si>
    <t>PyCCS Pyrolysis Carbon Capture and Sequestration with Biochar</t>
  </si>
  <si>
    <t>TEC</t>
  </si>
  <si>
    <t>ENV</t>
  </si>
  <si>
    <t>SEC</t>
  </si>
  <si>
    <t>EU28</t>
  </si>
  <si>
    <t>ME</t>
  </si>
  <si>
    <t>CO2</t>
  </si>
  <si>
    <t>RS</t>
  </si>
  <si>
    <t>Biomass</t>
  </si>
  <si>
    <t>KS</t>
  </si>
  <si>
    <t>Feedstock</t>
  </si>
  <si>
    <t>SINKPYCCS</t>
  </si>
  <si>
    <t>FLO_COST</t>
  </si>
  <si>
    <t>BIOPYC</t>
  </si>
  <si>
    <t>NEG-TEC</t>
  </si>
  <si>
    <t>SNK_DAC_ELC</t>
  </si>
  <si>
    <t>SNK_DAC_GAS</t>
  </si>
  <si>
    <t>SNK_DAC</t>
  </si>
  <si>
    <t>Direct Air Capture</t>
  </si>
  <si>
    <t>SINKSCS1</t>
  </si>
  <si>
    <t>SINKSCS2</t>
  </si>
  <si>
    <t>SINKSCS3</t>
  </si>
  <si>
    <t>Austria</t>
  </si>
  <si>
    <t>Germany</t>
  </si>
  <si>
    <t>Spain</t>
  </si>
  <si>
    <t>Finland</t>
  </si>
  <si>
    <t>France</t>
  </si>
  <si>
    <t>Hungary</t>
  </si>
  <si>
    <t>Italy</t>
  </si>
  <si>
    <t>Poland</t>
  </si>
  <si>
    <t>Portugal</t>
  </si>
  <si>
    <t>United Kingdom</t>
  </si>
  <si>
    <t>SINKSCS*</t>
  </si>
  <si>
    <t>Enhanced Weathering</t>
  </si>
  <si>
    <t>Mt(CO2)</t>
  </si>
  <si>
    <t>Czechia</t>
  </si>
  <si>
    <t>Slovakia</t>
  </si>
  <si>
    <t>Subtot</t>
  </si>
  <si>
    <t>SINKEW*</t>
  </si>
  <si>
    <t>SINKEW1</t>
  </si>
  <si>
    <t>SINKEW2</t>
  </si>
  <si>
    <t>SINKEW3</t>
  </si>
  <si>
    <t>SINKEW4</t>
  </si>
  <si>
    <t>TS_Filter</t>
  </si>
  <si>
    <t>COST</t>
  </si>
  <si>
    <t>MINSNKAFF*</t>
  </si>
  <si>
    <t>SINKEW* procs use CCUCO2 as input</t>
  </si>
  <si>
    <t>Data by Antti L. (2024)</t>
  </si>
  <si>
    <t>From NEGEM-project</t>
  </si>
  <si>
    <t>multiplier</t>
  </si>
  <si>
    <t>Afforestation, deforestation</t>
  </si>
  <si>
    <t>MINSKAFF* procs use TOTCO2 as input -&gt; contribution to the LULUCF-sector</t>
  </si>
  <si>
    <t>SINKSCS* procs use TOTCO2 as input -&gt; contribution to the LULUCF-sector</t>
  </si>
  <si>
    <t>SINKPYCCS* procs use TOTCO2 as input</t>
  </si>
  <si>
    <t>Data by Antti L. from NEGEM (2024)</t>
  </si>
  <si>
    <t>HIGHER COST</t>
  </si>
  <si>
    <t>CRF</t>
  </si>
  <si>
    <t>interest rate per period</t>
  </si>
  <si>
    <t>AFA</t>
  </si>
  <si>
    <t>CAPEX</t>
  </si>
  <si>
    <t>amount paid each period</t>
  </si>
  <si>
    <t>LIFE</t>
  </si>
  <si>
    <t>years / number of payment periods</t>
  </si>
  <si>
    <t>INVEST</t>
  </si>
  <si>
    <t>present value of investment</t>
  </si>
  <si>
    <t>REF</t>
  </si>
  <si>
    <t>multiplicator</t>
  </si>
  <si>
    <t>more expensive variant</t>
  </si>
  <si>
    <t>conversion factor</t>
  </si>
  <si>
    <t>ktCO2/PJ biomass</t>
  </si>
  <si>
    <t>PJ</t>
  </si>
  <si>
    <t>MtCO2</t>
  </si>
  <si>
    <t>*EU27</t>
  </si>
  <si>
    <t>CO2 Storage</t>
  </si>
  <si>
    <t>Process category</t>
  </si>
  <si>
    <t>ECMR &amp; EOR</t>
  </si>
  <si>
    <t>Depleted oil/gas fields</t>
  </si>
  <si>
    <t>Deep saline aquifers</t>
  </si>
  <si>
    <t>UK separate</t>
  </si>
  <si>
    <t>CUM SUM</t>
  </si>
  <si>
    <t>*EU31</t>
  </si>
  <si>
    <t>Sum</t>
  </si>
  <si>
    <t>Nixon (2022):</t>
  </si>
  <si>
    <t>*EU27ktCO2</t>
  </si>
  <si>
    <t>*EU31ktCO2</t>
  </si>
  <si>
    <t>MINSNKCB11,MINSNKCB21,MINSNKEOR1,MINSNKCB31,MINSNKDOGO1,MINSNKDOGF1</t>
  </si>
  <si>
    <t>MINSNKCB11,MINSNKCB21,MINSNKDGF1,MINSNKDGO1,MINSNKDOF1,MINSNKDOO1,MINSNKDSAOF1,MINSNKDSAON1,MINSNKEOR1,MINSNKDOGO1,MINSNKDOGF1,MINSNKCB31</t>
  </si>
  <si>
    <t>Total planned</t>
  </si>
  <si>
    <t>JRC(2024) report</t>
  </si>
  <si>
    <t>Carbon sequestration on organic soils</t>
  </si>
  <si>
    <t>EU2040IA</t>
  </si>
  <si>
    <t>SINKSOC*</t>
  </si>
  <si>
    <t>SINKSOC1</t>
  </si>
  <si>
    <t>SINKSOC2</t>
  </si>
  <si>
    <t>SINKSOC3</t>
  </si>
  <si>
    <t>fraction of EU27 pot</t>
  </si>
  <si>
    <t>EU27</t>
  </si>
  <si>
    <t>ktCO2</t>
  </si>
  <si>
    <t>EUR2020</t>
  </si>
  <si>
    <t>Soil Carbon Sequestration on agricultural land</t>
  </si>
  <si>
    <t>Potential at different mitigation costs</t>
  </si>
  <si>
    <t>year</t>
  </si>
  <si>
    <t>10-20</t>
  </si>
  <si>
    <t>20-50</t>
  </si>
  <si>
    <t>50-100</t>
  </si>
  <si>
    <t>€/mtCO2</t>
  </si>
  <si>
    <t>Divide EU27-sums to each country</t>
  </si>
  <si>
    <t>fraction of EU27</t>
  </si>
  <si>
    <t>ANN</t>
  </si>
  <si>
    <t>This estimate includes high factor of cropland used! 30-40 % by 2050 (Beerling et al)</t>
  </si>
  <si>
    <t>Dunite</t>
  </si>
  <si>
    <t>Bassalt</t>
  </si>
  <si>
    <t>https://www.negemproject.eu/wp-content/uploads/2022/06/NEGEM_D1.5_Sustainability-assessment-of-Geoengineering-NETPs.pdf</t>
  </si>
  <si>
    <t xml:space="preserve"> tCO2/trock in 10 years</t>
  </si>
  <si>
    <t>tCO2/trock in 1 year</t>
  </si>
  <si>
    <t>Division into price categories</t>
  </si>
  <si>
    <t>Scale down:</t>
  </si>
  <si>
    <t>Annual increase</t>
  </si>
  <si>
    <t>Mt CO2</t>
  </si>
  <si>
    <t>t dunite/a</t>
  </si>
  <si>
    <t>Gt dunite/a</t>
  </si>
  <si>
    <t>Mt dunite/a</t>
  </si>
  <si>
    <t>EU31</t>
  </si>
  <si>
    <t>GtCO2</t>
  </si>
  <si>
    <t>10 ... 11 % of cropland</t>
  </si>
  <si>
    <t>scale-down factor</t>
  </si>
  <si>
    <t>SINKPYCCS2</t>
  </si>
  <si>
    <t>SGASMtaH110</t>
  </si>
  <si>
    <t>Sievert et al. 2024</t>
  </si>
  <si>
    <t>SNK_DAC, SNK_DAC_LowAF</t>
  </si>
  <si>
    <t>EUR20</t>
  </si>
  <si>
    <t>SNK_DAC_ELC, SNK_DAC_ELC_LowAF</t>
  </si>
  <si>
    <t>SNK_DAC_SOLID, SNK_DAC_SOLID_LowAF</t>
  </si>
  <si>
    <t>MEUR/kt*a</t>
  </si>
  <si>
    <t>EUR2024</t>
  </si>
  <si>
    <t>~TFM_UPD</t>
  </si>
  <si>
    <t>CAPEX+FIXED OPEX</t>
  </si>
  <si>
    <t>FIXED OPEX</t>
  </si>
  <si>
    <t>SNK_DAC_SOLID</t>
  </si>
  <si>
    <t>EUR24 -&gt; EUR20</t>
  </si>
  <si>
    <t>OPEX</t>
  </si>
  <si>
    <t>ELCMED</t>
  </si>
  <si>
    <t>HETHTH</t>
  </si>
  <si>
    <t>SNKCHR</t>
  </si>
  <si>
    <t>FLO_DELIV</t>
  </si>
  <si>
    <t>SNKCO2N,SNKFCO2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</si>
</sst>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00"/>
    <numFmt numFmtId="167" formatCode="0.000;0;0"/>
    <numFmt numFmtId="168" formatCode="0.00;0;0"/>
    <numFmt numFmtId="169" formatCode="0.0;0;0"/>
    <numFmt numFmtId="170" formatCode="0;0;0"/>
    <numFmt numFmtId="171" formatCode="[$€-2]\ #,##0;[Red]\-[$€-2]\ #,##0"/>
    <numFmt numFmtId="172" formatCode="0.00000"/>
    <numFmt numFmtId="173" formatCode="0.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1"/>
      <color indexed="60"/>
      <name val="Calibri"/>
      <family val="2"/>
    </font>
    <font>
      <b/>
      <sz val="11"/>
      <color rgb="FF0070C0"/>
      <name val="Calibri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11"/>
      <name val="Calibri"/>
      <family val="2"/>
    </font>
    <font>
      <i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b/>
      <sz val="9"/>
      <color rgb="FF00B05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FF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9" fillId="5" borderId="0" applyNumberFormat="0" applyBorder="0" applyAlignment="0" applyProtection="0"/>
    <xf numFmtId="0" fontId="11" fillId="0" borderId="0"/>
    <xf numFmtId="0" fontId="16" fillId="2" borderId="0" applyNumberFormat="0" applyBorder="0" applyAlignment="0" applyProtection="0"/>
    <xf numFmtId="0" fontId="1" fillId="0" borderId="0"/>
    <xf numFmtId="0" fontId="11" fillId="0" borderId="0"/>
    <xf numFmtId="0" fontId="11" fillId="0" borderId="0"/>
    <xf numFmtId="0" fontId="3" fillId="0" borderId="0"/>
    <xf numFmtId="0" fontId="23" fillId="0" borderId="0">
      <alignment wrapText="1"/>
    </xf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" fillId="0" borderId="0"/>
    <xf numFmtId="0" fontId="11" fillId="0" borderId="0"/>
    <xf numFmtId="0" fontId="28" fillId="0" borderId="0"/>
    <xf numFmtId="0" fontId="28" fillId="0" borderId="0"/>
    <xf numFmtId="0" fontId="11" fillId="0" borderId="0"/>
    <xf numFmtId="0" fontId="24" fillId="0" borderId="0"/>
  </cellStyleXfs>
  <cellXfs count="250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0" fontId="3" fillId="3" borderId="1" xfId="1" applyFill="1" applyBorder="1"/>
    <xf numFmtId="0" fontId="5" fillId="4" borderId="0" xfId="2" applyFont="1" applyFill="1"/>
    <xf numFmtId="0" fontId="6" fillId="4" borderId="0" xfId="1" applyFont="1" applyFill="1"/>
    <xf numFmtId="0" fontId="3" fillId="0" borderId="0" xfId="1" applyFill="1" applyAlignment="1">
      <alignment horizontal="center"/>
    </xf>
    <xf numFmtId="0" fontId="7" fillId="0" borderId="0" xfId="1" applyFont="1" applyFill="1"/>
    <xf numFmtId="2" fontId="3" fillId="0" borderId="0" xfId="1" applyNumberFormat="1" applyAlignment="1">
      <alignment horizontal="center"/>
    </xf>
    <xf numFmtId="164" fontId="0" fillId="0" borderId="0" xfId="3" applyNumberFormat="1" applyFont="1" applyAlignment="1">
      <alignment horizontal="center"/>
    </xf>
    <xf numFmtId="0" fontId="8" fillId="3" borderId="1" xfId="1" applyFont="1" applyFill="1" applyBorder="1"/>
    <xf numFmtId="0" fontId="9" fillId="3" borderId="1" xfId="4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10" fillId="4" borderId="0" xfId="2" applyFont="1" applyFill="1"/>
    <xf numFmtId="0" fontId="10" fillId="0" borderId="0" xfId="2" applyFont="1"/>
    <xf numFmtId="0" fontId="3" fillId="6" borderId="0" xfId="1" applyFill="1"/>
    <xf numFmtId="0" fontId="7" fillId="6" borderId="0" xfId="1" applyFont="1" applyFill="1"/>
    <xf numFmtId="0" fontId="7" fillId="6" borderId="0" xfId="5" applyFont="1" applyFill="1"/>
    <xf numFmtId="0" fontId="3" fillId="7" borderId="0" xfId="1" applyFill="1"/>
    <xf numFmtId="0" fontId="3" fillId="7" borderId="0" xfId="1" applyFill="1" applyAlignment="1">
      <alignment horizontal="center"/>
    </xf>
    <xf numFmtId="0" fontId="3" fillId="7" borderId="0" xfId="1" applyFill="1" applyAlignment="1"/>
    <xf numFmtId="0" fontId="3" fillId="6" borderId="0" xfId="1" applyFill="1" applyAlignment="1">
      <alignment horizontal="center"/>
    </xf>
    <xf numFmtId="1" fontId="3" fillId="6" borderId="0" xfId="1" applyNumberFormat="1" applyFill="1" applyAlignment="1">
      <alignment horizontal="center"/>
    </xf>
    <xf numFmtId="1" fontId="3" fillId="7" borderId="0" xfId="1" applyNumberFormat="1" applyFill="1" applyAlignment="1">
      <alignment horizontal="center"/>
    </xf>
    <xf numFmtId="2" fontId="3" fillId="7" borderId="0" xfId="1" applyNumberFormat="1" applyFill="1" applyAlignment="1">
      <alignment horizontal="center"/>
    </xf>
    <xf numFmtId="2" fontId="3" fillId="6" borderId="0" xfId="1" applyNumberFormat="1" applyFill="1" applyAlignment="1">
      <alignment horizontal="center"/>
    </xf>
    <xf numFmtId="165" fontId="3" fillId="6" borderId="0" xfId="1" applyNumberFormat="1" applyFill="1"/>
    <xf numFmtId="1" fontId="3" fillId="6" borderId="0" xfId="1" applyNumberFormat="1" applyFill="1"/>
    <xf numFmtId="166" fontId="3" fillId="6" borderId="0" xfId="1" applyNumberFormat="1" applyFill="1"/>
    <xf numFmtId="2" fontId="3" fillId="6" borderId="0" xfId="1" applyNumberFormat="1" applyFill="1"/>
    <xf numFmtId="0" fontId="11" fillId="8" borderId="2" xfId="1" applyFont="1" applyFill="1" applyBorder="1"/>
    <xf numFmtId="0" fontId="8" fillId="9" borderId="2" xfId="1" applyFont="1" applyFill="1" applyBorder="1"/>
    <xf numFmtId="0" fontId="8" fillId="8" borderId="2" xfId="1" applyFont="1" applyFill="1" applyBorder="1"/>
    <xf numFmtId="0" fontId="8" fillId="8" borderId="2" xfId="1" applyFont="1" applyFill="1" applyBorder="1" applyAlignment="1">
      <alignment horizontal="center"/>
    </xf>
    <xf numFmtId="0" fontId="12" fillId="0" borderId="0" xfId="1" applyFont="1"/>
    <xf numFmtId="0" fontId="3" fillId="10" borderId="0" xfId="1" applyFill="1"/>
    <xf numFmtId="0" fontId="7" fillId="6" borderId="0" xfId="1" applyFont="1" applyFill="1" applyAlignment="1">
      <alignment horizontal="center"/>
    </xf>
    <xf numFmtId="0" fontId="13" fillId="6" borderId="0" xfId="1" applyFont="1" applyFill="1" applyAlignment="1">
      <alignment vertical="center"/>
    </xf>
    <xf numFmtId="0" fontId="3" fillId="10" borderId="1" xfId="1" applyFill="1" applyBorder="1"/>
    <xf numFmtId="1" fontId="14" fillId="0" borderId="3" xfId="1" applyNumberFormat="1" applyFont="1" applyBorder="1" applyAlignment="1">
      <alignment horizontal="center"/>
    </xf>
    <xf numFmtId="2" fontId="14" fillId="0" borderId="4" xfId="1" applyNumberFormat="1" applyFont="1" applyBorder="1"/>
    <xf numFmtId="2" fontId="14" fillId="0" borderId="0" xfId="1" applyNumberFormat="1" applyFont="1"/>
    <xf numFmtId="2" fontId="14" fillId="0" borderId="5" xfId="1" applyNumberFormat="1" applyFont="1" applyBorder="1"/>
    <xf numFmtId="165" fontId="14" fillId="0" borderId="4" xfId="1" applyNumberFormat="1" applyFont="1" applyBorder="1"/>
    <xf numFmtId="165" fontId="14" fillId="0" borderId="0" xfId="1" applyNumberFormat="1" applyFont="1"/>
    <xf numFmtId="165" fontId="14" fillId="0" borderId="5" xfId="1" applyNumberFormat="1" applyFont="1" applyBorder="1"/>
    <xf numFmtId="1" fontId="14" fillId="0" borderId="4" xfId="1" applyNumberFormat="1" applyFont="1" applyBorder="1"/>
    <xf numFmtId="1" fontId="14" fillId="0" borderId="0" xfId="1" applyNumberFormat="1" applyFont="1"/>
    <xf numFmtId="1" fontId="14" fillId="0" borderId="5" xfId="1" applyNumberFormat="1" applyFont="1" applyBorder="1"/>
    <xf numFmtId="0" fontId="14" fillId="0" borderId="3" xfId="1" applyFont="1" applyBorder="1"/>
    <xf numFmtId="1" fontId="13" fillId="11" borderId="6" xfId="1" applyNumberFormat="1" applyFont="1" applyFill="1" applyBorder="1" applyAlignment="1">
      <alignment horizontal="center"/>
    </xf>
    <xf numFmtId="2" fontId="13" fillId="11" borderId="7" xfId="1" applyNumberFormat="1" applyFont="1" applyFill="1" applyBorder="1"/>
    <xf numFmtId="2" fontId="13" fillId="11" borderId="8" xfId="1" applyNumberFormat="1" applyFont="1" applyFill="1" applyBorder="1"/>
    <xf numFmtId="2" fontId="13" fillId="11" borderId="9" xfId="1" applyNumberFormat="1" applyFont="1" applyFill="1" applyBorder="1"/>
    <xf numFmtId="165" fontId="13" fillId="11" borderId="7" xfId="1" applyNumberFormat="1" applyFont="1" applyFill="1" applyBorder="1"/>
    <xf numFmtId="165" fontId="13" fillId="11" borderId="8" xfId="1" applyNumberFormat="1" applyFont="1" applyFill="1" applyBorder="1"/>
    <xf numFmtId="165" fontId="13" fillId="11" borderId="9" xfId="1" applyNumberFormat="1" applyFont="1" applyFill="1" applyBorder="1"/>
    <xf numFmtId="1" fontId="13" fillId="11" borderId="7" xfId="1" applyNumberFormat="1" applyFont="1" applyFill="1" applyBorder="1"/>
    <xf numFmtId="1" fontId="13" fillId="11" borderId="8" xfId="1" applyNumberFormat="1" applyFont="1" applyFill="1" applyBorder="1"/>
    <xf numFmtId="1" fontId="13" fillId="11" borderId="9" xfId="1" applyNumberFormat="1" applyFont="1" applyFill="1" applyBorder="1"/>
    <xf numFmtId="0" fontId="13" fillId="11" borderId="6" xfId="1" applyFont="1" applyFill="1" applyBorder="1"/>
    <xf numFmtId="0" fontId="15" fillId="12" borderId="10" xfId="1" applyFont="1" applyFill="1" applyBorder="1" applyAlignment="1">
      <alignment horizontal="center"/>
    </xf>
    <xf numFmtId="0" fontId="15" fillId="12" borderId="11" xfId="1" applyFont="1" applyFill="1" applyBorder="1"/>
    <xf numFmtId="0" fontId="15" fillId="12" borderId="1" xfId="1" applyFont="1" applyFill="1" applyBorder="1"/>
    <xf numFmtId="0" fontId="15" fillId="12" borderId="12" xfId="1" applyFont="1" applyFill="1" applyBorder="1"/>
    <xf numFmtId="0" fontId="14" fillId="0" borderId="13" xfId="1" applyFont="1" applyBorder="1"/>
    <xf numFmtId="0" fontId="15" fillId="12" borderId="10" xfId="6" applyFont="1" applyFill="1" applyBorder="1" applyAlignment="1">
      <alignment horizontal="center" wrapText="1"/>
    </xf>
    <xf numFmtId="0" fontId="2" fillId="0" borderId="3" xfId="6" applyFont="1" applyFill="1" applyBorder="1"/>
    <xf numFmtId="0" fontId="17" fillId="0" borderId="6" xfId="6" applyFont="1" applyFill="1" applyBorder="1" applyAlignment="1">
      <alignment horizontal="center"/>
    </xf>
    <xf numFmtId="1" fontId="3" fillId="0" borderId="0" xfId="1" applyNumberFormat="1"/>
    <xf numFmtId="0" fontId="1" fillId="0" borderId="0" xfId="7"/>
    <xf numFmtId="0" fontId="21" fillId="0" borderId="0" xfId="1" applyFont="1"/>
    <xf numFmtId="0" fontId="3" fillId="0" borderId="0" xfId="10"/>
    <xf numFmtId="165" fontId="3" fillId="0" borderId="0" xfId="1" applyNumberFormat="1"/>
    <xf numFmtId="0" fontId="7" fillId="0" borderId="0" xfId="1" applyFont="1" applyAlignment="1">
      <alignment horizontal="center"/>
    </xf>
    <xf numFmtId="0" fontId="7" fillId="0" borderId="0" xfId="1" applyFont="1"/>
    <xf numFmtId="0" fontId="11" fillId="0" borderId="0" xfId="1" applyFont="1"/>
    <xf numFmtId="1" fontId="11" fillId="0" borderId="0" xfId="21" applyNumberFormat="1" applyAlignment="1">
      <alignment horizontal="center"/>
    </xf>
    <xf numFmtId="166" fontId="11" fillId="0" borderId="0" xfId="21" applyNumberFormat="1" applyAlignment="1">
      <alignment horizontal="center"/>
    </xf>
    <xf numFmtId="0" fontId="11" fillId="0" borderId="0" xfId="21"/>
    <xf numFmtId="0" fontId="11" fillId="0" borderId="0" xfId="14"/>
    <xf numFmtId="0" fontId="11" fillId="0" borderId="0" xfId="15"/>
    <xf numFmtId="0" fontId="22" fillId="14" borderId="0" xfId="1" applyFont="1" applyFill="1"/>
    <xf numFmtId="0" fontId="29" fillId="14" borderId="0" xfId="1" applyFont="1" applyFill="1"/>
    <xf numFmtId="0" fontId="27" fillId="0" borderId="0" xfId="1" applyFont="1"/>
    <xf numFmtId="0" fontId="27" fillId="0" borderId="0" xfId="1" applyFont="1" applyAlignment="1">
      <alignment horizontal="center"/>
    </xf>
    <xf numFmtId="0" fontId="26" fillId="0" borderId="0" xfId="1" applyFont="1"/>
    <xf numFmtId="0" fontId="25" fillId="15" borderId="2" xfId="1" applyFont="1" applyFill="1" applyBorder="1"/>
    <xf numFmtId="0" fontId="25" fillId="14" borderId="2" xfId="1" applyFont="1" applyFill="1" applyBorder="1" applyAlignment="1">
      <alignment horizontal="center"/>
    </xf>
    <xf numFmtId="0" fontId="7" fillId="13" borderId="0" xfId="1" applyFont="1" applyFill="1"/>
    <xf numFmtId="0" fontId="7" fillId="13" borderId="0" xfId="1" applyFont="1" applyFill="1" applyAlignment="1">
      <alignment horizontal="center"/>
    </xf>
    <xf numFmtId="1" fontId="7" fillId="16" borderId="0" xfId="1" applyNumberFormat="1" applyFont="1" applyFill="1" applyAlignment="1">
      <alignment horizontal="center"/>
    </xf>
    <xf numFmtId="1" fontId="7" fillId="16" borderId="0" xfId="1" applyNumberFormat="1" applyFont="1" applyFill="1"/>
    <xf numFmtId="167" fontId="7" fillId="16" borderId="0" xfId="1" applyNumberFormat="1" applyFont="1" applyFill="1" applyAlignment="1">
      <alignment horizontal="center"/>
    </xf>
    <xf numFmtId="0" fontId="7" fillId="16" borderId="0" xfId="1" applyFont="1" applyFill="1"/>
    <xf numFmtId="0" fontId="25" fillId="17" borderId="0" xfId="1" applyFont="1" applyFill="1" applyAlignment="1">
      <alignment horizontal="left"/>
    </xf>
    <xf numFmtId="0" fontId="7" fillId="17" borderId="0" xfId="1" applyFont="1" applyFill="1"/>
    <xf numFmtId="0" fontId="25" fillId="17" borderId="0" xfId="1" applyFont="1" applyFill="1"/>
    <xf numFmtId="0" fontId="7" fillId="17" borderId="0" xfId="19" applyFont="1" applyFill="1"/>
    <xf numFmtId="0" fontId="25" fillId="17" borderId="0" xfId="19" applyFont="1" applyFill="1"/>
    <xf numFmtId="0" fontId="25" fillId="17" borderId="0" xfId="19" applyFont="1" applyFill="1" applyAlignment="1">
      <alignment horizontal="center"/>
    </xf>
    <xf numFmtId="0" fontId="25" fillId="17" borderId="1" xfId="19" applyFont="1" applyFill="1" applyBorder="1" applyAlignment="1">
      <alignment horizontal="center"/>
    </xf>
    <xf numFmtId="0" fontId="7" fillId="17" borderId="0" xfId="1" applyFont="1" applyFill="1" applyAlignment="1">
      <alignment horizontal="center"/>
    </xf>
    <xf numFmtId="1" fontId="7" fillId="17" borderId="0" xfId="19" applyNumberFormat="1" applyFont="1" applyFill="1" applyAlignment="1">
      <alignment horizontal="center"/>
    </xf>
    <xf numFmtId="0" fontId="7" fillId="17" borderId="0" xfId="20" applyFont="1" applyFill="1"/>
    <xf numFmtId="165" fontId="7" fillId="17" borderId="0" xfId="1" applyNumberFormat="1" applyFont="1" applyFill="1" applyAlignment="1">
      <alignment horizontal="center"/>
    </xf>
    <xf numFmtId="1" fontId="7" fillId="17" borderId="0" xfId="1" applyNumberFormat="1" applyFont="1" applyFill="1" applyAlignment="1">
      <alignment horizontal="center"/>
    </xf>
    <xf numFmtId="0" fontId="25" fillId="15" borderId="2" xfId="1" applyFont="1" applyFill="1" applyBorder="1" applyAlignment="1">
      <alignment horizontal="center"/>
    </xf>
    <xf numFmtId="166" fontId="7" fillId="16" borderId="0" xfId="1" applyNumberFormat="1" applyFont="1" applyFill="1" applyAlignment="1">
      <alignment horizontal="center"/>
    </xf>
    <xf numFmtId="3" fontId="7" fillId="16" borderId="0" xfId="1" applyNumberFormat="1" applyFont="1" applyFill="1" applyAlignment="1">
      <alignment horizontal="center"/>
    </xf>
    <xf numFmtId="0" fontId="25" fillId="0" borderId="0" xfId="1" applyFont="1"/>
    <xf numFmtId="0" fontId="33" fillId="14" borderId="0" xfId="1" applyFont="1" applyFill="1"/>
    <xf numFmtId="165" fontId="7" fillId="6" borderId="0" xfId="1" applyNumberFormat="1" applyFont="1" applyFill="1" applyAlignment="1">
      <alignment horizontal="center"/>
    </xf>
    <xf numFmtId="0" fontId="25" fillId="6" borderId="0" xfId="1" applyFont="1" applyFill="1"/>
    <xf numFmtId="0" fontId="25" fillId="6" borderId="0" xfId="12" applyFont="1" applyFill="1" applyAlignment="1">
      <alignment horizontal="center"/>
    </xf>
    <xf numFmtId="0" fontId="7" fillId="6" borderId="0" xfId="12" applyFont="1" applyFill="1"/>
    <xf numFmtId="0" fontId="7" fillId="6" borderId="0" xfId="13" applyFont="1" applyFill="1"/>
    <xf numFmtId="0" fontId="25" fillId="6" borderId="1" xfId="12" applyFont="1" applyFill="1" applyBorder="1" applyAlignment="1">
      <alignment horizontal="center"/>
    </xf>
    <xf numFmtId="0" fontId="25" fillId="6" borderId="11" xfId="12" applyFont="1" applyFill="1" applyBorder="1" applyAlignment="1">
      <alignment horizontal="center"/>
    </xf>
    <xf numFmtId="0" fontId="7" fillId="6" borderId="0" xfId="14" applyFont="1" applyFill="1" applyAlignment="1">
      <alignment horizontal="center"/>
    </xf>
    <xf numFmtId="165" fontId="7" fillId="6" borderId="0" xfId="12" applyNumberFormat="1" applyFont="1" applyFill="1" applyAlignment="1">
      <alignment horizontal="center"/>
    </xf>
    <xf numFmtId="1" fontId="7" fillId="6" borderId="4" xfId="12" applyNumberFormat="1" applyFont="1" applyFill="1" applyBorder="1" applyAlignment="1">
      <alignment horizontal="center"/>
    </xf>
    <xf numFmtId="0" fontId="7" fillId="6" borderId="0" xfId="12" applyFont="1" applyFill="1" applyAlignment="1">
      <alignment horizontal="center"/>
    </xf>
    <xf numFmtId="0" fontId="7" fillId="6" borderId="0" xfId="15" applyFont="1" applyFill="1" applyAlignment="1">
      <alignment horizontal="center"/>
    </xf>
    <xf numFmtId="1" fontId="32" fillId="6" borderId="0" xfId="16" applyNumberFormat="1" applyFont="1" applyFill="1" applyAlignment="1">
      <alignment horizontal="center"/>
    </xf>
    <xf numFmtId="1" fontId="7" fillId="6" borderId="0" xfId="12" applyNumberFormat="1" applyFont="1" applyFill="1" applyBorder="1" applyAlignment="1">
      <alignment horizontal="center"/>
    </xf>
    <xf numFmtId="1" fontId="7" fillId="6" borderId="0" xfId="1" applyNumberFormat="1" applyFont="1" applyFill="1" applyAlignment="1">
      <alignment horizontal="center"/>
    </xf>
    <xf numFmtId="0" fontId="25" fillId="6" borderId="0" xfId="1" applyFont="1" applyFill="1" applyAlignment="1">
      <alignment horizontal="center"/>
    </xf>
    <xf numFmtId="0" fontId="7" fillId="13" borderId="0" xfId="1" applyFont="1" applyFill="1" applyAlignment="1"/>
    <xf numFmtId="168" fontId="7" fillId="16" borderId="0" xfId="1" applyNumberFormat="1" applyFont="1" applyFill="1" applyAlignment="1">
      <alignment horizontal="center"/>
    </xf>
    <xf numFmtId="169" fontId="7" fillId="16" borderId="0" xfId="1" applyNumberFormat="1" applyFont="1" applyFill="1" applyAlignment="1">
      <alignment horizontal="center"/>
    </xf>
    <xf numFmtId="170" fontId="7" fillId="16" borderId="0" xfId="1" applyNumberFormat="1" applyFont="1" applyFill="1" applyAlignment="1">
      <alignment horizontal="center"/>
    </xf>
    <xf numFmtId="0" fontId="22" fillId="14" borderId="0" xfId="1" applyFont="1" applyFill="1" applyAlignment="1">
      <alignment horizontal="center"/>
    </xf>
    <xf numFmtId="0" fontId="26" fillId="0" borderId="0" xfId="1" applyFont="1" applyAlignment="1">
      <alignment horizontal="center"/>
    </xf>
    <xf numFmtId="0" fontId="21" fillId="0" borderId="0" xfId="10" applyFont="1"/>
    <xf numFmtId="0" fontId="7" fillId="0" borderId="0" xfId="10" applyFont="1"/>
    <xf numFmtId="0" fontId="7" fillId="6" borderId="0" xfId="10" applyFont="1" applyFill="1"/>
    <xf numFmtId="0" fontId="7" fillId="6" borderId="0" xfId="10" applyFont="1" applyFill="1" applyAlignment="1">
      <alignment horizontal="center"/>
    </xf>
    <xf numFmtId="0" fontId="25" fillId="6" borderId="0" xfId="10" applyFont="1" applyFill="1"/>
    <xf numFmtId="1" fontId="7" fillId="6" borderId="0" xfId="10" applyNumberFormat="1" applyFont="1" applyFill="1"/>
    <xf numFmtId="170" fontId="7" fillId="16" borderId="0" xfId="1" applyNumberFormat="1" applyFont="1" applyFill="1"/>
    <xf numFmtId="0" fontId="25" fillId="14" borderId="0" xfId="1" applyFont="1" applyFill="1"/>
    <xf numFmtId="0" fontId="34" fillId="0" borderId="0" xfId="1" applyFont="1" applyAlignment="1">
      <alignment horizontal="center"/>
    </xf>
    <xf numFmtId="0" fontId="7" fillId="13" borderId="0" xfId="1" applyFont="1" applyFill="1" applyAlignment="1">
      <alignment horizontal="center" vertical="center"/>
    </xf>
    <xf numFmtId="0" fontId="7" fillId="16" borderId="0" xfId="1" applyFont="1" applyFill="1" applyAlignment="1">
      <alignment horizontal="center"/>
    </xf>
    <xf numFmtId="165" fontId="7" fillId="16" borderId="0" xfId="1" applyNumberFormat="1" applyFont="1" applyFill="1"/>
    <xf numFmtId="0" fontId="34" fillId="6" borderId="0" xfId="1" applyFont="1" applyFill="1"/>
    <xf numFmtId="0" fontId="35" fillId="6" borderId="0" xfId="0" applyFont="1" applyFill="1"/>
    <xf numFmtId="3" fontId="35" fillId="6" borderId="0" xfId="0" applyNumberFormat="1" applyFont="1" applyFill="1"/>
    <xf numFmtId="3" fontId="35" fillId="6" borderId="6" xfId="0" applyNumberFormat="1" applyFont="1" applyFill="1" applyBorder="1"/>
    <xf numFmtId="1" fontId="35" fillId="6" borderId="0" xfId="0" applyNumberFormat="1" applyFont="1" applyFill="1"/>
    <xf numFmtId="3" fontId="35" fillId="6" borderId="3" xfId="0" applyNumberFormat="1" applyFont="1" applyFill="1" applyBorder="1"/>
    <xf numFmtId="3" fontId="35" fillId="6" borderId="13" xfId="0" applyNumberFormat="1" applyFont="1" applyFill="1" applyBorder="1"/>
    <xf numFmtId="3" fontId="3" fillId="16" borderId="0" xfId="1" applyNumberFormat="1" applyFill="1"/>
    <xf numFmtId="3" fontId="3" fillId="6" borderId="0" xfId="1" applyNumberFormat="1" applyFill="1"/>
    <xf numFmtId="0" fontId="8" fillId="6" borderId="2" xfId="7" applyFont="1" applyFill="1" applyBorder="1" applyAlignment="1">
      <alignment horizontal="right"/>
    </xf>
    <xf numFmtId="0" fontId="11" fillId="6" borderId="0" xfId="9" applyFill="1"/>
    <xf numFmtId="0" fontId="8" fillId="6" borderId="0" xfId="9" applyFont="1" applyFill="1" applyAlignment="1">
      <alignment horizontal="center"/>
    </xf>
    <xf numFmtId="0" fontId="11" fillId="6" borderId="0" xfId="9" applyFill="1" applyAlignment="1">
      <alignment horizontal="center"/>
    </xf>
    <xf numFmtId="0" fontId="7" fillId="6" borderId="0" xfId="9" applyFont="1" applyFill="1"/>
    <xf numFmtId="1" fontId="7" fillId="6" borderId="0" xfId="9" applyNumberFormat="1" applyFont="1" applyFill="1"/>
    <xf numFmtId="3" fontId="7" fillId="0" borderId="0" xfId="1" applyNumberFormat="1" applyFont="1"/>
    <xf numFmtId="14" fontId="22" fillId="14" borderId="0" xfId="1" applyNumberFormat="1" applyFont="1" applyFill="1"/>
    <xf numFmtId="0" fontId="25" fillId="14" borderId="1" xfId="1" applyFont="1" applyFill="1" applyBorder="1" applyAlignment="1">
      <alignment horizontal="center"/>
    </xf>
    <xf numFmtId="0" fontId="36" fillId="14" borderId="2" xfId="1" applyFont="1" applyFill="1" applyBorder="1" applyAlignment="1">
      <alignment horizontal="center"/>
    </xf>
    <xf numFmtId="170" fontId="35" fillId="16" borderId="0" xfId="1" applyNumberFormat="1" applyFont="1" applyFill="1" applyAlignment="1">
      <alignment horizontal="center"/>
    </xf>
    <xf numFmtId="170" fontId="37" fillId="16" borderId="0" xfId="1" applyNumberFormat="1" applyFont="1" applyFill="1" applyAlignment="1">
      <alignment horizontal="center"/>
    </xf>
    <xf numFmtId="3" fontId="37" fillId="16" borderId="0" xfId="1" applyNumberFormat="1" applyFont="1" applyFill="1" applyAlignment="1">
      <alignment horizontal="center"/>
    </xf>
    <xf numFmtId="3" fontId="35" fillId="16" borderId="0" xfId="1" applyNumberFormat="1" applyFont="1" applyFill="1" applyAlignment="1">
      <alignment horizontal="center"/>
    </xf>
    <xf numFmtId="3" fontId="3" fillId="0" borderId="0" xfId="1" applyNumberFormat="1"/>
    <xf numFmtId="0" fontId="3" fillId="0" borderId="0" xfId="1" quotePrefix="1"/>
    <xf numFmtId="0" fontId="25" fillId="15" borderId="8" xfId="1" applyFont="1" applyFill="1" applyBorder="1"/>
    <xf numFmtId="0" fontId="36" fillId="14" borderId="8" xfId="1" applyFont="1" applyFill="1" applyBorder="1" applyAlignment="1">
      <alignment horizontal="center"/>
    </xf>
    <xf numFmtId="0" fontId="3" fillId="16" borderId="0" xfId="1" applyFill="1"/>
    <xf numFmtId="0" fontId="7" fillId="13" borderId="14" xfId="1" applyFont="1" applyFill="1" applyBorder="1"/>
    <xf numFmtId="0" fontId="3" fillId="16" borderId="14" xfId="1" applyFill="1" applyBorder="1"/>
    <xf numFmtId="0" fontId="3" fillId="0" borderId="14" xfId="1" applyBorder="1"/>
    <xf numFmtId="3" fontId="3" fillId="16" borderId="14" xfId="1" applyNumberFormat="1" applyFill="1" applyBorder="1"/>
    <xf numFmtId="3" fontId="34" fillId="6" borderId="0" xfId="1" applyNumberFormat="1" applyFont="1" applyFill="1"/>
    <xf numFmtId="3" fontId="34" fillId="6" borderId="14" xfId="1" applyNumberFormat="1" applyFont="1" applyFill="1" applyBorder="1"/>
    <xf numFmtId="3" fontId="3" fillId="6" borderId="14" xfId="1" applyNumberFormat="1" applyFill="1" applyBorder="1"/>
    <xf numFmtId="0" fontId="3" fillId="3" borderId="0" xfId="1" applyFill="1"/>
    <xf numFmtId="3" fontId="3" fillId="3" borderId="0" xfId="1" applyNumberFormat="1" applyFill="1"/>
    <xf numFmtId="0" fontId="34" fillId="10" borderId="14" xfId="1" applyFont="1" applyFill="1" applyBorder="1"/>
    <xf numFmtId="3" fontId="34" fillId="10" borderId="14" xfId="1" applyNumberFormat="1" applyFont="1" applyFill="1" applyBorder="1"/>
    <xf numFmtId="3" fontId="3" fillId="10" borderId="14" xfId="1" applyNumberFormat="1" applyFill="1" applyBorder="1"/>
    <xf numFmtId="3" fontId="3" fillId="10" borderId="0" xfId="1" applyNumberFormat="1" applyFill="1"/>
    <xf numFmtId="0" fontId="34" fillId="18" borderId="14" xfId="1" applyFont="1" applyFill="1" applyBorder="1"/>
    <xf numFmtId="3" fontId="34" fillId="18" borderId="14" xfId="1" applyNumberFormat="1" applyFont="1" applyFill="1" applyBorder="1"/>
    <xf numFmtId="3" fontId="34" fillId="18" borderId="0" xfId="1" applyNumberFormat="1" applyFont="1" applyFill="1"/>
    <xf numFmtId="0" fontId="34" fillId="18" borderId="0" xfId="1" applyFont="1" applyFill="1"/>
    <xf numFmtId="0" fontId="34" fillId="0" borderId="14" xfId="1" applyFont="1" applyBorder="1"/>
    <xf numFmtId="3" fontId="34" fillId="0" borderId="14" xfId="1" applyNumberFormat="1" applyFont="1" applyBorder="1"/>
    <xf numFmtId="3" fontId="3" fillId="0" borderId="14" xfId="1" applyNumberFormat="1" applyBorder="1"/>
    <xf numFmtId="1" fontId="11" fillId="6" borderId="0" xfId="8" applyNumberFormat="1" applyFill="1"/>
    <xf numFmtId="0" fontId="20" fillId="0" borderId="0" xfId="1" applyFont="1"/>
    <xf numFmtId="0" fontId="7" fillId="13" borderId="15" xfId="1" applyFont="1" applyFill="1" applyBorder="1"/>
    <xf numFmtId="0" fontId="7" fillId="13" borderId="15" xfId="1" applyFont="1" applyFill="1" applyBorder="1" applyAlignment="1">
      <alignment horizontal="center"/>
    </xf>
    <xf numFmtId="1" fontId="7" fillId="16" borderId="14" xfId="1" applyNumberFormat="1" applyFont="1" applyFill="1" applyBorder="1" applyAlignment="1">
      <alignment horizontal="center"/>
    </xf>
    <xf numFmtId="3" fontId="7" fillId="16" borderId="14" xfId="1" applyNumberFormat="1" applyFont="1" applyFill="1" applyBorder="1" applyAlignment="1">
      <alignment horizontal="center"/>
    </xf>
    <xf numFmtId="0" fontId="7" fillId="13" borderId="14" xfId="1" applyFont="1" applyFill="1" applyBorder="1" applyAlignment="1">
      <alignment horizontal="center"/>
    </xf>
    <xf numFmtId="0" fontId="7" fillId="13" borderId="1" xfId="1" applyFont="1" applyFill="1" applyBorder="1"/>
    <xf numFmtId="0" fontId="7" fillId="13" borderId="1" xfId="1" applyFont="1" applyFill="1" applyBorder="1" applyAlignment="1">
      <alignment horizontal="center"/>
    </xf>
    <xf numFmtId="166" fontId="38" fillId="16" borderId="0" xfId="1" applyNumberFormat="1" applyFont="1" applyFill="1" applyAlignment="1">
      <alignment horizontal="center"/>
    </xf>
    <xf numFmtId="1" fontId="38" fillId="16" borderId="0" xfId="1" applyNumberFormat="1" applyFont="1" applyFill="1" applyAlignment="1">
      <alignment horizontal="center"/>
    </xf>
    <xf numFmtId="0" fontId="3" fillId="0" borderId="0" xfId="1" applyAlignment="1">
      <alignment horizontal="right"/>
    </xf>
    <xf numFmtId="0" fontId="24" fillId="0" borderId="0" xfId="22"/>
    <xf numFmtId="0" fontId="8" fillId="0" borderId="0" xfId="21" applyFont="1"/>
    <xf numFmtId="166" fontId="7" fillId="16" borderId="14" xfId="1" applyNumberFormat="1" applyFont="1" applyFill="1" applyBorder="1" applyAlignment="1">
      <alignment horizontal="center"/>
    </xf>
    <xf numFmtId="0" fontId="38" fillId="0" borderId="0" xfId="1" applyFont="1"/>
    <xf numFmtId="0" fontId="39" fillId="0" borderId="0" xfId="1" applyFont="1"/>
    <xf numFmtId="0" fontId="34" fillId="0" borderId="0" xfId="1" applyFont="1"/>
    <xf numFmtId="49" fontId="7" fillId="0" borderId="0" xfId="1" applyNumberFormat="1" applyFont="1"/>
    <xf numFmtId="166" fontId="38" fillId="16" borderId="14" xfId="1" applyNumberFormat="1" applyFont="1" applyFill="1" applyBorder="1" applyAlignment="1">
      <alignment horizontal="center"/>
    </xf>
    <xf numFmtId="166" fontId="7" fillId="0" borderId="0" xfId="1" applyNumberFormat="1" applyFont="1" applyAlignment="1">
      <alignment horizontal="center"/>
    </xf>
    <xf numFmtId="0" fontId="8" fillId="0" borderId="0" xfId="15" applyFont="1"/>
    <xf numFmtId="1" fontId="24" fillId="0" borderId="0" xfId="22" applyNumberFormat="1"/>
    <xf numFmtId="3" fontId="7" fillId="16" borderId="0" xfId="1" applyNumberFormat="1" applyFont="1" applyFill="1"/>
    <xf numFmtId="1" fontId="7" fillId="0" borderId="0" xfId="1" applyNumberFormat="1" applyFont="1"/>
    <xf numFmtId="0" fontId="25" fillId="16" borderId="0" xfId="1" applyFont="1" applyFill="1"/>
    <xf numFmtId="165" fontId="7" fillId="0" borderId="0" xfId="1" applyNumberFormat="1" applyFont="1"/>
    <xf numFmtId="3" fontId="25" fillId="16" borderId="0" xfId="1" applyNumberFormat="1" applyFont="1" applyFill="1"/>
    <xf numFmtId="0" fontId="7" fillId="0" borderId="0" xfId="1" applyFont="1" applyAlignment="1">
      <alignment horizontal="right"/>
    </xf>
    <xf numFmtId="0" fontId="40" fillId="0" borderId="0" xfId="10" applyFont="1"/>
    <xf numFmtId="0" fontId="20" fillId="0" borderId="0" xfId="10" applyFont="1" applyAlignment="1">
      <alignment horizontal="center"/>
    </xf>
    <xf numFmtId="0" fontId="8" fillId="19" borderId="2" xfId="10" applyFont="1" applyFill="1" applyBorder="1"/>
    <xf numFmtId="0" fontId="3" fillId="16" borderId="0" xfId="10" applyFill="1"/>
    <xf numFmtId="166" fontId="3" fillId="16" borderId="0" xfId="10" applyNumberFormat="1" applyFill="1"/>
    <xf numFmtId="171" fontId="3" fillId="0" borderId="0" xfId="10" applyNumberFormat="1"/>
    <xf numFmtId="9" fontId="3" fillId="0" borderId="0" xfId="10" applyNumberFormat="1"/>
    <xf numFmtId="0" fontId="8" fillId="19" borderId="0" xfId="10" applyFont="1" applyFill="1"/>
    <xf numFmtId="1" fontId="3" fillId="0" borderId="0" xfId="10" applyNumberFormat="1"/>
    <xf numFmtId="165" fontId="3" fillId="0" borderId="0" xfId="10" applyNumberFormat="1"/>
    <xf numFmtId="172" fontId="3" fillId="16" borderId="0" xfId="10" applyNumberFormat="1" applyFill="1"/>
    <xf numFmtId="173" fontId="3" fillId="16" borderId="0" xfId="10" applyNumberFormat="1" applyFill="1"/>
    <xf numFmtId="0" fontId="41" fillId="16" borderId="0" xfId="0" applyFont="1" applyFill="1"/>
    <xf numFmtId="0" fontId="41" fillId="16" borderId="0" xfId="0" applyFont="1" applyFill="1" applyAlignment="1">
      <alignment horizontal="center"/>
    </xf>
    <xf numFmtId="0" fontId="41" fillId="16" borderId="0" xfId="10" applyFont="1" applyFill="1"/>
    <xf numFmtId="1" fontId="41" fillId="16" borderId="0" xfId="10" applyNumberFormat="1" applyFont="1" applyFill="1" applyAlignment="1">
      <alignment horizontal="center"/>
    </xf>
    <xf numFmtId="0" fontId="0" fillId="16" borderId="0" xfId="0" applyFill="1"/>
    <xf numFmtId="0" fontId="41" fillId="16" borderId="0" xfId="0" applyFont="1" applyFill="1" applyAlignment="1"/>
    <xf numFmtId="0" fontId="41" fillId="16" borderId="0" xfId="10" applyFont="1" applyFill="1" applyAlignment="1"/>
    <xf numFmtId="0" fontId="15" fillId="12" borderId="11" xfId="6" applyFont="1" applyFill="1" applyBorder="1" applyAlignment="1">
      <alignment horizontal="center" wrapText="1"/>
    </xf>
    <xf numFmtId="0" fontId="15" fillId="12" borderId="10" xfId="6" applyFont="1" applyFill="1" applyBorder="1" applyAlignment="1">
      <alignment horizontal="center" wrapText="1"/>
    </xf>
    <xf numFmtId="0" fontId="15" fillId="12" borderId="11" xfId="6" applyFont="1" applyFill="1" applyBorder="1" applyAlignment="1">
      <alignment horizontal="center"/>
    </xf>
    <xf numFmtId="0" fontId="15" fillId="12" borderId="10" xfId="6" applyFont="1" applyFill="1" applyBorder="1" applyAlignment="1">
      <alignment horizontal="center"/>
    </xf>
    <xf numFmtId="0" fontId="25" fillId="6" borderId="14" xfId="10" applyFont="1" applyFill="1" applyBorder="1" applyAlignment="1">
      <alignment horizontal="center"/>
    </xf>
    <xf numFmtId="170" fontId="7" fillId="16" borderId="0" xfId="1" applyNumberFormat="1" applyFont="1" applyFill="1" applyAlignment="1">
      <alignment horizontal="left"/>
    </xf>
    <xf numFmtId="0" fontId="3" fillId="0" borderId="0" xfId="1" applyAlignment="1">
      <alignment horizontal="left"/>
    </xf>
  </cellXfs>
  <cellStyles count="23">
    <cellStyle name="Accent5 2" xfId="6" xr:uid="{00000000-0005-0000-0000-000000000000}"/>
    <cellStyle name="Comma 2" xfId="3" xr:uid="{00000000-0005-0000-0000-000001000000}"/>
    <cellStyle name="Neutral 2" xfId="4" xr:uid="{00000000-0005-0000-0000-000002000000}"/>
    <cellStyle name="Normal" xfId="0" builtinId="0"/>
    <cellStyle name="Normal 11 2 2" xfId="17" xr:uid="{00000000-0005-0000-0000-000004000000}"/>
    <cellStyle name="Normal 11 2 3" xfId="7" xr:uid="{00000000-0005-0000-0000-000005000000}"/>
    <cellStyle name="Normal 2" xfId="1" xr:uid="{00000000-0005-0000-0000-000006000000}"/>
    <cellStyle name="Normal 2 10" xfId="18" xr:uid="{00000000-0005-0000-0000-000007000000}"/>
    <cellStyle name="Normal 23" xfId="5" xr:uid="{00000000-0005-0000-0000-000008000000}"/>
    <cellStyle name="Normal 3" xfId="11" xr:uid="{00000000-0005-0000-0000-000009000000}"/>
    <cellStyle name="Normal 3 13" xfId="10" xr:uid="{00000000-0005-0000-0000-00000A000000}"/>
    <cellStyle name="Normal_AREFOR" xfId="21" xr:uid="{00000000-0005-0000-0000-00000B000000}"/>
    <cellStyle name="Normal_CDR" xfId="9" xr:uid="{00000000-0005-0000-0000-00000C000000}"/>
    <cellStyle name="Normal_EnWe" xfId="19" xr:uid="{00000000-0005-0000-0000-00000D000000}"/>
    <cellStyle name="Normal_EWPOTS-WORK" xfId="20" xr:uid="{00000000-0005-0000-0000-00000E000000}"/>
    <cellStyle name="Normal_FOREST" xfId="22" xr:uid="{00000000-0005-0000-0000-00000F000000}"/>
    <cellStyle name="Normal_Harvest_Ref_country_res" xfId="15" xr:uid="{00000000-0005-0000-0000-000010000000}"/>
    <cellStyle name="Normal_LOOK" xfId="14" xr:uid="{00000000-0005-0000-0000-000011000000}"/>
    <cellStyle name="Normal_PyCCs" xfId="13" xr:uid="{00000000-0005-0000-0000-000012000000}"/>
    <cellStyle name="Normal_PyCCs_1" xfId="16" xr:uid="{00000000-0005-0000-0000-000013000000}"/>
    <cellStyle name="Normal_PyCCs_2" xfId="12" xr:uid="{00000000-0005-0000-0000-000014000000}"/>
    <cellStyle name="Normal_STORE" xfId="8" xr:uid="{00000000-0005-0000-0000-000016000000}"/>
    <cellStyle name="Normale_Scen_UC_IND-StrucConst" xfId="2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planned</a:t>
            </a:r>
            <a:r>
              <a:rPr lang="en-US" baseline="0"/>
              <a:t> CO2 storage in EU until 2033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CO2Storage!$C$105:$C$130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CO2Storage!$D$105:$D$130</c:f>
              <c:numCache>
                <c:formatCode>#,##0</c:formatCode>
                <c:ptCount val="26"/>
                <c:pt idx="0">
                  <c:v>2200</c:v>
                </c:pt>
                <c:pt idx="1">
                  <c:v>11300</c:v>
                </c:pt>
                <c:pt idx="2">
                  <c:v>49800</c:v>
                </c:pt>
                <c:pt idx="3">
                  <c:v>87400</c:v>
                </c:pt>
                <c:pt idx="4">
                  <c:v>102580</c:v>
                </c:pt>
                <c:pt idx="5">
                  <c:v>161180</c:v>
                </c:pt>
                <c:pt idx="6">
                  <c:v>170680</c:v>
                </c:pt>
                <c:pt idx="7">
                  <c:v>170680</c:v>
                </c:pt>
                <c:pt idx="8">
                  <c:v>170680</c:v>
                </c:pt>
                <c:pt idx="9">
                  <c:v>179180</c:v>
                </c:pt>
                <c:pt idx="10">
                  <c:v>191180</c:v>
                </c:pt>
                <c:pt idx="11">
                  <c:v>191180</c:v>
                </c:pt>
                <c:pt idx="12">
                  <c:v>191180</c:v>
                </c:pt>
                <c:pt idx="13">
                  <c:v>191180</c:v>
                </c:pt>
                <c:pt idx="14">
                  <c:v>191180</c:v>
                </c:pt>
                <c:pt idx="15">
                  <c:v>191180</c:v>
                </c:pt>
                <c:pt idx="16">
                  <c:v>195180</c:v>
                </c:pt>
                <c:pt idx="17">
                  <c:v>195180</c:v>
                </c:pt>
                <c:pt idx="18">
                  <c:v>195180</c:v>
                </c:pt>
                <c:pt idx="19">
                  <c:v>195180</c:v>
                </c:pt>
                <c:pt idx="20">
                  <c:v>195180</c:v>
                </c:pt>
                <c:pt idx="21">
                  <c:v>200180</c:v>
                </c:pt>
                <c:pt idx="22">
                  <c:v>200180</c:v>
                </c:pt>
                <c:pt idx="23">
                  <c:v>200180</c:v>
                </c:pt>
                <c:pt idx="24">
                  <c:v>200180</c:v>
                </c:pt>
                <c:pt idx="25">
                  <c:v>200180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D9-4B97-83D8-C7651BE37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01368"/>
        <c:axId val="79000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CO2Storage!$C$105:$C$130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CO2Storage!$C$105:$C$130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2025</c:v>
                      </c:pt>
                      <c:pt idx="1">
                        <c:v>2026</c:v>
                      </c:pt>
                      <c:pt idx="2">
                        <c:v>2027</c:v>
                      </c:pt>
                      <c:pt idx="3">
                        <c:v>2028</c:v>
                      </c:pt>
                      <c:pt idx="4">
                        <c:v>2029</c:v>
                      </c:pt>
                      <c:pt idx="5">
                        <c:v>2030</c:v>
                      </c:pt>
                      <c:pt idx="6">
                        <c:v>2031</c:v>
                      </c:pt>
                      <c:pt idx="7">
                        <c:v>2032</c:v>
                      </c:pt>
                      <c:pt idx="8">
                        <c:v>2033</c:v>
                      </c:pt>
                      <c:pt idx="9">
                        <c:v>2034</c:v>
                      </c:pt>
                      <c:pt idx="10">
                        <c:v>2035</c:v>
                      </c:pt>
                      <c:pt idx="11">
                        <c:v>2036</c:v>
                      </c:pt>
                      <c:pt idx="12">
                        <c:v>2037</c:v>
                      </c:pt>
                      <c:pt idx="13">
                        <c:v>2038</c:v>
                      </c:pt>
                      <c:pt idx="14">
                        <c:v>2039</c:v>
                      </c:pt>
                      <c:pt idx="15">
                        <c:v>2040</c:v>
                      </c:pt>
                      <c:pt idx="16">
                        <c:v>2041</c:v>
                      </c:pt>
                      <c:pt idx="17">
                        <c:v>2042</c:v>
                      </c:pt>
                      <c:pt idx="18">
                        <c:v>2043</c:v>
                      </c:pt>
                      <c:pt idx="19">
                        <c:v>2044</c:v>
                      </c:pt>
                      <c:pt idx="20">
                        <c:v>2045</c:v>
                      </c:pt>
                      <c:pt idx="21">
                        <c:v>2046</c:v>
                      </c:pt>
                      <c:pt idx="22">
                        <c:v>2047</c:v>
                      </c:pt>
                      <c:pt idx="23">
                        <c:v>2048</c:v>
                      </c:pt>
                      <c:pt idx="24">
                        <c:v>2049</c:v>
                      </c:pt>
                      <c:pt idx="25">
                        <c:v>2050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9D9-4B97-83D8-C7651BE3776C}"/>
                  </c:ext>
                </c:extLst>
              </c15:ser>
            </c15:filteredLineSeries>
          </c:ext>
        </c:extLst>
      </c:lineChart>
      <c:catAx>
        <c:axId val="790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9000712"/>
        <c:crosses val="autoZero"/>
        <c:auto val="1"/>
        <c:lblAlgn val="ctr"/>
        <c:lblOffset val="100"/>
        <c:noMultiLvlLbl val="0"/>
      </c:catAx>
      <c:valAx>
        <c:axId val="7900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7900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251460</xdr:colOff>
      <xdr:row>103</xdr:row>
      <xdr:rowOff>26670</xdr:rowOff>
    </xdr:from>
    <xdr:to>
      <xdr:col>26</xdr:col>
      <xdr:colOff>502920</xdr:colOff>
      <xdr:row>124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A2011-4FA6-489D-808B-4F5EC9E5E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422910</xdr:colOff>
      <xdr:row>2</xdr:row>
      <xdr:rowOff>5715</xdr:rowOff>
    </xdr:from>
    <xdr:to>
      <xdr:col>24</xdr:col>
      <xdr:colOff>60960</xdr:colOff>
      <xdr:row>30</xdr:row>
      <xdr:rowOff>51435</xdr:rowOff>
    </xdr:to>
    <xdr:pic>
      <xdr:nvPicPr>
        <xdr:cNvPr id="2" name="Picture 1" descr="D:\Projects\Neopoles\Negem\WP8\MicrosoftTeams-image.png">
          <a:extLst>
            <a:ext uri="{FF2B5EF4-FFF2-40B4-BE49-F238E27FC236}">
              <a16:creationId xmlns:a16="http://schemas.microsoft.com/office/drawing/2014/main" id="{9D953C4A-92F2-4BF4-B6DE-5672B1BFA04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8135" y="339090"/>
          <a:ext cx="9086850" cy="4341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504825</xdr:colOff>
      <xdr:row>31</xdr:row>
      <xdr:rowOff>57150</xdr:rowOff>
    </xdr:from>
    <xdr:to>
      <xdr:col>24</xdr:col>
      <xdr:colOff>322656</xdr:colOff>
      <xdr:row>101</xdr:row>
      <xdr:rowOff>73079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E3710-1F1F-441E-A3B3-FA5DCF1CD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4838700"/>
          <a:ext cx="9266631" cy="103886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541020</xdr:colOff>
      <xdr:row>43</xdr:row>
      <xdr:rowOff>114300</xdr:rowOff>
    </xdr:from>
    <xdr:to>
      <xdr:col>13</xdr:col>
      <xdr:colOff>251460</xdr:colOff>
      <xdr:row>78</xdr:row>
      <xdr:rowOff>52544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337AE-6A18-427E-A0DE-CD0BF0ACC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6461760"/>
          <a:ext cx="7307580" cy="46931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43</xdr:row>
      <xdr:rowOff>15240</xdr:rowOff>
    </xdr:from>
    <xdr:to>
      <xdr:col>13</xdr:col>
      <xdr:colOff>182880</xdr:colOff>
      <xdr:row>77</xdr:row>
      <xdr:rowOff>83024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8E9B1-D16A-4AF1-8103-F03399EB0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" y="6362700"/>
          <a:ext cx="7307580" cy="4693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30481</xdr:colOff>
      <xdr:row>27</xdr:row>
      <xdr:rowOff>22860</xdr:rowOff>
    </xdr:from>
    <xdr:to>
      <xdr:col>22</xdr:col>
      <xdr:colOff>22861</xdr:colOff>
      <xdr:row>57</xdr:row>
      <xdr:rowOff>121124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8BF99-D2AE-4897-A530-D7F4DD0D9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1" y="4008120"/>
          <a:ext cx="7307580" cy="46931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88</xdr:row>
      <xdr:rowOff>15240</xdr:rowOff>
    </xdr:from>
    <xdr:to>
      <xdr:col>14</xdr:col>
      <xdr:colOff>52326</xdr:colOff>
      <xdr:row>147</xdr:row>
      <xdr:rowOff>63696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5A6BC-D94C-4416-BA5B-CD58962F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12885420"/>
          <a:ext cx="8114286" cy="85904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eda\Veda_models\JRCEU\SuppXLS\Scen_ZN_Scen1Tec.xlsx" TargetMode="External"/><Relationship Id="rId1" Type="http://schemas.openxmlformats.org/officeDocument/2006/relationships/externalLinkPath" Target="/Veda/Veda_models/JRCEU/SuppXLS/Scen_ZN_Scen1Te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_models/JRCEU/SuppXLS/Scen_ZN_Scen1Te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oCrops"/>
      <sheetName val="BioCropsFI"/>
      <sheetName val="PyCCs"/>
      <sheetName val="SoCS"/>
      <sheetName val="EnWe"/>
      <sheetName val="AREFOR"/>
      <sheetName val="STORE"/>
      <sheetName val="POLICY"/>
      <sheetName val="TECH"/>
      <sheetName val="DACCS"/>
    </sheetNames>
    <sheetDataSet>
      <sheetData sheetId="0">
        <row r="1">
          <cell r="G1" t="str">
            <v>Tec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Crops"/>
      <sheetName val="PyCCs"/>
      <sheetName val="DACCS"/>
      <sheetName val="SoCS"/>
      <sheetName val="EnWe"/>
      <sheetName val="AREFOR"/>
      <sheetName val="STORE"/>
      <sheetName val="POLICY"/>
      <sheetName val="TECH"/>
    </sheetNames>
    <sheetDataSet>
      <sheetData sheetId="0">
        <row r="1">
          <cell r="G1" t="str">
            <v>ec1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79"/>
  <sheetViews>
    <sheetView zoomScale="80" zoomScaleNormal="80" workbookViewId="0">
      <selection activeCell="N28" sqref="N28:V28"/>
    </sheetView>
  </sheetViews>
  <sheetFormatPr defaultColWidth="8.85546875" defaultRowHeight="11.25" x14ac:dyDescent="0.2"/>
  <cols>
    <col min="1" max="1" width="8.85546875" style="1"/>
    <col min="2" max="2" width="11.42578125" style="1" customWidth="1"/>
    <col min="3" max="6" width="8.85546875" style="1"/>
    <col min="7" max="7" width="16.42578125" style="1" customWidth="1"/>
    <col min="8" max="8" width="9.7109375" style="1" customWidth="1"/>
    <col min="9" max="13" width="8.85546875" style="1"/>
    <col min="14" max="14" width="22.140625" style="1" customWidth="1"/>
    <col min="15" max="16384" width="8.85546875" style="1"/>
  </cols>
  <sheetData>
    <row r="1" spans="2:35" ht="24.75" x14ac:dyDescent="0.25">
      <c r="N1" s="69" t="s">
        <v>106</v>
      </c>
      <c r="O1" s="243" t="s">
        <v>105</v>
      </c>
      <c r="P1" s="244"/>
      <c r="Q1" s="244"/>
      <c r="R1" s="244"/>
      <c r="S1" s="244" t="s">
        <v>104</v>
      </c>
      <c r="T1" s="244"/>
      <c r="U1" s="244"/>
      <c r="V1" s="244"/>
      <c r="W1" s="244" t="s">
        <v>103</v>
      </c>
      <c r="X1" s="244"/>
      <c r="Y1" s="244"/>
      <c r="Z1" s="244"/>
      <c r="AA1" s="244" t="s">
        <v>102</v>
      </c>
      <c r="AB1" s="244"/>
      <c r="AC1" s="244"/>
      <c r="AD1" s="244"/>
      <c r="AE1" s="244" t="s">
        <v>101</v>
      </c>
      <c r="AF1" s="244"/>
      <c r="AG1" s="244"/>
      <c r="AH1" s="244"/>
      <c r="AI1" s="67" t="s">
        <v>100</v>
      </c>
    </row>
    <row r="2" spans="2:35" ht="15" x14ac:dyDescent="0.25">
      <c r="B2" s="35" t="s">
        <v>99</v>
      </c>
      <c r="N2" s="68"/>
      <c r="O2" s="245" t="s">
        <v>98</v>
      </c>
      <c r="P2" s="246"/>
      <c r="Q2" s="246"/>
      <c r="R2" s="246"/>
      <c r="S2" s="246" t="s">
        <v>98</v>
      </c>
      <c r="T2" s="246"/>
      <c r="U2" s="246"/>
      <c r="V2" s="246"/>
      <c r="W2" s="246" t="s">
        <v>97</v>
      </c>
      <c r="X2" s="246"/>
      <c r="Y2" s="246"/>
      <c r="Z2" s="246"/>
      <c r="AA2" s="246" t="s">
        <v>96</v>
      </c>
      <c r="AB2" s="246"/>
      <c r="AC2" s="246"/>
      <c r="AD2" s="246"/>
      <c r="AE2" s="246" t="s">
        <v>95</v>
      </c>
      <c r="AF2" s="246"/>
      <c r="AG2" s="246"/>
      <c r="AH2" s="246"/>
      <c r="AI2" s="67" t="s">
        <v>94</v>
      </c>
    </row>
    <row r="3" spans="2:35" ht="13.5" thickBot="1" x14ac:dyDescent="0.25">
      <c r="B3" s="33" t="s">
        <v>64</v>
      </c>
      <c r="C3" s="33" t="s">
        <v>67</v>
      </c>
      <c r="D3" s="34" t="s">
        <v>4</v>
      </c>
      <c r="E3" s="34" t="s">
        <v>93</v>
      </c>
      <c r="F3" s="32" t="s">
        <v>65</v>
      </c>
      <c r="G3" s="31" t="s">
        <v>5</v>
      </c>
      <c r="H3" s="31" t="s">
        <v>20</v>
      </c>
      <c r="I3" s="31" t="s">
        <v>92</v>
      </c>
      <c r="J3" s="31" t="s">
        <v>63</v>
      </c>
      <c r="N3" s="66" t="s">
        <v>91</v>
      </c>
      <c r="O3" s="64">
        <v>2020</v>
      </c>
      <c r="P3" s="64">
        <v>2030</v>
      </c>
      <c r="Q3" s="64">
        <v>2040</v>
      </c>
      <c r="R3" s="63">
        <v>2050</v>
      </c>
      <c r="S3" s="65">
        <v>2020</v>
      </c>
      <c r="T3" s="64">
        <v>2030</v>
      </c>
      <c r="U3" s="64">
        <v>2040</v>
      </c>
      <c r="V3" s="63">
        <v>2050</v>
      </c>
      <c r="W3" s="65">
        <v>2020</v>
      </c>
      <c r="X3" s="64">
        <v>2030</v>
      </c>
      <c r="Y3" s="64">
        <v>2040</v>
      </c>
      <c r="Z3" s="63">
        <v>2050</v>
      </c>
      <c r="AA3" s="65">
        <v>2020</v>
      </c>
      <c r="AB3" s="64">
        <v>2030</v>
      </c>
      <c r="AC3" s="64">
        <v>2040</v>
      </c>
      <c r="AD3" s="63">
        <v>2050</v>
      </c>
      <c r="AE3" s="65">
        <v>2020</v>
      </c>
      <c r="AF3" s="64">
        <v>2030</v>
      </c>
      <c r="AG3" s="64">
        <v>2040</v>
      </c>
      <c r="AH3" s="63">
        <v>2050</v>
      </c>
      <c r="AI3" s="62"/>
    </row>
    <row r="4" spans="2:35" ht="12" x14ac:dyDescent="0.2">
      <c r="B4" s="17" t="s">
        <v>51</v>
      </c>
      <c r="C4" s="17"/>
      <c r="D4" s="17"/>
      <c r="E4" s="17"/>
      <c r="F4" s="37" t="s">
        <v>80</v>
      </c>
      <c r="G4" s="17" t="s">
        <v>90</v>
      </c>
      <c r="H4" s="17" t="s">
        <v>83</v>
      </c>
      <c r="I4" s="38" t="s">
        <v>77</v>
      </c>
      <c r="J4" s="16"/>
      <c r="N4" s="61" t="s">
        <v>89</v>
      </c>
      <c r="O4" s="60">
        <v>2000</v>
      </c>
      <c r="P4" s="59">
        <v>1800</v>
      </c>
      <c r="Q4" s="59">
        <v>1700</v>
      </c>
      <c r="R4" s="58">
        <v>1700</v>
      </c>
      <c r="S4" s="57">
        <v>47.467289769376798</v>
      </c>
      <c r="T4" s="56">
        <v>40.075034999999993</v>
      </c>
      <c r="U4" s="56">
        <v>39.215746062912913</v>
      </c>
      <c r="V4" s="55">
        <v>38.374881999999999</v>
      </c>
      <c r="W4" s="54">
        <v>3.5615090425531912</v>
      </c>
      <c r="X4" s="53">
        <v>3.5615090425531912</v>
      </c>
      <c r="Y4" s="53">
        <v>3.5615090425531912</v>
      </c>
      <c r="Z4" s="52">
        <v>3.5615090425531912</v>
      </c>
      <c r="AA4" s="54">
        <v>0.34671060171919776</v>
      </c>
      <c r="AB4" s="53">
        <v>0.39</v>
      </c>
      <c r="AC4" s="53">
        <v>0.39500000000000002</v>
      </c>
      <c r="AD4" s="52">
        <v>0.4</v>
      </c>
      <c r="AE4" s="54">
        <v>9.5000000000000001E-2</v>
      </c>
      <c r="AF4" s="53">
        <v>9.5000000000000001E-2</v>
      </c>
      <c r="AG4" s="53">
        <v>9.5000000000000001E-2</v>
      </c>
      <c r="AH4" s="52">
        <v>9.5000000000000001E-2</v>
      </c>
      <c r="AI4" s="51">
        <v>40</v>
      </c>
    </row>
    <row r="5" spans="2:35" ht="12" x14ac:dyDescent="0.2">
      <c r="B5" s="17" t="s">
        <v>51</v>
      </c>
      <c r="C5" s="17"/>
      <c r="D5" s="17"/>
      <c r="E5" s="17"/>
      <c r="F5" s="37" t="s">
        <v>80</v>
      </c>
      <c r="G5" s="17" t="s">
        <v>56</v>
      </c>
      <c r="H5" s="17" t="s">
        <v>83</v>
      </c>
      <c r="I5" s="38" t="s">
        <v>77</v>
      </c>
      <c r="J5" s="16"/>
      <c r="N5" s="50" t="s">
        <v>88</v>
      </c>
      <c r="O5" s="49">
        <v>4050</v>
      </c>
      <c r="P5" s="48">
        <v>3675</v>
      </c>
      <c r="Q5" s="48">
        <v>3305</v>
      </c>
      <c r="R5" s="47">
        <v>3205</v>
      </c>
      <c r="S5" s="46">
        <v>81.467289769376791</v>
      </c>
      <c r="T5" s="45">
        <v>69.075035</v>
      </c>
      <c r="U5" s="45">
        <v>63.015746062912918</v>
      </c>
      <c r="V5" s="44">
        <v>61.374881999999999</v>
      </c>
      <c r="W5" s="43">
        <v>5.994709958134008</v>
      </c>
      <c r="X5" s="42">
        <v>5.9143070122577619</v>
      </c>
      <c r="Y5" s="42">
        <v>5.8228055664870872</v>
      </c>
      <c r="Z5" s="41">
        <v>5.8032854653174173</v>
      </c>
      <c r="AA5" s="43">
        <v>0.2667106017191978</v>
      </c>
      <c r="AB5" s="42">
        <v>0.30499999999999999</v>
      </c>
      <c r="AC5" s="42">
        <v>0.32</v>
      </c>
      <c r="AD5" s="41">
        <v>0.32500000000000001</v>
      </c>
      <c r="AE5" s="43">
        <v>0.34255569615192494</v>
      </c>
      <c r="AF5" s="42">
        <v>0.29064132005425891</v>
      </c>
      <c r="AG5" s="42">
        <v>0.26583778480759596</v>
      </c>
      <c r="AH5" s="41">
        <v>0.26179999999999992</v>
      </c>
      <c r="AI5" s="40">
        <v>40</v>
      </c>
    </row>
    <row r="6" spans="2:35" ht="12" x14ac:dyDescent="0.2">
      <c r="B6" s="17" t="s">
        <v>51</v>
      </c>
      <c r="C6" s="17"/>
      <c r="D6" s="17"/>
      <c r="E6" s="17"/>
      <c r="F6" s="37" t="s">
        <v>80</v>
      </c>
      <c r="G6" s="17" t="s">
        <v>87</v>
      </c>
      <c r="H6" s="17" t="s">
        <v>85</v>
      </c>
      <c r="I6" s="38" t="s">
        <v>77</v>
      </c>
      <c r="J6" s="16"/>
    </row>
    <row r="7" spans="2:35" ht="12" x14ac:dyDescent="0.2">
      <c r="B7" s="17" t="s">
        <v>51</v>
      </c>
      <c r="C7" s="17"/>
      <c r="D7" s="17"/>
      <c r="E7" s="17"/>
      <c r="F7" s="37" t="s">
        <v>80</v>
      </c>
      <c r="G7" s="17" t="s">
        <v>86</v>
      </c>
      <c r="H7" s="17" t="s">
        <v>85</v>
      </c>
      <c r="I7" s="38" t="s">
        <v>77</v>
      </c>
      <c r="J7" s="16"/>
    </row>
    <row r="8" spans="2:35" ht="12" x14ac:dyDescent="0.2">
      <c r="B8" s="17" t="s">
        <v>51</v>
      </c>
      <c r="C8" s="17"/>
      <c r="D8" s="17"/>
      <c r="E8" s="17"/>
      <c r="F8" s="37" t="s">
        <v>80</v>
      </c>
      <c r="G8" s="17" t="s">
        <v>75</v>
      </c>
      <c r="H8" s="17" t="s">
        <v>85</v>
      </c>
      <c r="I8" s="38" t="s">
        <v>77</v>
      </c>
      <c r="J8" s="16"/>
    </row>
    <row r="9" spans="2:35" ht="12" x14ac:dyDescent="0.2">
      <c r="B9" s="17" t="s">
        <v>51</v>
      </c>
      <c r="C9" s="17"/>
      <c r="D9" s="17"/>
      <c r="E9" s="17"/>
      <c r="F9" s="37" t="s">
        <v>80</v>
      </c>
      <c r="G9" s="17" t="s">
        <v>84</v>
      </c>
      <c r="H9" s="17" t="s">
        <v>83</v>
      </c>
      <c r="I9" s="38" t="s">
        <v>77</v>
      </c>
      <c r="J9" s="16"/>
      <c r="AA9" s="39" t="s">
        <v>82</v>
      </c>
      <c r="AB9" s="39" t="s">
        <v>81</v>
      </c>
      <c r="AC9" s="39">
        <v>2010</v>
      </c>
      <c r="AD9" s="39">
        <v>2013</v>
      </c>
      <c r="AE9" s="39">
        <v>2015</v>
      </c>
      <c r="AF9" s="39">
        <v>2020</v>
      </c>
      <c r="AG9" s="39">
        <v>2030</v>
      </c>
      <c r="AH9" s="39">
        <v>2040</v>
      </c>
      <c r="AI9" s="39">
        <v>2050</v>
      </c>
    </row>
    <row r="10" spans="2:35" ht="12" x14ac:dyDescent="0.2">
      <c r="B10" s="17" t="s">
        <v>51</v>
      </c>
      <c r="C10" s="17"/>
      <c r="D10" s="17"/>
      <c r="E10" s="17"/>
      <c r="F10" s="37" t="s">
        <v>80</v>
      </c>
      <c r="G10" s="17" t="s">
        <v>25</v>
      </c>
      <c r="H10" s="17" t="s">
        <v>79</v>
      </c>
      <c r="I10" s="38" t="s">
        <v>77</v>
      </c>
      <c r="J10" s="16"/>
      <c r="AA10" s="36" t="s">
        <v>60</v>
      </c>
      <c r="AB10" s="36" t="s">
        <v>70</v>
      </c>
      <c r="AC10" s="36"/>
      <c r="AD10" s="36">
        <v>2.1666666666666701</v>
      </c>
      <c r="AE10" s="36"/>
      <c r="AF10" s="36">
        <v>2.1666666666666701</v>
      </c>
      <c r="AG10" s="36">
        <v>2.1666666666666701</v>
      </c>
      <c r="AH10" s="36">
        <v>2.1666666666666701</v>
      </c>
      <c r="AI10" s="36">
        <v>2.1666666666666701</v>
      </c>
    </row>
    <row r="11" spans="2:35" ht="12" x14ac:dyDescent="0.2">
      <c r="B11" s="17" t="s">
        <v>51</v>
      </c>
      <c r="C11" s="17"/>
      <c r="D11" s="17"/>
      <c r="E11" s="17"/>
      <c r="F11" s="37" t="s">
        <v>78</v>
      </c>
      <c r="G11" s="17" t="s">
        <v>24</v>
      </c>
      <c r="H11" s="17" t="s">
        <v>50</v>
      </c>
      <c r="I11" s="38" t="s">
        <v>77</v>
      </c>
      <c r="J11" s="16"/>
      <c r="AA11" s="36" t="s">
        <v>61</v>
      </c>
      <c r="AB11" s="36" t="s">
        <v>70</v>
      </c>
      <c r="AC11" s="36"/>
      <c r="AD11" s="36">
        <v>0.24</v>
      </c>
      <c r="AE11" s="36"/>
      <c r="AF11" s="36">
        <v>0.25</v>
      </c>
      <c r="AG11" s="36">
        <v>0.26</v>
      </c>
      <c r="AH11" s="36">
        <v>0.27</v>
      </c>
      <c r="AI11" s="36">
        <v>0.28000000000000003</v>
      </c>
    </row>
    <row r="12" spans="2:35" ht="12" x14ac:dyDescent="0.2">
      <c r="B12" s="17" t="s">
        <v>51</v>
      </c>
      <c r="C12" s="17"/>
      <c r="D12" s="17"/>
      <c r="E12" s="17"/>
      <c r="F12" s="37" t="s">
        <v>78</v>
      </c>
      <c r="G12" s="17" t="s">
        <v>22</v>
      </c>
      <c r="H12" s="17" t="s">
        <v>50</v>
      </c>
      <c r="I12" s="38" t="s">
        <v>77</v>
      </c>
      <c r="J12" s="16"/>
      <c r="AA12" s="36" t="s">
        <v>76</v>
      </c>
      <c r="AB12" s="36" t="s">
        <v>70</v>
      </c>
      <c r="AC12" s="36">
        <v>0.9</v>
      </c>
      <c r="AD12" s="36"/>
      <c r="AE12" s="36"/>
      <c r="AF12" s="36"/>
      <c r="AG12" s="36"/>
      <c r="AH12" s="36"/>
      <c r="AI12" s="36"/>
    </row>
    <row r="13" spans="2:35" ht="12" x14ac:dyDescent="0.2">
      <c r="B13" s="18" t="s">
        <v>40</v>
      </c>
      <c r="C13" s="22" t="s">
        <v>28</v>
      </c>
      <c r="D13" s="22">
        <v>2010</v>
      </c>
      <c r="E13" s="22">
        <v>2040</v>
      </c>
      <c r="F13" s="22">
        <v>12</v>
      </c>
      <c r="G13" s="17" t="s">
        <v>75</v>
      </c>
      <c r="H13" s="16"/>
      <c r="I13" s="16"/>
      <c r="J13" s="16"/>
      <c r="AA13" s="36" t="s">
        <v>47</v>
      </c>
      <c r="AB13" s="36" t="s">
        <v>70</v>
      </c>
      <c r="AC13" s="36"/>
      <c r="AD13" s="36">
        <v>4560</v>
      </c>
      <c r="AE13" s="36"/>
      <c r="AF13" s="36">
        <v>4220</v>
      </c>
      <c r="AG13" s="36">
        <v>3930</v>
      </c>
      <c r="AH13" s="36">
        <v>3660</v>
      </c>
      <c r="AI13" s="36">
        <v>3430</v>
      </c>
    </row>
    <row r="14" spans="2:35" ht="12" x14ac:dyDescent="0.2">
      <c r="B14" s="18" t="s">
        <v>47</v>
      </c>
      <c r="C14" s="16"/>
      <c r="D14" s="22">
        <v>2014</v>
      </c>
      <c r="E14" s="22">
        <v>2040</v>
      </c>
      <c r="F14" s="37" t="s">
        <v>74</v>
      </c>
      <c r="G14" s="16" t="s">
        <v>45</v>
      </c>
      <c r="H14" s="16"/>
      <c r="I14" s="16"/>
      <c r="J14" s="16" t="s">
        <v>55</v>
      </c>
      <c r="AA14" s="36" t="s">
        <v>73</v>
      </c>
      <c r="AB14" s="36" t="s">
        <v>72</v>
      </c>
      <c r="AC14" s="36">
        <v>0.1</v>
      </c>
      <c r="AD14" s="36"/>
      <c r="AE14" s="36"/>
      <c r="AF14" s="36"/>
      <c r="AG14" s="36"/>
      <c r="AH14" s="36"/>
      <c r="AI14" s="36"/>
    </row>
    <row r="15" spans="2:35" ht="12" x14ac:dyDescent="0.2">
      <c r="B15" s="18" t="s">
        <v>59</v>
      </c>
      <c r="C15" s="16"/>
      <c r="D15" s="22">
        <v>2010</v>
      </c>
      <c r="E15" s="22">
        <v>2040</v>
      </c>
      <c r="F15" s="37" t="s">
        <v>71</v>
      </c>
      <c r="G15" s="16" t="s">
        <v>45</v>
      </c>
      <c r="H15" s="16"/>
      <c r="I15" s="16"/>
      <c r="J15" s="16" t="s">
        <v>46</v>
      </c>
      <c r="AA15" s="36" t="s">
        <v>59</v>
      </c>
      <c r="AB15" s="36" t="s">
        <v>70</v>
      </c>
      <c r="AC15" s="36"/>
      <c r="AD15" s="36">
        <v>102.78</v>
      </c>
      <c r="AE15" s="36"/>
      <c r="AF15" s="36">
        <v>96.66</v>
      </c>
      <c r="AG15" s="36">
        <v>91.44</v>
      </c>
      <c r="AH15" s="36">
        <v>86.58</v>
      </c>
      <c r="AI15" s="36">
        <v>82.44</v>
      </c>
    </row>
    <row r="16" spans="2:35" x14ac:dyDescent="0.2">
      <c r="AA16" s="36" t="s">
        <v>57</v>
      </c>
      <c r="AB16" s="36" t="s">
        <v>70</v>
      </c>
      <c r="AC16" s="36">
        <v>25</v>
      </c>
      <c r="AD16" s="36"/>
      <c r="AE16" s="36"/>
      <c r="AF16" s="36"/>
      <c r="AG16" s="36"/>
      <c r="AH16" s="36"/>
      <c r="AI16" s="36"/>
    </row>
    <row r="18" spans="2:22" ht="15" x14ac:dyDescent="0.25">
      <c r="B18" s="35" t="s">
        <v>69</v>
      </c>
      <c r="N18" s="35" t="s">
        <v>68</v>
      </c>
    </row>
    <row r="19" spans="2:22" ht="13.5" thickBot="1" x14ac:dyDescent="0.25">
      <c r="B19" s="33" t="s">
        <v>64</v>
      </c>
      <c r="C19" s="33" t="s">
        <v>67</v>
      </c>
      <c r="D19" s="34" t="s">
        <v>4</v>
      </c>
      <c r="E19" s="33" t="s">
        <v>66</v>
      </c>
      <c r="F19" s="32" t="s">
        <v>65</v>
      </c>
      <c r="G19" s="31" t="s">
        <v>5</v>
      </c>
      <c r="H19" s="31" t="s">
        <v>20</v>
      </c>
      <c r="I19" s="31" t="s">
        <v>6</v>
      </c>
      <c r="J19" s="31" t="s">
        <v>62</v>
      </c>
      <c r="N19" s="33" t="s">
        <v>64</v>
      </c>
      <c r="O19" s="33" t="s">
        <v>63</v>
      </c>
      <c r="P19" s="32">
        <v>2025</v>
      </c>
      <c r="Q19" s="32">
        <v>2030</v>
      </c>
      <c r="R19" s="32">
        <v>2040</v>
      </c>
      <c r="S19" s="32">
        <v>2050</v>
      </c>
      <c r="T19" s="31" t="s">
        <v>5</v>
      </c>
      <c r="U19" s="31" t="s">
        <v>20</v>
      </c>
      <c r="V19" s="31" t="s">
        <v>62</v>
      </c>
    </row>
    <row r="20" spans="2:22" x14ac:dyDescent="0.2">
      <c r="B20" s="16" t="s">
        <v>48</v>
      </c>
      <c r="C20" s="16"/>
      <c r="D20" s="22">
        <v>1</v>
      </c>
      <c r="E20" s="16"/>
      <c r="F20" s="22">
        <v>0.75</v>
      </c>
      <c r="G20" s="16"/>
      <c r="H20" s="16"/>
      <c r="I20" s="16"/>
      <c r="J20" s="22">
        <v>71</v>
      </c>
      <c r="N20" s="16" t="s">
        <v>61</v>
      </c>
      <c r="O20" s="16"/>
      <c r="P20" s="30">
        <f>AA5</f>
        <v>0.2667106017191978</v>
      </c>
      <c r="Q20" s="30">
        <f>AB5</f>
        <v>0.30499999999999999</v>
      </c>
      <c r="R20" s="30">
        <f>AC5</f>
        <v>0.32</v>
      </c>
      <c r="S20" s="30">
        <f>AD5</f>
        <v>0.32500000000000001</v>
      </c>
      <c r="T20" s="16" t="s">
        <v>56</v>
      </c>
      <c r="U20" s="16"/>
      <c r="V20" s="16" t="s">
        <v>49</v>
      </c>
    </row>
    <row r="21" spans="2:22" x14ac:dyDescent="0.2">
      <c r="B21" s="16" t="s">
        <v>48</v>
      </c>
      <c r="C21" s="16"/>
      <c r="D21" s="22">
        <v>5</v>
      </c>
      <c r="E21" s="16"/>
      <c r="F21" s="22">
        <v>0.96</v>
      </c>
      <c r="G21" s="16"/>
      <c r="H21" s="16"/>
      <c r="I21" s="16"/>
      <c r="J21" s="22">
        <v>71</v>
      </c>
      <c r="N21" s="16" t="s">
        <v>60</v>
      </c>
      <c r="O21" s="16" t="s">
        <v>58</v>
      </c>
      <c r="P21" s="29">
        <f>W5/3.6</f>
        <v>1.6651972105927799</v>
      </c>
      <c r="Q21" s="29">
        <f>X5/3.6</f>
        <v>1.6428630589604893</v>
      </c>
      <c r="R21" s="29">
        <f>Y5/3.6</f>
        <v>1.6174459906908576</v>
      </c>
      <c r="S21" s="29">
        <f>Z5/3.6</f>
        <v>1.6120237403659492</v>
      </c>
      <c r="T21" s="16" t="s">
        <v>56</v>
      </c>
      <c r="U21" s="16"/>
      <c r="V21" s="16"/>
    </row>
    <row r="22" spans="2:22" x14ac:dyDescent="0.2">
      <c r="B22" s="16" t="s">
        <v>48</v>
      </c>
      <c r="C22" s="16"/>
      <c r="D22" s="22">
        <v>10</v>
      </c>
      <c r="E22" s="16"/>
      <c r="F22" s="22">
        <v>0.96</v>
      </c>
      <c r="G22" s="16"/>
      <c r="H22" s="16"/>
      <c r="I22" s="16"/>
      <c r="J22" s="22">
        <v>71</v>
      </c>
      <c r="N22" s="16" t="s">
        <v>47</v>
      </c>
      <c r="O22" s="16" t="s">
        <v>58</v>
      </c>
      <c r="P22" s="28">
        <f>O5*SQRT(1.05*1.03^2)/1.018^2</f>
        <v>4124.6902629100996</v>
      </c>
      <c r="Q22" s="28">
        <f>P5*SQRT(1.05*1.03^2)/1.018^2</f>
        <v>3742.7744978258311</v>
      </c>
      <c r="R22" s="28">
        <f>Q5*SQRT(1.05*1.03^2)/1.018^2</f>
        <v>3365.9509429426867</v>
      </c>
      <c r="S22" s="28">
        <f>R5*SQRT(1.05*1.03^2)/1.018^2</f>
        <v>3264.1067389202149</v>
      </c>
      <c r="T22" s="16" t="s">
        <v>56</v>
      </c>
      <c r="U22" s="16"/>
      <c r="V22" s="16"/>
    </row>
    <row r="23" spans="2:22" x14ac:dyDescent="0.2">
      <c r="B23" s="16" t="s">
        <v>48</v>
      </c>
      <c r="C23" s="16"/>
      <c r="D23" s="22">
        <v>15</v>
      </c>
      <c r="E23" s="16"/>
      <c r="F23" s="26">
        <v>0.85</v>
      </c>
      <c r="G23" s="16"/>
      <c r="H23" s="16"/>
      <c r="I23" s="16"/>
      <c r="J23" s="22">
        <v>71</v>
      </c>
      <c r="N23" s="16" t="s">
        <v>59</v>
      </c>
      <c r="O23" s="16" t="s">
        <v>58</v>
      </c>
      <c r="P23" s="27">
        <f>S5</f>
        <v>81.467289769376791</v>
      </c>
      <c r="Q23" s="27">
        <f>T5</f>
        <v>69.075035</v>
      </c>
      <c r="R23" s="27">
        <f>U5</f>
        <v>63.015746062912918</v>
      </c>
      <c r="S23" s="27">
        <f>V5</f>
        <v>61.374881999999999</v>
      </c>
      <c r="T23" s="16" t="s">
        <v>56</v>
      </c>
      <c r="U23" s="16"/>
      <c r="V23" s="16"/>
    </row>
    <row r="24" spans="2:22" x14ac:dyDescent="0.2">
      <c r="B24" s="16" t="s">
        <v>48</v>
      </c>
      <c r="C24" s="16"/>
      <c r="D24" s="22">
        <v>20</v>
      </c>
      <c r="E24" s="16"/>
      <c r="F24" s="26">
        <v>0.75</v>
      </c>
      <c r="G24" s="16"/>
      <c r="H24" s="16"/>
      <c r="I24" s="16"/>
      <c r="J24" s="22">
        <v>71</v>
      </c>
      <c r="N24" s="16" t="s">
        <v>57</v>
      </c>
      <c r="O24" s="16"/>
      <c r="P24" s="16">
        <v>25</v>
      </c>
      <c r="Q24" s="16">
        <v>30</v>
      </c>
      <c r="R24" s="16">
        <v>35</v>
      </c>
      <c r="S24" s="16">
        <v>35</v>
      </c>
      <c r="T24" s="16" t="s">
        <v>56</v>
      </c>
      <c r="U24" s="16"/>
      <c r="V24" s="16"/>
    </row>
    <row r="25" spans="2:22" x14ac:dyDescent="0.2">
      <c r="B25" s="16" t="s">
        <v>48</v>
      </c>
      <c r="C25" s="16"/>
      <c r="D25" s="22">
        <v>30</v>
      </c>
      <c r="E25" s="16"/>
      <c r="F25" s="26">
        <v>0.65</v>
      </c>
      <c r="G25" s="16"/>
      <c r="H25" s="16"/>
      <c r="I25" s="16"/>
      <c r="J25" s="22">
        <v>71</v>
      </c>
      <c r="N25" s="16" t="s">
        <v>47</v>
      </c>
      <c r="O25" s="16" t="s">
        <v>55</v>
      </c>
      <c r="P25" s="16"/>
      <c r="Q25" s="16">
        <v>1500</v>
      </c>
      <c r="R25" s="16">
        <v>1450</v>
      </c>
      <c r="S25" s="16">
        <v>1400</v>
      </c>
      <c r="T25" s="16" t="s">
        <v>53</v>
      </c>
      <c r="U25" s="16"/>
      <c r="V25" s="16"/>
    </row>
    <row r="26" spans="2:22" x14ac:dyDescent="0.2">
      <c r="B26" s="16" t="s">
        <v>48</v>
      </c>
      <c r="C26" s="16"/>
      <c r="D26" s="22">
        <v>40</v>
      </c>
      <c r="E26" s="16"/>
      <c r="F26" s="26">
        <v>0.5</v>
      </c>
      <c r="G26" s="16"/>
      <c r="H26" s="16"/>
      <c r="I26" s="16"/>
      <c r="J26" s="22">
        <v>71</v>
      </c>
      <c r="N26" s="16" t="s">
        <v>54</v>
      </c>
      <c r="O26" s="16"/>
      <c r="P26" s="16">
        <v>1.7</v>
      </c>
      <c r="Q26" s="16">
        <v>1.6</v>
      </c>
      <c r="R26" s="16">
        <v>1.5</v>
      </c>
      <c r="S26" s="16">
        <v>1.4</v>
      </c>
      <c r="T26" s="16" t="s">
        <v>53</v>
      </c>
      <c r="U26" s="16" t="s">
        <v>52</v>
      </c>
      <c r="V26" s="16"/>
    </row>
    <row r="27" spans="2:22" x14ac:dyDescent="0.2">
      <c r="B27" s="16" t="s">
        <v>48</v>
      </c>
      <c r="C27" s="16"/>
      <c r="D27" s="22">
        <v>50</v>
      </c>
      <c r="E27" s="16"/>
      <c r="F27" s="26">
        <v>0.35</v>
      </c>
      <c r="G27" s="16"/>
      <c r="H27" s="16"/>
      <c r="I27" s="16"/>
      <c r="J27" s="22">
        <v>71</v>
      </c>
      <c r="N27" s="16" t="s">
        <v>47</v>
      </c>
      <c r="O27" s="16" t="s">
        <v>46</v>
      </c>
      <c r="P27" s="16">
        <v>0</v>
      </c>
      <c r="Q27" s="16">
        <v>0</v>
      </c>
      <c r="R27" s="16">
        <v>0</v>
      </c>
      <c r="S27" s="16">
        <v>0</v>
      </c>
      <c r="T27" s="16" t="s">
        <v>45</v>
      </c>
      <c r="U27" s="16"/>
      <c r="V27" s="16"/>
    </row>
    <row r="28" spans="2:22" x14ac:dyDescent="0.2">
      <c r="B28" s="16" t="s">
        <v>48</v>
      </c>
      <c r="C28" s="16"/>
      <c r="D28" s="22">
        <v>60</v>
      </c>
      <c r="E28" s="16"/>
      <c r="F28" s="26">
        <v>0.3</v>
      </c>
      <c r="G28" s="16"/>
      <c r="H28" s="16"/>
      <c r="I28" s="16"/>
      <c r="J28" s="22">
        <v>71</v>
      </c>
      <c r="N28" s="16" t="s">
        <v>51</v>
      </c>
      <c r="O28" s="16"/>
      <c r="P28" s="16">
        <v>10</v>
      </c>
      <c r="Q28" s="16"/>
      <c r="R28" s="16"/>
      <c r="S28" s="16"/>
      <c r="T28" s="16" t="s">
        <v>299</v>
      </c>
      <c r="U28" s="16" t="s">
        <v>50</v>
      </c>
      <c r="V28" s="16" t="s">
        <v>49</v>
      </c>
    </row>
    <row r="29" spans="2:22" x14ac:dyDescent="0.2">
      <c r="B29" s="19" t="s">
        <v>44</v>
      </c>
      <c r="C29" s="20" t="s">
        <v>42</v>
      </c>
      <c r="D29" s="20">
        <v>2030</v>
      </c>
      <c r="E29" s="19" t="s">
        <v>27</v>
      </c>
      <c r="F29" s="25">
        <v>0.98499999999999999</v>
      </c>
      <c r="G29" s="19" t="s">
        <v>39</v>
      </c>
      <c r="H29" s="19"/>
      <c r="I29" s="19"/>
      <c r="J29" s="19"/>
    </row>
    <row r="30" spans="2:22" x14ac:dyDescent="0.2">
      <c r="B30" s="19" t="s">
        <v>43</v>
      </c>
      <c r="C30" s="20" t="s">
        <v>42</v>
      </c>
      <c r="D30" s="20">
        <v>0</v>
      </c>
      <c r="E30" s="19"/>
      <c r="F30" s="24">
        <v>3</v>
      </c>
      <c r="G30" s="19" t="s">
        <v>39</v>
      </c>
      <c r="H30" s="19"/>
      <c r="I30" s="19"/>
      <c r="J30" s="19"/>
    </row>
    <row r="31" spans="2:22" x14ac:dyDescent="0.2">
      <c r="B31" s="19" t="s">
        <v>43</v>
      </c>
      <c r="C31" s="20" t="s">
        <v>42</v>
      </c>
      <c r="D31" s="20">
        <v>2030</v>
      </c>
      <c r="E31" s="19"/>
      <c r="F31" s="24">
        <v>71</v>
      </c>
      <c r="G31" s="19" t="s">
        <v>39</v>
      </c>
      <c r="H31" s="19"/>
      <c r="I31" s="19"/>
      <c r="J31" s="19"/>
    </row>
    <row r="32" spans="2:22" x14ac:dyDescent="0.2">
      <c r="B32" s="19" t="s">
        <v>41</v>
      </c>
      <c r="C32" s="20" t="s">
        <v>28</v>
      </c>
      <c r="D32" s="20"/>
      <c r="E32" s="19"/>
      <c r="F32" s="24">
        <v>1</v>
      </c>
      <c r="G32" s="19" t="s">
        <v>39</v>
      </c>
      <c r="H32" s="19"/>
      <c r="I32" s="19" t="s">
        <v>14</v>
      </c>
      <c r="J32" s="19"/>
    </row>
    <row r="33" spans="2:10" x14ac:dyDescent="0.2">
      <c r="B33" s="19" t="s">
        <v>40</v>
      </c>
      <c r="C33" s="20" t="s">
        <v>28</v>
      </c>
      <c r="D33" s="20">
        <v>0</v>
      </c>
      <c r="E33" s="19"/>
      <c r="F33" s="20">
        <v>5</v>
      </c>
      <c r="G33" s="19" t="s">
        <v>39</v>
      </c>
      <c r="H33" s="19"/>
      <c r="I33" s="19"/>
      <c r="J33" s="19"/>
    </row>
    <row r="34" spans="2:10" x14ac:dyDescent="0.2">
      <c r="B34" s="19" t="s">
        <v>40</v>
      </c>
      <c r="C34" s="20" t="s">
        <v>28</v>
      </c>
      <c r="D34" s="20">
        <v>2055</v>
      </c>
      <c r="E34" s="19"/>
      <c r="F34" s="20">
        <v>0</v>
      </c>
      <c r="G34" s="19" t="s">
        <v>39</v>
      </c>
      <c r="H34" s="19"/>
      <c r="I34" s="19"/>
      <c r="J34" s="19"/>
    </row>
    <row r="35" spans="2:10" x14ac:dyDescent="0.2">
      <c r="B35" s="16" t="s">
        <v>38</v>
      </c>
      <c r="C35" s="22" t="s">
        <v>28</v>
      </c>
      <c r="D35" s="22">
        <v>0</v>
      </c>
      <c r="E35" s="16" t="s">
        <v>27</v>
      </c>
      <c r="F35" s="23">
        <v>2</v>
      </c>
      <c r="G35" s="16"/>
      <c r="H35" s="16" t="s">
        <v>37</v>
      </c>
      <c r="I35" s="16"/>
      <c r="J35" s="22"/>
    </row>
    <row r="36" spans="2:10" x14ac:dyDescent="0.2">
      <c r="B36" s="19" t="s">
        <v>29</v>
      </c>
      <c r="C36" s="20" t="s">
        <v>28</v>
      </c>
      <c r="D36" s="20">
        <v>2015</v>
      </c>
      <c r="E36" s="21" t="s">
        <v>27</v>
      </c>
      <c r="F36" s="20">
        <v>0</v>
      </c>
      <c r="G36" s="19" t="s">
        <v>36</v>
      </c>
      <c r="H36" s="19"/>
      <c r="I36" s="19"/>
      <c r="J36" s="19"/>
    </row>
    <row r="37" spans="2:10" x14ac:dyDescent="0.2">
      <c r="B37" s="19" t="s">
        <v>29</v>
      </c>
      <c r="C37" s="20" t="s">
        <v>28</v>
      </c>
      <c r="D37" s="20">
        <v>2015</v>
      </c>
      <c r="E37" s="21" t="s">
        <v>27</v>
      </c>
      <c r="F37" s="20">
        <v>0</v>
      </c>
      <c r="G37" s="19" t="s">
        <v>35</v>
      </c>
      <c r="H37" s="19"/>
      <c r="I37" s="19"/>
      <c r="J37" s="19"/>
    </row>
    <row r="38" spans="2:10" x14ac:dyDescent="0.2">
      <c r="B38" s="19" t="s">
        <v>29</v>
      </c>
      <c r="C38" s="20" t="s">
        <v>28</v>
      </c>
      <c r="D38" s="20">
        <v>2015</v>
      </c>
      <c r="E38" s="21" t="s">
        <v>27</v>
      </c>
      <c r="F38" s="20">
        <v>0</v>
      </c>
      <c r="G38" s="19" t="s">
        <v>34</v>
      </c>
      <c r="H38" s="19"/>
      <c r="I38" s="19"/>
      <c r="J38" s="19"/>
    </row>
    <row r="39" spans="2:10" x14ac:dyDescent="0.2">
      <c r="B39" s="19" t="s">
        <v>29</v>
      </c>
      <c r="C39" s="20" t="s">
        <v>28</v>
      </c>
      <c r="D39" s="20">
        <v>2015</v>
      </c>
      <c r="E39" s="21" t="s">
        <v>27</v>
      </c>
      <c r="F39" s="20">
        <v>0</v>
      </c>
      <c r="G39" s="19" t="s">
        <v>33</v>
      </c>
      <c r="H39" s="19"/>
      <c r="I39" s="19"/>
      <c r="J39" s="19"/>
    </row>
    <row r="40" spans="2:10" x14ac:dyDescent="0.2">
      <c r="B40" s="19" t="s">
        <v>29</v>
      </c>
      <c r="C40" s="20" t="s">
        <v>28</v>
      </c>
      <c r="D40" s="20">
        <v>2015</v>
      </c>
      <c r="E40" s="21" t="s">
        <v>27</v>
      </c>
      <c r="F40" s="20">
        <v>0</v>
      </c>
      <c r="G40" s="19" t="s">
        <v>32</v>
      </c>
      <c r="H40" s="19"/>
      <c r="I40" s="19"/>
      <c r="J40" s="19"/>
    </row>
    <row r="41" spans="2:10" x14ac:dyDescent="0.2">
      <c r="B41" s="19" t="s">
        <v>29</v>
      </c>
      <c r="C41" s="20" t="s">
        <v>28</v>
      </c>
      <c r="D41" s="20">
        <v>2015</v>
      </c>
      <c r="E41" s="21" t="s">
        <v>27</v>
      </c>
      <c r="F41" s="20">
        <v>0</v>
      </c>
      <c r="G41" s="19" t="s">
        <v>31</v>
      </c>
      <c r="H41" s="19"/>
      <c r="I41" s="19"/>
      <c r="J41" s="19"/>
    </row>
    <row r="42" spans="2:10" x14ac:dyDescent="0.2">
      <c r="B42" s="19" t="s">
        <v>29</v>
      </c>
      <c r="C42" s="20" t="s">
        <v>28</v>
      </c>
      <c r="D42" s="20">
        <v>2015</v>
      </c>
      <c r="E42" s="21" t="s">
        <v>27</v>
      </c>
      <c r="F42" s="20">
        <v>0</v>
      </c>
      <c r="G42" s="19" t="s">
        <v>30</v>
      </c>
      <c r="H42" s="19"/>
      <c r="I42" s="19"/>
      <c r="J42" s="19"/>
    </row>
    <row r="43" spans="2:10" x14ac:dyDescent="0.2">
      <c r="B43" s="19" t="s">
        <v>29</v>
      </c>
      <c r="C43" s="20" t="s">
        <v>28</v>
      </c>
      <c r="D43" s="20">
        <v>2015</v>
      </c>
      <c r="E43" s="21" t="s">
        <v>27</v>
      </c>
      <c r="F43" s="20">
        <v>0</v>
      </c>
      <c r="G43" s="19" t="s">
        <v>26</v>
      </c>
      <c r="H43" s="19"/>
      <c r="I43" s="19"/>
      <c r="J43" s="19"/>
    </row>
    <row r="44" spans="2:10" ht="12" x14ac:dyDescent="0.2">
      <c r="B44" s="18" t="s">
        <v>23</v>
      </c>
      <c r="C44" s="18"/>
      <c r="D44" s="18"/>
      <c r="E44" s="18"/>
      <c r="F44" s="18">
        <v>2035</v>
      </c>
      <c r="G44" s="17" t="s">
        <v>25</v>
      </c>
      <c r="H44" s="16"/>
      <c r="I44" s="16"/>
      <c r="J44" s="16"/>
    </row>
    <row r="45" spans="2:10" ht="12" x14ac:dyDescent="0.2">
      <c r="B45" s="18" t="s">
        <v>23</v>
      </c>
      <c r="C45" s="18"/>
      <c r="D45" s="18"/>
      <c r="E45" s="18"/>
      <c r="F45" s="18">
        <v>2035</v>
      </c>
      <c r="G45" s="17" t="s">
        <v>24</v>
      </c>
      <c r="H45" s="16"/>
      <c r="I45" s="16"/>
      <c r="J45" s="16"/>
    </row>
    <row r="46" spans="2:10" ht="12" x14ac:dyDescent="0.2">
      <c r="B46" s="18" t="s">
        <v>23</v>
      </c>
      <c r="C46" s="18"/>
      <c r="D46" s="18"/>
      <c r="E46" s="18"/>
      <c r="F46" s="18">
        <v>2035</v>
      </c>
      <c r="G46" s="17" t="s">
        <v>22</v>
      </c>
      <c r="H46" s="16"/>
      <c r="I46" s="16"/>
      <c r="J46" s="16"/>
    </row>
    <row r="49" spans="2:7" ht="15" x14ac:dyDescent="0.25">
      <c r="B49" s="15" t="s">
        <v>21</v>
      </c>
    </row>
    <row r="50" spans="2:7" ht="15" x14ac:dyDescent="0.25">
      <c r="D50" s="14" t="s">
        <v>7</v>
      </c>
    </row>
    <row r="51" spans="2:7" ht="15" x14ac:dyDescent="0.25">
      <c r="B51" s="13" t="s">
        <v>6</v>
      </c>
      <c r="C51" s="13" t="s">
        <v>20</v>
      </c>
      <c r="D51" s="12" t="s">
        <v>4</v>
      </c>
      <c r="E51" s="11" t="s">
        <v>19</v>
      </c>
      <c r="F51" s="11" t="s">
        <v>18</v>
      </c>
      <c r="G51" s="10" t="s">
        <v>17</v>
      </c>
    </row>
    <row r="52" spans="2:7" ht="15" x14ac:dyDescent="0.25">
      <c r="B52" s="1" t="s">
        <v>14</v>
      </c>
      <c r="C52" s="7" t="s">
        <v>16</v>
      </c>
      <c r="D52" s="6">
        <v>2045</v>
      </c>
      <c r="E52" s="2"/>
      <c r="F52" s="9"/>
      <c r="G52" s="2">
        <v>1.123</v>
      </c>
    </row>
    <row r="53" spans="2:7" ht="12" x14ac:dyDescent="0.2">
      <c r="B53" s="1" t="s">
        <v>14</v>
      </c>
      <c r="C53" s="7" t="s">
        <v>16</v>
      </c>
      <c r="D53" s="6">
        <v>2050</v>
      </c>
      <c r="G53" s="2">
        <v>1.123</v>
      </c>
    </row>
    <row r="54" spans="2:7" ht="12" x14ac:dyDescent="0.2">
      <c r="B54" s="1" t="s">
        <v>14</v>
      </c>
      <c r="C54" s="7" t="s">
        <v>16</v>
      </c>
      <c r="D54" s="6">
        <v>0</v>
      </c>
      <c r="G54" s="2">
        <v>1</v>
      </c>
    </row>
    <row r="55" spans="2:7" ht="12" x14ac:dyDescent="0.2">
      <c r="B55" s="1" t="s">
        <v>14</v>
      </c>
      <c r="C55" s="7" t="s">
        <v>15</v>
      </c>
      <c r="D55" s="6">
        <v>2035</v>
      </c>
      <c r="G55" s="8">
        <v>1.066667</v>
      </c>
    </row>
    <row r="56" spans="2:7" ht="12" x14ac:dyDescent="0.2">
      <c r="B56" s="1" t="s">
        <v>14</v>
      </c>
      <c r="C56" s="7" t="s">
        <v>15</v>
      </c>
      <c r="D56" s="6">
        <v>2050</v>
      </c>
      <c r="G56" s="8">
        <v>1.066667</v>
      </c>
    </row>
    <row r="57" spans="2:7" ht="12" x14ac:dyDescent="0.2">
      <c r="B57" s="1" t="s">
        <v>14</v>
      </c>
      <c r="C57" s="7" t="s">
        <v>15</v>
      </c>
      <c r="D57" s="6">
        <v>0</v>
      </c>
      <c r="G57" s="2">
        <v>1</v>
      </c>
    </row>
    <row r="58" spans="2:7" ht="12" x14ac:dyDescent="0.2">
      <c r="B58" s="1" t="s">
        <v>14</v>
      </c>
      <c r="C58" s="7" t="s">
        <v>13</v>
      </c>
      <c r="D58" s="6">
        <v>2035</v>
      </c>
      <c r="G58" s="2">
        <v>1.1200000000000001</v>
      </c>
    </row>
    <row r="59" spans="2:7" ht="12" x14ac:dyDescent="0.2">
      <c r="B59" s="1" t="s">
        <v>14</v>
      </c>
      <c r="C59" s="7" t="s">
        <v>13</v>
      </c>
      <c r="D59" s="6">
        <v>2050</v>
      </c>
      <c r="G59" s="2">
        <v>1.1200000000000001</v>
      </c>
    </row>
    <row r="60" spans="2:7" ht="12" x14ac:dyDescent="0.2">
      <c r="B60" s="1" t="s">
        <v>14</v>
      </c>
      <c r="C60" s="7" t="s">
        <v>13</v>
      </c>
      <c r="D60" s="6">
        <v>0</v>
      </c>
      <c r="G60" s="2">
        <v>1</v>
      </c>
    </row>
    <row r="63" spans="2:7" x14ac:dyDescent="0.2">
      <c r="B63" s="5" t="s">
        <v>12</v>
      </c>
      <c r="E63" s="2"/>
      <c r="F63" s="2"/>
    </row>
    <row r="65" spans="2:6" ht="15" x14ac:dyDescent="0.25">
      <c r="D65" s="4" t="s">
        <v>7</v>
      </c>
    </row>
    <row r="66" spans="2:6" x14ac:dyDescent="0.2">
      <c r="B66" s="3" t="s">
        <v>6</v>
      </c>
      <c r="C66" s="3" t="s">
        <v>5</v>
      </c>
      <c r="D66" s="3" t="s">
        <v>4</v>
      </c>
      <c r="E66" s="3" t="s">
        <v>3</v>
      </c>
      <c r="F66" s="3" t="s">
        <v>11</v>
      </c>
    </row>
    <row r="67" spans="2:6" x14ac:dyDescent="0.2">
      <c r="B67" s="1" t="s">
        <v>10</v>
      </c>
      <c r="C67" s="1" t="s">
        <v>9</v>
      </c>
      <c r="D67" s="1">
        <v>2020</v>
      </c>
      <c r="E67" s="2">
        <v>1</v>
      </c>
      <c r="F67" s="1">
        <v>7500</v>
      </c>
    </row>
    <row r="68" spans="2:6" x14ac:dyDescent="0.2">
      <c r="C68" s="1" t="s">
        <v>0</v>
      </c>
      <c r="D68" s="1">
        <v>2020</v>
      </c>
      <c r="E68" s="2">
        <v>0</v>
      </c>
    </row>
    <row r="69" spans="2:6" x14ac:dyDescent="0.2">
      <c r="D69" s="1">
        <v>2035</v>
      </c>
      <c r="F69" s="1">
        <v>250000</v>
      </c>
    </row>
    <row r="73" spans="2:6" x14ac:dyDescent="0.2">
      <c r="B73" s="5" t="s">
        <v>8</v>
      </c>
    </row>
    <row r="75" spans="2:6" ht="15" x14ac:dyDescent="0.25">
      <c r="D75" s="4" t="s">
        <v>7</v>
      </c>
    </row>
    <row r="76" spans="2:6" x14ac:dyDescent="0.2">
      <c r="B76" s="3" t="s">
        <v>6</v>
      </c>
      <c r="C76" s="3" t="s">
        <v>5</v>
      </c>
      <c r="D76" s="3" t="s">
        <v>4</v>
      </c>
      <c r="E76" s="3" t="s">
        <v>3</v>
      </c>
      <c r="F76" s="3" t="s">
        <v>2</v>
      </c>
    </row>
    <row r="77" spans="2:6" x14ac:dyDescent="0.2">
      <c r="B77" s="1" t="s">
        <v>1</v>
      </c>
      <c r="C77" s="1" t="s">
        <v>0</v>
      </c>
      <c r="D77" s="1">
        <v>2020</v>
      </c>
      <c r="E77" s="2">
        <v>0</v>
      </c>
    </row>
    <row r="78" spans="2:6" x14ac:dyDescent="0.2">
      <c r="C78" s="1" t="s">
        <v>0</v>
      </c>
      <c r="D78" s="1">
        <v>2030</v>
      </c>
      <c r="E78" s="2">
        <v>0</v>
      </c>
    </row>
    <row r="79" spans="2:6" x14ac:dyDescent="0.2">
      <c r="D79" s="1">
        <v>2035</v>
      </c>
      <c r="F79" s="1">
        <v>50000</v>
      </c>
    </row>
  </sheetData>
  <mergeCells count="10">
    <mergeCell ref="O2:R2"/>
    <mergeCell ref="S2:V2"/>
    <mergeCell ref="W2:Z2"/>
    <mergeCell ref="AA2:AD2"/>
    <mergeCell ref="AE2:AH2"/>
    <mergeCell ref="O1:R1"/>
    <mergeCell ref="S1:V1"/>
    <mergeCell ref="W1:Z1"/>
    <mergeCell ref="AA1:AD1"/>
    <mergeCell ref="AE1:AH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C38A-C190-432E-AFB7-031AD7BFEAA6}">
  <dimension ref="A1:AU198"/>
  <sheetViews>
    <sheetView tabSelected="1" zoomScaleNormal="100" workbookViewId="0">
      <selection activeCell="AN37" sqref="AN37"/>
    </sheetView>
  </sheetViews>
  <sheetFormatPr defaultColWidth="8.85546875" defaultRowHeight="11.25" x14ac:dyDescent="0.2"/>
  <cols>
    <col min="1" max="1" width="29.28515625" style="1" customWidth="1"/>
    <col min="2" max="2" width="2.140625" style="1" customWidth="1"/>
    <col min="3" max="3" width="13.42578125" style="1" customWidth="1"/>
    <col min="4" max="4" width="9" style="1" customWidth="1"/>
    <col min="5" max="5" width="11" style="1" customWidth="1"/>
    <col min="6" max="6" width="13.140625" style="1" customWidth="1"/>
    <col min="7" max="7" width="10.140625" style="1" customWidth="1"/>
    <col min="8" max="8" width="13.85546875" style="1" customWidth="1"/>
    <col min="9" max="9" width="9.7109375" style="1" customWidth="1"/>
    <col min="10" max="40" width="9" style="1" customWidth="1"/>
    <col min="41" max="41" width="3.85546875" style="1" customWidth="1"/>
    <col min="42" max="42" width="9" style="1" customWidth="1"/>
    <col min="43" max="43" width="9" style="1" bestFit="1" customWidth="1"/>
    <col min="44" max="45" width="8.85546875" style="1"/>
    <col min="46" max="46" width="15" style="1" customWidth="1"/>
    <col min="47" max="16384" width="8.85546875" style="1"/>
  </cols>
  <sheetData>
    <row r="1" spans="1:46" s="83" customFormat="1" ht="15" x14ac:dyDescent="0.25">
      <c r="C1" s="83" t="s">
        <v>245</v>
      </c>
      <c r="E1" s="163">
        <v>45756</v>
      </c>
      <c r="F1" s="84"/>
      <c r="G1" s="83" t="s">
        <v>260</v>
      </c>
      <c r="I1" s="133"/>
      <c r="Q1" s="84"/>
    </row>
    <row r="3" spans="1:46" ht="12.75" x14ac:dyDescent="0.2">
      <c r="C3" s="85" t="s">
        <v>69</v>
      </c>
      <c r="D3" s="86"/>
      <c r="E3" s="87"/>
      <c r="F3" s="87"/>
      <c r="G3" s="87"/>
      <c r="H3" s="87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</row>
    <row r="4" spans="1:46" ht="12.75" thickBot="1" x14ac:dyDescent="0.25">
      <c r="A4" s="147" t="s">
        <v>246</v>
      </c>
      <c r="C4" s="88" t="s">
        <v>5</v>
      </c>
      <c r="D4" s="88" t="s">
        <v>67</v>
      </c>
      <c r="E4" s="88" t="s">
        <v>64</v>
      </c>
      <c r="F4" s="88" t="s">
        <v>4</v>
      </c>
      <c r="G4" s="164" t="s">
        <v>65</v>
      </c>
      <c r="H4" s="165" t="str">
        <f t="array" ref="H4:AO4">TRANSPOSE($C$164:$C$197)</f>
        <v>AT</v>
      </c>
      <c r="I4" s="165" t="str">
        <v>BE</v>
      </c>
      <c r="J4" s="165" t="str">
        <v>BG</v>
      </c>
      <c r="K4" s="165" t="str">
        <v>CY</v>
      </c>
      <c r="L4" s="165" t="str">
        <v>CZ</v>
      </c>
      <c r="M4" s="165" t="str">
        <v>DE</v>
      </c>
      <c r="N4" s="165" t="str">
        <v>DK</v>
      </c>
      <c r="O4" s="165" t="str">
        <v>EE</v>
      </c>
      <c r="P4" s="165" t="str">
        <v>ES</v>
      </c>
      <c r="Q4" s="165" t="str">
        <v>FI</v>
      </c>
      <c r="R4" s="165" t="str">
        <v>FR</v>
      </c>
      <c r="S4" s="165" t="str">
        <v>EL</v>
      </c>
      <c r="T4" s="165" t="str">
        <v>HU</v>
      </c>
      <c r="U4" s="165" t="str">
        <v>IE</v>
      </c>
      <c r="V4" s="165" t="str">
        <v>IT</v>
      </c>
      <c r="W4" s="165" t="str">
        <v>LT</v>
      </c>
      <c r="X4" s="165" t="str">
        <v>LU</v>
      </c>
      <c r="Y4" s="165" t="str">
        <v>LV</v>
      </c>
      <c r="Z4" s="165" t="str">
        <v>MT</v>
      </c>
      <c r="AA4" s="165" t="str">
        <v>NL</v>
      </c>
      <c r="AB4" s="165" t="str">
        <v>PL</v>
      </c>
      <c r="AC4" s="165" t="str">
        <v>PT</v>
      </c>
      <c r="AD4" s="165" t="str">
        <v>RO</v>
      </c>
      <c r="AE4" s="165" t="str">
        <v>SE</v>
      </c>
      <c r="AF4" s="165" t="str">
        <v>SI</v>
      </c>
      <c r="AG4" s="165" t="str">
        <v>SK</v>
      </c>
      <c r="AH4" s="165" t="str">
        <v>UK</v>
      </c>
      <c r="AI4" s="165" t="str">
        <v>IS</v>
      </c>
      <c r="AJ4" s="165" t="str">
        <v>CH</v>
      </c>
      <c r="AK4" s="165" t="str">
        <v>NO</v>
      </c>
      <c r="AL4" s="165" t="str">
        <v>HR</v>
      </c>
      <c r="AM4" s="165" t="str">
        <v>AL</v>
      </c>
      <c r="AN4" s="165" t="str">
        <v>BA</v>
      </c>
      <c r="AO4" s="165" t="str">
        <v>MK</v>
      </c>
      <c r="AP4" s="165" t="s">
        <v>252</v>
      </c>
      <c r="AQ4" s="165" t="s">
        <v>244</v>
      </c>
      <c r="AR4" s="165" t="s">
        <v>162</v>
      </c>
      <c r="AS4" s="165" t="s">
        <v>161</v>
      </c>
      <c r="AT4" s="165" t="s">
        <v>160</v>
      </c>
    </row>
    <row r="5" spans="1:46" ht="12" x14ac:dyDescent="0.2">
      <c r="A5" s="16" t="s">
        <v>247</v>
      </c>
      <c r="C5" s="90" t="s">
        <v>36</v>
      </c>
      <c r="D5" s="90"/>
      <c r="E5" s="90" t="s">
        <v>155</v>
      </c>
      <c r="F5" s="90"/>
      <c r="G5" s="166">
        <v>0</v>
      </c>
      <c r="H5" s="167">
        <v>0</v>
      </c>
      <c r="I5" s="167">
        <v>0</v>
      </c>
      <c r="J5" s="167">
        <v>0</v>
      </c>
      <c r="K5" s="167">
        <v>0</v>
      </c>
      <c r="L5" s="167">
        <v>0</v>
      </c>
      <c r="M5" s="167">
        <v>21597</v>
      </c>
      <c r="N5" s="167">
        <v>0</v>
      </c>
      <c r="O5" s="167">
        <v>0</v>
      </c>
      <c r="P5" s="167">
        <v>145000</v>
      </c>
      <c r="Q5" s="167">
        <v>0</v>
      </c>
      <c r="R5" s="167">
        <v>0</v>
      </c>
      <c r="S5" s="167">
        <v>0</v>
      </c>
      <c r="T5" s="167">
        <v>0</v>
      </c>
      <c r="U5" s="167">
        <v>0</v>
      </c>
      <c r="V5" s="167">
        <v>0</v>
      </c>
      <c r="W5" s="167">
        <v>0</v>
      </c>
      <c r="X5" s="167">
        <v>0</v>
      </c>
      <c r="Y5" s="167">
        <v>0</v>
      </c>
      <c r="Z5" s="167">
        <v>0</v>
      </c>
      <c r="AA5" s="167">
        <v>0</v>
      </c>
      <c r="AB5" s="167">
        <v>0</v>
      </c>
      <c r="AC5" s="167">
        <v>0</v>
      </c>
      <c r="AD5" s="167">
        <v>0</v>
      </c>
      <c r="AE5" s="167">
        <v>0</v>
      </c>
      <c r="AF5" s="167">
        <v>0</v>
      </c>
      <c r="AG5" s="167">
        <v>0</v>
      </c>
      <c r="AH5" s="167">
        <v>0</v>
      </c>
      <c r="AI5" s="167">
        <v>0</v>
      </c>
      <c r="AJ5" s="167">
        <v>0</v>
      </c>
      <c r="AK5" s="167">
        <v>0</v>
      </c>
      <c r="AL5" s="167">
        <v>0</v>
      </c>
      <c r="AM5" s="167">
        <v>0</v>
      </c>
      <c r="AN5" s="167">
        <v>0</v>
      </c>
      <c r="AO5" s="167">
        <v>0</v>
      </c>
      <c r="AP5" s="110">
        <f>SUM(H5:AK5,AL5)/1000</f>
        <v>166.59700000000001</v>
      </c>
      <c r="AQ5" s="110">
        <f>SUM(H5:AG5,AL5)/1000</f>
        <v>166.59700000000001</v>
      </c>
      <c r="AR5" s="132">
        <f>SUM(AH5:AK5,AM5:AO5)/1000</f>
        <v>0</v>
      </c>
      <c r="AS5" s="132"/>
      <c r="AT5" s="132"/>
    </row>
    <row r="6" spans="1:46" ht="12" x14ac:dyDescent="0.2">
      <c r="A6" s="16" t="s">
        <v>247</v>
      </c>
      <c r="C6" s="90" t="s">
        <v>35</v>
      </c>
      <c r="D6" s="90"/>
      <c r="E6" s="90" t="s">
        <v>155</v>
      </c>
      <c r="F6" s="90"/>
      <c r="G6" s="166">
        <v>0</v>
      </c>
      <c r="H6" s="168">
        <v>0</v>
      </c>
      <c r="I6" s="168">
        <v>0</v>
      </c>
      <c r="J6" s="168">
        <v>17000</v>
      </c>
      <c r="K6" s="168">
        <v>0</v>
      </c>
      <c r="L6" s="168">
        <v>110000</v>
      </c>
      <c r="M6" s="168">
        <v>0</v>
      </c>
      <c r="N6" s="168">
        <v>0</v>
      </c>
      <c r="O6" s="168">
        <v>0</v>
      </c>
      <c r="P6" s="168">
        <v>0</v>
      </c>
      <c r="Q6" s="168">
        <v>0</v>
      </c>
      <c r="R6" s="168">
        <v>0</v>
      </c>
      <c r="S6" s="168">
        <v>0</v>
      </c>
      <c r="T6" s="168">
        <v>87000</v>
      </c>
      <c r="U6" s="168">
        <v>0</v>
      </c>
      <c r="V6" s="168">
        <v>0</v>
      </c>
      <c r="W6" s="168">
        <v>0</v>
      </c>
      <c r="X6" s="168">
        <v>0</v>
      </c>
      <c r="Y6" s="168">
        <v>0</v>
      </c>
      <c r="Z6" s="168">
        <v>0</v>
      </c>
      <c r="AA6" s="168">
        <v>0</v>
      </c>
      <c r="AB6" s="168">
        <v>115000</v>
      </c>
      <c r="AC6" s="168">
        <v>0</v>
      </c>
      <c r="AD6" s="168">
        <v>0</v>
      </c>
      <c r="AE6" s="168">
        <v>0</v>
      </c>
      <c r="AF6" s="168">
        <v>0</v>
      </c>
      <c r="AG6" s="168">
        <v>0</v>
      </c>
      <c r="AH6" s="168">
        <v>0</v>
      </c>
      <c r="AI6" s="168">
        <v>0</v>
      </c>
      <c r="AJ6" s="168">
        <v>0</v>
      </c>
      <c r="AK6" s="168">
        <v>0</v>
      </c>
      <c r="AL6" s="168">
        <v>0</v>
      </c>
      <c r="AM6" s="168">
        <v>0</v>
      </c>
      <c r="AN6" s="168">
        <v>0</v>
      </c>
      <c r="AO6" s="168">
        <v>0</v>
      </c>
      <c r="AP6" s="110">
        <f t="shared" ref="AP6:AP16" si="0">SUM(H6:AK6,AL6)/1000</f>
        <v>329</v>
      </c>
      <c r="AQ6" s="110">
        <f t="shared" ref="AQ6:AQ16" si="1">SUM(H6:AG6,AL6)/1000</f>
        <v>329</v>
      </c>
      <c r="AR6" s="132">
        <f t="shared" ref="AR6:AR16" si="2">SUM(AH6:AK6,AM6:AO6)/1000</f>
        <v>0</v>
      </c>
      <c r="AS6" s="132"/>
      <c r="AT6" s="132"/>
    </row>
    <row r="7" spans="1:46" ht="12" x14ac:dyDescent="0.2">
      <c r="A7" s="16" t="s">
        <v>248</v>
      </c>
      <c r="C7" s="90" t="s">
        <v>159</v>
      </c>
      <c r="D7" s="90"/>
      <c r="E7" s="90" t="s">
        <v>155</v>
      </c>
      <c r="F7" s="90"/>
      <c r="G7" s="166">
        <v>0</v>
      </c>
      <c r="H7" s="110">
        <v>0</v>
      </c>
      <c r="I7" s="110">
        <v>0</v>
      </c>
      <c r="J7" s="110">
        <v>3000</v>
      </c>
      <c r="K7" s="110">
        <v>0</v>
      </c>
      <c r="L7" s="110">
        <v>0</v>
      </c>
      <c r="M7" s="110">
        <v>0</v>
      </c>
      <c r="N7" s="110">
        <v>100000</v>
      </c>
      <c r="O7" s="110">
        <v>0</v>
      </c>
      <c r="P7" s="110">
        <v>0</v>
      </c>
      <c r="Q7" s="110">
        <v>0</v>
      </c>
      <c r="R7" s="110">
        <v>0</v>
      </c>
      <c r="S7" s="110">
        <v>0</v>
      </c>
      <c r="T7" s="110">
        <v>0</v>
      </c>
      <c r="U7" s="110">
        <v>0</v>
      </c>
      <c r="V7" s="110">
        <v>60000</v>
      </c>
      <c r="W7" s="110">
        <v>0</v>
      </c>
      <c r="X7" s="110">
        <v>0</v>
      </c>
      <c r="Y7" s="110">
        <v>0</v>
      </c>
      <c r="Z7" s="110">
        <v>0</v>
      </c>
      <c r="AA7" s="110">
        <v>516200</v>
      </c>
      <c r="AB7" s="110">
        <v>0</v>
      </c>
      <c r="AC7" s="110">
        <v>0</v>
      </c>
      <c r="AD7" s="110">
        <v>0</v>
      </c>
      <c r="AE7" s="110">
        <v>0</v>
      </c>
      <c r="AF7" s="110">
        <v>0</v>
      </c>
      <c r="AG7" s="110">
        <v>0</v>
      </c>
      <c r="AH7" s="110">
        <v>1100000</v>
      </c>
      <c r="AI7" s="110">
        <v>0</v>
      </c>
      <c r="AJ7" s="110">
        <v>0</v>
      </c>
      <c r="AK7" s="110">
        <v>23100</v>
      </c>
      <c r="AL7" s="110">
        <v>0</v>
      </c>
      <c r="AM7" s="110">
        <v>0</v>
      </c>
      <c r="AN7" s="110">
        <v>0</v>
      </c>
      <c r="AO7" s="110">
        <v>0</v>
      </c>
      <c r="AP7" s="110">
        <f t="shared" si="0"/>
        <v>1802.3</v>
      </c>
      <c r="AQ7" s="110">
        <f t="shared" si="1"/>
        <v>679.2</v>
      </c>
      <c r="AR7" s="132">
        <f t="shared" si="2"/>
        <v>1123.0999999999999</v>
      </c>
      <c r="AS7" s="132"/>
      <c r="AT7" s="132"/>
    </row>
    <row r="8" spans="1:46" ht="12" x14ac:dyDescent="0.2">
      <c r="A8" s="16" t="s">
        <v>248</v>
      </c>
      <c r="C8" s="90" t="s">
        <v>34</v>
      </c>
      <c r="D8" s="90"/>
      <c r="E8" s="90" t="s">
        <v>155</v>
      </c>
      <c r="F8" s="90"/>
      <c r="G8" s="166">
        <v>0</v>
      </c>
      <c r="H8" s="110">
        <v>0</v>
      </c>
      <c r="I8" s="110">
        <v>151240</v>
      </c>
      <c r="J8" s="110">
        <v>0</v>
      </c>
      <c r="K8" s="110">
        <v>0</v>
      </c>
      <c r="L8" s="110">
        <v>33000</v>
      </c>
      <c r="M8" s="110">
        <v>2000000</v>
      </c>
      <c r="N8" s="110">
        <v>16500</v>
      </c>
      <c r="O8" s="110">
        <v>0</v>
      </c>
      <c r="P8" s="110">
        <v>0</v>
      </c>
      <c r="Q8" s="110">
        <v>0</v>
      </c>
      <c r="R8" s="110">
        <v>180000</v>
      </c>
      <c r="S8" s="110">
        <v>10000</v>
      </c>
      <c r="T8" s="110">
        <v>143000</v>
      </c>
      <c r="U8" s="110">
        <v>40000</v>
      </c>
      <c r="V8" s="110">
        <v>1600000</v>
      </c>
      <c r="W8" s="110">
        <v>0</v>
      </c>
      <c r="X8" s="110">
        <v>0</v>
      </c>
      <c r="Y8" s="110">
        <v>0</v>
      </c>
      <c r="Z8" s="110">
        <v>0</v>
      </c>
      <c r="AA8" s="110">
        <v>907230</v>
      </c>
      <c r="AB8" s="110">
        <v>35368</v>
      </c>
      <c r="AC8" s="110">
        <v>0</v>
      </c>
      <c r="AD8" s="110">
        <v>1420400</v>
      </c>
      <c r="AE8" s="110">
        <v>0</v>
      </c>
      <c r="AF8" s="168">
        <v>5000</v>
      </c>
      <c r="AG8" s="110">
        <v>0</v>
      </c>
      <c r="AH8" s="110">
        <v>0</v>
      </c>
      <c r="AI8" s="110">
        <v>0</v>
      </c>
      <c r="AJ8" s="110">
        <v>0</v>
      </c>
      <c r="AK8" s="110">
        <v>0</v>
      </c>
      <c r="AL8" s="110">
        <v>0</v>
      </c>
      <c r="AM8" s="110">
        <v>0</v>
      </c>
      <c r="AN8" s="110">
        <v>0</v>
      </c>
      <c r="AO8" s="110">
        <v>0</v>
      </c>
      <c r="AP8" s="110">
        <f t="shared" si="0"/>
        <v>6541.7380000000003</v>
      </c>
      <c r="AQ8" s="110">
        <f t="shared" si="1"/>
        <v>6541.7380000000003</v>
      </c>
      <c r="AR8" s="132">
        <f t="shared" si="2"/>
        <v>0</v>
      </c>
      <c r="AS8" s="132"/>
      <c r="AT8" s="132"/>
    </row>
    <row r="9" spans="1:46" ht="12" x14ac:dyDescent="0.2">
      <c r="A9" s="16" t="s">
        <v>248</v>
      </c>
      <c r="C9" s="90" t="s">
        <v>158</v>
      </c>
      <c r="D9" s="90"/>
      <c r="E9" s="90" t="s">
        <v>155</v>
      </c>
      <c r="F9" s="90"/>
      <c r="G9" s="166">
        <v>0</v>
      </c>
      <c r="H9" s="110">
        <v>0</v>
      </c>
      <c r="I9" s="110">
        <v>0</v>
      </c>
      <c r="J9" s="110">
        <v>0</v>
      </c>
      <c r="K9" s="110">
        <v>0</v>
      </c>
      <c r="L9" s="110">
        <v>0</v>
      </c>
      <c r="M9" s="110">
        <v>15220</v>
      </c>
      <c r="N9" s="110">
        <v>260000</v>
      </c>
      <c r="O9" s="110">
        <v>0</v>
      </c>
      <c r="P9" s="110">
        <v>34000</v>
      </c>
      <c r="Q9" s="110">
        <v>0</v>
      </c>
      <c r="R9" s="110">
        <v>0</v>
      </c>
      <c r="S9" s="110">
        <v>37500</v>
      </c>
      <c r="T9" s="110">
        <v>0</v>
      </c>
      <c r="U9" s="110">
        <v>0</v>
      </c>
      <c r="V9" s="110">
        <v>0</v>
      </c>
      <c r="W9" s="110">
        <v>0</v>
      </c>
      <c r="X9" s="110">
        <v>0</v>
      </c>
      <c r="Y9" s="110">
        <v>0</v>
      </c>
      <c r="Z9" s="110">
        <v>0</v>
      </c>
      <c r="AA9" s="110">
        <v>14660</v>
      </c>
      <c r="AB9" s="110">
        <v>0</v>
      </c>
      <c r="AC9" s="110">
        <v>0</v>
      </c>
      <c r="AD9" s="110">
        <v>0</v>
      </c>
      <c r="AE9" s="110">
        <v>0</v>
      </c>
      <c r="AF9" s="110">
        <v>0</v>
      </c>
      <c r="AG9" s="110">
        <v>0</v>
      </c>
      <c r="AH9" s="110">
        <v>700000</v>
      </c>
      <c r="AI9" s="110">
        <v>0</v>
      </c>
      <c r="AJ9" s="110">
        <v>0</v>
      </c>
      <c r="AK9" s="110">
        <v>0</v>
      </c>
      <c r="AL9" s="110">
        <v>0</v>
      </c>
      <c r="AM9" s="110">
        <v>0</v>
      </c>
      <c r="AN9" s="110">
        <v>0</v>
      </c>
      <c r="AO9" s="110">
        <v>0</v>
      </c>
      <c r="AP9" s="110">
        <f t="shared" si="0"/>
        <v>1061.3800000000001</v>
      </c>
      <c r="AQ9" s="110">
        <f t="shared" si="1"/>
        <v>361.38</v>
      </c>
      <c r="AR9" s="132">
        <f t="shared" si="2"/>
        <v>700</v>
      </c>
      <c r="AS9" s="132"/>
      <c r="AT9" s="132"/>
    </row>
    <row r="10" spans="1:46" ht="12" x14ac:dyDescent="0.2">
      <c r="A10" s="16" t="s">
        <v>248</v>
      </c>
      <c r="C10" s="90" t="s">
        <v>33</v>
      </c>
      <c r="D10" s="90"/>
      <c r="E10" s="90" t="s">
        <v>155</v>
      </c>
      <c r="F10" s="90"/>
      <c r="G10" s="166">
        <v>0</v>
      </c>
      <c r="H10" s="110">
        <v>0</v>
      </c>
      <c r="I10" s="110">
        <v>0</v>
      </c>
      <c r="J10" s="110">
        <v>0</v>
      </c>
      <c r="K10" s="110">
        <v>0</v>
      </c>
      <c r="L10" s="110">
        <v>0</v>
      </c>
      <c r="M10" s="110">
        <v>43500</v>
      </c>
      <c r="N10" s="110">
        <v>0</v>
      </c>
      <c r="O10" s="110">
        <v>0</v>
      </c>
      <c r="P10" s="110">
        <v>500</v>
      </c>
      <c r="Q10" s="110">
        <v>0</v>
      </c>
      <c r="R10" s="110">
        <v>11099</v>
      </c>
      <c r="S10" s="110">
        <v>0</v>
      </c>
      <c r="T10" s="110">
        <v>0</v>
      </c>
      <c r="U10" s="110">
        <v>0</v>
      </c>
      <c r="V10" s="110">
        <v>210000</v>
      </c>
      <c r="W10" s="110">
        <v>5700</v>
      </c>
      <c r="X10" s="110">
        <v>0</v>
      </c>
      <c r="Y10" s="110">
        <v>0</v>
      </c>
      <c r="Z10" s="110">
        <v>0</v>
      </c>
      <c r="AA10" s="110">
        <v>20340</v>
      </c>
      <c r="AB10" s="110">
        <v>294058</v>
      </c>
      <c r="AC10" s="110">
        <v>0</v>
      </c>
      <c r="AD10" s="110">
        <v>268000</v>
      </c>
      <c r="AE10" s="110">
        <v>0</v>
      </c>
      <c r="AF10" s="168">
        <v>500</v>
      </c>
      <c r="AG10" s="110">
        <v>0</v>
      </c>
      <c r="AH10" s="110">
        <v>0</v>
      </c>
      <c r="AI10" s="110">
        <v>0</v>
      </c>
      <c r="AJ10" s="110">
        <v>0</v>
      </c>
      <c r="AK10" s="110">
        <v>0</v>
      </c>
      <c r="AL10" s="110">
        <v>0</v>
      </c>
      <c r="AM10" s="110">
        <v>0</v>
      </c>
      <c r="AN10" s="110">
        <v>0</v>
      </c>
      <c r="AO10" s="110">
        <v>0</v>
      </c>
      <c r="AP10" s="110">
        <f t="shared" si="0"/>
        <v>853.697</v>
      </c>
      <c r="AQ10" s="110">
        <f t="shared" si="1"/>
        <v>853.697</v>
      </c>
      <c r="AR10" s="132">
        <f t="shared" si="2"/>
        <v>0</v>
      </c>
      <c r="AS10" s="132"/>
      <c r="AT10" s="132"/>
    </row>
    <row r="11" spans="1:46" ht="12" x14ac:dyDescent="0.2">
      <c r="A11" s="16" t="s">
        <v>249</v>
      </c>
      <c r="C11" s="90" t="s">
        <v>32</v>
      </c>
      <c r="D11" s="90"/>
      <c r="E11" s="90" t="s">
        <v>155</v>
      </c>
      <c r="F11" s="90"/>
      <c r="G11" s="166">
        <v>0</v>
      </c>
      <c r="H11" s="110">
        <v>0</v>
      </c>
      <c r="I11" s="110">
        <v>0</v>
      </c>
      <c r="J11" s="110">
        <v>0</v>
      </c>
      <c r="K11" s="110">
        <v>0</v>
      </c>
      <c r="L11" s="110">
        <v>0</v>
      </c>
      <c r="M11" s="110">
        <v>2500000</v>
      </c>
      <c r="N11" s="110">
        <v>1500000</v>
      </c>
      <c r="O11" s="110">
        <v>0</v>
      </c>
      <c r="P11" s="110">
        <v>2100000</v>
      </c>
      <c r="Q11" s="110">
        <v>0</v>
      </c>
      <c r="R11" s="110">
        <v>2100000</v>
      </c>
      <c r="S11" s="110">
        <v>485750</v>
      </c>
      <c r="T11" s="110">
        <v>0</v>
      </c>
      <c r="U11" s="110">
        <v>0</v>
      </c>
      <c r="V11" s="110">
        <v>2646000</v>
      </c>
      <c r="W11" s="110">
        <v>0</v>
      </c>
      <c r="X11" s="110">
        <v>0</v>
      </c>
      <c r="Y11" s="168">
        <v>117250</v>
      </c>
      <c r="Z11" s="110">
        <v>0</v>
      </c>
      <c r="AA11" s="110">
        <v>302600</v>
      </c>
      <c r="AB11" s="110">
        <v>705547</v>
      </c>
      <c r="AC11" s="110">
        <v>5390000</v>
      </c>
      <c r="AD11" s="110">
        <v>1139000</v>
      </c>
      <c r="AE11" s="110">
        <v>1300000</v>
      </c>
      <c r="AF11" s="110">
        <v>0</v>
      </c>
      <c r="AG11" s="110">
        <v>0</v>
      </c>
      <c r="AH11" s="110">
        <v>12600000</v>
      </c>
      <c r="AI11" s="110">
        <v>0</v>
      </c>
      <c r="AJ11" s="110">
        <v>0</v>
      </c>
      <c r="AK11" s="110">
        <v>29164900</v>
      </c>
      <c r="AL11" s="168">
        <v>0</v>
      </c>
      <c r="AM11" s="110">
        <v>0</v>
      </c>
      <c r="AN11" s="110">
        <v>0</v>
      </c>
      <c r="AO11" s="110">
        <v>0</v>
      </c>
      <c r="AP11" s="110">
        <f t="shared" si="0"/>
        <v>62051.046999999999</v>
      </c>
      <c r="AQ11" s="110">
        <f t="shared" si="1"/>
        <v>20286.147000000001</v>
      </c>
      <c r="AR11" s="132">
        <f t="shared" si="2"/>
        <v>41764.9</v>
      </c>
      <c r="AS11" s="132"/>
      <c r="AT11" s="132"/>
    </row>
    <row r="12" spans="1:46" ht="12" x14ac:dyDescent="0.2">
      <c r="A12" s="16" t="s">
        <v>249</v>
      </c>
      <c r="C12" s="90" t="s">
        <v>31</v>
      </c>
      <c r="D12" s="90"/>
      <c r="E12" s="90" t="s">
        <v>155</v>
      </c>
      <c r="F12" s="90"/>
      <c r="G12" s="166">
        <v>0</v>
      </c>
      <c r="H12" s="110">
        <v>0</v>
      </c>
      <c r="I12" s="110">
        <v>47760</v>
      </c>
      <c r="J12" s="110">
        <v>2100000</v>
      </c>
      <c r="K12" s="110">
        <v>0</v>
      </c>
      <c r="L12" s="110">
        <v>766000</v>
      </c>
      <c r="M12" s="110">
        <v>2500000</v>
      </c>
      <c r="N12" s="110">
        <v>850000</v>
      </c>
      <c r="O12" s="110">
        <v>0</v>
      </c>
      <c r="P12" s="110">
        <v>23439</v>
      </c>
      <c r="Q12" s="110">
        <v>0</v>
      </c>
      <c r="R12" s="110">
        <v>0</v>
      </c>
      <c r="S12" s="110">
        <v>250000</v>
      </c>
      <c r="T12" s="110">
        <v>385000</v>
      </c>
      <c r="U12" s="110">
        <v>0</v>
      </c>
      <c r="V12" s="110">
        <v>1963000</v>
      </c>
      <c r="W12" s="110">
        <v>31300</v>
      </c>
      <c r="X12" s="110">
        <v>0</v>
      </c>
      <c r="Y12" s="168">
        <v>284750</v>
      </c>
      <c r="Z12" s="110">
        <v>0</v>
      </c>
      <c r="AA12" s="110">
        <v>302600</v>
      </c>
      <c r="AB12" s="110">
        <v>1490027</v>
      </c>
      <c r="AC12" s="110">
        <v>2310000</v>
      </c>
      <c r="AD12" s="110">
        <v>6172600</v>
      </c>
      <c r="AE12" s="110">
        <v>0</v>
      </c>
      <c r="AF12" s="168">
        <v>88500</v>
      </c>
      <c r="AG12" s="110">
        <v>1716000</v>
      </c>
      <c r="AH12" s="110">
        <v>0</v>
      </c>
      <c r="AI12" s="110">
        <v>0</v>
      </c>
      <c r="AJ12" s="110">
        <v>0</v>
      </c>
      <c r="AK12" s="110">
        <v>0</v>
      </c>
      <c r="AL12" s="168">
        <v>0</v>
      </c>
      <c r="AM12" s="110">
        <v>0</v>
      </c>
      <c r="AN12" s="110">
        <v>0</v>
      </c>
      <c r="AO12" s="110">
        <v>0</v>
      </c>
      <c r="AP12" s="110">
        <f t="shared" si="0"/>
        <v>21280.975999999999</v>
      </c>
      <c r="AQ12" s="110">
        <f t="shared" si="1"/>
        <v>21280.975999999999</v>
      </c>
      <c r="AR12" s="132">
        <f t="shared" si="2"/>
        <v>0</v>
      </c>
      <c r="AS12" s="132"/>
      <c r="AT12" s="132"/>
    </row>
    <row r="13" spans="1:46" ht="12" x14ac:dyDescent="0.2">
      <c r="A13" s="16" t="s">
        <v>247</v>
      </c>
      <c r="C13" s="90" t="s">
        <v>157</v>
      </c>
      <c r="D13" s="90"/>
      <c r="E13" s="90" t="s">
        <v>155</v>
      </c>
      <c r="F13" s="90"/>
      <c r="G13" s="166">
        <v>0</v>
      </c>
      <c r="H13" s="168">
        <v>0</v>
      </c>
      <c r="I13" s="168">
        <v>0</v>
      </c>
      <c r="J13" s="168">
        <v>0</v>
      </c>
      <c r="K13" s="168">
        <v>0</v>
      </c>
      <c r="L13" s="168">
        <v>0</v>
      </c>
      <c r="M13" s="168">
        <v>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0</v>
      </c>
      <c r="V13" s="168">
        <v>0</v>
      </c>
      <c r="W13" s="168">
        <v>5000</v>
      </c>
      <c r="X13" s="168">
        <v>0</v>
      </c>
      <c r="Y13" s="168">
        <v>0</v>
      </c>
      <c r="Z13" s="168">
        <v>0</v>
      </c>
      <c r="AA13" s="168">
        <v>0</v>
      </c>
      <c r="AB13" s="168">
        <v>0</v>
      </c>
      <c r="AC13" s="168">
        <v>0</v>
      </c>
      <c r="AD13" s="168">
        <v>0</v>
      </c>
      <c r="AE13" s="168">
        <v>0</v>
      </c>
      <c r="AF13" s="168">
        <v>0</v>
      </c>
      <c r="AG13" s="168">
        <v>0</v>
      </c>
      <c r="AH13" s="168">
        <v>0</v>
      </c>
      <c r="AI13" s="168">
        <v>0</v>
      </c>
      <c r="AJ13" s="168">
        <v>0</v>
      </c>
      <c r="AK13" s="168">
        <v>0</v>
      </c>
      <c r="AL13" s="168">
        <v>0</v>
      </c>
      <c r="AM13" s="168">
        <v>0</v>
      </c>
      <c r="AN13" s="168">
        <v>0</v>
      </c>
      <c r="AO13" s="168">
        <v>0</v>
      </c>
      <c r="AP13" s="110">
        <f t="shared" si="0"/>
        <v>5</v>
      </c>
      <c r="AQ13" s="110">
        <f t="shared" si="1"/>
        <v>5</v>
      </c>
      <c r="AR13" s="132">
        <f t="shared" si="2"/>
        <v>0</v>
      </c>
      <c r="AS13" s="132"/>
      <c r="AT13" s="132"/>
    </row>
    <row r="14" spans="1:46" ht="12" x14ac:dyDescent="0.2">
      <c r="A14" s="16" t="s">
        <v>248</v>
      </c>
      <c r="C14" s="90" t="s">
        <v>30</v>
      </c>
      <c r="D14" s="90"/>
      <c r="E14" s="90" t="s">
        <v>155</v>
      </c>
      <c r="F14" s="90"/>
      <c r="G14" s="166">
        <v>0</v>
      </c>
      <c r="H14" s="168">
        <v>0</v>
      </c>
      <c r="I14" s="110">
        <v>0</v>
      </c>
      <c r="J14" s="110">
        <v>0</v>
      </c>
      <c r="K14" s="110">
        <v>0</v>
      </c>
      <c r="L14" s="110">
        <v>0</v>
      </c>
      <c r="M14" s="110">
        <v>0</v>
      </c>
      <c r="N14" s="110">
        <v>0</v>
      </c>
      <c r="O14" s="110">
        <v>0</v>
      </c>
      <c r="P14" s="110">
        <v>0</v>
      </c>
      <c r="Q14" s="110">
        <v>0</v>
      </c>
      <c r="R14" s="110">
        <v>0</v>
      </c>
      <c r="S14" s="110">
        <v>0</v>
      </c>
      <c r="T14" s="110">
        <v>0</v>
      </c>
      <c r="U14" s="110">
        <v>0</v>
      </c>
      <c r="V14" s="110">
        <v>0</v>
      </c>
      <c r="W14" s="110">
        <v>0</v>
      </c>
      <c r="X14" s="110">
        <v>0</v>
      </c>
      <c r="Y14" s="110">
        <v>0</v>
      </c>
      <c r="Z14" s="110">
        <v>0</v>
      </c>
      <c r="AA14" s="110">
        <v>0</v>
      </c>
      <c r="AB14" s="110">
        <v>0</v>
      </c>
      <c r="AC14" s="110">
        <v>0</v>
      </c>
      <c r="AD14" s="110">
        <v>0</v>
      </c>
      <c r="AE14" s="110">
        <v>0</v>
      </c>
      <c r="AF14" s="110">
        <v>0</v>
      </c>
      <c r="AG14" s="110">
        <v>0</v>
      </c>
      <c r="AH14" s="110">
        <v>0</v>
      </c>
      <c r="AI14" s="110">
        <v>0</v>
      </c>
      <c r="AJ14" s="110">
        <v>0</v>
      </c>
      <c r="AK14" s="110">
        <v>0</v>
      </c>
      <c r="AL14" s="168">
        <v>0</v>
      </c>
      <c r="AM14" s="110">
        <v>0</v>
      </c>
      <c r="AN14" s="110">
        <v>0</v>
      </c>
      <c r="AO14" s="110">
        <v>0</v>
      </c>
      <c r="AP14" s="110">
        <f t="shared" si="0"/>
        <v>0</v>
      </c>
      <c r="AQ14" s="110">
        <f t="shared" si="1"/>
        <v>0</v>
      </c>
      <c r="AR14" s="132">
        <f t="shared" si="2"/>
        <v>0</v>
      </c>
      <c r="AS14" s="132"/>
      <c r="AT14" s="132"/>
    </row>
    <row r="15" spans="1:46" ht="12" x14ac:dyDescent="0.2">
      <c r="A15" s="16" t="s">
        <v>248</v>
      </c>
      <c r="C15" s="90" t="s">
        <v>156</v>
      </c>
      <c r="D15" s="90"/>
      <c r="E15" s="90" t="s">
        <v>155</v>
      </c>
      <c r="F15" s="90"/>
      <c r="G15" s="166">
        <v>0</v>
      </c>
      <c r="H15" s="110">
        <v>0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0">
        <v>0</v>
      </c>
      <c r="S15" s="110">
        <v>0</v>
      </c>
      <c r="T15" s="110">
        <v>0</v>
      </c>
      <c r="U15" s="110">
        <v>0</v>
      </c>
      <c r="V15" s="110">
        <v>0</v>
      </c>
      <c r="W15" s="110">
        <v>0</v>
      </c>
      <c r="X15" s="110">
        <v>0</v>
      </c>
      <c r="Y15" s="110">
        <v>0</v>
      </c>
      <c r="Z15" s="110">
        <v>0</v>
      </c>
      <c r="AA15" s="110">
        <v>0</v>
      </c>
      <c r="AB15" s="110">
        <v>0</v>
      </c>
      <c r="AC15" s="110">
        <v>0</v>
      </c>
      <c r="AD15" s="110">
        <v>0</v>
      </c>
      <c r="AE15" s="110">
        <v>0</v>
      </c>
      <c r="AF15" s="110">
        <v>0</v>
      </c>
      <c r="AG15" s="110">
        <v>0</v>
      </c>
      <c r="AH15" s="110">
        <v>0</v>
      </c>
      <c r="AI15" s="110">
        <v>0</v>
      </c>
      <c r="AJ15" s="110">
        <v>0</v>
      </c>
      <c r="AK15" s="110">
        <v>3157000</v>
      </c>
      <c r="AL15" s="110">
        <v>0</v>
      </c>
      <c r="AM15" s="110">
        <v>0</v>
      </c>
      <c r="AN15" s="110">
        <v>0</v>
      </c>
      <c r="AO15" s="110">
        <v>0</v>
      </c>
      <c r="AP15" s="110">
        <f t="shared" si="0"/>
        <v>3157</v>
      </c>
      <c r="AQ15" s="110">
        <f t="shared" si="1"/>
        <v>0</v>
      </c>
      <c r="AR15" s="132">
        <f t="shared" si="2"/>
        <v>3157</v>
      </c>
      <c r="AS15" s="132"/>
      <c r="AT15" s="132"/>
    </row>
    <row r="16" spans="1:46" ht="12" x14ac:dyDescent="0.2">
      <c r="A16" s="16" t="s">
        <v>247</v>
      </c>
      <c r="C16" s="90" t="s">
        <v>26</v>
      </c>
      <c r="D16" s="90"/>
      <c r="E16" s="90" t="s">
        <v>155</v>
      </c>
      <c r="F16" s="90"/>
      <c r="G16" s="166">
        <v>0</v>
      </c>
      <c r="H16" s="168">
        <v>0</v>
      </c>
      <c r="I16" s="168">
        <v>0</v>
      </c>
      <c r="J16" s="168">
        <v>0</v>
      </c>
      <c r="K16" s="168">
        <v>0</v>
      </c>
      <c r="L16" s="168">
        <v>0</v>
      </c>
      <c r="M16" s="168">
        <v>0</v>
      </c>
      <c r="N16" s="168">
        <v>0</v>
      </c>
      <c r="O16" s="168">
        <v>0</v>
      </c>
      <c r="P16" s="168">
        <v>0</v>
      </c>
      <c r="Q16" s="168">
        <v>0</v>
      </c>
      <c r="R16" s="168">
        <v>0</v>
      </c>
      <c r="S16" s="168">
        <v>0</v>
      </c>
      <c r="T16" s="168">
        <v>0</v>
      </c>
      <c r="U16" s="168">
        <v>0</v>
      </c>
      <c r="V16" s="168">
        <v>71000</v>
      </c>
      <c r="W16" s="168">
        <v>0</v>
      </c>
      <c r="X16" s="168">
        <v>0</v>
      </c>
      <c r="Y16" s="168">
        <v>0</v>
      </c>
      <c r="Z16" s="168">
        <v>0</v>
      </c>
      <c r="AA16" s="168">
        <v>0</v>
      </c>
      <c r="AB16" s="168">
        <v>0</v>
      </c>
      <c r="AC16" s="168">
        <v>0</v>
      </c>
      <c r="AD16" s="168">
        <v>0</v>
      </c>
      <c r="AE16" s="168">
        <v>0</v>
      </c>
      <c r="AF16" s="168">
        <v>0</v>
      </c>
      <c r="AG16" s="168">
        <v>0</v>
      </c>
      <c r="AH16" s="168">
        <v>0</v>
      </c>
      <c r="AI16" s="168">
        <v>0</v>
      </c>
      <c r="AJ16" s="168">
        <v>0</v>
      </c>
      <c r="AK16" s="168">
        <v>0</v>
      </c>
      <c r="AL16" s="168">
        <v>0</v>
      </c>
      <c r="AM16" s="168">
        <v>0</v>
      </c>
      <c r="AN16" s="168">
        <v>0</v>
      </c>
      <c r="AO16" s="168">
        <v>0</v>
      </c>
      <c r="AP16" s="110">
        <f t="shared" si="0"/>
        <v>71</v>
      </c>
      <c r="AQ16" s="110">
        <f t="shared" si="1"/>
        <v>71</v>
      </c>
      <c r="AR16" s="132">
        <f t="shared" si="2"/>
        <v>0</v>
      </c>
      <c r="AS16" s="132"/>
      <c r="AT16" s="132"/>
    </row>
    <row r="17" spans="1:47" ht="12" x14ac:dyDescent="0.2">
      <c r="C17" s="90"/>
      <c r="D17" s="90" t="s">
        <v>28</v>
      </c>
      <c r="E17" s="90" t="s">
        <v>154</v>
      </c>
      <c r="F17" s="90">
        <v>2025</v>
      </c>
      <c r="G17" s="169"/>
      <c r="H17" s="110">
        <v>0</v>
      </c>
      <c r="I17" s="110"/>
      <c r="J17" s="110"/>
      <c r="K17" s="110">
        <v>0</v>
      </c>
      <c r="L17" s="110"/>
      <c r="M17" s="110">
        <v>0</v>
      </c>
      <c r="N17" s="110"/>
      <c r="O17" s="110">
        <v>0</v>
      </c>
      <c r="P17" s="110">
        <v>0</v>
      </c>
      <c r="Q17" s="110"/>
      <c r="R17" s="110"/>
      <c r="S17" s="110"/>
      <c r="T17" s="110"/>
      <c r="U17" s="110">
        <v>0</v>
      </c>
      <c r="V17" s="110">
        <v>0</v>
      </c>
      <c r="W17" s="110"/>
      <c r="X17" s="110"/>
      <c r="Y17" s="110">
        <v>0</v>
      </c>
      <c r="Z17" s="110"/>
      <c r="AA17" s="110">
        <v>0</v>
      </c>
      <c r="AB17" s="110">
        <v>0</v>
      </c>
      <c r="AC17" s="110"/>
      <c r="AD17" s="110"/>
      <c r="AE17" s="110">
        <v>0</v>
      </c>
      <c r="AF17" s="110">
        <v>0</v>
      </c>
      <c r="AG17" s="110"/>
      <c r="AH17" s="110">
        <v>0</v>
      </c>
      <c r="AI17" s="110"/>
      <c r="AJ17" s="110"/>
      <c r="AK17" s="110">
        <v>0</v>
      </c>
      <c r="AL17" s="110">
        <v>0</v>
      </c>
      <c r="AM17" s="110"/>
      <c r="AN17" s="110"/>
      <c r="AO17" s="110"/>
      <c r="AP17" s="132"/>
      <c r="AQ17" s="132"/>
      <c r="AR17" s="132"/>
      <c r="AS17" s="132" t="s">
        <v>153</v>
      </c>
      <c r="AT17" s="248" t="s">
        <v>317</v>
      </c>
    </row>
    <row r="18" spans="1:47" ht="12" x14ac:dyDescent="0.2">
      <c r="C18" s="90"/>
      <c r="D18" s="90" t="s">
        <v>28</v>
      </c>
      <c r="E18" s="90" t="s">
        <v>154</v>
      </c>
      <c r="F18" s="90">
        <v>0</v>
      </c>
      <c r="G18" s="132"/>
      <c r="H18" s="132">
        <v>4</v>
      </c>
      <c r="I18" s="132"/>
      <c r="J18" s="132"/>
      <c r="K18" s="132">
        <v>4</v>
      </c>
      <c r="L18" s="132"/>
      <c r="M18" s="132">
        <v>4</v>
      </c>
      <c r="N18" s="132"/>
      <c r="O18" s="132">
        <v>4</v>
      </c>
      <c r="P18" s="132">
        <v>4</v>
      </c>
      <c r="Q18" s="132"/>
      <c r="R18" s="132"/>
      <c r="S18" s="132"/>
      <c r="T18" s="132"/>
      <c r="U18" s="132">
        <v>4</v>
      </c>
      <c r="V18" s="132">
        <v>4</v>
      </c>
      <c r="W18" s="132"/>
      <c r="X18" s="132"/>
      <c r="Y18" s="132">
        <v>4</v>
      </c>
      <c r="Z18" s="132"/>
      <c r="AA18" s="132">
        <v>4</v>
      </c>
      <c r="AB18" s="132">
        <v>4</v>
      </c>
      <c r="AC18" s="132"/>
      <c r="AD18" s="132"/>
      <c r="AE18" s="132">
        <v>4</v>
      </c>
      <c r="AF18" s="132">
        <v>4</v>
      </c>
      <c r="AG18" s="132"/>
      <c r="AH18" s="132">
        <v>4</v>
      </c>
      <c r="AI18" s="132"/>
      <c r="AJ18" s="132"/>
      <c r="AK18" s="132">
        <v>4</v>
      </c>
      <c r="AL18" s="132">
        <v>4</v>
      </c>
      <c r="AM18" s="132"/>
      <c r="AN18" s="132"/>
      <c r="AO18" s="132"/>
      <c r="AP18" s="132"/>
      <c r="AQ18" s="132"/>
      <c r="AR18" s="132"/>
      <c r="AS18" s="132" t="s">
        <v>153</v>
      </c>
      <c r="AT18" s="248" t="str">
        <f>AT17</f>
        <v>SNKCO2N,SNKFCO2</v>
      </c>
    </row>
    <row r="19" spans="1:47" x14ac:dyDescent="0.2">
      <c r="AT19" s="249"/>
    </row>
    <row r="20" spans="1:47" ht="12" x14ac:dyDescent="0.2">
      <c r="C20" s="16" t="s">
        <v>247</v>
      </c>
      <c r="D20" s="148"/>
      <c r="E20" s="148" t="s">
        <v>155</v>
      </c>
      <c r="F20" s="148"/>
      <c r="G20" s="149"/>
      <c r="H20" s="149">
        <f t="shared" ref="H20:W22" si="3">SUMIFS(H$5:H$16,$A$5:$A$16,$C20)</f>
        <v>0</v>
      </c>
      <c r="I20" s="149">
        <f t="shared" si="3"/>
        <v>0</v>
      </c>
      <c r="J20" s="149">
        <f t="shared" si="3"/>
        <v>17000</v>
      </c>
      <c r="K20" s="149">
        <f t="shared" si="3"/>
        <v>0</v>
      </c>
      <c r="L20" s="149">
        <f t="shared" si="3"/>
        <v>110000</v>
      </c>
      <c r="M20" s="149">
        <f t="shared" si="3"/>
        <v>21597</v>
      </c>
      <c r="N20" s="149">
        <f t="shared" si="3"/>
        <v>0</v>
      </c>
      <c r="O20" s="149">
        <f t="shared" si="3"/>
        <v>0</v>
      </c>
      <c r="P20" s="149">
        <f t="shared" si="3"/>
        <v>145000</v>
      </c>
      <c r="Q20" s="149">
        <f t="shared" si="3"/>
        <v>0</v>
      </c>
      <c r="R20" s="149">
        <f t="shared" si="3"/>
        <v>0</v>
      </c>
      <c r="S20" s="149">
        <f t="shared" si="3"/>
        <v>0</v>
      </c>
      <c r="T20" s="149">
        <f t="shared" si="3"/>
        <v>87000</v>
      </c>
      <c r="U20" s="149">
        <f t="shared" si="3"/>
        <v>0</v>
      </c>
      <c r="V20" s="149">
        <f t="shared" si="3"/>
        <v>71000</v>
      </c>
      <c r="W20" s="149">
        <f t="shared" si="3"/>
        <v>5000</v>
      </c>
      <c r="X20" s="149">
        <f t="shared" ref="X20:AM22" si="4">SUMIFS(X$5:X$16,$A$5:$A$16,$C20)</f>
        <v>0</v>
      </c>
      <c r="Y20" s="149">
        <f t="shared" si="4"/>
        <v>0</v>
      </c>
      <c r="Z20" s="149">
        <f t="shared" si="4"/>
        <v>0</v>
      </c>
      <c r="AA20" s="149">
        <f t="shared" si="4"/>
        <v>0</v>
      </c>
      <c r="AB20" s="149">
        <f t="shared" si="4"/>
        <v>115000</v>
      </c>
      <c r="AC20" s="149">
        <f t="shared" si="4"/>
        <v>0</v>
      </c>
      <c r="AD20" s="149">
        <f t="shared" si="4"/>
        <v>0</v>
      </c>
      <c r="AE20" s="149">
        <f t="shared" si="4"/>
        <v>0</v>
      </c>
      <c r="AF20" s="149">
        <f t="shared" si="4"/>
        <v>0</v>
      </c>
      <c r="AG20" s="149">
        <f t="shared" si="4"/>
        <v>0</v>
      </c>
      <c r="AH20" s="149">
        <f t="shared" si="4"/>
        <v>0</v>
      </c>
      <c r="AI20" s="149">
        <f t="shared" si="4"/>
        <v>0</v>
      </c>
      <c r="AJ20" s="149">
        <f t="shared" si="4"/>
        <v>0</v>
      </c>
      <c r="AK20" s="149">
        <f t="shared" si="4"/>
        <v>0</v>
      </c>
      <c r="AL20" s="149">
        <f t="shared" si="4"/>
        <v>0</v>
      </c>
      <c r="AM20" s="149">
        <f t="shared" si="4"/>
        <v>0</v>
      </c>
      <c r="AN20" s="149">
        <f t="shared" ref="AL20:AR22" si="5">SUMIFS(AN$5:AN$16,$A$5:$A$16,$C20)</f>
        <v>0</v>
      </c>
      <c r="AO20" s="149">
        <f t="shared" si="5"/>
        <v>0</v>
      </c>
      <c r="AP20" s="149">
        <f t="shared" si="5"/>
        <v>571.59699999999998</v>
      </c>
      <c r="AQ20" s="150">
        <f t="shared" si="5"/>
        <v>571.59699999999998</v>
      </c>
      <c r="AR20" s="149">
        <f t="shared" si="5"/>
        <v>0</v>
      </c>
      <c r="AS20" s="148"/>
      <c r="AT20" s="148"/>
      <c r="AU20" s="151">
        <f>AH20/1000</f>
        <v>0</v>
      </c>
    </row>
    <row r="21" spans="1:47" ht="12" x14ac:dyDescent="0.2">
      <c r="C21" s="148" t="s">
        <v>248</v>
      </c>
      <c r="D21" s="148"/>
      <c r="E21" s="148" t="s">
        <v>155</v>
      </c>
      <c r="F21" s="148"/>
      <c r="G21" s="149"/>
      <c r="H21" s="149">
        <f t="shared" si="3"/>
        <v>0</v>
      </c>
      <c r="I21" s="149">
        <f t="shared" si="3"/>
        <v>151240</v>
      </c>
      <c r="J21" s="149">
        <f t="shared" si="3"/>
        <v>3000</v>
      </c>
      <c r="K21" s="149">
        <f t="shared" si="3"/>
        <v>0</v>
      </c>
      <c r="L21" s="149">
        <f t="shared" si="3"/>
        <v>33000</v>
      </c>
      <c r="M21" s="149">
        <f t="shared" si="3"/>
        <v>2058720</v>
      </c>
      <c r="N21" s="149">
        <f t="shared" si="3"/>
        <v>376500</v>
      </c>
      <c r="O21" s="149">
        <f t="shared" si="3"/>
        <v>0</v>
      </c>
      <c r="P21" s="149">
        <f t="shared" si="3"/>
        <v>34500</v>
      </c>
      <c r="Q21" s="149">
        <f t="shared" si="3"/>
        <v>0</v>
      </c>
      <c r="R21" s="149">
        <f t="shared" si="3"/>
        <v>191099</v>
      </c>
      <c r="S21" s="149">
        <f t="shared" si="3"/>
        <v>47500</v>
      </c>
      <c r="T21" s="149">
        <f t="shared" si="3"/>
        <v>143000</v>
      </c>
      <c r="U21" s="149">
        <f t="shared" si="3"/>
        <v>40000</v>
      </c>
      <c r="V21" s="149">
        <f t="shared" si="3"/>
        <v>1870000</v>
      </c>
      <c r="W21" s="149">
        <f t="shared" si="3"/>
        <v>5700</v>
      </c>
      <c r="X21" s="149">
        <f t="shared" si="4"/>
        <v>0</v>
      </c>
      <c r="Y21" s="149">
        <f t="shared" si="4"/>
        <v>0</v>
      </c>
      <c r="Z21" s="149">
        <f t="shared" si="4"/>
        <v>0</v>
      </c>
      <c r="AA21" s="149">
        <f t="shared" si="4"/>
        <v>1458430</v>
      </c>
      <c r="AB21" s="149">
        <f t="shared" si="4"/>
        <v>329426</v>
      </c>
      <c r="AC21" s="149">
        <f t="shared" si="4"/>
        <v>0</v>
      </c>
      <c r="AD21" s="149">
        <f t="shared" si="4"/>
        <v>1688400</v>
      </c>
      <c r="AE21" s="149">
        <f t="shared" si="4"/>
        <v>0</v>
      </c>
      <c r="AF21" s="149">
        <f t="shared" si="4"/>
        <v>5500</v>
      </c>
      <c r="AG21" s="149">
        <f t="shared" si="4"/>
        <v>0</v>
      </c>
      <c r="AH21" s="149">
        <f t="shared" si="4"/>
        <v>1800000</v>
      </c>
      <c r="AI21" s="149">
        <f t="shared" si="4"/>
        <v>0</v>
      </c>
      <c r="AJ21" s="149">
        <f t="shared" si="4"/>
        <v>0</v>
      </c>
      <c r="AK21" s="149">
        <f t="shared" si="4"/>
        <v>3180100</v>
      </c>
      <c r="AL21" s="149">
        <f t="shared" si="5"/>
        <v>0</v>
      </c>
      <c r="AM21" s="149">
        <f t="shared" si="5"/>
        <v>0</v>
      </c>
      <c r="AN21" s="149">
        <f t="shared" si="5"/>
        <v>0</v>
      </c>
      <c r="AO21" s="149">
        <f t="shared" si="5"/>
        <v>0</v>
      </c>
      <c r="AP21" s="149">
        <f t="shared" si="5"/>
        <v>13416.115000000002</v>
      </c>
      <c r="AQ21" s="152">
        <f t="shared" si="5"/>
        <v>8436.0149999999994</v>
      </c>
      <c r="AR21" s="149">
        <f t="shared" si="5"/>
        <v>4980.1000000000004</v>
      </c>
      <c r="AS21" s="148"/>
      <c r="AT21" s="148"/>
      <c r="AU21" s="151">
        <f>AH21/1000</f>
        <v>1800</v>
      </c>
    </row>
    <row r="22" spans="1:47" ht="12" x14ac:dyDescent="0.2">
      <c r="C22" s="148" t="s">
        <v>249</v>
      </c>
      <c r="D22" s="148"/>
      <c r="E22" s="148" t="s">
        <v>155</v>
      </c>
      <c r="F22" s="148"/>
      <c r="G22" s="149"/>
      <c r="H22" s="149">
        <f t="shared" si="3"/>
        <v>0</v>
      </c>
      <c r="I22" s="149">
        <f t="shared" si="3"/>
        <v>47760</v>
      </c>
      <c r="J22" s="149">
        <f t="shared" si="3"/>
        <v>2100000</v>
      </c>
      <c r="K22" s="149">
        <f t="shared" si="3"/>
        <v>0</v>
      </c>
      <c r="L22" s="149">
        <f t="shared" si="3"/>
        <v>766000</v>
      </c>
      <c r="M22" s="149">
        <f t="shared" si="3"/>
        <v>5000000</v>
      </c>
      <c r="N22" s="149">
        <f t="shared" si="3"/>
        <v>2350000</v>
      </c>
      <c r="O22" s="149">
        <f t="shared" si="3"/>
        <v>0</v>
      </c>
      <c r="P22" s="149">
        <f t="shared" si="3"/>
        <v>2123439</v>
      </c>
      <c r="Q22" s="149">
        <f t="shared" si="3"/>
        <v>0</v>
      </c>
      <c r="R22" s="149">
        <f t="shared" si="3"/>
        <v>2100000</v>
      </c>
      <c r="S22" s="149">
        <f t="shared" si="3"/>
        <v>735750</v>
      </c>
      <c r="T22" s="149">
        <f t="shared" si="3"/>
        <v>385000</v>
      </c>
      <c r="U22" s="149">
        <f t="shared" si="3"/>
        <v>0</v>
      </c>
      <c r="V22" s="149">
        <f t="shared" si="3"/>
        <v>4609000</v>
      </c>
      <c r="W22" s="149">
        <f t="shared" si="3"/>
        <v>31300</v>
      </c>
      <c r="X22" s="149">
        <f t="shared" si="4"/>
        <v>0</v>
      </c>
      <c r="Y22" s="149">
        <f t="shared" si="4"/>
        <v>402000</v>
      </c>
      <c r="Z22" s="149">
        <f t="shared" si="4"/>
        <v>0</v>
      </c>
      <c r="AA22" s="149">
        <f t="shared" si="4"/>
        <v>605200</v>
      </c>
      <c r="AB22" s="149">
        <f t="shared" si="4"/>
        <v>2195574</v>
      </c>
      <c r="AC22" s="149">
        <f t="shared" si="4"/>
        <v>7700000</v>
      </c>
      <c r="AD22" s="149">
        <f t="shared" si="4"/>
        <v>7311600</v>
      </c>
      <c r="AE22" s="149">
        <f t="shared" si="4"/>
        <v>1300000</v>
      </c>
      <c r="AF22" s="149">
        <f t="shared" si="4"/>
        <v>88500</v>
      </c>
      <c r="AG22" s="149">
        <f t="shared" si="4"/>
        <v>1716000</v>
      </c>
      <c r="AH22" s="149">
        <f t="shared" si="4"/>
        <v>12600000</v>
      </c>
      <c r="AI22" s="149">
        <f t="shared" si="4"/>
        <v>0</v>
      </c>
      <c r="AJ22" s="149">
        <f t="shared" si="4"/>
        <v>0</v>
      </c>
      <c r="AK22" s="149">
        <f t="shared" si="4"/>
        <v>29164900</v>
      </c>
      <c r="AL22" s="149">
        <f t="shared" si="5"/>
        <v>0</v>
      </c>
      <c r="AM22" s="149">
        <f t="shared" si="5"/>
        <v>0</v>
      </c>
      <c r="AN22" s="149">
        <f t="shared" si="5"/>
        <v>0</v>
      </c>
      <c r="AO22" s="149">
        <f t="shared" si="5"/>
        <v>0</v>
      </c>
      <c r="AP22" s="149">
        <f t="shared" si="5"/>
        <v>83332.023000000001</v>
      </c>
      <c r="AQ22" s="153">
        <f t="shared" si="5"/>
        <v>41567.123</v>
      </c>
      <c r="AR22" s="149">
        <f t="shared" si="5"/>
        <v>41764.9</v>
      </c>
      <c r="AS22" s="148"/>
      <c r="AT22" s="148"/>
      <c r="AU22" s="151">
        <f>AH22/1000</f>
        <v>12600</v>
      </c>
    </row>
    <row r="23" spans="1:47" x14ac:dyDescent="0.2">
      <c r="E23" s="1" t="s">
        <v>253</v>
      </c>
      <c r="G23" s="170"/>
      <c r="H23" s="170">
        <f>SUM(H20:H22)</f>
        <v>0</v>
      </c>
      <c r="I23" s="170">
        <f t="shared" ref="I23:AQ23" si="6">SUM(I20:I22)</f>
        <v>199000</v>
      </c>
      <c r="J23" s="170">
        <f t="shared" si="6"/>
        <v>2120000</v>
      </c>
      <c r="K23" s="170">
        <f t="shared" si="6"/>
        <v>0</v>
      </c>
      <c r="L23" s="170">
        <f t="shared" si="6"/>
        <v>909000</v>
      </c>
      <c r="M23" s="170">
        <f t="shared" si="6"/>
        <v>7080317</v>
      </c>
      <c r="N23" s="170">
        <f t="shared" si="6"/>
        <v>2726500</v>
      </c>
      <c r="O23" s="170">
        <f t="shared" si="6"/>
        <v>0</v>
      </c>
      <c r="P23" s="170">
        <f t="shared" si="6"/>
        <v>2302939</v>
      </c>
      <c r="Q23" s="170">
        <f t="shared" si="6"/>
        <v>0</v>
      </c>
      <c r="R23" s="170">
        <f t="shared" si="6"/>
        <v>2291099</v>
      </c>
      <c r="S23" s="170">
        <f t="shared" si="6"/>
        <v>783250</v>
      </c>
      <c r="T23" s="170">
        <f t="shared" si="6"/>
        <v>615000</v>
      </c>
      <c r="U23" s="170">
        <f t="shared" si="6"/>
        <v>40000</v>
      </c>
      <c r="V23" s="170">
        <f t="shared" si="6"/>
        <v>6550000</v>
      </c>
      <c r="W23" s="170">
        <f t="shared" si="6"/>
        <v>42000</v>
      </c>
      <c r="X23" s="170">
        <f t="shared" si="6"/>
        <v>0</v>
      </c>
      <c r="Y23" s="170">
        <f t="shared" si="6"/>
        <v>402000</v>
      </c>
      <c r="Z23" s="170">
        <f t="shared" si="6"/>
        <v>0</v>
      </c>
      <c r="AA23" s="170">
        <f t="shared" si="6"/>
        <v>2063630</v>
      </c>
      <c r="AB23" s="170">
        <f t="shared" si="6"/>
        <v>2640000</v>
      </c>
      <c r="AC23" s="170">
        <f t="shared" si="6"/>
        <v>7700000</v>
      </c>
      <c r="AD23" s="170">
        <f t="shared" si="6"/>
        <v>9000000</v>
      </c>
      <c r="AE23" s="170">
        <f t="shared" si="6"/>
        <v>1300000</v>
      </c>
      <c r="AF23" s="170">
        <f t="shared" si="6"/>
        <v>94000</v>
      </c>
      <c r="AG23" s="170">
        <f t="shared" si="6"/>
        <v>1716000</v>
      </c>
      <c r="AH23" s="170">
        <f t="shared" si="6"/>
        <v>14400000</v>
      </c>
      <c r="AI23" s="170">
        <f t="shared" si="6"/>
        <v>0</v>
      </c>
      <c r="AJ23" s="170">
        <f t="shared" si="6"/>
        <v>0</v>
      </c>
      <c r="AK23" s="170">
        <f t="shared" si="6"/>
        <v>32345000</v>
      </c>
      <c r="AL23" s="170">
        <f t="shared" si="6"/>
        <v>0</v>
      </c>
      <c r="AM23" s="170">
        <f t="shared" si="6"/>
        <v>0</v>
      </c>
      <c r="AN23" s="170">
        <f t="shared" si="6"/>
        <v>0</v>
      </c>
      <c r="AO23" s="170">
        <f t="shared" si="6"/>
        <v>0</v>
      </c>
      <c r="AP23" s="170">
        <f t="shared" si="6"/>
        <v>97319.735000000001</v>
      </c>
      <c r="AQ23" s="170">
        <f t="shared" si="6"/>
        <v>50574.735000000001</v>
      </c>
      <c r="AU23" s="1" t="s">
        <v>250</v>
      </c>
    </row>
    <row r="24" spans="1:47" x14ac:dyDescent="0.2">
      <c r="E24" s="1" t="s">
        <v>254</v>
      </c>
      <c r="H24" s="170">
        <v>0</v>
      </c>
      <c r="I24" s="170">
        <v>199000</v>
      </c>
      <c r="J24" s="170">
        <v>2103000</v>
      </c>
      <c r="K24" s="170">
        <v>0</v>
      </c>
      <c r="L24" s="170">
        <v>799000</v>
      </c>
      <c r="M24" s="170">
        <v>17080000</v>
      </c>
      <c r="N24" s="170">
        <v>2756000</v>
      </c>
      <c r="O24" s="170">
        <v>0</v>
      </c>
      <c r="P24" s="170">
        <v>14034000</v>
      </c>
      <c r="Q24" s="170">
        <v>0</v>
      </c>
      <c r="R24" s="170">
        <v>8692000</v>
      </c>
      <c r="S24" s="170">
        <v>775000</v>
      </c>
      <c r="T24" s="170">
        <v>529000</v>
      </c>
      <c r="U24" s="170">
        <v>0</v>
      </c>
      <c r="V24" s="170">
        <v>6479000</v>
      </c>
      <c r="W24" s="170">
        <v>37000</v>
      </c>
      <c r="X24" s="170">
        <v>0</v>
      </c>
      <c r="Y24" s="170">
        <v>404000</v>
      </c>
      <c r="Z24" s="170">
        <v>0</v>
      </c>
      <c r="AA24" s="170">
        <v>2040000</v>
      </c>
      <c r="AB24" s="170">
        <v>2525000</v>
      </c>
      <c r="AC24" s="170">
        <v>0</v>
      </c>
      <c r="AD24" s="170">
        <v>9000000</v>
      </c>
      <c r="AE24" s="170">
        <v>1300000</v>
      </c>
      <c r="AF24" s="170">
        <v>94000</v>
      </c>
      <c r="AG24" s="170">
        <v>1716000</v>
      </c>
      <c r="AH24" s="170">
        <v>14400000</v>
      </c>
      <c r="AI24" s="170">
        <v>0</v>
      </c>
      <c r="AJ24" s="170">
        <v>0</v>
      </c>
      <c r="AK24" s="170">
        <v>29188000</v>
      </c>
      <c r="AL24" s="170">
        <v>0</v>
      </c>
      <c r="AM24" s="170">
        <v>0</v>
      </c>
      <c r="AN24" s="170">
        <v>0</v>
      </c>
      <c r="AO24" s="170">
        <v>0</v>
      </c>
      <c r="AP24" s="170"/>
    </row>
    <row r="25" spans="1:47" x14ac:dyDescent="0.2">
      <c r="P25" s="171" t="s">
        <v>150</v>
      </c>
    </row>
    <row r="26" spans="1:47" ht="15" x14ac:dyDescent="0.25">
      <c r="C26" s="85" t="s">
        <v>152</v>
      </c>
      <c r="D26" s="86"/>
      <c r="E26" s="87"/>
      <c r="F26" s="87"/>
      <c r="G26" s="87"/>
      <c r="H26" s="87"/>
      <c r="I26" s="87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</row>
    <row r="27" spans="1:47" ht="12" x14ac:dyDescent="0.2">
      <c r="A27" s="147" t="s">
        <v>246</v>
      </c>
      <c r="C27" s="172" t="s">
        <v>151</v>
      </c>
      <c r="D27" s="172" t="s">
        <v>67</v>
      </c>
      <c r="E27" s="172" t="s">
        <v>4</v>
      </c>
      <c r="F27" s="172" t="s">
        <v>64</v>
      </c>
      <c r="G27" s="172" t="s">
        <v>20</v>
      </c>
      <c r="H27" s="172" t="s">
        <v>5</v>
      </c>
      <c r="I27" s="173" t="s">
        <v>65</v>
      </c>
      <c r="J27" s="173" t="s">
        <v>147</v>
      </c>
      <c r="K27" s="173" t="s">
        <v>146</v>
      </c>
      <c r="L27" s="173" t="s">
        <v>144</v>
      </c>
      <c r="M27" s="173" t="s">
        <v>143</v>
      </c>
      <c r="N27" s="173" t="s">
        <v>142</v>
      </c>
      <c r="O27" s="173" t="s">
        <v>137</v>
      </c>
      <c r="P27" s="173" t="s">
        <v>140</v>
      </c>
      <c r="Q27" s="173" t="s">
        <v>138</v>
      </c>
      <c r="R27" s="173" t="s">
        <v>118</v>
      </c>
      <c r="S27" s="173" t="s">
        <v>136</v>
      </c>
      <c r="T27" s="173" t="s">
        <v>135</v>
      </c>
      <c r="U27" s="173" t="s">
        <v>134</v>
      </c>
      <c r="V27" s="173" t="s">
        <v>133</v>
      </c>
      <c r="W27" s="173" t="s">
        <v>131</v>
      </c>
      <c r="X27" s="173" t="s">
        <v>129</v>
      </c>
      <c r="Y27" s="173" t="s">
        <v>119</v>
      </c>
      <c r="Z27" s="173" t="s">
        <v>128</v>
      </c>
      <c r="AA27" s="173" t="s">
        <v>126</v>
      </c>
      <c r="AB27" s="173" t="s">
        <v>125</v>
      </c>
      <c r="AC27" s="173" t="s">
        <v>124</v>
      </c>
      <c r="AD27" s="173" t="s">
        <v>123</v>
      </c>
      <c r="AE27" s="173" t="s">
        <v>122</v>
      </c>
      <c r="AG27" s="173" t="s">
        <v>255</v>
      </c>
      <c r="AH27" s="173" t="s">
        <v>256</v>
      </c>
    </row>
    <row r="28" spans="1:47" ht="12" x14ac:dyDescent="0.2">
      <c r="C28" s="90" t="s">
        <v>27</v>
      </c>
      <c r="D28" s="90" t="s">
        <v>28</v>
      </c>
      <c r="E28" s="90">
        <v>2020</v>
      </c>
      <c r="F28" s="90" t="s">
        <v>29</v>
      </c>
      <c r="G28" s="90"/>
      <c r="H28" s="90" t="s">
        <v>257</v>
      </c>
      <c r="I28" s="174">
        <v>0</v>
      </c>
      <c r="J28" s="174">
        <v>0</v>
      </c>
      <c r="K28" s="174">
        <v>0</v>
      </c>
      <c r="L28" s="174">
        <v>0</v>
      </c>
      <c r="M28" s="174">
        <v>0</v>
      </c>
      <c r="N28" s="174">
        <v>0</v>
      </c>
      <c r="O28" s="174">
        <v>0</v>
      </c>
      <c r="P28" s="174">
        <v>0</v>
      </c>
      <c r="Q28" s="174">
        <v>0</v>
      </c>
      <c r="R28" s="174">
        <v>0</v>
      </c>
      <c r="S28" s="174">
        <v>0</v>
      </c>
      <c r="T28" s="174">
        <v>0</v>
      </c>
      <c r="U28" s="174">
        <v>0</v>
      </c>
      <c r="V28" s="174">
        <v>0</v>
      </c>
      <c r="W28" s="174">
        <v>0</v>
      </c>
      <c r="X28" s="174">
        <v>0</v>
      </c>
      <c r="Y28" s="174">
        <v>0</v>
      </c>
      <c r="Z28" s="174">
        <v>0</v>
      </c>
      <c r="AA28" s="174">
        <v>0</v>
      </c>
      <c r="AB28" s="174">
        <v>0</v>
      </c>
      <c r="AC28" s="174">
        <v>0</v>
      </c>
      <c r="AD28" s="174">
        <v>0</v>
      </c>
      <c r="AE28" s="174">
        <v>0</v>
      </c>
      <c r="AG28" s="174">
        <f>(SUM(J28:K28)+SUM(L28:T28)+SUM(U28:X28)+SUM(Z28:AD28))</f>
        <v>0</v>
      </c>
      <c r="AH28" s="174">
        <f>SUM(J28:AE28)</f>
        <v>0</v>
      </c>
    </row>
    <row r="29" spans="1:47" ht="12" x14ac:dyDescent="0.2">
      <c r="C29" s="90" t="s">
        <v>27</v>
      </c>
      <c r="D29" s="90" t="s">
        <v>28</v>
      </c>
      <c r="E29" s="90">
        <v>2025</v>
      </c>
      <c r="F29" s="90" t="s">
        <v>29</v>
      </c>
      <c r="G29" s="90"/>
      <c r="H29" s="90" t="s">
        <v>257</v>
      </c>
      <c r="I29" s="174">
        <v>0</v>
      </c>
      <c r="J29" s="174">
        <v>0</v>
      </c>
      <c r="K29" s="174">
        <v>0</v>
      </c>
      <c r="L29" s="174">
        <v>0</v>
      </c>
      <c r="M29" s="174">
        <v>0</v>
      </c>
      <c r="N29" s="174">
        <v>0</v>
      </c>
      <c r="O29" s="174">
        <v>0</v>
      </c>
      <c r="P29" s="174">
        <v>0</v>
      </c>
      <c r="Q29" s="174">
        <v>0</v>
      </c>
      <c r="R29" s="174">
        <v>0</v>
      </c>
      <c r="S29" s="174">
        <v>0</v>
      </c>
      <c r="T29" s="174">
        <v>0</v>
      </c>
      <c r="U29" s="174">
        <v>0</v>
      </c>
      <c r="V29" s="174">
        <v>0</v>
      </c>
      <c r="W29" s="174">
        <v>0</v>
      </c>
      <c r="X29" s="174">
        <v>0</v>
      </c>
      <c r="Y29" s="174">
        <v>0</v>
      </c>
      <c r="Z29" s="174">
        <v>0</v>
      </c>
      <c r="AA29" s="174">
        <v>0</v>
      </c>
      <c r="AB29" s="174">
        <v>0</v>
      </c>
      <c r="AC29" s="174">
        <v>0</v>
      </c>
      <c r="AD29" s="174">
        <v>0</v>
      </c>
      <c r="AE29" s="174">
        <v>0</v>
      </c>
      <c r="AG29" s="174">
        <f>(SUM(J29:K29)+SUM(L29:T29)+SUM(U29:X29)+SUM(Z29:AD29))</f>
        <v>0</v>
      </c>
      <c r="AH29" s="174">
        <f>SUM(J29:AE29)</f>
        <v>0</v>
      </c>
    </row>
    <row r="30" spans="1:47" ht="12" x14ac:dyDescent="0.2">
      <c r="C30" s="90" t="s">
        <v>27</v>
      </c>
      <c r="D30" s="90" t="s">
        <v>28</v>
      </c>
      <c r="E30" s="90">
        <v>2030</v>
      </c>
      <c r="F30" s="90" t="s">
        <v>29</v>
      </c>
      <c r="G30" s="90"/>
      <c r="H30" s="90" t="s">
        <v>257</v>
      </c>
      <c r="I30" s="174">
        <f>I29</f>
        <v>0</v>
      </c>
      <c r="J30" s="174">
        <f t="shared" ref="J30:AE30" si="7">J29</f>
        <v>0</v>
      </c>
      <c r="K30" s="174">
        <f t="shared" si="7"/>
        <v>0</v>
      </c>
      <c r="L30" s="174">
        <f t="shared" si="7"/>
        <v>0</v>
      </c>
      <c r="M30" s="174">
        <f t="shared" si="7"/>
        <v>0</v>
      </c>
      <c r="N30" s="174">
        <f t="shared" si="7"/>
        <v>0</v>
      </c>
      <c r="O30" s="174">
        <f t="shared" si="7"/>
        <v>0</v>
      </c>
      <c r="P30" s="174">
        <f t="shared" si="7"/>
        <v>0</v>
      </c>
      <c r="Q30" s="174">
        <f t="shared" si="7"/>
        <v>0</v>
      </c>
      <c r="R30" s="174">
        <f t="shared" si="7"/>
        <v>0</v>
      </c>
      <c r="S30" s="174">
        <f t="shared" si="7"/>
        <v>0</v>
      </c>
      <c r="T30" s="174">
        <f t="shared" si="7"/>
        <v>0</v>
      </c>
      <c r="U30" s="174">
        <f t="shared" si="7"/>
        <v>0</v>
      </c>
      <c r="V30" s="174">
        <f t="shared" si="7"/>
        <v>0</v>
      </c>
      <c r="W30" s="174">
        <f t="shared" si="7"/>
        <v>0</v>
      </c>
      <c r="X30" s="174">
        <f t="shared" si="7"/>
        <v>0</v>
      </c>
      <c r="Y30" s="174">
        <f t="shared" si="7"/>
        <v>0</v>
      </c>
      <c r="Z30" s="174">
        <f t="shared" si="7"/>
        <v>0</v>
      </c>
      <c r="AA30" s="174">
        <f t="shared" si="7"/>
        <v>0</v>
      </c>
      <c r="AB30" s="174">
        <f t="shared" si="7"/>
        <v>0</v>
      </c>
      <c r="AC30" s="174">
        <f t="shared" si="7"/>
        <v>0</v>
      </c>
      <c r="AD30" s="174">
        <f t="shared" si="7"/>
        <v>0</v>
      </c>
      <c r="AE30" s="174">
        <f t="shared" si="7"/>
        <v>0</v>
      </c>
      <c r="AG30" s="174"/>
      <c r="AH30" s="174"/>
    </row>
    <row r="31" spans="1:47" ht="12" x14ac:dyDescent="0.2">
      <c r="C31" s="90" t="s">
        <v>27</v>
      </c>
      <c r="D31" s="90" t="s">
        <v>28</v>
      </c>
      <c r="E31" s="90">
        <v>2035</v>
      </c>
      <c r="F31" s="90" t="s">
        <v>29</v>
      </c>
      <c r="G31" s="90"/>
      <c r="H31" s="90" t="s">
        <v>257</v>
      </c>
      <c r="I31" s="174">
        <v>0</v>
      </c>
      <c r="J31" s="174">
        <v>0</v>
      </c>
      <c r="K31" s="174">
        <v>0</v>
      </c>
      <c r="L31" s="174">
        <v>0</v>
      </c>
      <c r="M31" s="174">
        <v>0</v>
      </c>
      <c r="N31" s="174">
        <v>0</v>
      </c>
      <c r="O31" s="174">
        <v>0</v>
      </c>
      <c r="P31" s="174">
        <v>0</v>
      </c>
      <c r="Q31" s="174">
        <v>0</v>
      </c>
      <c r="R31" s="174">
        <v>0</v>
      </c>
      <c r="S31" s="174">
        <v>0</v>
      </c>
      <c r="T31" s="174">
        <v>0</v>
      </c>
      <c r="U31" s="174">
        <v>0</v>
      </c>
      <c r="V31" s="174">
        <v>0</v>
      </c>
      <c r="W31" s="174">
        <v>0</v>
      </c>
      <c r="X31" s="174">
        <v>0</v>
      </c>
      <c r="Y31" s="174">
        <v>0</v>
      </c>
      <c r="Z31" s="174">
        <v>0</v>
      </c>
      <c r="AA31" s="174">
        <v>0</v>
      </c>
      <c r="AB31" s="174">
        <v>0</v>
      </c>
      <c r="AC31" s="174">
        <v>0</v>
      </c>
      <c r="AD31" s="174">
        <v>0</v>
      </c>
      <c r="AE31" s="174">
        <v>0</v>
      </c>
      <c r="AG31" s="174"/>
      <c r="AH31" s="174"/>
    </row>
    <row r="32" spans="1:47" ht="12" x14ac:dyDescent="0.2">
      <c r="C32" s="90" t="s">
        <v>27</v>
      </c>
      <c r="D32" s="90" t="s">
        <v>28</v>
      </c>
      <c r="E32" s="90">
        <v>2040</v>
      </c>
      <c r="F32" s="90" t="s">
        <v>29</v>
      </c>
      <c r="G32" s="90"/>
      <c r="H32" s="90" t="s">
        <v>257</v>
      </c>
      <c r="I32" s="174">
        <v>0</v>
      </c>
      <c r="J32" s="174">
        <v>0</v>
      </c>
      <c r="K32" s="174">
        <v>0</v>
      </c>
      <c r="L32" s="174">
        <v>0</v>
      </c>
      <c r="M32" s="174">
        <v>0</v>
      </c>
      <c r="N32" s="174">
        <v>0</v>
      </c>
      <c r="O32" s="174">
        <v>0</v>
      </c>
      <c r="P32" s="174">
        <v>0</v>
      </c>
      <c r="Q32" s="174">
        <v>0</v>
      </c>
      <c r="R32" s="174">
        <v>0</v>
      </c>
      <c r="S32" s="174">
        <v>0</v>
      </c>
      <c r="T32" s="174">
        <v>0</v>
      </c>
      <c r="U32" s="174">
        <v>0</v>
      </c>
      <c r="V32" s="174">
        <v>0</v>
      </c>
      <c r="W32" s="174">
        <v>0</v>
      </c>
      <c r="X32" s="174">
        <v>0</v>
      </c>
      <c r="Y32" s="174">
        <v>0</v>
      </c>
      <c r="Z32" s="174">
        <v>0</v>
      </c>
      <c r="AA32" s="174">
        <v>0</v>
      </c>
      <c r="AB32" s="174">
        <v>0</v>
      </c>
      <c r="AC32" s="174">
        <v>0</v>
      </c>
      <c r="AD32" s="174">
        <v>0</v>
      </c>
      <c r="AE32" s="174">
        <v>0</v>
      </c>
      <c r="AG32" s="174"/>
      <c r="AH32" s="174"/>
    </row>
    <row r="33" spans="3:34" ht="12" x14ac:dyDescent="0.2">
      <c r="C33" s="90" t="s">
        <v>27</v>
      </c>
      <c r="D33" s="90" t="s">
        <v>28</v>
      </c>
      <c r="E33" s="90">
        <v>2045</v>
      </c>
      <c r="F33" s="90" t="s">
        <v>29</v>
      </c>
      <c r="G33" s="90"/>
      <c r="H33" s="90" t="s">
        <v>257</v>
      </c>
      <c r="I33" s="174">
        <v>0</v>
      </c>
      <c r="J33" s="174">
        <v>0</v>
      </c>
      <c r="K33" s="174">
        <v>0</v>
      </c>
      <c r="L33" s="174">
        <v>0</v>
      </c>
      <c r="M33" s="174">
        <v>0</v>
      </c>
      <c r="N33" s="174">
        <v>0</v>
      </c>
      <c r="O33" s="174">
        <v>0</v>
      </c>
      <c r="P33" s="174">
        <v>0</v>
      </c>
      <c r="Q33" s="174">
        <v>0</v>
      </c>
      <c r="R33" s="174">
        <v>0</v>
      </c>
      <c r="S33" s="174">
        <v>0</v>
      </c>
      <c r="T33" s="174">
        <v>0</v>
      </c>
      <c r="U33" s="174">
        <v>0</v>
      </c>
      <c r="V33" s="174">
        <v>0</v>
      </c>
      <c r="W33" s="174">
        <v>0</v>
      </c>
      <c r="X33" s="174">
        <v>0</v>
      </c>
      <c r="Y33" s="174">
        <v>0</v>
      </c>
      <c r="Z33" s="174">
        <v>0</v>
      </c>
      <c r="AA33" s="174">
        <v>0</v>
      </c>
      <c r="AB33" s="174">
        <v>0</v>
      </c>
      <c r="AC33" s="174">
        <v>0</v>
      </c>
      <c r="AD33" s="174">
        <v>0</v>
      </c>
      <c r="AE33" s="174">
        <v>0</v>
      </c>
      <c r="AG33" s="174"/>
      <c r="AH33" s="174"/>
    </row>
    <row r="34" spans="3:34" ht="12" x14ac:dyDescent="0.2">
      <c r="C34" s="90" t="s">
        <v>27</v>
      </c>
      <c r="D34" s="90" t="s">
        <v>28</v>
      </c>
      <c r="E34" s="90">
        <v>2050</v>
      </c>
      <c r="F34" s="90" t="s">
        <v>29</v>
      </c>
      <c r="G34" s="90"/>
      <c r="H34" s="90" t="s">
        <v>257</v>
      </c>
      <c r="I34" s="174">
        <v>0</v>
      </c>
      <c r="J34" s="174">
        <v>0</v>
      </c>
      <c r="K34" s="174">
        <v>0</v>
      </c>
      <c r="L34" s="174">
        <v>0</v>
      </c>
      <c r="M34" s="174">
        <v>0</v>
      </c>
      <c r="N34" s="174">
        <v>0</v>
      </c>
      <c r="O34" s="174">
        <v>0</v>
      </c>
      <c r="P34" s="174">
        <v>0</v>
      </c>
      <c r="Q34" s="174">
        <v>0</v>
      </c>
      <c r="R34" s="174">
        <v>0</v>
      </c>
      <c r="S34" s="174">
        <v>0</v>
      </c>
      <c r="T34" s="174">
        <v>0</v>
      </c>
      <c r="U34" s="174">
        <v>0</v>
      </c>
      <c r="V34" s="174">
        <v>0</v>
      </c>
      <c r="W34" s="174">
        <v>0</v>
      </c>
      <c r="X34" s="174">
        <v>0</v>
      </c>
      <c r="Y34" s="174">
        <v>0</v>
      </c>
      <c r="Z34" s="174">
        <v>0</v>
      </c>
      <c r="AA34" s="174">
        <v>0</v>
      </c>
      <c r="AB34" s="174">
        <v>0</v>
      </c>
      <c r="AC34" s="174">
        <v>0</v>
      </c>
      <c r="AD34" s="174">
        <v>0</v>
      </c>
      <c r="AE34" s="174">
        <v>0</v>
      </c>
      <c r="AG34" s="174"/>
      <c r="AH34" s="174"/>
    </row>
    <row r="35" spans="3:34" ht="12" x14ac:dyDescent="0.2">
      <c r="C35" s="90" t="s">
        <v>27</v>
      </c>
      <c r="D35" s="90" t="s">
        <v>28</v>
      </c>
      <c r="E35" s="90">
        <v>2055</v>
      </c>
      <c r="F35" s="90" t="s">
        <v>29</v>
      </c>
      <c r="G35" s="90"/>
      <c r="H35" s="90" t="s">
        <v>257</v>
      </c>
      <c r="I35" s="174">
        <v>0</v>
      </c>
      <c r="J35" s="174">
        <v>0</v>
      </c>
      <c r="K35" s="174">
        <v>0</v>
      </c>
      <c r="L35" s="174">
        <v>0</v>
      </c>
      <c r="M35" s="174">
        <v>0</v>
      </c>
      <c r="N35" s="174">
        <v>0</v>
      </c>
      <c r="O35" s="174">
        <v>0</v>
      </c>
      <c r="P35" s="174">
        <v>0</v>
      </c>
      <c r="Q35" s="174">
        <v>0</v>
      </c>
      <c r="R35" s="174">
        <v>0</v>
      </c>
      <c r="S35" s="174">
        <v>0</v>
      </c>
      <c r="T35" s="174">
        <v>0</v>
      </c>
      <c r="U35" s="174">
        <v>0</v>
      </c>
      <c r="V35" s="174">
        <v>0</v>
      </c>
      <c r="W35" s="174">
        <v>0</v>
      </c>
      <c r="X35" s="174">
        <v>0</v>
      </c>
      <c r="Y35" s="174">
        <v>0</v>
      </c>
      <c r="Z35" s="174">
        <v>0</v>
      </c>
      <c r="AA35" s="174">
        <v>0</v>
      </c>
      <c r="AB35" s="174">
        <v>0</v>
      </c>
      <c r="AC35" s="174">
        <v>0</v>
      </c>
      <c r="AD35" s="174">
        <v>0</v>
      </c>
      <c r="AE35" s="174">
        <v>0</v>
      </c>
      <c r="AG35" s="174"/>
      <c r="AH35" s="174"/>
    </row>
    <row r="36" spans="3:34" ht="12" x14ac:dyDescent="0.2">
      <c r="C36" s="175" t="s">
        <v>27</v>
      </c>
      <c r="D36" s="175" t="s">
        <v>28</v>
      </c>
      <c r="E36" s="175">
        <v>2060</v>
      </c>
      <c r="F36" s="175" t="s">
        <v>29</v>
      </c>
      <c r="G36" s="175"/>
      <c r="H36" s="175" t="str">
        <f>H29</f>
        <v>MINSNKCB11,MINSNKCB21,MINSNKEOR1,MINSNKCB31,MINSNKDOGO1,MINSNKDOGF1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6">
        <v>0</v>
      </c>
      <c r="O36" s="176">
        <v>0</v>
      </c>
      <c r="P36" s="176">
        <v>0</v>
      </c>
      <c r="Q36" s="176">
        <v>0</v>
      </c>
      <c r="R36" s="176">
        <v>0</v>
      </c>
      <c r="S36" s="176">
        <v>0</v>
      </c>
      <c r="T36" s="176">
        <v>0</v>
      </c>
      <c r="U36" s="176">
        <v>0</v>
      </c>
      <c r="V36" s="176">
        <v>0</v>
      </c>
      <c r="W36" s="176">
        <v>0</v>
      </c>
      <c r="X36" s="176">
        <v>0</v>
      </c>
      <c r="Y36" s="176">
        <v>0</v>
      </c>
      <c r="Z36" s="176">
        <v>0</v>
      </c>
      <c r="AA36" s="176">
        <v>0</v>
      </c>
      <c r="AB36" s="176">
        <v>0</v>
      </c>
      <c r="AC36" s="176">
        <v>0</v>
      </c>
      <c r="AD36" s="176">
        <v>0</v>
      </c>
      <c r="AE36" s="176">
        <v>0</v>
      </c>
      <c r="AG36" s="176">
        <f>(SUM(J36:K36)+SUM(L36:T36)+SUM(U36:X36)+SUM(Z36:AD36))</f>
        <v>0</v>
      </c>
      <c r="AH36" s="176">
        <f>SUM(J36:AE36)</f>
        <v>0</v>
      </c>
    </row>
    <row r="37" spans="3:34" ht="12" x14ac:dyDescent="0.2">
      <c r="C37" s="90" t="s">
        <v>27</v>
      </c>
      <c r="D37" s="90" t="s">
        <v>28</v>
      </c>
      <c r="E37" s="90">
        <v>2020</v>
      </c>
      <c r="F37" s="90" t="s">
        <v>29</v>
      </c>
      <c r="G37" s="90"/>
      <c r="H37" s="90" t="s">
        <v>159</v>
      </c>
      <c r="I37" s="174">
        <v>0</v>
      </c>
      <c r="J37" s="174">
        <v>0</v>
      </c>
      <c r="K37" s="174">
        <v>0</v>
      </c>
      <c r="L37" s="174">
        <v>0</v>
      </c>
      <c r="M37" s="174">
        <v>0</v>
      </c>
      <c r="N37" s="174">
        <v>0</v>
      </c>
      <c r="O37" s="174">
        <v>0</v>
      </c>
      <c r="P37" s="174">
        <v>0</v>
      </c>
      <c r="Q37" s="174">
        <v>0</v>
      </c>
      <c r="R37" s="174">
        <v>0</v>
      </c>
      <c r="S37" s="174">
        <v>0</v>
      </c>
      <c r="T37" s="174">
        <v>0</v>
      </c>
      <c r="U37" s="174">
        <v>0</v>
      </c>
      <c r="V37" s="174">
        <v>0</v>
      </c>
      <c r="W37" s="174">
        <v>0</v>
      </c>
      <c r="X37" s="174">
        <v>0</v>
      </c>
      <c r="Y37" s="174">
        <v>0</v>
      </c>
      <c r="Z37" s="174">
        <v>0</v>
      </c>
      <c r="AA37" s="174">
        <v>0</v>
      </c>
      <c r="AB37" s="174">
        <v>0</v>
      </c>
      <c r="AC37" s="174">
        <v>0</v>
      </c>
      <c r="AD37" s="174">
        <v>0</v>
      </c>
      <c r="AE37" s="174">
        <v>0</v>
      </c>
      <c r="AG37" s="174"/>
      <c r="AH37" s="174"/>
    </row>
    <row r="38" spans="3:34" ht="12" x14ac:dyDescent="0.2">
      <c r="C38" s="90" t="s">
        <v>27</v>
      </c>
      <c r="D38" s="90" t="s">
        <v>28</v>
      </c>
      <c r="E38" s="90">
        <v>2020</v>
      </c>
      <c r="F38" s="90" t="s">
        <v>29</v>
      </c>
      <c r="G38" s="90"/>
      <c r="H38" s="90" t="s">
        <v>158</v>
      </c>
      <c r="I38" s="174">
        <v>0</v>
      </c>
      <c r="J38" s="174">
        <v>0</v>
      </c>
      <c r="K38" s="174">
        <v>0</v>
      </c>
      <c r="L38" s="174">
        <v>0</v>
      </c>
      <c r="M38" s="174">
        <v>0</v>
      </c>
      <c r="N38" s="174">
        <v>0</v>
      </c>
      <c r="O38" s="174">
        <v>0</v>
      </c>
      <c r="P38" s="174">
        <v>0</v>
      </c>
      <c r="Q38" s="174">
        <v>0</v>
      </c>
      <c r="R38" s="174">
        <v>0</v>
      </c>
      <c r="S38" s="174">
        <v>0</v>
      </c>
      <c r="T38" s="174">
        <v>0</v>
      </c>
      <c r="U38" s="174">
        <v>0</v>
      </c>
      <c r="V38" s="174">
        <v>0</v>
      </c>
      <c r="W38" s="174">
        <v>0</v>
      </c>
      <c r="X38" s="174">
        <v>0</v>
      </c>
      <c r="Y38" s="174">
        <v>0</v>
      </c>
      <c r="Z38" s="174">
        <v>0</v>
      </c>
      <c r="AA38" s="174">
        <v>0</v>
      </c>
      <c r="AB38" s="174">
        <v>0</v>
      </c>
      <c r="AC38" s="174">
        <v>0</v>
      </c>
      <c r="AD38" s="174">
        <v>0</v>
      </c>
      <c r="AE38" s="174">
        <v>0</v>
      </c>
      <c r="AG38" s="174"/>
      <c r="AH38" s="174"/>
    </row>
    <row r="39" spans="3:34" ht="12" x14ac:dyDescent="0.2">
      <c r="C39" s="90" t="s">
        <v>27</v>
      </c>
      <c r="D39" s="90" t="s">
        <v>28</v>
      </c>
      <c r="E39" s="90">
        <v>2020</v>
      </c>
      <c r="F39" s="90" t="s">
        <v>29</v>
      </c>
      <c r="G39" s="90"/>
      <c r="H39" s="90" t="s">
        <v>33</v>
      </c>
      <c r="I39" s="174">
        <v>0</v>
      </c>
      <c r="J39" s="174">
        <v>0</v>
      </c>
      <c r="K39" s="174">
        <v>0</v>
      </c>
      <c r="L39" s="174">
        <v>0</v>
      </c>
      <c r="M39" s="174">
        <v>0</v>
      </c>
      <c r="N39" s="174">
        <v>0</v>
      </c>
      <c r="O39" s="174">
        <v>0</v>
      </c>
      <c r="P39" s="174">
        <v>0</v>
      </c>
      <c r="Q39" s="174">
        <v>0</v>
      </c>
      <c r="R39" s="174">
        <v>0</v>
      </c>
      <c r="S39" s="174">
        <v>0</v>
      </c>
      <c r="T39" s="174">
        <v>0</v>
      </c>
      <c r="U39" s="174">
        <v>0</v>
      </c>
      <c r="V39" s="174">
        <v>0</v>
      </c>
      <c r="W39" s="174">
        <v>0</v>
      </c>
      <c r="X39" s="174">
        <v>0</v>
      </c>
      <c r="Y39" s="174">
        <v>0</v>
      </c>
      <c r="Z39" s="174">
        <v>0</v>
      </c>
      <c r="AA39" s="174">
        <v>0</v>
      </c>
      <c r="AB39" s="174">
        <v>0</v>
      </c>
      <c r="AC39" s="174">
        <v>0</v>
      </c>
      <c r="AD39" s="174">
        <v>0</v>
      </c>
      <c r="AE39" s="174">
        <v>0</v>
      </c>
      <c r="AG39" s="174"/>
      <c r="AH39" s="174"/>
    </row>
    <row r="40" spans="3:34" ht="12" x14ac:dyDescent="0.2">
      <c r="C40" s="90" t="s">
        <v>27</v>
      </c>
      <c r="D40" s="90" t="s">
        <v>28</v>
      </c>
      <c r="E40" s="90">
        <v>2020</v>
      </c>
      <c r="F40" s="90" t="s">
        <v>29</v>
      </c>
      <c r="G40" s="90"/>
      <c r="H40" s="90" t="s">
        <v>34</v>
      </c>
      <c r="I40" s="174">
        <v>0</v>
      </c>
      <c r="J40" s="174">
        <v>0</v>
      </c>
      <c r="K40" s="174">
        <v>0</v>
      </c>
      <c r="L40" s="174">
        <v>0</v>
      </c>
      <c r="M40" s="174">
        <v>0</v>
      </c>
      <c r="N40" s="174">
        <v>0</v>
      </c>
      <c r="O40" s="174">
        <v>0</v>
      </c>
      <c r="P40" s="174">
        <v>0</v>
      </c>
      <c r="Q40" s="174">
        <v>0</v>
      </c>
      <c r="R40" s="174">
        <v>0</v>
      </c>
      <c r="S40" s="174">
        <v>0</v>
      </c>
      <c r="T40" s="174">
        <v>0</v>
      </c>
      <c r="U40" s="174">
        <v>0</v>
      </c>
      <c r="V40" s="174">
        <v>0</v>
      </c>
      <c r="W40" s="174">
        <v>0</v>
      </c>
      <c r="X40" s="174">
        <v>0</v>
      </c>
      <c r="Y40" s="174">
        <v>0</v>
      </c>
      <c r="Z40" s="174">
        <v>0</v>
      </c>
      <c r="AA40" s="174">
        <v>0</v>
      </c>
      <c r="AB40" s="174">
        <v>0</v>
      </c>
      <c r="AC40" s="174">
        <v>0</v>
      </c>
      <c r="AD40" s="174">
        <v>0</v>
      </c>
      <c r="AE40" s="174">
        <v>0</v>
      </c>
      <c r="AG40" s="174"/>
      <c r="AH40" s="174"/>
    </row>
    <row r="41" spans="3:34" ht="12" x14ac:dyDescent="0.2">
      <c r="C41" s="90" t="s">
        <v>27</v>
      </c>
      <c r="D41" s="90" t="s">
        <v>28</v>
      </c>
      <c r="E41" s="90">
        <v>2020</v>
      </c>
      <c r="F41" s="90" t="s">
        <v>29</v>
      </c>
      <c r="G41" s="90"/>
      <c r="H41" s="90" t="s">
        <v>31</v>
      </c>
      <c r="I41" s="174">
        <v>0</v>
      </c>
      <c r="J41" s="174">
        <v>0</v>
      </c>
      <c r="K41" s="174">
        <v>0</v>
      </c>
      <c r="L41" s="174">
        <v>0</v>
      </c>
      <c r="M41" s="174">
        <v>0</v>
      </c>
      <c r="N41" s="174">
        <v>0</v>
      </c>
      <c r="O41" s="174">
        <v>0</v>
      </c>
      <c r="P41" s="174">
        <v>0</v>
      </c>
      <c r="Q41" s="174">
        <v>0</v>
      </c>
      <c r="R41" s="174">
        <v>0</v>
      </c>
      <c r="S41" s="174">
        <v>0</v>
      </c>
      <c r="T41" s="174">
        <v>0</v>
      </c>
      <c r="U41" s="174">
        <v>0</v>
      </c>
      <c r="V41" s="174">
        <v>0</v>
      </c>
      <c r="W41" s="174">
        <v>0</v>
      </c>
      <c r="X41" s="174">
        <v>0</v>
      </c>
      <c r="Y41" s="174">
        <v>0</v>
      </c>
      <c r="Z41" s="174">
        <v>0</v>
      </c>
      <c r="AA41" s="174">
        <v>0</v>
      </c>
      <c r="AB41" s="174">
        <v>0</v>
      </c>
      <c r="AC41" s="174">
        <v>0</v>
      </c>
      <c r="AD41" s="174">
        <v>0</v>
      </c>
      <c r="AE41" s="174">
        <v>0</v>
      </c>
      <c r="AG41" s="174"/>
      <c r="AH41" s="174"/>
    </row>
    <row r="42" spans="3:34" ht="12" x14ac:dyDescent="0.2">
      <c r="C42" s="175" t="s">
        <v>27</v>
      </c>
      <c r="D42" s="175" t="s">
        <v>28</v>
      </c>
      <c r="E42" s="90">
        <v>2020</v>
      </c>
      <c r="F42" s="175" t="s">
        <v>29</v>
      </c>
      <c r="G42" s="175"/>
      <c r="H42" s="175" t="s">
        <v>32</v>
      </c>
      <c r="I42" s="176">
        <v>0</v>
      </c>
      <c r="J42" s="176">
        <v>0</v>
      </c>
      <c r="K42" s="176">
        <v>0</v>
      </c>
      <c r="L42" s="176">
        <v>0</v>
      </c>
      <c r="M42" s="176">
        <v>0</v>
      </c>
      <c r="N42" s="176">
        <v>0</v>
      </c>
      <c r="O42" s="176">
        <v>0</v>
      </c>
      <c r="P42" s="176">
        <v>0</v>
      </c>
      <c r="Q42" s="176">
        <v>0</v>
      </c>
      <c r="R42" s="176">
        <v>0</v>
      </c>
      <c r="S42" s="176">
        <v>0</v>
      </c>
      <c r="T42" s="176">
        <v>0</v>
      </c>
      <c r="U42" s="176">
        <v>0</v>
      </c>
      <c r="V42" s="176">
        <v>0</v>
      </c>
      <c r="W42" s="176">
        <v>0</v>
      </c>
      <c r="X42" s="176">
        <v>0</v>
      </c>
      <c r="Y42" s="176">
        <v>0</v>
      </c>
      <c r="Z42" s="176">
        <v>0</v>
      </c>
      <c r="AA42" s="176">
        <v>0</v>
      </c>
      <c r="AB42" s="176">
        <v>0</v>
      </c>
      <c r="AC42" s="176">
        <v>0</v>
      </c>
      <c r="AD42" s="176">
        <v>0</v>
      </c>
      <c r="AE42" s="176">
        <v>0</v>
      </c>
      <c r="AF42" s="177"/>
      <c r="AG42" s="176"/>
      <c r="AH42" s="176"/>
    </row>
    <row r="43" spans="3:34" ht="12" x14ac:dyDescent="0.2">
      <c r="C43" s="90" t="s">
        <v>27</v>
      </c>
      <c r="D43" s="90" t="s">
        <v>28</v>
      </c>
      <c r="E43" s="90">
        <v>2025</v>
      </c>
      <c r="F43" s="90" t="s">
        <v>29</v>
      </c>
      <c r="G43" s="90"/>
      <c r="H43" s="90" t="s">
        <v>159</v>
      </c>
      <c r="I43" s="174">
        <v>0</v>
      </c>
      <c r="J43" s="174">
        <v>0</v>
      </c>
      <c r="K43" s="174">
        <v>0</v>
      </c>
      <c r="L43" s="174">
        <v>0</v>
      </c>
      <c r="M43" s="174">
        <v>0</v>
      </c>
      <c r="N43" s="174">
        <v>0</v>
      </c>
      <c r="O43" s="174">
        <v>0</v>
      </c>
      <c r="P43" s="174">
        <v>0</v>
      </c>
      <c r="Q43" s="174">
        <v>0</v>
      </c>
      <c r="R43" s="174">
        <v>0</v>
      </c>
      <c r="S43" s="174">
        <v>0</v>
      </c>
      <c r="T43" s="174">
        <v>0</v>
      </c>
      <c r="U43" s="174">
        <v>0</v>
      </c>
      <c r="V43" s="174">
        <v>0</v>
      </c>
      <c r="W43" s="174">
        <v>0</v>
      </c>
      <c r="X43" s="174">
        <v>0</v>
      </c>
      <c r="Y43" s="174">
        <v>0</v>
      </c>
      <c r="Z43" s="174">
        <v>0</v>
      </c>
      <c r="AA43" s="174">
        <v>0</v>
      </c>
      <c r="AB43" s="174">
        <v>0</v>
      </c>
      <c r="AC43" s="174">
        <v>0</v>
      </c>
      <c r="AD43" s="174">
        <v>0</v>
      </c>
      <c r="AE43" s="174">
        <v>0</v>
      </c>
      <c r="AG43" s="174"/>
      <c r="AH43" s="174"/>
    </row>
    <row r="44" spans="3:34" ht="12" x14ac:dyDescent="0.2">
      <c r="C44" s="90" t="s">
        <v>27</v>
      </c>
      <c r="D44" s="90" t="s">
        <v>28</v>
      </c>
      <c r="E44" s="90">
        <v>2025</v>
      </c>
      <c r="F44" s="90" t="s">
        <v>29</v>
      </c>
      <c r="G44" s="90"/>
      <c r="H44" s="90" t="s">
        <v>158</v>
      </c>
      <c r="I44" s="174">
        <v>0</v>
      </c>
      <c r="J44" s="174">
        <v>0</v>
      </c>
      <c r="K44" s="174">
        <v>0</v>
      </c>
      <c r="L44" s="174">
        <v>0</v>
      </c>
      <c r="M44" s="174">
        <v>0</v>
      </c>
      <c r="N44" s="174">
        <v>0</v>
      </c>
      <c r="O44" s="174">
        <v>0</v>
      </c>
      <c r="P44" s="174">
        <v>0</v>
      </c>
      <c r="Q44" s="174">
        <v>0</v>
      </c>
      <c r="R44" s="174">
        <v>0</v>
      </c>
      <c r="S44" s="174">
        <v>0</v>
      </c>
      <c r="T44" s="174">
        <v>0</v>
      </c>
      <c r="U44" s="174">
        <v>0</v>
      </c>
      <c r="V44" s="174">
        <v>0</v>
      </c>
      <c r="W44" s="174">
        <v>0</v>
      </c>
      <c r="X44" s="174">
        <v>0</v>
      </c>
      <c r="Y44" s="174">
        <v>0</v>
      </c>
      <c r="Z44" s="174">
        <v>0</v>
      </c>
      <c r="AA44" s="174">
        <v>0</v>
      </c>
      <c r="AB44" s="174">
        <v>0</v>
      </c>
      <c r="AC44" s="174">
        <v>0</v>
      </c>
      <c r="AD44" s="174">
        <v>0</v>
      </c>
      <c r="AE44" s="174">
        <v>0</v>
      </c>
      <c r="AG44" s="174"/>
      <c r="AH44" s="174"/>
    </row>
    <row r="45" spans="3:34" ht="12" x14ac:dyDescent="0.2">
      <c r="C45" s="90" t="s">
        <v>27</v>
      </c>
      <c r="D45" s="90" t="s">
        <v>28</v>
      </c>
      <c r="E45" s="90">
        <v>2025</v>
      </c>
      <c r="F45" s="90" t="s">
        <v>29</v>
      </c>
      <c r="G45" s="90"/>
      <c r="H45" s="90" t="s">
        <v>33</v>
      </c>
      <c r="I45" s="174">
        <v>0</v>
      </c>
      <c r="J45" s="174">
        <v>0</v>
      </c>
      <c r="K45" s="174">
        <v>0</v>
      </c>
      <c r="L45" s="174">
        <v>0</v>
      </c>
      <c r="M45" s="174">
        <v>0</v>
      </c>
      <c r="N45" s="174">
        <v>0</v>
      </c>
      <c r="O45" s="174">
        <v>0</v>
      </c>
      <c r="P45" s="174">
        <v>0</v>
      </c>
      <c r="Q45" s="174">
        <v>0</v>
      </c>
      <c r="R45" s="174">
        <v>0</v>
      </c>
      <c r="S45" s="174">
        <v>0</v>
      </c>
      <c r="T45" s="174">
        <v>0</v>
      </c>
      <c r="U45" s="174">
        <v>0</v>
      </c>
      <c r="V45" s="174">
        <v>0</v>
      </c>
      <c r="W45" s="174">
        <v>0</v>
      </c>
      <c r="X45" s="174">
        <v>0</v>
      </c>
      <c r="Y45" s="174">
        <v>0</v>
      </c>
      <c r="Z45" s="174">
        <v>0</v>
      </c>
      <c r="AA45" s="174">
        <v>0</v>
      </c>
      <c r="AB45" s="174">
        <v>0</v>
      </c>
      <c r="AC45" s="174">
        <v>0</v>
      </c>
      <c r="AD45" s="174">
        <v>0</v>
      </c>
      <c r="AE45" s="174">
        <v>0</v>
      </c>
      <c r="AG45" s="174"/>
      <c r="AH45" s="174"/>
    </row>
    <row r="46" spans="3:34" ht="12" x14ac:dyDescent="0.2">
      <c r="C46" s="90" t="s">
        <v>27</v>
      </c>
      <c r="D46" s="90" t="s">
        <v>28</v>
      </c>
      <c r="E46" s="90">
        <v>2025</v>
      </c>
      <c r="F46" s="90" t="s">
        <v>29</v>
      </c>
      <c r="G46" s="90"/>
      <c r="H46" s="90" t="s">
        <v>34</v>
      </c>
      <c r="I46" s="174">
        <v>0</v>
      </c>
      <c r="J46" s="174">
        <v>0</v>
      </c>
      <c r="K46" s="174">
        <v>0</v>
      </c>
      <c r="L46" s="17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174">
        <v>0</v>
      </c>
      <c r="T46" s="174">
        <v>0</v>
      </c>
      <c r="U46" s="174">
        <v>0</v>
      </c>
      <c r="V46" s="174">
        <v>0</v>
      </c>
      <c r="W46" s="174">
        <v>0</v>
      </c>
      <c r="X46" s="174">
        <v>0</v>
      </c>
      <c r="Y46" s="174">
        <v>0</v>
      </c>
      <c r="Z46" s="174">
        <v>0</v>
      </c>
      <c r="AA46" s="174">
        <v>0</v>
      </c>
      <c r="AB46" s="174">
        <v>0</v>
      </c>
      <c r="AC46" s="174">
        <v>0</v>
      </c>
      <c r="AD46" s="174">
        <v>0</v>
      </c>
      <c r="AE46" s="174">
        <v>0</v>
      </c>
      <c r="AG46" s="174"/>
      <c r="AH46" s="174"/>
    </row>
    <row r="47" spans="3:34" ht="12" x14ac:dyDescent="0.2">
      <c r="C47" s="90" t="s">
        <v>27</v>
      </c>
      <c r="D47" s="90" t="s">
        <v>28</v>
      </c>
      <c r="E47" s="90">
        <v>2025</v>
      </c>
      <c r="F47" s="90" t="s">
        <v>29</v>
      </c>
      <c r="G47" s="90"/>
      <c r="H47" s="90" t="s">
        <v>31</v>
      </c>
      <c r="I47" s="174">
        <v>0</v>
      </c>
      <c r="J47" s="174">
        <v>0</v>
      </c>
      <c r="K47" s="174">
        <v>0</v>
      </c>
      <c r="L47" s="174">
        <v>0</v>
      </c>
      <c r="M47" s="174">
        <v>0</v>
      </c>
      <c r="N47" s="174">
        <v>0</v>
      </c>
      <c r="O47" s="174">
        <v>0</v>
      </c>
      <c r="P47" s="174">
        <v>0</v>
      </c>
      <c r="Q47" s="174">
        <v>0</v>
      </c>
      <c r="R47" s="174">
        <v>0</v>
      </c>
      <c r="S47" s="174">
        <v>0</v>
      </c>
      <c r="T47" s="174">
        <v>0</v>
      </c>
      <c r="U47" s="174">
        <v>0</v>
      </c>
      <c r="V47" s="174">
        <v>0</v>
      </c>
      <c r="W47" s="174">
        <v>0</v>
      </c>
      <c r="X47" s="174">
        <v>0</v>
      </c>
      <c r="Y47" s="174">
        <v>0</v>
      </c>
      <c r="Z47" s="174">
        <v>0</v>
      </c>
      <c r="AA47" s="174">
        <v>0</v>
      </c>
      <c r="AB47" s="174">
        <v>0</v>
      </c>
      <c r="AC47" s="174">
        <v>0</v>
      </c>
      <c r="AD47" s="174">
        <v>0</v>
      </c>
      <c r="AE47" s="174">
        <v>0</v>
      </c>
      <c r="AG47" s="174"/>
      <c r="AH47" s="174"/>
    </row>
    <row r="48" spans="3:34" ht="12" x14ac:dyDescent="0.2">
      <c r="C48" s="175" t="s">
        <v>27</v>
      </c>
      <c r="D48" s="175" t="s">
        <v>28</v>
      </c>
      <c r="E48" s="175">
        <v>2025</v>
      </c>
      <c r="F48" s="175" t="s">
        <v>29</v>
      </c>
      <c r="G48" s="175"/>
      <c r="H48" s="175" t="s">
        <v>32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6">
        <v>0</v>
      </c>
      <c r="O48" s="176">
        <v>0</v>
      </c>
      <c r="P48" s="176">
        <v>0</v>
      </c>
      <c r="Q48" s="176">
        <v>0</v>
      </c>
      <c r="R48" s="176">
        <v>0</v>
      </c>
      <c r="S48" s="176">
        <v>0</v>
      </c>
      <c r="T48" s="176">
        <v>0</v>
      </c>
      <c r="U48" s="176">
        <v>0</v>
      </c>
      <c r="V48" s="176">
        <v>0</v>
      </c>
      <c r="W48" s="176">
        <v>0</v>
      </c>
      <c r="X48" s="176">
        <v>0</v>
      </c>
      <c r="Y48" s="176">
        <v>0</v>
      </c>
      <c r="Z48" s="176">
        <v>0</v>
      </c>
      <c r="AA48" s="176">
        <v>0</v>
      </c>
      <c r="AB48" s="176">
        <v>0</v>
      </c>
      <c r="AC48" s="176">
        <v>0</v>
      </c>
      <c r="AD48" s="176">
        <v>0</v>
      </c>
      <c r="AE48" s="176">
        <v>0</v>
      </c>
      <c r="AF48" s="177"/>
      <c r="AG48" s="176"/>
      <c r="AH48" s="176"/>
    </row>
    <row r="49" spans="1:36" ht="12" x14ac:dyDescent="0.2">
      <c r="A49" s="16" t="s">
        <v>248</v>
      </c>
      <c r="C49" s="90" t="s">
        <v>27</v>
      </c>
      <c r="D49" s="90" t="s">
        <v>28</v>
      </c>
      <c r="E49" s="90">
        <v>2028</v>
      </c>
      <c r="F49" s="90" t="s">
        <v>29</v>
      </c>
      <c r="G49" s="90"/>
      <c r="H49" s="90" t="s">
        <v>159</v>
      </c>
      <c r="I49" s="174">
        <v>0</v>
      </c>
      <c r="J49" s="174">
        <v>0</v>
      </c>
      <c r="K49" s="154">
        <f>E108</f>
        <v>600</v>
      </c>
      <c r="L49" s="174">
        <v>0</v>
      </c>
      <c r="M49" s="174">
        <v>0</v>
      </c>
      <c r="N49" s="154">
        <f>G108</f>
        <v>3000</v>
      </c>
      <c r="O49" s="174">
        <v>0</v>
      </c>
      <c r="P49" s="174">
        <v>0</v>
      </c>
      <c r="Q49" s="174">
        <v>0</v>
      </c>
      <c r="R49" s="174">
        <v>0</v>
      </c>
      <c r="S49" s="174">
        <v>0</v>
      </c>
      <c r="T49" s="174">
        <v>0</v>
      </c>
      <c r="U49" s="154">
        <f>M108</f>
        <v>4000</v>
      </c>
      <c r="V49" s="174">
        <v>0</v>
      </c>
      <c r="W49" s="174">
        <v>0</v>
      </c>
      <c r="X49" s="154">
        <f>N108</f>
        <v>12500</v>
      </c>
      <c r="Y49" s="154">
        <f>P108</f>
        <v>700</v>
      </c>
      <c r="Z49" s="174">
        <v>0</v>
      </c>
      <c r="AA49" s="174">
        <v>0</v>
      </c>
      <c r="AB49" s="174">
        <v>0</v>
      </c>
      <c r="AC49" s="174">
        <v>0</v>
      </c>
      <c r="AD49" s="174">
        <v>0</v>
      </c>
      <c r="AE49" s="154">
        <f>Q108</f>
        <v>15500</v>
      </c>
      <c r="AG49" s="174">
        <f>(SUM(J49:K49)+SUM(L49:T49)+SUM(U49:X49)+SUM(Z49:AD49))</f>
        <v>20100</v>
      </c>
      <c r="AH49" s="174">
        <f>SUM(J49:AE49)</f>
        <v>36300</v>
      </c>
      <c r="AJ49" s="1">
        <v>0.43099999999999999</v>
      </c>
    </row>
    <row r="50" spans="1:36" ht="12" x14ac:dyDescent="0.2">
      <c r="A50" s="16" t="s">
        <v>248</v>
      </c>
      <c r="C50" s="90" t="s">
        <v>27</v>
      </c>
      <c r="D50" s="90" t="s">
        <v>28</v>
      </c>
      <c r="E50" s="90">
        <v>2028</v>
      </c>
      <c r="F50" s="90" t="s">
        <v>29</v>
      </c>
      <c r="G50" s="90"/>
      <c r="H50" s="90" t="s">
        <v>158</v>
      </c>
      <c r="I50" s="174">
        <v>0</v>
      </c>
      <c r="J50" s="174">
        <v>0</v>
      </c>
      <c r="K50" s="174">
        <v>0</v>
      </c>
      <c r="L50" s="174">
        <v>0</v>
      </c>
      <c r="M50" s="174">
        <v>0</v>
      </c>
      <c r="N50" s="154">
        <f>F108</f>
        <v>1500</v>
      </c>
      <c r="O50" s="154">
        <f>K108</f>
        <v>2500</v>
      </c>
      <c r="P50" s="174">
        <v>0</v>
      </c>
      <c r="Q50" s="174">
        <v>0</v>
      </c>
      <c r="R50" s="174">
        <v>0</v>
      </c>
      <c r="S50" s="174">
        <v>0</v>
      </c>
      <c r="T50" s="174">
        <v>0</v>
      </c>
      <c r="U50" s="174">
        <v>0</v>
      </c>
      <c r="V50" s="174">
        <v>0</v>
      </c>
      <c r="W50" s="174">
        <v>0</v>
      </c>
      <c r="X50" s="174">
        <v>0</v>
      </c>
      <c r="Y50" s="174">
        <v>0</v>
      </c>
      <c r="Z50" s="174">
        <v>0</v>
      </c>
      <c r="AA50" s="174">
        <v>0</v>
      </c>
      <c r="AB50" s="174">
        <v>0</v>
      </c>
      <c r="AC50" s="174">
        <v>0</v>
      </c>
      <c r="AD50" s="174">
        <v>0</v>
      </c>
      <c r="AE50" s="154">
        <f>S108</f>
        <v>3600</v>
      </c>
      <c r="AG50" s="174">
        <f>(SUM(J50:K50)+SUM(L50:T50)+SUM(U50:X50)+SUM(Z50:AD50))</f>
        <v>4000</v>
      </c>
      <c r="AH50" s="174">
        <f>SUM(J50:AE50)</f>
        <v>7600</v>
      </c>
      <c r="AJ50" s="1">
        <v>682270</v>
      </c>
    </row>
    <row r="51" spans="1:36" ht="12" x14ac:dyDescent="0.2">
      <c r="A51" s="16" t="s">
        <v>248</v>
      </c>
      <c r="C51" s="90" t="s">
        <v>27</v>
      </c>
      <c r="D51" s="90" t="s">
        <v>28</v>
      </c>
      <c r="E51" s="90">
        <v>2028</v>
      </c>
      <c r="F51" s="90" t="s">
        <v>29</v>
      </c>
      <c r="G51" s="90"/>
      <c r="H51" s="90" t="s">
        <v>33</v>
      </c>
      <c r="I51" s="174">
        <v>0</v>
      </c>
      <c r="J51" s="174">
        <v>0</v>
      </c>
      <c r="K51" s="174">
        <v>0</v>
      </c>
      <c r="L51" s="174">
        <v>0</v>
      </c>
      <c r="M51" s="174">
        <v>0</v>
      </c>
      <c r="N51" s="154">
        <v>0</v>
      </c>
      <c r="O51" s="154">
        <v>0</v>
      </c>
      <c r="P51" s="174">
        <v>0</v>
      </c>
      <c r="Q51" s="174">
        <v>0</v>
      </c>
      <c r="R51" s="174">
        <v>0</v>
      </c>
      <c r="S51" s="174">
        <v>0</v>
      </c>
      <c r="T51" s="174">
        <v>0</v>
      </c>
      <c r="U51" s="174">
        <v>0</v>
      </c>
      <c r="V51" s="174">
        <v>0</v>
      </c>
      <c r="W51" s="174">
        <v>0</v>
      </c>
      <c r="X51" s="174">
        <v>0</v>
      </c>
      <c r="Y51" s="174">
        <v>0</v>
      </c>
      <c r="Z51" s="174">
        <v>0</v>
      </c>
      <c r="AA51" s="174">
        <v>0</v>
      </c>
      <c r="AB51" s="174">
        <v>0</v>
      </c>
      <c r="AC51" s="174">
        <v>0</v>
      </c>
      <c r="AD51" s="174">
        <v>0</v>
      </c>
      <c r="AE51" s="154">
        <v>0</v>
      </c>
      <c r="AG51" s="174"/>
      <c r="AH51" s="174"/>
      <c r="AJ51" s="1">
        <v>1637000</v>
      </c>
    </row>
    <row r="52" spans="1:36" ht="12" x14ac:dyDescent="0.2">
      <c r="A52" s="16" t="s">
        <v>248</v>
      </c>
      <c r="C52" s="90" t="s">
        <v>27</v>
      </c>
      <c r="D52" s="90" t="s">
        <v>28</v>
      </c>
      <c r="E52" s="90">
        <v>2028</v>
      </c>
      <c r="F52" s="90" t="s">
        <v>29</v>
      </c>
      <c r="G52" s="90"/>
      <c r="H52" s="90" t="s">
        <v>34</v>
      </c>
      <c r="I52" s="174">
        <v>0</v>
      </c>
      <c r="J52" s="174">
        <v>0</v>
      </c>
      <c r="K52" s="174">
        <v>0</v>
      </c>
      <c r="L52" s="174">
        <v>0</v>
      </c>
      <c r="M52" s="174">
        <v>0</v>
      </c>
      <c r="N52" s="154">
        <f>H108</f>
        <v>500</v>
      </c>
      <c r="O52" s="174">
        <v>0</v>
      </c>
      <c r="P52" s="174">
        <v>0</v>
      </c>
      <c r="Q52" s="174">
        <v>0</v>
      </c>
      <c r="R52" s="174">
        <v>0</v>
      </c>
      <c r="S52" s="174">
        <v>0</v>
      </c>
      <c r="T52" s="154">
        <f>L108</f>
        <v>2500</v>
      </c>
      <c r="U52" s="174">
        <v>0</v>
      </c>
      <c r="V52" s="174">
        <v>0</v>
      </c>
      <c r="W52" s="174">
        <v>0</v>
      </c>
      <c r="X52" s="174">
        <v>0</v>
      </c>
      <c r="Y52" s="174">
        <v>0</v>
      </c>
      <c r="Z52" s="174">
        <v>0</v>
      </c>
      <c r="AA52" s="174">
        <v>0</v>
      </c>
      <c r="AB52" s="174">
        <v>0</v>
      </c>
      <c r="AC52" s="174">
        <v>0</v>
      </c>
      <c r="AD52" s="174">
        <v>0</v>
      </c>
      <c r="AE52" s="174">
        <v>0</v>
      </c>
      <c r="AG52" s="174">
        <f>(SUM(J52:K52)+SUM(L52:T52)+SUM(U52:X52)+SUM(Z52:AD52))</f>
        <v>3000</v>
      </c>
      <c r="AH52" s="174">
        <f>SUM(J52:AE52)</f>
        <v>3000</v>
      </c>
      <c r="AJ52" s="1">
        <v>3522600</v>
      </c>
    </row>
    <row r="53" spans="1:36" ht="12" x14ac:dyDescent="0.2">
      <c r="A53" s="16" t="s">
        <v>249</v>
      </c>
      <c r="C53" s="90" t="s">
        <v>27</v>
      </c>
      <c r="D53" s="90" t="s">
        <v>28</v>
      </c>
      <c r="E53" s="90">
        <v>2028</v>
      </c>
      <c r="F53" s="90" t="s">
        <v>29</v>
      </c>
      <c r="G53" s="90"/>
      <c r="H53" s="90" t="s">
        <v>31</v>
      </c>
      <c r="I53" s="174">
        <v>0</v>
      </c>
      <c r="J53" s="174">
        <v>0</v>
      </c>
      <c r="K53" s="174">
        <v>0</v>
      </c>
      <c r="L53" s="174">
        <v>0</v>
      </c>
      <c r="M53" s="174">
        <v>0</v>
      </c>
      <c r="N53" s="154">
        <f>I108</f>
        <v>3300</v>
      </c>
      <c r="O53" s="174">
        <v>0</v>
      </c>
      <c r="P53" s="174">
        <v>0</v>
      </c>
      <c r="Q53" s="174">
        <v>0</v>
      </c>
      <c r="R53" s="174">
        <v>0</v>
      </c>
      <c r="S53" s="174">
        <v>0</v>
      </c>
      <c r="T53" s="174">
        <v>0</v>
      </c>
      <c r="U53" s="174">
        <v>0</v>
      </c>
      <c r="V53" s="174">
        <v>0</v>
      </c>
      <c r="W53" s="174">
        <v>0</v>
      </c>
      <c r="X53" s="174">
        <v>0</v>
      </c>
      <c r="Y53" s="174">
        <v>0</v>
      </c>
      <c r="Z53" s="174">
        <v>0</v>
      </c>
      <c r="AA53" s="174">
        <v>0</v>
      </c>
      <c r="AB53" s="174">
        <v>0</v>
      </c>
      <c r="AC53" s="174">
        <v>0</v>
      </c>
      <c r="AD53" s="174">
        <v>0</v>
      </c>
      <c r="AE53" s="174">
        <v>0</v>
      </c>
      <c r="AG53" s="174">
        <f>(SUM(J53:K53)+SUM(L53:T53)+SUM(U53:X53)+SUM(Z53:AD53))</f>
        <v>3300</v>
      </c>
      <c r="AH53" s="174">
        <f>SUM(J53:AE53)</f>
        <v>3300</v>
      </c>
      <c r="AJ53" s="1">
        <v>0</v>
      </c>
    </row>
    <row r="54" spans="1:36" ht="12" x14ac:dyDescent="0.2">
      <c r="A54" s="16" t="s">
        <v>249</v>
      </c>
      <c r="C54" s="175" t="s">
        <v>27</v>
      </c>
      <c r="D54" s="175" t="s">
        <v>28</v>
      </c>
      <c r="E54" s="175">
        <v>2028</v>
      </c>
      <c r="F54" s="175" t="s">
        <v>29</v>
      </c>
      <c r="G54" s="175"/>
      <c r="H54" s="175" t="s">
        <v>32</v>
      </c>
      <c r="I54" s="176">
        <v>0</v>
      </c>
      <c r="J54" s="176">
        <v>0</v>
      </c>
      <c r="K54" s="176">
        <v>0</v>
      </c>
      <c r="L54" s="176">
        <v>0</v>
      </c>
      <c r="M54" s="176">
        <v>0</v>
      </c>
      <c r="N54" s="176">
        <v>0</v>
      </c>
      <c r="O54" s="176">
        <v>0</v>
      </c>
      <c r="P54" s="176">
        <v>0</v>
      </c>
      <c r="Q54" s="176">
        <v>0</v>
      </c>
      <c r="R54" s="176">
        <v>0</v>
      </c>
      <c r="S54" s="176">
        <v>0</v>
      </c>
      <c r="T54" s="176">
        <v>0</v>
      </c>
      <c r="U54" s="176">
        <v>0</v>
      </c>
      <c r="V54" s="176">
        <v>0</v>
      </c>
      <c r="W54" s="176">
        <v>0</v>
      </c>
      <c r="X54" s="176">
        <v>0</v>
      </c>
      <c r="Y54" s="178">
        <f>O108</f>
        <v>32200</v>
      </c>
      <c r="Z54" s="176">
        <v>0</v>
      </c>
      <c r="AA54" s="176">
        <v>0</v>
      </c>
      <c r="AB54" s="176">
        <v>0</v>
      </c>
      <c r="AC54" s="176">
        <v>0</v>
      </c>
      <c r="AD54" s="176">
        <v>0</v>
      </c>
      <c r="AE54" s="178">
        <f>R108</f>
        <v>5000</v>
      </c>
      <c r="AG54" s="176">
        <f>(SUM(J54:K54)+SUM(L54:T54)+SUM(U54:X54)+SUM(Z54:AD54))</f>
        <v>0</v>
      </c>
      <c r="AH54" s="176">
        <f>SUM(J54:AE54)</f>
        <v>37200</v>
      </c>
      <c r="AJ54" s="1">
        <v>82060</v>
      </c>
    </row>
    <row r="55" spans="1:36" ht="12" x14ac:dyDescent="0.2">
      <c r="A55" s="16" t="s">
        <v>248</v>
      </c>
      <c r="C55" s="90" t="s">
        <v>27</v>
      </c>
      <c r="D55" s="90" t="s">
        <v>28</v>
      </c>
      <c r="E55" s="90">
        <v>2030</v>
      </c>
      <c r="F55" s="90" t="s">
        <v>29</v>
      </c>
      <c r="G55" s="90"/>
      <c r="H55" s="90" t="s">
        <v>159</v>
      </c>
      <c r="I55" s="174">
        <v>0</v>
      </c>
      <c r="J55" s="174">
        <v>0</v>
      </c>
      <c r="K55" s="154">
        <f>E110</f>
        <v>780</v>
      </c>
      <c r="L55" s="174">
        <v>0</v>
      </c>
      <c r="M55" s="174">
        <v>0</v>
      </c>
      <c r="N55" s="154">
        <f>G110</f>
        <v>3000</v>
      </c>
      <c r="O55" s="174">
        <v>0</v>
      </c>
      <c r="P55" s="174">
        <v>0</v>
      </c>
      <c r="Q55" s="174">
        <v>0</v>
      </c>
      <c r="R55" s="174">
        <v>0</v>
      </c>
      <c r="S55" s="174">
        <v>0</v>
      </c>
      <c r="T55" s="174">
        <v>0</v>
      </c>
      <c r="U55" s="154">
        <f>M110</f>
        <v>4000</v>
      </c>
      <c r="V55" s="174">
        <v>0</v>
      </c>
      <c r="W55" s="174">
        <v>0</v>
      </c>
      <c r="X55" s="154">
        <f>N110</f>
        <v>12500</v>
      </c>
      <c r="Y55" s="154">
        <f>P110</f>
        <v>700</v>
      </c>
      <c r="Z55" s="174">
        <v>0</v>
      </c>
      <c r="AA55" s="174">
        <v>0</v>
      </c>
      <c r="AB55" s="174">
        <v>0</v>
      </c>
      <c r="AC55" s="174">
        <v>0</v>
      </c>
      <c r="AD55" s="174">
        <v>0</v>
      </c>
      <c r="AE55" s="154">
        <f>Q110</f>
        <v>21000</v>
      </c>
      <c r="AG55" s="174">
        <f>(SUM(J55:K55)+SUM(L55:T55)+SUM(U55:X55)+SUM(Z55:AD55))</f>
        <v>20280</v>
      </c>
      <c r="AH55" s="174">
        <f>SUM(J55:AE55)</f>
        <v>41980</v>
      </c>
    </row>
    <row r="56" spans="1:36" ht="12" x14ac:dyDescent="0.2">
      <c r="A56" s="16" t="s">
        <v>248</v>
      </c>
      <c r="C56" s="90" t="s">
        <v>27</v>
      </c>
      <c r="D56" s="90" t="s">
        <v>28</v>
      </c>
      <c r="E56" s="90">
        <v>2030</v>
      </c>
      <c r="F56" s="90" t="s">
        <v>29</v>
      </c>
      <c r="G56" s="90"/>
      <c r="H56" s="90" t="s">
        <v>158</v>
      </c>
      <c r="I56" s="174">
        <v>0</v>
      </c>
      <c r="J56" s="174">
        <v>0</v>
      </c>
      <c r="K56" s="174">
        <v>0</v>
      </c>
      <c r="L56" s="174">
        <v>0</v>
      </c>
      <c r="M56" s="174">
        <v>0</v>
      </c>
      <c r="N56" s="154">
        <f>F110</f>
        <v>8000</v>
      </c>
      <c r="O56" s="154">
        <f>K110</f>
        <v>2500</v>
      </c>
      <c r="P56" s="174">
        <v>0</v>
      </c>
      <c r="Q56" s="174">
        <v>0</v>
      </c>
      <c r="R56" s="174">
        <v>0</v>
      </c>
      <c r="S56" s="174">
        <v>0</v>
      </c>
      <c r="T56" s="174">
        <v>0</v>
      </c>
      <c r="U56" s="174">
        <v>0</v>
      </c>
      <c r="V56" s="174">
        <v>0</v>
      </c>
      <c r="W56" s="174">
        <v>0</v>
      </c>
      <c r="X56" s="174">
        <v>0</v>
      </c>
      <c r="Y56" s="174">
        <v>0</v>
      </c>
      <c r="Z56" s="174">
        <v>0</v>
      </c>
      <c r="AA56" s="174">
        <v>0</v>
      </c>
      <c r="AB56" s="174">
        <v>0</v>
      </c>
      <c r="AC56" s="174">
        <v>0</v>
      </c>
      <c r="AD56" s="174">
        <v>0</v>
      </c>
      <c r="AE56" s="154">
        <f>S110</f>
        <v>12500</v>
      </c>
      <c r="AG56" s="174">
        <f>(SUM(J56:K56)+SUM(L56:T56)+SUM(U56:X56)+SUM(Z56:AD56))</f>
        <v>10500</v>
      </c>
      <c r="AH56" s="174">
        <f>SUM(J56:AE56)</f>
        <v>23000</v>
      </c>
    </row>
    <row r="57" spans="1:36" ht="12" x14ac:dyDescent="0.2">
      <c r="A57" s="16" t="s">
        <v>248</v>
      </c>
      <c r="C57" s="90" t="s">
        <v>27</v>
      </c>
      <c r="D57" s="90" t="s">
        <v>28</v>
      </c>
      <c r="E57" s="90">
        <v>2030</v>
      </c>
      <c r="F57" s="90" t="s">
        <v>29</v>
      </c>
      <c r="G57" s="90"/>
      <c r="H57" s="90" t="s">
        <v>33</v>
      </c>
      <c r="I57" s="174">
        <v>0</v>
      </c>
      <c r="J57" s="174">
        <v>0</v>
      </c>
      <c r="K57" s="174">
        <v>0</v>
      </c>
      <c r="L57" s="174">
        <v>0</v>
      </c>
      <c r="M57" s="174">
        <v>0</v>
      </c>
      <c r="N57" s="154">
        <v>0</v>
      </c>
      <c r="O57" s="154">
        <v>0</v>
      </c>
      <c r="P57" s="174">
        <v>0</v>
      </c>
      <c r="Q57" s="174">
        <v>0</v>
      </c>
      <c r="R57" s="174">
        <v>0</v>
      </c>
      <c r="S57" s="174">
        <v>0</v>
      </c>
      <c r="T57" s="174">
        <v>0</v>
      </c>
      <c r="U57" s="174">
        <v>0</v>
      </c>
      <c r="V57" s="174">
        <v>0</v>
      </c>
      <c r="W57" s="174">
        <v>0</v>
      </c>
      <c r="X57" s="174">
        <v>0</v>
      </c>
      <c r="Y57" s="174">
        <v>0</v>
      </c>
      <c r="Z57" s="174">
        <v>0</v>
      </c>
      <c r="AA57" s="174">
        <v>0</v>
      </c>
      <c r="AB57" s="174">
        <v>0</v>
      </c>
      <c r="AC57" s="174">
        <v>0</v>
      </c>
      <c r="AD57" s="174">
        <v>0</v>
      </c>
      <c r="AE57" s="154">
        <v>0</v>
      </c>
      <c r="AG57" s="174"/>
      <c r="AH57" s="174"/>
    </row>
    <row r="58" spans="1:36" ht="12" x14ac:dyDescent="0.2">
      <c r="A58" s="16" t="s">
        <v>248</v>
      </c>
      <c r="C58" s="90" t="s">
        <v>27</v>
      </c>
      <c r="D58" s="90" t="s">
        <v>28</v>
      </c>
      <c r="E58" s="90">
        <v>2030</v>
      </c>
      <c r="F58" s="90" t="s">
        <v>29</v>
      </c>
      <c r="G58" s="90"/>
      <c r="H58" s="90" t="s">
        <v>34</v>
      </c>
      <c r="I58" s="174">
        <v>0</v>
      </c>
      <c r="J58" s="174">
        <v>0</v>
      </c>
      <c r="K58" s="174">
        <v>0</v>
      </c>
      <c r="L58" s="174">
        <v>0</v>
      </c>
      <c r="M58" s="174">
        <v>0</v>
      </c>
      <c r="N58" s="154">
        <f>H110</f>
        <v>500</v>
      </c>
      <c r="O58" s="174">
        <v>0</v>
      </c>
      <c r="P58" s="174">
        <v>0</v>
      </c>
      <c r="Q58" s="154">
        <v>0</v>
      </c>
      <c r="R58" s="174">
        <v>0</v>
      </c>
      <c r="S58" s="174">
        <v>0</v>
      </c>
      <c r="T58" s="154">
        <f>L110</f>
        <v>2500</v>
      </c>
      <c r="U58" s="174">
        <v>0</v>
      </c>
      <c r="V58" s="174">
        <v>0</v>
      </c>
      <c r="W58" s="174">
        <v>0</v>
      </c>
      <c r="X58" s="174">
        <v>0</v>
      </c>
      <c r="Y58" s="174">
        <v>0</v>
      </c>
      <c r="Z58" s="174">
        <v>0</v>
      </c>
      <c r="AA58" s="174">
        <v>0</v>
      </c>
      <c r="AB58" s="174">
        <v>0</v>
      </c>
      <c r="AC58" s="174">
        <v>0</v>
      </c>
      <c r="AD58" s="174">
        <v>0</v>
      </c>
      <c r="AE58" s="174">
        <v>0</v>
      </c>
      <c r="AG58" s="174">
        <f>(SUM(J58:K58)+SUM(L58:T58)+SUM(U58:X58)+SUM(Z58:AD58))</f>
        <v>3000</v>
      </c>
      <c r="AH58" s="174">
        <f>SUM(J58:AE58)</f>
        <v>3000</v>
      </c>
    </row>
    <row r="59" spans="1:36" ht="12" x14ac:dyDescent="0.2">
      <c r="A59" s="16" t="s">
        <v>249</v>
      </c>
      <c r="C59" s="90" t="s">
        <v>27</v>
      </c>
      <c r="D59" s="90" t="s">
        <v>28</v>
      </c>
      <c r="E59" s="90">
        <v>2030</v>
      </c>
      <c r="F59" s="90" t="s">
        <v>29</v>
      </c>
      <c r="G59" s="90"/>
      <c r="H59" s="90" t="s">
        <v>31</v>
      </c>
      <c r="I59" s="174">
        <v>0</v>
      </c>
      <c r="J59" s="174">
        <v>0</v>
      </c>
      <c r="K59" s="174">
        <v>0</v>
      </c>
      <c r="L59" s="174">
        <v>0</v>
      </c>
      <c r="M59" s="174">
        <v>0</v>
      </c>
      <c r="N59" s="154">
        <f>I110</f>
        <v>25000</v>
      </c>
      <c r="O59" s="174">
        <v>0</v>
      </c>
      <c r="P59" s="174">
        <v>0</v>
      </c>
      <c r="Q59" s="174">
        <v>0</v>
      </c>
      <c r="R59" s="174">
        <v>0</v>
      </c>
      <c r="S59" s="174">
        <v>0</v>
      </c>
      <c r="T59" s="174">
        <v>0</v>
      </c>
      <c r="U59" s="174">
        <v>0</v>
      </c>
      <c r="V59" s="174">
        <v>0</v>
      </c>
      <c r="W59" s="174">
        <v>0</v>
      </c>
      <c r="X59" s="174">
        <v>0</v>
      </c>
      <c r="Y59" s="174">
        <v>0</v>
      </c>
      <c r="Z59" s="174">
        <v>0</v>
      </c>
      <c r="AA59" s="174">
        <v>0</v>
      </c>
      <c r="AB59" s="174">
        <v>0</v>
      </c>
      <c r="AC59" s="174">
        <v>0</v>
      </c>
      <c r="AD59" s="174">
        <v>0</v>
      </c>
      <c r="AE59" s="174">
        <v>0</v>
      </c>
      <c r="AG59" s="174">
        <f>(SUM(J59:K59)+SUM(L59:T59)+SUM(U59:X59)+SUM(Z59:AD59))</f>
        <v>25000</v>
      </c>
      <c r="AH59" s="174">
        <f>SUM(J59:AE59)</f>
        <v>25000</v>
      </c>
    </row>
    <row r="60" spans="1:36" ht="12" x14ac:dyDescent="0.2">
      <c r="A60" s="16" t="s">
        <v>249</v>
      </c>
      <c r="C60" s="175" t="s">
        <v>27</v>
      </c>
      <c r="D60" s="175" t="s">
        <v>28</v>
      </c>
      <c r="E60" s="175">
        <v>2030</v>
      </c>
      <c r="F60" s="175" t="s">
        <v>29</v>
      </c>
      <c r="G60" s="175"/>
      <c r="H60" s="175" t="s">
        <v>32</v>
      </c>
      <c r="I60" s="176">
        <v>0</v>
      </c>
      <c r="J60" s="176">
        <v>0</v>
      </c>
      <c r="K60" s="176">
        <v>0</v>
      </c>
      <c r="L60" s="176">
        <v>0</v>
      </c>
      <c r="M60" s="176">
        <v>0</v>
      </c>
      <c r="N60" s="176">
        <v>0</v>
      </c>
      <c r="O60" s="176">
        <v>0</v>
      </c>
      <c r="P60" s="176">
        <v>0</v>
      </c>
      <c r="Q60" s="176">
        <v>0</v>
      </c>
      <c r="R60" s="176">
        <v>0</v>
      </c>
      <c r="S60" s="176">
        <v>0</v>
      </c>
      <c r="T60" s="176">
        <v>0</v>
      </c>
      <c r="U60" s="176">
        <v>0</v>
      </c>
      <c r="V60" s="176">
        <v>0</v>
      </c>
      <c r="W60" s="176">
        <v>0</v>
      </c>
      <c r="X60" s="176">
        <v>0</v>
      </c>
      <c r="Y60" s="178">
        <f>O110</f>
        <v>53200</v>
      </c>
      <c r="Z60" s="176">
        <v>0</v>
      </c>
      <c r="AA60" s="176">
        <v>0</v>
      </c>
      <c r="AB60" s="176">
        <v>0</v>
      </c>
      <c r="AC60" s="176">
        <v>0</v>
      </c>
      <c r="AD60" s="176">
        <v>0</v>
      </c>
      <c r="AE60" s="178">
        <f>R110</f>
        <v>15000</v>
      </c>
      <c r="AG60" s="176">
        <f>(SUM(J60:K60)+SUM(L60:T60)+SUM(U60:X60)+SUM(Z60:AD60))</f>
        <v>0</v>
      </c>
      <c r="AH60" s="176">
        <f>SUM(J60:AE60)</f>
        <v>68200</v>
      </c>
    </row>
    <row r="61" spans="1:36" ht="12" x14ac:dyDescent="0.2">
      <c r="A61" s="16" t="s">
        <v>248</v>
      </c>
      <c r="C61" s="90" t="s">
        <v>27</v>
      </c>
      <c r="D61" s="90" t="s">
        <v>28</v>
      </c>
      <c r="E61" s="90">
        <v>2035</v>
      </c>
      <c r="F61" s="90" t="s">
        <v>29</v>
      </c>
      <c r="G61" s="90"/>
      <c r="H61" s="90" t="s">
        <v>159</v>
      </c>
      <c r="I61" s="174">
        <v>0</v>
      </c>
      <c r="J61" s="174">
        <v>0</v>
      </c>
      <c r="K61" s="154">
        <f>E115</f>
        <v>780</v>
      </c>
      <c r="L61" s="174">
        <v>0</v>
      </c>
      <c r="M61" s="174">
        <v>0</v>
      </c>
      <c r="N61" s="154">
        <f>G115</f>
        <v>3000</v>
      </c>
      <c r="O61" s="174">
        <v>0</v>
      </c>
      <c r="P61" s="174">
        <v>0</v>
      </c>
      <c r="Q61" s="174">
        <v>0</v>
      </c>
      <c r="R61" s="174">
        <v>0</v>
      </c>
      <c r="S61" s="174">
        <v>0</v>
      </c>
      <c r="T61" s="174">
        <v>0</v>
      </c>
      <c r="U61" s="154">
        <f>M115</f>
        <v>4000</v>
      </c>
      <c r="V61" s="174">
        <v>0</v>
      </c>
      <c r="W61" s="174">
        <v>0</v>
      </c>
      <c r="X61" s="154">
        <f>N115</f>
        <v>15500</v>
      </c>
      <c r="Y61" s="154">
        <f>P115</f>
        <v>700</v>
      </c>
      <c r="Z61" s="174">
        <v>0</v>
      </c>
      <c r="AA61" s="174">
        <v>0</v>
      </c>
      <c r="AB61" s="174">
        <v>0</v>
      </c>
      <c r="AC61" s="174">
        <v>0</v>
      </c>
      <c r="AD61" s="174">
        <v>0</v>
      </c>
      <c r="AE61" s="154">
        <f>Q115</f>
        <v>25000</v>
      </c>
      <c r="AG61" s="174">
        <f>(SUM(J61:K61)+SUM(L61:T61)+SUM(U61:X61)+SUM(Z61:AD61))</f>
        <v>23280</v>
      </c>
      <c r="AH61" s="174">
        <f>SUM(J61:AE61)</f>
        <v>48980</v>
      </c>
    </row>
    <row r="62" spans="1:36" ht="12" x14ac:dyDescent="0.2">
      <c r="A62" s="16" t="s">
        <v>248</v>
      </c>
      <c r="C62" s="90" t="s">
        <v>27</v>
      </c>
      <c r="D62" s="90" t="s">
        <v>28</v>
      </c>
      <c r="E62" s="90">
        <v>2035</v>
      </c>
      <c r="F62" s="90" t="s">
        <v>29</v>
      </c>
      <c r="G62" s="90"/>
      <c r="H62" s="90" t="s">
        <v>158</v>
      </c>
      <c r="I62" s="174">
        <v>0</v>
      </c>
      <c r="J62" s="174">
        <v>0</v>
      </c>
      <c r="K62" s="174">
        <v>0</v>
      </c>
      <c r="L62" s="174">
        <v>0</v>
      </c>
      <c r="M62" s="174">
        <v>0</v>
      </c>
      <c r="N62" s="154">
        <f>F115</f>
        <v>8000</v>
      </c>
      <c r="O62" s="154">
        <f>K115</f>
        <v>2500</v>
      </c>
      <c r="P62" s="174">
        <v>0</v>
      </c>
      <c r="Q62" s="174">
        <v>0</v>
      </c>
      <c r="R62" s="174">
        <v>0</v>
      </c>
      <c r="S62" s="174">
        <v>0</v>
      </c>
      <c r="T62" s="174">
        <v>0</v>
      </c>
      <c r="U62" s="174">
        <v>0</v>
      </c>
      <c r="V62" s="174">
        <v>0</v>
      </c>
      <c r="W62" s="174">
        <v>0</v>
      </c>
      <c r="X62" s="174">
        <v>0</v>
      </c>
      <c r="Y62" s="174">
        <v>0</v>
      </c>
      <c r="Z62" s="174">
        <v>0</v>
      </c>
      <c r="AA62" s="174">
        <v>0</v>
      </c>
      <c r="AB62" s="174">
        <v>0</v>
      </c>
      <c r="AC62" s="174">
        <v>0</v>
      </c>
      <c r="AD62" s="174">
        <v>0</v>
      </c>
      <c r="AE62" s="154">
        <f>S115</f>
        <v>23000</v>
      </c>
      <c r="AG62" s="174">
        <f>(SUM(J62:K62)+SUM(L62:T62)+SUM(U62:X62)+SUM(Z62:AD62))</f>
        <v>10500</v>
      </c>
      <c r="AH62" s="174">
        <f>SUM(J62:AE62)</f>
        <v>33500</v>
      </c>
    </row>
    <row r="63" spans="1:36" ht="12" x14ac:dyDescent="0.2">
      <c r="A63" s="16" t="s">
        <v>248</v>
      </c>
      <c r="C63" s="90" t="s">
        <v>27</v>
      </c>
      <c r="D63" s="90" t="s">
        <v>28</v>
      </c>
      <c r="E63" s="90">
        <v>2035</v>
      </c>
      <c r="F63" s="90" t="s">
        <v>29</v>
      </c>
      <c r="G63" s="90"/>
      <c r="H63" s="90" t="s">
        <v>33</v>
      </c>
      <c r="I63" s="174">
        <v>0</v>
      </c>
      <c r="J63" s="174">
        <v>0</v>
      </c>
      <c r="K63" s="174">
        <v>0</v>
      </c>
      <c r="L63" s="174">
        <v>0</v>
      </c>
      <c r="M63" s="174">
        <v>0</v>
      </c>
      <c r="N63" s="154">
        <v>0</v>
      </c>
      <c r="O63" s="154">
        <v>0</v>
      </c>
      <c r="P63" s="174">
        <v>0</v>
      </c>
      <c r="Q63" s="174">
        <v>0</v>
      </c>
      <c r="R63" s="174">
        <v>0</v>
      </c>
      <c r="S63" s="174">
        <v>0</v>
      </c>
      <c r="T63" s="174">
        <v>0</v>
      </c>
      <c r="U63" s="174">
        <v>0</v>
      </c>
      <c r="V63" s="174">
        <v>0</v>
      </c>
      <c r="W63" s="174">
        <v>0</v>
      </c>
      <c r="X63" s="174">
        <v>0</v>
      </c>
      <c r="Y63" s="174">
        <v>0</v>
      </c>
      <c r="Z63" s="174">
        <v>0</v>
      </c>
      <c r="AA63" s="174">
        <v>0</v>
      </c>
      <c r="AB63" s="174">
        <v>0</v>
      </c>
      <c r="AC63" s="174">
        <v>0</v>
      </c>
      <c r="AD63" s="174">
        <v>0</v>
      </c>
      <c r="AE63" s="154">
        <v>0</v>
      </c>
      <c r="AG63" s="174"/>
      <c r="AH63" s="174"/>
    </row>
    <row r="64" spans="1:36" ht="12" x14ac:dyDescent="0.2">
      <c r="A64" s="16" t="s">
        <v>248</v>
      </c>
      <c r="C64" s="90" t="s">
        <v>27</v>
      </c>
      <c r="D64" s="90" t="s">
        <v>28</v>
      </c>
      <c r="E64" s="90">
        <v>2035</v>
      </c>
      <c r="F64" s="90" t="s">
        <v>29</v>
      </c>
      <c r="G64" s="90"/>
      <c r="H64" s="90" t="s">
        <v>34</v>
      </c>
      <c r="I64" s="174">
        <v>0</v>
      </c>
      <c r="J64" s="174">
        <v>0</v>
      </c>
      <c r="K64" s="174">
        <v>0</v>
      </c>
      <c r="L64" s="174">
        <v>0</v>
      </c>
      <c r="M64" s="174">
        <v>0</v>
      </c>
      <c r="N64" s="154">
        <f>H115</f>
        <v>500</v>
      </c>
      <c r="O64" s="174">
        <v>0</v>
      </c>
      <c r="P64" s="174">
        <v>0</v>
      </c>
      <c r="Q64" s="154">
        <f>J115</f>
        <v>2500</v>
      </c>
      <c r="R64" s="174">
        <v>0</v>
      </c>
      <c r="S64" s="174">
        <v>0</v>
      </c>
      <c r="T64" s="154">
        <f>L115</f>
        <v>2500</v>
      </c>
      <c r="U64" s="174">
        <v>0</v>
      </c>
      <c r="V64" s="174">
        <v>0</v>
      </c>
      <c r="W64" s="174">
        <v>0</v>
      </c>
      <c r="X64" s="174">
        <v>0</v>
      </c>
      <c r="Y64" s="174">
        <v>0</v>
      </c>
      <c r="Z64" s="174">
        <v>0</v>
      </c>
      <c r="AA64" s="174">
        <v>0</v>
      </c>
      <c r="AB64" s="174">
        <v>0</v>
      </c>
      <c r="AC64" s="174">
        <v>0</v>
      </c>
      <c r="AD64" s="174">
        <v>0</v>
      </c>
      <c r="AE64" s="174">
        <v>0</v>
      </c>
      <c r="AG64" s="174">
        <f t="shared" ref="AG64:AG84" si="8">(SUM(J64:K64)+SUM(L64:T64)+SUM(U64:X64)+SUM(Z64:AD64))</f>
        <v>5500</v>
      </c>
      <c r="AH64" s="174">
        <f t="shared" ref="AH64:AH84" si="9">SUM(J64:AE64)</f>
        <v>5500</v>
      </c>
    </row>
    <row r="65" spans="1:34" ht="12" x14ac:dyDescent="0.2">
      <c r="A65" s="16" t="s">
        <v>249</v>
      </c>
      <c r="C65" s="90" t="s">
        <v>27</v>
      </c>
      <c r="D65" s="90" t="s">
        <v>28</v>
      </c>
      <c r="E65" s="90">
        <v>2035</v>
      </c>
      <c r="F65" s="90" t="s">
        <v>29</v>
      </c>
      <c r="G65" s="90"/>
      <c r="H65" s="90" t="s">
        <v>31</v>
      </c>
      <c r="I65" s="174">
        <v>0</v>
      </c>
      <c r="J65" s="174">
        <v>0</v>
      </c>
      <c r="K65" s="174">
        <v>0</v>
      </c>
      <c r="L65" s="174">
        <v>0</v>
      </c>
      <c r="M65" s="174">
        <v>0</v>
      </c>
      <c r="N65" s="154">
        <f>I115</f>
        <v>25000</v>
      </c>
      <c r="O65" s="174">
        <v>0</v>
      </c>
      <c r="P65" s="174">
        <v>0</v>
      </c>
      <c r="Q65" s="174">
        <v>0</v>
      </c>
      <c r="R65" s="174">
        <v>0</v>
      </c>
      <c r="S65" s="174">
        <v>0</v>
      </c>
      <c r="T65" s="174">
        <v>0</v>
      </c>
      <c r="U65" s="174">
        <v>0</v>
      </c>
      <c r="V65" s="174">
        <v>0</v>
      </c>
      <c r="W65" s="174">
        <v>0</v>
      </c>
      <c r="X65" s="174">
        <v>0</v>
      </c>
      <c r="Y65" s="174">
        <v>0</v>
      </c>
      <c r="Z65" s="174">
        <v>0</v>
      </c>
      <c r="AA65" s="174">
        <v>0</v>
      </c>
      <c r="AB65" s="174">
        <v>0</v>
      </c>
      <c r="AC65" s="174">
        <v>0</v>
      </c>
      <c r="AD65" s="174">
        <v>0</v>
      </c>
      <c r="AE65" s="174">
        <v>0</v>
      </c>
      <c r="AG65" s="174">
        <f t="shared" si="8"/>
        <v>25000</v>
      </c>
      <c r="AH65" s="174">
        <f t="shared" si="9"/>
        <v>25000</v>
      </c>
    </row>
    <row r="66" spans="1:34" ht="12" x14ac:dyDescent="0.2">
      <c r="A66" s="16" t="s">
        <v>249</v>
      </c>
      <c r="C66" s="175" t="s">
        <v>27</v>
      </c>
      <c r="D66" s="175" t="s">
        <v>28</v>
      </c>
      <c r="E66" s="175">
        <v>2035</v>
      </c>
      <c r="F66" s="175" t="s">
        <v>29</v>
      </c>
      <c r="G66" s="175"/>
      <c r="H66" s="175" t="s">
        <v>32</v>
      </c>
      <c r="I66" s="176">
        <v>0</v>
      </c>
      <c r="J66" s="176">
        <v>0</v>
      </c>
      <c r="K66" s="176">
        <v>0</v>
      </c>
      <c r="L66" s="176">
        <v>0</v>
      </c>
      <c r="M66" s="176">
        <v>0</v>
      </c>
      <c r="N66" s="176">
        <v>0</v>
      </c>
      <c r="O66" s="176">
        <v>0</v>
      </c>
      <c r="P66" s="176">
        <v>0</v>
      </c>
      <c r="Q66" s="176">
        <v>0</v>
      </c>
      <c r="R66" s="176">
        <v>0</v>
      </c>
      <c r="S66" s="176">
        <v>0</v>
      </c>
      <c r="T66" s="176">
        <v>0</v>
      </c>
      <c r="U66" s="176">
        <v>0</v>
      </c>
      <c r="V66" s="176">
        <v>0</v>
      </c>
      <c r="W66" s="176">
        <v>0</v>
      </c>
      <c r="X66" s="176">
        <v>0</v>
      </c>
      <c r="Y66" s="178">
        <f>O115</f>
        <v>63200</v>
      </c>
      <c r="Z66" s="176">
        <v>0</v>
      </c>
      <c r="AA66" s="176">
        <v>0</v>
      </c>
      <c r="AB66" s="176">
        <v>0</v>
      </c>
      <c r="AC66" s="176">
        <v>0</v>
      </c>
      <c r="AD66" s="176">
        <v>0</v>
      </c>
      <c r="AE66" s="178">
        <f>R115</f>
        <v>15000</v>
      </c>
      <c r="AG66" s="176">
        <f t="shared" si="8"/>
        <v>0</v>
      </c>
      <c r="AH66" s="176">
        <f t="shared" si="9"/>
        <v>78200</v>
      </c>
    </row>
    <row r="67" spans="1:34" ht="12" x14ac:dyDescent="0.2">
      <c r="A67" s="16" t="s">
        <v>248</v>
      </c>
      <c r="C67" s="90" t="s">
        <v>27</v>
      </c>
      <c r="D67" s="90" t="s">
        <v>28</v>
      </c>
      <c r="E67" s="90">
        <v>2040</v>
      </c>
      <c r="F67" s="90" t="s">
        <v>29</v>
      </c>
      <c r="G67" s="90"/>
      <c r="H67" s="90" t="s">
        <v>159</v>
      </c>
      <c r="I67" s="174">
        <v>0</v>
      </c>
      <c r="J67" s="154">
        <v>0</v>
      </c>
      <c r="K67" s="154">
        <v>780</v>
      </c>
      <c r="L67" s="154">
        <v>0</v>
      </c>
      <c r="M67" s="154">
        <v>0</v>
      </c>
      <c r="N67" s="154">
        <v>3000</v>
      </c>
      <c r="O67" s="154">
        <v>0</v>
      </c>
      <c r="P67" s="154">
        <v>0</v>
      </c>
      <c r="Q67" s="154">
        <v>0</v>
      </c>
      <c r="R67" s="154">
        <v>0</v>
      </c>
      <c r="S67" s="154">
        <v>0</v>
      </c>
      <c r="T67" s="154">
        <v>0</v>
      </c>
      <c r="U67" s="154">
        <f>M121</f>
        <v>4000</v>
      </c>
      <c r="V67" s="154">
        <v>0</v>
      </c>
      <c r="W67" s="154">
        <v>0</v>
      </c>
      <c r="X67" s="154">
        <f>N121</f>
        <v>15500</v>
      </c>
      <c r="Y67" s="154">
        <f>P121</f>
        <v>700</v>
      </c>
      <c r="Z67" s="154">
        <v>0</v>
      </c>
      <c r="AA67" s="154">
        <v>0</v>
      </c>
      <c r="AB67" s="154">
        <v>0</v>
      </c>
      <c r="AC67" s="154">
        <v>0</v>
      </c>
      <c r="AD67" s="154">
        <v>0</v>
      </c>
      <c r="AE67" s="154">
        <v>30000</v>
      </c>
      <c r="AG67" s="154">
        <f t="shared" si="8"/>
        <v>23280</v>
      </c>
      <c r="AH67" s="154">
        <f t="shared" si="9"/>
        <v>53980</v>
      </c>
    </row>
    <row r="68" spans="1:34" ht="12" x14ac:dyDescent="0.2">
      <c r="A68" s="16" t="s">
        <v>248</v>
      </c>
      <c r="C68" s="90" t="s">
        <v>27</v>
      </c>
      <c r="D68" s="90" t="s">
        <v>28</v>
      </c>
      <c r="E68" s="90">
        <v>2040</v>
      </c>
      <c r="F68" s="90" t="s">
        <v>29</v>
      </c>
      <c r="G68" s="90"/>
      <c r="H68" s="90" t="s">
        <v>158</v>
      </c>
      <c r="I68" s="174">
        <v>0</v>
      </c>
      <c r="J68" s="154">
        <v>0</v>
      </c>
      <c r="K68" s="154">
        <v>0</v>
      </c>
      <c r="L68" s="154">
        <v>0</v>
      </c>
      <c r="M68" s="154">
        <v>1500</v>
      </c>
      <c r="N68" s="154">
        <v>8000</v>
      </c>
      <c r="O68" s="154">
        <f>K121</f>
        <v>2500</v>
      </c>
      <c r="P68" s="154">
        <v>2000</v>
      </c>
      <c r="Q68" s="154">
        <v>0</v>
      </c>
      <c r="R68" s="154">
        <v>0</v>
      </c>
      <c r="S68" s="154">
        <v>0</v>
      </c>
      <c r="T68" s="154">
        <v>0</v>
      </c>
      <c r="U68" s="154">
        <v>0</v>
      </c>
      <c r="V68" s="154">
        <v>0</v>
      </c>
      <c r="W68" s="154">
        <v>0</v>
      </c>
      <c r="X68" s="154">
        <v>250</v>
      </c>
      <c r="Y68" s="154">
        <v>0</v>
      </c>
      <c r="Z68" s="154">
        <v>0</v>
      </c>
      <c r="AA68" s="154">
        <v>0</v>
      </c>
      <c r="AB68" s="154">
        <v>0</v>
      </c>
      <c r="AC68" s="154">
        <v>0</v>
      </c>
      <c r="AD68" s="154">
        <v>0</v>
      </c>
      <c r="AE68" s="154">
        <v>23000</v>
      </c>
      <c r="AG68" s="154">
        <f t="shared" si="8"/>
        <v>14250</v>
      </c>
      <c r="AH68" s="154">
        <f t="shared" si="9"/>
        <v>37250</v>
      </c>
    </row>
    <row r="69" spans="1:34" ht="12" x14ac:dyDescent="0.2">
      <c r="A69" s="16" t="s">
        <v>248</v>
      </c>
      <c r="C69" s="90" t="s">
        <v>27</v>
      </c>
      <c r="D69" s="90" t="s">
        <v>28</v>
      </c>
      <c r="E69" s="90">
        <v>2040</v>
      </c>
      <c r="F69" s="90" t="s">
        <v>29</v>
      </c>
      <c r="G69" s="90"/>
      <c r="H69" s="90" t="s">
        <v>33</v>
      </c>
      <c r="I69" s="174">
        <v>0</v>
      </c>
      <c r="J69" s="154">
        <v>0</v>
      </c>
      <c r="K69" s="154">
        <v>0</v>
      </c>
      <c r="L69" s="154">
        <v>0</v>
      </c>
      <c r="M69" s="154">
        <v>1500</v>
      </c>
      <c r="N69" s="154">
        <v>0</v>
      </c>
      <c r="O69" s="154">
        <v>0</v>
      </c>
      <c r="P69" s="154">
        <v>50</v>
      </c>
      <c r="Q69" s="154">
        <v>1000</v>
      </c>
      <c r="R69" s="154">
        <v>0</v>
      </c>
      <c r="S69" s="154">
        <v>0</v>
      </c>
      <c r="T69" s="154">
        <v>0</v>
      </c>
      <c r="U69" s="154">
        <v>5000</v>
      </c>
      <c r="V69" s="154">
        <v>500</v>
      </c>
      <c r="W69" s="154">
        <v>0</v>
      </c>
      <c r="X69" s="154">
        <v>300</v>
      </c>
      <c r="Y69" s="154">
        <v>0</v>
      </c>
      <c r="Z69" s="154">
        <v>4318.9445182505524</v>
      </c>
      <c r="AA69" s="154">
        <v>4000</v>
      </c>
      <c r="AB69" s="154">
        <v>0</v>
      </c>
      <c r="AC69" s="154">
        <v>7.5</v>
      </c>
      <c r="AD69" s="154">
        <v>0</v>
      </c>
      <c r="AE69" s="154">
        <v>0</v>
      </c>
      <c r="AG69" s="154">
        <f t="shared" si="8"/>
        <v>16676.444518250551</v>
      </c>
      <c r="AH69" s="154">
        <f t="shared" si="9"/>
        <v>16676.444518250551</v>
      </c>
    </row>
    <row r="70" spans="1:34" ht="12" x14ac:dyDescent="0.2">
      <c r="A70" s="16" t="s">
        <v>248</v>
      </c>
      <c r="C70" s="90" t="s">
        <v>27</v>
      </c>
      <c r="D70" s="90" t="s">
        <v>28</v>
      </c>
      <c r="E70" s="90">
        <v>2040</v>
      </c>
      <c r="F70" s="90" t="s">
        <v>29</v>
      </c>
      <c r="G70" s="90"/>
      <c r="H70" s="90" t="s">
        <v>34</v>
      </c>
      <c r="I70" s="174">
        <v>0</v>
      </c>
      <c r="J70" s="154">
        <v>7461.9999999999991</v>
      </c>
      <c r="K70" s="154">
        <v>0</v>
      </c>
      <c r="L70" s="154">
        <v>2200</v>
      </c>
      <c r="M70" s="154">
        <v>24863.75</v>
      </c>
      <c r="N70" s="154">
        <v>500</v>
      </c>
      <c r="O70" s="154">
        <v>1000</v>
      </c>
      <c r="P70" s="154">
        <v>0</v>
      </c>
      <c r="Q70" s="154">
        <f>J121</f>
        <v>2500</v>
      </c>
      <c r="R70" s="154">
        <v>0</v>
      </c>
      <c r="S70" s="154">
        <v>2125</v>
      </c>
      <c r="T70" s="154">
        <v>3000</v>
      </c>
      <c r="U70" s="154">
        <v>22500</v>
      </c>
      <c r="V70" s="154">
        <v>0</v>
      </c>
      <c r="W70" s="154">
        <v>0</v>
      </c>
      <c r="X70" s="154">
        <v>13000</v>
      </c>
      <c r="Y70" s="154">
        <v>0</v>
      </c>
      <c r="Z70" s="154">
        <v>519.46089842385038</v>
      </c>
      <c r="AA70" s="154">
        <v>21200</v>
      </c>
      <c r="AB70" s="154">
        <v>0</v>
      </c>
      <c r="AC70" s="154">
        <v>87.5</v>
      </c>
      <c r="AD70" s="154">
        <v>0</v>
      </c>
      <c r="AE70" s="154">
        <v>0</v>
      </c>
      <c r="AG70" s="154">
        <f t="shared" si="8"/>
        <v>100957.71089842386</v>
      </c>
      <c r="AH70" s="154">
        <f t="shared" si="9"/>
        <v>100957.71089842384</v>
      </c>
    </row>
    <row r="71" spans="1:34" ht="12" x14ac:dyDescent="0.2">
      <c r="A71" s="16" t="s">
        <v>249</v>
      </c>
      <c r="C71" s="90" t="s">
        <v>27</v>
      </c>
      <c r="D71" s="90" t="s">
        <v>28</v>
      </c>
      <c r="E71" s="90">
        <v>2040</v>
      </c>
      <c r="F71" s="90" t="s">
        <v>29</v>
      </c>
      <c r="G71" s="90"/>
      <c r="H71" s="90" t="s">
        <v>31</v>
      </c>
      <c r="I71" s="174">
        <v>0</v>
      </c>
      <c r="J71" s="154">
        <v>2321.6666666666665</v>
      </c>
      <c r="K71" s="154">
        <v>35000</v>
      </c>
      <c r="L71" s="154">
        <v>11000</v>
      </c>
      <c r="M71" s="154">
        <v>30000</v>
      </c>
      <c r="N71" s="154">
        <v>12500</v>
      </c>
      <c r="O71" s="154">
        <v>3750</v>
      </c>
      <c r="P71" s="154">
        <v>1000</v>
      </c>
      <c r="Q71" s="154">
        <v>0</v>
      </c>
      <c r="R71" s="154">
        <v>0</v>
      </c>
      <c r="S71" s="154">
        <v>5750</v>
      </c>
      <c r="T71" s="154">
        <v>0</v>
      </c>
      <c r="U71" s="154">
        <v>35000</v>
      </c>
      <c r="V71" s="154">
        <v>1000</v>
      </c>
      <c r="W71" s="154">
        <v>4250</v>
      </c>
      <c r="X71" s="154">
        <v>3000</v>
      </c>
      <c r="Y71" s="154">
        <v>0</v>
      </c>
      <c r="Z71" s="154">
        <v>22298.963694709426</v>
      </c>
      <c r="AA71" s="154">
        <v>35000</v>
      </c>
      <c r="AB71" s="154">
        <v>0</v>
      </c>
      <c r="AC71" s="154">
        <v>1375</v>
      </c>
      <c r="AD71" s="154">
        <v>28600</v>
      </c>
      <c r="AE71" s="154">
        <v>0</v>
      </c>
      <c r="AG71" s="154">
        <f t="shared" si="8"/>
        <v>231845.6303613761</v>
      </c>
      <c r="AH71" s="154">
        <f t="shared" si="9"/>
        <v>231845.6303613761</v>
      </c>
    </row>
    <row r="72" spans="1:34" ht="12" x14ac:dyDescent="0.2">
      <c r="A72" s="16" t="s">
        <v>249</v>
      </c>
      <c r="C72" s="175" t="s">
        <v>27</v>
      </c>
      <c r="D72" s="175" t="s">
        <v>28</v>
      </c>
      <c r="E72" s="175">
        <v>2040</v>
      </c>
      <c r="F72" s="175" t="s">
        <v>29</v>
      </c>
      <c r="G72" s="175"/>
      <c r="H72" s="175" t="s">
        <v>32</v>
      </c>
      <c r="I72" s="176">
        <v>0</v>
      </c>
      <c r="J72" s="178">
        <v>0</v>
      </c>
      <c r="K72" s="178"/>
      <c r="L72" s="178">
        <v>0</v>
      </c>
      <c r="M72" s="178">
        <v>30000</v>
      </c>
      <c r="N72" s="178">
        <v>20000</v>
      </c>
      <c r="O72" s="178">
        <v>7250</v>
      </c>
      <c r="P72" s="178">
        <v>30000</v>
      </c>
      <c r="Q72" s="178">
        <v>30000</v>
      </c>
      <c r="R72" s="178">
        <v>0</v>
      </c>
      <c r="S72" s="178">
        <v>0</v>
      </c>
      <c r="T72" s="178">
        <v>0</v>
      </c>
      <c r="U72" s="178">
        <v>35000</v>
      </c>
      <c r="V72" s="178">
        <v>0</v>
      </c>
      <c r="W72" s="178">
        <v>1750</v>
      </c>
      <c r="X72" s="178">
        <v>3000</v>
      </c>
      <c r="Y72" s="178">
        <v>100000</v>
      </c>
      <c r="Z72" s="178">
        <v>10362.630888616171</v>
      </c>
      <c r="AA72" s="178">
        <v>17000</v>
      </c>
      <c r="AB72" s="178">
        <v>19500</v>
      </c>
      <c r="AC72" s="178">
        <v>0</v>
      </c>
      <c r="AD72" s="178">
        <v>0</v>
      </c>
      <c r="AE72" s="178">
        <v>30000</v>
      </c>
      <c r="AG72" s="178">
        <f t="shared" si="8"/>
        <v>203862.63088861617</v>
      </c>
      <c r="AH72" s="178">
        <f t="shared" si="9"/>
        <v>333862.6308886162</v>
      </c>
    </row>
    <row r="73" spans="1:34" ht="12" x14ac:dyDescent="0.2">
      <c r="A73" s="16" t="s">
        <v>248</v>
      </c>
      <c r="C73" s="90" t="s">
        <v>27</v>
      </c>
      <c r="D73" s="90" t="s">
        <v>28</v>
      </c>
      <c r="E73" s="90">
        <v>2045</v>
      </c>
      <c r="F73" s="90" t="s">
        <v>29</v>
      </c>
      <c r="G73" s="90"/>
      <c r="H73" s="90" t="s">
        <v>159</v>
      </c>
      <c r="I73" s="174">
        <v>0</v>
      </c>
      <c r="J73" s="154">
        <v>0</v>
      </c>
      <c r="K73" s="154">
        <v>780</v>
      </c>
      <c r="L73" s="154">
        <v>0</v>
      </c>
      <c r="M73" s="154">
        <v>0</v>
      </c>
      <c r="N73" s="154">
        <v>3000</v>
      </c>
      <c r="O73" s="154">
        <v>0</v>
      </c>
      <c r="P73" s="154">
        <v>0</v>
      </c>
      <c r="Q73" s="154">
        <v>0</v>
      </c>
      <c r="R73" s="154">
        <v>0</v>
      </c>
      <c r="S73" s="154">
        <v>0</v>
      </c>
      <c r="T73" s="154">
        <v>0</v>
      </c>
      <c r="U73" s="154">
        <f>U67</f>
        <v>4000</v>
      </c>
      <c r="V73" s="154">
        <v>0</v>
      </c>
      <c r="W73" s="154">
        <v>0</v>
      </c>
      <c r="X73" s="154">
        <f>N127</f>
        <v>15500</v>
      </c>
      <c r="Y73" s="154">
        <f>P127</f>
        <v>700</v>
      </c>
      <c r="Z73" s="154">
        <v>0</v>
      </c>
      <c r="AA73" s="154">
        <v>0</v>
      </c>
      <c r="AB73" s="154">
        <v>0</v>
      </c>
      <c r="AC73" s="154">
        <v>0</v>
      </c>
      <c r="AD73" s="154">
        <v>0</v>
      </c>
      <c r="AE73" s="154">
        <v>35000</v>
      </c>
      <c r="AG73" s="154">
        <f t="shared" si="8"/>
        <v>23280</v>
      </c>
      <c r="AH73" s="154">
        <f t="shared" si="9"/>
        <v>58980</v>
      </c>
    </row>
    <row r="74" spans="1:34" ht="12" x14ac:dyDescent="0.2">
      <c r="A74" s="16" t="s">
        <v>248</v>
      </c>
      <c r="C74" s="90" t="s">
        <v>27</v>
      </c>
      <c r="D74" s="90" t="s">
        <v>28</v>
      </c>
      <c r="E74" s="90">
        <v>2045</v>
      </c>
      <c r="F74" s="90" t="s">
        <v>29</v>
      </c>
      <c r="G74" s="90"/>
      <c r="H74" s="90" t="s">
        <v>158</v>
      </c>
      <c r="I74" s="174">
        <v>0</v>
      </c>
      <c r="J74" s="154">
        <v>0</v>
      </c>
      <c r="K74" s="154">
        <v>0</v>
      </c>
      <c r="L74" s="154">
        <v>0</v>
      </c>
      <c r="M74" s="154">
        <v>1500</v>
      </c>
      <c r="N74" s="154">
        <v>8000</v>
      </c>
      <c r="O74" s="154">
        <f>O68</f>
        <v>2500</v>
      </c>
      <c r="P74" s="154">
        <v>5000</v>
      </c>
      <c r="Q74" s="154">
        <v>0</v>
      </c>
      <c r="R74" s="154">
        <v>0</v>
      </c>
      <c r="S74" s="154">
        <v>0</v>
      </c>
      <c r="T74" s="154">
        <v>0</v>
      </c>
      <c r="U74" s="154">
        <v>0</v>
      </c>
      <c r="V74" s="154">
        <v>0</v>
      </c>
      <c r="W74" s="154">
        <v>0</v>
      </c>
      <c r="X74" s="154">
        <v>500</v>
      </c>
      <c r="Y74" s="154">
        <v>0</v>
      </c>
      <c r="Z74" s="154">
        <v>0</v>
      </c>
      <c r="AA74" s="154">
        <v>0</v>
      </c>
      <c r="AB74" s="154">
        <v>0</v>
      </c>
      <c r="AC74" s="154">
        <v>0</v>
      </c>
      <c r="AD74" s="154">
        <v>0</v>
      </c>
      <c r="AE74" s="154">
        <v>23000</v>
      </c>
      <c r="AG74" s="154">
        <f t="shared" si="8"/>
        <v>17500</v>
      </c>
      <c r="AH74" s="154">
        <f t="shared" si="9"/>
        <v>40500</v>
      </c>
    </row>
    <row r="75" spans="1:34" ht="12" x14ac:dyDescent="0.2">
      <c r="A75" s="16" t="s">
        <v>248</v>
      </c>
      <c r="C75" s="90" t="s">
        <v>27</v>
      </c>
      <c r="D75" s="90" t="s">
        <v>28</v>
      </c>
      <c r="E75" s="90">
        <v>2045</v>
      </c>
      <c r="F75" s="90" t="s">
        <v>29</v>
      </c>
      <c r="G75" s="90"/>
      <c r="H75" s="90" t="s">
        <v>33</v>
      </c>
      <c r="I75" s="174">
        <v>0</v>
      </c>
      <c r="J75" s="154">
        <v>0</v>
      </c>
      <c r="K75" s="154">
        <v>0</v>
      </c>
      <c r="L75" s="154">
        <v>0</v>
      </c>
      <c r="M75" s="154">
        <v>2000</v>
      </c>
      <c r="N75" s="154">
        <v>0</v>
      </c>
      <c r="O75" s="154">
        <v>0</v>
      </c>
      <c r="P75" s="154">
        <v>50</v>
      </c>
      <c r="Q75" s="154">
        <v>1000</v>
      </c>
      <c r="R75" s="154">
        <v>0</v>
      </c>
      <c r="S75" s="154">
        <v>0</v>
      </c>
      <c r="T75" s="154">
        <v>0</v>
      </c>
      <c r="U75" s="154">
        <v>10000</v>
      </c>
      <c r="V75" s="154">
        <v>500</v>
      </c>
      <c r="W75" s="154">
        <v>0</v>
      </c>
      <c r="X75" s="154">
        <v>600</v>
      </c>
      <c r="Y75" s="154">
        <v>0</v>
      </c>
      <c r="Z75" s="154">
        <v>8637.8890365011048</v>
      </c>
      <c r="AA75" s="154">
        <v>8000</v>
      </c>
      <c r="AB75" s="154">
        <v>0</v>
      </c>
      <c r="AC75" s="154">
        <v>15</v>
      </c>
      <c r="AD75" s="154">
        <v>0</v>
      </c>
      <c r="AE75" s="154">
        <v>0</v>
      </c>
      <c r="AG75" s="154">
        <f t="shared" si="8"/>
        <v>30802.889036501103</v>
      </c>
      <c r="AH75" s="154">
        <f t="shared" si="9"/>
        <v>30802.889036501103</v>
      </c>
    </row>
    <row r="76" spans="1:34" ht="12" x14ac:dyDescent="0.2">
      <c r="A76" s="16" t="s">
        <v>248</v>
      </c>
      <c r="C76" s="90" t="s">
        <v>27</v>
      </c>
      <c r="D76" s="90" t="s">
        <v>28</v>
      </c>
      <c r="E76" s="90">
        <v>2045</v>
      </c>
      <c r="F76" s="90" t="s">
        <v>29</v>
      </c>
      <c r="G76" s="90"/>
      <c r="H76" s="90" t="s">
        <v>34</v>
      </c>
      <c r="I76" s="174">
        <v>0</v>
      </c>
      <c r="J76" s="154">
        <v>14923.999999999998</v>
      </c>
      <c r="K76" s="154">
        <v>0</v>
      </c>
      <c r="L76" s="154">
        <v>3000</v>
      </c>
      <c r="M76" s="154">
        <v>49727.5</v>
      </c>
      <c r="N76" s="154">
        <v>500</v>
      </c>
      <c r="O76" s="154">
        <v>1000</v>
      </c>
      <c r="P76" s="154">
        <v>0</v>
      </c>
      <c r="Q76" s="154">
        <v>5000</v>
      </c>
      <c r="R76" s="154">
        <v>0</v>
      </c>
      <c r="S76" s="154">
        <v>4250</v>
      </c>
      <c r="T76" s="154">
        <f>T70</f>
        <v>3000</v>
      </c>
      <c r="U76" s="154">
        <v>45000</v>
      </c>
      <c r="V76" s="154">
        <v>0</v>
      </c>
      <c r="W76" s="154">
        <v>0</v>
      </c>
      <c r="X76" s="154">
        <v>26000</v>
      </c>
      <c r="Y76" s="154">
        <v>0</v>
      </c>
      <c r="Z76" s="154">
        <v>1038.9217968477008</v>
      </c>
      <c r="AA76" s="154">
        <v>42400</v>
      </c>
      <c r="AB76" s="154">
        <v>0</v>
      </c>
      <c r="AC76" s="154">
        <v>175</v>
      </c>
      <c r="AD76" s="154">
        <v>0</v>
      </c>
      <c r="AE76" s="154">
        <v>0</v>
      </c>
      <c r="AG76" s="154">
        <f t="shared" si="8"/>
        <v>196015.42179684772</v>
      </c>
      <c r="AH76" s="154">
        <f t="shared" si="9"/>
        <v>196015.42179684769</v>
      </c>
    </row>
    <row r="77" spans="1:34" ht="12" x14ac:dyDescent="0.2">
      <c r="A77" s="16" t="s">
        <v>249</v>
      </c>
      <c r="C77" s="90" t="s">
        <v>27</v>
      </c>
      <c r="D77" s="90" t="s">
        <v>28</v>
      </c>
      <c r="E77" s="90">
        <v>2045</v>
      </c>
      <c r="F77" s="90" t="s">
        <v>29</v>
      </c>
      <c r="G77" s="90"/>
      <c r="H77" s="90" t="s">
        <v>31</v>
      </c>
      <c r="I77" s="174">
        <v>0</v>
      </c>
      <c r="J77" s="154">
        <v>4643.333333333333</v>
      </c>
      <c r="K77" s="154">
        <v>70000</v>
      </c>
      <c r="L77" s="154">
        <v>22000</v>
      </c>
      <c r="M77" s="154">
        <v>60000</v>
      </c>
      <c r="N77" s="154">
        <v>25000</v>
      </c>
      <c r="O77" s="154">
        <v>7500</v>
      </c>
      <c r="P77" s="154">
        <v>1000</v>
      </c>
      <c r="Q77" s="154"/>
      <c r="R77" s="154">
        <v>0</v>
      </c>
      <c r="S77" s="154">
        <v>11500</v>
      </c>
      <c r="T77" s="154">
        <v>0</v>
      </c>
      <c r="U77" s="154">
        <v>70000</v>
      </c>
      <c r="V77" s="154">
        <v>1500</v>
      </c>
      <c r="W77" s="154">
        <v>8500</v>
      </c>
      <c r="X77" s="154">
        <v>6000</v>
      </c>
      <c r="Y77" s="154">
        <v>0</v>
      </c>
      <c r="Z77" s="154">
        <v>44597.927389418852</v>
      </c>
      <c r="AA77" s="154">
        <v>70000</v>
      </c>
      <c r="AB77" s="154">
        <v>0</v>
      </c>
      <c r="AC77" s="154">
        <v>2750</v>
      </c>
      <c r="AD77" s="154">
        <v>57200</v>
      </c>
      <c r="AE77" s="154">
        <v>0</v>
      </c>
      <c r="AG77" s="154">
        <f t="shared" si="8"/>
        <v>462191.26072275219</v>
      </c>
      <c r="AH77" s="154">
        <f t="shared" si="9"/>
        <v>462191.26072275219</v>
      </c>
    </row>
    <row r="78" spans="1:34" ht="12" x14ac:dyDescent="0.2">
      <c r="A78" s="16" t="s">
        <v>249</v>
      </c>
      <c r="C78" s="175" t="s">
        <v>27</v>
      </c>
      <c r="D78" s="175" t="s">
        <v>28</v>
      </c>
      <c r="E78" s="175">
        <v>2045</v>
      </c>
      <c r="F78" s="175" t="s">
        <v>29</v>
      </c>
      <c r="G78" s="175"/>
      <c r="H78" s="175" t="s">
        <v>32</v>
      </c>
      <c r="I78" s="176">
        <v>0</v>
      </c>
      <c r="J78" s="178">
        <v>0</v>
      </c>
      <c r="K78" s="178">
        <v>0</v>
      </c>
      <c r="L78" s="178">
        <v>0</v>
      </c>
      <c r="M78" s="178">
        <v>60000</v>
      </c>
      <c r="N78" s="178">
        <v>40000</v>
      </c>
      <c r="O78" s="178">
        <v>14500</v>
      </c>
      <c r="P78" s="178">
        <v>60000</v>
      </c>
      <c r="Q78" s="178">
        <v>60000</v>
      </c>
      <c r="R78" s="178">
        <v>0</v>
      </c>
      <c r="S78" s="178">
        <v>0</v>
      </c>
      <c r="T78" s="178">
        <v>0</v>
      </c>
      <c r="U78" s="178">
        <v>70000</v>
      </c>
      <c r="V78" s="178">
        <v>0</v>
      </c>
      <c r="W78" s="178">
        <v>3500</v>
      </c>
      <c r="X78" s="178">
        <v>6000</v>
      </c>
      <c r="Y78" s="178">
        <v>150000</v>
      </c>
      <c r="Z78" s="178">
        <v>20725.261777232343</v>
      </c>
      <c r="AA78" s="178">
        <v>34000</v>
      </c>
      <c r="AB78" s="178">
        <v>39000</v>
      </c>
      <c r="AC78" s="178">
        <v>0</v>
      </c>
      <c r="AD78" s="178">
        <v>0</v>
      </c>
      <c r="AE78" s="178">
        <v>60000</v>
      </c>
      <c r="AG78" s="178">
        <f t="shared" si="8"/>
        <v>407725.26177723234</v>
      </c>
      <c r="AH78" s="178">
        <f t="shared" si="9"/>
        <v>617725.2617772324</v>
      </c>
    </row>
    <row r="79" spans="1:34" ht="12" x14ac:dyDescent="0.2">
      <c r="A79" s="16" t="s">
        <v>248</v>
      </c>
      <c r="C79" s="90" t="s">
        <v>27</v>
      </c>
      <c r="D79" s="90" t="s">
        <v>28</v>
      </c>
      <c r="E79" s="90">
        <v>2050</v>
      </c>
      <c r="F79" s="90" t="s">
        <v>29</v>
      </c>
      <c r="G79" s="90"/>
      <c r="H79" s="90" t="s">
        <v>159</v>
      </c>
      <c r="I79" s="174">
        <v>0</v>
      </c>
      <c r="J79" s="154">
        <v>0</v>
      </c>
      <c r="K79" s="154">
        <f>K73</f>
        <v>780</v>
      </c>
      <c r="L79" s="154">
        <v>0</v>
      </c>
      <c r="M79" s="154">
        <v>0</v>
      </c>
      <c r="N79" s="154">
        <v>3000</v>
      </c>
      <c r="O79" s="154">
        <v>0</v>
      </c>
      <c r="P79" s="154">
        <v>0</v>
      </c>
      <c r="Q79" s="154">
        <v>0</v>
      </c>
      <c r="R79" s="154">
        <v>0</v>
      </c>
      <c r="S79" s="154">
        <v>0</v>
      </c>
      <c r="T79" s="154">
        <v>0</v>
      </c>
      <c r="U79" s="154">
        <f>U73</f>
        <v>4000</v>
      </c>
      <c r="V79" s="154">
        <v>0</v>
      </c>
      <c r="W79" s="154">
        <v>0</v>
      </c>
      <c r="X79" s="154">
        <v>16000</v>
      </c>
      <c r="Y79" s="154">
        <f>P133</f>
        <v>700</v>
      </c>
      <c r="Z79" s="154">
        <v>0</v>
      </c>
      <c r="AA79" s="154">
        <v>0</v>
      </c>
      <c r="AB79" s="154">
        <v>0</v>
      </c>
      <c r="AC79" s="154">
        <v>0</v>
      </c>
      <c r="AD79" s="154">
        <v>0</v>
      </c>
      <c r="AE79" s="154">
        <v>40000</v>
      </c>
      <c r="AG79" s="154">
        <f t="shared" si="8"/>
        <v>23780</v>
      </c>
      <c r="AH79" s="154">
        <f t="shared" si="9"/>
        <v>64480</v>
      </c>
    </row>
    <row r="80" spans="1:34" ht="12" x14ac:dyDescent="0.2">
      <c r="A80" s="16" t="s">
        <v>248</v>
      </c>
      <c r="C80" s="90" t="s">
        <v>27</v>
      </c>
      <c r="D80" s="90" t="s">
        <v>28</v>
      </c>
      <c r="E80" s="90">
        <v>2050</v>
      </c>
      <c r="F80" s="90" t="s">
        <v>29</v>
      </c>
      <c r="G80" s="90"/>
      <c r="H80" s="90" t="s">
        <v>158</v>
      </c>
      <c r="I80" s="174">
        <v>0</v>
      </c>
      <c r="J80" s="154">
        <v>0</v>
      </c>
      <c r="K80" s="154">
        <v>0</v>
      </c>
      <c r="L80" s="154">
        <v>0</v>
      </c>
      <c r="M80" s="154">
        <f>M74</f>
        <v>1500</v>
      </c>
      <c r="N80" s="154">
        <v>8000</v>
      </c>
      <c r="O80" s="154">
        <f>O74</f>
        <v>2500</v>
      </c>
      <c r="P80" s="154">
        <v>5000</v>
      </c>
      <c r="Q80" s="154">
        <v>0</v>
      </c>
      <c r="R80" s="154">
        <v>0</v>
      </c>
      <c r="S80" s="154">
        <v>0</v>
      </c>
      <c r="T80" s="154">
        <v>0</v>
      </c>
      <c r="U80" s="154">
        <v>0</v>
      </c>
      <c r="V80" s="154">
        <v>0</v>
      </c>
      <c r="W80" s="154">
        <v>0</v>
      </c>
      <c r="X80" s="154">
        <v>1000</v>
      </c>
      <c r="Y80" s="154">
        <v>0</v>
      </c>
      <c r="Z80" s="154">
        <v>0</v>
      </c>
      <c r="AA80" s="154">
        <v>0</v>
      </c>
      <c r="AB80" s="154">
        <v>0</v>
      </c>
      <c r="AC80" s="154">
        <v>0</v>
      </c>
      <c r="AD80" s="154">
        <v>0</v>
      </c>
      <c r="AE80" s="154">
        <v>23000</v>
      </c>
      <c r="AG80" s="154">
        <f t="shared" si="8"/>
        <v>18000</v>
      </c>
      <c r="AH80" s="154">
        <f t="shared" si="9"/>
        <v>41000</v>
      </c>
    </row>
    <row r="81" spans="1:34" ht="12" x14ac:dyDescent="0.2">
      <c r="A81" s="16" t="s">
        <v>248</v>
      </c>
      <c r="C81" s="90" t="s">
        <v>27</v>
      </c>
      <c r="D81" s="90" t="s">
        <v>28</v>
      </c>
      <c r="E81" s="90">
        <v>2050</v>
      </c>
      <c r="F81" s="90" t="s">
        <v>29</v>
      </c>
      <c r="G81" s="90"/>
      <c r="H81" s="90" t="s">
        <v>33</v>
      </c>
      <c r="I81" s="174">
        <v>0</v>
      </c>
      <c r="J81" s="154">
        <v>0</v>
      </c>
      <c r="K81" s="154">
        <v>0</v>
      </c>
      <c r="L81" s="154">
        <v>0</v>
      </c>
      <c r="M81" s="154">
        <v>2000</v>
      </c>
      <c r="N81" s="154">
        <v>0</v>
      </c>
      <c r="O81" s="154">
        <v>0</v>
      </c>
      <c r="P81" s="154">
        <v>50</v>
      </c>
      <c r="Q81" s="154">
        <v>1000</v>
      </c>
      <c r="R81" s="154">
        <v>0</v>
      </c>
      <c r="S81" s="154">
        <v>0</v>
      </c>
      <c r="T81" s="154">
        <v>0</v>
      </c>
      <c r="U81" s="154">
        <v>12000</v>
      </c>
      <c r="V81" s="154">
        <v>500</v>
      </c>
      <c r="W81" s="154">
        <v>0</v>
      </c>
      <c r="X81" s="154">
        <v>1200</v>
      </c>
      <c r="Y81" s="154">
        <v>0</v>
      </c>
      <c r="Z81" s="154">
        <v>17275.77807300221</v>
      </c>
      <c r="AA81" s="154">
        <v>16000</v>
      </c>
      <c r="AB81" s="154">
        <v>0</v>
      </c>
      <c r="AC81" s="154">
        <v>30</v>
      </c>
      <c r="AD81" s="154">
        <v>0</v>
      </c>
      <c r="AE81" s="154">
        <v>0</v>
      </c>
      <c r="AG81" s="154">
        <f t="shared" si="8"/>
        <v>50055.778073002206</v>
      </c>
      <c r="AH81" s="154">
        <f t="shared" si="9"/>
        <v>50055.778073002206</v>
      </c>
    </row>
    <row r="82" spans="1:34" ht="12" x14ac:dyDescent="0.2">
      <c r="A82" s="16" t="s">
        <v>248</v>
      </c>
      <c r="C82" s="90" t="s">
        <v>27</v>
      </c>
      <c r="D82" s="90" t="s">
        <v>28</v>
      </c>
      <c r="E82" s="90">
        <v>2050</v>
      </c>
      <c r="F82" s="90" t="s">
        <v>29</v>
      </c>
      <c r="G82" s="90"/>
      <c r="H82" s="90" t="s">
        <v>34</v>
      </c>
      <c r="I82" s="174">
        <v>0</v>
      </c>
      <c r="J82" s="154">
        <v>29847.999999999996</v>
      </c>
      <c r="K82" s="154">
        <v>0</v>
      </c>
      <c r="L82" s="154">
        <v>3000</v>
      </c>
      <c r="M82" s="154">
        <v>99455</v>
      </c>
      <c r="N82" s="154">
        <v>500</v>
      </c>
      <c r="O82" s="154">
        <f>O76</f>
        <v>1000</v>
      </c>
      <c r="P82" s="154">
        <v>0</v>
      </c>
      <c r="Q82" s="154">
        <v>10000</v>
      </c>
      <c r="R82" s="154">
        <v>0</v>
      </c>
      <c r="S82" s="154">
        <v>0</v>
      </c>
      <c r="T82" s="154">
        <f>T76</f>
        <v>3000</v>
      </c>
      <c r="U82" s="154">
        <v>90000</v>
      </c>
      <c r="V82" s="154">
        <v>0</v>
      </c>
      <c r="W82" s="154">
        <v>0</v>
      </c>
      <c r="X82" s="154">
        <v>52000</v>
      </c>
      <c r="Y82" s="154">
        <v>0</v>
      </c>
      <c r="Z82" s="154">
        <v>2077.8435936954015</v>
      </c>
      <c r="AA82" s="154">
        <v>84800</v>
      </c>
      <c r="AB82" s="154">
        <v>0</v>
      </c>
      <c r="AC82" s="154">
        <v>350</v>
      </c>
      <c r="AD82" s="154">
        <v>0</v>
      </c>
      <c r="AE82" s="154">
        <v>0</v>
      </c>
      <c r="AG82" s="154">
        <f t="shared" si="8"/>
        <v>376030.84359369543</v>
      </c>
      <c r="AH82" s="154">
        <f t="shared" si="9"/>
        <v>376030.84359369538</v>
      </c>
    </row>
    <row r="83" spans="1:34" ht="12" x14ac:dyDescent="0.2">
      <c r="A83" s="16" t="s">
        <v>249</v>
      </c>
      <c r="C83" s="90" t="s">
        <v>27</v>
      </c>
      <c r="D83" s="90" t="s">
        <v>28</v>
      </c>
      <c r="E83" s="90">
        <v>2050</v>
      </c>
      <c r="F83" s="90" t="s">
        <v>29</v>
      </c>
      <c r="G83" s="90"/>
      <c r="H83" s="90" t="s">
        <v>31</v>
      </c>
      <c r="I83" s="174">
        <v>0</v>
      </c>
      <c r="J83" s="154">
        <v>9286.6666666666661</v>
      </c>
      <c r="K83" s="154">
        <v>140000</v>
      </c>
      <c r="L83" s="154">
        <v>44000</v>
      </c>
      <c r="M83" s="154">
        <v>120000</v>
      </c>
      <c r="N83" s="154">
        <v>50000</v>
      </c>
      <c r="O83" s="154">
        <v>15000</v>
      </c>
      <c r="P83" s="154">
        <v>1000</v>
      </c>
      <c r="Q83" s="154">
        <v>0</v>
      </c>
      <c r="R83" s="154">
        <v>0</v>
      </c>
      <c r="S83" s="154">
        <v>8500</v>
      </c>
      <c r="T83" s="154">
        <v>0</v>
      </c>
      <c r="U83" s="154">
        <v>140000</v>
      </c>
      <c r="V83" s="154">
        <v>2500</v>
      </c>
      <c r="W83" s="154">
        <v>17000</v>
      </c>
      <c r="X83" s="154">
        <v>12000</v>
      </c>
      <c r="Y83" s="154">
        <v>0</v>
      </c>
      <c r="Z83" s="154">
        <v>89195.854778837704</v>
      </c>
      <c r="AA83" s="154">
        <v>140000</v>
      </c>
      <c r="AB83" s="154">
        <v>0</v>
      </c>
      <c r="AC83" s="154">
        <v>5500</v>
      </c>
      <c r="AD83" s="154">
        <v>114400</v>
      </c>
      <c r="AE83" s="154">
        <v>0</v>
      </c>
      <c r="AG83" s="154">
        <f t="shared" si="8"/>
        <v>908382.52144550439</v>
      </c>
      <c r="AH83" s="154">
        <f t="shared" si="9"/>
        <v>908382.52144550439</v>
      </c>
    </row>
    <row r="84" spans="1:34" ht="12" x14ac:dyDescent="0.2">
      <c r="A84" s="16" t="s">
        <v>249</v>
      </c>
      <c r="C84" s="175" t="s">
        <v>27</v>
      </c>
      <c r="D84" s="175" t="s">
        <v>28</v>
      </c>
      <c r="E84" s="175">
        <v>2050</v>
      </c>
      <c r="F84" s="175" t="s">
        <v>29</v>
      </c>
      <c r="G84" s="175"/>
      <c r="H84" s="175" t="s">
        <v>32</v>
      </c>
      <c r="I84" s="176">
        <v>0</v>
      </c>
      <c r="J84" s="178">
        <v>0</v>
      </c>
      <c r="K84" s="178">
        <v>0</v>
      </c>
      <c r="L84" s="178">
        <v>0</v>
      </c>
      <c r="M84" s="178">
        <v>120000</v>
      </c>
      <c r="N84" s="178">
        <v>80000</v>
      </c>
      <c r="O84" s="178">
        <v>29000</v>
      </c>
      <c r="P84" s="178">
        <v>120000</v>
      </c>
      <c r="Q84" s="178">
        <v>120000</v>
      </c>
      <c r="R84" s="178">
        <v>0</v>
      </c>
      <c r="S84" s="178">
        <v>23000</v>
      </c>
      <c r="T84" s="178">
        <v>0</v>
      </c>
      <c r="U84" s="178">
        <v>140000</v>
      </c>
      <c r="V84" s="178">
        <v>0</v>
      </c>
      <c r="W84" s="178">
        <v>7000</v>
      </c>
      <c r="X84" s="178">
        <v>12000</v>
      </c>
      <c r="Y84" s="178">
        <v>200000</v>
      </c>
      <c r="Z84" s="178">
        <v>41450.523554464686</v>
      </c>
      <c r="AA84" s="178">
        <v>68000</v>
      </c>
      <c r="AB84" s="178">
        <v>78000</v>
      </c>
      <c r="AC84" s="178">
        <v>0</v>
      </c>
      <c r="AD84" s="178">
        <v>0</v>
      </c>
      <c r="AE84" s="178">
        <v>120000</v>
      </c>
      <c r="AG84" s="178">
        <f t="shared" si="8"/>
        <v>838450.52355446469</v>
      </c>
      <c r="AH84" s="178">
        <f t="shared" si="9"/>
        <v>1158450.5235544648</v>
      </c>
    </row>
    <row r="85" spans="1:34" ht="12" x14ac:dyDescent="0.2">
      <c r="C85" s="90" t="s">
        <v>27</v>
      </c>
      <c r="D85" s="90" t="s">
        <v>28</v>
      </c>
      <c r="E85" s="90">
        <v>0</v>
      </c>
      <c r="F85" s="90" t="s">
        <v>29</v>
      </c>
      <c r="G85" s="90"/>
      <c r="H85" s="90" t="s">
        <v>258</v>
      </c>
      <c r="I85" s="174">
        <v>5</v>
      </c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54"/>
      <c r="Z85" s="174"/>
      <c r="AA85" s="174"/>
      <c r="AB85" s="174"/>
      <c r="AC85" s="174"/>
      <c r="AD85" s="174"/>
      <c r="AE85" s="154"/>
      <c r="AG85" s="174"/>
      <c r="AH85" s="174"/>
    </row>
    <row r="86" spans="1:34" ht="12" x14ac:dyDescent="0.2">
      <c r="C86" s="90"/>
      <c r="D86" s="90"/>
      <c r="E86" s="90"/>
      <c r="F86" s="90"/>
      <c r="G86" s="90"/>
      <c r="H86" s="90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54"/>
      <c r="Z86" s="174"/>
      <c r="AA86" s="174"/>
      <c r="AB86" s="174"/>
      <c r="AC86" s="174"/>
      <c r="AD86" s="174"/>
      <c r="AE86" s="154"/>
      <c r="AG86" s="174"/>
      <c r="AH86" s="174"/>
    </row>
    <row r="88" spans="1:34" ht="12" x14ac:dyDescent="0.2">
      <c r="C88" s="148" t="s">
        <v>248</v>
      </c>
      <c r="D88" s="148"/>
      <c r="E88" s="148">
        <v>2028</v>
      </c>
      <c r="F88" s="155"/>
      <c r="G88" s="155"/>
      <c r="H88" s="155"/>
      <c r="I88" s="155"/>
      <c r="J88" s="155">
        <f>SUMIFS(J$49:J$84,$A$49:$A$84,$C88,$E$49:$E$84,$E88)</f>
        <v>0</v>
      </c>
      <c r="K88" s="155">
        <f t="shared" ref="K88:Z99" si="10">SUMIFS(K$49:K$84,$A$49:$A$84,$C88,$E$49:$E$84,$E88)</f>
        <v>600</v>
      </c>
      <c r="L88" s="155">
        <f t="shared" si="10"/>
        <v>0</v>
      </c>
      <c r="M88" s="155">
        <f t="shared" si="10"/>
        <v>0</v>
      </c>
      <c r="N88" s="155">
        <f t="shared" si="10"/>
        <v>5000</v>
      </c>
      <c r="O88" s="155">
        <f t="shared" si="10"/>
        <v>2500</v>
      </c>
      <c r="P88" s="155">
        <f t="shared" si="10"/>
        <v>0</v>
      </c>
      <c r="Q88" s="155">
        <f t="shared" si="10"/>
        <v>0</v>
      </c>
      <c r="R88" s="155">
        <f t="shared" si="10"/>
        <v>0</v>
      </c>
      <c r="S88" s="155">
        <f t="shared" si="10"/>
        <v>0</v>
      </c>
      <c r="T88" s="155">
        <f t="shared" si="10"/>
        <v>2500</v>
      </c>
      <c r="U88" s="155">
        <f t="shared" si="10"/>
        <v>4000</v>
      </c>
      <c r="V88" s="155">
        <f t="shared" si="10"/>
        <v>0</v>
      </c>
      <c r="W88" s="155">
        <f t="shared" si="10"/>
        <v>0</v>
      </c>
      <c r="X88" s="155">
        <f t="shared" si="10"/>
        <v>12500</v>
      </c>
      <c r="Y88" s="155">
        <f t="shared" si="10"/>
        <v>700</v>
      </c>
      <c r="Z88" s="155">
        <f t="shared" si="10"/>
        <v>0</v>
      </c>
      <c r="AA88" s="155">
        <f t="shared" ref="AA88:AE99" si="11">SUMIFS(AA$49:AA$84,$A$49:$A$84,$C88,$E$49:$E$84,$E88)</f>
        <v>0</v>
      </c>
      <c r="AB88" s="155">
        <f t="shared" si="11"/>
        <v>0</v>
      </c>
      <c r="AC88" s="155">
        <f t="shared" si="11"/>
        <v>0</v>
      </c>
      <c r="AD88" s="155">
        <f t="shared" si="11"/>
        <v>0</v>
      </c>
      <c r="AE88" s="155">
        <f t="shared" si="11"/>
        <v>19100</v>
      </c>
      <c r="AF88" s="179">
        <f t="shared" ref="AF88:AG99" si="12">SUMIFS(AG$49:AG$84,$A$49:$A$84,$C88,$E$49:$E$84,$E88)</f>
        <v>27100</v>
      </c>
      <c r="AG88" s="155">
        <f t="shared" si="12"/>
        <v>46900</v>
      </c>
      <c r="AH88" s="1">
        <v>2028</v>
      </c>
    </row>
    <row r="89" spans="1:34" ht="12" x14ac:dyDescent="0.2">
      <c r="C89" s="148" t="s">
        <v>248</v>
      </c>
      <c r="D89" s="148"/>
      <c r="E89" s="148">
        <v>2030</v>
      </c>
      <c r="F89" s="155"/>
      <c r="G89" s="155"/>
      <c r="H89" s="155"/>
      <c r="I89" s="155"/>
      <c r="J89" s="155">
        <f>SUMIFS(J$49:J$84,$A$49:$A$84,$C89,$E$49:$E$84,$E89)</f>
        <v>0</v>
      </c>
      <c r="K89" s="155">
        <f t="shared" si="10"/>
        <v>780</v>
      </c>
      <c r="L89" s="155">
        <f t="shared" si="10"/>
        <v>0</v>
      </c>
      <c r="M89" s="155">
        <f t="shared" si="10"/>
        <v>0</v>
      </c>
      <c r="N89" s="155">
        <f t="shared" si="10"/>
        <v>11500</v>
      </c>
      <c r="O89" s="155">
        <f t="shared" si="10"/>
        <v>2500</v>
      </c>
      <c r="P89" s="155">
        <f t="shared" si="10"/>
        <v>0</v>
      </c>
      <c r="Q89" s="155">
        <f t="shared" si="10"/>
        <v>0</v>
      </c>
      <c r="R89" s="155">
        <f t="shared" si="10"/>
        <v>0</v>
      </c>
      <c r="S89" s="155">
        <f t="shared" si="10"/>
        <v>0</v>
      </c>
      <c r="T89" s="155">
        <f t="shared" si="10"/>
        <v>2500</v>
      </c>
      <c r="U89" s="155">
        <f t="shared" si="10"/>
        <v>4000</v>
      </c>
      <c r="V89" s="155">
        <f t="shared" si="10"/>
        <v>0</v>
      </c>
      <c r="W89" s="155">
        <f t="shared" si="10"/>
        <v>0</v>
      </c>
      <c r="X89" s="155">
        <f t="shared" si="10"/>
        <v>12500</v>
      </c>
      <c r="Y89" s="155">
        <f t="shared" si="10"/>
        <v>700</v>
      </c>
      <c r="Z89" s="155">
        <f t="shared" si="10"/>
        <v>0</v>
      </c>
      <c r="AA89" s="155">
        <f t="shared" si="11"/>
        <v>0</v>
      </c>
      <c r="AB89" s="155">
        <f t="shared" si="11"/>
        <v>0</v>
      </c>
      <c r="AC89" s="155">
        <f t="shared" si="11"/>
        <v>0</v>
      </c>
      <c r="AD89" s="155">
        <f t="shared" si="11"/>
        <v>0</v>
      </c>
      <c r="AE89" s="155">
        <f t="shared" si="11"/>
        <v>33500</v>
      </c>
      <c r="AF89" s="180">
        <f t="shared" si="12"/>
        <v>33780</v>
      </c>
      <c r="AG89" s="181">
        <f t="shared" si="12"/>
        <v>67980</v>
      </c>
      <c r="AH89" s="1">
        <v>2030</v>
      </c>
    </row>
    <row r="90" spans="1:34" ht="12" x14ac:dyDescent="0.2">
      <c r="C90" s="148" t="s">
        <v>248</v>
      </c>
      <c r="D90" s="148"/>
      <c r="E90" s="148">
        <v>2035</v>
      </c>
      <c r="F90" s="155"/>
      <c r="G90" s="155"/>
      <c r="H90" s="155"/>
      <c r="I90" s="155"/>
      <c r="J90" s="155">
        <f>SUMIFS(J$49:J$84,$A$49:$A$84,$C90,$E$49:$E$84,$E90)</f>
        <v>0</v>
      </c>
      <c r="K90" s="155">
        <f t="shared" si="10"/>
        <v>780</v>
      </c>
      <c r="L90" s="155">
        <f t="shared" si="10"/>
        <v>0</v>
      </c>
      <c r="M90" s="155">
        <f t="shared" si="10"/>
        <v>0</v>
      </c>
      <c r="N90" s="155">
        <f t="shared" si="10"/>
        <v>11500</v>
      </c>
      <c r="O90" s="155">
        <f t="shared" si="10"/>
        <v>2500</v>
      </c>
      <c r="P90" s="155">
        <f t="shared" si="10"/>
        <v>0</v>
      </c>
      <c r="Q90" s="155">
        <f t="shared" si="10"/>
        <v>2500</v>
      </c>
      <c r="R90" s="155">
        <f t="shared" si="10"/>
        <v>0</v>
      </c>
      <c r="S90" s="155">
        <f t="shared" si="10"/>
        <v>0</v>
      </c>
      <c r="T90" s="155">
        <f t="shared" si="10"/>
        <v>2500</v>
      </c>
      <c r="U90" s="155">
        <f t="shared" si="10"/>
        <v>4000</v>
      </c>
      <c r="V90" s="155">
        <f t="shared" si="10"/>
        <v>0</v>
      </c>
      <c r="W90" s="155">
        <f t="shared" si="10"/>
        <v>0</v>
      </c>
      <c r="X90" s="155">
        <f t="shared" si="10"/>
        <v>15500</v>
      </c>
      <c r="Y90" s="155">
        <f t="shared" si="10"/>
        <v>700</v>
      </c>
      <c r="Z90" s="155">
        <f t="shared" si="10"/>
        <v>0</v>
      </c>
      <c r="AA90" s="155">
        <f t="shared" si="11"/>
        <v>0</v>
      </c>
      <c r="AB90" s="155">
        <f t="shared" si="11"/>
        <v>0</v>
      </c>
      <c r="AC90" s="155">
        <f t="shared" si="11"/>
        <v>0</v>
      </c>
      <c r="AD90" s="155">
        <f t="shared" si="11"/>
        <v>0</v>
      </c>
      <c r="AE90" s="155">
        <f t="shared" si="11"/>
        <v>48000</v>
      </c>
      <c r="AF90" s="179">
        <f t="shared" si="12"/>
        <v>39280</v>
      </c>
      <c r="AG90" s="155">
        <f t="shared" si="12"/>
        <v>87980</v>
      </c>
      <c r="AH90" s="1">
        <v>2035</v>
      </c>
    </row>
    <row r="91" spans="1:34" ht="12" x14ac:dyDescent="0.2">
      <c r="C91" s="148" t="s">
        <v>248</v>
      </c>
      <c r="D91" s="148"/>
      <c r="E91" s="148">
        <v>2040</v>
      </c>
      <c r="F91" s="155"/>
      <c r="G91" s="155"/>
      <c r="H91" s="155"/>
      <c r="I91" s="155"/>
      <c r="J91" s="155">
        <f t="shared" ref="J91:Y99" si="13">SUMIFS(J$49:J$84,$A$49:$A$84,$C91,$E$49:$E$84,$E91)</f>
        <v>7461.9999999999991</v>
      </c>
      <c r="K91" s="155">
        <f t="shared" si="13"/>
        <v>780</v>
      </c>
      <c r="L91" s="155">
        <f t="shared" si="13"/>
        <v>2200</v>
      </c>
      <c r="M91" s="155">
        <f t="shared" si="13"/>
        <v>27863.75</v>
      </c>
      <c r="N91" s="155">
        <f t="shared" si="13"/>
        <v>11500</v>
      </c>
      <c r="O91" s="155">
        <f t="shared" si="13"/>
        <v>3500</v>
      </c>
      <c r="P91" s="155">
        <f t="shared" si="13"/>
        <v>2050</v>
      </c>
      <c r="Q91" s="155">
        <f t="shared" si="13"/>
        <v>3500</v>
      </c>
      <c r="R91" s="155">
        <f t="shared" si="13"/>
        <v>0</v>
      </c>
      <c r="S91" s="155">
        <f t="shared" si="13"/>
        <v>2125</v>
      </c>
      <c r="T91" s="155">
        <f t="shared" si="13"/>
        <v>3000</v>
      </c>
      <c r="U91" s="155">
        <f t="shared" si="13"/>
        <v>31500</v>
      </c>
      <c r="V91" s="155">
        <f t="shared" si="13"/>
        <v>500</v>
      </c>
      <c r="W91" s="155">
        <f t="shared" si="13"/>
        <v>0</v>
      </c>
      <c r="X91" s="155">
        <f t="shared" si="13"/>
        <v>29050</v>
      </c>
      <c r="Y91" s="155">
        <f t="shared" si="13"/>
        <v>700</v>
      </c>
      <c r="Z91" s="155">
        <f t="shared" si="10"/>
        <v>4838.4054166744027</v>
      </c>
      <c r="AA91" s="155">
        <f t="shared" si="11"/>
        <v>25200</v>
      </c>
      <c r="AB91" s="155">
        <f t="shared" si="11"/>
        <v>0</v>
      </c>
      <c r="AC91" s="155">
        <f t="shared" si="11"/>
        <v>95</v>
      </c>
      <c r="AD91" s="155">
        <f t="shared" si="11"/>
        <v>0</v>
      </c>
      <c r="AE91" s="155">
        <f t="shared" si="11"/>
        <v>53000</v>
      </c>
      <c r="AF91" s="180">
        <f t="shared" si="12"/>
        <v>155164.15541667442</v>
      </c>
      <c r="AG91" s="181">
        <f t="shared" si="12"/>
        <v>208864.15541667439</v>
      </c>
      <c r="AH91" s="1">
        <v>2040</v>
      </c>
    </row>
    <row r="92" spans="1:34" ht="12" x14ac:dyDescent="0.2">
      <c r="C92" s="148" t="s">
        <v>248</v>
      </c>
      <c r="D92" s="148"/>
      <c r="E92" s="148">
        <v>2045</v>
      </c>
      <c r="F92" s="155"/>
      <c r="G92" s="155"/>
      <c r="H92" s="155"/>
      <c r="I92" s="155"/>
      <c r="J92" s="155">
        <f t="shared" si="13"/>
        <v>14923.999999999998</v>
      </c>
      <c r="K92" s="155">
        <f t="shared" si="13"/>
        <v>780</v>
      </c>
      <c r="L92" s="155">
        <f t="shared" si="13"/>
        <v>3000</v>
      </c>
      <c r="M92" s="155">
        <f t="shared" si="13"/>
        <v>53227.5</v>
      </c>
      <c r="N92" s="155">
        <f t="shared" si="13"/>
        <v>11500</v>
      </c>
      <c r="O92" s="155">
        <f t="shared" si="13"/>
        <v>3500</v>
      </c>
      <c r="P92" s="155">
        <f t="shared" si="13"/>
        <v>5050</v>
      </c>
      <c r="Q92" s="155">
        <f t="shared" si="13"/>
        <v>6000</v>
      </c>
      <c r="R92" s="155">
        <f t="shared" si="13"/>
        <v>0</v>
      </c>
      <c r="S92" s="155">
        <f t="shared" si="13"/>
        <v>4250</v>
      </c>
      <c r="T92" s="155">
        <f t="shared" si="13"/>
        <v>3000</v>
      </c>
      <c r="U92" s="155">
        <f t="shared" si="13"/>
        <v>59000</v>
      </c>
      <c r="V92" s="155">
        <f t="shared" si="13"/>
        <v>500</v>
      </c>
      <c r="W92" s="155">
        <f t="shared" si="13"/>
        <v>0</v>
      </c>
      <c r="X92" s="155">
        <f t="shared" si="13"/>
        <v>42600</v>
      </c>
      <c r="Y92" s="155">
        <f t="shared" si="13"/>
        <v>700</v>
      </c>
      <c r="Z92" s="155">
        <f t="shared" si="10"/>
        <v>9676.8108333488053</v>
      </c>
      <c r="AA92" s="155">
        <f t="shared" si="11"/>
        <v>50400</v>
      </c>
      <c r="AB92" s="155">
        <f t="shared" si="11"/>
        <v>0</v>
      </c>
      <c r="AC92" s="155">
        <f t="shared" si="11"/>
        <v>190</v>
      </c>
      <c r="AD92" s="155">
        <f t="shared" si="11"/>
        <v>0</v>
      </c>
      <c r="AE92" s="155">
        <f t="shared" si="11"/>
        <v>58000</v>
      </c>
      <c r="AF92" s="179">
        <f t="shared" si="12"/>
        <v>267598.31083334883</v>
      </c>
      <c r="AG92" s="155">
        <f t="shared" si="12"/>
        <v>326298.31083334878</v>
      </c>
      <c r="AH92" s="1">
        <v>2045</v>
      </c>
    </row>
    <row r="93" spans="1:34" ht="12" x14ac:dyDescent="0.2">
      <c r="C93" s="148" t="s">
        <v>248</v>
      </c>
      <c r="D93" s="148"/>
      <c r="E93" s="148">
        <v>2050</v>
      </c>
      <c r="F93" s="155"/>
      <c r="G93" s="155"/>
      <c r="H93" s="155"/>
      <c r="I93" s="155"/>
      <c r="J93" s="155">
        <f t="shared" si="13"/>
        <v>29847.999999999996</v>
      </c>
      <c r="K93" s="155">
        <f t="shared" si="13"/>
        <v>780</v>
      </c>
      <c r="L93" s="155">
        <f t="shared" si="13"/>
        <v>3000</v>
      </c>
      <c r="M93" s="155">
        <f t="shared" si="13"/>
        <v>102955</v>
      </c>
      <c r="N93" s="155">
        <f t="shared" si="13"/>
        <v>11500</v>
      </c>
      <c r="O93" s="155">
        <f t="shared" si="13"/>
        <v>3500</v>
      </c>
      <c r="P93" s="155">
        <f t="shared" si="13"/>
        <v>5050</v>
      </c>
      <c r="Q93" s="155">
        <f t="shared" si="13"/>
        <v>11000</v>
      </c>
      <c r="R93" s="155">
        <f t="shared" si="13"/>
        <v>0</v>
      </c>
      <c r="S93" s="155">
        <f t="shared" si="13"/>
        <v>0</v>
      </c>
      <c r="T93" s="155">
        <f t="shared" si="13"/>
        <v>3000</v>
      </c>
      <c r="U93" s="155">
        <f t="shared" si="13"/>
        <v>106000</v>
      </c>
      <c r="V93" s="155">
        <f t="shared" si="13"/>
        <v>500</v>
      </c>
      <c r="W93" s="155">
        <f t="shared" si="13"/>
        <v>0</v>
      </c>
      <c r="X93" s="155">
        <f t="shared" si="13"/>
        <v>70200</v>
      </c>
      <c r="Y93" s="155">
        <f t="shared" si="13"/>
        <v>700</v>
      </c>
      <c r="Z93" s="155">
        <f t="shared" si="10"/>
        <v>19353.621666697611</v>
      </c>
      <c r="AA93" s="155">
        <f t="shared" si="11"/>
        <v>100800</v>
      </c>
      <c r="AB93" s="155">
        <f t="shared" si="11"/>
        <v>0</v>
      </c>
      <c r="AC93" s="155">
        <f t="shared" si="11"/>
        <v>380</v>
      </c>
      <c r="AD93" s="155">
        <f t="shared" si="11"/>
        <v>0</v>
      </c>
      <c r="AE93" s="155">
        <f t="shared" si="11"/>
        <v>63000</v>
      </c>
      <c r="AF93" s="180">
        <f t="shared" si="12"/>
        <v>467866.62166669767</v>
      </c>
      <c r="AG93" s="181">
        <f t="shared" si="12"/>
        <v>531566.62166669755</v>
      </c>
      <c r="AH93" s="1">
        <v>2050</v>
      </c>
    </row>
    <row r="94" spans="1:34" ht="12" x14ac:dyDescent="0.2">
      <c r="C94" s="16" t="s">
        <v>249</v>
      </c>
      <c r="D94" s="148"/>
      <c r="E94" s="148">
        <v>2028</v>
      </c>
      <c r="F94" s="155"/>
      <c r="G94" s="155"/>
      <c r="H94" s="155"/>
      <c r="I94" s="155"/>
      <c r="J94" s="155">
        <f t="shared" si="13"/>
        <v>0</v>
      </c>
      <c r="K94" s="155">
        <f t="shared" si="13"/>
        <v>0</v>
      </c>
      <c r="L94" s="155">
        <f t="shared" si="13"/>
        <v>0</v>
      </c>
      <c r="M94" s="155">
        <f t="shared" si="13"/>
        <v>0</v>
      </c>
      <c r="N94" s="155">
        <f t="shared" si="13"/>
        <v>3300</v>
      </c>
      <c r="O94" s="155">
        <f t="shared" si="13"/>
        <v>0</v>
      </c>
      <c r="P94" s="155">
        <f t="shared" si="13"/>
        <v>0</v>
      </c>
      <c r="Q94" s="155">
        <f t="shared" si="13"/>
        <v>0</v>
      </c>
      <c r="R94" s="155">
        <f t="shared" si="13"/>
        <v>0</v>
      </c>
      <c r="S94" s="155">
        <f t="shared" si="13"/>
        <v>0</v>
      </c>
      <c r="T94" s="155">
        <f t="shared" si="13"/>
        <v>0</v>
      </c>
      <c r="U94" s="155">
        <f t="shared" si="13"/>
        <v>0</v>
      </c>
      <c r="V94" s="155">
        <f t="shared" si="13"/>
        <v>0</v>
      </c>
      <c r="W94" s="155">
        <f t="shared" si="13"/>
        <v>0</v>
      </c>
      <c r="X94" s="155">
        <f t="shared" si="13"/>
        <v>0</v>
      </c>
      <c r="Y94" s="155">
        <f t="shared" si="13"/>
        <v>32200</v>
      </c>
      <c r="Z94" s="155">
        <f t="shared" si="10"/>
        <v>0</v>
      </c>
      <c r="AA94" s="155">
        <f t="shared" si="11"/>
        <v>0</v>
      </c>
      <c r="AB94" s="155">
        <f t="shared" si="11"/>
        <v>0</v>
      </c>
      <c r="AC94" s="155">
        <f t="shared" si="11"/>
        <v>0</v>
      </c>
      <c r="AD94" s="155">
        <f t="shared" si="11"/>
        <v>0</v>
      </c>
      <c r="AE94" s="155">
        <f t="shared" si="11"/>
        <v>5000</v>
      </c>
      <c r="AF94" s="179">
        <f t="shared" si="12"/>
        <v>3300</v>
      </c>
      <c r="AG94" s="155">
        <f t="shared" si="12"/>
        <v>40500</v>
      </c>
      <c r="AH94" s="1">
        <v>2028</v>
      </c>
    </row>
    <row r="95" spans="1:34" ht="12" x14ac:dyDescent="0.2">
      <c r="C95" s="16" t="s">
        <v>249</v>
      </c>
      <c r="D95" s="148"/>
      <c r="E95" s="148">
        <v>2030</v>
      </c>
      <c r="F95" s="155"/>
      <c r="G95" s="155"/>
      <c r="H95" s="155"/>
      <c r="I95" s="155"/>
      <c r="J95" s="155">
        <f t="shared" si="13"/>
        <v>0</v>
      </c>
      <c r="K95" s="155">
        <f t="shared" si="13"/>
        <v>0</v>
      </c>
      <c r="L95" s="155">
        <f t="shared" si="13"/>
        <v>0</v>
      </c>
      <c r="M95" s="155">
        <f t="shared" si="13"/>
        <v>0</v>
      </c>
      <c r="N95" s="155">
        <f t="shared" si="13"/>
        <v>25000</v>
      </c>
      <c r="O95" s="155">
        <f t="shared" si="13"/>
        <v>0</v>
      </c>
      <c r="P95" s="155">
        <f t="shared" si="13"/>
        <v>0</v>
      </c>
      <c r="Q95" s="155">
        <f t="shared" si="13"/>
        <v>0</v>
      </c>
      <c r="R95" s="155">
        <f t="shared" si="13"/>
        <v>0</v>
      </c>
      <c r="S95" s="155">
        <f t="shared" si="13"/>
        <v>0</v>
      </c>
      <c r="T95" s="155">
        <f t="shared" si="13"/>
        <v>0</v>
      </c>
      <c r="U95" s="155">
        <f t="shared" si="13"/>
        <v>0</v>
      </c>
      <c r="V95" s="155">
        <f t="shared" si="13"/>
        <v>0</v>
      </c>
      <c r="W95" s="155">
        <f t="shared" si="13"/>
        <v>0</v>
      </c>
      <c r="X95" s="155">
        <f t="shared" si="13"/>
        <v>0</v>
      </c>
      <c r="Y95" s="155">
        <f t="shared" si="13"/>
        <v>53200</v>
      </c>
      <c r="Z95" s="155">
        <f t="shared" si="10"/>
        <v>0</v>
      </c>
      <c r="AA95" s="155">
        <f t="shared" si="11"/>
        <v>0</v>
      </c>
      <c r="AB95" s="155">
        <f t="shared" si="11"/>
        <v>0</v>
      </c>
      <c r="AC95" s="155">
        <f t="shared" si="11"/>
        <v>0</v>
      </c>
      <c r="AD95" s="155">
        <f t="shared" si="11"/>
        <v>0</v>
      </c>
      <c r="AE95" s="155">
        <f t="shared" si="11"/>
        <v>15000</v>
      </c>
      <c r="AF95" s="180">
        <f t="shared" si="12"/>
        <v>25000</v>
      </c>
      <c r="AG95" s="181">
        <f t="shared" si="12"/>
        <v>93200</v>
      </c>
      <c r="AH95" s="1">
        <v>2030</v>
      </c>
    </row>
    <row r="96" spans="1:34" ht="12" x14ac:dyDescent="0.2">
      <c r="C96" s="16" t="s">
        <v>249</v>
      </c>
      <c r="D96" s="148"/>
      <c r="E96" s="148">
        <v>2035</v>
      </c>
      <c r="F96" s="155"/>
      <c r="G96" s="155"/>
      <c r="H96" s="155"/>
      <c r="I96" s="155"/>
      <c r="J96" s="155">
        <f t="shared" si="13"/>
        <v>0</v>
      </c>
      <c r="K96" s="155">
        <f t="shared" si="13"/>
        <v>0</v>
      </c>
      <c r="L96" s="155">
        <f t="shared" si="13"/>
        <v>0</v>
      </c>
      <c r="M96" s="155">
        <f t="shared" si="13"/>
        <v>0</v>
      </c>
      <c r="N96" s="155">
        <f t="shared" si="13"/>
        <v>25000</v>
      </c>
      <c r="O96" s="155">
        <f t="shared" si="13"/>
        <v>0</v>
      </c>
      <c r="P96" s="155">
        <f t="shared" si="13"/>
        <v>0</v>
      </c>
      <c r="Q96" s="155">
        <f t="shared" si="13"/>
        <v>0</v>
      </c>
      <c r="R96" s="155">
        <f t="shared" si="13"/>
        <v>0</v>
      </c>
      <c r="S96" s="155">
        <f t="shared" si="13"/>
        <v>0</v>
      </c>
      <c r="T96" s="155">
        <f t="shared" si="13"/>
        <v>0</v>
      </c>
      <c r="U96" s="155">
        <f t="shared" si="13"/>
        <v>0</v>
      </c>
      <c r="V96" s="155">
        <f t="shared" si="13"/>
        <v>0</v>
      </c>
      <c r="W96" s="155">
        <f t="shared" si="13"/>
        <v>0</v>
      </c>
      <c r="X96" s="155">
        <f t="shared" si="13"/>
        <v>0</v>
      </c>
      <c r="Y96" s="155">
        <f t="shared" si="13"/>
        <v>63200</v>
      </c>
      <c r="Z96" s="155">
        <f t="shared" si="10"/>
        <v>0</v>
      </c>
      <c r="AA96" s="155">
        <f t="shared" si="11"/>
        <v>0</v>
      </c>
      <c r="AB96" s="155">
        <f t="shared" si="11"/>
        <v>0</v>
      </c>
      <c r="AC96" s="155">
        <f t="shared" si="11"/>
        <v>0</v>
      </c>
      <c r="AD96" s="155">
        <f t="shared" si="11"/>
        <v>0</v>
      </c>
      <c r="AE96" s="155">
        <f t="shared" si="11"/>
        <v>15000</v>
      </c>
      <c r="AF96" s="179">
        <f t="shared" si="12"/>
        <v>25000</v>
      </c>
      <c r="AG96" s="155">
        <f t="shared" si="12"/>
        <v>103200</v>
      </c>
      <c r="AH96" s="1">
        <v>2035</v>
      </c>
    </row>
    <row r="97" spans="3:34" ht="12" x14ac:dyDescent="0.2">
      <c r="C97" s="16" t="s">
        <v>249</v>
      </c>
      <c r="D97" s="148"/>
      <c r="E97" s="148">
        <v>2040</v>
      </c>
      <c r="F97" s="155"/>
      <c r="G97" s="155"/>
      <c r="H97" s="155"/>
      <c r="I97" s="155"/>
      <c r="J97" s="155">
        <f t="shared" si="13"/>
        <v>2321.6666666666665</v>
      </c>
      <c r="K97" s="155">
        <f t="shared" si="13"/>
        <v>35000</v>
      </c>
      <c r="L97" s="155">
        <f t="shared" si="13"/>
        <v>11000</v>
      </c>
      <c r="M97" s="155">
        <f t="shared" si="13"/>
        <v>60000</v>
      </c>
      <c r="N97" s="155">
        <f t="shared" si="13"/>
        <v>32500</v>
      </c>
      <c r="O97" s="155">
        <f t="shared" si="13"/>
        <v>11000</v>
      </c>
      <c r="P97" s="155">
        <f t="shared" si="13"/>
        <v>31000</v>
      </c>
      <c r="Q97" s="155">
        <f t="shared" si="13"/>
        <v>30000</v>
      </c>
      <c r="R97" s="155">
        <f t="shared" si="13"/>
        <v>0</v>
      </c>
      <c r="S97" s="155">
        <f t="shared" si="13"/>
        <v>5750</v>
      </c>
      <c r="T97" s="155">
        <f t="shared" si="13"/>
        <v>0</v>
      </c>
      <c r="U97" s="155">
        <f t="shared" si="13"/>
        <v>70000</v>
      </c>
      <c r="V97" s="155">
        <f t="shared" si="13"/>
        <v>1000</v>
      </c>
      <c r="W97" s="155">
        <f t="shared" si="13"/>
        <v>6000</v>
      </c>
      <c r="X97" s="155">
        <f t="shared" si="13"/>
        <v>6000</v>
      </c>
      <c r="Y97" s="155">
        <f t="shared" si="13"/>
        <v>100000</v>
      </c>
      <c r="Z97" s="155">
        <f t="shared" si="10"/>
        <v>32661.594583325597</v>
      </c>
      <c r="AA97" s="155">
        <f t="shared" si="11"/>
        <v>52000</v>
      </c>
      <c r="AB97" s="155">
        <f t="shared" si="11"/>
        <v>19500</v>
      </c>
      <c r="AC97" s="155">
        <f t="shared" si="11"/>
        <v>1375</v>
      </c>
      <c r="AD97" s="155">
        <f t="shared" si="11"/>
        <v>28600</v>
      </c>
      <c r="AE97" s="155">
        <f t="shared" si="11"/>
        <v>30000</v>
      </c>
      <c r="AF97" s="180">
        <f t="shared" si="12"/>
        <v>435708.2612499923</v>
      </c>
      <c r="AG97" s="181">
        <f t="shared" si="12"/>
        <v>565708.2612499923</v>
      </c>
      <c r="AH97" s="1">
        <v>2040</v>
      </c>
    </row>
    <row r="98" spans="3:34" ht="12" x14ac:dyDescent="0.2">
      <c r="C98" s="16" t="s">
        <v>249</v>
      </c>
      <c r="D98" s="148"/>
      <c r="E98" s="148">
        <v>2045</v>
      </c>
      <c r="F98" s="155"/>
      <c r="G98" s="155"/>
      <c r="H98" s="155"/>
      <c r="I98" s="155"/>
      <c r="J98" s="155">
        <f t="shared" si="13"/>
        <v>4643.333333333333</v>
      </c>
      <c r="K98" s="155">
        <f t="shared" si="13"/>
        <v>70000</v>
      </c>
      <c r="L98" s="155">
        <f t="shared" si="13"/>
        <v>22000</v>
      </c>
      <c r="M98" s="155">
        <f t="shared" si="13"/>
        <v>120000</v>
      </c>
      <c r="N98" s="155">
        <f t="shared" si="13"/>
        <v>65000</v>
      </c>
      <c r="O98" s="155">
        <f t="shared" si="13"/>
        <v>22000</v>
      </c>
      <c r="P98" s="155">
        <f t="shared" si="13"/>
        <v>61000</v>
      </c>
      <c r="Q98" s="155">
        <f t="shared" si="13"/>
        <v>60000</v>
      </c>
      <c r="R98" s="155">
        <f t="shared" si="13"/>
        <v>0</v>
      </c>
      <c r="S98" s="155">
        <f t="shared" si="13"/>
        <v>11500</v>
      </c>
      <c r="T98" s="155">
        <f t="shared" si="13"/>
        <v>0</v>
      </c>
      <c r="U98" s="155">
        <f t="shared" si="13"/>
        <v>140000</v>
      </c>
      <c r="V98" s="155">
        <f t="shared" si="13"/>
        <v>1500</v>
      </c>
      <c r="W98" s="155">
        <f t="shared" si="13"/>
        <v>12000</v>
      </c>
      <c r="X98" s="155">
        <f t="shared" si="13"/>
        <v>12000</v>
      </c>
      <c r="Y98" s="155">
        <f t="shared" si="13"/>
        <v>150000</v>
      </c>
      <c r="Z98" s="155">
        <f t="shared" si="10"/>
        <v>65323.189166651195</v>
      </c>
      <c r="AA98" s="155">
        <f t="shared" si="11"/>
        <v>104000</v>
      </c>
      <c r="AB98" s="155">
        <f t="shared" si="11"/>
        <v>39000</v>
      </c>
      <c r="AC98" s="155">
        <f t="shared" si="11"/>
        <v>2750</v>
      </c>
      <c r="AD98" s="155">
        <f t="shared" si="11"/>
        <v>57200</v>
      </c>
      <c r="AE98" s="155">
        <f t="shared" si="11"/>
        <v>60000</v>
      </c>
      <c r="AF98" s="179">
        <f t="shared" si="12"/>
        <v>869916.5224999846</v>
      </c>
      <c r="AG98" s="155">
        <f t="shared" si="12"/>
        <v>1079916.5224999846</v>
      </c>
      <c r="AH98" s="1">
        <v>2045</v>
      </c>
    </row>
    <row r="99" spans="3:34" ht="12" x14ac:dyDescent="0.2">
      <c r="C99" s="16" t="s">
        <v>249</v>
      </c>
      <c r="D99" s="148"/>
      <c r="E99" s="148">
        <v>2050</v>
      </c>
      <c r="F99" s="155"/>
      <c r="G99" s="155"/>
      <c r="H99" s="155"/>
      <c r="I99" s="155"/>
      <c r="J99" s="155">
        <f t="shared" si="13"/>
        <v>9286.6666666666661</v>
      </c>
      <c r="K99" s="155">
        <f t="shared" si="13"/>
        <v>140000</v>
      </c>
      <c r="L99" s="155">
        <f t="shared" si="13"/>
        <v>44000</v>
      </c>
      <c r="M99" s="155">
        <f t="shared" si="13"/>
        <v>240000</v>
      </c>
      <c r="N99" s="155">
        <f t="shared" si="13"/>
        <v>130000</v>
      </c>
      <c r="O99" s="155">
        <f t="shared" si="13"/>
        <v>44000</v>
      </c>
      <c r="P99" s="155">
        <f t="shared" si="13"/>
        <v>121000</v>
      </c>
      <c r="Q99" s="155">
        <f t="shared" si="13"/>
        <v>120000</v>
      </c>
      <c r="R99" s="155">
        <f t="shared" si="13"/>
        <v>0</v>
      </c>
      <c r="S99" s="155">
        <f t="shared" si="13"/>
        <v>31500</v>
      </c>
      <c r="T99" s="155">
        <f t="shared" si="13"/>
        <v>0</v>
      </c>
      <c r="U99" s="155">
        <f t="shared" si="13"/>
        <v>280000</v>
      </c>
      <c r="V99" s="155">
        <f t="shared" si="13"/>
        <v>2500</v>
      </c>
      <c r="W99" s="155">
        <f t="shared" si="13"/>
        <v>24000</v>
      </c>
      <c r="X99" s="155">
        <f t="shared" si="13"/>
        <v>24000</v>
      </c>
      <c r="Y99" s="155">
        <f t="shared" si="13"/>
        <v>200000</v>
      </c>
      <c r="Z99" s="155">
        <f t="shared" si="10"/>
        <v>130646.37833330239</v>
      </c>
      <c r="AA99" s="155">
        <f t="shared" si="11"/>
        <v>208000</v>
      </c>
      <c r="AB99" s="155">
        <f t="shared" si="11"/>
        <v>78000</v>
      </c>
      <c r="AC99" s="155">
        <f t="shared" si="11"/>
        <v>5500</v>
      </c>
      <c r="AD99" s="155">
        <f t="shared" si="11"/>
        <v>114400</v>
      </c>
      <c r="AE99" s="155">
        <f t="shared" si="11"/>
        <v>120000</v>
      </c>
      <c r="AF99" s="180">
        <f t="shared" si="12"/>
        <v>1746833.0449999692</v>
      </c>
      <c r="AG99" s="181">
        <f t="shared" si="12"/>
        <v>2066833.0449999692</v>
      </c>
      <c r="AH99" s="1">
        <v>2050</v>
      </c>
    </row>
    <row r="100" spans="3:34" ht="12" x14ac:dyDescent="0.2">
      <c r="C100" s="148"/>
      <c r="D100" s="148"/>
      <c r="E100" s="148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79"/>
      <c r="AG100" s="155"/>
    </row>
    <row r="102" spans="3:34" ht="12" customHeight="1" x14ac:dyDescent="0.2"/>
    <row r="103" spans="3:34" x14ac:dyDescent="0.2">
      <c r="E103" s="1" t="s">
        <v>146</v>
      </c>
      <c r="F103" s="1" t="s">
        <v>142</v>
      </c>
      <c r="G103" s="1" t="s">
        <v>142</v>
      </c>
      <c r="H103" s="1" t="s">
        <v>142</v>
      </c>
      <c r="I103" s="1" t="s">
        <v>142</v>
      </c>
      <c r="J103" s="1" t="s">
        <v>138</v>
      </c>
      <c r="K103" s="1" t="s">
        <v>137</v>
      </c>
      <c r="L103" s="1" t="s">
        <v>135</v>
      </c>
      <c r="M103" s="1" t="s">
        <v>134</v>
      </c>
      <c r="N103" s="1" t="s">
        <v>129</v>
      </c>
      <c r="O103" s="1" t="s">
        <v>119</v>
      </c>
      <c r="P103" s="1" t="s">
        <v>119</v>
      </c>
      <c r="Q103" s="1" t="s">
        <v>122</v>
      </c>
      <c r="R103" s="1" t="s">
        <v>122</v>
      </c>
      <c r="S103" s="1" t="s">
        <v>122</v>
      </c>
    </row>
    <row r="104" spans="3:34" x14ac:dyDescent="0.2">
      <c r="D104" s="1" t="s">
        <v>259</v>
      </c>
      <c r="E104" s="1" t="s">
        <v>159</v>
      </c>
      <c r="F104" s="1" t="s">
        <v>158</v>
      </c>
      <c r="G104" s="1" t="s">
        <v>159</v>
      </c>
      <c r="H104" s="1" t="s">
        <v>34</v>
      </c>
      <c r="I104" s="1" t="s">
        <v>31</v>
      </c>
      <c r="J104" s="1" t="s">
        <v>34</v>
      </c>
      <c r="K104" s="1" t="s">
        <v>158</v>
      </c>
      <c r="L104" s="1" t="s">
        <v>34</v>
      </c>
      <c r="M104" s="1" t="s">
        <v>159</v>
      </c>
      <c r="N104" s="1" t="s">
        <v>159</v>
      </c>
      <c r="O104" s="1" t="s">
        <v>32</v>
      </c>
      <c r="P104" s="1" t="s">
        <v>159</v>
      </c>
      <c r="Q104" s="1" t="s">
        <v>159</v>
      </c>
      <c r="R104" s="1" t="s">
        <v>32</v>
      </c>
      <c r="S104" s="1" t="s">
        <v>158</v>
      </c>
    </row>
    <row r="105" spans="3:34" x14ac:dyDescent="0.2">
      <c r="C105" s="1">
        <v>2025</v>
      </c>
      <c r="D105" s="170">
        <f>SUM(E105:S105)</f>
        <v>2200</v>
      </c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>
        <v>1500</v>
      </c>
      <c r="P105" s="170">
        <v>700</v>
      </c>
      <c r="Q105" s="170"/>
      <c r="R105" s="170"/>
      <c r="S105" s="170"/>
    </row>
    <row r="106" spans="3:34" x14ac:dyDescent="0.2">
      <c r="C106" s="1">
        <v>2026</v>
      </c>
      <c r="D106" s="170">
        <f t="shared" ref="D106:D140" si="14">SUM(E106:S106)</f>
        <v>11300</v>
      </c>
      <c r="E106" s="170"/>
      <c r="F106" s="170">
        <v>1500</v>
      </c>
      <c r="G106" s="170"/>
      <c r="H106" s="170"/>
      <c r="I106" s="170"/>
      <c r="J106" s="170"/>
      <c r="K106" s="170">
        <v>100</v>
      </c>
      <c r="L106" s="170"/>
      <c r="M106" s="170"/>
      <c r="N106" s="170">
        <v>2500</v>
      </c>
      <c r="O106" s="170">
        <v>1500</v>
      </c>
      <c r="P106" s="170">
        <v>700</v>
      </c>
      <c r="Q106" s="170"/>
      <c r="R106" s="170">
        <v>5000</v>
      </c>
      <c r="S106" s="170"/>
    </row>
    <row r="107" spans="3:34" x14ac:dyDescent="0.2">
      <c r="C107" s="1">
        <v>2027</v>
      </c>
      <c r="D107" s="170">
        <f t="shared" si="14"/>
        <v>49800</v>
      </c>
      <c r="E107" s="170"/>
      <c r="F107" s="170">
        <v>1500</v>
      </c>
      <c r="G107" s="170"/>
      <c r="H107" s="170"/>
      <c r="I107" s="170">
        <f>1150+1150+1000</f>
        <v>3300</v>
      </c>
      <c r="J107" s="170"/>
      <c r="K107" s="170">
        <v>500</v>
      </c>
      <c r="L107" s="170"/>
      <c r="M107" s="170"/>
      <c r="N107" s="170">
        <v>7500</v>
      </c>
      <c r="O107" s="170">
        <f>5200+7000</f>
        <v>12200</v>
      </c>
      <c r="P107" s="170">
        <v>700</v>
      </c>
      <c r="Q107" s="170">
        <f>10000+1000+4500</f>
        <v>15500</v>
      </c>
      <c r="R107" s="170">
        <v>5000</v>
      </c>
      <c r="S107" s="170">
        <v>3600</v>
      </c>
    </row>
    <row r="108" spans="3:34" x14ac:dyDescent="0.2">
      <c r="C108" s="182">
        <v>2028</v>
      </c>
      <c r="D108" s="183">
        <f t="shared" si="14"/>
        <v>87400</v>
      </c>
      <c r="E108" s="183">
        <v>600</v>
      </c>
      <c r="F108" s="183">
        <v>1500</v>
      </c>
      <c r="G108" s="183">
        <v>3000</v>
      </c>
      <c r="H108" s="183">
        <v>500</v>
      </c>
      <c r="I108" s="183">
        <f>1150+1150+1000</f>
        <v>3300</v>
      </c>
      <c r="J108" s="183"/>
      <c r="K108" s="183">
        <v>2500</v>
      </c>
      <c r="L108" s="183">
        <v>2500</v>
      </c>
      <c r="M108" s="183">
        <v>4000</v>
      </c>
      <c r="N108" s="183">
        <v>12500</v>
      </c>
      <c r="O108" s="183">
        <f>25200+7000</f>
        <v>32200</v>
      </c>
      <c r="P108" s="183">
        <v>700</v>
      </c>
      <c r="Q108" s="183">
        <f>10000+1000+4500</f>
        <v>15500</v>
      </c>
      <c r="R108" s="183">
        <v>5000</v>
      </c>
      <c r="S108" s="183">
        <v>3600</v>
      </c>
    </row>
    <row r="109" spans="3:34" x14ac:dyDescent="0.2">
      <c r="C109" s="1">
        <v>2029</v>
      </c>
      <c r="D109" s="170">
        <f t="shared" si="14"/>
        <v>102580</v>
      </c>
      <c r="E109" s="170">
        <v>780</v>
      </c>
      <c r="F109" s="170">
        <v>5000</v>
      </c>
      <c r="G109" s="170">
        <v>3000</v>
      </c>
      <c r="H109" s="170">
        <v>500</v>
      </c>
      <c r="I109" s="170">
        <f>1150+1150+1000</f>
        <v>3300</v>
      </c>
      <c r="J109" s="170"/>
      <c r="K109" s="170">
        <v>2500</v>
      </c>
      <c r="L109" s="170">
        <v>2500</v>
      </c>
      <c r="M109" s="170">
        <v>4000</v>
      </c>
      <c r="N109" s="170">
        <v>12500</v>
      </c>
      <c r="O109" s="170">
        <f>25200+7000</f>
        <v>32200</v>
      </c>
      <c r="P109" s="170">
        <v>700</v>
      </c>
      <c r="Q109" s="170">
        <f>10000+1000+4500</f>
        <v>15500</v>
      </c>
      <c r="R109" s="170">
        <v>15000</v>
      </c>
      <c r="S109" s="170">
        <f>3600+1500</f>
        <v>5100</v>
      </c>
    </row>
    <row r="110" spans="3:34" s="36" customFormat="1" x14ac:dyDescent="0.2">
      <c r="C110" s="184">
        <v>2030</v>
      </c>
      <c r="D110" s="185">
        <f t="shared" si="14"/>
        <v>161180</v>
      </c>
      <c r="E110" s="185">
        <v>780</v>
      </c>
      <c r="F110" s="185">
        <v>8000</v>
      </c>
      <c r="G110" s="185">
        <v>3000</v>
      </c>
      <c r="H110" s="185">
        <v>500</v>
      </c>
      <c r="I110" s="185">
        <f>18000+7000</f>
        <v>25000</v>
      </c>
      <c r="J110" s="185"/>
      <c r="K110" s="185">
        <v>2500</v>
      </c>
      <c r="L110" s="185">
        <v>2500</v>
      </c>
      <c r="M110" s="185">
        <v>4000</v>
      </c>
      <c r="N110" s="185">
        <v>12500</v>
      </c>
      <c r="O110" s="186">
        <f>37200+7000+9000</f>
        <v>53200</v>
      </c>
      <c r="P110" s="186">
        <v>700</v>
      </c>
      <c r="Q110" s="186">
        <f>10000+1000+10000</f>
        <v>21000</v>
      </c>
      <c r="R110" s="187">
        <v>15000</v>
      </c>
      <c r="S110" s="187">
        <v>12500</v>
      </c>
    </row>
    <row r="111" spans="3:34" x14ac:dyDescent="0.2">
      <c r="C111" s="1">
        <v>2031</v>
      </c>
      <c r="D111" s="170">
        <f t="shared" si="14"/>
        <v>170680</v>
      </c>
      <c r="E111" s="170">
        <v>780</v>
      </c>
      <c r="F111" s="170">
        <v>8000</v>
      </c>
      <c r="G111" s="170">
        <v>3000</v>
      </c>
      <c r="H111" s="170">
        <v>500</v>
      </c>
      <c r="I111" s="170">
        <f>18000+7000</f>
        <v>25000</v>
      </c>
      <c r="J111" s="170">
        <v>2500</v>
      </c>
      <c r="K111" s="170">
        <v>2500</v>
      </c>
      <c r="L111" s="170">
        <v>2500</v>
      </c>
      <c r="M111" s="170">
        <v>4000</v>
      </c>
      <c r="N111" s="170">
        <f>7500+8000</f>
        <v>15500</v>
      </c>
      <c r="O111" s="170">
        <f>37200+7000+9000</f>
        <v>53200</v>
      </c>
      <c r="P111" s="170">
        <v>700</v>
      </c>
      <c r="Q111" s="170">
        <f>15000+10000</f>
        <v>25000</v>
      </c>
      <c r="R111" s="170">
        <v>15000</v>
      </c>
      <c r="S111" s="170">
        <v>12500</v>
      </c>
    </row>
    <row r="112" spans="3:34" x14ac:dyDescent="0.2">
      <c r="C112" s="1">
        <v>2032</v>
      </c>
      <c r="D112" s="170">
        <f t="shared" si="14"/>
        <v>170680</v>
      </c>
      <c r="E112" s="170">
        <v>780</v>
      </c>
      <c r="F112" s="170">
        <v>8000</v>
      </c>
      <c r="G112" s="170">
        <v>3000</v>
      </c>
      <c r="H112" s="170">
        <v>500</v>
      </c>
      <c r="I112" s="170">
        <f>18000+7000</f>
        <v>25000</v>
      </c>
      <c r="J112" s="170">
        <v>2500</v>
      </c>
      <c r="K112" s="170">
        <v>2500</v>
      </c>
      <c r="L112" s="170">
        <v>2500</v>
      </c>
      <c r="M112" s="170">
        <v>4000</v>
      </c>
      <c r="N112" s="170">
        <f>7500+8000</f>
        <v>15500</v>
      </c>
      <c r="O112" s="170">
        <f>37200+7000+9000</f>
        <v>53200</v>
      </c>
      <c r="P112" s="170">
        <v>700</v>
      </c>
      <c r="Q112" s="170">
        <v>25000</v>
      </c>
      <c r="R112" s="170">
        <v>15000</v>
      </c>
      <c r="S112" s="170">
        <v>12500</v>
      </c>
    </row>
    <row r="113" spans="3:19" x14ac:dyDescent="0.2">
      <c r="C113" s="1">
        <v>2033</v>
      </c>
      <c r="D113" s="170">
        <f t="shared" si="14"/>
        <v>170680</v>
      </c>
      <c r="E113" s="170">
        <v>780</v>
      </c>
      <c r="F113" s="170">
        <v>8000</v>
      </c>
      <c r="G113" s="170">
        <v>3000</v>
      </c>
      <c r="H113" s="170">
        <v>500</v>
      </c>
      <c r="I113" s="170">
        <v>25000</v>
      </c>
      <c r="J113" s="170">
        <v>2500</v>
      </c>
      <c r="K113" s="170">
        <v>2500</v>
      </c>
      <c r="L113" s="170">
        <v>2500</v>
      </c>
      <c r="M113" s="170">
        <v>4000</v>
      </c>
      <c r="N113" s="170">
        <v>15500</v>
      </c>
      <c r="O113" s="170">
        <f>37200+7000+9000</f>
        <v>53200</v>
      </c>
      <c r="P113" s="170">
        <v>700</v>
      </c>
      <c r="Q113" s="170">
        <v>25000</v>
      </c>
      <c r="R113" s="170">
        <v>15000</v>
      </c>
      <c r="S113" s="170">
        <v>12500</v>
      </c>
    </row>
    <row r="114" spans="3:19" x14ac:dyDescent="0.2">
      <c r="C114" s="1">
        <v>2034</v>
      </c>
      <c r="D114" s="170">
        <f t="shared" si="14"/>
        <v>179180</v>
      </c>
      <c r="E114" s="170">
        <v>780</v>
      </c>
      <c r="F114" s="170">
        <v>8000</v>
      </c>
      <c r="G114" s="170">
        <v>3000</v>
      </c>
      <c r="H114" s="170">
        <v>500</v>
      </c>
      <c r="I114" s="170">
        <v>25000</v>
      </c>
      <c r="J114" s="170">
        <v>2500</v>
      </c>
      <c r="K114" s="170">
        <v>2500</v>
      </c>
      <c r="L114" s="170">
        <v>2500</v>
      </c>
      <c r="M114" s="170">
        <v>4000</v>
      </c>
      <c r="N114" s="170">
        <v>15500</v>
      </c>
      <c r="O114" s="170">
        <f>37200+7000+9000</f>
        <v>53200</v>
      </c>
      <c r="P114" s="170">
        <v>700</v>
      </c>
      <c r="Q114" s="170">
        <v>25000</v>
      </c>
      <c r="R114" s="170">
        <v>15000</v>
      </c>
      <c r="S114" s="170">
        <v>21000</v>
      </c>
    </row>
    <row r="115" spans="3:19" s="191" customFormat="1" x14ac:dyDescent="0.2">
      <c r="C115" s="188">
        <v>2035</v>
      </c>
      <c r="D115" s="189">
        <f t="shared" si="14"/>
        <v>191180</v>
      </c>
      <c r="E115" s="189">
        <v>780</v>
      </c>
      <c r="F115" s="189">
        <v>8000</v>
      </c>
      <c r="G115" s="189">
        <v>3000</v>
      </c>
      <c r="H115" s="189">
        <v>500</v>
      </c>
      <c r="I115" s="189">
        <v>25000</v>
      </c>
      <c r="J115" s="189">
        <v>2500</v>
      </c>
      <c r="K115" s="189">
        <v>2500</v>
      </c>
      <c r="L115" s="189">
        <v>2500</v>
      </c>
      <c r="M115" s="189">
        <v>4000</v>
      </c>
      <c r="N115" s="189">
        <v>15500</v>
      </c>
      <c r="O115" s="189">
        <f>O114+10000</f>
        <v>63200</v>
      </c>
      <c r="P115" s="189">
        <v>700</v>
      </c>
      <c r="Q115" s="189">
        <v>25000</v>
      </c>
      <c r="R115" s="190">
        <v>15000</v>
      </c>
      <c r="S115" s="190">
        <v>23000</v>
      </c>
    </row>
    <row r="116" spans="3:19" x14ac:dyDescent="0.2">
      <c r="C116" s="1">
        <v>2036</v>
      </c>
      <c r="D116" s="170">
        <f t="shared" si="14"/>
        <v>191180</v>
      </c>
      <c r="E116" s="170">
        <v>780</v>
      </c>
      <c r="F116" s="170">
        <v>8000</v>
      </c>
      <c r="G116" s="170">
        <v>3000</v>
      </c>
      <c r="H116" s="170">
        <v>500</v>
      </c>
      <c r="I116" s="170">
        <v>25000</v>
      </c>
      <c r="J116" s="170">
        <v>2500</v>
      </c>
      <c r="K116" s="170">
        <v>2500</v>
      </c>
      <c r="L116" s="170">
        <v>2500</v>
      </c>
      <c r="M116" s="170">
        <v>4000</v>
      </c>
      <c r="N116" s="170">
        <v>15500</v>
      </c>
      <c r="O116" s="170">
        <v>63200</v>
      </c>
      <c r="P116" s="170">
        <v>700</v>
      </c>
      <c r="Q116" s="170">
        <v>25000</v>
      </c>
      <c r="R116" s="170">
        <v>15000</v>
      </c>
      <c r="S116" s="170">
        <v>23000</v>
      </c>
    </row>
    <row r="117" spans="3:19" x14ac:dyDescent="0.2">
      <c r="C117" s="1">
        <v>2037</v>
      </c>
      <c r="D117" s="170">
        <f t="shared" si="14"/>
        <v>191180</v>
      </c>
      <c r="E117" s="170">
        <v>780</v>
      </c>
      <c r="F117" s="170">
        <v>8000</v>
      </c>
      <c r="G117" s="170">
        <v>3000</v>
      </c>
      <c r="H117" s="170">
        <v>500</v>
      </c>
      <c r="I117" s="170">
        <v>25000</v>
      </c>
      <c r="J117" s="170">
        <v>2500</v>
      </c>
      <c r="K117" s="170">
        <v>2500</v>
      </c>
      <c r="L117" s="170">
        <v>2500</v>
      </c>
      <c r="M117" s="170">
        <v>4000</v>
      </c>
      <c r="N117" s="170">
        <v>15500</v>
      </c>
      <c r="O117" s="170">
        <v>63200</v>
      </c>
      <c r="P117" s="170">
        <v>700</v>
      </c>
      <c r="Q117" s="170">
        <v>25000</v>
      </c>
      <c r="R117" s="170">
        <v>15000</v>
      </c>
      <c r="S117" s="170">
        <v>23000</v>
      </c>
    </row>
    <row r="118" spans="3:19" x14ac:dyDescent="0.2">
      <c r="C118" s="1">
        <v>2038</v>
      </c>
      <c r="D118" s="170">
        <f t="shared" si="14"/>
        <v>191180</v>
      </c>
      <c r="E118" s="170">
        <v>780</v>
      </c>
      <c r="F118" s="170">
        <v>8000</v>
      </c>
      <c r="G118" s="170">
        <v>3000</v>
      </c>
      <c r="H118" s="170">
        <v>500</v>
      </c>
      <c r="I118" s="170">
        <v>25000</v>
      </c>
      <c r="J118" s="170">
        <v>2500</v>
      </c>
      <c r="K118" s="170">
        <v>2500</v>
      </c>
      <c r="L118" s="170">
        <v>2500</v>
      </c>
      <c r="M118" s="170">
        <v>4000</v>
      </c>
      <c r="N118" s="170">
        <v>15500</v>
      </c>
      <c r="O118" s="170">
        <v>63200</v>
      </c>
      <c r="P118" s="170">
        <v>700</v>
      </c>
      <c r="Q118" s="170">
        <v>25000</v>
      </c>
      <c r="R118" s="170">
        <v>15000</v>
      </c>
      <c r="S118" s="170">
        <v>23000</v>
      </c>
    </row>
    <row r="119" spans="3:19" x14ac:dyDescent="0.2">
      <c r="C119" s="1">
        <v>2039</v>
      </c>
      <c r="D119" s="170">
        <f t="shared" si="14"/>
        <v>191180</v>
      </c>
      <c r="E119" s="170">
        <v>780</v>
      </c>
      <c r="F119" s="170">
        <v>8000</v>
      </c>
      <c r="G119" s="170">
        <v>3000</v>
      </c>
      <c r="H119" s="170">
        <v>500</v>
      </c>
      <c r="I119" s="170">
        <v>25000</v>
      </c>
      <c r="J119" s="170">
        <v>2500</v>
      </c>
      <c r="K119" s="170">
        <v>2500</v>
      </c>
      <c r="L119" s="170">
        <v>2500</v>
      </c>
      <c r="M119" s="170">
        <v>4000</v>
      </c>
      <c r="N119" s="170">
        <v>15500</v>
      </c>
      <c r="O119" s="170">
        <v>63200</v>
      </c>
      <c r="P119" s="170">
        <v>700</v>
      </c>
      <c r="Q119" s="170">
        <v>25000</v>
      </c>
      <c r="R119" s="170">
        <v>15000</v>
      </c>
      <c r="S119" s="170">
        <v>23000</v>
      </c>
    </row>
    <row r="120" spans="3:19" x14ac:dyDescent="0.2">
      <c r="C120" s="192">
        <v>2040</v>
      </c>
      <c r="D120" s="193">
        <f t="shared" si="14"/>
        <v>191180</v>
      </c>
      <c r="E120" s="193">
        <v>780</v>
      </c>
      <c r="F120" s="193">
        <v>8000</v>
      </c>
      <c r="G120" s="193">
        <v>3000</v>
      </c>
      <c r="H120" s="193">
        <v>500</v>
      </c>
      <c r="I120" s="193">
        <v>25000</v>
      </c>
      <c r="J120" s="193">
        <v>2500</v>
      </c>
      <c r="K120" s="193">
        <v>2500</v>
      </c>
      <c r="L120" s="193">
        <v>2500</v>
      </c>
      <c r="M120" s="193">
        <v>4000</v>
      </c>
      <c r="N120" s="193">
        <v>15500</v>
      </c>
      <c r="O120" s="193">
        <v>63200</v>
      </c>
      <c r="P120" s="193">
        <v>700</v>
      </c>
      <c r="Q120" s="193">
        <v>25000</v>
      </c>
      <c r="R120" s="170">
        <v>15000</v>
      </c>
      <c r="S120" s="170">
        <v>23000</v>
      </c>
    </row>
    <row r="121" spans="3:19" x14ac:dyDescent="0.2">
      <c r="C121" s="1">
        <v>2041</v>
      </c>
      <c r="D121" s="170">
        <f t="shared" si="14"/>
        <v>195180</v>
      </c>
      <c r="E121" s="170">
        <v>780</v>
      </c>
      <c r="F121" s="170">
        <v>8000</v>
      </c>
      <c r="G121" s="170">
        <v>3000</v>
      </c>
      <c r="H121" s="170">
        <v>500</v>
      </c>
      <c r="I121" s="170">
        <v>25000</v>
      </c>
      <c r="J121" s="170">
        <v>2500</v>
      </c>
      <c r="K121" s="170">
        <v>2500</v>
      </c>
      <c r="L121" s="170">
        <v>2500</v>
      </c>
      <c r="M121" s="170">
        <v>4000</v>
      </c>
      <c r="N121" s="170">
        <v>15500</v>
      </c>
      <c r="O121" s="170">
        <v>63200</v>
      </c>
      <c r="P121" s="170">
        <v>700</v>
      </c>
      <c r="Q121" s="170">
        <v>25000</v>
      </c>
      <c r="R121" s="170">
        <v>15000</v>
      </c>
      <c r="S121" s="170">
        <v>27000</v>
      </c>
    </row>
    <row r="122" spans="3:19" x14ac:dyDescent="0.2">
      <c r="C122" s="1">
        <v>2042</v>
      </c>
      <c r="D122" s="170">
        <f t="shared" si="14"/>
        <v>195180</v>
      </c>
      <c r="E122" s="170">
        <v>780</v>
      </c>
      <c r="F122" s="170">
        <v>8000</v>
      </c>
      <c r="G122" s="170">
        <v>3000</v>
      </c>
      <c r="H122" s="170">
        <v>500</v>
      </c>
      <c r="I122" s="170">
        <v>25000</v>
      </c>
      <c r="J122" s="170">
        <v>2500</v>
      </c>
      <c r="K122" s="170">
        <v>2500</v>
      </c>
      <c r="L122" s="170">
        <v>2500</v>
      </c>
      <c r="M122" s="170">
        <v>4000</v>
      </c>
      <c r="N122" s="170">
        <v>15500</v>
      </c>
      <c r="O122" s="170">
        <v>63200</v>
      </c>
      <c r="P122" s="170">
        <v>700</v>
      </c>
      <c r="Q122" s="170">
        <v>25000</v>
      </c>
      <c r="R122" s="170">
        <v>15000</v>
      </c>
      <c r="S122" s="170">
        <v>27000</v>
      </c>
    </row>
    <row r="123" spans="3:19" x14ac:dyDescent="0.2">
      <c r="C123" s="1">
        <v>2043</v>
      </c>
      <c r="D123" s="170">
        <f t="shared" si="14"/>
        <v>195180</v>
      </c>
      <c r="E123" s="170">
        <v>780</v>
      </c>
      <c r="F123" s="170">
        <v>8000</v>
      </c>
      <c r="G123" s="170">
        <v>3000</v>
      </c>
      <c r="H123" s="170">
        <v>500</v>
      </c>
      <c r="I123" s="170">
        <v>25000</v>
      </c>
      <c r="J123" s="170">
        <v>2500</v>
      </c>
      <c r="K123" s="170">
        <v>2500</v>
      </c>
      <c r="L123" s="170">
        <v>2500</v>
      </c>
      <c r="M123" s="170">
        <v>4000</v>
      </c>
      <c r="N123" s="170">
        <v>15500</v>
      </c>
      <c r="O123" s="170">
        <v>63200</v>
      </c>
      <c r="P123" s="170">
        <v>700</v>
      </c>
      <c r="Q123" s="170">
        <v>25000</v>
      </c>
      <c r="R123" s="170">
        <v>15000</v>
      </c>
      <c r="S123" s="170">
        <v>27000</v>
      </c>
    </row>
    <row r="124" spans="3:19" x14ac:dyDescent="0.2">
      <c r="C124" s="1">
        <v>2044</v>
      </c>
      <c r="D124" s="170">
        <f t="shared" si="14"/>
        <v>195180</v>
      </c>
      <c r="E124" s="170">
        <v>780</v>
      </c>
      <c r="F124" s="170">
        <v>8000</v>
      </c>
      <c r="G124" s="170">
        <v>3000</v>
      </c>
      <c r="H124" s="170">
        <v>500</v>
      </c>
      <c r="I124" s="170">
        <v>25000</v>
      </c>
      <c r="J124" s="170">
        <v>2500</v>
      </c>
      <c r="K124" s="170">
        <v>2500</v>
      </c>
      <c r="L124" s="170">
        <v>2500</v>
      </c>
      <c r="M124" s="170">
        <v>4000</v>
      </c>
      <c r="N124" s="170">
        <v>15500</v>
      </c>
      <c r="O124" s="170">
        <v>63200</v>
      </c>
      <c r="P124" s="170">
        <v>700</v>
      </c>
      <c r="Q124" s="170">
        <v>25000</v>
      </c>
      <c r="R124" s="170">
        <v>15000</v>
      </c>
      <c r="S124" s="170">
        <v>27000</v>
      </c>
    </row>
    <row r="125" spans="3:19" x14ac:dyDescent="0.2">
      <c r="C125" s="177">
        <v>2045</v>
      </c>
      <c r="D125" s="194">
        <f t="shared" si="14"/>
        <v>195180</v>
      </c>
      <c r="E125" s="194">
        <v>780</v>
      </c>
      <c r="F125" s="194">
        <v>8000</v>
      </c>
      <c r="G125" s="194">
        <v>3000</v>
      </c>
      <c r="H125" s="194">
        <v>500</v>
      </c>
      <c r="I125" s="194">
        <v>25000</v>
      </c>
      <c r="J125" s="194">
        <v>2500</v>
      </c>
      <c r="K125" s="194">
        <v>2500</v>
      </c>
      <c r="L125" s="194">
        <v>2500</v>
      </c>
      <c r="M125" s="194">
        <v>4000</v>
      </c>
      <c r="N125" s="194">
        <v>15500</v>
      </c>
      <c r="O125" s="194">
        <v>63200</v>
      </c>
      <c r="P125" s="194">
        <v>700</v>
      </c>
      <c r="Q125" s="194">
        <v>25000</v>
      </c>
      <c r="R125" s="170">
        <v>15000</v>
      </c>
      <c r="S125" s="170">
        <v>27000</v>
      </c>
    </row>
    <row r="126" spans="3:19" x14ac:dyDescent="0.2">
      <c r="C126" s="1">
        <v>2046</v>
      </c>
      <c r="D126" s="170">
        <f t="shared" si="14"/>
        <v>200180</v>
      </c>
      <c r="E126" s="170">
        <v>780</v>
      </c>
      <c r="F126" s="170">
        <v>8000</v>
      </c>
      <c r="G126" s="170">
        <v>3000</v>
      </c>
      <c r="H126" s="170">
        <v>500</v>
      </c>
      <c r="I126" s="170">
        <v>25000</v>
      </c>
      <c r="J126" s="170">
        <v>2500</v>
      </c>
      <c r="K126" s="170">
        <v>2500</v>
      </c>
      <c r="L126" s="170">
        <v>2500</v>
      </c>
      <c r="M126" s="170">
        <v>4000</v>
      </c>
      <c r="N126" s="170">
        <v>15500</v>
      </c>
      <c r="O126" s="170">
        <v>63200</v>
      </c>
      <c r="P126" s="170">
        <v>700</v>
      </c>
      <c r="Q126" s="170">
        <v>25000</v>
      </c>
      <c r="R126" s="170">
        <v>15000</v>
      </c>
      <c r="S126" s="170">
        <v>32000</v>
      </c>
    </row>
    <row r="127" spans="3:19" x14ac:dyDescent="0.2">
      <c r="C127" s="1">
        <v>2047</v>
      </c>
      <c r="D127" s="170">
        <f t="shared" si="14"/>
        <v>200180</v>
      </c>
      <c r="E127" s="170">
        <v>780</v>
      </c>
      <c r="F127" s="170">
        <v>8000</v>
      </c>
      <c r="G127" s="170">
        <v>3000</v>
      </c>
      <c r="H127" s="170">
        <v>500</v>
      </c>
      <c r="I127" s="170">
        <v>25000</v>
      </c>
      <c r="J127" s="170">
        <v>2500</v>
      </c>
      <c r="K127" s="170">
        <v>2500</v>
      </c>
      <c r="L127" s="170">
        <v>2500</v>
      </c>
      <c r="M127" s="170">
        <v>4000</v>
      </c>
      <c r="N127" s="170">
        <v>15500</v>
      </c>
      <c r="O127" s="170">
        <v>63200</v>
      </c>
      <c r="P127" s="170">
        <v>700</v>
      </c>
      <c r="Q127" s="170">
        <v>25000</v>
      </c>
      <c r="R127" s="170">
        <v>15000</v>
      </c>
      <c r="S127" s="170">
        <v>32000</v>
      </c>
    </row>
    <row r="128" spans="3:19" x14ac:dyDescent="0.2">
      <c r="C128" s="1">
        <v>2048</v>
      </c>
      <c r="D128" s="170">
        <f t="shared" si="14"/>
        <v>200180</v>
      </c>
      <c r="E128" s="170">
        <v>780</v>
      </c>
      <c r="F128" s="170">
        <v>8000</v>
      </c>
      <c r="G128" s="170">
        <v>3000</v>
      </c>
      <c r="H128" s="170">
        <v>500</v>
      </c>
      <c r="I128" s="170">
        <v>25000</v>
      </c>
      <c r="J128" s="170">
        <v>2500</v>
      </c>
      <c r="K128" s="170">
        <v>2500</v>
      </c>
      <c r="L128" s="170">
        <v>2500</v>
      </c>
      <c r="M128" s="170">
        <v>4000</v>
      </c>
      <c r="N128" s="170">
        <v>15500</v>
      </c>
      <c r="O128" s="170">
        <v>63200</v>
      </c>
      <c r="P128" s="170">
        <v>700</v>
      </c>
      <c r="Q128" s="170">
        <v>25000</v>
      </c>
      <c r="R128" s="170">
        <v>15000</v>
      </c>
      <c r="S128" s="170">
        <v>32000</v>
      </c>
    </row>
    <row r="129" spans="3:19" x14ac:dyDescent="0.2">
      <c r="C129" s="1">
        <v>2049</v>
      </c>
      <c r="D129" s="170">
        <f t="shared" si="14"/>
        <v>200180</v>
      </c>
      <c r="E129" s="170">
        <v>780</v>
      </c>
      <c r="F129" s="170">
        <v>8000</v>
      </c>
      <c r="G129" s="170">
        <v>3000</v>
      </c>
      <c r="H129" s="170">
        <v>500</v>
      </c>
      <c r="I129" s="170">
        <v>25000</v>
      </c>
      <c r="J129" s="170">
        <v>2500</v>
      </c>
      <c r="K129" s="170">
        <v>2500</v>
      </c>
      <c r="L129" s="170">
        <v>2500</v>
      </c>
      <c r="M129" s="170">
        <v>4000</v>
      </c>
      <c r="N129" s="170">
        <v>15500</v>
      </c>
      <c r="O129" s="170">
        <v>63200</v>
      </c>
      <c r="P129" s="170">
        <v>700</v>
      </c>
      <c r="Q129" s="170">
        <v>25000</v>
      </c>
      <c r="R129" s="170">
        <v>15000</v>
      </c>
      <c r="S129" s="170">
        <v>32000</v>
      </c>
    </row>
    <row r="130" spans="3:19" x14ac:dyDescent="0.2">
      <c r="C130" s="192">
        <v>2050</v>
      </c>
      <c r="D130" s="193">
        <f t="shared" si="14"/>
        <v>200180</v>
      </c>
      <c r="E130" s="193">
        <v>780</v>
      </c>
      <c r="F130" s="193">
        <v>8000</v>
      </c>
      <c r="G130" s="193">
        <v>3000</v>
      </c>
      <c r="H130" s="193">
        <v>500</v>
      </c>
      <c r="I130" s="193">
        <v>25000</v>
      </c>
      <c r="J130" s="193">
        <v>2500</v>
      </c>
      <c r="K130" s="193">
        <v>2500</v>
      </c>
      <c r="L130" s="193">
        <v>2500</v>
      </c>
      <c r="M130" s="193">
        <v>4000</v>
      </c>
      <c r="N130" s="193">
        <v>15500</v>
      </c>
      <c r="O130" s="193">
        <v>63200</v>
      </c>
      <c r="P130" s="193">
        <v>700</v>
      </c>
      <c r="Q130" s="193">
        <v>25000</v>
      </c>
      <c r="R130" s="170">
        <v>15000</v>
      </c>
      <c r="S130" s="170">
        <v>32000</v>
      </c>
    </row>
    <row r="131" spans="3:19" x14ac:dyDescent="0.2">
      <c r="C131" s="1">
        <v>2051</v>
      </c>
      <c r="D131" s="170">
        <f t="shared" si="14"/>
        <v>190180</v>
      </c>
      <c r="E131" s="170">
        <v>780</v>
      </c>
      <c r="F131" s="170">
        <v>8000</v>
      </c>
      <c r="G131" s="170">
        <v>3000</v>
      </c>
      <c r="H131" s="170">
        <v>500</v>
      </c>
      <c r="I131" s="170">
        <v>25000</v>
      </c>
      <c r="J131" s="170">
        <v>2500</v>
      </c>
      <c r="K131" s="170">
        <v>2500</v>
      </c>
      <c r="L131" s="170">
        <v>2500</v>
      </c>
      <c r="M131" s="170">
        <v>4000</v>
      </c>
      <c r="N131" s="170">
        <v>15500</v>
      </c>
      <c r="O131" s="170">
        <v>63200</v>
      </c>
      <c r="P131" s="170">
        <v>700</v>
      </c>
      <c r="Q131" s="170">
        <v>15000</v>
      </c>
      <c r="R131" s="170">
        <v>15000</v>
      </c>
      <c r="S131" s="170">
        <v>32000</v>
      </c>
    </row>
    <row r="132" spans="3:19" x14ac:dyDescent="0.2">
      <c r="C132" s="1">
        <v>2052</v>
      </c>
      <c r="D132" s="170">
        <f t="shared" si="14"/>
        <v>190180</v>
      </c>
      <c r="E132" s="170">
        <v>780</v>
      </c>
      <c r="F132" s="170">
        <v>8000</v>
      </c>
      <c r="G132" s="170">
        <v>3000</v>
      </c>
      <c r="H132" s="170">
        <v>500</v>
      </c>
      <c r="I132" s="170">
        <v>25000</v>
      </c>
      <c r="J132" s="170">
        <v>2500</v>
      </c>
      <c r="K132" s="170">
        <v>2500</v>
      </c>
      <c r="L132" s="170">
        <v>2500</v>
      </c>
      <c r="M132" s="170">
        <v>4000</v>
      </c>
      <c r="N132" s="170">
        <v>15500</v>
      </c>
      <c r="O132" s="170">
        <v>63200</v>
      </c>
      <c r="P132" s="170">
        <v>700</v>
      </c>
      <c r="Q132" s="170">
        <v>15000</v>
      </c>
      <c r="R132" s="170">
        <v>15000</v>
      </c>
      <c r="S132" s="170">
        <v>32000</v>
      </c>
    </row>
    <row r="133" spans="3:19" x14ac:dyDescent="0.2">
      <c r="C133" s="1">
        <v>2053</v>
      </c>
      <c r="D133" s="170">
        <f t="shared" si="14"/>
        <v>190180</v>
      </c>
      <c r="E133" s="170">
        <v>780</v>
      </c>
      <c r="F133" s="170">
        <v>8000</v>
      </c>
      <c r="G133" s="170">
        <v>3000</v>
      </c>
      <c r="H133" s="170">
        <v>500</v>
      </c>
      <c r="I133" s="170">
        <v>25000</v>
      </c>
      <c r="J133" s="170">
        <v>2500</v>
      </c>
      <c r="K133" s="170">
        <v>2500</v>
      </c>
      <c r="L133" s="170">
        <v>2500</v>
      </c>
      <c r="M133" s="170">
        <v>4000</v>
      </c>
      <c r="N133" s="170">
        <v>15500</v>
      </c>
      <c r="O133" s="170">
        <v>63200</v>
      </c>
      <c r="P133" s="170">
        <v>700</v>
      </c>
      <c r="Q133" s="170">
        <v>15000</v>
      </c>
      <c r="R133" s="170">
        <v>15000</v>
      </c>
      <c r="S133" s="170">
        <v>32000</v>
      </c>
    </row>
    <row r="134" spans="3:19" x14ac:dyDescent="0.2">
      <c r="C134" s="1">
        <v>2054</v>
      </c>
      <c r="D134" s="170">
        <f t="shared" si="14"/>
        <v>190180</v>
      </c>
      <c r="E134" s="170">
        <v>780</v>
      </c>
      <c r="F134" s="170">
        <v>8000</v>
      </c>
      <c r="G134" s="170">
        <v>3000</v>
      </c>
      <c r="H134" s="170">
        <v>500</v>
      </c>
      <c r="I134" s="170">
        <v>25000</v>
      </c>
      <c r="J134" s="170">
        <v>2500</v>
      </c>
      <c r="K134" s="170">
        <v>2500</v>
      </c>
      <c r="L134" s="170">
        <v>2500</v>
      </c>
      <c r="M134" s="170">
        <v>4000</v>
      </c>
      <c r="N134" s="170">
        <v>15500</v>
      </c>
      <c r="O134" s="170">
        <v>63200</v>
      </c>
      <c r="P134" s="170">
        <v>700</v>
      </c>
      <c r="Q134" s="170">
        <v>15000</v>
      </c>
      <c r="R134" s="170">
        <v>15000</v>
      </c>
      <c r="S134" s="170">
        <v>32000</v>
      </c>
    </row>
    <row r="135" spans="3:19" x14ac:dyDescent="0.2">
      <c r="C135" s="192">
        <v>2055</v>
      </c>
      <c r="D135" s="193">
        <f t="shared" si="14"/>
        <v>183180</v>
      </c>
      <c r="E135" s="193">
        <v>780</v>
      </c>
      <c r="F135" s="193">
        <v>8000</v>
      </c>
      <c r="G135" s="193">
        <v>3000</v>
      </c>
      <c r="H135" s="193">
        <v>500</v>
      </c>
      <c r="I135" s="193">
        <v>25000</v>
      </c>
      <c r="J135" s="193">
        <v>2500</v>
      </c>
      <c r="K135" s="193">
        <v>2500</v>
      </c>
      <c r="L135" s="193">
        <v>2500</v>
      </c>
      <c r="M135" s="193">
        <v>4000</v>
      </c>
      <c r="N135" s="193">
        <v>15500</v>
      </c>
      <c r="O135" s="193">
        <v>63200</v>
      </c>
      <c r="P135" s="193">
        <v>700</v>
      </c>
      <c r="Q135" s="193">
        <v>15000</v>
      </c>
      <c r="R135" s="170">
        <v>15000</v>
      </c>
      <c r="S135" s="170">
        <v>25000</v>
      </c>
    </row>
    <row r="136" spans="3:19" x14ac:dyDescent="0.2">
      <c r="C136" s="1">
        <v>2056</v>
      </c>
      <c r="D136" s="170">
        <f t="shared" si="14"/>
        <v>168180</v>
      </c>
      <c r="E136" s="170">
        <v>780</v>
      </c>
      <c r="F136" s="170">
        <v>8000</v>
      </c>
      <c r="G136" s="170">
        <v>3000</v>
      </c>
      <c r="H136" s="170">
        <v>500</v>
      </c>
      <c r="I136" s="170">
        <v>25000</v>
      </c>
      <c r="J136" s="170">
        <v>2500</v>
      </c>
      <c r="K136" s="170">
        <v>2500</v>
      </c>
      <c r="L136" s="170">
        <v>2500</v>
      </c>
      <c r="M136" s="170">
        <v>4000</v>
      </c>
      <c r="N136" s="170">
        <v>15500</v>
      </c>
      <c r="O136" s="170">
        <v>63200</v>
      </c>
      <c r="P136" s="170">
        <v>700</v>
      </c>
      <c r="Q136" s="170">
        <v>15000</v>
      </c>
      <c r="R136" s="170"/>
      <c r="S136" s="170">
        <v>25000</v>
      </c>
    </row>
    <row r="137" spans="3:19" x14ac:dyDescent="0.2">
      <c r="C137" s="1">
        <v>2057</v>
      </c>
      <c r="D137" s="170">
        <f t="shared" si="14"/>
        <v>158180</v>
      </c>
      <c r="E137" s="170">
        <v>780</v>
      </c>
      <c r="F137" s="170">
        <v>8000</v>
      </c>
      <c r="G137" s="170">
        <v>3000</v>
      </c>
      <c r="H137" s="170">
        <v>500</v>
      </c>
      <c r="I137" s="170">
        <v>25000</v>
      </c>
      <c r="J137" s="170">
        <v>2500</v>
      </c>
      <c r="K137" s="170">
        <v>2500</v>
      </c>
      <c r="L137" s="170">
        <v>2500</v>
      </c>
      <c r="M137" s="170">
        <v>4000</v>
      </c>
      <c r="N137" s="170">
        <v>15500</v>
      </c>
      <c r="O137" s="170">
        <v>63200</v>
      </c>
      <c r="P137" s="170">
        <v>700</v>
      </c>
      <c r="Q137" s="170">
        <v>5000</v>
      </c>
      <c r="R137" s="170"/>
      <c r="S137" s="170">
        <v>25000</v>
      </c>
    </row>
    <row r="138" spans="3:19" x14ac:dyDescent="0.2">
      <c r="C138" s="1">
        <v>2058</v>
      </c>
      <c r="D138" s="170">
        <f t="shared" si="14"/>
        <v>158180</v>
      </c>
      <c r="E138" s="170">
        <v>780</v>
      </c>
      <c r="F138" s="170">
        <v>8000</v>
      </c>
      <c r="G138" s="170">
        <v>3000</v>
      </c>
      <c r="H138" s="170">
        <v>500</v>
      </c>
      <c r="I138" s="170">
        <v>25000</v>
      </c>
      <c r="J138" s="170">
        <v>2500</v>
      </c>
      <c r="K138" s="170">
        <v>2500</v>
      </c>
      <c r="L138" s="170">
        <v>2500</v>
      </c>
      <c r="M138" s="170">
        <v>4000</v>
      </c>
      <c r="N138" s="170">
        <v>15500</v>
      </c>
      <c r="O138" s="170">
        <v>63200</v>
      </c>
      <c r="P138" s="170">
        <v>700</v>
      </c>
      <c r="Q138" s="170">
        <v>5000</v>
      </c>
      <c r="R138" s="170"/>
      <c r="S138" s="170">
        <v>25000</v>
      </c>
    </row>
    <row r="139" spans="3:19" x14ac:dyDescent="0.2">
      <c r="C139" s="1">
        <v>2059</v>
      </c>
      <c r="D139" s="170">
        <f t="shared" si="14"/>
        <v>158180</v>
      </c>
      <c r="E139" s="170">
        <v>780</v>
      </c>
      <c r="F139" s="170">
        <v>8000</v>
      </c>
      <c r="G139" s="170">
        <v>3000</v>
      </c>
      <c r="H139" s="170">
        <v>500</v>
      </c>
      <c r="I139" s="170">
        <v>25000</v>
      </c>
      <c r="J139" s="170">
        <v>2500</v>
      </c>
      <c r="K139" s="170">
        <v>2500</v>
      </c>
      <c r="L139" s="170">
        <v>2500</v>
      </c>
      <c r="M139" s="170">
        <v>4000</v>
      </c>
      <c r="N139" s="170">
        <v>15500</v>
      </c>
      <c r="O139" s="170">
        <v>63200</v>
      </c>
      <c r="P139" s="170">
        <v>700</v>
      </c>
      <c r="Q139" s="170">
        <v>5000</v>
      </c>
      <c r="R139" s="170"/>
      <c r="S139" s="170">
        <v>25000</v>
      </c>
    </row>
    <row r="140" spans="3:19" x14ac:dyDescent="0.2">
      <c r="C140" s="192">
        <v>2060</v>
      </c>
      <c r="D140" s="193">
        <f t="shared" si="14"/>
        <v>158180</v>
      </c>
      <c r="E140" s="193">
        <v>780</v>
      </c>
      <c r="F140" s="193">
        <v>8000</v>
      </c>
      <c r="G140" s="193">
        <v>3000</v>
      </c>
      <c r="H140" s="193">
        <v>500</v>
      </c>
      <c r="I140" s="193">
        <v>25000</v>
      </c>
      <c r="J140" s="193">
        <v>2500</v>
      </c>
      <c r="K140" s="193">
        <v>2500</v>
      </c>
      <c r="L140" s="193">
        <v>2500</v>
      </c>
      <c r="M140" s="193">
        <v>4000</v>
      </c>
      <c r="N140" s="193">
        <v>15500</v>
      </c>
      <c r="O140" s="193">
        <v>63200</v>
      </c>
      <c r="P140" s="193">
        <v>700</v>
      </c>
      <c r="Q140" s="194">
        <v>5000</v>
      </c>
      <c r="R140" s="170"/>
      <c r="S140" s="170">
        <v>25000</v>
      </c>
    </row>
    <row r="141" spans="3:19" x14ac:dyDescent="0.2"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</row>
    <row r="142" spans="3:19" x14ac:dyDescent="0.2"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</row>
    <row r="143" spans="3:19" x14ac:dyDescent="0.2">
      <c r="C143" s="1" t="s">
        <v>155</v>
      </c>
      <c r="D143" s="170">
        <f>SUM(D105:D140)</f>
        <v>5974360</v>
      </c>
      <c r="E143" s="170">
        <f t="shared" ref="E143:S143" si="15">SUM(E105:E140)</f>
        <v>25560</v>
      </c>
      <c r="F143" s="170">
        <f t="shared" si="15"/>
        <v>257500</v>
      </c>
      <c r="G143" s="170">
        <f t="shared" si="15"/>
        <v>99000</v>
      </c>
      <c r="H143" s="170">
        <f t="shared" si="15"/>
        <v>16500</v>
      </c>
      <c r="I143" s="170">
        <f t="shared" si="15"/>
        <v>784900</v>
      </c>
      <c r="J143" s="170">
        <f t="shared" si="15"/>
        <v>75000</v>
      </c>
      <c r="K143" s="170">
        <f t="shared" si="15"/>
        <v>83100</v>
      </c>
      <c r="L143" s="170">
        <f t="shared" si="15"/>
        <v>82500</v>
      </c>
      <c r="M143" s="170">
        <f t="shared" si="15"/>
        <v>132000</v>
      </c>
      <c r="N143" s="170">
        <f t="shared" si="15"/>
        <v>512500</v>
      </c>
      <c r="O143" s="170">
        <f t="shared" si="15"/>
        <v>1988800</v>
      </c>
      <c r="P143" s="170">
        <f t="shared" si="15"/>
        <v>25200</v>
      </c>
      <c r="Q143" s="170">
        <f t="shared" si="15"/>
        <v>677500</v>
      </c>
      <c r="R143" s="170">
        <f t="shared" si="15"/>
        <v>420000</v>
      </c>
      <c r="S143" s="170">
        <f t="shared" si="15"/>
        <v>794300</v>
      </c>
    </row>
    <row r="149" spans="3:42" ht="12" x14ac:dyDescent="0.2">
      <c r="C149" s="114" t="s">
        <v>226</v>
      </c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</row>
    <row r="150" spans="3:42" ht="13.5" thickBot="1" x14ac:dyDescent="0.25">
      <c r="C150" s="156" t="s">
        <v>149</v>
      </c>
      <c r="D150" s="156"/>
      <c r="E150" s="156" t="s">
        <v>148</v>
      </c>
      <c r="F150" s="156" t="s">
        <v>147</v>
      </c>
      <c r="G150" s="156" t="s">
        <v>146</v>
      </c>
      <c r="H150" s="156" t="s">
        <v>145</v>
      </c>
      <c r="I150" s="156" t="s">
        <v>144</v>
      </c>
      <c r="J150" s="156" t="s">
        <v>143</v>
      </c>
      <c r="K150" s="156" t="s">
        <v>142</v>
      </c>
      <c r="L150" s="156" t="s">
        <v>141</v>
      </c>
      <c r="M150" s="156" t="s">
        <v>140</v>
      </c>
      <c r="N150" s="156" t="s">
        <v>139</v>
      </c>
      <c r="O150" s="156" t="s">
        <v>138</v>
      </c>
      <c r="P150" s="156" t="s">
        <v>137</v>
      </c>
      <c r="Q150" s="156" t="s">
        <v>136</v>
      </c>
      <c r="R150" s="156" t="s">
        <v>135</v>
      </c>
      <c r="S150" s="156" t="s">
        <v>134</v>
      </c>
      <c r="T150" s="156" t="s">
        <v>133</v>
      </c>
      <c r="U150" s="156" t="s">
        <v>132</v>
      </c>
      <c r="V150" s="156" t="s">
        <v>131</v>
      </c>
      <c r="W150" s="156" t="s">
        <v>130</v>
      </c>
      <c r="X150" s="156" t="s">
        <v>129</v>
      </c>
      <c r="Y150" s="156" t="s">
        <v>128</v>
      </c>
      <c r="Z150" s="156" t="s">
        <v>127</v>
      </c>
      <c r="AA150" s="156" t="s">
        <v>126</v>
      </c>
      <c r="AB150" s="156" t="s">
        <v>125</v>
      </c>
      <c r="AC150" s="156" t="s">
        <v>124</v>
      </c>
      <c r="AD150" s="156" t="s">
        <v>123</v>
      </c>
      <c r="AE150" s="156" t="s">
        <v>122</v>
      </c>
      <c r="AF150" s="156" t="s">
        <v>121</v>
      </c>
      <c r="AG150" s="156" t="s">
        <v>120</v>
      </c>
      <c r="AH150" s="156" t="s">
        <v>119</v>
      </c>
      <c r="AI150" s="156" t="s">
        <v>118</v>
      </c>
      <c r="AJ150" s="156" t="s">
        <v>117</v>
      </c>
      <c r="AK150" s="156" t="s">
        <v>116</v>
      </c>
      <c r="AL150" s="156" t="s">
        <v>115</v>
      </c>
      <c r="AM150" s="16"/>
    </row>
    <row r="151" spans="3:42" x14ac:dyDescent="0.2">
      <c r="C151" s="16" t="s">
        <v>114</v>
      </c>
      <c r="D151" s="16"/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1439.8</v>
      </c>
      <c r="K151" s="28">
        <v>0</v>
      </c>
      <c r="L151" s="28">
        <v>0</v>
      </c>
      <c r="M151" s="28">
        <v>9666.6666666666661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11106.466666666665</v>
      </c>
      <c r="AP151" s="70"/>
    </row>
    <row r="152" spans="3:42" x14ac:dyDescent="0.2">
      <c r="C152" s="16" t="s">
        <v>113</v>
      </c>
      <c r="D152" s="16"/>
      <c r="E152" s="28">
        <v>0</v>
      </c>
      <c r="F152" s="28">
        <v>0</v>
      </c>
      <c r="G152" s="28">
        <v>1133.3333333333333</v>
      </c>
      <c r="H152" s="28">
        <v>0</v>
      </c>
      <c r="I152" s="28">
        <v>7333.333333333333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5800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7666.666666666667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21933.333333333332</v>
      </c>
      <c r="AP152" s="70"/>
    </row>
    <row r="153" spans="3:42" x14ac:dyDescent="0.2">
      <c r="C153" s="16" t="s">
        <v>112</v>
      </c>
      <c r="D153" s="16"/>
      <c r="E153" s="28">
        <v>0</v>
      </c>
      <c r="F153" s="28">
        <v>42640</v>
      </c>
      <c r="G153" s="28">
        <v>0</v>
      </c>
      <c r="H153" s="28">
        <v>0</v>
      </c>
      <c r="I153" s="28">
        <v>2200</v>
      </c>
      <c r="J153" s="28">
        <v>99455.066666666666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106.66666666666667</v>
      </c>
      <c r="Q153" s="28">
        <v>0</v>
      </c>
      <c r="R153" s="28">
        <v>0</v>
      </c>
      <c r="S153" s="28">
        <v>106666.66666666667</v>
      </c>
      <c r="T153" s="28">
        <v>0</v>
      </c>
      <c r="U153" s="28">
        <v>0</v>
      </c>
      <c r="V153" s="28">
        <v>0</v>
      </c>
      <c r="W153" s="28">
        <v>0</v>
      </c>
      <c r="X153" s="28">
        <v>135914.66666666666</v>
      </c>
      <c r="Y153" s="28">
        <v>0</v>
      </c>
      <c r="Z153" s="28">
        <v>0</v>
      </c>
      <c r="AA153" s="28">
        <v>84800</v>
      </c>
      <c r="AB153" s="28">
        <v>0</v>
      </c>
      <c r="AC153" s="28">
        <v>386.66666666666669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472169.73333333334</v>
      </c>
      <c r="AP153" s="70"/>
    </row>
    <row r="154" spans="3:42" x14ac:dyDescent="0.2">
      <c r="C154" s="16" t="s">
        <v>111</v>
      </c>
      <c r="D154" s="16"/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2712</v>
      </c>
      <c r="K154" s="28">
        <v>0</v>
      </c>
      <c r="L154" s="28">
        <v>0</v>
      </c>
      <c r="M154" s="28">
        <v>33.333333333333336</v>
      </c>
      <c r="N154" s="28">
        <v>0</v>
      </c>
      <c r="O154" s="28">
        <v>739.93333333333328</v>
      </c>
      <c r="P154" s="28">
        <v>0</v>
      </c>
      <c r="Q154" s="28">
        <v>0</v>
      </c>
      <c r="R154" s="28">
        <v>0</v>
      </c>
      <c r="S154" s="28">
        <v>14000</v>
      </c>
      <c r="T154" s="28">
        <v>380</v>
      </c>
      <c r="U154" s="28">
        <v>0</v>
      </c>
      <c r="V154" s="28">
        <v>0</v>
      </c>
      <c r="W154" s="28">
        <v>0</v>
      </c>
      <c r="X154" s="28">
        <v>1356</v>
      </c>
      <c r="Y154" s="28">
        <v>45484.666666666664</v>
      </c>
      <c r="Z154" s="28">
        <v>0</v>
      </c>
      <c r="AA154" s="28">
        <v>15639.333333333334</v>
      </c>
      <c r="AB154" s="28">
        <v>0</v>
      </c>
      <c r="AC154" s="28">
        <v>29.333333333333332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80374.599999999991</v>
      </c>
      <c r="AP154" s="70"/>
    </row>
    <row r="155" spans="3:42" x14ac:dyDescent="0.2">
      <c r="C155" s="16" t="s">
        <v>110</v>
      </c>
      <c r="D155" s="16"/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422400</v>
      </c>
      <c r="K155" s="28">
        <v>490600</v>
      </c>
      <c r="L155" s="28">
        <v>0</v>
      </c>
      <c r="M155" s="28">
        <v>922133.33333333337</v>
      </c>
      <c r="N155" s="28">
        <v>0</v>
      </c>
      <c r="O155" s="28">
        <v>528133.33333333337</v>
      </c>
      <c r="P155" s="28">
        <v>124266.66666666667</v>
      </c>
      <c r="Q155" s="28">
        <v>0</v>
      </c>
      <c r="R155" s="28">
        <v>233768.4</v>
      </c>
      <c r="S155" s="28">
        <v>180600</v>
      </c>
      <c r="T155" s="28">
        <v>0</v>
      </c>
      <c r="U155" s="28">
        <v>0</v>
      </c>
      <c r="V155" s="28">
        <v>17666.666666666668</v>
      </c>
      <c r="W155" s="28">
        <v>0</v>
      </c>
      <c r="X155" s="28">
        <v>45333.333333333336</v>
      </c>
      <c r="Y155" s="28">
        <v>109133.33333333333</v>
      </c>
      <c r="Z155" s="28">
        <v>359333.33333333331</v>
      </c>
      <c r="AA155" s="28">
        <v>68000</v>
      </c>
      <c r="AB155" s="28">
        <v>150000</v>
      </c>
      <c r="AC155" s="28">
        <v>0</v>
      </c>
      <c r="AD155" s="28">
        <v>0</v>
      </c>
      <c r="AE155" s="28">
        <v>1368866.6666666667</v>
      </c>
      <c r="AF155" s="28">
        <v>0</v>
      </c>
      <c r="AG155" s="28">
        <v>0</v>
      </c>
      <c r="AH155" s="28">
        <v>1735400</v>
      </c>
      <c r="AI155" s="28">
        <v>13333.333333333334</v>
      </c>
      <c r="AJ155" s="28">
        <v>0</v>
      </c>
      <c r="AK155" s="28">
        <v>0</v>
      </c>
      <c r="AL155" s="28">
        <v>0</v>
      </c>
      <c r="AM155" s="28">
        <v>6768968.4000000004</v>
      </c>
      <c r="AP155" s="70"/>
    </row>
    <row r="156" spans="3:42" x14ac:dyDescent="0.2">
      <c r="C156" s="16" t="s">
        <v>109</v>
      </c>
      <c r="D156" s="16"/>
      <c r="E156" s="28">
        <v>0</v>
      </c>
      <c r="F156" s="28">
        <v>13266.666666666666</v>
      </c>
      <c r="G156" s="28">
        <v>140000</v>
      </c>
      <c r="H156" s="28">
        <v>0</v>
      </c>
      <c r="I156" s="28">
        <v>51066.666666666664</v>
      </c>
      <c r="J156" s="28">
        <v>1333333.3333333333</v>
      </c>
      <c r="K156" s="28">
        <v>65133.333333333336</v>
      </c>
      <c r="L156" s="28">
        <v>0</v>
      </c>
      <c r="M156" s="28">
        <v>1562.6</v>
      </c>
      <c r="N156" s="28">
        <v>0</v>
      </c>
      <c r="O156" s="28">
        <v>0</v>
      </c>
      <c r="P156" s="28">
        <v>17000</v>
      </c>
      <c r="Q156" s="28">
        <v>46666.666666666664</v>
      </c>
      <c r="R156" s="28">
        <v>0</v>
      </c>
      <c r="S156" s="28">
        <v>130866.66666666667</v>
      </c>
      <c r="T156" s="28">
        <v>2766.6666666666665</v>
      </c>
      <c r="U156" s="28">
        <v>0</v>
      </c>
      <c r="V156" s="28">
        <v>26933.333333333332</v>
      </c>
      <c r="W156" s="28">
        <v>0</v>
      </c>
      <c r="X156" s="28">
        <v>45333.333333333336</v>
      </c>
      <c r="Y156" s="28">
        <v>234840</v>
      </c>
      <c r="Z156" s="28">
        <v>154000</v>
      </c>
      <c r="AA156" s="28">
        <v>500000</v>
      </c>
      <c r="AB156" s="28">
        <v>0</v>
      </c>
      <c r="AC156" s="28">
        <v>6133.333333333333</v>
      </c>
      <c r="AD156" s="28">
        <v>114400</v>
      </c>
      <c r="AE156" s="28">
        <v>0</v>
      </c>
      <c r="AF156" s="28">
        <v>0</v>
      </c>
      <c r="AG156" s="28">
        <v>0</v>
      </c>
      <c r="AH156" s="28">
        <v>0</v>
      </c>
      <c r="AI156" s="28">
        <v>180666.66666666666</v>
      </c>
      <c r="AJ156" s="28">
        <v>1333.3333333333333</v>
      </c>
      <c r="AK156" s="28">
        <v>19737.490993333333</v>
      </c>
      <c r="AL156" s="28">
        <v>70000</v>
      </c>
      <c r="AM156" s="28">
        <v>3155040.0909933336</v>
      </c>
      <c r="AP156" s="70"/>
    </row>
    <row r="157" spans="3:42" x14ac:dyDescent="0.2">
      <c r="C157" s="16" t="s">
        <v>108</v>
      </c>
      <c r="D157" s="16"/>
      <c r="E157" s="28">
        <v>32500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67160.066666666666</v>
      </c>
      <c r="P157" s="28">
        <v>0</v>
      </c>
      <c r="Q157" s="28">
        <v>25933.333333333332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5470.666666666667</v>
      </c>
      <c r="Z157" s="28">
        <v>0</v>
      </c>
      <c r="AA157" s="28">
        <v>1066.6666666666667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12588.666666666666</v>
      </c>
      <c r="AJ157" s="28">
        <v>7400</v>
      </c>
      <c r="AK157" s="28">
        <v>0</v>
      </c>
      <c r="AL157" s="28">
        <v>0</v>
      </c>
      <c r="AM157" s="28">
        <v>152119.4</v>
      </c>
      <c r="AP157" s="70"/>
    </row>
    <row r="158" spans="3:42" x14ac:dyDescent="0.2">
      <c r="C158" s="16" t="s">
        <v>107</v>
      </c>
      <c r="D158" s="16"/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4733.333333333333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4733.333333333333</v>
      </c>
      <c r="AP158" s="70"/>
    </row>
    <row r="162" spans="3:28" ht="12.75" x14ac:dyDescent="0.2">
      <c r="C162" s="157"/>
      <c r="D162" s="158" t="s">
        <v>114</v>
      </c>
      <c r="E162" s="158" t="s">
        <v>113</v>
      </c>
      <c r="F162" s="158" t="s">
        <v>167</v>
      </c>
      <c r="G162" s="158" t="s">
        <v>112</v>
      </c>
      <c r="H162" s="158" t="s">
        <v>166</v>
      </c>
      <c r="I162" s="158" t="s">
        <v>111</v>
      </c>
      <c r="J162" s="158" t="s">
        <v>110</v>
      </c>
      <c r="K162" s="158" t="s">
        <v>109</v>
      </c>
      <c r="L162" s="158" t="s">
        <v>165</v>
      </c>
      <c r="M162" s="158" t="s">
        <v>108</v>
      </c>
      <c r="N162" s="158" t="s">
        <v>164</v>
      </c>
      <c r="O162" s="158" t="s">
        <v>107</v>
      </c>
      <c r="P162" s="16"/>
      <c r="Q162" s="22" t="str">
        <f t="array" ref="Q162:AB162">D162:O162</f>
        <v>CB11</v>
      </c>
      <c r="R162" s="22" t="str">
        <v>CB21</v>
      </c>
      <c r="S162" s="22" t="str">
        <v>DGF1</v>
      </c>
      <c r="T162" s="22" t="str">
        <v>DGO1</v>
      </c>
      <c r="U162" s="22" t="str">
        <v>DOF1</v>
      </c>
      <c r="V162" s="22" t="str">
        <v>DOO1</v>
      </c>
      <c r="W162" s="22" t="str">
        <v>DSAOF1</v>
      </c>
      <c r="X162" s="22" t="str">
        <v>DSAON1</v>
      </c>
      <c r="Y162" s="22" t="str">
        <v>EOR1</v>
      </c>
      <c r="Z162" s="22" t="str">
        <v>DOGO1</v>
      </c>
      <c r="AA162" s="22" t="str">
        <v>DOGF1</v>
      </c>
      <c r="AB162" s="22" t="str">
        <v>CB31</v>
      </c>
    </row>
    <row r="163" spans="3:28" ht="12.75" x14ac:dyDescent="0.2">
      <c r="C163" s="157"/>
      <c r="D163" s="159" t="s">
        <v>155</v>
      </c>
      <c r="E163" s="159" t="s">
        <v>155</v>
      </c>
      <c r="F163" s="159" t="s">
        <v>155</v>
      </c>
      <c r="G163" s="159" t="s">
        <v>155</v>
      </c>
      <c r="H163" s="159" t="s">
        <v>155</v>
      </c>
      <c r="I163" s="159" t="s">
        <v>155</v>
      </c>
      <c r="J163" s="159" t="s">
        <v>155</v>
      </c>
      <c r="K163" s="159" t="s">
        <v>155</v>
      </c>
      <c r="L163" s="159" t="s">
        <v>155</v>
      </c>
      <c r="M163" s="159" t="s">
        <v>155</v>
      </c>
      <c r="N163" s="159" t="s">
        <v>155</v>
      </c>
      <c r="O163" s="159" t="s">
        <v>155</v>
      </c>
      <c r="P163" s="16"/>
      <c r="Q163" s="16" t="str">
        <f t="array" ref="Q163:AB163">TRANSPOSE(C5:C16)</f>
        <v>MINSNKCB11</v>
      </c>
      <c r="R163" s="16" t="str">
        <v>MINSNKCB21</v>
      </c>
      <c r="S163" s="16" t="str">
        <v>MINSNKDGF1</v>
      </c>
      <c r="T163" s="16" t="str">
        <v>MINSNKDGO1</v>
      </c>
      <c r="U163" s="16" t="str">
        <v>MINSNKDOF1</v>
      </c>
      <c r="V163" s="16" t="str">
        <v>MINSNKDOO1</v>
      </c>
      <c r="W163" s="16" t="str">
        <v>MINSNKDSAOF1</v>
      </c>
      <c r="X163" s="16" t="str">
        <v>MINSNKDSAON1</v>
      </c>
      <c r="Y163" s="16" t="str">
        <v>MINSNKEOR1</v>
      </c>
      <c r="Z163" s="16" t="str">
        <v>MINSNKDOGO1</v>
      </c>
      <c r="AA163" s="16" t="str">
        <v>MINSNKDOGF1</v>
      </c>
      <c r="AB163" s="16" t="str">
        <v>MINSNKCB31</v>
      </c>
    </row>
    <row r="164" spans="3:28" ht="12.75" x14ac:dyDescent="0.2">
      <c r="C164" s="159" t="s">
        <v>148</v>
      </c>
      <c r="D164" s="160">
        <v>0</v>
      </c>
      <c r="E164" s="160">
        <v>0</v>
      </c>
      <c r="F164" s="160">
        <v>0</v>
      </c>
      <c r="G164" s="160">
        <v>0</v>
      </c>
      <c r="H164" s="160">
        <v>0</v>
      </c>
      <c r="I164" s="160">
        <v>0</v>
      </c>
      <c r="J164" s="160">
        <v>0</v>
      </c>
      <c r="K164" s="160">
        <v>0</v>
      </c>
      <c r="L164" s="160">
        <v>0</v>
      </c>
      <c r="M164" s="160">
        <v>487500</v>
      </c>
      <c r="N164" s="160">
        <v>0</v>
      </c>
      <c r="O164" s="160">
        <v>0</v>
      </c>
      <c r="P164" s="195">
        <f t="shared" ref="P164:P197" si="16">SUM(D164:O164)/1000</f>
        <v>487.5</v>
      </c>
      <c r="Q164" s="16" t="b">
        <f t="shared" ref="Q164:AB164" si="17">MID(Q163,7,7)=Q162</f>
        <v>1</v>
      </c>
      <c r="R164" s="16" t="b">
        <f t="shared" si="17"/>
        <v>1</v>
      </c>
      <c r="S164" s="16" t="b">
        <f t="shared" si="17"/>
        <v>1</v>
      </c>
      <c r="T164" s="16" t="b">
        <f t="shared" si="17"/>
        <v>1</v>
      </c>
      <c r="U164" s="16" t="b">
        <f t="shared" si="17"/>
        <v>1</v>
      </c>
      <c r="V164" s="16" t="b">
        <f t="shared" si="17"/>
        <v>1</v>
      </c>
      <c r="W164" s="16" t="b">
        <f t="shared" si="17"/>
        <v>1</v>
      </c>
      <c r="X164" s="16" t="b">
        <f t="shared" si="17"/>
        <v>1</v>
      </c>
      <c r="Y164" s="16" t="b">
        <f t="shared" si="17"/>
        <v>1</v>
      </c>
      <c r="Z164" s="16" t="b">
        <f t="shared" si="17"/>
        <v>1</v>
      </c>
      <c r="AA164" s="16" t="b">
        <f t="shared" si="17"/>
        <v>1</v>
      </c>
      <c r="AB164" s="16" t="b">
        <f t="shared" si="17"/>
        <v>1</v>
      </c>
    </row>
    <row r="165" spans="3:28" ht="12.75" x14ac:dyDescent="0.2">
      <c r="C165" s="159" t="s">
        <v>147</v>
      </c>
      <c r="D165" s="160">
        <v>0</v>
      </c>
      <c r="E165" s="160">
        <v>0</v>
      </c>
      <c r="F165" s="160">
        <v>0</v>
      </c>
      <c r="G165" s="160">
        <v>639600</v>
      </c>
      <c r="H165" s="160">
        <v>0</v>
      </c>
      <c r="I165" s="160">
        <v>0</v>
      </c>
      <c r="J165" s="160">
        <v>0</v>
      </c>
      <c r="K165" s="160">
        <v>199000</v>
      </c>
      <c r="L165" s="160">
        <v>0</v>
      </c>
      <c r="M165" s="160">
        <v>0</v>
      </c>
      <c r="N165" s="160">
        <v>0</v>
      </c>
      <c r="O165" s="160">
        <v>0</v>
      </c>
      <c r="P165" s="195">
        <f t="shared" si="16"/>
        <v>838.6</v>
      </c>
      <c r="Q165" s="16"/>
      <c r="R165" s="16"/>
    </row>
    <row r="166" spans="3:28" ht="12.75" x14ac:dyDescent="0.2">
      <c r="C166" s="159" t="s">
        <v>146</v>
      </c>
      <c r="D166" s="160">
        <v>0</v>
      </c>
      <c r="E166" s="160">
        <v>17000</v>
      </c>
      <c r="F166" s="160">
        <v>3000</v>
      </c>
      <c r="G166" s="160">
        <v>0</v>
      </c>
      <c r="H166" s="160">
        <v>0</v>
      </c>
      <c r="I166" s="160">
        <v>0</v>
      </c>
      <c r="J166" s="160">
        <v>0</v>
      </c>
      <c r="K166" s="160">
        <v>2100000</v>
      </c>
      <c r="L166" s="160">
        <v>0</v>
      </c>
      <c r="M166" s="160">
        <v>0</v>
      </c>
      <c r="N166" s="160">
        <v>0</v>
      </c>
      <c r="O166" s="160">
        <v>0</v>
      </c>
      <c r="P166" s="195">
        <f t="shared" si="16"/>
        <v>2120</v>
      </c>
      <c r="Q166" s="16"/>
      <c r="R166" s="16"/>
    </row>
    <row r="167" spans="3:28" ht="12.75" x14ac:dyDescent="0.2">
      <c r="C167" s="159" t="s">
        <v>145</v>
      </c>
      <c r="D167" s="160">
        <v>0</v>
      </c>
      <c r="E167" s="160">
        <v>0</v>
      </c>
      <c r="F167" s="160">
        <v>0</v>
      </c>
      <c r="G167" s="160">
        <v>0</v>
      </c>
      <c r="H167" s="160">
        <v>0</v>
      </c>
      <c r="I167" s="160">
        <v>0</v>
      </c>
      <c r="J167" s="160">
        <v>0</v>
      </c>
      <c r="K167" s="160">
        <v>0</v>
      </c>
      <c r="L167" s="160">
        <v>0</v>
      </c>
      <c r="M167" s="160">
        <v>0</v>
      </c>
      <c r="N167" s="160">
        <v>0</v>
      </c>
      <c r="O167" s="160">
        <v>0</v>
      </c>
      <c r="P167" s="195">
        <f t="shared" si="16"/>
        <v>0</v>
      </c>
      <c r="Q167" s="16"/>
      <c r="R167" s="16"/>
    </row>
    <row r="168" spans="3:28" ht="12.75" x14ac:dyDescent="0.2">
      <c r="C168" s="159" t="s">
        <v>144</v>
      </c>
      <c r="D168" s="160">
        <v>0</v>
      </c>
      <c r="E168" s="160">
        <v>110000</v>
      </c>
      <c r="F168" s="160">
        <v>0</v>
      </c>
      <c r="G168" s="160">
        <v>33000</v>
      </c>
      <c r="H168" s="160">
        <v>0</v>
      </c>
      <c r="I168" s="160">
        <v>0</v>
      </c>
      <c r="J168" s="160">
        <v>0</v>
      </c>
      <c r="K168" s="160">
        <v>766000</v>
      </c>
      <c r="L168" s="160">
        <v>0</v>
      </c>
      <c r="M168" s="160">
        <v>0</v>
      </c>
      <c r="N168" s="160">
        <v>0</v>
      </c>
      <c r="O168" s="160">
        <v>0</v>
      </c>
      <c r="P168" s="195">
        <f t="shared" si="16"/>
        <v>909</v>
      </c>
      <c r="Q168" s="16"/>
      <c r="R168" s="16"/>
    </row>
    <row r="169" spans="3:28" ht="12.75" x14ac:dyDescent="0.2">
      <c r="C169" s="159" t="s">
        <v>143</v>
      </c>
      <c r="D169" s="160">
        <v>21597</v>
      </c>
      <c r="E169" s="160">
        <v>0</v>
      </c>
      <c r="F169" s="160">
        <v>0</v>
      </c>
      <c r="G169" s="160">
        <v>1491826</v>
      </c>
      <c r="H169" s="160">
        <v>15220</v>
      </c>
      <c r="I169" s="160">
        <v>40680</v>
      </c>
      <c r="J169" s="160">
        <v>6336000</v>
      </c>
      <c r="K169" s="160">
        <v>20000000</v>
      </c>
      <c r="L169" s="160">
        <v>0</v>
      </c>
      <c r="M169" s="160">
        <v>0</v>
      </c>
      <c r="N169" s="160">
        <v>0</v>
      </c>
      <c r="O169" s="160">
        <v>0</v>
      </c>
      <c r="P169" s="195">
        <f t="shared" si="16"/>
        <v>27905.323</v>
      </c>
      <c r="Q169" s="16"/>
      <c r="R169" s="16"/>
    </row>
    <row r="170" spans="3:28" ht="12.75" x14ac:dyDescent="0.2">
      <c r="C170" s="159" t="s">
        <v>142</v>
      </c>
      <c r="D170" s="160">
        <v>0</v>
      </c>
      <c r="E170" s="160">
        <v>0</v>
      </c>
      <c r="F170" s="160">
        <v>515890</v>
      </c>
      <c r="G170" s="160">
        <v>0</v>
      </c>
      <c r="H170" s="160">
        <v>294330</v>
      </c>
      <c r="I170" s="160">
        <v>0</v>
      </c>
      <c r="J170" s="160">
        <v>7359000</v>
      </c>
      <c r="K170" s="160">
        <v>977000</v>
      </c>
      <c r="L170" s="160">
        <v>0</v>
      </c>
      <c r="M170" s="160">
        <v>0</v>
      </c>
      <c r="N170" s="160">
        <v>0</v>
      </c>
      <c r="O170" s="160">
        <v>0</v>
      </c>
      <c r="P170" s="195">
        <f t="shared" si="16"/>
        <v>9146.2199999999993</v>
      </c>
      <c r="Q170" s="16"/>
      <c r="R170" s="16"/>
    </row>
    <row r="171" spans="3:28" ht="12.75" x14ac:dyDescent="0.2">
      <c r="C171" s="159" t="s">
        <v>141</v>
      </c>
      <c r="D171" s="160">
        <v>0</v>
      </c>
      <c r="E171" s="160">
        <v>0</v>
      </c>
      <c r="F171" s="160">
        <v>0</v>
      </c>
      <c r="G171" s="160">
        <v>0</v>
      </c>
      <c r="H171" s="160">
        <v>0</v>
      </c>
      <c r="I171" s="160">
        <v>0</v>
      </c>
      <c r="J171" s="160">
        <v>0</v>
      </c>
      <c r="K171" s="160">
        <v>0</v>
      </c>
      <c r="L171" s="160">
        <v>0</v>
      </c>
      <c r="M171" s="160">
        <v>0</v>
      </c>
      <c r="N171" s="160">
        <v>0</v>
      </c>
      <c r="O171" s="160">
        <v>0</v>
      </c>
      <c r="P171" s="195">
        <f t="shared" si="16"/>
        <v>0</v>
      </c>
      <c r="Q171" s="16"/>
      <c r="R171" s="16"/>
    </row>
    <row r="172" spans="3:28" ht="12.75" x14ac:dyDescent="0.2">
      <c r="C172" s="159" t="s">
        <v>140</v>
      </c>
      <c r="D172" s="160">
        <v>145000</v>
      </c>
      <c r="E172" s="160">
        <v>0</v>
      </c>
      <c r="F172" s="160">
        <v>0</v>
      </c>
      <c r="G172" s="160">
        <v>0</v>
      </c>
      <c r="H172" s="160">
        <v>34000</v>
      </c>
      <c r="I172" s="160">
        <v>500</v>
      </c>
      <c r="J172" s="160">
        <v>13832000</v>
      </c>
      <c r="K172" s="160">
        <v>23439</v>
      </c>
      <c r="L172" s="160">
        <v>0</v>
      </c>
      <c r="M172" s="160">
        <v>0</v>
      </c>
      <c r="N172" s="160">
        <v>0</v>
      </c>
      <c r="O172" s="160">
        <v>0</v>
      </c>
      <c r="P172" s="195">
        <f t="shared" si="16"/>
        <v>14034.939</v>
      </c>
      <c r="Q172" s="16"/>
      <c r="R172" s="16"/>
    </row>
    <row r="173" spans="3:28" ht="12.75" x14ac:dyDescent="0.2">
      <c r="C173" s="159" t="s">
        <v>139</v>
      </c>
      <c r="D173" s="160">
        <v>0</v>
      </c>
      <c r="E173" s="160">
        <v>0</v>
      </c>
      <c r="F173" s="160">
        <v>0</v>
      </c>
      <c r="G173" s="160">
        <v>0</v>
      </c>
      <c r="H173" s="160">
        <v>0</v>
      </c>
      <c r="I173" s="160">
        <v>0</v>
      </c>
      <c r="J173" s="160">
        <v>0</v>
      </c>
      <c r="K173" s="160">
        <v>0</v>
      </c>
      <c r="L173" s="160">
        <v>0</v>
      </c>
      <c r="M173" s="160">
        <v>0</v>
      </c>
      <c r="N173" s="160">
        <v>0</v>
      </c>
      <c r="O173" s="160">
        <v>0</v>
      </c>
      <c r="P173" s="195">
        <f t="shared" si="16"/>
        <v>0</v>
      </c>
      <c r="Q173" s="16"/>
      <c r="R173" s="16"/>
    </row>
    <row r="174" spans="3:28" ht="12.75" x14ac:dyDescent="0.2">
      <c r="C174" s="159" t="s">
        <v>138</v>
      </c>
      <c r="D174" s="160">
        <v>0</v>
      </c>
      <c r="E174" s="160">
        <v>0</v>
      </c>
      <c r="F174" s="160">
        <v>0</v>
      </c>
      <c r="G174" s="160">
        <v>0</v>
      </c>
      <c r="H174" s="160">
        <v>0</v>
      </c>
      <c r="I174" s="160">
        <v>11099</v>
      </c>
      <c r="J174" s="160">
        <v>7922000</v>
      </c>
      <c r="K174" s="160">
        <v>0</v>
      </c>
      <c r="L174" s="160">
        <v>0</v>
      </c>
      <c r="M174" s="160">
        <v>1007401</v>
      </c>
      <c r="N174" s="160">
        <v>0</v>
      </c>
      <c r="O174" s="160">
        <v>0</v>
      </c>
      <c r="P174" s="195">
        <f t="shared" si="16"/>
        <v>8940.5</v>
      </c>
      <c r="Q174" s="16"/>
      <c r="R174" s="16"/>
    </row>
    <row r="175" spans="3:28" ht="12.75" x14ac:dyDescent="0.2">
      <c r="C175" s="159" t="s">
        <v>137</v>
      </c>
      <c r="D175" s="160">
        <v>0</v>
      </c>
      <c r="E175" s="160">
        <v>0</v>
      </c>
      <c r="F175" s="160">
        <v>5000</v>
      </c>
      <c r="G175" s="160">
        <v>1600</v>
      </c>
      <c r="H175" s="160">
        <v>63400</v>
      </c>
      <c r="I175" s="160">
        <v>0</v>
      </c>
      <c r="J175" s="160">
        <v>1864000</v>
      </c>
      <c r="K175" s="160">
        <v>255000</v>
      </c>
      <c r="L175" s="160">
        <v>0</v>
      </c>
      <c r="M175" s="160">
        <v>0</v>
      </c>
      <c r="N175" s="160">
        <v>0</v>
      </c>
      <c r="O175" s="160">
        <v>0</v>
      </c>
      <c r="P175" s="195">
        <f t="shared" si="16"/>
        <v>2189</v>
      </c>
      <c r="Q175" s="16"/>
      <c r="R175" s="16"/>
      <c r="S175" s="196"/>
    </row>
    <row r="176" spans="3:28" ht="12.75" x14ac:dyDescent="0.2">
      <c r="C176" s="159" t="s">
        <v>136</v>
      </c>
      <c r="D176" s="160">
        <v>0</v>
      </c>
      <c r="E176" s="160">
        <v>87000</v>
      </c>
      <c r="F176" s="160">
        <v>0</v>
      </c>
      <c r="G176" s="160">
        <v>0</v>
      </c>
      <c r="H176" s="160">
        <v>0</v>
      </c>
      <c r="I176" s="160">
        <v>0</v>
      </c>
      <c r="J176" s="160">
        <v>0</v>
      </c>
      <c r="K176" s="160">
        <v>700000</v>
      </c>
      <c r="L176" s="160">
        <v>0</v>
      </c>
      <c r="M176" s="160">
        <v>389000</v>
      </c>
      <c r="N176" s="160">
        <v>0</v>
      </c>
      <c r="O176" s="160">
        <v>0</v>
      </c>
      <c r="P176" s="195">
        <f t="shared" si="16"/>
        <v>1176</v>
      </c>
      <c r="Q176" s="16"/>
      <c r="R176" s="16"/>
      <c r="W176" s="2"/>
      <c r="X176" s="2"/>
      <c r="Y176" s="2"/>
      <c r="Z176" s="2"/>
      <c r="AA176" s="2"/>
      <c r="AB176" s="2"/>
    </row>
    <row r="177" spans="3:28" ht="12.75" x14ac:dyDescent="0.2">
      <c r="C177" s="159" t="s">
        <v>135</v>
      </c>
      <c r="D177" s="160">
        <v>0</v>
      </c>
      <c r="E177" s="160">
        <v>0</v>
      </c>
      <c r="F177" s="160">
        <v>0</v>
      </c>
      <c r="G177" s="160">
        <v>0</v>
      </c>
      <c r="H177" s="160">
        <v>0</v>
      </c>
      <c r="I177" s="160">
        <v>0</v>
      </c>
      <c r="J177" s="160">
        <v>3506526</v>
      </c>
      <c r="K177" s="160">
        <v>0</v>
      </c>
      <c r="L177" s="160">
        <v>0</v>
      </c>
      <c r="M177" s="160">
        <v>0</v>
      </c>
      <c r="N177" s="160">
        <v>1505000</v>
      </c>
      <c r="O177" s="160">
        <v>0</v>
      </c>
      <c r="P177" s="195">
        <f t="shared" si="16"/>
        <v>5011.5259999999998</v>
      </c>
      <c r="Q177" s="16"/>
      <c r="R177" s="16"/>
      <c r="W177" s="2"/>
      <c r="X177" s="2"/>
      <c r="Y177" s="2"/>
      <c r="Z177" s="2"/>
      <c r="AA177" s="2"/>
      <c r="AB177" s="2"/>
    </row>
    <row r="178" spans="3:28" ht="12.75" x14ac:dyDescent="0.2">
      <c r="C178" s="159" t="s">
        <v>134</v>
      </c>
      <c r="D178" s="160">
        <v>0</v>
      </c>
      <c r="E178" s="160">
        <v>0</v>
      </c>
      <c r="F178" s="160">
        <v>0</v>
      </c>
      <c r="G178" s="160">
        <v>1600000</v>
      </c>
      <c r="H178" s="160">
        <v>0</v>
      </c>
      <c r="I178" s="160">
        <v>210000</v>
      </c>
      <c r="J178" s="160">
        <v>2709000</v>
      </c>
      <c r="K178" s="160">
        <v>1963000</v>
      </c>
      <c r="L178" s="160">
        <v>0</v>
      </c>
      <c r="M178" s="160">
        <v>0</v>
      </c>
      <c r="N178" s="160">
        <v>0</v>
      </c>
      <c r="O178" s="160">
        <v>71000</v>
      </c>
      <c r="P178" s="195">
        <f t="shared" si="16"/>
        <v>6553</v>
      </c>
      <c r="Q178" s="16"/>
      <c r="R178" s="16"/>
      <c r="W178" s="2"/>
      <c r="X178" s="2"/>
      <c r="Y178" s="2"/>
      <c r="Z178" s="2"/>
      <c r="AA178" s="2"/>
      <c r="AB178" s="2"/>
    </row>
    <row r="179" spans="3:28" ht="12.75" x14ac:dyDescent="0.2">
      <c r="C179" s="159" t="s">
        <v>133</v>
      </c>
      <c r="D179" s="160">
        <v>0</v>
      </c>
      <c r="E179" s="160">
        <v>0</v>
      </c>
      <c r="F179" s="160">
        <v>0</v>
      </c>
      <c r="G179" s="160">
        <v>0</v>
      </c>
      <c r="H179" s="160">
        <v>0</v>
      </c>
      <c r="I179" s="160">
        <v>5700</v>
      </c>
      <c r="J179" s="160">
        <v>0</v>
      </c>
      <c r="K179" s="160">
        <v>41500</v>
      </c>
      <c r="L179" s="160">
        <v>5000</v>
      </c>
      <c r="M179" s="160">
        <v>0</v>
      </c>
      <c r="N179" s="160">
        <v>0</v>
      </c>
      <c r="O179" s="160">
        <v>0</v>
      </c>
      <c r="P179" s="195">
        <f t="shared" si="16"/>
        <v>52.2</v>
      </c>
      <c r="Q179" s="16"/>
      <c r="R179" s="16"/>
    </row>
    <row r="180" spans="3:28" ht="12.75" x14ac:dyDescent="0.2">
      <c r="C180" s="159" t="s">
        <v>132</v>
      </c>
      <c r="D180" s="160">
        <v>0</v>
      </c>
      <c r="E180" s="160">
        <v>0</v>
      </c>
      <c r="F180" s="160">
        <v>0</v>
      </c>
      <c r="G180" s="160">
        <v>0</v>
      </c>
      <c r="H180" s="160">
        <v>0</v>
      </c>
      <c r="I180" s="160">
        <v>0</v>
      </c>
      <c r="J180" s="160">
        <v>0</v>
      </c>
      <c r="K180" s="160">
        <v>0</v>
      </c>
      <c r="L180" s="160">
        <v>0</v>
      </c>
      <c r="M180" s="160">
        <v>0</v>
      </c>
      <c r="N180" s="160">
        <v>0</v>
      </c>
      <c r="O180" s="160">
        <v>0</v>
      </c>
      <c r="P180" s="195">
        <f t="shared" si="16"/>
        <v>0</v>
      </c>
      <c r="Q180" s="16"/>
      <c r="R180" s="16"/>
    </row>
    <row r="181" spans="3:28" ht="12.75" x14ac:dyDescent="0.2">
      <c r="C181" s="159" t="s">
        <v>131</v>
      </c>
      <c r="D181" s="160">
        <v>0</v>
      </c>
      <c r="E181" s="160">
        <v>0</v>
      </c>
      <c r="F181" s="160">
        <v>0</v>
      </c>
      <c r="G181" s="160">
        <v>0</v>
      </c>
      <c r="H181" s="160">
        <v>0</v>
      </c>
      <c r="I181" s="160">
        <v>0</v>
      </c>
      <c r="J181" s="160">
        <v>265000</v>
      </c>
      <c r="K181" s="160">
        <v>404000</v>
      </c>
      <c r="L181" s="160">
        <v>0</v>
      </c>
      <c r="M181" s="160">
        <v>0</v>
      </c>
      <c r="N181" s="160">
        <v>0</v>
      </c>
      <c r="O181" s="160">
        <v>0</v>
      </c>
      <c r="P181" s="195">
        <f t="shared" si="16"/>
        <v>669</v>
      </c>
      <c r="Q181" s="16"/>
      <c r="R181" s="16"/>
    </row>
    <row r="182" spans="3:28" ht="12.75" x14ac:dyDescent="0.2">
      <c r="C182" s="159" t="s">
        <v>130</v>
      </c>
      <c r="D182" s="160">
        <v>0</v>
      </c>
      <c r="E182" s="160">
        <v>0</v>
      </c>
      <c r="F182" s="160">
        <v>0</v>
      </c>
      <c r="G182" s="160">
        <v>0</v>
      </c>
      <c r="H182" s="160">
        <v>0</v>
      </c>
      <c r="I182" s="160">
        <v>0</v>
      </c>
      <c r="J182" s="160">
        <v>0</v>
      </c>
      <c r="K182" s="160">
        <v>0</v>
      </c>
      <c r="L182" s="160">
        <v>0</v>
      </c>
      <c r="M182" s="160">
        <v>0</v>
      </c>
      <c r="N182" s="160">
        <v>0</v>
      </c>
      <c r="O182" s="160">
        <v>0</v>
      </c>
      <c r="P182" s="195">
        <f t="shared" si="16"/>
        <v>0</v>
      </c>
      <c r="Q182" s="16"/>
      <c r="R182" s="16"/>
    </row>
    <row r="183" spans="3:28" ht="12.75" x14ac:dyDescent="0.2">
      <c r="C183" s="159" t="s">
        <v>129</v>
      </c>
      <c r="D183" s="160">
        <v>0</v>
      </c>
      <c r="E183" s="160">
        <v>0</v>
      </c>
      <c r="F183" s="160">
        <v>1160000</v>
      </c>
      <c r="G183" s="160">
        <v>2038720</v>
      </c>
      <c r="H183" s="160">
        <v>14660</v>
      </c>
      <c r="I183" s="160">
        <v>20340</v>
      </c>
      <c r="J183" s="160">
        <v>680000</v>
      </c>
      <c r="K183" s="160">
        <v>680000</v>
      </c>
      <c r="L183" s="160">
        <v>0</v>
      </c>
      <c r="M183" s="160">
        <v>0</v>
      </c>
      <c r="N183" s="160">
        <v>0</v>
      </c>
      <c r="O183" s="160">
        <v>0</v>
      </c>
      <c r="P183" s="195">
        <f t="shared" si="16"/>
        <v>4593.72</v>
      </c>
      <c r="Q183" s="16"/>
      <c r="R183" s="16"/>
    </row>
    <row r="184" spans="3:28" ht="12.75" x14ac:dyDescent="0.2">
      <c r="C184" s="159" t="s">
        <v>128</v>
      </c>
      <c r="D184" s="160">
        <v>0</v>
      </c>
      <c r="E184" s="160">
        <v>115000</v>
      </c>
      <c r="F184" s="160">
        <v>0</v>
      </c>
      <c r="G184" s="160">
        <v>0</v>
      </c>
      <c r="H184" s="160">
        <v>0</v>
      </c>
      <c r="I184" s="160">
        <v>682270</v>
      </c>
      <c r="J184" s="160">
        <v>1637000</v>
      </c>
      <c r="K184" s="160">
        <v>3522600</v>
      </c>
      <c r="L184" s="160">
        <v>0</v>
      </c>
      <c r="M184" s="160">
        <v>82060</v>
      </c>
      <c r="N184" s="160">
        <v>0</v>
      </c>
      <c r="O184" s="160">
        <v>0</v>
      </c>
      <c r="P184" s="195">
        <f t="shared" si="16"/>
        <v>6038.93</v>
      </c>
      <c r="Q184" s="16"/>
      <c r="R184" s="16"/>
    </row>
    <row r="185" spans="3:28" ht="12.75" x14ac:dyDescent="0.2">
      <c r="C185" s="159" t="s">
        <v>127</v>
      </c>
      <c r="D185" s="160">
        <v>0</v>
      </c>
      <c r="E185" s="160">
        <v>0</v>
      </c>
      <c r="F185" s="160">
        <v>0</v>
      </c>
      <c r="G185" s="160">
        <v>0</v>
      </c>
      <c r="H185" s="160">
        <v>0</v>
      </c>
      <c r="I185" s="160">
        <v>0</v>
      </c>
      <c r="J185" s="160">
        <v>5390000</v>
      </c>
      <c r="K185" s="160">
        <v>2310000</v>
      </c>
      <c r="L185" s="160">
        <v>0</v>
      </c>
      <c r="M185" s="160">
        <v>0</v>
      </c>
      <c r="N185" s="160">
        <v>0</v>
      </c>
      <c r="O185" s="160">
        <v>0</v>
      </c>
      <c r="P185" s="195">
        <f t="shared" si="16"/>
        <v>7700</v>
      </c>
      <c r="Q185" s="16"/>
      <c r="R185" s="16"/>
    </row>
    <row r="186" spans="3:28" ht="12.75" x14ac:dyDescent="0.2">
      <c r="C186" s="159" t="s">
        <v>126</v>
      </c>
      <c r="D186" s="160">
        <v>0</v>
      </c>
      <c r="E186" s="160">
        <v>0</v>
      </c>
      <c r="F186" s="160">
        <v>0</v>
      </c>
      <c r="G186" s="160">
        <v>1272000</v>
      </c>
      <c r="H186" s="160">
        <v>0</v>
      </c>
      <c r="I186" s="160">
        <v>234590</v>
      </c>
      <c r="J186" s="160">
        <v>1020000</v>
      </c>
      <c r="K186" s="160">
        <v>7500000</v>
      </c>
      <c r="L186" s="160">
        <v>0</v>
      </c>
      <c r="M186" s="160">
        <v>16000</v>
      </c>
      <c r="N186" s="160">
        <v>0</v>
      </c>
      <c r="O186" s="160">
        <v>0</v>
      </c>
      <c r="P186" s="195">
        <f t="shared" si="16"/>
        <v>10042.59</v>
      </c>
      <c r="Q186" s="16"/>
      <c r="R186" s="16"/>
    </row>
    <row r="187" spans="3:28" ht="12.75" x14ac:dyDescent="0.2">
      <c r="C187" s="159" t="s">
        <v>125</v>
      </c>
      <c r="D187" s="160">
        <v>0</v>
      </c>
      <c r="E187" s="160">
        <v>0</v>
      </c>
      <c r="F187" s="160">
        <v>0</v>
      </c>
      <c r="G187" s="160">
        <v>0</v>
      </c>
      <c r="H187" s="160">
        <v>0</v>
      </c>
      <c r="I187" s="160">
        <v>0</v>
      </c>
      <c r="J187" s="160">
        <v>2250000</v>
      </c>
      <c r="K187" s="160">
        <v>0</v>
      </c>
      <c r="L187" s="160">
        <v>0</v>
      </c>
      <c r="M187" s="160">
        <v>0</v>
      </c>
      <c r="N187" s="160">
        <v>0</v>
      </c>
      <c r="O187" s="160">
        <v>0</v>
      </c>
      <c r="P187" s="195">
        <f t="shared" si="16"/>
        <v>2250</v>
      </c>
      <c r="Q187" s="16"/>
      <c r="R187" s="16"/>
    </row>
    <row r="188" spans="3:28" ht="12.75" x14ac:dyDescent="0.2">
      <c r="C188" s="159" t="s">
        <v>124</v>
      </c>
      <c r="D188" s="160">
        <v>0</v>
      </c>
      <c r="E188" s="160">
        <v>0</v>
      </c>
      <c r="F188" s="160">
        <v>0</v>
      </c>
      <c r="G188" s="160">
        <v>5800</v>
      </c>
      <c r="H188" s="160">
        <v>0</v>
      </c>
      <c r="I188" s="160">
        <v>440</v>
      </c>
      <c r="J188" s="160">
        <v>0</v>
      </c>
      <c r="K188" s="160">
        <v>92000</v>
      </c>
      <c r="L188" s="160">
        <v>0</v>
      </c>
      <c r="M188" s="160">
        <v>0</v>
      </c>
      <c r="N188" s="160">
        <v>0</v>
      </c>
      <c r="O188" s="160">
        <v>0</v>
      </c>
      <c r="P188" s="195">
        <f t="shared" si="16"/>
        <v>98.24</v>
      </c>
      <c r="Q188" s="16"/>
      <c r="R188" s="16"/>
    </row>
    <row r="189" spans="3:28" ht="12.75" x14ac:dyDescent="0.2">
      <c r="C189" s="159" t="s">
        <v>123</v>
      </c>
      <c r="D189" s="160">
        <v>0</v>
      </c>
      <c r="E189" s="160">
        <v>0</v>
      </c>
      <c r="F189" s="160">
        <v>0</v>
      </c>
      <c r="G189" s="160">
        <v>0</v>
      </c>
      <c r="H189" s="160">
        <v>0</v>
      </c>
      <c r="I189" s="160">
        <v>0</v>
      </c>
      <c r="J189" s="160">
        <v>0</v>
      </c>
      <c r="K189" s="160">
        <v>1716000</v>
      </c>
      <c r="L189" s="160">
        <v>0</v>
      </c>
      <c r="M189" s="160">
        <v>0</v>
      </c>
      <c r="N189" s="160">
        <v>0</v>
      </c>
      <c r="O189" s="160">
        <v>0</v>
      </c>
      <c r="P189" s="195">
        <f t="shared" si="16"/>
        <v>1716</v>
      </c>
      <c r="Q189" s="16"/>
      <c r="R189" s="16"/>
    </row>
    <row r="190" spans="3:28" ht="12.75" x14ac:dyDescent="0.2">
      <c r="C190" s="159" t="s">
        <v>122</v>
      </c>
      <c r="D190" s="160">
        <v>0</v>
      </c>
      <c r="E190" s="160">
        <v>0</v>
      </c>
      <c r="F190" s="160">
        <v>6390570</v>
      </c>
      <c r="G190" s="160">
        <v>0</v>
      </c>
      <c r="H190" s="160">
        <v>3553160</v>
      </c>
      <c r="I190" s="160">
        <v>0</v>
      </c>
      <c r="J190" s="160">
        <v>20533000</v>
      </c>
      <c r="K190" s="160">
        <v>0</v>
      </c>
      <c r="L190" s="160">
        <v>0</v>
      </c>
      <c r="M190" s="160">
        <v>0</v>
      </c>
      <c r="N190" s="160">
        <v>0</v>
      </c>
      <c r="O190" s="160">
        <v>0</v>
      </c>
      <c r="P190" s="195">
        <f t="shared" si="16"/>
        <v>30476.73</v>
      </c>
      <c r="Q190" s="16"/>
      <c r="R190" s="16"/>
    </row>
    <row r="191" spans="3:28" ht="12.75" x14ac:dyDescent="0.2">
      <c r="C191" s="159" t="s">
        <v>121</v>
      </c>
      <c r="D191" s="160">
        <v>0</v>
      </c>
      <c r="E191" s="160">
        <v>0</v>
      </c>
      <c r="F191" s="160">
        <v>0</v>
      </c>
      <c r="G191" s="160">
        <v>0</v>
      </c>
      <c r="H191" s="160">
        <v>0</v>
      </c>
      <c r="I191" s="160">
        <v>0</v>
      </c>
      <c r="J191" s="160">
        <v>0</v>
      </c>
      <c r="K191" s="160">
        <v>0</v>
      </c>
      <c r="L191" s="160">
        <v>0</v>
      </c>
      <c r="M191" s="160">
        <v>0</v>
      </c>
      <c r="N191" s="160">
        <v>0</v>
      </c>
      <c r="O191" s="160">
        <v>0</v>
      </c>
      <c r="P191" s="195">
        <f t="shared" si="16"/>
        <v>0</v>
      </c>
      <c r="Q191" s="16"/>
      <c r="R191" s="16"/>
    </row>
    <row r="192" spans="3:28" ht="12.75" x14ac:dyDescent="0.2">
      <c r="C192" s="159" t="s">
        <v>120</v>
      </c>
      <c r="D192" s="160">
        <v>0</v>
      </c>
      <c r="E192" s="160">
        <v>0</v>
      </c>
      <c r="F192" s="160">
        <v>0</v>
      </c>
      <c r="G192" s="160">
        <v>0</v>
      </c>
      <c r="H192" s="160">
        <v>0</v>
      </c>
      <c r="I192" s="160">
        <v>0</v>
      </c>
      <c r="J192" s="160">
        <v>0</v>
      </c>
      <c r="K192" s="160">
        <v>0</v>
      </c>
      <c r="L192" s="160">
        <v>0</v>
      </c>
      <c r="M192" s="160">
        <v>0</v>
      </c>
      <c r="N192" s="160">
        <v>0</v>
      </c>
      <c r="O192" s="160">
        <v>0</v>
      </c>
      <c r="P192" s="195">
        <f t="shared" si="16"/>
        <v>0</v>
      </c>
      <c r="Q192" s="16"/>
      <c r="R192" s="16"/>
    </row>
    <row r="193" spans="3:18" ht="12.75" x14ac:dyDescent="0.2">
      <c r="C193" s="159" t="s">
        <v>119</v>
      </c>
      <c r="D193" s="160">
        <v>0</v>
      </c>
      <c r="E193" s="160">
        <v>0</v>
      </c>
      <c r="F193" s="160">
        <v>0</v>
      </c>
      <c r="G193" s="160">
        <v>0</v>
      </c>
      <c r="H193" s="160">
        <v>0</v>
      </c>
      <c r="I193" s="160">
        <v>0</v>
      </c>
      <c r="J193" s="160">
        <v>26031000</v>
      </c>
      <c r="K193" s="160">
        <v>0</v>
      </c>
      <c r="L193" s="160">
        <v>0</v>
      </c>
      <c r="M193" s="160">
        <v>0</v>
      </c>
      <c r="N193" s="160">
        <v>3157000</v>
      </c>
      <c r="O193" s="160">
        <v>0</v>
      </c>
      <c r="P193" s="195">
        <f t="shared" si="16"/>
        <v>29188</v>
      </c>
      <c r="Q193" s="16"/>
      <c r="R193" s="16"/>
    </row>
    <row r="194" spans="3:18" ht="12.75" x14ac:dyDescent="0.2">
      <c r="C194" s="159" t="s">
        <v>118</v>
      </c>
      <c r="D194" s="160">
        <v>0</v>
      </c>
      <c r="E194" s="160">
        <v>0</v>
      </c>
      <c r="F194" s="160">
        <v>0</v>
      </c>
      <c r="G194" s="160">
        <v>0</v>
      </c>
      <c r="H194" s="160">
        <v>0</v>
      </c>
      <c r="I194" s="160">
        <v>0</v>
      </c>
      <c r="J194" s="160">
        <v>200000</v>
      </c>
      <c r="K194" s="160">
        <v>2710000</v>
      </c>
      <c r="L194" s="160">
        <v>0</v>
      </c>
      <c r="M194" s="160">
        <v>188830</v>
      </c>
      <c r="N194" s="160">
        <v>0</v>
      </c>
      <c r="O194" s="160">
        <v>0</v>
      </c>
      <c r="P194" s="195">
        <f t="shared" si="16"/>
        <v>3098.83</v>
      </c>
      <c r="Q194" s="16"/>
      <c r="R194" s="16"/>
    </row>
    <row r="195" spans="3:18" ht="12.75" x14ac:dyDescent="0.2">
      <c r="C195" s="159" t="s">
        <v>117</v>
      </c>
      <c r="D195" s="160">
        <v>0</v>
      </c>
      <c r="E195" s="160">
        <v>0</v>
      </c>
      <c r="F195" s="160">
        <v>0</v>
      </c>
      <c r="G195" s="160">
        <v>0</v>
      </c>
      <c r="H195" s="160">
        <v>0</v>
      </c>
      <c r="I195" s="160">
        <v>0</v>
      </c>
      <c r="J195" s="160">
        <v>0</v>
      </c>
      <c r="K195" s="160">
        <v>20000</v>
      </c>
      <c r="L195" s="160">
        <v>0</v>
      </c>
      <c r="M195" s="160">
        <v>111000</v>
      </c>
      <c r="N195" s="160">
        <v>0</v>
      </c>
      <c r="O195" s="160">
        <v>0</v>
      </c>
      <c r="P195" s="195">
        <f t="shared" si="16"/>
        <v>131</v>
      </c>
      <c r="Q195" s="16"/>
      <c r="R195" s="16"/>
    </row>
    <row r="196" spans="3:18" ht="12.75" x14ac:dyDescent="0.2">
      <c r="C196" s="159" t="s">
        <v>116</v>
      </c>
      <c r="D196" s="160">
        <v>0</v>
      </c>
      <c r="E196" s="160">
        <v>0</v>
      </c>
      <c r="F196" s="160">
        <v>0</v>
      </c>
      <c r="G196" s="160">
        <v>0</v>
      </c>
      <c r="H196" s="160">
        <v>0</v>
      </c>
      <c r="I196" s="160">
        <v>0</v>
      </c>
      <c r="J196" s="160">
        <v>0</v>
      </c>
      <c r="K196" s="161">
        <v>296062.36489999999</v>
      </c>
      <c r="L196" s="160">
        <v>0</v>
      </c>
      <c r="M196" s="160">
        <v>0</v>
      </c>
      <c r="N196" s="160">
        <v>0</v>
      </c>
      <c r="O196" s="160">
        <v>0</v>
      </c>
      <c r="P196" s="195">
        <f t="shared" si="16"/>
        <v>296.06236489999998</v>
      </c>
      <c r="Q196" s="16"/>
      <c r="R196" s="16"/>
    </row>
    <row r="197" spans="3:18" ht="12.75" x14ac:dyDescent="0.2">
      <c r="C197" s="159" t="s">
        <v>115</v>
      </c>
      <c r="D197" s="160">
        <v>0</v>
      </c>
      <c r="E197" s="160">
        <v>0</v>
      </c>
      <c r="F197" s="160">
        <v>0</v>
      </c>
      <c r="G197" s="160">
        <v>0</v>
      </c>
      <c r="H197" s="160">
        <v>0</v>
      </c>
      <c r="I197" s="160">
        <v>0</v>
      </c>
      <c r="J197" s="160">
        <v>0</v>
      </c>
      <c r="K197" s="160">
        <v>1050000</v>
      </c>
      <c r="L197" s="160">
        <v>0</v>
      </c>
      <c r="M197" s="160">
        <v>0</v>
      </c>
      <c r="N197" s="160">
        <v>0</v>
      </c>
      <c r="O197" s="160">
        <v>0</v>
      </c>
      <c r="P197" s="195">
        <f t="shared" si="16"/>
        <v>1050</v>
      </c>
      <c r="Q197" s="16"/>
      <c r="R197" s="16"/>
    </row>
    <row r="198" spans="3:18" x14ac:dyDescent="0.2"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28">
        <f>SUM(P164:P197)</f>
        <v>176712.91036489996</v>
      </c>
      <c r="R198" s="28">
        <f>SUM(AP17:AR17)</f>
        <v>0</v>
      </c>
    </row>
  </sheetData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BEC1-5052-4A55-B09B-0973E40846E5}">
  <dimension ref="A1:P90"/>
  <sheetViews>
    <sheetView workbookViewId="0">
      <selection activeCell="D56" sqref="D56"/>
    </sheetView>
  </sheetViews>
  <sheetFormatPr defaultColWidth="8.85546875" defaultRowHeight="11.25" x14ac:dyDescent="0.2"/>
  <cols>
    <col min="1" max="1" width="8.85546875" style="1"/>
    <col min="2" max="2" width="33.28515625" style="1" customWidth="1"/>
    <col min="3" max="3" width="18" style="1" customWidth="1"/>
    <col min="4" max="4" width="12.7109375" style="1" customWidth="1"/>
    <col min="5" max="5" width="13.28515625" style="1" customWidth="1"/>
    <col min="6" max="16384" width="8.85546875" style="1"/>
  </cols>
  <sheetData>
    <row r="1" spans="1:16" s="83" customFormat="1" ht="15" x14ac:dyDescent="0.25">
      <c r="B1" s="83" t="s">
        <v>190</v>
      </c>
      <c r="E1" s="84"/>
      <c r="H1" s="133"/>
      <c r="P1" s="84"/>
    </row>
    <row r="5" spans="1:16" ht="12" x14ac:dyDescent="0.2">
      <c r="B5" s="85" t="s">
        <v>69</v>
      </c>
      <c r="C5" s="86"/>
      <c r="D5" s="87"/>
      <c r="E5" s="87"/>
      <c r="F5" s="87"/>
      <c r="G5" s="87"/>
    </row>
    <row r="6" spans="1:16" ht="12.75" thickBot="1" x14ac:dyDescent="0.25">
      <c r="B6" s="88" t="s">
        <v>151</v>
      </c>
      <c r="C6" s="88" t="s">
        <v>5</v>
      </c>
      <c r="D6" s="88" t="s">
        <v>67</v>
      </c>
      <c r="E6" s="88" t="s">
        <v>64</v>
      </c>
      <c r="F6" s="88" t="s">
        <v>4</v>
      </c>
      <c r="G6" s="89" t="s">
        <v>65</v>
      </c>
    </row>
    <row r="7" spans="1:16" ht="12" x14ac:dyDescent="0.2">
      <c r="B7" s="90"/>
      <c r="C7" s="90" t="s">
        <v>189</v>
      </c>
      <c r="D7" s="90"/>
      <c r="E7" s="90" t="s">
        <v>23</v>
      </c>
      <c r="F7" s="90"/>
      <c r="G7" s="132">
        <v>2030</v>
      </c>
    </row>
    <row r="8" spans="1:16" ht="12" x14ac:dyDescent="0.2">
      <c r="B8" s="90"/>
      <c r="C8" s="90" t="s">
        <v>188</v>
      </c>
      <c r="D8" s="90"/>
      <c r="E8" s="90" t="s">
        <v>23</v>
      </c>
      <c r="F8" s="90"/>
      <c r="G8" s="132">
        <v>2070</v>
      </c>
    </row>
    <row r="9" spans="1:16" ht="12" x14ac:dyDescent="0.2">
      <c r="B9" s="90"/>
      <c r="C9" s="90" t="s">
        <v>187</v>
      </c>
      <c r="D9" s="90"/>
      <c r="E9" s="90" t="s">
        <v>23</v>
      </c>
      <c r="F9" s="90"/>
      <c r="G9" s="132">
        <v>2030</v>
      </c>
    </row>
    <row r="12" spans="1:16" ht="12" x14ac:dyDescent="0.2">
      <c r="A12" s="76"/>
      <c r="B12" s="76"/>
      <c r="C12" s="76"/>
      <c r="D12" s="76"/>
      <c r="E12" s="76"/>
      <c r="F12" s="76"/>
      <c r="G12" s="76"/>
      <c r="H12" s="76"/>
      <c r="I12" s="136"/>
      <c r="J12" s="136"/>
      <c r="K12" s="73"/>
    </row>
    <row r="13" spans="1:16" ht="12" x14ac:dyDescent="0.2">
      <c r="A13" s="76"/>
      <c r="B13" s="76"/>
      <c r="C13" s="76"/>
      <c r="D13" s="76"/>
      <c r="E13" s="76"/>
      <c r="F13" s="76"/>
      <c r="G13" s="76"/>
      <c r="H13" s="76"/>
      <c r="I13" s="136"/>
      <c r="J13" s="136"/>
      <c r="K13" s="73"/>
    </row>
    <row r="14" spans="1:16" ht="12.75" x14ac:dyDescent="0.2">
      <c r="A14" s="76"/>
      <c r="B14" s="224" t="s">
        <v>68</v>
      </c>
      <c r="C14" s="225"/>
      <c r="D14" s="135"/>
      <c r="E14" s="135"/>
      <c r="F14" s="135"/>
      <c r="G14" s="135"/>
      <c r="H14" s="135"/>
      <c r="I14" s="135"/>
      <c r="J14" s="73"/>
      <c r="K14" s="73" t="s">
        <v>300</v>
      </c>
    </row>
    <row r="15" spans="1:16" ht="13.5" thickBot="1" x14ac:dyDescent="0.25">
      <c r="A15" s="76"/>
      <c r="B15" s="226" t="s">
        <v>5</v>
      </c>
      <c r="C15" s="226" t="s">
        <v>64</v>
      </c>
      <c r="D15" s="226" t="s">
        <v>63</v>
      </c>
      <c r="E15" s="226">
        <v>2030</v>
      </c>
      <c r="F15" s="226">
        <v>2040</v>
      </c>
      <c r="G15" s="226">
        <v>2050</v>
      </c>
      <c r="H15" s="226">
        <v>0</v>
      </c>
      <c r="I15" s="73"/>
      <c r="J15" s="73"/>
      <c r="K15" s="73"/>
    </row>
    <row r="16" spans="1:16" ht="12" x14ac:dyDescent="0.2">
      <c r="A16" s="76"/>
      <c r="B16" s="227" t="s">
        <v>301</v>
      </c>
      <c r="C16" s="227" t="s">
        <v>47</v>
      </c>
      <c r="D16" s="227" t="s">
        <v>302</v>
      </c>
      <c r="E16" s="228">
        <v>1.2910988078409051</v>
      </c>
      <c r="F16" s="228">
        <v>1.2910988078409051</v>
      </c>
      <c r="G16" s="228">
        <v>1.2910988078409051</v>
      </c>
      <c r="H16" s="228">
        <v>5</v>
      </c>
      <c r="I16" s="73"/>
      <c r="J16" s="73"/>
      <c r="K16" s="73"/>
    </row>
    <row r="17" spans="1:11" ht="12" x14ac:dyDescent="0.2">
      <c r="A17" s="76"/>
      <c r="B17" s="227" t="s">
        <v>303</v>
      </c>
      <c r="C17" s="227" t="s">
        <v>47</v>
      </c>
      <c r="D17" s="227" t="s">
        <v>302</v>
      </c>
      <c r="E17" s="228">
        <v>1.2910988078409051</v>
      </c>
      <c r="F17" s="228">
        <v>1.2910988078409051</v>
      </c>
      <c r="G17" s="228">
        <v>1.2910988078409051</v>
      </c>
      <c r="H17" s="228">
        <v>5</v>
      </c>
      <c r="I17" s="73"/>
      <c r="J17" s="73"/>
      <c r="K17" s="73"/>
    </row>
    <row r="18" spans="1:11" ht="12" x14ac:dyDescent="0.2">
      <c r="A18" s="76"/>
      <c r="B18" s="227" t="s">
        <v>304</v>
      </c>
      <c r="C18" s="227" t="s">
        <v>47</v>
      </c>
      <c r="D18" s="227" t="s">
        <v>302</v>
      </c>
      <c r="E18" s="228">
        <v>0.8790356703415354</v>
      </c>
      <c r="F18" s="228">
        <v>0.8790356703415354</v>
      </c>
      <c r="G18" s="228">
        <v>0.8790356703415354</v>
      </c>
      <c r="H18" s="228">
        <v>5</v>
      </c>
      <c r="I18" s="73"/>
      <c r="J18" s="73"/>
      <c r="K18" s="73"/>
    </row>
    <row r="19" spans="1:11" ht="12" x14ac:dyDescent="0.2">
      <c r="A19" s="76"/>
      <c r="B19" s="227" t="str">
        <f>B16</f>
        <v>SNK_DAC, SNK_DAC_LowAF</v>
      </c>
      <c r="C19" s="227" t="s">
        <v>59</v>
      </c>
      <c r="D19" s="227" t="s">
        <v>302</v>
      </c>
      <c r="E19" s="228">
        <v>5.8794666666666676E-2</v>
      </c>
      <c r="F19" s="228">
        <v>5.8794666666666676E-2</v>
      </c>
      <c r="G19" s="228">
        <v>5.8794666666666676E-2</v>
      </c>
      <c r="H19" s="228">
        <v>5</v>
      </c>
      <c r="I19" s="73"/>
      <c r="J19" s="73"/>
      <c r="K19" s="73"/>
    </row>
    <row r="20" spans="1:11" ht="12" x14ac:dyDescent="0.2">
      <c r="A20" s="76"/>
      <c r="B20" s="227" t="str">
        <f t="shared" ref="B20:B21" si="0">B17</f>
        <v>SNK_DAC_ELC, SNK_DAC_ELC_LowAF</v>
      </c>
      <c r="C20" s="227" t="s">
        <v>59</v>
      </c>
      <c r="D20" s="227" t="s">
        <v>302</v>
      </c>
      <c r="E20" s="228">
        <v>5.8794666666666676E-2</v>
      </c>
      <c r="F20" s="228">
        <v>5.8794666666666676E-2</v>
      </c>
      <c r="G20" s="228">
        <v>5.8794666666666676E-2</v>
      </c>
      <c r="H20" s="228">
        <v>5</v>
      </c>
      <c r="I20" s="73"/>
      <c r="J20" s="73"/>
      <c r="K20" s="73"/>
    </row>
    <row r="21" spans="1:11" ht="12" x14ac:dyDescent="0.2">
      <c r="A21" s="76"/>
      <c r="B21" s="227" t="str">
        <f t="shared" si="0"/>
        <v>SNK_DAC_SOLID, SNK_DAC_SOLID_LowAF</v>
      </c>
      <c r="C21" s="227" t="s">
        <v>59</v>
      </c>
      <c r="D21" s="227" t="s">
        <v>302</v>
      </c>
      <c r="E21" s="228">
        <v>3.4261333333333331E-2</v>
      </c>
      <c r="F21" s="228">
        <v>3.4261333333333331E-2</v>
      </c>
      <c r="G21" s="228">
        <v>3.4261333333333331E-2</v>
      </c>
      <c r="H21" s="228">
        <v>5</v>
      </c>
      <c r="I21" s="73"/>
      <c r="J21" s="73" t="s">
        <v>305</v>
      </c>
      <c r="K21" s="73"/>
    </row>
    <row r="22" spans="1:11" ht="12" x14ac:dyDescent="0.2">
      <c r="A22" s="76"/>
      <c r="B22" s="227"/>
      <c r="C22" s="227"/>
      <c r="D22" s="227"/>
      <c r="E22" s="228"/>
      <c r="F22" s="228"/>
      <c r="G22" s="228"/>
      <c r="H22" s="228"/>
      <c r="I22" s="73"/>
      <c r="J22" s="73"/>
      <c r="K22" s="73"/>
    </row>
    <row r="23" spans="1:11" ht="12" x14ac:dyDescent="0.2">
      <c r="A23" s="76"/>
      <c r="I23" s="136"/>
      <c r="J23" s="136"/>
      <c r="K23" s="73"/>
    </row>
    <row r="24" spans="1:11" ht="12" x14ac:dyDescent="0.2">
      <c r="A24" s="76"/>
      <c r="J24" s="136"/>
      <c r="K24" s="73"/>
    </row>
    <row r="25" spans="1:11" ht="12" x14ac:dyDescent="0.2">
      <c r="A25" s="76"/>
      <c r="G25" s="229" t="s">
        <v>306</v>
      </c>
      <c r="H25" s="230"/>
      <c r="I25" s="73"/>
      <c r="J25" s="136"/>
      <c r="K25" s="73"/>
    </row>
    <row r="26" spans="1:11" ht="12.75" x14ac:dyDescent="0.2">
      <c r="A26" s="76"/>
      <c r="B26" s="224" t="s">
        <v>307</v>
      </c>
      <c r="C26" s="225"/>
      <c r="D26" s="135"/>
      <c r="E26" s="135"/>
      <c r="G26" s="73" t="s">
        <v>308</v>
      </c>
      <c r="H26" s="73" t="s">
        <v>309</v>
      </c>
      <c r="I26" s="73" t="s">
        <v>231</v>
      </c>
      <c r="J26" s="136"/>
      <c r="K26" s="73"/>
    </row>
    <row r="27" spans="1:11" ht="13.5" thickBot="1" x14ac:dyDescent="0.25">
      <c r="A27" s="76"/>
      <c r="B27" s="226" t="s">
        <v>64</v>
      </c>
      <c r="C27" s="226" t="s">
        <v>5</v>
      </c>
      <c r="D27" s="226" t="s">
        <v>65</v>
      </c>
      <c r="E27" s="231"/>
      <c r="G27" s="232">
        <f>AVERAGE(284,279,285)</f>
        <v>282.66666666666669</v>
      </c>
      <c r="H27" s="232">
        <f>G27*0.26</f>
        <v>73.493333333333339</v>
      </c>
      <c r="I27" s="232">
        <f>G27-H27</f>
        <v>209.17333333333335</v>
      </c>
      <c r="J27" s="136"/>
      <c r="K27" s="73"/>
    </row>
    <row r="28" spans="1:11" ht="12" x14ac:dyDescent="0.2">
      <c r="A28" s="76"/>
      <c r="B28" s="227" t="s">
        <v>57</v>
      </c>
      <c r="C28" s="227" t="s">
        <v>189</v>
      </c>
      <c r="D28" s="227">
        <v>25</v>
      </c>
      <c r="E28" s="227"/>
      <c r="G28" s="232">
        <f>G27</f>
        <v>282.66666666666669</v>
      </c>
      <c r="H28" s="232">
        <f>G28*0.26</f>
        <v>73.493333333333339</v>
      </c>
      <c r="I28" s="232">
        <f t="shared" ref="I28:I29" si="1">G28-H28</f>
        <v>209.17333333333335</v>
      </c>
      <c r="J28" s="136"/>
      <c r="K28" s="73"/>
    </row>
    <row r="29" spans="1:11" ht="12" x14ac:dyDescent="0.2">
      <c r="A29" s="76"/>
      <c r="B29" s="227" t="s">
        <v>57</v>
      </c>
      <c r="C29" s="227" t="s">
        <v>187</v>
      </c>
      <c r="D29" s="227">
        <v>25</v>
      </c>
      <c r="E29" s="227"/>
      <c r="G29" s="232">
        <f>AVERAGE(199,182,203)</f>
        <v>194.66666666666666</v>
      </c>
      <c r="H29" s="232">
        <f>G29*0.22</f>
        <v>42.826666666666668</v>
      </c>
      <c r="I29" s="232">
        <f t="shared" si="1"/>
        <v>151.83999999999997</v>
      </c>
      <c r="J29" s="136"/>
      <c r="K29" s="73"/>
    </row>
    <row r="30" spans="1:11" ht="12" x14ac:dyDescent="0.2">
      <c r="A30" s="76"/>
      <c r="B30" s="227" t="s">
        <v>57</v>
      </c>
      <c r="C30" s="227" t="s">
        <v>310</v>
      </c>
      <c r="D30" s="227">
        <v>20</v>
      </c>
      <c r="E30" s="227"/>
      <c r="G30" s="233">
        <v>0.8</v>
      </c>
      <c r="H30" s="73" t="s">
        <v>311</v>
      </c>
      <c r="I30" s="73"/>
      <c r="J30" s="136"/>
      <c r="K30" s="73"/>
    </row>
    <row r="31" spans="1:11" ht="12" x14ac:dyDescent="0.2">
      <c r="A31" s="76"/>
      <c r="G31" s="73" t="s">
        <v>312</v>
      </c>
      <c r="H31" s="73"/>
      <c r="I31" s="73"/>
      <c r="J31" s="136"/>
      <c r="K31" s="73"/>
    </row>
    <row r="32" spans="1:11" ht="12" x14ac:dyDescent="0.2">
      <c r="A32" s="76"/>
      <c r="G32" s="230">
        <v>0.04</v>
      </c>
      <c r="H32" s="73"/>
      <c r="I32" s="73"/>
      <c r="J32" s="136"/>
      <c r="K32" s="73"/>
    </row>
    <row r="33" spans="1:11" ht="12" x14ac:dyDescent="0.2">
      <c r="A33" s="76"/>
      <c r="I33" s="136"/>
      <c r="J33" s="136"/>
      <c r="K33" s="73"/>
    </row>
    <row r="34" spans="1:11" ht="12.75" x14ac:dyDescent="0.2">
      <c r="A34" s="76"/>
      <c r="B34" s="224" t="s">
        <v>68</v>
      </c>
      <c r="C34" s="225"/>
      <c r="D34" s="135"/>
      <c r="E34" s="135"/>
      <c r="F34" s="135"/>
      <c r="G34" s="135"/>
      <c r="H34" s="135"/>
      <c r="I34" s="136"/>
      <c r="J34" s="136"/>
      <c r="K34" s="73"/>
    </row>
    <row r="35" spans="1:11" ht="13.5" thickBot="1" x14ac:dyDescent="0.25">
      <c r="A35" s="76"/>
      <c r="B35" s="226" t="s">
        <v>5</v>
      </c>
      <c r="C35" s="226" t="s">
        <v>20</v>
      </c>
      <c r="D35" s="226" t="s">
        <v>64</v>
      </c>
      <c r="E35" s="226">
        <v>2030</v>
      </c>
      <c r="F35" s="226">
        <v>2040</v>
      </c>
      <c r="G35" s="226">
        <v>2050</v>
      </c>
      <c r="H35" s="226">
        <v>0</v>
      </c>
      <c r="I35" s="136"/>
      <c r="J35" s="136"/>
      <c r="K35" s="73"/>
    </row>
    <row r="36" spans="1:11" ht="12" x14ac:dyDescent="0.2">
      <c r="A36" s="76"/>
      <c r="B36" s="227" t="s">
        <v>189</v>
      </c>
      <c r="C36" s="227" t="s">
        <v>313</v>
      </c>
      <c r="D36" s="227" t="s">
        <v>54</v>
      </c>
      <c r="E36" s="234">
        <v>1.7784000000000001E-3</v>
      </c>
      <c r="F36" s="235">
        <v>1.7784000000000001E-3</v>
      </c>
      <c r="G36" s="235">
        <v>1.7784000000000001E-3</v>
      </c>
      <c r="H36" s="235">
        <v>5</v>
      </c>
      <c r="I36" s="136"/>
      <c r="J36" s="136"/>
      <c r="K36" s="73"/>
    </row>
    <row r="37" spans="1:11" ht="12" x14ac:dyDescent="0.2">
      <c r="A37" s="76"/>
      <c r="B37" s="227" t="s">
        <v>189</v>
      </c>
      <c r="C37" s="227" t="s">
        <v>314</v>
      </c>
      <c r="D37" s="227" t="s">
        <v>54</v>
      </c>
      <c r="E37" s="234">
        <v>8.0999999999999996E-3</v>
      </c>
      <c r="F37" s="235">
        <v>8.0999999999999996E-3</v>
      </c>
      <c r="G37" s="235">
        <v>8.0999999999999996E-3</v>
      </c>
      <c r="H37" s="235">
        <v>5</v>
      </c>
      <c r="I37" s="136"/>
      <c r="J37" s="136"/>
      <c r="K37" s="73"/>
    </row>
    <row r="38" spans="1:11" ht="12" x14ac:dyDescent="0.2">
      <c r="A38" s="76"/>
      <c r="B38" s="227" t="s">
        <v>187</v>
      </c>
      <c r="C38" s="227" t="s">
        <v>313</v>
      </c>
      <c r="D38" s="227" t="s">
        <v>54</v>
      </c>
      <c r="E38" s="234">
        <v>5.5259999999999997E-3</v>
      </c>
      <c r="F38" s="235">
        <v>5.5259999999999997E-3</v>
      </c>
      <c r="G38" s="235">
        <v>5.5259999999999997E-3</v>
      </c>
      <c r="H38" s="235">
        <v>5</v>
      </c>
      <c r="I38" s="136"/>
      <c r="J38" s="136"/>
      <c r="K38" s="73"/>
    </row>
    <row r="39" spans="1:11" ht="12" x14ac:dyDescent="0.2">
      <c r="A39" s="76"/>
      <c r="B39" s="227"/>
      <c r="C39" s="227"/>
      <c r="D39" s="227"/>
      <c r="E39" s="234"/>
      <c r="F39" s="228"/>
      <c r="G39" s="73"/>
      <c r="H39" s="73"/>
      <c r="I39" s="136"/>
      <c r="J39" s="136"/>
      <c r="K39" s="73"/>
    </row>
    <row r="40" spans="1:11" ht="12" x14ac:dyDescent="0.2">
      <c r="A40" s="76"/>
      <c r="B40" s="73"/>
      <c r="C40" s="73"/>
      <c r="D40" s="73"/>
      <c r="E40" s="73"/>
      <c r="F40" s="73"/>
      <c r="G40" s="73"/>
      <c r="H40" s="73"/>
      <c r="I40" s="136"/>
      <c r="J40" s="136"/>
      <c r="K40" s="73"/>
    </row>
    <row r="41" spans="1:11" ht="12" x14ac:dyDescent="0.2">
      <c r="A41" s="76"/>
      <c r="B41" s="136"/>
      <c r="C41" s="136"/>
      <c r="D41" s="136"/>
      <c r="E41" s="136"/>
      <c r="F41" s="136"/>
      <c r="G41" s="136"/>
      <c r="H41" s="136"/>
      <c r="I41" s="136"/>
      <c r="J41" s="136"/>
      <c r="K41" s="73"/>
    </row>
    <row r="42" spans="1:11" ht="12" x14ac:dyDescent="0.2">
      <c r="A42" s="76"/>
      <c r="B42" s="136"/>
      <c r="C42" s="136"/>
      <c r="D42" s="76"/>
      <c r="E42" s="76"/>
      <c r="F42" s="76"/>
      <c r="G42" s="76"/>
      <c r="H42" s="76"/>
      <c r="I42" s="76"/>
      <c r="J42" s="76"/>
      <c r="K42" s="73"/>
    </row>
    <row r="43" spans="1:11" ht="12" x14ac:dyDescent="0.2">
      <c r="A43" s="76"/>
      <c r="B43" s="136"/>
      <c r="C43" s="136"/>
      <c r="D43" s="76"/>
      <c r="E43" s="76"/>
      <c r="F43" s="76"/>
      <c r="G43" s="76"/>
      <c r="H43" s="76"/>
      <c r="I43" s="76"/>
      <c r="J43" s="76"/>
      <c r="K43" s="73"/>
    </row>
    <row r="44" spans="1:11" ht="12" x14ac:dyDescent="0.2">
      <c r="A44" s="76"/>
      <c r="B44" s="136"/>
      <c r="C44" s="136"/>
      <c r="D44" s="76"/>
      <c r="E44" s="76"/>
      <c r="F44" s="76"/>
      <c r="G44" s="76"/>
      <c r="H44" s="76"/>
      <c r="I44" s="76"/>
      <c r="J44" s="76"/>
      <c r="K44" s="73"/>
    </row>
    <row r="45" spans="1:11" ht="12" x14ac:dyDescent="0.2">
      <c r="A45" s="76"/>
      <c r="B45" s="136"/>
      <c r="C45" s="136"/>
      <c r="D45" s="76"/>
      <c r="E45" s="76"/>
      <c r="F45" s="76"/>
      <c r="G45" s="76"/>
      <c r="H45" s="76"/>
      <c r="I45" s="76"/>
      <c r="J45" s="76"/>
      <c r="K45" s="73"/>
    </row>
    <row r="46" spans="1:11" ht="12" x14ac:dyDescent="0.2">
      <c r="A46" s="76"/>
      <c r="B46" s="136"/>
      <c r="C46" s="136"/>
      <c r="D46" s="76"/>
      <c r="E46" s="76"/>
      <c r="F46" s="76"/>
      <c r="G46" s="76"/>
      <c r="H46" s="76"/>
      <c r="I46" s="76"/>
      <c r="J46" s="76"/>
      <c r="K46" s="73"/>
    </row>
    <row r="47" spans="1:11" x14ac:dyDescent="0.2">
      <c r="B47" s="73"/>
      <c r="C47" s="73"/>
      <c r="K47" s="73"/>
    </row>
    <row r="48" spans="1:11" x14ac:dyDescent="0.2">
      <c r="B48" s="73"/>
      <c r="C48" s="73"/>
      <c r="K48" s="73"/>
    </row>
    <row r="49" spans="2:11" x14ac:dyDescent="0.2">
      <c r="B49" s="73"/>
      <c r="C49" s="73"/>
      <c r="K49" s="73"/>
    </row>
    <row r="50" spans="2:11" x14ac:dyDescent="0.2"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70" spans="2:8" ht="12" x14ac:dyDescent="0.2">
      <c r="B70" s="114" t="s">
        <v>226</v>
      </c>
      <c r="C70" s="114"/>
      <c r="D70" s="114"/>
      <c r="E70" s="114"/>
      <c r="F70" s="114"/>
      <c r="G70" s="114"/>
      <c r="H70" s="114"/>
    </row>
    <row r="71" spans="2:8" ht="12" x14ac:dyDescent="0.2">
      <c r="B71" s="137"/>
      <c r="C71" s="247" t="s">
        <v>227</v>
      </c>
      <c r="D71" s="247"/>
      <c r="E71" s="137"/>
      <c r="F71" s="137"/>
      <c r="G71" s="137"/>
      <c r="H71" s="137"/>
    </row>
    <row r="72" spans="2:8" ht="12" x14ac:dyDescent="0.2">
      <c r="B72" s="137"/>
      <c r="C72" s="138" t="s">
        <v>228</v>
      </c>
      <c r="D72" s="138">
        <v>0.1</v>
      </c>
      <c r="E72" s="137"/>
      <c r="F72" s="137" t="s">
        <v>229</v>
      </c>
      <c r="G72" s="137"/>
      <c r="H72" s="137"/>
    </row>
    <row r="73" spans="2:8" ht="12" x14ac:dyDescent="0.2">
      <c r="B73" s="137"/>
      <c r="C73" s="138" t="s">
        <v>230</v>
      </c>
      <c r="D73" s="138">
        <v>0.85</v>
      </c>
      <c r="E73" s="137"/>
      <c r="F73" s="137"/>
      <c r="G73" s="137"/>
      <c r="H73" s="137"/>
    </row>
    <row r="74" spans="2:8" ht="12" x14ac:dyDescent="0.2">
      <c r="B74" s="137"/>
      <c r="C74" s="137">
        <f>C75-C77</f>
        <v>2015</v>
      </c>
      <c r="D74" s="137">
        <f t="shared" ref="D74:E74" si="2">D75-D77</f>
        <v>2020</v>
      </c>
      <c r="E74" s="137">
        <f t="shared" si="2"/>
        <v>2025</v>
      </c>
      <c r="F74" s="137"/>
      <c r="G74" s="137"/>
      <c r="H74" s="137"/>
    </row>
    <row r="75" spans="2:8" ht="12" x14ac:dyDescent="0.2">
      <c r="B75" s="137"/>
      <c r="C75" s="139">
        <v>2030</v>
      </c>
      <c r="D75" s="139">
        <v>2040</v>
      </c>
      <c r="E75" s="139">
        <v>2050</v>
      </c>
      <c r="F75" s="137"/>
      <c r="G75" s="137"/>
      <c r="H75" s="137"/>
    </row>
    <row r="76" spans="2:8" ht="12" x14ac:dyDescent="0.2">
      <c r="B76" s="137" t="s">
        <v>231</v>
      </c>
      <c r="C76" s="137">
        <f>C88*$C$87</f>
        <v>280.8</v>
      </c>
      <c r="D76" s="137">
        <f>D88*$C$87</f>
        <v>235.8</v>
      </c>
      <c r="E76" s="137">
        <f>E88*$C$87</f>
        <v>174.6</v>
      </c>
      <c r="F76" s="137" t="s">
        <v>232</v>
      </c>
      <c r="G76" s="137"/>
      <c r="H76" s="137"/>
    </row>
    <row r="77" spans="2:8" ht="12" x14ac:dyDescent="0.2">
      <c r="B77" s="137" t="s">
        <v>233</v>
      </c>
      <c r="C77" s="137">
        <v>15</v>
      </c>
      <c r="D77" s="137">
        <v>20</v>
      </c>
      <c r="E77" s="137">
        <v>25</v>
      </c>
      <c r="F77" s="137" t="s">
        <v>234</v>
      </c>
      <c r="G77" s="137"/>
      <c r="H77" s="137"/>
    </row>
    <row r="78" spans="2:8" ht="12" x14ac:dyDescent="0.2">
      <c r="B78" s="137" t="s">
        <v>235</v>
      </c>
      <c r="C78" s="140">
        <f>PV($D$72,C77,-C76)*$D$73</f>
        <v>1815.4190565656809</v>
      </c>
      <c r="D78" s="140">
        <f>PV($D$72,D77,-D76)*$D$73</f>
        <v>1706.3735763512093</v>
      </c>
      <c r="E78" s="140">
        <f>PV($D$72,E77,-E76)*$D$73</f>
        <v>1347.1235091054191</v>
      </c>
      <c r="F78" s="137" t="s">
        <v>236</v>
      </c>
      <c r="G78" s="137"/>
      <c r="H78" s="137"/>
    </row>
    <row r="79" spans="2:8" ht="12" x14ac:dyDescent="0.2">
      <c r="B79" s="137"/>
      <c r="C79" s="137"/>
      <c r="D79" s="137"/>
      <c r="E79" s="137"/>
      <c r="F79" s="137"/>
      <c r="G79" s="137"/>
      <c r="H79" s="137"/>
    </row>
    <row r="80" spans="2:8" ht="12" x14ac:dyDescent="0.2">
      <c r="B80" s="137"/>
      <c r="C80" s="137"/>
      <c r="D80" s="137"/>
      <c r="E80" s="137"/>
      <c r="F80" s="137"/>
      <c r="G80" s="137"/>
      <c r="H80" s="137"/>
    </row>
    <row r="81" spans="2:8" ht="12" x14ac:dyDescent="0.2">
      <c r="B81" s="137"/>
      <c r="C81" s="139" t="s">
        <v>237</v>
      </c>
      <c r="D81" s="139" t="s">
        <v>231</v>
      </c>
      <c r="E81" s="137"/>
      <c r="F81" s="137"/>
      <c r="G81" s="137"/>
      <c r="H81" s="137"/>
    </row>
    <row r="82" spans="2:8" ht="12" x14ac:dyDescent="0.2">
      <c r="B82" s="137"/>
      <c r="C82" s="137" t="s">
        <v>189</v>
      </c>
      <c r="D82" s="137">
        <f>D83*0.9</f>
        <v>0.68729309999999999</v>
      </c>
      <c r="E82" s="137"/>
      <c r="F82" s="137"/>
      <c r="G82" s="137"/>
      <c r="H82" s="137"/>
    </row>
    <row r="83" spans="2:8" ht="12" x14ac:dyDescent="0.2">
      <c r="B83" s="137"/>
      <c r="C83" s="137" t="s">
        <v>188</v>
      </c>
      <c r="D83" s="137">
        <v>0.76365899999999998</v>
      </c>
      <c r="E83" s="137"/>
      <c r="F83" s="137"/>
      <c r="G83" s="137"/>
      <c r="H83" s="137"/>
    </row>
    <row r="84" spans="2:8" ht="12" x14ac:dyDescent="0.2">
      <c r="B84" s="137"/>
      <c r="C84" s="137" t="s">
        <v>187</v>
      </c>
      <c r="D84" s="137">
        <v>0.79928999999999994</v>
      </c>
      <c r="E84" s="137"/>
      <c r="F84" s="137"/>
      <c r="G84" s="137"/>
      <c r="H84" s="137"/>
    </row>
    <row r="85" spans="2:8" ht="12" x14ac:dyDescent="0.2">
      <c r="B85" s="137"/>
      <c r="C85" s="137"/>
      <c r="D85" s="137"/>
      <c r="E85" s="137"/>
      <c r="F85" s="137"/>
      <c r="G85" s="137"/>
      <c r="H85" s="137"/>
    </row>
    <row r="86" spans="2:8" ht="12" x14ac:dyDescent="0.2">
      <c r="B86" s="137"/>
      <c r="C86" s="137">
        <f>512*C87</f>
        <v>921.6</v>
      </c>
      <c r="D86" s="137">
        <f>430*D87</f>
        <v>602</v>
      </c>
      <c r="E86" s="137"/>
      <c r="F86" s="137"/>
      <c r="G86" s="137"/>
      <c r="H86" s="137"/>
    </row>
    <row r="87" spans="2:8" ht="12" x14ac:dyDescent="0.2">
      <c r="B87" s="137" t="s">
        <v>238</v>
      </c>
      <c r="C87" s="137">
        <v>1.8</v>
      </c>
      <c r="D87" s="137">
        <v>1.4</v>
      </c>
      <c r="E87" s="137">
        <v>1</v>
      </c>
      <c r="F87" s="137"/>
      <c r="G87" s="137"/>
      <c r="H87" s="137"/>
    </row>
    <row r="88" spans="2:8" ht="12" x14ac:dyDescent="0.2">
      <c r="B88" s="137"/>
      <c r="C88" s="137">
        <v>156</v>
      </c>
      <c r="D88" s="137">
        <v>131</v>
      </c>
      <c r="E88" s="137">
        <v>97</v>
      </c>
      <c r="F88" s="137"/>
      <c r="G88" s="137"/>
      <c r="H88" s="137"/>
    </row>
    <row r="89" spans="2:8" ht="12" x14ac:dyDescent="0.2">
      <c r="B89" s="137"/>
      <c r="C89" s="137"/>
      <c r="D89" s="137"/>
      <c r="E89" s="137"/>
      <c r="F89" s="137"/>
      <c r="G89" s="137"/>
      <c r="H89" s="137"/>
    </row>
    <row r="90" spans="2:8" ht="12" x14ac:dyDescent="0.2">
      <c r="B90" s="137" t="s">
        <v>239</v>
      </c>
      <c r="C90" s="137"/>
      <c r="D90" s="137"/>
      <c r="E90" s="137"/>
      <c r="F90" s="137"/>
      <c r="G90" s="137"/>
      <c r="H90" s="137"/>
    </row>
  </sheetData>
  <mergeCells count="1">
    <mergeCell ref="C71:D7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65"/>
  <sheetViews>
    <sheetView workbookViewId="0">
      <selection activeCell="L73" sqref="L73"/>
    </sheetView>
  </sheetViews>
  <sheetFormatPr defaultColWidth="8.85546875" defaultRowHeight="11.25" x14ac:dyDescent="0.2"/>
  <cols>
    <col min="1" max="1" width="8.85546875" style="1"/>
    <col min="2" max="2" width="9.28515625" style="1" customWidth="1"/>
    <col min="3" max="3" width="13.42578125" style="1" customWidth="1"/>
    <col min="4" max="4" width="12.140625" style="1" customWidth="1"/>
    <col min="5" max="5" width="10.5703125" style="1" customWidth="1"/>
    <col min="6" max="6" width="11.85546875" style="1" customWidth="1"/>
    <col min="7" max="7" width="7.140625" style="1" customWidth="1"/>
    <col min="8" max="8" width="7.5703125" style="1" customWidth="1"/>
    <col min="9" max="9" width="10.5703125" style="2" customWidth="1"/>
    <col min="10" max="22" width="6" style="1" customWidth="1"/>
    <col min="23" max="23" width="7.5703125" style="1" customWidth="1"/>
    <col min="24" max="44" width="6" style="1" customWidth="1"/>
    <col min="45" max="16384" width="8.85546875" style="1"/>
  </cols>
  <sheetData>
    <row r="1" spans="1:50" s="83" customFormat="1" ht="15" x14ac:dyDescent="0.25">
      <c r="B1" s="83" t="s">
        <v>172</v>
      </c>
      <c r="E1" s="84"/>
      <c r="I1" s="133"/>
      <c r="N1" s="83" t="s">
        <v>186</v>
      </c>
      <c r="Q1" s="84" t="s">
        <v>225</v>
      </c>
      <c r="AT1" s="142" t="s">
        <v>240</v>
      </c>
      <c r="AU1" s="142"/>
      <c r="AV1" s="142">
        <v>80</v>
      </c>
      <c r="AW1" s="142" t="s">
        <v>241</v>
      </c>
    </row>
    <row r="3" spans="1:50" ht="12.75" x14ac:dyDescent="0.2">
      <c r="B3" s="85" t="s">
        <v>69</v>
      </c>
      <c r="C3" s="86"/>
      <c r="D3" s="87"/>
      <c r="E3" s="87"/>
      <c r="F3" s="87"/>
      <c r="G3" s="87"/>
      <c r="H3" s="87"/>
      <c r="I3" s="134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T3" s="143" t="s">
        <v>242</v>
      </c>
      <c r="AU3" s="143" t="s">
        <v>242</v>
      </c>
      <c r="AV3" s="143" t="s">
        <v>243</v>
      </c>
      <c r="AW3" s="143" t="s">
        <v>243</v>
      </c>
    </row>
    <row r="4" spans="1:50" ht="12.75" thickBot="1" x14ac:dyDescent="0.25">
      <c r="B4" s="88" t="s">
        <v>151</v>
      </c>
      <c r="C4" s="88" t="s">
        <v>5</v>
      </c>
      <c r="D4" s="88" t="s">
        <v>20</v>
      </c>
      <c r="E4" s="88" t="s">
        <v>67</v>
      </c>
      <c r="F4" s="88" t="s">
        <v>64</v>
      </c>
      <c r="G4" s="108" t="s">
        <v>4</v>
      </c>
      <c r="H4" s="88" t="s">
        <v>63</v>
      </c>
      <c r="I4" s="108" t="s">
        <v>65</v>
      </c>
      <c r="J4" s="89" t="s">
        <v>148</v>
      </c>
      <c r="K4" s="89" t="s">
        <v>147</v>
      </c>
      <c r="L4" s="89" t="s">
        <v>146</v>
      </c>
      <c r="M4" s="89" t="s">
        <v>144</v>
      </c>
      <c r="N4" s="89" t="s">
        <v>145</v>
      </c>
      <c r="O4" s="89" t="s">
        <v>143</v>
      </c>
      <c r="P4" s="89" t="s">
        <v>142</v>
      </c>
      <c r="Q4" s="89" t="s">
        <v>141</v>
      </c>
      <c r="R4" s="89" t="s">
        <v>140</v>
      </c>
      <c r="S4" s="89" t="s">
        <v>139</v>
      </c>
      <c r="T4" s="89" t="s">
        <v>138</v>
      </c>
      <c r="U4" s="89" t="s">
        <v>137</v>
      </c>
      <c r="V4" s="89" t="s">
        <v>136</v>
      </c>
      <c r="W4" s="89" t="s">
        <v>135</v>
      </c>
      <c r="X4" s="89" t="s">
        <v>134</v>
      </c>
      <c r="Y4" s="89" t="s">
        <v>133</v>
      </c>
      <c r="Z4" s="89" t="s">
        <v>131</v>
      </c>
      <c r="AA4" s="89" t="s">
        <v>132</v>
      </c>
      <c r="AB4" s="89" t="s">
        <v>129</v>
      </c>
      <c r="AC4" s="89" t="s">
        <v>128</v>
      </c>
      <c r="AD4" s="89" t="s">
        <v>127</v>
      </c>
      <c r="AE4" s="89" t="s">
        <v>126</v>
      </c>
      <c r="AF4" s="89" t="s">
        <v>125</v>
      </c>
      <c r="AG4" s="89" t="s">
        <v>124</v>
      </c>
      <c r="AH4" s="89" t="s">
        <v>123</v>
      </c>
      <c r="AI4" s="89" t="s">
        <v>122</v>
      </c>
      <c r="AJ4" s="89" t="s">
        <v>121</v>
      </c>
      <c r="AK4" s="89" t="s">
        <v>120</v>
      </c>
      <c r="AL4" s="89" t="s">
        <v>119</v>
      </c>
      <c r="AM4" s="89" t="s">
        <v>118</v>
      </c>
      <c r="AN4" s="89" t="s">
        <v>117</v>
      </c>
      <c r="AO4" s="89" t="s">
        <v>116</v>
      </c>
      <c r="AP4" s="89" t="s">
        <v>115</v>
      </c>
      <c r="AQ4" s="89" t="s">
        <v>177</v>
      </c>
      <c r="AR4" s="89" t="s">
        <v>179</v>
      </c>
      <c r="AT4" s="89" t="s">
        <v>163</v>
      </c>
      <c r="AU4" s="89" t="s">
        <v>244</v>
      </c>
      <c r="AV4" s="89" t="s">
        <v>163</v>
      </c>
      <c r="AW4" s="89" t="s">
        <v>244</v>
      </c>
    </row>
    <row r="5" spans="1:50" ht="12" x14ac:dyDescent="0.2">
      <c r="B5" s="90" t="s">
        <v>27</v>
      </c>
      <c r="C5" s="90" t="s">
        <v>183</v>
      </c>
      <c r="D5" s="90"/>
      <c r="E5" s="129" t="s">
        <v>28</v>
      </c>
      <c r="F5" s="90" t="s">
        <v>29</v>
      </c>
      <c r="G5" s="91">
        <v>2020</v>
      </c>
      <c r="H5" s="90"/>
      <c r="I5" s="92">
        <v>0</v>
      </c>
      <c r="J5" s="92">
        <v>0</v>
      </c>
      <c r="K5" s="92"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2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92">
        <v>0</v>
      </c>
      <c r="AG5" s="92">
        <v>0</v>
      </c>
      <c r="AH5" s="92">
        <v>0</v>
      </c>
      <c r="AI5" s="92">
        <v>0</v>
      </c>
      <c r="AJ5" s="92">
        <v>0</v>
      </c>
      <c r="AK5" s="92">
        <v>0</v>
      </c>
      <c r="AL5" s="92">
        <v>0</v>
      </c>
      <c r="AM5" s="92">
        <v>0</v>
      </c>
      <c r="AN5" s="92">
        <v>0</v>
      </c>
      <c r="AO5" s="92">
        <v>0</v>
      </c>
      <c r="AP5" s="92">
        <v>0</v>
      </c>
      <c r="AQ5" s="92">
        <v>0</v>
      </c>
      <c r="AR5" s="92">
        <v>0</v>
      </c>
      <c r="AT5" s="93">
        <v>0</v>
      </c>
      <c r="AU5" s="93">
        <f>AT5-AI5</f>
        <v>0</v>
      </c>
      <c r="AV5" s="146">
        <f t="shared" ref="AV5:AW7" si="0">AT5*$AV$1/1000</f>
        <v>0</v>
      </c>
      <c r="AW5" s="146">
        <f t="shared" si="0"/>
        <v>0</v>
      </c>
      <c r="AX5" s="1">
        <v>2020</v>
      </c>
    </row>
    <row r="6" spans="1:50" ht="12" x14ac:dyDescent="0.2">
      <c r="B6" s="90" t="s">
        <v>27</v>
      </c>
      <c r="C6" s="90" t="s">
        <v>183</v>
      </c>
      <c r="D6" s="90"/>
      <c r="E6" s="129" t="s">
        <v>28</v>
      </c>
      <c r="F6" s="90" t="s">
        <v>29</v>
      </c>
      <c r="G6" s="91">
        <v>2030</v>
      </c>
      <c r="H6" s="90"/>
      <c r="I6" s="92">
        <v>0</v>
      </c>
      <c r="J6" s="92">
        <f t="shared" ref="J6:AR6" ca="1" si="1">SUMIF($B$26:$B$63,J$4,$S$26:$S$63)*$Y$59</f>
        <v>7.5902260790589064</v>
      </c>
      <c r="K6" s="92">
        <f t="shared" ca="1" si="1"/>
        <v>3.6975597894557102</v>
      </c>
      <c r="L6" s="92">
        <f t="shared" ca="1" si="1"/>
        <v>20.119126452785395</v>
      </c>
      <c r="M6" s="92">
        <f t="shared" ca="1" si="1"/>
        <v>12.645547753317022</v>
      </c>
      <c r="N6" s="92">
        <f t="shared" ca="1" si="1"/>
        <v>0</v>
      </c>
      <c r="O6" s="92">
        <f t="shared" ca="1" si="1"/>
        <v>39.772441688553393</v>
      </c>
      <c r="P6" s="92">
        <f t="shared" ca="1" si="1"/>
        <v>7.8654561965287213</v>
      </c>
      <c r="Q6" s="92">
        <f t="shared" ca="1" si="1"/>
        <v>2.0625</v>
      </c>
      <c r="R6" s="92">
        <f t="shared" ca="1" si="1"/>
        <v>59.669751837988116</v>
      </c>
      <c r="S6" s="92">
        <f t="shared" ca="1" si="1"/>
        <v>2.5300753596863021</v>
      </c>
      <c r="T6" s="92">
        <f t="shared" ca="1" si="1"/>
        <v>81.566247739831837</v>
      </c>
      <c r="U6" s="92">
        <f t="shared" ca="1" si="1"/>
        <v>12.472515536514752</v>
      </c>
      <c r="V6" s="92">
        <f t="shared" ca="1" si="1"/>
        <v>21.895894380442353</v>
      </c>
      <c r="W6" s="92">
        <f t="shared" ca="1" si="1"/>
        <v>1.06689383206681</v>
      </c>
      <c r="X6" s="92">
        <f t="shared" ca="1" si="1"/>
        <v>37.254847294150075</v>
      </c>
      <c r="Y6" s="92">
        <f t="shared" ca="1" si="1"/>
        <v>8.25</v>
      </c>
      <c r="Z6" s="92">
        <f t="shared" ca="1" si="1"/>
        <v>3.6975597894557102</v>
      </c>
      <c r="AA6" s="92">
        <f t="shared" ca="1" si="1"/>
        <v>0</v>
      </c>
      <c r="AB6" s="92">
        <f t="shared" ca="1" si="1"/>
        <v>2.13378766413362</v>
      </c>
      <c r="AC6" s="92">
        <f t="shared" ca="1" si="1"/>
        <v>25.759576499965476</v>
      </c>
      <c r="AD6" s="92">
        <f t="shared" ca="1" si="1"/>
        <v>5.8634894150237686</v>
      </c>
      <c r="AE6" s="92">
        <f t="shared" ca="1" si="1"/>
        <v>50.282705935191608</v>
      </c>
      <c r="AF6" s="92">
        <f t="shared" ca="1" si="1"/>
        <v>5.5000000000000009</v>
      </c>
      <c r="AG6" s="92">
        <f t="shared" ca="1" si="1"/>
        <v>1.3750000000000002</v>
      </c>
      <c r="AH6" s="92">
        <f t="shared" ca="1" si="1"/>
        <v>6.5278178894283458</v>
      </c>
      <c r="AI6" s="92">
        <f t="shared" ca="1" si="1"/>
        <v>18.916047871101338</v>
      </c>
      <c r="AJ6" s="92">
        <f t="shared" ca="1" si="1"/>
        <v>0</v>
      </c>
      <c r="AK6" s="92">
        <f t="shared" ca="1" si="1"/>
        <v>1.6171086559714265</v>
      </c>
      <c r="AL6" s="92">
        <f t="shared" ca="1" si="1"/>
        <v>0.90716168865636504</v>
      </c>
      <c r="AM6" s="92">
        <f t="shared" ca="1" si="1"/>
        <v>10.402293242747767</v>
      </c>
      <c r="AN6" s="92">
        <f t="shared" ca="1" si="1"/>
        <v>2.8945740968042557</v>
      </c>
      <c r="AO6" s="92">
        <f t="shared" ca="1" si="1"/>
        <v>5.7661853792740265</v>
      </c>
      <c r="AP6" s="92">
        <f t="shared" ca="1" si="1"/>
        <v>1.3750000000000002</v>
      </c>
      <c r="AQ6" s="92">
        <f t="shared" ca="1" si="1"/>
        <v>0</v>
      </c>
      <c r="AR6" s="92">
        <f t="shared" ca="1" si="1"/>
        <v>20.315590194458384</v>
      </c>
      <c r="AT6" s="93">
        <f ca="1">SUM(J6:AI6,AM6)</f>
        <v>448.91736224742692</v>
      </c>
      <c r="AU6" s="93">
        <f ca="1">AT6-AI6</f>
        <v>430.00131437632558</v>
      </c>
      <c r="AV6" s="146">
        <f t="shared" ca="1" si="0"/>
        <v>35.913388979794149</v>
      </c>
      <c r="AW6" s="146">
        <f t="shared" ca="1" si="0"/>
        <v>34.400105150106043</v>
      </c>
      <c r="AX6" s="1">
        <v>2030</v>
      </c>
    </row>
    <row r="7" spans="1:50" ht="12" x14ac:dyDescent="0.2">
      <c r="B7" s="90" t="str">
        <f>B6</f>
        <v>ANNUAL</v>
      </c>
      <c r="C7" s="90" t="str">
        <f t="shared" ref="C7:F7" si="2">C6</f>
        <v>SINKPYCCS</v>
      </c>
      <c r="D7" s="90"/>
      <c r="E7" s="90" t="str">
        <f t="shared" si="2"/>
        <v>UP</v>
      </c>
      <c r="F7" s="90" t="str">
        <f t="shared" si="2"/>
        <v>ACT_BND</v>
      </c>
      <c r="G7" s="144">
        <v>2040</v>
      </c>
      <c r="H7" s="90"/>
      <c r="I7" s="92">
        <f>AVERAGE(I6,I8)</f>
        <v>0</v>
      </c>
      <c r="J7" s="92">
        <f t="shared" ref="J7:AR7" ca="1" si="3">AVERAGE(J6,J8)</f>
        <v>10.695318565946639</v>
      </c>
      <c r="K7" s="92">
        <f t="shared" ca="1" si="3"/>
        <v>5.2101978851421364</v>
      </c>
      <c r="L7" s="92">
        <f t="shared" ca="1" si="3"/>
        <v>28.349678183470328</v>
      </c>
      <c r="M7" s="92">
        <f t="shared" ca="1" si="3"/>
        <v>17.818726379673983</v>
      </c>
      <c r="N7" s="92">
        <f t="shared" ca="1" si="3"/>
        <v>0</v>
      </c>
      <c r="O7" s="92">
        <f t="shared" ca="1" si="3"/>
        <v>56.042986015688868</v>
      </c>
      <c r="P7" s="92">
        <f t="shared" ca="1" si="3"/>
        <v>11.083142822381379</v>
      </c>
      <c r="Q7" s="92">
        <f t="shared" ca="1" si="3"/>
        <v>2.90625</v>
      </c>
      <c r="R7" s="92">
        <f t="shared" ca="1" si="3"/>
        <v>84.080104862619606</v>
      </c>
      <c r="S7" s="92">
        <f t="shared" ca="1" si="3"/>
        <v>3.5651061886488802</v>
      </c>
      <c r="T7" s="92">
        <f t="shared" ca="1" si="3"/>
        <v>114.93425817885395</v>
      </c>
      <c r="U7" s="92">
        <f t="shared" ca="1" si="3"/>
        <v>17.574908255998061</v>
      </c>
      <c r="V7" s="92">
        <f t="shared" ca="1" si="3"/>
        <v>30.853305717896042</v>
      </c>
      <c r="W7" s="92">
        <f t="shared" ca="1" si="3"/>
        <v>1.5033503997305049</v>
      </c>
      <c r="X7" s="92">
        <f t="shared" ca="1" si="3"/>
        <v>52.49546664175692</v>
      </c>
      <c r="Y7" s="92">
        <f t="shared" ca="1" si="3"/>
        <v>11.625</v>
      </c>
      <c r="Z7" s="92">
        <f t="shared" ca="1" si="3"/>
        <v>5.2101978851421364</v>
      </c>
      <c r="AA7" s="92">
        <f t="shared" ca="1" si="3"/>
        <v>0</v>
      </c>
      <c r="AB7" s="92">
        <f t="shared" ca="1" si="3"/>
        <v>3.0067007994610098</v>
      </c>
      <c r="AC7" s="92">
        <f t="shared" ca="1" si="3"/>
        <v>36.297585068133166</v>
      </c>
      <c r="AD7" s="92">
        <f t="shared" ca="1" si="3"/>
        <v>8.2621896302607638</v>
      </c>
      <c r="AE7" s="92">
        <f t="shared" ca="1" si="3"/>
        <v>70.852903817769985</v>
      </c>
      <c r="AF7" s="92">
        <f t="shared" ca="1" si="3"/>
        <v>7.75</v>
      </c>
      <c r="AG7" s="92">
        <f t="shared" ca="1" si="3"/>
        <v>1.9375</v>
      </c>
      <c r="AH7" s="92">
        <f t="shared" ca="1" si="3"/>
        <v>9.1982888441944866</v>
      </c>
      <c r="AI7" s="92">
        <f t="shared" ca="1" si="3"/>
        <v>26.654431091097337</v>
      </c>
      <c r="AJ7" s="92">
        <f t="shared" ca="1" si="3"/>
        <v>0</v>
      </c>
      <c r="AK7" s="92">
        <f t="shared" ca="1" si="3"/>
        <v>2.2786531061415554</v>
      </c>
      <c r="AL7" s="92">
        <f t="shared" ca="1" si="3"/>
        <v>1.2782732885612416</v>
      </c>
      <c r="AM7" s="92">
        <f t="shared" ca="1" si="3"/>
        <v>14.65777684205367</v>
      </c>
      <c r="AN7" s="92">
        <f t="shared" ca="1" si="3"/>
        <v>4.0787180454969061</v>
      </c>
      <c r="AO7" s="92">
        <f t="shared" ca="1" si="3"/>
        <v>8.1250793980679461</v>
      </c>
      <c r="AP7" s="92">
        <f t="shared" ca="1" si="3"/>
        <v>1.9375</v>
      </c>
      <c r="AQ7" s="92">
        <f t="shared" ca="1" si="3"/>
        <v>0</v>
      </c>
      <c r="AR7" s="92">
        <f t="shared" ca="1" si="3"/>
        <v>28.62651345582772</v>
      </c>
      <c r="AT7" s="93">
        <f ca="1">SUM(J7:AI7,AM7)</f>
        <v>632.56537407591975</v>
      </c>
      <c r="AU7" s="93">
        <f ca="1">AT7-AI7</f>
        <v>605.91094298482244</v>
      </c>
      <c r="AV7" s="146">
        <f t="shared" ca="1" si="0"/>
        <v>50.605229926073584</v>
      </c>
      <c r="AW7" s="146">
        <f t="shared" ca="1" si="0"/>
        <v>48.472875438785792</v>
      </c>
      <c r="AX7" s="1">
        <v>2040</v>
      </c>
    </row>
    <row r="8" spans="1:50" ht="12" x14ac:dyDescent="0.2">
      <c r="B8" s="90" t="s">
        <v>27</v>
      </c>
      <c r="C8" s="90" t="s">
        <v>183</v>
      </c>
      <c r="D8" s="90"/>
      <c r="E8" s="129" t="s">
        <v>28</v>
      </c>
      <c r="F8" s="90" t="s">
        <v>29</v>
      </c>
      <c r="G8" s="91">
        <v>2050</v>
      </c>
      <c r="H8" s="90"/>
      <c r="I8" s="92">
        <v>0</v>
      </c>
      <c r="J8" s="92">
        <f t="shared" ref="J8:AR8" ca="1" si="4">SUMIF($B$26:$B$63,J$4,$T$26:$T$63)*$Y$59</f>
        <v>13.800411052834374</v>
      </c>
      <c r="K8" s="92">
        <f t="shared" ca="1" si="4"/>
        <v>6.7228359808285632</v>
      </c>
      <c r="L8" s="92">
        <f t="shared" ca="1" si="4"/>
        <v>36.580229914155261</v>
      </c>
      <c r="M8" s="92">
        <f t="shared" ca="1" si="4"/>
        <v>22.991905006030947</v>
      </c>
      <c r="N8" s="92">
        <f t="shared" ca="1" si="4"/>
        <v>0</v>
      </c>
      <c r="O8" s="92">
        <f t="shared" ca="1" si="4"/>
        <v>72.313530342824336</v>
      </c>
      <c r="P8" s="92">
        <f t="shared" ca="1" si="4"/>
        <v>14.300829448234037</v>
      </c>
      <c r="Q8" s="92">
        <f t="shared" ca="1" si="4"/>
        <v>3.75</v>
      </c>
      <c r="R8" s="92">
        <f t="shared" ca="1" si="4"/>
        <v>108.49045788725111</v>
      </c>
      <c r="S8" s="92">
        <f t="shared" ca="1" si="4"/>
        <v>4.6001370176114582</v>
      </c>
      <c r="T8" s="92">
        <f t="shared" ca="1" si="4"/>
        <v>148.30226861787605</v>
      </c>
      <c r="U8" s="92">
        <f t="shared" ca="1" si="4"/>
        <v>22.677300975481366</v>
      </c>
      <c r="V8" s="92">
        <f t="shared" ca="1" si="4"/>
        <v>39.810717055349727</v>
      </c>
      <c r="W8" s="92">
        <f t="shared" ca="1" si="4"/>
        <v>1.9398069673941996</v>
      </c>
      <c r="X8" s="92">
        <f t="shared" ca="1" si="4"/>
        <v>67.736085989363758</v>
      </c>
      <c r="Y8" s="92">
        <f t="shared" ca="1" si="4"/>
        <v>15</v>
      </c>
      <c r="Z8" s="92">
        <f t="shared" ca="1" si="4"/>
        <v>6.7228359808285632</v>
      </c>
      <c r="AA8" s="92">
        <f t="shared" ca="1" si="4"/>
        <v>0</v>
      </c>
      <c r="AB8" s="92">
        <f t="shared" ca="1" si="4"/>
        <v>3.8796139347883991</v>
      </c>
      <c r="AC8" s="92">
        <f t="shared" ca="1" si="4"/>
        <v>46.835593636300857</v>
      </c>
      <c r="AD8" s="92">
        <f t="shared" ca="1" si="4"/>
        <v>10.66088984549776</v>
      </c>
      <c r="AE8" s="92">
        <f t="shared" ca="1" si="4"/>
        <v>91.423101700348369</v>
      </c>
      <c r="AF8" s="92">
        <f t="shared" ca="1" si="4"/>
        <v>10</v>
      </c>
      <c r="AG8" s="92">
        <f t="shared" ca="1" si="4"/>
        <v>2.5</v>
      </c>
      <c r="AH8" s="92">
        <f t="shared" ca="1" si="4"/>
        <v>11.868759798960628</v>
      </c>
      <c r="AI8" s="92">
        <f t="shared" ca="1" si="4"/>
        <v>34.392814311093339</v>
      </c>
      <c r="AJ8" s="92">
        <f t="shared" ca="1" si="4"/>
        <v>0</v>
      </c>
      <c r="AK8" s="92">
        <f t="shared" ca="1" si="4"/>
        <v>2.9401975563116842</v>
      </c>
      <c r="AL8" s="92">
        <f t="shared" ca="1" si="4"/>
        <v>1.649384888466118</v>
      </c>
      <c r="AM8" s="92">
        <f t="shared" ca="1" si="4"/>
        <v>18.913260441359572</v>
      </c>
      <c r="AN8" s="92">
        <f t="shared" ca="1" si="4"/>
        <v>5.2628619941895556</v>
      </c>
      <c r="AO8" s="92">
        <f t="shared" ca="1" si="4"/>
        <v>10.483973416861865</v>
      </c>
      <c r="AP8" s="92">
        <f t="shared" ca="1" si="4"/>
        <v>2.5</v>
      </c>
      <c r="AQ8" s="92">
        <f t="shared" ca="1" si="4"/>
        <v>0</v>
      </c>
      <c r="AR8" s="92">
        <f t="shared" ca="1" si="4"/>
        <v>36.937436717197059</v>
      </c>
      <c r="AT8" s="93">
        <f ca="1">SUM(J8:AI8,AM8)</f>
        <v>816.21338590441269</v>
      </c>
      <c r="AU8" s="93">
        <f t="shared" ref="AU8:AU9" ca="1" si="5">AT8-AI8</f>
        <v>781.8205715933193</v>
      </c>
      <c r="AV8" s="146">
        <f t="shared" ref="AV8:AV9" ca="1" si="6">AT8*$AV$1/1000</f>
        <v>65.297070872353018</v>
      </c>
      <c r="AW8" s="146">
        <f t="shared" ref="AW8:AW9" ca="1" si="7">AU8*$AV$1/1000</f>
        <v>62.545645727465541</v>
      </c>
      <c r="AX8" s="1">
        <v>2050</v>
      </c>
    </row>
    <row r="9" spans="1:50" ht="12" x14ac:dyDescent="0.2">
      <c r="B9" s="90" t="s">
        <v>27</v>
      </c>
      <c r="C9" s="90" t="s">
        <v>183</v>
      </c>
      <c r="D9" s="90"/>
      <c r="E9" s="129" t="s">
        <v>28</v>
      </c>
      <c r="F9" s="90" t="s">
        <v>29</v>
      </c>
      <c r="G9" s="91">
        <v>2080</v>
      </c>
      <c r="H9" s="91"/>
      <c r="I9" s="94">
        <v>0</v>
      </c>
      <c r="J9" s="132">
        <f t="shared" ref="J9:AR9" ca="1" si="8">SUMIF($B$26:$B$63,J$4,$U$26:$U$63)*$Y$59</f>
        <v>19.439927523107865</v>
      </c>
      <c r="K9" s="132">
        <f t="shared" ca="1" si="8"/>
        <v>8.3958817533942334</v>
      </c>
      <c r="L9" s="132">
        <f t="shared" ca="1" si="8"/>
        <v>52.235712223614428</v>
      </c>
      <c r="M9" s="132">
        <f t="shared" ca="1" si="8"/>
        <v>27.773951533520453</v>
      </c>
      <c r="N9" s="132">
        <f t="shared" ca="1" si="8"/>
        <v>0</v>
      </c>
      <c r="O9" s="132">
        <f t="shared" ca="1" si="8"/>
        <v>103.59232125276256</v>
      </c>
      <c r="P9" s="132">
        <f t="shared" ca="1" si="8"/>
        <v>19.220712680711955</v>
      </c>
      <c r="Q9" s="132">
        <f t="shared" ca="1" si="8"/>
        <v>4.6289919222534088</v>
      </c>
      <c r="R9" s="132">
        <f t="shared" ca="1" si="8"/>
        <v>157.02875274119782</v>
      </c>
      <c r="S9" s="132">
        <f t="shared" ca="1" si="8"/>
        <v>6.2285251806817055</v>
      </c>
      <c r="T9" s="132">
        <f t="shared" ca="1" si="8"/>
        <v>211.33968932114419</v>
      </c>
      <c r="U9" s="132">
        <f t="shared" ca="1" si="8"/>
        <v>26.806459282623234</v>
      </c>
      <c r="V9" s="132">
        <f t="shared" ca="1" si="8"/>
        <v>68.968046091353031</v>
      </c>
      <c r="W9" s="132">
        <f t="shared" ca="1" si="8"/>
        <v>3.4484023045676513</v>
      </c>
      <c r="X9" s="132">
        <f t="shared" ca="1" si="8"/>
        <v>88.79620487893078</v>
      </c>
      <c r="Y9" s="132">
        <f t="shared" ca="1" si="8"/>
        <v>18.515967689013635</v>
      </c>
      <c r="Z9" s="132">
        <f t="shared" ca="1" si="8"/>
        <v>9.6103563403559775</v>
      </c>
      <c r="AA9" s="132">
        <f t="shared" ca="1" si="8"/>
        <v>0</v>
      </c>
      <c r="AB9" s="132">
        <f t="shared" ca="1" si="8"/>
        <v>7.1423427824394983</v>
      </c>
      <c r="AC9" s="132">
        <f t="shared" ca="1" si="8"/>
        <v>71.993487184204241</v>
      </c>
      <c r="AD9" s="132">
        <f t="shared" ca="1" si="8"/>
        <v>17.438221268899444</v>
      </c>
      <c r="AE9" s="132">
        <f t="shared" ca="1" si="8"/>
        <v>143.90108773953244</v>
      </c>
      <c r="AF9" s="132">
        <f t="shared" ca="1" si="8"/>
        <v>12.625179895050451</v>
      </c>
      <c r="AG9" s="132">
        <f t="shared" ca="1" si="8"/>
        <v>3.3638669527260903</v>
      </c>
      <c r="AH9" s="132">
        <f t="shared" ca="1" si="8"/>
        <v>18.173723807053889</v>
      </c>
      <c r="AI9" s="132">
        <f t="shared" ca="1" si="8"/>
        <v>48.509712985509047</v>
      </c>
      <c r="AJ9" s="132">
        <f t="shared" ca="1" si="8"/>
        <v>0</v>
      </c>
      <c r="AK9" s="132">
        <f t="shared" ca="1" si="8"/>
        <v>3.75</v>
      </c>
      <c r="AL9" s="132">
        <f t="shared" ca="1" si="8"/>
        <v>2.0761750602272353</v>
      </c>
      <c r="AM9" s="132">
        <f t="shared" ca="1" si="8"/>
        <v>21.25</v>
      </c>
      <c r="AN9" s="132">
        <f t="shared" ca="1" si="8"/>
        <v>7.531367778463693</v>
      </c>
      <c r="AO9" s="132">
        <f t="shared" ca="1" si="8"/>
        <v>12.625179895050451</v>
      </c>
      <c r="AP9" s="132">
        <f t="shared" ca="1" si="8"/>
        <v>3.3638669527260903</v>
      </c>
      <c r="AQ9" s="132">
        <f t="shared" ca="1" si="8"/>
        <v>0</v>
      </c>
      <c r="AR9" s="132">
        <f t="shared" ca="1" si="8"/>
        <v>55.912457717599693</v>
      </c>
      <c r="AT9" s="141">
        <f ca="1">SUM(J9:AI9,AM9)</f>
        <v>1170.4275253346482</v>
      </c>
      <c r="AU9" s="93">
        <f t="shared" ca="1" si="5"/>
        <v>1121.9178123491392</v>
      </c>
      <c r="AV9" s="146">
        <f t="shared" ca="1" si="6"/>
        <v>93.634202026771845</v>
      </c>
      <c r="AW9" s="146">
        <f t="shared" ca="1" si="7"/>
        <v>89.75342498793114</v>
      </c>
      <c r="AX9" s="1">
        <v>2080</v>
      </c>
    </row>
    <row r="10" spans="1:50" ht="12" x14ac:dyDescent="0.2">
      <c r="B10" s="90" t="str">
        <f>B9</f>
        <v>ANNUAL</v>
      </c>
      <c r="C10" s="90" t="str">
        <f t="shared" ref="C10" si="9">C9</f>
        <v>SINKPYCCS</v>
      </c>
      <c r="D10" s="90"/>
      <c r="E10" s="90" t="str">
        <f>E9</f>
        <v>UP</v>
      </c>
      <c r="F10" s="90" t="str">
        <f>F9</f>
        <v>ACT_BND</v>
      </c>
      <c r="G10" s="91">
        <v>0</v>
      </c>
      <c r="H10" s="91"/>
      <c r="I10" s="132">
        <v>5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T10" s="95"/>
      <c r="AU10" s="95"/>
      <c r="AV10" s="95"/>
      <c r="AW10" s="95"/>
    </row>
    <row r="11" spans="1:50" ht="12" x14ac:dyDescent="0.2">
      <c r="B11" s="90" t="s">
        <v>27</v>
      </c>
      <c r="C11" s="90" t="s">
        <v>183</v>
      </c>
      <c r="D11" s="90" t="s">
        <v>185</v>
      </c>
      <c r="E11" s="129"/>
      <c r="F11" s="90" t="s">
        <v>184</v>
      </c>
      <c r="G11" s="91">
        <v>2020</v>
      </c>
      <c r="H11" s="91" t="s">
        <v>106</v>
      </c>
      <c r="I11" s="131">
        <v>7.5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T11" s="95"/>
      <c r="AU11" s="95"/>
      <c r="AV11" s="95"/>
      <c r="AW11" s="95"/>
    </row>
    <row r="12" spans="1:50" ht="12" x14ac:dyDescent="0.2">
      <c r="B12" s="90"/>
      <c r="C12" s="90" t="s">
        <v>183</v>
      </c>
      <c r="D12" s="90"/>
      <c r="E12" s="129"/>
      <c r="F12" s="90" t="s">
        <v>60</v>
      </c>
      <c r="G12" s="91">
        <v>2020</v>
      </c>
      <c r="H12" s="91" t="s">
        <v>106</v>
      </c>
      <c r="I12" s="130">
        <v>0.05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T12" s="95"/>
      <c r="AU12" s="95"/>
      <c r="AV12" s="95"/>
      <c r="AW12" s="95"/>
    </row>
    <row r="13" spans="1:50" ht="12" x14ac:dyDescent="0.2">
      <c r="B13" s="90"/>
      <c r="C13" s="90" t="s">
        <v>298</v>
      </c>
      <c r="D13" s="90"/>
      <c r="E13" s="90"/>
      <c r="F13" s="90" t="s">
        <v>60</v>
      </c>
      <c r="G13" s="91">
        <v>2020</v>
      </c>
      <c r="H13" s="91" t="s">
        <v>106</v>
      </c>
      <c r="I13" s="130">
        <v>0.05</v>
      </c>
    </row>
    <row r="14" spans="1:50" ht="12" x14ac:dyDescent="0.2">
      <c r="B14" s="90" t="s">
        <v>27</v>
      </c>
      <c r="C14" s="90" t="s">
        <v>298</v>
      </c>
      <c r="D14" s="90"/>
      <c r="E14" s="90" t="s">
        <v>28</v>
      </c>
      <c r="F14" s="90" t="s">
        <v>29</v>
      </c>
      <c r="G14" s="91">
        <v>2020</v>
      </c>
      <c r="H14" s="91"/>
      <c r="I14" s="130">
        <v>0</v>
      </c>
    </row>
    <row r="15" spans="1:50" ht="12" x14ac:dyDescent="0.2">
      <c r="A15" s="76"/>
      <c r="B15" s="90" t="s">
        <v>27</v>
      </c>
      <c r="C15" s="90" t="s">
        <v>298</v>
      </c>
      <c r="D15" s="90"/>
      <c r="E15" s="90" t="s">
        <v>28</v>
      </c>
      <c r="F15" s="90" t="s">
        <v>29</v>
      </c>
      <c r="G15" s="91">
        <v>2060</v>
      </c>
      <c r="H15" s="91"/>
      <c r="I15" s="130">
        <v>100000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50" ht="12" x14ac:dyDescent="0.2">
      <c r="A16" s="76"/>
      <c r="B16" s="90" t="s">
        <v>27</v>
      </c>
      <c r="C16" s="90" t="s">
        <v>298</v>
      </c>
      <c r="D16" s="90"/>
      <c r="E16" s="90" t="s">
        <v>28</v>
      </c>
      <c r="F16" s="90" t="s">
        <v>29</v>
      </c>
      <c r="G16" s="90">
        <v>0</v>
      </c>
      <c r="H16" s="91"/>
      <c r="I16" s="132">
        <v>5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2.75" x14ac:dyDescent="0.2">
      <c r="A17" s="76"/>
      <c r="B17" s="236" t="s">
        <v>27</v>
      </c>
      <c r="C17" s="236" t="s">
        <v>298</v>
      </c>
      <c r="D17" s="241" t="s">
        <v>315</v>
      </c>
      <c r="E17" s="174"/>
      <c r="F17" s="236" t="s">
        <v>316</v>
      </c>
      <c r="G17" s="236">
        <v>2020</v>
      </c>
      <c r="H17" s="236" t="s">
        <v>106</v>
      </c>
      <c r="I17" s="237">
        <v>-200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2.75" x14ac:dyDescent="0.2">
      <c r="A18" s="76"/>
      <c r="B18" s="238" t="s">
        <v>27</v>
      </c>
      <c r="C18" s="238" t="s">
        <v>298</v>
      </c>
      <c r="D18" s="242" t="s">
        <v>315</v>
      </c>
      <c r="E18" s="174"/>
      <c r="F18" s="238" t="s">
        <v>316</v>
      </c>
      <c r="G18" s="238">
        <v>2050</v>
      </c>
      <c r="H18" s="236" t="s">
        <v>106</v>
      </c>
      <c r="I18" s="239">
        <v>-200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" x14ac:dyDescent="0.25">
      <c r="A19" s="76"/>
      <c r="B19" s="238" t="s">
        <v>27</v>
      </c>
      <c r="C19" s="238" t="s">
        <v>298</v>
      </c>
      <c r="D19" s="242" t="s">
        <v>315</v>
      </c>
      <c r="E19" s="174"/>
      <c r="F19" s="238" t="s">
        <v>316</v>
      </c>
      <c r="G19" s="238">
        <v>0</v>
      </c>
      <c r="H19" s="240"/>
      <c r="I19" s="239">
        <v>5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2" x14ac:dyDescent="0.2">
      <c r="A20" s="76"/>
      <c r="B20" s="76"/>
      <c r="C20" s="76"/>
      <c r="D20" s="76"/>
      <c r="E20" s="76"/>
      <c r="F20" s="76"/>
      <c r="G20" s="76"/>
      <c r="H20" s="76"/>
      <c r="I20" s="75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2" x14ac:dyDescent="0.2">
      <c r="A21" s="76"/>
      <c r="B21" s="76"/>
      <c r="C21" s="76"/>
      <c r="D21" s="76"/>
      <c r="E21" s="76"/>
      <c r="F21" s="76"/>
      <c r="G21" s="76"/>
      <c r="H21" s="76"/>
      <c r="I21" s="75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2" x14ac:dyDescent="0.2">
      <c r="A22" s="76"/>
      <c r="B22" s="76"/>
      <c r="C22" s="76"/>
      <c r="D22" s="76"/>
      <c r="E22" s="76"/>
      <c r="F22" s="76"/>
      <c r="G22" s="76"/>
      <c r="H22" s="76"/>
      <c r="I22" s="75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2" x14ac:dyDescent="0.2">
      <c r="A23" s="76"/>
      <c r="B23" s="114" t="s">
        <v>219</v>
      </c>
      <c r="C23" s="114"/>
      <c r="D23" s="114"/>
      <c r="E23" s="114" t="s">
        <v>220</v>
      </c>
      <c r="F23" s="114"/>
      <c r="G23" s="114"/>
      <c r="H23" s="114"/>
      <c r="I23" s="128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76"/>
      <c r="W23" s="76"/>
      <c r="X23" s="76"/>
      <c r="Y23" s="76"/>
      <c r="Z23" s="76"/>
    </row>
    <row r="24" spans="1:26" ht="12" x14ac:dyDescent="0.2">
      <c r="A24" s="76"/>
      <c r="B24" s="17"/>
      <c r="C24" s="115" t="s">
        <v>173</v>
      </c>
      <c r="D24" s="116"/>
      <c r="E24" s="116"/>
      <c r="F24" s="116"/>
      <c r="G24" s="115" t="s">
        <v>174</v>
      </c>
      <c r="H24" s="116"/>
      <c r="I24" s="123"/>
      <c r="J24" s="116"/>
      <c r="K24" s="115" t="s">
        <v>175</v>
      </c>
      <c r="L24" s="116"/>
      <c r="M24" s="116"/>
      <c r="N24" s="116"/>
      <c r="O24" s="17"/>
      <c r="P24" s="17"/>
      <c r="Q24" s="17"/>
      <c r="R24" s="17"/>
      <c r="S24" s="37">
        <v>1</v>
      </c>
      <c r="T24" s="37">
        <v>2</v>
      </c>
      <c r="U24" s="37">
        <v>3</v>
      </c>
      <c r="V24" s="76"/>
      <c r="W24" s="76"/>
      <c r="X24" s="76"/>
      <c r="Y24" s="76"/>
      <c r="Z24" s="76"/>
    </row>
    <row r="25" spans="1:26" ht="12" x14ac:dyDescent="0.2">
      <c r="A25" s="76"/>
      <c r="B25" s="117"/>
      <c r="C25" s="118">
        <v>2030</v>
      </c>
      <c r="D25" s="118">
        <v>2050</v>
      </c>
      <c r="E25" s="118">
        <v>2080</v>
      </c>
      <c r="F25" s="119" t="s">
        <v>155</v>
      </c>
      <c r="G25" s="118">
        <v>2030</v>
      </c>
      <c r="H25" s="118">
        <v>2050</v>
      </c>
      <c r="I25" s="118">
        <v>2080</v>
      </c>
      <c r="J25" s="119" t="s">
        <v>155</v>
      </c>
      <c r="K25" s="118">
        <v>2030</v>
      </c>
      <c r="L25" s="118">
        <v>2050</v>
      </c>
      <c r="M25" s="118">
        <v>2080</v>
      </c>
      <c r="N25" s="119" t="s">
        <v>155</v>
      </c>
      <c r="O25" s="17"/>
      <c r="P25" s="128" t="s">
        <v>176</v>
      </c>
      <c r="Q25" s="17"/>
      <c r="R25" s="17"/>
      <c r="S25" s="17">
        <v>2030</v>
      </c>
      <c r="T25" s="37">
        <v>2050</v>
      </c>
      <c r="U25" s="37">
        <v>2080</v>
      </c>
      <c r="V25" s="76"/>
      <c r="W25" s="76"/>
      <c r="X25" s="76"/>
      <c r="Y25" s="76"/>
      <c r="Z25" s="76"/>
    </row>
    <row r="26" spans="1:26" ht="12" x14ac:dyDescent="0.2">
      <c r="A26" s="76"/>
      <c r="B26" s="120" t="s">
        <v>148</v>
      </c>
      <c r="C26" s="121">
        <v>0.60721808632471252</v>
      </c>
      <c r="D26" s="121">
        <v>1.1040328842267499</v>
      </c>
      <c r="E26" s="121">
        <v>1.5551942018486293</v>
      </c>
      <c r="F26" s="122">
        <v>67.77</v>
      </c>
      <c r="G26" s="121">
        <v>6.0162703216873246E-2</v>
      </c>
      <c r="H26" s="121">
        <v>0.10027117202812208</v>
      </c>
      <c r="I26" s="121">
        <v>0.2385202710273282</v>
      </c>
      <c r="J26" s="122">
        <v>7.53</v>
      </c>
      <c r="K26" s="121">
        <v>0.3633138054958141</v>
      </c>
      <c r="L26" s="121">
        <v>0.60552300915969015</v>
      </c>
      <c r="M26" s="121">
        <v>0.94003030474469484</v>
      </c>
      <c r="N26" s="122">
        <v>45.18</v>
      </c>
      <c r="O26" s="17"/>
      <c r="P26" s="126">
        <v>1</v>
      </c>
      <c r="Q26" s="17"/>
      <c r="R26" s="120" t="s">
        <v>148</v>
      </c>
      <c r="S26" s="113">
        <f t="shared" ref="S26:U45" ca="1" si="10">OFFSET($B26,0,S$24)</f>
        <v>0.60721808632471252</v>
      </c>
      <c r="T26" s="113">
        <f t="shared" ca="1" si="10"/>
        <v>1.1040328842267499</v>
      </c>
      <c r="U26" s="113">
        <f t="shared" ca="1" si="10"/>
        <v>1.5551942018486293</v>
      </c>
      <c r="V26" s="76"/>
      <c r="W26" s="76"/>
      <c r="X26" s="76"/>
      <c r="Y26" s="76"/>
      <c r="Z26" s="76"/>
    </row>
    <row r="27" spans="1:26" ht="12" x14ac:dyDescent="0.2">
      <c r="A27" s="76"/>
      <c r="B27" s="120" t="s">
        <v>147</v>
      </c>
      <c r="C27" s="121">
        <v>0.29580478315645681</v>
      </c>
      <c r="D27" s="121">
        <v>0.53782687846628507</v>
      </c>
      <c r="E27" s="121">
        <v>0.67167054027153872</v>
      </c>
      <c r="F27" s="122">
        <v>45.18</v>
      </c>
      <c r="G27" s="121">
        <v>0</v>
      </c>
      <c r="H27" s="121">
        <v>0</v>
      </c>
      <c r="I27" s="121">
        <v>0</v>
      </c>
      <c r="J27" s="122">
        <v>0</v>
      </c>
      <c r="K27" s="121">
        <v>0.18092183861214023</v>
      </c>
      <c r="L27" s="121">
        <v>0.30153639768690038</v>
      </c>
      <c r="M27" s="121">
        <v>0.3853249600297593</v>
      </c>
      <c r="N27" s="122">
        <v>22.59</v>
      </c>
      <c r="O27" s="17"/>
      <c r="P27" s="126">
        <v>1</v>
      </c>
      <c r="Q27" s="17"/>
      <c r="R27" s="120" t="s">
        <v>147</v>
      </c>
      <c r="S27" s="113">
        <f t="shared" ca="1" si="10"/>
        <v>0.29580478315645681</v>
      </c>
      <c r="T27" s="113">
        <f t="shared" ca="1" si="10"/>
        <v>0.53782687846628507</v>
      </c>
      <c r="U27" s="113">
        <f t="shared" ca="1" si="10"/>
        <v>0.67167054027153872</v>
      </c>
      <c r="V27" s="76"/>
      <c r="W27" s="76"/>
      <c r="X27" s="76"/>
      <c r="Y27" s="76"/>
      <c r="Z27" s="76"/>
    </row>
    <row r="28" spans="1:26" ht="12" x14ac:dyDescent="0.2">
      <c r="A28" s="76"/>
      <c r="B28" s="120" t="s">
        <v>146</v>
      </c>
      <c r="C28" s="121">
        <v>1.6095301162228315</v>
      </c>
      <c r="D28" s="121">
        <v>2.9264183931324208</v>
      </c>
      <c r="E28" s="121">
        <v>4.1788569778891542</v>
      </c>
      <c r="F28" s="122">
        <v>173.19</v>
      </c>
      <c r="G28" s="121">
        <v>6.0224679804969504E-2</v>
      </c>
      <c r="H28" s="121">
        <v>0.10037446634161584</v>
      </c>
      <c r="I28" s="121">
        <v>0.33194262358594956</v>
      </c>
      <c r="J28" s="122">
        <v>7.53</v>
      </c>
      <c r="K28" s="121">
        <v>0.18481353986407123</v>
      </c>
      <c r="L28" s="121">
        <v>0.30802256644011872</v>
      </c>
      <c r="M28" s="121">
        <v>1.0932613434838079</v>
      </c>
      <c r="N28" s="122">
        <v>22.59</v>
      </c>
      <c r="O28" s="17"/>
      <c r="P28" s="126">
        <v>1</v>
      </c>
      <c r="Q28" s="17"/>
      <c r="R28" s="120" t="s">
        <v>146</v>
      </c>
      <c r="S28" s="113">
        <f t="shared" ca="1" si="10"/>
        <v>1.6095301162228315</v>
      </c>
      <c r="T28" s="113">
        <f t="shared" ca="1" si="10"/>
        <v>2.9264183931324208</v>
      </c>
      <c r="U28" s="113">
        <f t="shared" ca="1" si="10"/>
        <v>4.1788569778891542</v>
      </c>
      <c r="V28" s="76"/>
      <c r="W28" s="76"/>
      <c r="X28" s="76"/>
      <c r="Y28" s="76"/>
      <c r="Z28" s="76"/>
    </row>
    <row r="29" spans="1:26" ht="12" x14ac:dyDescent="0.2">
      <c r="A29" s="76"/>
      <c r="B29" s="120" t="s">
        <v>120</v>
      </c>
      <c r="C29" s="121">
        <v>0.12936869247771413</v>
      </c>
      <c r="D29" s="121">
        <v>0.23521580450493473</v>
      </c>
      <c r="E29" s="121">
        <v>0.3</v>
      </c>
      <c r="F29" s="122">
        <v>22.59</v>
      </c>
      <c r="G29" s="121">
        <v>6.0041603247754843E-2</v>
      </c>
      <c r="H29" s="121">
        <v>0.10006933874625808</v>
      </c>
      <c r="I29" s="121">
        <v>0.12491961256533768</v>
      </c>
      <c r="J29" s="122">
        <v>7.53</v>
      </c>
      <c r="K29" s="121">
        <v>0.12048754587599077</v>
      </c>
      <c r="L29" s="121">
        <v>0.20081257645998463</v>
      </c>
      <c r="M29" s="121">
        <v>0.24395780244085274</v>
      </c>
      <c r="N29" s="122">
        <v>22.59</v>
      </c>
      <c r="O29" s="17"/>
      <c r="P29" s="17"/>
      <c r="Q29" s="17"/>
      <c r="R29" s="120" t="s">
        <v>120</v>
      </c>
      <c r="S29" s="113">
        <f t="shared" ca="1" si="10"/>
        <v>0.12936869247771413</v>
      </c>
      <c r="T29" s="113">
        <f t="shared" ca="1" si="10"/>
        <v>0.23521580450493473</v>
      </c>
      <c r="U29" s="113">
        <f t="shared" ca="1" si="10"/>
        <v>0.3</v>
      </c>
      <c r="V29" s="76"/>
      <c r="W29" s="76"/>
      <c r="X29" s="76"/>
      <c r="Y29" s="76"/>
      <c r="Z29" s="76"/>
    </row>
    <row r="30" spans="1:26" ht="12" x14ac:dyDescent="0.2">
      <c r="A30" s="76"/>
      <c r="B30" s="120" t="s">
        <v>145</v>
      </c>
      <c r="C30" s="121">
        <v>0</v>
      </c>
      <c r="D30" s="121">
        <v>0</v>
      </c>
      <c r="E30" s="121">
        <v>0</v>
      </c>
      <c r="F30" s="122">
        <v>15.06</v>
      </c>
      <c r="G30" s="121">
        <v>0</v>
      </c>
      <c r="H30" s="121">
        <v>0</v>
      </c>
      <c r="I30" s="121">
        <v>0</v>
      </c>
      <c r="J30" s="122">
        <v>0</v>
      </c>
      <c r="K30" s="121">
        <v>0</v>
      </c>
      <c r="L30" s="121">
        <v>0</v>
      </c>
      <c r="M30" s="121">
        <v>0</v>
      </c>
      <c r="N30" s="122">
        <v>0</v>
      </c>
      <c r="O30" s="17"/>
      <c r="P30" s="126">
        <v>1</v>
      </c>
      <c r="Q30" s="17"/>
      <c r="R30" s="120" t="s">
        <v>145</v>
      </c>
      <c r="S30" s="113">
        <f t="shared" ca="1" si="10"/>
        <v>0</v>
      </c>
      <c r="T30" s="113">
        <f t="shared" ca="1" si="10"/>
        <v>0</v>
      </c>
      <c r="U30" s="113">
        <f t="shared" ca="1" si="10"/>
        <v>0</v>
      </c>
      <c r="V30" s="76"/>
      <c r="W30" s="76"/>
      <c r="X30" s="76"/>
      <c r="Y30" s="76"/>
      <c r="Z30" s="76"/>
    </row>
    <row r="31" spans="1:26" ht="12" x14ac:dyDescent="0.2">
      <c r="A31" s="76"/>
      <c r="B31" s="120" t="s">
        <v>144</v>
      </c>
      <c r="C31" s="121">
        <v>1.0116438202653617</v>
      </c>
      <c r="D31" s="121">
        <v>1.8393524004824757</v>
      </c>
      <c r="E31" s="121">
        <v>2.2219161226816362</v>
      </c>
      <c r="F31" s="122">
        <v>135.54</v>
      </c>
      <c r="G31" s="121">
        <v>6.017692668583971E-2</v>
      </c>
      <c r="H31" s="121">
        <v>0.10029487780973285</v>
      </c>
      <c r="I31" s="121">
        <v>0.25732377021791636</v>
      </c>
      <c r="J31" s="122">
        <v>7.53</v>
      </c>
      <c r="K31" s="121">
        <v>0.66361706387574082</v>
      </c>
      <c r="L31" s="121">
        <v>1.1060284397929014</v>
      </c>
      <c r="M31" s="121">
        <v>1.4378034914959987</v>
      </c>
      <c r="N31" s="122">
        <v>82.83</v>
      </c>
      <c r="O31" s="17"/>
      <c r="P31" s="126">
        <v>1</v>
      </c>
      <c r="Q31" s="17"/>
      <c r="R31" s="120" t="s">
        <v>144</v>
      </c>
      <c r="S31" s="113">
        <f t="shared" ca="1" si="10"/>
        <v>1.0116438202653617</v>
      </c>
      <c r="T31" s="113">
        <f t="shared" ca="1" si="10"/>
        <v>1.8393524004824757</v>
      </c>
      <c r="U31" s="113">
        <f t="shared" ca="1" si="10"/>
        <v>2.2219161226816362</v>
      </c>
      <c r="V31" s="76"/>
      <c r="W31" s="76"/>
      <c r="X31" s="76"/>
      <c r="Y31" s="76"/>
      <c r="Z31" s="76"/>
    </row>
    <row r="32" spans="1:26" ht="12" x14ac:dyDescent="0.2">
      <c r="A32" s="76"/>
      <c r="B32" s="120" t="s">
        <v>143</v>
      </c>
      <c r="C32" s="121">
        <v>3.1817953350842711</v>
      </c>
      <c r="D32" s="121">
        <v>5.7850824274259471</v>
      </c>
      <c r="E32" s="121">
        <v>8.2873857002210052</v>
      </c>
      <c r="F32" s="122">
        <v>353.91</v>
      </c>
      <c r="G32" s="121">
        <v>0.12044196798645845</v>
      </c>
      <c r="H32" s="121">
        <v>0.20073661331076409</v>
      </c>
      <c r="I32" s="121">
        <v>0.6509350594933726</v>
      </c>
      <c r="J32" s="122">
        <v>15.06</v>
      </c>
      <c r="K32" s="121">
        <v>2.2967476566830203</v>
      </c>
      <c r="L32" s="121">
        <v>3.827912761138367</v>
      </c>
      <c r="M32" s="121">
        <v>5.4390983148081062</v>
      </c>
      <c r="N32" s="122">
        <v>286.14</v>
      </c>
      <c r="O32" s="17"/>
      <c r="P32" s="126">
        <v>1</v>
      </c>
      <c r="Q32" s="17"/>
      <c r="R32" s="120" t="s">
        <v>143</v>
      </c>
      <c r="S32" s="113">
        <f t="shared" ca="1" si="10"/>
        <v>3.1817953350842711</v>
      </c>
      <c r="T32" s="113">
        <f t="shared" ca="1" si="10"/>
        <v>5.7850824274259471</v>
      </c>
      <c r="U32" s="113">
        <f t="shared" ca="1" si="10"/>
        <v>8.2873857002210052</v>
      </c>
      <c r="V32" s="76"/>
      <c r="W32" s="76"/>
      <c r="X32" s="76"/>
      <c r="Y32" s="76"/>
      <c r="Z32" s="76"/>
    </row>
    <row r="33" spans="1:26" ht="12" x14ac:dyDescent="0.2">
      <c r="A33" s="76"/>
      <c r="B33" s="120" t="s">
        <v>142</v>
      </c>
      <c r="C33" s="121">
        <v>0.62923649572229767</v>
      </c>
      <c r="D33" s="121">
        <v>1.144066355858723</v>
      </c>
      <c r="E33" s="121">
        <v>1.5376570144569564</v>
      </c>
      <c r="F33" s="122">
        <v>75.3</v>
      </c>
      <c r="G33" s="121">
        <v>0</v>
      </c>
      <c r="H33" s="121">
        <v>0</v>
      </c>
      <c r="I33" s="121">
        <v>0</v>
      </c>
      <c r="J33" s="122">
        <v>0</v>
      </c>
      <c r="K33" s="121">
        <v>0.30310481471028589</v>
      </c>
      <c r="L33" s="121">
        <v>0.50517469118380987</v>
      </c>
      <c r="M33" s="121">
        <v>0.82808980847147529</v>
      </c>
      <c r="N33" s="122">
        <v>37.65</v>
      </c>
      <c r="O33" s="17"/>
      <c r="P33" s="126">
        <v>1</v>
      </c>
      <c r="Q33" s="17"/>
      <c r="R33" s="120" t="s">
        <v>142</v>
      </c>
      <c r="S33" s="113">
        <f t="shared" ca="1" si="10"/>
        <v>0.62923649572229767</v>
      </c>
      <c r="T33" s="113">
        <f t="shared" ca="1" si="10"/>
        <v>1.144066355858723</v>
      </c>
      <c r="U33" s="113">
        <f t="shared" ca="1" si="10"/>
        <v>1.5376570144569564</v>
      </c>
      <c r="V33" s="76"/>
      <c r="W33" s="76"/>
      <c r="X33" s="76"/>
      <c r="Y33" s="76"/>
      <c r="Z33" s="76"/>
    </row>
    <row r="34" spans="1:26" ht="12" x14ac:dyDescent="0.2">
      <c r="A34" s="76"/>
      <c r="B34" s="120" t="s">
        <v>141</v>
      </c>
      <c r="C34" s="121">
        <v>0.16500000000000001</v>
      </c>
      <c r="D34" s="121">
        <v>0.3</v>
      </c>
      <c r="E34" s="121">
        <v>0.3703193537802727</v>
      </c>
      <c r="F34" s="122">
        <v>22.59</v>
      </c>
      <c r="G34" s="121">
        <v>0</v>
      </c>
      <c r="H34" s="121">
        <v>0</v>
      </c>
      <c r="I34" s="121">
        <v>0</v>
      </c>
      <c r="J34" s="122">
        <v>0</v>
      </c>
      <c r="K34" s="121">
        <v>0.18</v>
      </c>
      <c r="L34" s="121">
        <v>0.3</v>
      </c>
      <c r="M34" s="121">
        <v>0.3</v>
      </c>
      <c r="N34" s="122">
        <v>22.59</v>
      </c>
      <c r="O34" s="17"/>
      <c r="P34" s="126">
        <v>1</v>
      </c>
      <c r="Q34" s="17"/>
      <c r="R34" s="120" t="s">
        <v>141</v>
      </c>
      <c r="S34" s="113">
        <f t="shared" ca="1" si="10"/>
        <v>0.16500000000000001</v>
      </c>
      <c r="T34" s="113">
        <f t="shared" ca="1" si="10"/>
        <v>0.3</v>
      </c>
      <c r="U34" s="113">
        <f t="shared" ca="1" si="10"/>
        <v>0.3703193537802727</v>
      </c>
      <c r="V34" s="76"/>
      <c r="W34" s="76"/>
      <c r="X34" s="76"/>
      <c r="Y34" s="76"/>
      <c r="Z34" s="76"/>
    </row>
    <row r="35" spans="1:26" ht="12" x14ac:dyDescent="0.2">
      <c r="A35" s="76"/>
      <c r="B35" s="120" t="s">
        <v>140</v>
      </c>
      <c r="C35" s="121">
        <v>4.7735801470390493</v>
      </c>
      <c r="D35" s="121">
        <v>8.679236630980089</v>
      </c>
      <c r="E35" s="121">
        <v>12.562300219295825</v>
      </c>
      <c r="F35" s="122">
        <v>1137.03</v>
      </c>
      <c r="G35" s="121">
        <v>0</v>
      </c>
      <c r="H35" s="121">
        <v>0</v>
      </c>
      <c r="I35" s="121">
        <v>0</v>
      </c>
      <c r="J35" s="122">
        <v>0</v>
      </c>
      <c r="K35" s="121">
        <v>0.24658812270401448</v>
      </c>
      <c r="L35" s="121">
        <v>0.41098020450669082</v>
      </c>
      <c r="M35" s="121">
        <v>1.5078033652180403</v>
      </c>
      <c r="N35" s="122">
        <v>30.12</v>
      </c>
      <c r="O35" s="17"/>
      <c r="P35" s="126">
        <v>1</v>
      </c>
      <c r="Q35" s="17"/>
      <c r="R35" s="120" t="s">
        <v>140</v>
      </c>
      <c r="S35" s="113">
        <f t="shared" ca="1" si="10"/>
        <v>4.7735801470390493</v>
      </c>
      <c r="T35" s="113">
        <f t="shared" ca="1" si="10"/>
        <v>8.679236630980089</v>
      </c>
      <c r="U35" s="113">
        <f t="shared" ca="1" si="10"/>
        <v>12.562300219295825</v>
      </c>
      <c r="V35" s="76"/>
      <c r="W35" s="76"/>
      <c r="X35" s="76"/>
      <c r="Y35" s="76"/>
      <c r="Z35" s="76"/>
    </row>
    <row r="36" spans="1:26" ht="12" x14ac:dyDescent="0.2">
      <c r="A36" s="76"/>
      <c r="B36" s="120" t="s">
        <v>139</v>
      </c>
      <c r="C36" s="121">
        <v>0.20240602877490418</v>
      </c>
      <c r="D36" s="121">
        <v>0.36801096140891665</v>
      </c>
      <c r="E36" s="121">
        <v>0.49828201445453646</v>
      </c>
      <c r="F36" s="122">
        <v>22.59</v>
      </c>
      <c r="G36" s="121">
        <v>0</v>
      </c>
      <c r="H36" s="121">
        <v>0</v>
      </c>
      <c r="I36" s="121">
        <v>0</v>
      </c>
      <c r="J36" s="122">
        <v>0</v>
      </c>
      <c r="K36" s="121">
        <v>0.18092183861214023</v>
      </c>
      <c r="L36" s="121">
        <v>0.30153639768690038</v>
      </c>
      <c r="M36" s="121">
        <v>0.3853249600297593</v>
      </c>
      <c r="N36" s="122">
        <v>22.59</v>
      </c>
      <c r="O36" s="17"/>
      <c r="P36" s="126">
        <v>1</v>
      </c>
      <c r="Q36" s="17"/>
      <c r="R36" s="120" t="s">
        <v>139</v>
      </c>
      <c r="S36" s="113">
        <f t="shared" ca="1" si="10"/>
        <v>0.20240602877490418</v>
      </c>
      <c r="T36" s="113">
        <f t="shared" ca="1" si="10"/>
        <v>0.36801096140891665</v>
      </c>
      <c r="U36" s="113">
        <f t="shared" ca="1" si="10"/>
        <v>0.49828201445453646</v>
      </c>
      <c r="V36" s="76"/>
      <c r="W36" s="76"/>
      <c r="X36" s="76"/>
      <c r="Y36" s="76"/>
      <c r="Z36" s="76"/>
    </row>
    <row r="37" spans="1:26" ht="12" x14ac:dyDescent="0.2">
      <c r="A37" s="76"/>
      <c r="B37" s="120" t="s">
        <v>138</v>
      </c>
      <c r="C37" s="121">
        <v>6.5252998191865466</v>
      </c>
      <c r="D37" s="121">
        <v>11.864181489430084</v>
      </c>
      <c r="E37" s="121">
        <v>16.907175145691536</v>
      </c>
      <c r="F37" s="122">
        <v>722.88</v>
      </c>
      <c r="G37" s="121">
        <v>0.24089144086926512</v>
      </c>
      <c r="H37" s="121">
        <v>0.40148573478210853</v>
      </c>
      <c r="I37" s="121">
        <v>1.314955194815145</v>
      </c>
      <c r="J37" s="122">
        <v>30.12</v>
      </c>
      <c r="K37" s="121">
        <v>2.4339548503406281</v>
      </c>
      <c r="L37" s="121">
        <v>4.0565914172343804</v>
      </c>
      <c r="M37" s="121">
        <v>7.9620063888805541</v>
      </c>
      <c r="N37" s="122">
        <v>301.2</v>
      </c>
      <c r="O37" s="17"/>
      <c r="P37" s="126">
        <v>1</v>
      </c>
      <c r="Q37" s="17"/>
      <c r="R37" s="120" t="s">
        <v>138</v>
      </c>
      <c r="S37" s="113">
        <f t="shared" ca="1" si="10"/>
        <v>6.5252998191865466</v>
      </c>
      <c r="T37" s="113">
        <f t="shared" ca="1" si="10"/>
        <v>11.864181489430084</v>
      </c>
      <c r="U37" s="113">
        <f t="shared" ca="1" si="10"/>
        <v>16.907175145691536</v>
      </c>
      <c r="V37" s="76"/>
      <c r="W37" s="76"/>
      <c r="X37" s="76"/>
      <c r="Y37" s="76"/>
      <c r="Z37" s="76"/>
    </row>
    <row r="38" spans="1:26" ht="12" x14ac:dyDescent="0.2">
      <c r="A38" s="76"/>
      <c r="B38" s="120" t="s">
        <v>137</v>
      </c>
      <c r="C38" s="121">
        <v>0.99780124292118011</v>
      </c>
      <c r="D38" s="121">
        <v>1.8141840780385092</v>
      </c>
      <c r="E38" s="121">
        <v>2.1445167426098588</v>
      </c>
      <c r="F38" s="122">
        <v>150.6</v>
      </c>
      <c r="G38" s="121">
        <v>0</v>
      </c>
      <c r="H38" s="121">
        <v>0</v>
      </c>
      <c r="I38" s="121">
        <v>0</v>
      </c>
      <c r="J38" s="122">
        <v>0</v>
      </c>
      <c r="K38" s="121">
        <v>0</v>
      </c>
      <c r="L38" s="121">
        <v>0</v>
      </c>
      <c r="M38" s="121">
        <v>0</v>
      </c>
      <c r="N38" s="122">
        <v>0</v>
      </c>
      <c r="O38" s="17"/>
      <c r="P38" s="126">
        <v>1</v>
      </c>
      <c r="Q38" s="17"/>
      <c r="R38" s="120" t="s">
        <v>137</v>
      </c>
      <c r="S38" s="113">
        <f t="shared" ca="1" si="10"/>
        <v>0.99780124292118011</v>
      </c>
      <c r="T38" s="113">
        <f t="shared" ca="1" si="10"/>
        <v>1.8141840780385092</v>
      </c>
      <c r="U38" s="113">
        <f t="shared" ca="1" si="10"/>
        <v>2.1445167426098588</v>
      </c>
      <c r="V38" s="76"/>
      <c r="W38" s="76"/>
      <c r="X38" s="76"/>
      <c r="Y38" s="76"/>
      <c r="Z38" s="76"/>
    </row>
    <row r="39" spans="1:26" ht="12" x14ac:dyDescent="0.2">
      <c r="A39" s="76"/>
      <c r="B39" s="120" t="s">
        <v>136</v>
      </c>
      <c r="C39" s="121">
        <v>1.7516715504353881</v>
      </c>
      <c r="D39" s="121">
        <v>3.1848573644279781</v>
      </c>
      <c r="E39" s="121">
        <v>5.5174436873082424</v>
      </c>
      <c r="F39" s="122">
        <v>150.6</v>
      </c>
      <c r="G39" s="121">
        <v>6.0250052594338389E-2</v>
      </c>
      <c r="H39" s="121">
        <v>0.10041675432389732</v>
      </c>
      <c r="I39" s="121">
        <v>0.38000015314995439</v>
      </c>
      <c r="J39" s="122">
        <v>7.53</v>
      </c>
      <c r="K39" s="121">
        <v>0.30774666440842685</v>
      </c>
      <c r="L39" s="121">
        <v>0.5129111073473781</v>
      </c>
      <c r="M39" s="121">
        <v>1.7438249595054087</v>
      </c>
      <c r="N39" s="122">
        <v>37.65</v>
      </c>
      <c r="O39" s="17"/>
      <c r="P39" s="126">
        <v>1</v>
      </c>
      <c r="Q39" s="17"/>
      <c r="R39" s="120" t="s">
        <v>136</v>
      </c>
      <c r="S39" s="113">
        <f t="shared" ca="1" si="10"/>
        <v>1.7516715504353881</v>
      </c>
      <c r="T39" s="113">
        <f t="shared" ca="1" si="10"/>
        <v>3.1848573644279781</v>
      </c>
      <c r="U39" s="113">
        <f t="shared" ca="1" si="10"/>
        <v>5.5174436873082424</v>
      </c>
      <c r="V39" s="76"/>
      <c r="W39" s="76"/>
      <c r="X39" s="76"/>
      <c r="Y39" s="76"/>
      <c r="Z39" s="76"/>
    </row>
    <row r="40" spans="1:26" ht="12" x14ac:dyDescent="0.2">
      <c r="A40" s="76"/>
      <c r="B40" s="120" t="s">
        <v>135</v>
      </c>
      <c r="C40" s="121">
        <v>8.5351506565344792E-2</v>
      </c>
      <c r="D40" s="121">
        <v>0.15518455739153597</v>
      </c>
      <c r="E40" s="121">
        <v>0.27587218436541211</v>
      </c>
      <c r="F40" s="122">
        <v>7.53</v>
      </c>
      <c r="G40" s="121">
        <v>0</v>
      </c>
      <c r="H40" s="121">
        <v>0</v>
      </c>
      <c r="I40" s="121">
        <v>0</v>
      </c>
      <c r="J40" s="122">
        <v>0</v>
      </c>
      <c r="K40" s="121">
        <v>6.0662801516271209E-2</v>
      </c>
      <c r="L40" s="121">
        <v>0.10110466919378536</v>
      </c>
      <c r="M40" s="121">
        <v>0.17131264276717917</v>
      </c>
      <c r="N40" s="122">
        <v>7.53</v>
      </c>
      <c r="O40" s="17"/>
      <c r="P40" s="126">
        <v>1</v>
      </c>
      <c r="Q40" s="17"/>
      <c r="R40" s="120" t="s">
        <v>135</v>
      </c>
      <c r="S40" s="113">
        <f t="shared" ca="1" si="10"/>
        <v>8.5351506565344792E-2</v>
      </c>
      <c r="T40" s="113">
        <f t="shared" ca="1" si="10"/>
        <v>0.15518455739153597</v>
      </c>
      <c r="U40" s="113">
        <f t="shared" ca="1" si="10"/>
        <v>0.27587218436541211</v>
      </c>
      <c r="V40" s="76"/>
      <c r="W40" s="76"/>
      <c r="X40" s="76"/>
      <c r="Y40" s="76"/>
      <c r="Z40" s="76"/>
    </row>
    <row r="41" spans="1:26" ht="12" x14ac:dyDescent="0.2">
      <c r="A41" s="76"/>
      <c r="B41" s="120" t="s">
        <v>121</v>
      </c>
      <c r="C41" s="121">
        <v>0</v>
      </c>
      <c r="D41" s="121">
        <v>0</v>
      </c>
      <c r="E41" s="121">
        <v>0</v>
      </c>
      <c r="F41" s="122">
        <v>0</v>
      </c>
      <c r="G41" s="121">
        <v>0</v>
      </c>
      <c r="H41" s="121">
        <v>0</v>
      </c>
      <c r="I41" s="121">
        <v>0</v>
      </c>
      <c r="J41" s="122">
        <v>0</v>
      </c>
      <c r="K41" s="121">
        <v>0</v>
      </c>
      <c r="L41" s="121">
        <v>0</v>
      </c>
      <c r="M41" s="121">
        <v>0</v>
      </c>
      <c r="N41" s="122">
        <v>0</v>
      </c>
      <c r="O41" s="17"/>
      <c r="P41" s="17"/>
      <c r="Q41" s="17"/>
      <c r="R41" s="120" t="s">
        <v>121</v>
      </c>
      <c r="S41" s="113">
        <f t="shared" ca="1" si="10"/>
        <v>0</v>
      </c>
      <c r="T41" s="113">
        <f t="shared" ca="1" si="10"/>
        <v>0</v>
      </c>
      <c r="U41" s="113">
        <f t="shared" ca="1" si="10"/>
        <v>0</v>
      </c>
      <c r="V41" s="76"/>
      <c r="W41" s="76"/>
      <c r="X41" s="76"/>
      <c r="Y41" s="76"/>
      <c r="Z41" s="76"/>
    </row>
    <row r="42" spans="1:26" ht="12" x14ac:dyDescent="0.2">
      <c r="A42" s="76"/>
      <c r="B42" s="120" t="s">
        <v>134</v>
      </c>
      <c r="C42" s="121">
        <v>2.9803877835320058</v>
      </c>
      <c r="D42" s="121">
        <v>5.4188868791491007</v>
      </c>
      <c r="E42" s="121">
        <v>7.1036963903144619</v>
      </c>
      <c r="F42" s="122">
        <v>361.44</v>
      </c>
      <c r="G42" s="121">
        <v>0.12041847679719397</v>
      </c>
      <c r="H42" s="121">
        <v>0.20069746132865662</v>
      </c>
      <c r="I42" s="121">
        <v>0.611426917947129</v>
      </c>
      <c r="J42" s="122">
        <v>15.06</v>
      </c>
      <c r="K42" s="121">
        <v>0.8529962841255504</v>
      </c>
      <c r="L42" s="121">
        <v>1.421660473542584</v>
      </c>
      <c r="M42" s="121">
        <v>2.9706592781578358</v>
      </c>
      <c r="N42" s="122">
        <v>105.42</v>
      </c>
      <c r="O42" s="17"/>
      <c r="P42" s="126">
        <v>1</v>
      </c>
      <c r="Q42" s="17"/>
      <c r="R42" s="120" t="s">
        <v>134</v>
      </c>
      <c r="S42" s="113">
        <f t="shared" ca="1" si="10"/>
        <v>2.9803877835320058</v>
      </c>
      <c r="T42" s="113">
        <f t="shared" ca="1" si="10"/>
        <v>5.4188868791491007</v>
      </c>
      <c r="U42" s="113">
        <f t="shared" ca="1" si="10"/>
        <v>7.1036963903144619</v>
      </c>
      <c r="V42" s="76"/>
      <c r="W42" s="76"/>
      <c r="X42" s="76"/>
      <c r="Y42" s="76"/>
      <c r="Z42" s="76"/>
    </row>
    <row r="43" spans="1:26" ht="12" x14ac:dyDescent="0.2">
      <c r="A43" s="76"/>
      <c r="B43" s="120" t="s">
        <v>133</v>
      </c>
      <c r="C43" s="121">
        <v>0.66</v>
      </c>
      <c r="D43" s="121">
        <v>1.2</v>
      </c>
      <c r="E43" s="121">
        <v>1.4812774151210908</v>
      </c>
      <c r="F43" s="122">
        <v>90.36</v>
      </c>
      <c r="G43" s="121">
        <v>0</v>
      </c>
      <c r="H43" s="121">
        <v>0</v>
      </c>
      <c r="I43" s="121">
        <v>0</v>
      </c>
      <c r="J43" s="122">
        <v>0</v>
      </c>
      <c r="K43" s="121">
        <v>0.42226989714079094</v>
      </c>
      <c r="L43" s="121">
        <v>0.70378316190131829</v>
      </c>
      <c r="M43" s="121">
        <v>0.91158844374821058</v>
      </c>
      <c r="N43" s="122">
        <v>52.71</v>
      </c>
      <c r="O43" s="17"/>
      <c r="P43" s="126">
        <v>1</v>
      </c>
      <c r="Q43" s="17"/>
      <c r="R43" s="120" t="s">
        <v>133</v>
      </c>
      <c r="S43" s="113">
        <f t="shared" ca="1" si="10"/>
        <v>0.66</v>
      </c>
      <c r="T43" s="113">
        <f t="shared" ca="1" si="10"/>
        <v>1.2</v>
      </c>
      <c r="U43" s="113">
        <f t="shared" ca="1" si="10"/>
        <v>1.4812774151210908</v>
      </c>
      <c r="V43" s="76"/>
      <c r="W43" s="76"/>
      <c r="X43" s="76"/>
      <c r="Y43" s="76"/>
      <c r="Z43" s="76"/>
    </row>
    <row r="44" spans="1:26" ht="12" x14ac:dyDescent="0.2">
      <c r="A44" s="76"/>
      <c r="B44" s="120" t="s">
        <v>132</v>
      </c>
      <c r="C44" s="121">
        <v>0</v>
      </c>
      <c r="D44" s="121">
        <v>0</v>
      </c>
      <c r="E44" s="121">
        <v>0</v>
      </c>
      <c r="F44" s="122">
        <v>0</v>
      </c>
      <c r="G44" s="121">
        <v>0</v>
      </c>
      <c r="H44" s="121">
        <v>0</v>
      </c>
      <c r="I44" s="121">
        <v>0</v>
      </c>
      <c r="J44" s="122">
        <v>0</v>
      </c>
      <c r="K44" s="121">
        <v>0</v>
      </c>
      <c r="L44" s="121">
        <v>0</v>
      </c>
      <c r="M44" s="121">
        <v>0</v>
      </c>
      <c r="N44" s="122">
        <v>0</v>
      </c>
      <c r="O44" s="17"/>
      <c r="P44" s="126">
        <v>1</v>
      </c>
      <c r="Q44" s="17"/>
      <c r="R44" s="120" t="s">
        <v>132</v>
      </c>
      <c r="S44" s="113">
        <f t="shared" ca="1" si="10"/>
        <v>0</v>
      </c>
      <c r="T44" s="113">
        <f t="shared" ca="1" si="10"/>
        <v>0</v>
      </c>
      <c r="U44" s="113">
        <f t="shared" ca="1" si="10"/>
        <v>0</v>
      </c>
      <c r="V44" s="76"/>
      <c r="W44" s="76"/>
      <c r="X44" s="76"/>
      <c r="Y44" s="76"/>
      <c r="Z44" s="76"/>
    </row>
    <row r="45" spans="1:26" ht="12" x14ac:dyDescent="0.2">
      <c r="A45" s="76"/>
      <c r="B45" s="120" t="s">
        <v>131</v>
      </c>
      <c r="C45" s="121">
        <v>0.29580478315645681</v>
      </c>
      <c r="D45" s="121">
        <v>0.53782687846628507</v>
      </c>
      <c r="E45" s="121">
        <v>0.76882850722847818</v>
      </c>
      <c r="F45" s="122">
        <v>37.65</v>
      </c>
      <c r="G45" s="121">
        <v>0</v>
      </c>
      <c r="H45" s="121">
        <v>0</v>
      </c>
      <c r="I45" s="121">
        <v>0</v>
      </c>
      <c r="J45" s="122">
        <v>0</v>
      </c>
      <c r="K45" s="121">
        <v>0.18125199901020939</v>
      </c>
      <c r="L45" s="121">
        <v>0.30208666501701564</v>
      </c>
      <c r="M45" s="121">
        <v>0.42133346272139915</v>
      </c>
      <c r="N45" s="122">
        <v>22.59</v>
      </c>
      <c r="O45" s="17"/>
      <c r="P45" s="126">
        <v>1</v>
      </c>
      <c r="Q45" s="17"/>
      <c r="R45" s="120" t="s">
        <v>131</v>
      </c>
      <c r="S45" s="113">
        <f t="shared" ca="1" si="10"/>
        <v>0.29580478315645681</v>
      </c>
      <c r="T45" s="113">
        <f t="shared" ca="1" si="10"/>
        <v>0.53782687846628507</v>
      </c>
      <c r="U45" s="113">
        <f t="shared" ca="1" si="10"/>
        <v>0.76882850722847818</v>
      </c>
      <c r="V45" s="76"/>
      <c r="W45" s="76"/>
      <c r="X45" s="76"/>
      <c r="Y45" s="76"/>
      <c r="Z45" s="76"/>
    </row>
    <row r="46" spans="1:26" ht="12" x14ac:dyDescent="0.2">
      <c r="A46" s="76"/>
      <c r="B46" s="120" t="s">
        <v>130</v>
      </c>
      <c r="C46" s="121">
        <v>0</v>
      </c>
      <c r="D46" s="121">
        <v>0</v>
      </c>
      <c r="E46" s="121">
        <v>0</v>
      </c>
      <c r="F46" s="122">
        <v>0</v>
      </c>
      <c r="G46" s="121">
        <v>0</v>
      </c>
      <c r="H46" s="121">
        <v>0</v>
      </c>
      <c r="I46" s="121">
        <v>0</v>
      </c>
      <c r="J46" s="122">
        <v>0</v>
      </c>
      <c r="K46" s="121">
        <v>0</v>
      </c>
      <c r="L46" s="121">
        <v>0</v>
      </c>
      <c r="M46" s="121">
        <v>0</v>
      </c>
      <c r="N46" s="122">
        <v>0</v>
      </c>
      <c r="O46" s="17"/>
      <c r="P46" s="126">
        <v>1</v>
      </c>
      <c r="Q46" s="17"/>
      <c r="R46" s="120" t="s">
        <v>130</v>
      </c>
      <c r="S46" s="113">
        <f t="shared" ref="S46:U62" ca="1" si="11">OFFSET($B46,0,S$24)</f>
        <v>0</v>
      </c>
      <c r="T46" s="113">
        <f t="shared" ca="1" si="11"/>
        <v>0</v>
      </c>
      <c r="U46" s="113">
        <f t="shared" ca="1" si="11"/>
        <v>0</v>
      </c>
      <c r="V46" s="76"/>
      <c r="W46" s="76"/>
      <c r="X46" s="76"/>
      <c r="Y46" s="76"/>
      <c r="Z46" s="76"/>
    </row>
    <row r="47" spans="1:26" ht="12" x14ac:dyDescent="0.2">
      <c r="A47" s="76"/>
      <c r="B47" s="120" t="s">
        <v>129</v>
      </c>
      <c r="C47" s="121">
        <v>0.17070301313068958</v>
      </c>
      <c r="D47" s="121">
        <v>0.31036911478307194</v>
      </c>
      <c r="E47" s="121">
        <v>0.57138742259515984</v>
      </c>
      <c r="F47" s="122">
        <v>45.18</v>
      </c>
      <c r="G47" s="121">
        <v>0</v>
      </c>
      <c r="H47" s="121">
        <v>0</v>
      </c>
      <c r="I47" s="121">
        <v>0</v>
      </c>
      <c r="J47" s="122">
        <v>0</v>
      </c>
      <c r="K47" s="121">
        <v>0.12048754587599077</v>
      </c>
      <c r="L47" s="121">
        <v>0.20081257645998463</v>
      </c>
      <c r="M47" s="121">
        <v>0.24395780244085274</v>
      </c>
      <c r="N47" s="122">
        <v>22.59</v>
      </c>
      <c r="O47" s="17"/>
      <c r="P47" s="126">
        <v>1</v>
      </c>
      <c r="Q47" s="17"/>
      <c r="R47" s="120" t="s">
        <v>129</v>
      </c>
      <c r="S47" s="113">
        <f t="shared" ca="1" si="11"/>
        <v>0.17070301313068958</v>
      </c>
      <c r="T47" s="113">
        <f t="shared" ca="1" si="11"/>
        <v>0.31036911478307194</v>
      </c>
      <c r="U47" s="113">
        <f t="shared" ca="1" si="11"/>
        <v>0.57138742259515984</v>
      </c>
      <c r="V47" s="76"/>
      <c r="W47" s="76"/>
      <c r="X47" s="76"/>
      <c r="Y47" s="76"/>
      <c r="Z47" s="76"/>
    </row>
    <row r="48" spans="1:26" ht="12" x14ac:dyDescent="0.2">
      <c r="A48" s="76"/>
      <c r="B48" s="120" t="s">
        <v>119</v>
      </c>
      <c r="C48" s="121">
        <v>7.25729350925092E-2</v>
      </c>
      <c r="D48" s="121">
        <v>0.13195079107728944</v>
      </c>
      <c r="E48" s="121">
        <v>0.16609400481817882</v>
      </c>
      <c r="F48" s="122">
        <v>7.53</v>
      </c>
      <c r="G48" s="121">
        <v>0</v>
      </c>
      <c r="H48" s="121">
        <v>0</v>
      </c>
      <c r="I48" s="121">
        <v>0</v>
      </c>
      <c r="J48" s="122">
        <v>0</v>
      </c>
      <c r="K48" s="121">
        <v>6.0417333003403136E-2</v>
      </c>
      <c r="L48" s="121">
        <v>0.1006955550056719</v>
      </c>
      <c r="M48" s="121">
        <v>0.14044448757379974</v>
      </c>
      <c r="N48" s="122">
        <v>7.53</v>
      </c>
      <c r="O48" s="17"/>
      <c r="P48" s="17"/>
      <c r="Q48" s="17"/>
      <c r="R48" s="120" t="s">
        <v>119</v>
      </c>
      <c r="S48" s="113">
        <f t="shared" ca="1" si="11"/>
        <v>7.25729350925092E-2</v>
      </c>
      <c r="T48" s="113">
        <f t="shared" ca="1" si="11"/>
        <v>0.13195079107728944</v>
      </c>
      <c r="U48" s="113">
        <f t="shared" ca="1" si="11"/>
        <v>0.16609400481817882</v>
      </c>
      <c r="V48" s="76"/>
      <c r="W48" s="76"/>
      <c r="X48" s="76"/>
      <c r="Y48" s="76"/>
      <c r="Z48" s="76"/>
    </row>
    <row r="49" spans="1:26" ht="12" x14ac:dyDescent="0.2">
      <c r="A49" s="76"/>
      <c r="B49" s="120" t="s">
        <v>128</v>
      </c>
      <c r="C49" s="121">
        <v>2.060766119997238</v>
      </c>
      <c r="D49" s="121">
        <v>3.7468474909040688</v>
      </c>
      <c r="E49" s="121">
        <v>5.7594789747363393</v>
      </c>
      <c r="F49" s="122">
        <v>210.84</v>
      </c>
      <c r="G49" s="121">
        <v>6.0244121866689426E-2</v>
      </c>
      <c r="H49" s="121">
        <v>0.10040686977781571</v>
      </c>
      <c r="I49" s="121">
        <v>0.36818016323450803</v>
      </c>
      <c r="J49" s="122">
        <v>7.53</v>
      </c>
      <c r="K49" s="121">
        <v>1.3328583109286325</v>
      </c>
      <c r="L49" s="121">
        <v>2.2214305182143876</v>
      </c>
      <c r="M49" s="121">
        <v>3.5376534261774926</v>
      </c>
      <c r="N49" s="122">
        <v>165.66</v>
      </c>
      <c r="O49" s="17"/>
      <c r="P49" s="126">
        <v>1</v>
      </c>
      <c r="Q49" s="17"/>
      <c r="R49" s="120" t="s">
        <v>128</v>
      </c>
      <c r="S49" s="113">
        <f t="shared" ca="1" si="11"/>
        <v>2.060766119997238</v>
      </c>
      <c r="T49" s="113">
        <f t="shared" ca="1" si="11"/>
        <v>3.7468474909040688</v>
      </c>
      <c r="U49" s="113">
        <f t="shared" ca="1" si="11"/>
        <v>5.7594789747363393</v>
      </c>
      <c r="V49" s="76"/>
      <c r="W49" s="76"/>
      <c r="X49" s="76"/>
      <c r="Y49" s="76"/>
      <c r="Z49" s="76"/>
    </row>
    <row r="50" spans="1:26" ht="12" x14ac:dyDescent="0.2">
      <c r="A50" s="76"/>
      <c r="B50" s="120" t="s">
        <v>127</v>
      </c>
      <c r="C50" s="121">
        <v>0.46907915320190152</v>
      </c>
      <c r="D50" s="121">
        <v>0.85287118763982084</v>
      </c>
      <c r="E50" s="121">
        <v>1.3950577015119554</v>
      </c>
      <c r="F50" s="122">
        <v>143.07</v>
      </c>
      <c r="G50" s="121">
        <v>0</v>
      </c>
      <c r="H50" s="121">
        <v>0</v>
      </c>
      <c r="I50" s="121">
        <v>0</v>
      </c>
      <c r="J50" s="122">
        <v>0</v>
      </c>
      <c r="K50" s="121">
        <v>6.097347547603954E-2</v>
      </c>
      <c r="L50" s="121">
        <v>0.10162245912673257</v>
      </c>
      <c r="M50" s="121">
        <v>0.22003679075618582</v>
      </c>
      <c r="N50" s="122">
        <v>7.53</v>
      </c>
      <c r="O50" s="17"/>
      <c r="P50" s="126">
        <v>1</v>
      </c>
      <c r="Q50" s="17"/>
      <c r="R50" s="120" t="s">
        <v>127</v>
      </c>
      <c r="S50" s="113">
        <f t="shared" ca="1" si="11"/>
        <v>0.46907915320190152</v>
      </c>
      <c r="T50" s="113">
        <f t="shared" ca="1" si="11"/>
        <v>0.85287118763982084</v>
      </c>
      <c r="U50" s="113">
        <f t="shared" ca="1" si="11"/>
        <v>1.3950577015119554</v>
      </c>
      <c r="V50" s="76"/>
      <c r="W50" s="76"/>
      <c r="X50" s="76"/>
      <c r="Y50" s="76"/>
      <c r="Z50" s="76"/>
    </row>
    <row r="51" spans="1:26" ht="12" x14ac:dyDescent="0.2">
      <c r="A51" s="76"/>
      <c r="B51" s="120" t="s">
        <v>126</v>
      </c>
      <c r="C51" s="121">
        <v>4.0226164748153286</v>
      </c>
      <c r="D51" s="121">
        <v>7.31384813602787</v>
      </c>
      <c r="E51" s="121">
        <v>11.512087019162594</v>
      </c>
      <c r="F51" s="122">
        <v>391.56</v>
      </c>
      <c r="G51" s="121">
        <v>6.0288934731264454E-2</v>
      </c>
      <c r="H51" s="121">
        <v>0.10048155788544076</v>
      </c>
      <c r="I51" s="121">
        <v>0.46743529902690351</v>
      </c>
      <c r="J51" s="122">
        <v>7.53</v>
      </c>
      <c r="K51" s="121">
        <v>0.67607302323086782</v>
      </c>
      <c r="L51" s="121">
        <v>1.1267883720514464</v>
      </c>
      <c r="M51" s="121">
        <v>3.5762394238650703</v>
      </c>
      <c r="N51" s="122">
        <v>82.83</v>
      </c>
      <c r="O51" s="17"/>
      <c r="P51" s="126">
        <v>1</v>
      </c>
      <c r="Q51" s="17"/>
      <c r="R51" s="120" t="s">
        <v>126</v>
      </c>
      <c r="S51" s="113">
        <f t="shared" ca="1" si="11"/>
        <v>4.0226164748153286</v>
      </c>
      <c r="T51" s="113">
        <f t="shared" ca="1" si="11"/>
        <v>7.31384813602787</v>
      </c>
      <c r="U51" s="113">
        <f t="shared" ca="1" si="11"/>
        <v>11.512087019162594</v>
      </c>
      <c r="V51" s="76"/>
      <c r="W51" s="76"/>
      <c r="X51" s="76"/>
      <c r="Y51" s="76"/>
      <c r="Z51" s="76"/>
    </row>
    <row r="52" spans="1:26" ht="12" x14ac:dyDescent="0.2">
      <c r="A52" s="76"/>
      <c r="B52" s="120" t="s">
        <v>125</v>
      </c>
      <c r="C52" s="121">
        <v>0.44000000000000006</v>
      </c>
      <c r="D52" s="121">
        <v>0.8</v>
      </c>
      <c r="E52" s="121">
        <v>1.0100143916040361</v>
      </c>
      <c r="F52" s="122">
        <v>60.24</v>
      </c>
      <c r="G52" s="121">
        <v>0</v>
      </c>
      <c r="H52" s="121">
        <v>0</v>
      </c>
      <c r="I52" s="121">
        <v>0</v>
      </c>
      <c r="J52" s="122">
        <v>0</v>
      </c>
      <c r="K52" s="121">
        <v>0.30141332963628553</v>
      </c>
      <c r="L52" s="121">
        <v>0.50235554939380922</v>
      </c>
      <c r="M52" s="121">
        <v>0.62948994272767345</v>
      </c>
      <c r="N52" s="122">
        <v>37.65</v>
      </c>
      <c r="O52" s="17"/>
      <c r="P52" s="126">
        <v>1</v>
      </c>
      <c r="Q52" s="17"/>
      <c r="R52" s="120" t="s">
        <v>125</v>
      </c>
      <c r="S52" s="113">
        <f t="shared" ca="1" si="11"/>
        <v>0.44000000000000006</v>
      </c>
      <c r="T52" s="113">
        <f t="shared" ca="1" si="11"/>
        <v>0.8</v>
      </c>
      <c r="U52" s="113">
        <f t="shared" ca="1" si="11"/>
        <v>1.0100143916040361</v>
      </c>
      <c r="V52" s="76"/>
      <c r="W52" s="76"/>
      <c r="X52" s="76"/>
      <c r="Y52" s="76"/>
      <c r="Z52" s="76"/>
    </row>
    <row r="53" spans="1:26" ht="12" x14ac:dyDescent="0.2">
      <c r="A53" s="76"/>
      <c r="B53" s="120" t="s">
        <v>124</v>
      </c>
      <c r="C53" s="121">
        <v>0.11000000000000001</v>
      </c>
      <c r="D53" s="121">
        <v>0.2</v>
      </c>
      <c r="E53" s="121">
        <v>0.26910935621808724</v>
      </c>
      <c r="F53" s="122">
        <v>15.06</v>
      </c>
      <c r="G53" s="121">
        <v>6.0041603247754843E-2</v>
      </c>
      <c r="H53" s="121">
        <v>0.10006933874625808</v>
      </c>
      <c r="I53" s="121">
        <v>0.12491961256533768</v>
      </c>
      <c r="J53" s="122">
        <v>7.53</v>
      </c>
      <c r="K53" s="121">
        <v>6.0417333003403136E-2</v>
      </c>
      <c r="L53" s="121">
        <v>0.1006955550056719</v>
      </c>
      <c r="M53" s="121">
        <v>0.14044448757379974</v>
      </c>
      <c r="N53" s="122">
        <v>7.53</v>
      </c>
      <c r="O53" s="17"/>
      <c r="P53" s="126">
        <v>1</v>
      </c>
      <c r="Q53" s="17"/>
      <c r="R53" s="120" t="s">
        <v>124</v>
      </c>
      <c r="S53" s="113">
        <f t="shared" ca="1" si="11"/>
        <v>0.11000000000000001</v>
      </c>
      <c r="T53" s="113">
        <f t="shared" ca="1" si="11"/>
        <v>0.2</v>
      </c>
      <c r="U53" s="113">
        <f t="shared" ca="1" si="11"/>
        <v>0.26910935621808724</v>
      </c>
      <c r="V53" s="76"/>
      <c r="W53" s="76"/>
      <c r="X53" s="76"/>
      <c r="Y53" s="76"/>
      <c r="Z53" s="76"/>
    </row>
    <row r="54" spans="1:26" ht="12" x14ac:dyDescent="0.2">
      <c r="A54" s="76"/>
      <c r="B54" s="120" t="s">
        <v>123</v>
      </c>
      <c r="C54" s="121">
        <v>0.52222543115426767</v>
      </c>
      <c r="D54" s="121">
        <v>0.94950078391685022</v>
      </c>
      <c r="E54" s="121">
        <v>1.4538979045643112</v>
      </c>
      <c r="F54" s="122">
        <v>52.71</v>
      </c>
      <c r="G54" s="121">
        <v>0</v>
      </c>
      <c r="H54" s="121">
        <v>0</v>
      </c>
      <c r="I54" s="121">
        <v>0</v>
      </c>
      <c r="J54" s="122">
        <v>0</v>
      </c>
      <c r="K54" s="121">
        <v>0.18292042642811859</v>
      </c>
      <c r="L54" s="121">
        <v>0.30486737738019765</v>
      </c>
      <c r="M54" s="121">
        <v>0.6601103722685574</v>
      </c>
      <c r="N54" s="122">
        <v>22.59</v>
      </c>
      <c r="O54" s="17"/>
      <c r="P54" s="126">
        <v>1</v>
      </c>
      <c r="Q54" s="17"/>
      <c r="R54" s="120" t="s">
        <v>123</v>
      </c>
      <c r="S54" s="113">
        <f t="shared" ca="1" si="11"/>
        <v>0.52222543115426767</v>
      </c>
      <c r="T54" s="113">
        <f t="shared" ca="1" si="11"/>
        <v>0.94950078391685022</v>
      </c>
      <c r="U54" s="113">
        <f t="shared" ca="1" si="11"/>
        <v>1.4538979045643112</v>
      </c>
      <c r="V54" s="76"/>
      <c r="W54" s="76"/>
      <c r="X54" s="76"/>
      <c r="Y54" s="76"/>
      <c r="Z54" s="76"/>
    </row>
    <row r="55" spans="1:26" ht="12" x14ac:dyDescent="0.2">
      <c r="A55" s="76"/>
      <c r="B55" s="120" t="s">
        <v>122</v>
      </c>
      <c r="C55" s="121">
        <v>1.513283829688107</v>
      </c>
      <c r="D55" s="121">
        <v>2.7514251448874671</v>
      </c>
      <c r="E55" s="121">
        <v>3.8807770388407237</v>
      </c>
      <c r="F55" s="122">
        <v>173.19</v>
      </c>
      <c r="G55" s="121">
        <v>0</v>
      </c>
      <c r="H55" s="121">
        <v>0</v>
      </c>
      <c r="I55" s="121">
        <v>0</v>
      </c>
      <c r="J55" s="122">
        <v>0</v>
      </c>
      <c r="K55" s="121">
        <v>0.66787168828264354</v>
      </c>
      <c r="L55" s="121">
        <v>1.1131194804710727</v>
      </c>
      <c r="M55" s="121">
        <v>1.9665205757680124</v>
      </c>
      <c r="N55" s="122">
        <v>82.83</v>
      </c>
      <c r="O55" s="17"/>
      <c r="P55" s="126">
        <v>1</v>
      </c>
      <c r="Q55" s="17"/>
      <c r="R55" s="120" t="s">
        <v>122</v>
      </c>
      <c r="S55" s="113">
        <f t="shared" ca="1" si="11"/>
        <v>1.513283829688107</v>
      </c>
      <c r="T55" s="113">
        <f t="shared" ca="1" si="11"/>
        <v>2.7514251448874671</v>
      </c>
      <c r="U55" s="113">
        <f t="shared" ca="1" si="11"/>
        <v>3.8807770388407237</v>
      </c>
      <c r="V55" s="76"/>
      <c r="W55" s="76"/>
      <c r="X55" s="76"/>
      <c r="Y55" s="76"/>
      <c r="Z55" s="76"/>
    </row>
    <row r="56" spans="1:26" ht="12" x14ac:dyDescent="0.2">
      <c r="A56" s="76"/>
      <c r="B56" s="120" t="s">
        <v>118</v>
      </c>
      <c r="C56" s="121">
        <v>0.8321834594198213</v>
      </c>
      <c r="D56" s="121">
        <v>1.5130608353087658</v>
      </c>
      <c r="E56" s="121">
        <v>1.7</v>
      </c>
      <c r="F56" s="122">
        <v>128.01</v>
      </c>
      <c r="G56" s="121">
        <v>6.015855256240632E-2</v>
      </c>
      <c r="H56" s="121">
        <v>0.1002642542706772</v>
      </c>
      <c r="I56" s="121">
        <v>0.23329589623478211</v>
      </c>
      <c r="J56" s="122">
        <v>7.53</v>
      </c>
      <c r="K56" s="121">
        <v>0.30310481471028589</v>
      </c>
      <c r="L56" s="121">
        <v>0.50517469118380987</v>
      </c>
      <c r="M56" s="121">
        <v>0.82808980847147529</v>
      </c>
      <c r="N56" s="122">
        <v>37.65</v>
      </c>
      <c r="O56" s="17"/>
      <c r="P56" s="126">
        <v>1</v>
      </c>
      <c r="Q56" s="17"/>
      <c r="R56" s="120" t="s">
        <v>118</v>
      </c>
      <c r="S56" s="113">
        <f t="shared" ca="1" si="11"/>
        <v>0.8321834594198213</v>
      </c>
      <c r="T56" s="113">
        <f t="shared" ca="1" si="11"/>
        <v>1.5130608353087658</v>
      </c>
      <c r="U56" s="113">
        <f t="shared" ca="1" si="11"/>
        <v>1.7</v>
      </c>
      <c r="V56" s="76"/>
      <c r="W56" s="76"/>
      <c r="X56" s="76"/>
      <c r="Y56" s="76"/>
      <c r="Z56" s="76"/>
    </row>
    <row r="57" spans="1:26" ht="12" x14ac:dyDescent="0.2">
      <c r="A57" s="76"/>
      <c r="B57" s="123" t="s">
        <v>117</v>
      </c>
      <c r="C57" s="121">
        <v>0.23156592774434046</v>
      </c>
      <c r="D57" s="121">
        <v>0.42102895953516445</v>
      </c>
      <c r="E57" s="121">
        <v>0.60250942227709547</v>
      </c>
      <c r="F57" s="122">
        <v>52.71</v>
      </c>
      <c r="G57" s="121">
        <v>0</v>
      </c>
      <c r="H57" s="121">
        <v>0</v>
      </c>
      <c r="I57" s="121">
        <v>0</v>
      </c>
      <c r="J57" s="122">
        <v>0</v>
      </c>
      <c r="K57" s="121">
        <v>6.0662801516271209E-2</v>
      </c>
      <c r="L57" s="121">
        <v>0.10110466919378536</v>
      </c>
      <c r="M57" s="121">
        <v>0.17131264276717917</v>
      </c>
      <c r="N57" s="122">
        <v>7.53</v>
      </c>
      <c r="O57" s="17"/>
      <c r="P57" s="17"/>
      <c r="Q57" s="17"/>
      <c r="R57" s="123" t="s">
        <v>117</v>
      </c>
      <c r="S57" s="113">
        <f t="shared" ca="1" si="11"/>
        <v>0.23156592774434046</v>
      </c>
      <c r="T57" s="113">
        <f t="shared" ca="1" si="11"/>
        <v>0.42102895953516445</v>
      </c>
      <c r="U57" s="113">
        <f t="shared" ca="1" si="11"/>
        <v>0.60250942227709547</v>
      </c>
      <c r="V57" s="76"/>
      <c r="W57" s="76"/>
      <c r="X57" s="76"/>
      <c r="Y57" s="76"/>
      <c r="Z57" s="76"/>
    </row>
    <row r="58" spans="1:26" ht="12" x14ac:dyDescent="0.2">
      <c r="A58" s="76"/>
      <c r="B58" s="124" t="s">
        <v>116</v>
      </c>
      <c r="C58" s="121">
        <v>0.46129483034192209</v>
      </c>
      <c r="D58" s="121">
        <v>0.83871787334894921</v>
      </c>
      <c r="E58" s="121">
        <v>1.0100143916040361</v>
      </c>
      <c r="F58" s="122">
        <v>82.83</v>
      </c>
      <c r="G58" s="121">
        <v>0</v>
      </c>
      <c r="H58" s="121">
        <v>0</v>
      </c>
      <c r="I58" s="121">
        <v>0</v>
      </c>
      <c r="J58" s="122">
        <v>0</v>
      </c>
      <c r="K58" s="121">
        <v>0.24134684294901604</v>
      </c>
      <c r="L58" s="121">
        <v>0.4022447382483601</v>
      </c>
      <c r="M58" s="121">
        <v>0.52619732406413933</v>
      </c>
      <c r="N58" s="122">
        <v>30.12</v>
      </c>
      <c r="O58" s="17"/>
      <c r="P58" s="17"/>
      <c r="Q58" s="17"/>
      <c r="R58" s="124" t="s">
        <v>116</v>
      </c>
      <c r="S58" s="113">
        <f t="shared" ca="1" si="11"/>
        <v>0.46129483034192209</v>
      </c>
      <c r="T58" s="113">
        <f t="shared" ca="1" si="11"/>
        <v>0.83871787334894921</v>
      </c>
      <c r="U58" s="113">
        <f t="shared" ca="1" si="11"/>
        <v>1.0100143916040361</v>
      </c>
      <c r="V58" s="76"/>
      <c r="W58" s="76"/>
      <c r="X58" s="76"/>
      <c r="Y58" s="76"/>
      <c r="Z58" s="76"/>
    </row>
    <row r="59" spans="1:26" ht="12" x14ac:dyDescent="0.2">
      <c r="A59" s="76"/>
      <c r="B59" s="124" t="s">
        <v>177</v>
      </c>
      <c r="C59" s="121">
        <v>0</v>
      </c>
      <c r="D59" s="121">
        <v>0</v>
      </c>
      <c r="E59" s="121">
        <v>0</v>
      </c>
      <c r="F59" s="122">
        <v>15.06</v>
      </c>
      <c r="G59" s="121">
        <v>0</v>
      </c>
      <c r="H59" s="121">
        <v>0</v>
      </c>
      <c r="I59" s="121">
        <v>0</v>
      </c>
      <c r="J59" s="122">
        <v>0</v>
      </c>
      <c r="K59" s="121">
        <v>0</v>
      </c>
      <c r="L59" s="121">
        <v>0</v>
      </c>
      <c r="M59" s="121">
        <v>0</v>
      </c>
      <c r="N59" s="122">
        <v>7.53</v>
      </c>
      <c r="O59" s="17"/>
      <c r="P59" s="17"/>
      <c r="Q59" s="17"/>
      <c r="R59" s="124" t="s">
        <v>177</v>
      </c>
      <c r="S59" s="113">
        <f t="shared" ca="1" si="11"/>
        <v>0</v>
      </c>
      <c r="T59" s="113">
        <f t="shared" ca="1" si="11"/>
        <v>0</v>
      </c>
      <c r="U59" s="113">
        <f t="shared" ca="1" si="11"/>
        <v>0</v>
      </c>
      <c r="V59" s="76"/>
      <c r="W59" s="128" t="s">
        <v>178</v>
      </c>
      <c r="X59" s="37">
        <v>80</v>
      </c>
      <c r="Y59" s="37">
        <f>1000/X59</f>
        <v>12.5</v>
      </c>
      <c r="Z59" s="76"/>
    </row>
    <row r="60" spans="1:26" ht="12" x14ac:dyDescent="0.2">
      <c r="A60" s="76"/>
      <c r="B60" s="124" t="s">
        <v>115</v>
      </c>
      <c r="C60" s="121">
        <v>0.11000000000000001</v>
      </c>
      <c r="D60" s="121">
        <v>0.2</v>
      </c>
      <c r="E60" s="121">
        <v>0.26910935621808724</v>
      </c>
      <c r="F60" s="122">
        <v>15.06</v>
      </c>
      <c r="G60" s="121">
        <v>0</v>
      </c>
      <c r="H60" s="121">
        <v>0</v>
      </c>
      <c r="I60" s="121">
        <v>0</v>
      </c>
      <c r="J60" s="122">
        <v>0</v>
      </c>
      <c r="K60" s="121">
        <v>0</v>
      </c>
      <c r="L60" s="121">
        <v>0</v>
      </c>
      <c r="M60" s="121">
        <v>0</v>
      </c>
      <c r="N60" s="122">
        <v>0</v>
      </c>
      <c r="O60" s="17"/>
      <c r="P60" s="17"/>
      <c r="Q60" s="17"/>
      <c r="R60" s="124" t="s">
        <v>115</v>
      </c>
      <c r="S60" s="113">
        <f t="shared" ca="1" si="11"/>
        <v>0.11000000000000001</v>
      </c>
      <c r="T60" s="113">
        <f t="shared" ca="1" si="11"/>
        <v>0.2</v>
      </c>
      <c r="U60" s="113">
        <f t="shared" ca="1" si="11"/>
        <v>0.26910935621808724</v>
      </c>
      <c r="V60" s="76"/>
      <c r="W60" s="17"/>
      <c r="X60" s="17"/>
      <c r="Y60" s="17"/>
      <c r="Z60" s="76"/>
    </row>
    <row r="61" spans="1:26" ht="12" x14ac:dyDescent="0.2">
      <c r="A61" s="76"/>
      <c r="B61" s="124" t="s">
        <v>179</v>
      </c>
      <c r="C61" s="121">
        <v>1.6252472155566706</v>
      </c>
      <c r="D61" s="121">
        <v>2.9549949373757647</v>
      </c>
      <c r="E61" s="121">
        <v>4.4729966174079756</v>
      </c>
      <c r="F61" s="122">
        <v>165.66</v>
      </c>
      <c r="G61" s="121">
        <v>6.0230158800396436E-2</v>
      </c>
      <c r="H61" s="121">
        <v>0.10038359800066073</v>
      </c>
      <c r="I61" s="121">
        <v>0.34177891281401607</v>
      </c>
      <c r="J61" s="122">
        <v>7.53</v>
      </c>
      <c r="K61" s="121">
        <v>0.3067320329227905</v>
      </c>
      <c r="L61" s="121">
        <v>0.5112200548713175</v>
      </c>
      <c r="M61" s="121">
        <v>1.4832899006593716</v>
      </c>
      <c r="N61" s="122">
        <v>37.65</v>
      </c>
      <c r="O61" s="17"/>
      <c r="P61" s="17"/>
      <c r="Q61" s="17"/>
      <c r="R61" s="124" t="s">
        <v>179</v>
      </c>
      <c r="S61" s="113">
        <f t="shared" ca="1" si="11"/>
        <v>1.6252472155566706</v>
      </c>
      <c r="T61" s="113">
        <f t="shared" ca="1" si="11"/>
        <v>2.9549949373757647</v>
      </c>
      <c r="U61" s="113">
        <f t="shared" ca="1" si="11"/>
        <v>4.4729966174079756</v>
      </c>
      <c r="V61" s="76"/>
      <c r="W61" s="17" t="s">
        <v>180</v>
      </c>
      <c r="X61" s="37">
        <v>2050</v>
      </c>
      <c r="Y61" s="37">
        <v>2080</v>
      </c>
      <c r="Z61" s="76"/>
    </row>
    <row r="62" spans="1:26" ht="12" x14ac:dyDescent="0.2">
      <c r="A62" s="76"/>
      <c r="B62" s="124" t="s">
        <v>181</v>
      </c>
      <c r="C62" s="121">
        <v>0</v>
      </c>
      <c r="D62" s="121">
        <v>0</v>
      </c>
      <c r="E62" s="121">
        <v>0</v>
      </c>
      <c r="F62" s="122">
        <v>15.06</v>
      </c>
      <c r="G62" s="121">
        <v>0</v>
      </c>
      <c r="H62" s="121">
        <v>0</v>
      </c>
      <c r="I62" s="121">
        <v>0</v>
      </c>
      <c r="J62" s="122">
        <v>0</v>
      </c>
      <c r="K62" s="121">
        <v>0</v>
      </c>
      <c r="L62" s="121">
        <v>0</v>
      </c>
      <c r="M62" s="121">
        <v>0</v>
      </c>
      <c r="N62" s="122">
        <v>0</v>
      </c>
      <c r="O62" s="17"/>
      <c r="P62" s="17"/>
      <c r="Q62" s="17"/>
      <c r="R62" s="124" t="s">
        <v>181</v>
      </c>
      <c r="S62" s="113">
        <f t="shared" ca="1" si="11"/>
        <v>0</v>
      </c>
      <c r="T62" s="113">
        <f t="shared" ca="1" si="11"/>
        <v>0</v>
      </c>
      <c r="U62" s="113">
        <f t="shared" ca="1" si="11"/>
        <v>0</v>
      </c>
      <c r="V62" s="76"/>
      <c r="W62" s="17" t="s">
        <v>182</v>
      </c>
      <c r="X62" s="127">
        <f ca="1">T63/$X$59*1000</f>
        <v>875.98724047743895</v>
      </c>
      <c r="Y62" s="127">
        <f ca="1">U63/$X$59*1000</f>
        <v>1255.6865727387149</v>
      </c>
      <c r="Z62" s="76"/>
    </row>
    <row r="63" spans="1:26" ht="12" x14ac:dyDescent="0.2">
      <c r="A63" s="76"/>
      <c r="B63" s="117"/>
      <c r="C63" s="125">
        <f t="shared" ref="C63:N63" si="12">SUM(C26:C62)</f>
        <v>38.543438581007308</v>
      </c>
      <c r="D63" s="125">
        <f t="shared" si="12"/>
        <v>70.078979238195117</v>
      </c>
      <c r="E63" s="125">
        <f t="shared" si="12"/>
        <v>100.45492581909718</v>
      </c>
      <c r="F63" s="125">
        <f t="shared" si="12"/>
        <v>5165.5800000000017</v>
      </c>
      <c r="G63" s="125">
        <f t="shared" si="12"/>
        <v>1.0835712224112048</v>
      </c>
      <c r="H63" s="125">
        <f t="shared" si="12"/>
        <v>1.8059520373520079</v>
      </c>
      <c r="I63" s="125">
        <f t="shared" si="12"/>
        <v>5.4456334866776812</v>
      </c>
      <c r="J63" s="125">
        <f t="shared" si="12"/>
        <v>135.54</v>
      </c>
      <c r="K63" s="125">
        <f t="shared" si="12"/>
        <v>13.35467768093884</v>
      </c>
      <c r="L63" s="125">
        <f t="shared" si="12"/>
        <v>22.257796134898072</v>
      </c>
      <c r="M63" s="125">
        <f t="shared" si="12"/>
        <v>40.865206511616698</v>
      </c>
      <c r="N63" s="125">
        <f t="shared" si="12"/>
        <v>1679.1899999999996</v>
      </c>
      <c r="O63" s="17"/>
      <c r="P63" s="17"/>
      <c r="Q63" s="17"/>
      <c r="R63" s="17"/>
      <c r="S63" s="125">
        <f ca="1">SUM(S26:S62)</f>
        <v>38.543438581007308</v>
      </c>
      <c r="T63" s="125">
        <f ca="1">SUM(T26:T62)</f>
        <v>70.078979238195117</v>
      </c>
      <c r="U63" s="125">
        <f ca="1">SUM(U26:U62)</f>
        <v>100.45492581909718</v>
      </c>
      <c r="V63" s="76"/>
      <c r="W63" s="17" t="s">
        <v>176</v>
      </c>
      <c r="X63" s="127">
        <f ca="1">SUMPRODUCT(T$26:T$62,$P$26:$P$62)*$Y$59</f>
        <v>816.21338590441269</v>
      </c>
      <c r="Y63" s="127">
        <f ca="1">SUMPRODUCT(U$26:U$62,$P$26:$P$62)*$Y$59</f>
        <v>1170.427525334648</v>
      </c>
      <c r="Z63" s="76"/>
    </row>
    <row r="64" spans="1:26" ht="12" x14ac:dyDescent="0.2">
      <c r="A64" s="76"/>
      <c r="B64" s="76"/>
      <c r="C64" s="76"/>
      <c r="D64" s="76"/>
      <c r="E64" s="76"/>
      <c r="F64" s="76"/>
      <c r="G64" s="76"/>
      <c r="H64" s="76"/>
      <c r="I64" s="75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2" x14ac:dyDescent="0.2">
      <c r="A65" s="76"/>
      <c r="B65" s="76"/>
      <c r="C65" s="76"/>
      <c r="D65" s="76"/>
      <c r="E65" s="76"/>
      <c r="F65" s="76"/>
      <c r="G65" s="76"/>
      <c r="H65" s="76"/>
      <c r="I65" s="75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31B1-E948-481B-AFC2-92137A3905BA}">
  <dimension ref="A1:AT57"/>
  <sheetViews>
    <sheetView workbookViewId="0">
      <selection activeCell="I39" sqref="I39"/>
    </sheetView>
  </sheetViews>
  <sheetFormatPr defaultColWidth="8.85546875" defaultRowHeight="11.25" x14ac:dyDescent="0.2"/>
  <cols>
    <col min="1" max="1" width="8.85546875" style="1"/>
    <col min="2" max="2" width="6.85546875" style="1" customWidth="1"/>
    <col min="3" max="3" width="11.7109375" style="1" customWidth="1"/>
    <col min="4" max="4" width="10.5703125" style="1" customWidth="1"/>
    <col min="5" max="5" width="11.28515625" style="1" customWidth="1"/>
    <col min="6" max="6" width="10.28515625" style="1" customWidth="1"/>
    <col min="7" max="7" width="8.140625" style="1" customWidth="1"/>
    <col min="8" max="8" width="9.85546875" style="1" customWidth="1"/>
    <col min="9" max="10" width="6.85546875" style="1" customWidth="1"/>
    <col min="11" max="38" width="6.42578125" style="1" customWidth="1"/>
    <col min="39" max="16384" width="8.85546875" style="1"/>
  </cols>
  <sheetData>
    <row r="1" spans="1:46" s="83" customFormat="1" ht="15" x14ac:dyDescent="0.25">
      <c r="B1" s="83" t="s">
        <v>271</v>
      </c>
      <c r="E1" s="84"/>
      <c r="F1" s="83" t="s">
        <v>262</v>
      </c>
      <c r="G1" s="112" t="s">
        <v>224</v>
      </c>
    </row>
    <row r="2" spans="1:46" ht="12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</row>
    <row r="3" spans="1:46" ht="12" x14ac:dyDescent="0.2">
      <c r="A3" s="76"/>
      <c r="B3" s="85" t="s">
        <v>69</v>
      </c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76"/>
      <c r="AN3" s="76"/>
      <c r="AO3" s="76"/>
      <c r="AP3" s="76"/>
      <c r="AQ3" s="76"/>
      <c r="AR3" s="76"/>
    </row>
    <row r="4" spans="1:46" ht="12.75" thickBot="1" x14ac:dyDescent="0.25">
      <c r="A4" s="76"/>
      <c r="B4" s="88" t="s">
        <v>151</v>
      </c>
      <c r="C4" s="88" t="s">
        <v>5</v>
      </c>
      <c r="D4" s="88" t="s">
        <v>67</v>
      </c>
      <c r="E4" s="88" t="s">
        <v>64</v>
      </c>
      <c r="F4" s="88" t="s">
        <v>4</v>
      </c>
      <c r="G4" s="108" t="s">
        <v>63</v>
      </c>
      <c r="H4" s="108" t="s">
        <v>65</v>
      </c>
      <c r="I4" s="108" t="s">
        <v>148</v>
      </c>
      <c r="J4" s="108" t="s">
        <v>147</v>
      </c>
      <c r="K4" s="108" t="s">
        <v>146</v>
      </c>
      <c r="L4" s="108" t="s">
        <v>144</v>
      </c>
      <c r="M4" s="108" t="s">
        <v>145</v>
      </c>
      <c r="N4" s="108" t="s">
        <v>143</v>
      </c>
      <c r="O4" s="108" t="s">
        <v>142</v>
      </c>
      <c r="P4" s="108" t="s">
        <v>141</v>
      </c>
      <c r="Q4" s="108" t="s">
        <v>140</v>
      </c>
      <c r="R4" s="108" t="s">
        <v>139</v>
      </c>
      <c r="S4" s="108" t="s">
        <v>138</v>
      </c>
      <c r="T4" s="108" t="s">
        <v>137</v>
      </c>
      <c r="U4" s="108" t="s">
        <v>136</v>
      </c>
      <c r="V4" s="108" t="s">
        <v>135</v>
      </c>
      <c r="W4" s="108" t="s">
        <v>134</v>
      </c>
      <c r="X4" s="108" t="s">
        <v>133</v>
      </c>
      <c r="Y4" s="108" t="s">
        <v>131</v>
      </c>
      <c r="Z4" s="108" t="s">
        <v>132</v>
      </c>
      <c r="AA4" s="108" t="s">
        <v>129</v>
      </c>
      <c r="AB4" s="108" t="s">
        <v>128</v>
      </c>
      <c r="AC4" s="108" t="s">
        <v>127</v>
      </c>
      <c r="AD4" s="108" t="s">
        <v>126</v>
      </c>
      <c r="AE4" s="108" t="s">
        <v>125</v>
      </c>
      <c r="AF4" s="108" t="s">
        <v>124</v>
      </c>
      <c r="AG4" s="108" t="s">
        <v>123</v>
      </c>
      <c r="AH4" s="108" t="s">
        <v>122</v>
      </c>
      <c r="AI4" s="108" t="s">
        <v>121</v>
      </c>
      <c r="AJ4" s="108" t="s">
        <v>120</v>
      </c>
      <c r="AK4" s="108" t="s">
        <v>119</v>
      </c>
      <c r="AL4" s="108" t="s">
        <v>118</v>
      </c>
      <c r="AM4" s="108" t="s">
        <v>117</v>
      </c>
      <c r="AN4" s="108" t="s">
        <v>116</v>
      </c>
      <c r="AO4" s="108" t="s">
        <v>115</v>
      </c>
      <c r="AP4" s="108" t="s">
        <v>177</v>
      </c>
      <c r="AQ4" s="108" t="s">
        <v>179</v>
      </c>
      <c r="AR4" s="108" t="s">
        <v>244</v>
      </c>
    </row>
    <row r="5" spans="1:46" ht="12" x14ac:dyDescent="0.2">
      <c r="A5" s="76"/>
      <c r="B5" s="197" t="s">
        <v>27</v>
      </c>
      <c r="C5" s="197" t="s">
        <v>204</v>
      </c>
      <c r="D5" s="198" t="s">
        <v>28</v>
      </c>
      <c r="E5" s="197" t="s">
        <v>29</v>
      </c>
      <c r="F5" s="197">
        <v>2029</v>
      </c>
      <c r="G5" s="198"/>
      <c r="H5" s="199">
        <v>0</v>
      </c>
      <c r="I5" s="200">
        <f>H5</f>
        <v>0</v>
      </c>
      <c r="J5" s="200">
        <f t="shared" ref="J5:AQ5" si="0">I5</f>
        <v>0</v>
      </c>
      <c r="K5" s="200">
        <f t="shared" si="0"/>
        <v>0</v>
      </c>
      <c r="L5" s="200">
        <f t="shared" si="0"/>
        <v>0</v>
      </c>
      <c r="M5" s="200">
        <f t="shared" si="0"/>
        <v>0</v>
      </c>
      <c r="N5" s="200">
        <f t="shared" si="0"/>
        <v>0</v>
      </c>
      <c r="O5" s="200">
        <f t="shared" si="0"/>
        <v>0</v>
      </c>
      <c r="P5" s="200">
        <f t="shared" si="0"/>
        <v>0</v>
      </c>
      <c r="Q5" s="200">
        <f t="shared" si="0"/>
        <v>0</v>
      </c>
      <c r="R5" s="200">
        <f t="shared" si="0"/>
        <v>0</v>
      </c>
      <c r="S5" s="200">
        <f t="shared" si="0"/>
        <v>0</v>
      </c>
      <c r="T5" s="200">
        <f t="shared" si="0"/>
        <v>0</v>
      </c>
      <c r="U5" s="200">
        <f t="shared" si="0"/>
        <v>0</v>
      </c>
      <c r="V5" s="200">
        <f t="shared" si="0"/>
        <v>0</v>
      </c>
      <c r="W5" s="200">
        <f t="shared" si="0"/>
        <v>0</v>
      </c>
      <c r="X5" s="200">
        <f t="shared" si="0"/>
        <v>0</v>
      </c>
      <c r="Y5" s="200">
        <f t="shared" si="0"/>
        <v>0</v>
      </c>
      <c r="Z5" s="200">
        <f t="shared" si="0"/>
        <v>0</v>
      </c>
      <c r="AA5" s="200">
        <f t="shared" si="0"/>
        <v>0</v>
      </c>
      <c r="AB5" s="200">
        <f t="shared" si="0"/>
        <v>0</v>
      </c>
      <c r="AC5" s="200">
        <f t="shared" si="0"/>
        <v>0</v>
      </c>
      <c r="AD5" s="200">
        <f t="shared" si="0"/>
        <v>0</v>
      </c>
      <c r="AE5" s="200">
        <f t="shared" si="0"/>
        <v>0</v>
      </c>
      <c r="AF5" s="200">
        <f t="shared" si="0"/>
        <v>0</v>
      </c>
      <c r="AG5" s="200">
        <f t="shared" si="0"/>
        <v>0</v>
      </c>
      <c r="AH5" s="200">
        <f t="shared" si="0"/>
        <v>0</v>
      </c>
      <c r="AI5" s="200">
        <f t="shared" si="0"/>
        <v>0</v>
      </c>
      <c r="AJ5" s="200">
        <f t="shared" si="0"/>
        <v>0</v>
      </c>
      <c r="AK5" s="200">
        <f t="shared" si="0"/>
        <v>0</v>
      </c>
      <c r="AL5" s="200">
        <f t="shared" si="0"/>
        <v>0</v>
      </c>
      <c r="AM5" s="200">
        <f t="shared" si="0"/>
        <v>0</v>
      </c>
      <c r="AN5" s="200">
        <f t="shared" si="0"/>
        <v>0</v>
      </c>
      <c r="AO5" s="200">
        <f t="shared" si="0"/>
        <v>0</v>
      </c>
      <c r="AP5" s="200">
        <f t="shared" si="0"/>
        <v>0</v>
      </c>
      <c r="AQ5" s="200">
        <f t="shared" si="0"/>
        <v>0</v>
      </c>
      <c r="AR5" s="200">
        <f>SUM(I5:AG5)+AL5</f>
        <v>0</v>
      </c>
    </row>
    <row r="6" spans="1:46" ht="12" x14ac:dyDescent="0.2">
      <c r="A6" s="76"/>
      <c r="B6" s="90" t="s">
        <v>27</v>
      </c>
      <c r="C6" s="90" t="s">
        <v>191</v>
      </c>
      <c r="D6" s="91" t="s">
        <v>28</v>
      </c>
      <c r="E6" s="90" t="s">
        <v>29</v>
      </c>
      <c r="F6" s="90">
        <v>2030</v>
      </c>
      <c r="G6" s="91"/>
      <c r="H6" s="92">
        <v>0</v>
      </c>
      <c r="I6" s="110">
        <f>$F34*I$26</f>
        <v>103.2675610094451</v>
      </c>
      <c r="J6" s="110">
        <f t="shared" ref="J6:AL14" si="1">$F34*J$26</f>
        <v>105.698740585997</v>
      </c>
      <c r="K6" s="110">
        <f t="shared" si="1"/>
        <v>179.44161334949683</v>
      </c>
      <c r="L6" s="110">
        <f t="shared" si="1"/>
        <v>180.56978811960087</v>
      </c>
      <c r="M6" s="110">
        <f t="shared" si="1"/>
        <v>15.967414730712763</v>
      </c>
      <c r="N6" s="110">
        <f t="shared" si="1"/>
        <v>847.15163084131075</v>
      </c>
      <c r="O6" s="110">
        <f t="shared" si="1"/>
        <v>240.81693929750497</v>
      </c>
      <c r="P6" s="110">
        <f t="shared" si="1"/>
        <v>109.72148166397214</v>
      </c>
      <c r="Q6" s="110">
        <f t="shared" si="1"/>
        <v>1345.7451436860244</v>
      </c>
      <c r="R6" s="110">
        <f t="shared" si="1"/>
        <v>248.95903844303029</v>
      </c>
      <c r="S6" s="110">
        <f t="shared" si="1"/>
        <v>629.37350987204093</v>
      </c>
      <c r="T6" s="110">
        <f t="shared" si="1"/>
        <v>170.18915947048419</v>
      </c>
      <c r="U6" s="110">
        <f t="shared" si="1"/>
        <v>216.34438367781345</v>
      </c>
      <c r="V6" s="110">
        <f t="shared" si="1"/>
        <v>84.038501176327244</v>
      </c>
      <c r="W6" s="110">
        <f t="shared" si="1"/>
        <v>698.89918923874041</v>
      </c>
      <c r="X6" s="110">
        <f t="shared" si="1"/>
        <v>307.81729639707891</v>
      </c>
      <c r="Y6" s="110">
        <f t="shared" si="1"/>
        <v>181.17117499905174</v>
      </c>
      <c r="Z6" s="110">
        <f t="shared" si="1"/>
        <v>5.5995198987075288</v>
      </c>
      <c r="AA6" s="110">
        <f t="shared" si="1"/>
        <v>94.436738068820006</v>
      </c>
      <c r="AB6" s="110">
        <f t="shared" si="1"/>
        <v>692.97229004302096</v>
      </c>
      <c r="AC6" s="110">
        <f t="shared" si="1"/>
        <v>167.30292895032829</v>
      </c>
      <c r="AD6" s="110">
        <f t="shared" si="1"/>
        <v>461.83823070537119</v>
      </c>
      <c r="AE6" s="110">
        <f t="shared" si="1"/>
        <v>306.03767333110261</v>
      </c>
      <c r="AF6" s="110">
        <f t="shared" si="1"/>
        <v>44.649011657275196</v>
      </c>
      <c r="AG6" s="110">
        <f t="shared" si="1"/>
        <v>101.19450674293051</v>
      </c>
      <c r="AH6" s="110">
        <f>AH26*$AR6</f>
        <v>751.47066182082597</v>
      </c>
      <c r="AI6" s="110">
        <f t="shared" ref="AI6:AK8" si="2">AI26*$AR6</f>
        <v>0</v>
      </c>
      <c r="AJ6" s="110">
        <f t="shared" si="2"/>
        <v>64.894738917607967</v>
      </c>
      <c r="AK6" s="110">
        <f t="shared" si="2"/>
        <v>157.83074419150549</v>
      </c>
      <c r="AL6" s="110">
        <f t="shared" si="1"/>
        <v>160.7965340438121</v>
      </c>
      <c r="AM6" s="110">
        <v>0</v>
      </c>
      <c r="AN6" s="110">
        <v>0</v>
      </c>
      <c r="AO6" s="110">
        <v>0</v>
      </c>
      <c r="AP6" s="110">
        <v>0</v>
      </c>
      <c r="AQ6" s="110">
        <v>0</v>
      </c>
      <c r="AR6" s="110">
        <f t="shared" ref="AR6:AR15" si="3">SUM(I6:AG6)+AL6</f>
        <v>7700</v>
      </c>
    </row>
    <row r="7" spans="1:46" ht="12" x14ac:dyDescent="0.2">
      <c r="A7" s="76"/>
      <c r="B7" s="90" t="s">
        <v>27</v>
      </c>
      <c r="C7" s="90" t="s">
        <v>192</v>
      </c>
      <c r="D7" s="91" t="s">
        <v>28</v>
      </c>
      <c r="E7" s="90" t="s">
        <v>29</v>
      </c>
      <c r="F7" s="90">
        <v>2030</v>
      </c>
      <c r="G7" s="91"/>
      <c r="H7" s="92">
        <v>0</v>
      </c>
      <c r="I7" s="110">
        <f t="shared" ref="I7:X14" si="4">$F35*I$26</f>
        <v>105.94983532137874</v>
      </c>
      <c r="J7" s="110">
        <f t="shared" si="4"/>
        <v>108.44416241939952</v>
      </c>
      <c r="K7" s="110">
        <f t="shared" si="4"/>
        <v>184.10243447545778</v>
      </c>
      <c r="L7" s="110">
        <f t="shared" si="4"/>
        <v>185.25991248634375</v>
      </c>
      <c r="M7" s="110">
        <f t="shared" si="4"/>
        <v>16.382152775666341</v>
      </c>
      <c r="N7" s="110">
        <f t="shared" si="4"/>
        <v>869.15556930472144</v>
      </c>
      <c r="O7" s="110">
        <f t="shared" si="4"/>
        <v>247.07192473380383</v>
      </c>
      <c r="P7" s="110">
        <f t="shared" si="4"/>
        <v>112.57139027862077</v>
      </c>
      <c r="Q7" s="110">
        <f t="shared" si="4"/>
        <v>1380.6995630025444</v>
      </c>
      <c r="R7" s="110">
        <f t="shared" si="4"/>
        <v>255.42550697401808</v>
      </c>
      <c r="S7" s="110">
        <f t="shared" si="4"/>
        <v>645.72087376482125</v>
      </c>
      <c r="T7" s="110">
        <f t="shared" si="4"/>
        <v>174.6096571190682</v>
      </c>
      <c r="U7" s="110">
        <f t="shared" si="4"/>
        <v>221.96371831879563</v>
      </c>
      <c r="V7" s="110">
        <f t="shared" si="4"/>
        <v>86.221319388699371</v>
      </c>
      <c r="W7" s="110">
        <f t="shared" si="4"/>
        <v>717.05241493325309</v>
      </c>
      <c r="X7" s="110">
        <f t="shared" si="4"/>
        <v>315.81255084895105</v>
      </c>
      <c r="Y7" s="110">
        <f t="shared" si="1"/>
        <v>185.8769198042219</v>
      </c>
      <c r="Z7" s="110">
        <f t="shared" si="1"/>
        <v>5.7449619739986328</v>
      </c>
      <c r="AA7" s="110">
        <f t="shared" si="1"/>
        <v>96.88964035632182</v>
      </c>
      <c r="AB7" s="110">
        <f t="shared" si="1"/>
        <v>710.97157030387859</v>
      </c>
      <c r="AC7" s="110">
        <f t="shared" si="1"/>
        <v>171.64845957241474</v>
      </c>
      <c r="AD7" s="110">
        <f t="shared" si="1"/>
        <v>473.83402890551071</v>
      </c>
      <c r="AE7" s="110">
        <f t="shared" si="1"/>
        <v>313.98670380723513</v>
      </c>
      <c r="AF7" s="110">
        <f t="shared" si="1"/>
        <v>45.808726245775851</v>
      </c>
      <c r="AG7" s="110">
        <f t="shared" si="1"/>
        <v>103.82293548950014</v>
      </c>
      <c r="AH7" s="110">
        <f>AH27*$AR7</f>
        <v>670.83239689290713</v>
      </c>
      <c r="AI7" s="110">
        <f t="shared" si="2"/>
        <v>3.6958557156308136</v>
      </c>
      <c r="AJ7" s="110">
        <f t="shared" si="2"/>
        <v>57.889972278999991</v>
      </c>
      <c r="AK7" s="110">
        <f t="shared" si="2"/>
        <v>126.64714243923058</v>
      </c>
      <c r="AL7" s="110">
        <f t="shared" si="1"/>
        <v>164.97306739559943</v>
      </c>
      <c r="AM7" s="110">
        <v>0</v>
      </c>
      <c r="AN7" s="110">
        <v>0</v>
      </c>
      <c r="AO7" s="110">
        <v>0</v>
      </c>
      <c r="AP7" s="110">
        <v>0</v>
      </c>
      <c r="AQ7" s="110">
        <v>0</v>
      </c>
      <c r="AR7" s="110">
        <f t="shared" si="3"/>
        <v>7900</v>
      </c>
    </row>
    <row r="8" spans="1:46" ht="12" x14ac:dyDescent="0.2">
      <c r="A8" s="76"/>
      <c r="B8" s="175" t="s">
        <v>27</v>
      </c>
      <c r="C8" s="175" t="s">
        <v>193</v>
      </c>
      <c r="D8" s="201" t="s">
        <v>28</v>
      </c>
      <c r="E8" s="175" t="s">
        <v>29</v>
      </c>
      <c r="F8" s="175">
        <v>2030</v>
      </c>
      <c r="G8" s="201"/>
      <c r="H8" s="199">
        <v>0</v>
      </c>
      <c r="I8" s="200">
        <f t="shared" si="4"/>
        <v>150.20736146828378</v>
      </c>
      <c r="J8" s="200">
        <f t="shared" si="1"/>
        <v>153.7436226705411</v>
      </c>
      <c r="K8" s="200">
        <f t="shared" si="1"/>
        <v>261.00598305381357</v>
      </c>
      <c r="L8" s="200">
        <f t="shared" si="1"/>
        <v>262.64696453760126</v>
      </c>
      <c r="M8" s="200">
        <f t="shared" si="1"/>
        <v>23.225330517400383</v>
      </c>
      <c r="N8" s="200">
        <f t="shared" si="1"/>
        <v>1232.2205539509976</v>
      </c>
      <c r="O8" s="200">
        <f t="shared" si="1"/>
        <v>350.27918443273455</v>
      </c>
      <c r="P8" s="200">
        <f t="shared" si="1"/>
        <v>159.59488242032313</v>
      </c>
      <c r="Q8" s="200">
        <f t="shared" si="1"/>
        <v>1957.4474817251264</v>
      </c>
      <c r="R8" s="200">
        <f t="shared" si="1"/>
        <v>362.12223773531679</v>
      </c>
      <c r="S8" s="200">
        <f t="shared" si="1"/>
        <v>915.45237799569588</v>
      </c>
      <c r="T8" s="200">
        <f t="shared" si="1"/>
        <v>247.54786832070428</v>
      </c>
      <c r="U8" s="200">
        <f t="shared" si="1"/>
        <v>314.68273989500136</v>
      </c>
      <c r="V8" s="200">
        <f t="shared" si="1"/>
        <v>122.23781989283962</v>
      </c>
      <c r="W8" s="200">
        <f t="shared" si="1"/>
        <v>1016.5806388927133</v>
      </c>
      <c r="X8" s="200">
        <f t="shared" si="1"/>
        <v>447.73424930484202</v>
      </c>
      <c r="Y8" s="200">
        <f t="shared" si="1"/>
        <v>263.52170908952979</v>
      </c>
      <c r="Z8" s="200">
        <f t="shared" si="1"/>
        <v>8.1447562163018592</v>
      </c>
      <c r="AA8" s="200">
        <f t="shared" si="1"/>
        <v>137.36252810010183</v>
      </c>
      <c r="AB8" s="200">
        <f t="shared" si="1"/>
        <v>1007.9596946080304</v>
      </c>
      <c r="AC8" s="200">
        <f t="shared" si="1"/>
        <v>243.34971483684114</v>
      </c>
      <c r="AD8" s="200">
        <f t="shared" si="1"/>
        <v>671.76469920781267</v>
      </c>
      <c r="AE8" s="200">
        <f t="shared" si="1"/>
        <v>445.14570666342195</v>
      </c>
      <c r="AF8" s="200">
        <f t="shared" si="1"/>
        <v>64.944016956036648</v>
      </c>
      <c r="AG8" s="200">
        <f t="shared" si="1"/>
        <v>147.19200980789893</v>
      </c>
      <c r="AH8" s="200">
        <f>AH28*$AR8</f>
        <v>578.42769080826224</v>
      </c>
      <c r="AI8" s="200">
        <f t="shared" si="2"/>
        <v>18.989821938889332</v>
      </c>
      <c r="AJ8" s="200">
        <f t="shared" si="2"/>
        <v>49.740147044849763</v>
      </c>
      <c r="AK8" s="200">
        <f t="shared" si="2"/>
        <v>48.282496393577951</v>
      </c>
      <c r="AL8" s="200">
        <f t="shared" si="1"/>
        <v>233.88586770009033</v>
      </c>
      <c r="AM8" s="200">
        <v>0</v>
      </c>
      <c r="AN8" s="200">
        <v>0</v>
      </c>
      <c r="AO8" s="200">
        <v>0</v>
      </c>
      <c r="AP8" s="200">
        <v>0</v>
      </c>
      <c r="AQ8" s="200">
        <v>0</v>
      </c>
      <c r="AR8" s="200">
        <f t="shared" si="3"/>
        <v>11200</v>
      </c>
      <c r="AT8" s="170">
        <f>SUM(AR6:AR8)</f>
        <v>26800</v>
      </c>
    </row>
    <row r="9" spans="1:46" ht="12" x14ac:dyDescent="0.2">
      <c r="A9" s="76"/>
      <c r="B9" s="90" t="s">
        <v>27</v>
      </c>
      <c r="C9" s="90" t="s">
        <v>191</v>
      </c>
      <c r="D9" s="91" t="s">
        <v>28</v>
      </c>
      <c r="E9" s="90" t="s">
        <v>29</v>
      </c>
      <c r="F9" s="90">
        <v>2040</v>
      </c>
      <c r="G9" s="91"/>
      <c r="H9" s="92">
        <v>0</v>
      </c>
      <c r="I9" s="110">
        <f t="shared" si="4"/>
        <v>175.68896743165337</v>
      </c>
      <c r="J9" s="110">
        <f t="shared" si="1"/>
        <v>179.82513008786503</v>
      </c>
      <c r="K9" s="110">
        <f t="shared" si="1"/>
        <v>305.28378375044264</v>
      </c>
      <c r="L9" s="110">
        <f t="shared" si="1"/>
        <v>307.2031460216586</v>
      </c>
      <c r="M9" s="110">
        <f t="shared" si="1"/>
        <v>27.165341944459378</v>
      </c>
      <c r="N9" s="110">
        <f t="shared" si="1"/>
        <v>1441.2579693533987</v>
      </c>
      <c r="O9" s="110">
        <f t="shared" si="1"/>
        <v>409.70154607757343</v>
      </c>
      <c r="P9" s="110">
        <f t="shared" si="1"/>
        <v>186.66901425948507</v>
      </c>
      <c r="Q9" s="110">
        <f t="shared" si="1"/>
        <v>2289.5144652320673</v>
      </c>
      <c r="R9" s="110">
        <f t="shared" si="1"/>
        <v>423.55368877970091</v>
      </c>
      <c r="S9" s="110">
        <f t="shared" si="1"/>
        <v>1070.7523349771086</v>
      </c>
      <c r="T9" s="110">
        <f t="shared" si="1"/>
        <v>289.54259598225229</v>
      </c>
      <c r="U9" s="110">
        <f t="shared" si="1"/>
        <v>368.06641898433196</v>
      </c>
      <c r="V9" s="110">
        <f t="shared" si="1"/>
        <v>142.97459291037492</v>
      </c>
      <c r="W9" s="110">
        <f t="shared" si="1"/>
        <v>1189.0362829905844</v>
      </c>
      <c r="X9" s="110">
        <f t="shared" si="1"/>
        <v>523.68916659762772</v>
      </c>
      <c r="Y9" s="110">
        <f t="shared" si="1"/>
        <v>308.22628473864643</v>
      </c>
      <c r="Z9" s="110">
        <f t="shared" si="1"/>
        <v>9.5264559315673534</v>
      </c>
      <c r="AA9" s="110">
        <f t="shared" si="1"/>
        <v>160.6650998313691</v>
      </c>
      <c r="AB9" s="110">
        <f t="shared" si="1"/>
        <v>1178.9528570861785</v>
      </c>
      <c r="AC9" s="110">
        <f t="shared" si="1"/>
        <v>284.63225574666245</v>
      </c>
      <c r="AD9" s="110">
        <f t="shared" si="1"/>
        <v>785.724782109138</v>
      </c>
      <c r="AE9" s="110">
        <f t="shared" si="1"/>
        <v>520.66149618668101</v>
      </c>
      <c r="AF9" s="110">
        <f t="shared" si="1"/>
        <v>75.961305546792872</v>
      </c>
      <c r="AG9" s="110">
        <f t="shared" si="1"/>
        <v>172.16208290031037</v>
      </c>
      <c r="AH9" s="110">
        <f>AH26*$AR9</f>
        <v>1278.4760610198466</v>
      </c>
      <c r="AI9" s="110">
        <f t="shared" ref="AI9:AK11" si="5">AI26*$AR9</f>
        <v>0</v>
      </c>
      <c r="AJ9" s="110">
        <f t="shared" si="5"/>
        <v>110.40533504164473</v>
      </c>
      <c r="AK9" s="110">
        <f t="shared" si="5"/>
        <v>268.51724011801588</v>
      </c>
      <c r="AL9" s="110">
        <f t="shared" si="1"/>
        <v>273.56293454206997</v>
      </c>
      <c r="AM9" s="110">
        <v>0</v>
      </c>
      <c r="AN9" s="110">
        <v>0</v>
      </c>
      <c r="AO9" s="110">
        <v>0</v>
      </c>
      <c r="AP9" s="110">
        <v>0</v>
      </c>
      <c r="AQ9" s="110">
        <v>0</v>
      </c>
      <c r="AR9" s="110">
        <f t="shared" si="3"/>
        <v>13100</v>
      </c>
    </row>
    <row r="10" spans="1:46" ht="12" x14ac:dyDescent="0.2">
      <c r="A10" s="76"/>
      <c r="B10" s="90" t="s">
        <v>27</v>
      </c>
      <c r="C10" s="90" t="s">
        <v>192</v>
      </c>
      <c r="D10" s="91" t="s">
        <v>28</v>
      </c>
      <c r="E10" s="90" t="s">
        <v>29</v>
      </c>
      <c r="F10" s="90">
        <v>2040</v>
      </c>
      <c r="G10" s="91"/>
      <c r="H10" s="92">
        <v>0</v>
      </c>
      <c r="I10" s="110">
        <f t="shared" si="4"/>
        <v>126.06689266088104</v>
      </c>
      <c r="J10" s="110">
        <f t="shared" si="1"/>
        <v>129.03482616991843</v>
      </c>
      <c r="K10" s="110">
        <f t="shared" si="1"/>
        <v>219.05859292016495</v>
      </c>
      <c r="L10" s="110">
        <f t="shared" si="1"/>
        <v>220.43584523691533</v>
      </c>
      <c r="M10" s="110">
        <f t="shared" si="1"/>
        <v>19.492688112818179</v>
      </c>
      <c r="N10" s="110">
        <f t="shared" si="1"/>
        <v>1034.1851077803015</v>
      </c>
      <c r="O10" s="110">
        <f t="shared" si="1"/>
        <v>293.98431550604505</v>
      </c>
      <c r="P10" s="110">
        <f t="shared" si="1"/>
        <v>133.94570488848547</v>
      </c>
      <c r="Q10" s="110">
        <f t="shared" si="1"/>
        <v>1642.8577078764454</v>
      </c>
      <c r="R10" s="110">
        <f t="shared" si="1"/>
        <v>303.9240209564266</v>
      </c>
      <c r="S10" s="110">
        <f t="shared" si="1"/>
        <v>768.32610296067332</v>
      </c>
      <c r="T10" s="110">
        <f t="shared" si="1"/>
        <v>207.76338948344824</v>
      </c>
      <c r="U10" s="110">
        <f t="shared" si="1"/>
        <v>264.10872812616185</v>
      </c>
      <c r="V10" s="110">
        <f t="shared" si="1"/>
        <v>102.5924559814904</v>
      </c>
      <c r="W10" s="110">
        <f t="shared" si="1"/>
        <v>853.20160764209868</v>
      </c>
      <c r="X10" s="110">
        <f t="shared" si="1"/>
        <v>375.7769592379924</v>
      </c>
      <c r="Y10" s="110">
        <f t="shared" si="1"/>
        <v>221.17000584299822</v>
      </c>
      <c r="Z10" s="110">
        <f t="shared" si="1"/>
        <v>6.835777538681918</v>
      </c>
      <c r="AA10" s="110">
        <f t="shared" si="1"/>
        <v>115.28640751258547</v>
      </c>
      <c r="AB10" s="110">
        <f t="shared" si="1"/>
        <v>845.96617226031128</v>
      </c>
      <c r="AC10" s="110">
        <f t="shared" si="1"/>
        <v>204.2399392380631</v>
      </c>
      <c r="AD10" s="110">
        <f t="shared" si="1"/>
        <v>563.80251540655706</v>
      </c>
      <c r="AE10" s="110">
        <f t="shared" si="1"/>
        <v>373.60443237822915</v>
      </c>
      <c r="AF10" s="110">
        <f t="shared" si="1"/>
        <v>54.506585659530764</v>
      </c>
      <c r="AG10" s="110">
        <f t="shared" si="1"/>
        <v>123.53615108877231</v>
      </c>
      <c r="AH10" s="110">
        <f>AH27*$AR10</f>
        <v>798.20563680928194</v>
      </c>
      <c r="AI10" s="110">
        <f t="shared" si="5"/>
        <v>4.3976004717632469</v>
      </c>
      <c r="AJ10" s="110">
        <f t="shared" si="5"/>
        <v>68.881739167417706</v>
      </c>
      <c r="AK10" s="110">
        <f t="shared" si="5"/>
        <v>150.69406821883132</v>
      </c>
      <c r="AL10" s="110">
        <f t="shared" si="1"/>
        <v>196.29706753400438</v>
      </c>
      <c r="AM10" s="110">
        <v>0</v>
      </c>
      <c r="AN10" s="110">
        <v>0</v>
      </c>
      <c r="AO10" s="110">
        <v>0</v>
      </c>
      <c r="AP10" s="110">
        <v>0</v>
      </c>
      <c r="AQ10" s="110">
        <v>0</v>
      </c>
      <c r="AR10" s="110">
        <f t="shared" si="3"/>
        <v>9400</v>
      </c>
    </row>
    <row r="11" spans="1:46" ht="12" x14ac:dyDescent="0.2">
      <c r="A11" s="76"/>
      <c r="B11" s="175" t="s">
        <v>27</v>
      </c>
      <c r="C11" s="175" t="s">
        <v>193</v>
      </c>
      <c r="D11" s="201" t="s">
        <v>28</v>
      </c>
      <c r="E11" s="175" t="s">
        <v>29</v>
      </c>
      <c r="F11" s="175">
        <v>2040</v>
      </c>
      <c r="G11" s="201"/>
      <c r="H11" s="199">
        <v>0</v>
      </c>
      <c r="I11" s="200">
        <f t="shared" si="4"/>
        <v>189.10033899132156</v>
      </c>
      <c r="J11" s="200">
        <f t="shared" si="1"/>
        <v>193.55223925487763</v>
      </c>
      <c r="K11" s="200">
        <f t="shared" si="1"/>
        <v>328.58788938024742</v>
      </c>
      <c r="L11" s="200">
        <f t="shared" si="1"/>
        <v>330.65376785537302</v>
      </c>
      <c r="M11" s="200">
        <f t="shared" si="1"/>
        <v>29.239032169227269</v>
      </c>
      <c r="N11" s="200">
        <f t="shared" si="1"/>
        <v>1551.2776616704521</v>
      </c>
      <c r="O11" s="200">
        <f t="shared" si="1"/>
        <v>440.97647325906757</v>
      </c>
      <c r="P11" s="200">
        <f t="shared" si="1"/>
        <v>200.9185573327282</v>
      </c>
      <c r="Q11" s="200">
        <f t="shared" si="1"/>
        <v>2464.2865618146679</v>
      </c>
      <c r="R11" s="200">
        <f t="shared" si="1"/>
        <v>455.8860314346399</v>
      </c>
      <c r="S11" s="200">
        <f t="shared" si="1"/>
        <v>1152.48915444101</v>
      </c>
      <c r="T11" s="200">
        <f t="shared" si="1"/>
        <v>311.64508422517235</v>
      </c>
      <c r="U11" s="200">
        <f t="shared" si="1"/>
        <v>396.16309218924283</v>
      </c>
      <c r="V11" s="200">
        <f t="shared" si="1"/>
        <v>153.88868397223558</v>
      </c>
      <c r="W11" s="200">
        <f t="shared" si="1"/>
        <v>1279.802411463148</v>
      </c>
      <c r="X11" s="200">
        <f t="shared" si="1"/>
        <v>563.66543885698866</v>
      </c>
      <c r="Y11" s="200">
        <f t="shared" si="1"/>
        <v>331.75500876449735</v>
      </c>
      <c r="Z11" s="200">
        <f t="shared" si="1"/>
        <v>10.253666308022877</v>
      </c>
      <c r="AA11" s="200">
        <f t="shared" si="1"/>
        <v>172.9296112688782</v>
      </c>
      <c r="AB11" s="200">
        <f t="shared" si="1"/>
        <v>1268.9492583904669</v>
      </c>
      <c r="AC11" s="200">
        <f t="shared" si="1"/>
        <v>306.35990885709469</v>
      </c>
      <c r="AD11" s="200">
        <f t="shared" si="1"/>
        <v>845.70377310983554</v>
      </c>
      <c r="AE11" s="200">
        <f t="shared" si="1"/>
        <v>560.40664856734372</v>
      </c>
      <c r="AF11" s="200">
        <f t="shared" si="1"/>
        <v>81.759878489296142</v>
      </c>
      <c r="AG11" s="200">
        <f t="shared" si="1"/>
        <v>185.30422663315849</v>
      </c>
      <c r="AH11" s="200">
        <f>AH28*$AR11</f>
        <v>728.19914646397297</v>
      </c>
      <c r="AI11" s="200">
        <f t="shared" si="5"/>
        <v>23.906829405208889</v>
      </c>
      <c r="AJ11" s="200">
        <f t="shared" si="5"/>
        <v>62.619292261819787</v>
      </c>
      <c r="AK11" s="200">
        <f t="shared" si="5"/>
        <v>60.784214209772237</v>
      </c>
      <c r="AL11" s="200">
        <f t="shared" si="1"/>
        <v>294.4456013010066</v>
      </c>
      <c r="AM11" s="200">
        <v>0</v>
      </c>
      <c r="AN11" s="200">
        <v>0</v>
      </c>
      <c r="AO11" s="200">
        <v>0</v>
      </c>
      <c r="AP11" s="200">
        <v>0</v>
      </c>
      <c r="AQ11" s="200">
        <v>0</v>
      </c>
      <c r="AR11" s="200">
        <f t="shared" si="3"/>
        <v>14100</v>
      </c>
      <c r="AT11" s="170">
        <f>SUM(AR9:AR11)</f>
        <v>36600</v>
      </c>
    </row>
    <row r="12" spans="1:46" ht="12" x14ac:dyDescent="0.2">
      <c r="A12" s="76"/>
      <c r="B12" s="90" t="s">
        <v>27</v>
      </c>
      <c r="C12" s="90" t="s">
        <v>191</v>
      </c>
      <c r="D12" s="91" t="s">
        <v>28</v>
      </c>
      <c r="E12" s="90" t="s">
        <v>29</v>
      </c>
      <c r="F12" s="90">
        <v>2050</v>
      </c>
      <c r="G12" s="91"/>
      <c r="H12" s="92">
        <v>0</v>
      </c>
      <c r="I12" s="110">
        <f t="shared" si="4"/>
        <v>139.47826422054922</v>
      </c>
      <c r="J12" s="110">
        <f t="shared" si="1"/>
        <v>142.761935336931</v>
      </c>
      <c r="K12" s="110">
        <f t="shared" si="1"/>
        <v>242.36269854996974</v>
      </c>
      <c r="L12" s="110">
        <f t="shared" si="1"/>
        <v>243.88646707062972</v>
      </c>
      <c r="M12" s="110">
        <f t="shared" si="1"/>
        <v>21.56637833758607</v>
      </c>
      <c r="N12" s="110">
        <f t="shared" si="1"/>
        <v>1144.2048000973548</v>
      </c>
      <c r="O12" s="110">
        <f t="shared" si="1"/>
        <v>325.2592426875392</v>
      </c>
      <c r="P12" s="110">
        <f t="shared" si="1"/>
        <v>148.1952479617286</v>
      </c>
      <c r="Q12" s="110">
        <f t="shared" si="1"/>
        <v>1817.629804459046</v>
      </c>
      <c r="R12" s="110">
        <f t="shared" si="1"/>
        <v>336.2563636113656</v>
      </c>
      <c r="S12" s="110">
        <f t="shared" si="1"/>
        <v>850.06292242457471</v>
      </c>
      <c r="T12" s="110">
        <f t="shared" si="1"/>
        <v>229.86587772636824</v>
      </c>
      <c r="U12" s="110">
        <f t="shared" si="1"/>
        <v>292.20540133107272</v>
      </c>
      <c r="V12" s="110">
        <f t="shared" si="1"/>
        <v>113.50654704335108</v>
      </c>
      <c r="W12" s="110">
        <f t="shared" si="1"/>
        <v>943.96773611466233</v>
      </c>
      <c r="X12" s="110">
        <f t="shared" si="1"/>
        <v>415.75323149735328</v>
      </c>
      <c r="Y12" s="110">
        <f t="shared" si="1"/>
        <v>244.69872986884909</v>
      </c>
      <c r="Z12" s="110">
        <f t="shared" si="1"/>
        <v>7.5629879151374411</v>
      </c>
      <c r="AA12" s="110">
        <f t="shared" si="1"/>
        <v>127.55091895009456</v>
      </c>
      <c r="AB12" s="110">
        <f t="shared" si="1"/>
        <v>935.96257356459967</v>
      </c>
      <c r="AC12" s="110">
        <f t="shared" si="1"/>
        <v>225.96759234849537</v>
      </c>
      <c r="AD12" s="110">
        <f t="shared" si="1"/>
        <v>623.7815064072546</v>
      </c>
      <c r="AE12" s="110">
        <f t="shared" si="1"/>
        <v>413.34958475889181</v>
      </c>
      <c r="AF12" s="110">
        <f t="shared" si="1"/>
        <v>60.305158602034034</v>
      </c>
      <c r="AG12" s="110">
        <f t="shared" si="1"/>
        <v>136.67829482162043</v>
      </c>
      <c r="AH12" s="110">
        <f>AH26*$AR12</f>
        <v>1014.9733614203361</v>
      </c>
      <c r="AI12" s="110">
        <f t="shared" ref="AI12:AK14" si="6">AI26*$AR12</f>
        <v>0</v>
      </c>
      <c r="AJ12" s="110">
        <f t="shared" si="6"/>
        <v>87.650036979626336</v>
      </c>
      <c r="AK12" s="110">
        <f t="shared" si="6"/>
        <v>213.17399215476064</v>
      </c>
      <c r="AL12" s="110">
        <f t="shared" si="1"/>
        <v>217.17973429294102</v>
      </c>
      <c r="AM12" s="110">
        <v>0</v>
      </c>
      <c r="AN12" s="110">
        <v>0</v>
      </c>
      <c r="AO12" s="110">
        <v>0</v>
      </c>
      <c r="AP12" s="110">
        <v>0</v>
      </c>
      <c r="AQ12" s="110">
        <v>0</v>
      </c>
      <c r="AR12" s="110">
        <f t="shared" si="3"/>
        <v>10399.999999999998</v>
      </c>
    </row>
    <row r="13" spans="1:46" ht="12" x14ac:dyDescent="0.2">
      <c r="A13" s="76"/>
      <c r="B13" s="90" t="s">
        <v>27</v>
      </c>
      <c r="C13" s="90" t="s">
        <v>192</v>
      </c>
      <c r="D13" s="91" t="s">
        <v>28</v>
      </c>
      <c r="E13" s="90" t="s">
        <v>29</v>
      </c>
      <c r="F13" s="90">
        <v>2050</v>
      </c>
      <c r="G13" s="91"/>
      <c r="H13" s="92">
        <v>0</v>
      </c>
      <c r="I13" s="110">
        <f t="shared" si="4"/>
        <v>134.11371559668194</v>
      </c>
      <c r="J13" s="110">
        <f t="shared" si="1"/>
        <v>137.27109167012597</v>
      </c>
      <c r="K13" s="110">
        <f t="shared" si="1"/>
        <v>233.04105629804783</v>
      </c>
      <c r="L13" s="110">
        <f t="shared" si="1"/>
        <v>234.50621833714396</v>
      </c>
      <c r="M13" s="110">
        <f t="shared" si="1"/>
        <v>20.736902247678913</v>
      </c>
      <c r="N13" s="110">
        <f t="shared" si="1"/>
        <v>1100.1969231705334</v>
      </c>
      <c r="O13" s="110">
        <f t="shared" si="1"/>
        <v>312.74927181494155</v>
      </c>
      <c r="P13" s="110">
        <f t="shared" si="1"/>
        <v>142.49543073243134</v>
      </c>
      <c r="Q13" s="110">
        <f t="shared" si="1"/>
        <v>1747.7209658260056</v>
      </c>
      <c r="R13" s="110">
        <f t="shared" si="1"/>
        <v>323.32342654938998</v>
      </c>
      <c r="S13" s="110">
        <f t="shared" si="1"/>
        <v>817.36819463901418</v>
      </c>
      <c r="T13" s="110">
        <f t="shared" si="1"/>
        <v>221.02488242920023</v>
      </c>
      <c r="U13" s="110">
        <f t="shared" si="1"/>
        <v>280.96673204910837</v>
      </c>
      <c r="V13" s="110">
        <f t="shared" si="1"/>
        <v>109.14091061860681</v>
      </c>
      <c r="W13" s="110">
        <f t="shared" si="1"/>
        <v>907.66128472563685</v>
      </c>
      <c r="X13" s="110">
        <f t="shared" si="1"/>
        <v>399.76272259360894</v>
      </c>
      <c r="Y13" s="110">
        <f t="shared" si="1"/>
        <v>235.28724025850875</v>
      </c>
      <c r="Z13" s="110">
        <f t="shared" si="1"/>
        <v>7.272103764555232</v>
      </c>
      <c r="AA13" s="110">
        <f t="shared" si="1"/>
        <v>122.64511437509093</v>
      </c>
      <c r="AB13" s="110">
        <f t="shared" si="1"/>
        <v>899.96401304288429</v>
      </c>
      <c r="AC13" s="110">
        <f t="shared" si="1"/>
        <v>217.27653110432246</v>
      </c>
      <c r="AD13" s="110">
        <f t="shared" si="1"/>
        <v>599.78991000697556</v>
      </c>
      <c r="AE13" s="110">
        <f t="shared" si="1"/>
        <v>397.45152380662671</v>
      </c>
      <c r="AF13" s="110">
        <f t="shared" si="1"/>
        <v>57.985729425032723</v>
      </c>
      <c r="AG13" s="110">
        <f t="shared" si="1"/>
        <v>131.4214373284812</v>
      </c>
      <c r="AH13" s="110">
        <f>AH27*$AR13</f>
        <v>849.15493277583187</v>
      </c>
      <c r="AI13" s="110">
        <f t="shared" si="6"/>
        <v>4.6782983742162196</v>
      </c>
      <c r="AJ13" s="110">
        <f t="shared" si="6"/>
        <v>73.278445922784798</v>
      </c>
      <c r="AK13" s="110">
        <f t="shared" si="6"/>
        <v>160.31283853067163</v>
      </c>
      <c r="AL13" s="110">
        <f t="shared" si="1"/>
        <v>208.82666758936637</v>
      </c>
      <c r="AM13" s="110">
        <v>0</v>
      </c>
      <c r="AN13" s="110">
        <v>0</v>
      </c>
      <c r="AO13" s="110">
        <v>0</v>
      </c>
      <c r="AP13" s="110">
        <v>0</v>
      </c>
      <c r="AQ13" s="110">
        <v>0</v>
      </c>
      <c r="AR13" s="110">
        <f t="shared" si="3"/>
        <v>10000</v>
      </c>
    </row>
    <row r="14" spans="1:46" ht="12" x14ac:dyDescent="0.2">
      <c r="A14" s="76"/>
      <c r="B14" s="175" t="s">
        <v>27</v>
      </c>
      <c r="C14" s="175" t="s">
        <v>193</v>
      </c>
      <c r="D14" s="201" t="s">
        <v>28</v>
      </c>
      <c r="E14" s="175" t="s">
        <v>29</v>
      </c>
      <c r="F14" s="175">
        <v>2050</v>
      </c>
      <c r="G14" s="201"/>
      <c r="H14" s="199">
        <v>0</v>
      </c>
      <c r="I14" s="200">
        <f t="shared" si="4"/>
        <v>215.92308211065796</v>
      </c>
      <c r="J14" s="200">
        <f t="shared" si="1"/>
        <v>221.00645758890283</v>
      </c>
      <c r="K14" s="200">
        <f t="shared" si="1"/>
        <v>375.19610063985704</v>
      </c>
      <c r="L14" s="200">
        <f t="shared" si="1"/>
        <v>377.55501152280181</v>
      </c>
      <c r="M14" s="200">
        <f t="shared" si="1"/>
        <v>33.386412618763053</v>
      </c>
      <c r="N14" s="200">
        <f t="shared" si="1"/>
        <v>1771.3170463045587</v>
      </c>
      <c r="O14" s="200">
        <f t="shared" si="1"/>
        <v>503.52632762205587</v>
      </c>
      <c r="P14" s="200">
        <f t="shared" si="1"/>
        <v>229.41764347921449</v>
      </c>
      <c r="Q14" s="200">
        <f t="shared" si="1"/>
        <v>2813.8307549798692</v>
      </c>
      <c r="R14" s="200">
        <f t="shared" si="1"/>
        <v>520.5507167445179</v>
      </c>
      <c r="S14" s="200">
        <f t="shared" si="1"/>
        <v>1315.9627933688128</v>
      </c>
      <c r="T14" s="200">
        <f t="shared" si="1"/>
        <v>355.85006071101242</v>
      </c>
      <c r="U14" s="200">
        <f t="shared" si="1"/>
        <v>452.35643859906446</v>
      </c>
      <c r="V14" s="200">
        <f t="shared" si="1"/>
        <v>175.71686609595696</v>
      </c>
      <c r="W14" s="200">
        <f t="shared" si="1"/>
        <v>1461.3346684082753</v>
      </c>
      <c r="X14" s="200">
        <f t="shared" si="1"/>
        <v>643.61798337571042</v>
      </c>
      <c r="Y14" s="200">
        <f t="shared" si="1"/>
        <v>378.81245681619907</v>
      </c>
      <c r="Z14" s="200">
        <f t="shared" si="1"/>
        <v>11.708087060933924</v>
      </c>
      <c r="AA14" s="200">
        <f t="shared" si="1"/>
        <v>197.45863414389638</v>
      </c>
      <c r="AB14" s="200">
        <f t="shared" si="1"/>
        <v>1448.9420609990436</v>
      </c>
      <c r="AC14" s="200">
        <f t="shared" si="1"/>
        <v>349.81521507795918</v>
      </c>
      <c r="AD14" s="200">
        <f t="shared" si="1"/>
        <v>965.6617551112306</v>
      </c>
      <c r="AE14" s="200">
        <f t="shared" si="1"/>
        <v>639.89695332866904</v>
      </c>
      <c r="AF14" s="200">
        <f t="shared" si="1"/>
        <v>93.357024374302682</v>
      </c>
      <c r="AG14" s="200">
        <f t="shared" si="1"/>
        <v>211.58851409885472</v>
      </c>
      <c r="AH14" s="200">
        <f>AH28*$AR14</f>
        <v>831.48980553687693</v>
      </c>
      <c r="AI14" s="200">
        <f t="shared" si="6"/>
        <v>27.297869037153415</v>
      </c>
      <c r="AJ14" s="200">
        <f t="shared" si="6"/>
        <v>71.501461376971534</v>
      </c>
      <c r="AK14" s="200">
        <f t="shared" si="6"/>
        <v>69.4060885657683</v>
      </c>
      <c r="AL14" s="200">
        <f t="shared" si="1"/>
        <v>336.21093481887988</v>
      </c>
      <c r="AM14" s="200">
        <v>0</v>
      </c>
      <c r="AN14" s="200">
        <v>0</v>
      </c>
      <c r="AO14" s="200">
        <v>0</v>
      </c>
      <c r="AP14" s="200">
        <v>0</v>
      </c>
      <c r="AQ14" s="200">
        <v>0</v>
      </c>
      <c r="AR14" s="200">
        <f t="shared" si="3"/>
        <v>16100</v>
      </c>
      <c r="AT14" s="170">
        <f>SUM(AR12:AR14)</f>
        <v>36500</v>
      </c>
    </row>
    <row r="15" spans="1:46" ht="12" x14ac:dyDescent="0.2">
      <c r="A15" s="76"/>
      <c r="B15" s="202" t="str">
        <f>B14</f>
        <v>ANNUAL</v>
      </c>
      <c r="C15" s="202" t="s">
        <v>204</v>
      </c>
      <c r="D15" s="203" t="str">
        <f>D14</f>
        <v>UP</v>
      </c>
      <c r="E15" s="202" t="str">
        <f>E14</f>
        <v>ACT_BND</v>
      </c>
      <c r="F15" s="202">
        <v>0</v>
      </c>
      <c r="G15" s="203"/>
      <c r="H15" s="199">
        <v>5</v>
      </c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>
        <f t="shared" si="3"/>
        <v>0</v>
      </c>
      <c r="AS15" s="74"/>
    </row>
    <row r="16" spans="1:46" ht="12" x14ac:dyDescent="0.2">
      <c r="A16" s="76"/>
      <c r="B16" s="90"/>
      <c r="C16" s="90" t="s">
        <v>191</v>
      </c>
      <c r="D16" s="91"/>
      <c r="E16" s="90" t="s">
        <v>60</v>
      </c>
      <c r="F16" s="90">
        <v>2020</v>
      </c>
      <c r="G16" s="91" t="s">
        <v>55</v>
      </c>
      <c r="H16" s="204">
        <f>J34</f>
        <v>1.8440000000000002E-2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</row>
    <row r="17" spans="1:44" ht="12" x14ac:dyDescent="0.2">
      <c r="A17" s="76"/>
      <c r="B17" s="90"/>
      <c r="C17" s="90" t="s">
        <v>192</v>
      </c>
      <c r="D17" s="91"/>
      <c r="E17" s="90" t="s">
        <v>60</v>
      </c>
      <c r="F17" s="90">
        <v>2020</v>
      </c>
      <c r="G17" s="91" t="s">
        <v>55</v>
      </c>
      <c r="H17" s="204">
        <f>J35</f>
        <v>4.3869999999999999E-2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</row>
    <row r="18" spans="1:44" ht="12" x14ac:dyDescent="0.2">
      <c r="A18" s="76"/>
      <c r="B18" s="90"/>
      <c r="C18" s="90" t="s">
        <v>193</v>
      </c>
      <c r="D18" s="91"/>
      <c r="E18" s="90" t="s">
        <v>60</v>
      </c>
      <c r="F18" s="90">
        <v>2020</v>
      </c>
      <c r="G18" s="91" t="s">
        <v>55</v>
      </c>
      <c r="H18" s="204">
        <f>J36</f>
        <v>8.7739999999999999E-2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</row>
    <row r="19" spans="1:44" ht="12" x14ac:dyDescent="0.2">
      <c r="A19" s="76"/>
      <c r="B19" s="90"/>
      <c r="C19" s="90" t="s">
        <v>191</v>
      </c>
      <c r="D19" s="91"/>
      <c r="E19" s="90" t="s">
        <v>60</v>
      </c>
      <c r="F19" s="90">
        <v>2050</v>
      </c>
      <c r="G19" s="91" t="s">
        <v>55</v>
      </c>
      <c r="H19" s="204">
        <f>H16</f>
        <v>1.8440000000000002E-2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</row>
    <row r="20" spans="1:44" ht="12" x14ac:dyDescent="0.2">
      <c r="A20" s="76"/>
      <c r="B20" s="90"/>
      <c r="C20" s="90" t="s">
        <v>192</v>
      </c>
      <c r="D20" s="91"/>
      <c r="E20" s="90" t="s">
        <v>60</v>
      </c>
      <c r="F20" s="90">
        <v>2050</v>
      </c>
      <c r="G20" s="91" t="s">
        <v>55</v>
      </c>
      <c r="H20" s="204">
        <f t="shared" ref="H20:H21" si="7">H17</f>
        <v>4.3869999999999999E-2</v>
      </c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</row>
    <row r="21" spans="1:44" ht="12" x14ac:dyDescent="0.2">
      <c r="A21" s="76"/>
      <c r="B21" s="90"/>
      <c r="C21" s="90" t="s">
        <v>193</v>
      </c>
      <c r="D21" s="91"/>
      <c r="E21" s="90" t="s">
        <v>60</v>
      </c>
      <c r="F21" s="90">
        <v>2050</v>
      </c>
      <c r="G21" s="91" t="s">
        <v>55</v>
      </c>
      <c r="H21" s="204">
        <f t="shared" si="7"/>
        <v>8.7739999999999999E-2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</row>
    <row r="22" spans="1:44" ht="12" x14ac:dyDescent="0.2">
      <c r="A22" s="76"/>
      <c r="B22" s="90"/>
      <c r="C22" s="90" t="s">
        <v>191</v>
      </c>
      <c r="D22" s="91"/>
      <c r="E22" s="90" t="s">
        <v>60</v>
      </c>
      <c r="F22" s="90">
        <v>0</v>
      </c>
      <c r="G22" s="91" t="s">
        <v>55</v>
      </c>
      <c r="H22" s="205">
        <v>5</v>
      </c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</row>
    <row r="23" spans="1:44" ht="12" x14ac:dyDescent="0.2">
      <c r="A23" s="76"/>
      <c r="B23" s="90"/>
      <c r="C23" s="90" t="s">
        <v>192</v>
      </c>
      <c r="D23" s="91"/>
      <c r="E23" s="90" t="s">
        <v>60</v>
      </c>
      <c r="F23" s="90">
        <v>0</v>
      </c>
      <c r="G23" s="91" t="s">
        <v>55</v>
      </c>
      <c r="H23" s="205">
        <v>5</v>
      </c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</row>
    <row r="24" spans="1:44" ht="12" x14ac:dyDescent="0.2">
      <c r="A24" s="76"/>
      <c r="B24" s="90"/>
      <c r="C24" s="90" t="s">
        <v>193</v>
      </c>
      <c r="D24" s="91"/>
      <c r="E24" s="90" t="s">
        <v>60</v>
      </c>
      <c r="F24" s="90">
        <v>0</v>
      </c>
      <c r="G24" s="91" t="s">
        <v>55</v>
      </c>
      <c r="H24" s="205">
        <v>5</v>
      </c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</row>
    <row r="25" spans="1:44" ht="12" x14ac:dyDescent="0.2">
      <c r="A25" s="76"/>
      <c r="B25" s="76"/>
      <c r="C25" s="76"/>
      <c r="D25" s="76"/>
      <c r="E25" s="76"/>
      <c r="F25" s="76"/>
      <c r="G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</row>
    <row r="26" spans="1:44" ht="12" x14ac:dyDescent="0.2">
      <c r="A26" s="76"/>
      <c r="B26" s="76"/>
      <c r="C26" s="76"/>
      <c r="D26" s="76"/>
      <c r="E26" s="76"/>
      <c r="F26" s="76"/>
      <c r="G26" s="76"/>
      <c r="H26" s="206" t="s">
        <v>267</v>
      </c>
      <c r="I26" s="76">
        <v>1.3411371559668196E-2</v>
      </c>
      <c r="J26" s="76">
        <v>1.3727109167012598E-2</v>
      </c>
      <c r="K26" s="76">
        <v>2.3304105629804783E-2</v>
      </c>
      <c r="L26" s="76">
        <v>2.3450621833714397E-2</v>
      </c>
      <c r="M26" s="76">
        <v>2.0736902247678914E-3</v>
      </c>
      <c r="N26" s="76">
        <v>0.11001969231705334</v>
      </c>
      <c r="O26" s="76">
        <v>3.1274927181494154E-2</v>
      </c>
      <c r="P26" s="76">
        <v>1.4249543073243135E-2</v>
      </c>
      <c r="Q26" s="76">
        <v>0.17477209658260057</v>
      </c>
      <c r="R26" s="76">
        <v>3.2332342654938999E-2</v>
      </c>
      <c r="S26" s="76">
        <v>8.173681946390142E-2</v>
      </c>
      <c r="T26" s="76">
        <v>2.2102488242920024E-2</v>
      </c>
      <c r="U26" s="76">
        <v>2.8096673204910837E-2</v>
      </c>
      <c r="V26" s="76">
        <v>1.0914091061860681E-2</v>
      </c>
      <c r="W26" s="76">
        <v>9.0766128472563684E-2</v>
      </c>
      <c r="X26" s="76">
        <v>3.9976272259360894E-2</v>
      </c>
      <c r="Y26" s="76">
        <v>2.3528724025850874E-2</v>
      </c>
      <c r="Z26" s="76">
        <v>7.2721037645552317E-4</v>
      </c>
      <c r="AA26" s="76">
        <v>1.2264511437509092E-2</v>
      </c>
      <c r="AB26" s="76">
        <v>8.9996401304288431E-2</v>
      </c>
      <c r="AC26" s="76">
        <v>2.1727653110432246E-2</v>
      </c>
      <c r="AD26" s="76">
        <v>5.9978991000697555E-2</v>
      </c>
      <c r="AE26" s="76">
        <v>3.9745152380662674E-2</v>
      </c>
      <c r="AF26" s="76">
        <v>5.7985729425032726E-3</v>
      </c>
      <c r="AG26" s="76">
        <v>1.3142143732848119E-2</v>
      </c>
      <c r="AH26" s="76">
        <v>9.7593592444263105E-2</v>
      </c>
      <c r="AI26" s="76">
        <v>0</v>
      </c>
      <c r="AJ26" s="76">
        <v>8.4278881711179181E-3</v>
      </c>
      <c r="AK26" s="76">
        <v>2.0497499245650065E-2</v>
      </c>
      <c r="AL26" s="76">
        <v>2.0882666758936637E-2</v>
      </c>
      <c r="AM26" s="76"/>
      <c r="AN26" s="76"/>
      <c r="AO26" s="76"/>
      <c r="AP26" s="76"/>
      <c r="AQ26" s="76"/>
      <c r="AR26" s="76"/>
    </row>
    <row r="27" spans="1:44" ht="12" x14ac:dyDescent="0.2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>
        <v>8.4915493277583187E-2</v>
      </c>
      <c r="AI27" s="76">
        <v>4.6782983742162196E-4</v>
      </c>
      <c r="AJ27" s="76">
        <v>7.3278445922784798E-3</v>
      </c>
      <c r="AK27" s="76">
        <v>1.6031283853067162E-2</v>
      </c>
      <c r="AL27" s="76"/>
      <c r="AM27" s="76"/>
      <c r="AN27" s="76"/>
      <c r="AO27" s="76"/>
      <c r="AP27" s="76"/>
      <c r="AQ27" s="76"/>
      <c r="AR27" s="76"/>
    </row>
    <row r="28" spans="1:44" ht="12.75" x14ac:dyDescent="0.2">
      <c r="A28" s="76"/>
      <c r="B28" s="207"/>
      <c r="C28" s="78"/>
      <c r="D28" s="80"/>
      <c r="E28" s="80"/>
      <c r="F28" s="208" t="s">
        <v>268</v>
      </c>
      <c r="G28" s="80"/>
      <c r="H28" s="80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>
        <v>5.1645329536451984E-2</v>
      </c>
      <c r="AI28" s="76">
        <v>1.6955198159722617E-3</v>
      </c>
      <c r="AJ28" s="76">
        <v>4.4410845575758714E-3</v>
      </c>
      <c r="AK28" s="76">
        <v>4.3109371779980312E-3</v>
      </c>
      <c r="AL28" s="76"/>
      <c r="AM28" s="76"/>
      <c r="AN28" s="76"/>
      <c r="AO28" s="76"/>
      <c r="AP28" s="76"/>
      <c r="AQ28" s="76"/>
      <c r="AR28" s="76"/>
    </row>
    <row r="29" spans="1:44" ht="12.75" x14ac:dyDescent="0.2">
      <c r="A29" s="76"/>
      <c r="B29" s="207"/>
      <c r="C29" s="78"/>
      <c r="F29" s="1" t="s">
        <v>269</v>
      </c>
      <c r="G29" s="1" t="s">
        <v>270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</row>
    <row r="30" spans="1:44" ht="12.75" x14ac:dyDescent="0.2">
      <c r="A30" s="76"/>
      <c r="B30" s="207"/>
      <c r="C30" s="78"/>
      <c r="F30" s="90" t="s">
        <v>29</v>
      </c>
      <c r="G30" s="90" t="s">
        <v>216</v>
      </c>
      <c r="I30" s="76"/>
      <c r="J30" s="76"/>
      <c r="K30" s="76"/>
      <c r="L30" s="76"/>
      <c r="M30" s="76" t="s">
        <v>272</v>
      </c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</row>
    <row r="31" spans="1:44" ht="12" x14ac:dyDescent="0.2">
      <c r="A31" s="76"/>
      <c r="B31" s="90" t="s">
        <v>27</v>
      </c>
      <c r="C31" s="90" t="s">
        <v>191</v>
      </c>
      <c r="D31" s="91" t="s">
        <v>28</v>
      </c>
      <c r="E31" s="90">
        <v>2025</v>
      </c>
      <c r="F31" s="109"/>
      <c r="G31" s="109"/>
      <c r="I31" s="76"/>
      <c r="J31" s="76"/>
      <c r="K31" s="76"/>
      <c r="L31" s="76"/>
      <c r="M31" s="76" t="s">
        <v>273</v>
      </c>
      <c r="N31" s="213" t="s">
        <v>274</v>
      </c>
      <c r="O31" s="76" t="s">
        <v>275</v>
      </c>
      <c r="P31" s="76" t="s">
        <v>276</v>
      </c>
      <c r="Q31" s="76" t="s">
        <v>277</v>
      </c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</row>
    <row r="32" spans="1:44" ht="12" x14ac:dyDescent="0.2">
      <c r="A32" s="76"/>
      <c r="B32" s="90" t="s">
        <v>27</v>
      </c>
      <c r="C32" s="90" t="s">
        <v>192</v>
      </c>
      <c r="D32" s="91" t="s">
        <v>28</v>
      </c>
      <c r="E32" s="90">
        <v>2025</v>
      </c>
      <c r="F32" s="109"/>
      <c r="G32" s="109"/>
      <c r="I32" s="76"/>
      <c r="J32" s="76"/>
      <c r="K32" s="76"/>
      <c r="L32" s="76"/>
      <c r="M32" s="76">
        <v>2040</v>
      </c>
      <c r="N32" s="76">
        <f>271-214</f>
        <v>57</v>
      </c>
      <c r="O32" s="76">
        <f>319-271</f>
        <v>48</v>
      </c>
      <c r="P32" s="76">
        <f>353-319</f>
        <v>34</v>
      </c>
      <c r="Q32" s="76">
        <f>N32+O32+P32</f>
        <v>139</v>
      </c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</row>
    <row r="33" spans="1:44" ht="12" x14ac:dyDescent="0.2">
      <c r="A33" s="76"/>
      <c r="B33" s="175" t="s">
        <v>27</v>
      </c>
      <c r="C33" s="90" t="s">
        <v>193</v>
      </c>
      <c r="D33" s="201" t="s">
        <v>28</v>
      </c>
      <c r="E33" s="175">
        <v>2025</v>
      </c>
      <c r="F33" s="209"/>
      <c r="G33" s="209"/>
      <c r="I33" s="76"/>
      <c r="J33" s="76"/>
      <c r="K33" s="76"/>
      <c r="L33" s="76"/>
      <c r="M33" s="76">
        <v>2050</v>
      </c>
      <c r="N33" s="76">
        <f>286-204</f>
        <v>82</v>
      </c>
      <c r="O33" s="76">
        <f>334-286</f>
        <v>48</v>
      </c>
      <c r="P33" s="76">
        <f>371-334</f>
        <v>37</v>
      </c>
      <c r="Q33" s="76">
        <f>N33+O33+P33</f>
        <v>167</v>
      </c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</row>
    <row r="34" spans="1:44" ht="12" x14ac:dyDescent="0.2">
      <c r="A34" s="76"/>
      <c r="B34" s="90" t="s">
        <v>27</v>
      </c>
      <c r="C34" s="90" t="s">
        <v>191</v>
      </c>
      <c r="D34" s="91" t="s">
        <v>28</v>
      </c>
      <c r="E34" s="90">
        <v>2030</v>
      </c>
      <c r="F34" s="110">
        <v>7700</v>
      </c>
      <c r="G34" s="109">
        <v>2.1000000000000001E-2</v>
      </c>
      <c r="I34" s="76"/>
      <c r="J34" s="76">
        <v>1.8440000000000002E-2</v>
      </c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</row>
    <row r="35" spans="1:44" ht="12" x14ac:dyDescent="0.2">
      <c r="A35" s="76"/>
      <c r="B35" s="90" t="s">
        <v>27</v>
      </c>
      <c r="C35" s="90" t="s">
        <v>192</v>
      </c>
      <c r="D35" s="91" t="s">
        <v>28</v>
      </c>
      <c r="E35" s="90">
        <v>2030</v>
      </c>
      <c r="F35" s="110">
        <f>15600-F34</f>
        <v>7900</v>
      </c>
      <c r="G35" s="109">
        <v>0.05</v>
      </c>
      <c r="I35" s="76"/>
      <c r="J35" s="76">
        <v>4.3869999999999999E-2</v>
      </c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</row>
    <row r="36" spans="1:44" ht="12" x14ac:dyDescent="0.2">
      <c r="A36" s="76"/>
      <c r="B36" s="175" t="s">
        <v>27</v>
      </c>
      <c r="C36" s="90" t="s">
        <v>193</v>
      </c>
      <c r="D36" s="201" t="s">
        <v>28</v>
      </c>
      <c r="E36" s="175">
        <v>2030</v>
      </c>
      <c r="F36" s="200">
        <f>26800-F35-F34</f>
        <v>11200</v>
      </c>
      <c r="G36" s="209">
        <v>0.1</v>
      </c>
      <c r="H36" s="170">
        <f>F34+F35+F36</f>
        <v>26800</v>
      </c>
      <c r="I36" s="76"/>
      <c r="J36" s="76">
        <v>8.7739999999999999E-2</v>
      </c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</row>
    <row r="37" spans="1:44" ht="12" x14ac:dyDescent="0.2">
      <c r="A37" s="76"/>
      <c r="B37" s="90" t="s">
        <v>27</v>
      </c>
      <c r="C37" s="90" t="s">
        <v>191</v>
      </c>
      <c r="D37" s="91" t="s">
        <v>28</v>
      </c>
      <c r="E37" s="90">
        <v>2040</v>
      </c>
      <c r="F37" s="110">
        <v>13100</v>
      </c>
      <c r="G37" s="109">
        <v>2.1000000000000001E-2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</row>
    <row r="38" spans="1:44" ht="12" x14ac:dyDescent="0.2">
      <c r="A38" s="76"/>
      <c r="B38" s="90" t="s">
        <v>27</v>
      </c>
      <c r="C38" s="90" t="s">
        <v>192</v>
      </c>
      <c r="D38" s="91" t="s">
        <v>28</v>
      </c>
      <c r="E38" s="90">
        <v>2040</v>
      </c>
      <c r="F38" s="110">
        <f>22500-F37</f>
        <v>9400</v>
      </c>
      <c r="G38" s="109">
        <f>G35</f>
        <v>0.05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</row>
    <row r="39" spans="1:44" ht="12" x14ac:dyDescent="0.2">
      <c r="A39" s="76"/>
      <c r="B39" s="175" t="s">
        <v>27</v>
      </c>
      <c r="C39" s="90" t="s">
        <v>193</v>
      </c>
      <c r="D39" s="201" t="s">
        <v>28</v>
      </c>
      <c r="E39" s="175">
        <v>2040</v>
      </c>
      <c r="F39" s="200">
        <f>36600-F38-F37</f>
        <v>14100</v>
      </c>
      <c r="G39" s="209">
        <f>G36</f>
        <v>0.1</v>
      </c>
      <c r="H39" s="170">
        <f>F38+F39+F37</f>
        <v>36600</v>
      </c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</row>
    <row r="40" spans="1:44" ht="12" x14ac:dyDescent="0.2">
      <c r="A40" s="76"/>
      <c r="B40" s="90" t="s">
        <v>27</v>
      </c>
      <c r="C40" s="90" t="s">
        <v>191</v>
      </c>
      <c r="D40" s="91" t="s">
        <v>28</v>
      </c>
      <c r="E40" s="90">
        <v>2050</v>
      </c>
      <c r="F40" s="110">
        <v>10400</v>
      </c>
      <c r="G40" s="109">
        <v>2.1000000000000001E-2</v>
      </c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</row>
    <row r="41" spans="1:44" ht="12" x14ac:dyDescent="0.2">
      <c r="A41" s="76"/>
      <c r="B41" s="90" t="s">
        <v>27</v>
      </c>
      <c r="C41" s="90" t="s">
        <v>192</v>
      </c>
      <c r="D41" s="91" t="s">
        <v>28</v>
      </c>
      <c r="E41" s="90">
        <v>2050</v>
      </c>
      <c r="F41" s="110">
        <f>20400-F40</f>
        <v>10000</v>
      </c>
      <c r="G41" s="109">
        <f>G38</f>
        <v>0.05</v>
      </c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</row>
    <row r="42" spans="1:44" ht="12" x14ac:dyDescent="0.2">
      <c r="A42" s="76"/>
      <c r="B42" s="90" t="s">
        <v>27</v>
      </c>
      <c r="C42" s="90" t="s">
        <v>193</v>
      </c>
      <c r="D42" s="91" t="s">
        <v>28</v>
      </c>
      <c r="E42" s="90">
        <v>2050</v>
      </c>
      <c r="F42" s="110">
        <f>36500-F41-F40</f>
        <v>16100</v>
      </c>
      <c r="G42" s="109">
        <f>G39</f>
        <v>0.1</v>
      </c>
      <c r="H42" s="170">
        <f>F40+F41+F42</f>
        <v>36500</v>
      </c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</row>
    <row r="43" spans="1:44" ht="12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</row>
    <row r="44" spans="1:44" ht="12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</row>
    <row r="45" spans="1:44" ht="12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</row>
    <row r="46" spans="1:44" ht="12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</row>
    <row r="47" spans="1:44" ht="12" x14ac:dyDescent="0.2">
      <c r="A47" s="76"/>
      <c r="B47" s="76"/>
      <c r="C47" s="76"/>
      <c r="D47" s="210"/>
      <c r="E47" s="210"/>
      <c r="F47" s="210"/>
      <c r="G47" s="210"/>
      <c r="H47" s="210"/>
      <c r="I47" s="210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</row>
    <row r="48" spans="1:44" ht="12" x14ac:dyDescent="0.2">
      <c r="A48" s="76"/>
      <c r="B48" s="76"/>
      <c r="C48" s="76"/>
      <c r="D48" s="210"/>
      <c r="E48" s="210"/>
      <c r="F48" s="210"/>
      <c r="G48" s="210"/>
      <c r="H48" s="210"/>
      <c r="I48" s="210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</row>
    <row r="49" spans="1:44" s="212" customFormat="1" ht="12" x14ac:dyDescent="0.2">
      <c r="A49" s="111"/>
      <c r="B49" s="111"/>
      <c r="C49" s="111"/>
      <c r="D49" s="211"/>
      <c r="E49" s="211"/>
      <c r="F49" s="211"/>
      <c r="G49" s="211"/>
      <c r="H49" s="211"/>
      <c r="I49" s="2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</row>
    <row r="50" spans="1:44" ht="12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</row>
    <row r="51" spans="1:44" ht="12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</row>
    <row r="52" spans="1:44" ht="12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</row>
    <row r="53" spans="1:44" ht="12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</row>
    <row r="54" spans="1:44" ht="12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</row>
    <row r="55" spans="1:44" ht="12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</row>
    <row r="56" spans="1:44" ht="12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</row>
    <row r="57" spans="1:44" ht="12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49B7-86DE-4FA1-82F8-4009F5DC1E74}">
  <dimension ref="A1:AT57"/>
  <sheetViews>
    <sheetView workbookViewId="0">
      <selection activeCell="G42" sqref="G42"/>
    </sheetView>
  </sheetViews>
  <sheetFormatPr defaultColWidth="8.85546875" defaultRowHeight="11.25" x14ac:dyDescent="0.2"/>
  <cols>
    <col min="1" max="1" width="8.85546875" style="1"/>
    <col min="2" max="2" width="6.85546875" style="1" customWidth="1"/>
    <col min="3" max="3" width="11.7109375" style="1" customWidth="1"/>
    <col min="4" max="4" width="10.5703125" style="1" customWidth="1"/>
    <col min="5" max="5" width="11.28515625" style="1" customWidth="1"/>
    <col min="6" max="6" width="10.28515625" style="1" customWidth="1"/>
    <col min="7" max="7" width="8.140625" style="1" customWidth="1"/>
    <col min="8" max="8" width="9.85546875" style="1" customWidth="1"/>
    <col min="9" max="10" width="6.85546875" style="1" customWidth="1"/>
    <col min="11" max="38" width="6.42578125" style="1" customWidth="1"/>
    <col min="39" max="16384" width="8.85546875" style="1"/>
  </cols>
  <sheetData>
    <row r="1" spans="1:46" s="83" customFormat="1" ht="15" x14ac:dyDescent="0.25">
      <c r="B1" s="83" t="s">
        <v>261</v>
      </c>
      <c r="E1" s="84"/>
      <c r="F1" s="83" t="s">
        <v>262</v>
      </c>
      <c r="G1" s="112" t="s">
        <v>224</v>
      </c>
    </row>
    <row r="2" spans="1:46" ht="12" x14ac:dyDescent="0.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</row>
    <row r="3" spans="1:46" ht="12" x14ac:dyDescent="0.2">
      <c r="A3" s="76"/>
      <c r="B3" s="85" t="s">
        <v>69</v>
      </c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76"/>
      <c r="AN3" s="76"/>
      <c r="AO3" s="76"/>
      <c r="AP3" s="76"/>
      <c r="AQ3" s="76"/>
      <c r="AR3" s="76"/>
    </row>
    <row r="4" spans="1:46" ht="12.75" thickBot="1" x14ac:dyDescent="0.25">
      <c r="A4" s="76"/>
      <c r="B4" s="88" t="s">
        <v>151</v>
      </c>
      <c r="C4" s="88" t="s">
        <v>5</v>
      </c>
      <c r="D4" s="88" t="s">
        <v>67</v>
      </c>
      <c r="E4" s="88" t="s">
        <v>64</v>
      </c>
      <c r="F4" s="88" t="s">
        <v>4</v>
      </c>
      <c r="G4" s="108" t="s">
        <v>63</v>
      </c>
      <c r="H4" s="108" t="s">
        <v>65</v>
      </c>
      <c r="I4" s="108" t="s">
        <v>148</v>
      </c>
      <c r="J4" s="108" t="s">
        <v>147</v>
      </c>
      <c r="K4" s="108" t="s">
        <v>146</v>
      </c>
      <c r="L4" s="108" t="s">
        <v>144</v>
      </c>
      <c r="M4" s="108" t="s">
        <v>145</v>
      </c>
      <c r="N4" s="108" t="s">
        <v>143</v>
      </c>
      <c r="O4" s="108" t="s">
        <v>142</v>
      </c>
      <c r="P4" s="108" t="s">
        <v>141</v>
      </c>
      <c r="Q4" s="108" t="s">
        <v>140</v>
      </c>
      <c r="R4" s="108" t="s">
        <v>139</v>
      </c>
      <c r="S4" s="108" t="s">
        <v>138</v>
      </c>
      <c r="T4" s="108" t="s">
        <v>137</v>
      </c>
      <c r="U4" s="108" t="s">
        <v>136</v>
      </c>
      <c r="V4" s="108" t="s">
        <v>135</v>
      </c>
      <c r="W4" s="108" t="s">
        <v>134</v>
      </c>
      <c r="X4" s="108" t="s">
        <v>133</v>
      </c>
      <c r="Y4" s="108" t="s">
        <v>131</v>
      </c>
      <c r="Z4" s="108" t="s">
        <v>132</v>
      </c>
      <c r="AA4" s="108" t="s">
        <v>129</v>
      </c>
      <c r="AB4" s="108" t="s">
        <v>128</v>
      </c>
      <c r="AC4" s="108" t="s">
        <v>127</v>
      </c>
      <c r="AD4" s="108" t="s">
        <v>126</v>
      </c>
      <c r="AE4" s="108" t="s">
        <v>125</v>
      </c>
      <c r="AF4" s="108" t="s">
        <v>124</v>
      </c>
      <c r="AG4" s="108" t="s">
        <v>123</v>
      </c>
      <c r="AH4" s="108" t="s">
        <v>122</v>
      </c>
      <c r="AI4" s="108" t="s">
        <v>121</v>
      </c>
      <c r="AJ4" s="108" t="s">
        <v>120</v>
      </c>
      <c r="AK4" s="108" t="s">
        <v>119</v>
      </c>
      <c r="AL4" s="108" t="s">
        <v>118</v>
      </c>
      <c r="AM4" s="108" t="s">
        <v>117</v>
      </c>
      <c r="AN4" s="108" t="s">
        <v>116</v>
      </c>
      <c r="AO4" s="108" t="s">
        <v>115</v>
      </c>
      <c r="AP4" s="108" t="s">
        <v>177</v>
      </c>
      <c r="AQ4" s="108" t="s">
        <v>179</v>
      </c>
      <c r="AR4" s="108" t="s">
        <v>244</v>
      </c>
    </row>
    <row r="5" spans="1:46" ht="12" x14ac:dyDescent="0.2">
      <c r="A5" s="76"/>
      <c r="B5" s="197" t="s">
        <v>27</v>
      </c>
      <c r="C5" s="197" t="s">
        <v>263</v>
      </c>
      <c r="D5" s="198" t="s">
        <v>28</v>
      </c>
      <c r="E5" s="197" t="s">
        <v>29</v>
      </c>
      <c r="F5" s="197">
        <v>2029</v>
      </c>
      <c r="G5" s="198"/>
      <c r="H5" s="199">
        <v>0</v>
      </c>
      <c r="I5" s="200">
        <f>H5</f>
        <v>0</v>
      </c>
      <c r="J5" s="200">
        <f t="shared" ref="J5:AQ5" si="0">I5</f>
        <v>0</v>
      </c>
      <c r="K5" s="200">
        <f t="shared" si="0"/>
        <v>0</v>
      </c>
      <c r="L5" s="200">
        <f t="shared" si="0"/>
        <v>0</v>
      </c>
      <c r="M5" s="200">
        <f t="shared" si="0"/>
        <v>0</v>
      </c>
      <c r="N5" s="200">
        <f t="shared" si="0"/>
        <v>0</v>
      </c>
      <c r="O5" s="200">
        <f t="shared" si="0"/>
        <v>0</v>
      </c>
      <c r="P5" s="200">
        <f t="shared" si="0"/>
        <v>0</v>
      </c>
      <c r="Q5" s="200">
        <f t="shared" si="0"/>
        <v>0</v>
      </c>
      <c r="R5" s="200">
        <f t="shared" si="0"/>
        <v>0</v>
      </c>
      <c r="S5" s="200">
        <f t="shared" si="0"/>
        <v>0</v>
      </c>
      <c r="T5" s="200">
        <f t="shared" si="0"/>
        <v>0</v>
      </c>
      <c r="U5" s="200">
        <f t="shared" si="0"/>
        <v>0</v>
      </c>
      <c r="V5" s="200">
        <f t="shared" si="0"/>
        <v>0</v>
      </c>
      <c r="W5" s="200">
        <f t="shared" si="0"/>
        <v>0</v>
      </c>
      <c r="X5" s="200">
        <f t="shared" si="0"/>
        <v>0</v>
      </c>
      <c r="Y5" s="200">
        <f t="shared" si="0"/>
        <v>0</v>
      </c>
      <c r="Z5" s="200">
        <f t="shared" si="0"/>
        <v>0</v>
      </c>
      <c r="AA5" s="200">
        <f t="shared" si="0"/>
        <v>0</v>
      </c>
      <c r="AB5" s="200">
        <f t="shared" si="0"/>
        <v>0</v>
      </c>
      <c r="AC5" s="200">
        <f t="shared" si="0"/>
        <v>0</v>
      </c>
      <c r="AD5" s="200">
        <f t="shared" si="0"/>
        <v>0</v>
      </c>
      <c r="AE5" s="200">
        <f t="shared" si="0"/>
        <v>0</v>
      </c>
      <c r="AF5" s="200">
        <f t="shared" si="0"/>
        <v>0</v>
      </c>
      <c r="AG5" s="200">
        <f t="shared" si="0"/>
        <v>0</v>
      </c>
      <c r="AH5" s="200">
        <f t="shared" si="0"/>
        <v>0</v>
      </c>
      <c r="AI5" s="200">
        <f t="shared" si="0"/>
        <v>0</v>
      </c>
      <c r="AJ5" s="200">
        <f t="shared" si="0"/>
        <v>0</v>
      </c>
      <c r="AK5" s="200">
        <f t="shared" si="0"/>
        <v>0</v>
      </c>
      <c r="AL5" s="200">
        <f t="shared" si="0"/>
        <v>0</v>
      </c>
      <c r="AM5" s="200">
        <f t="shared" si="0"/>
        <v>0</v>
      </c>
      <c r="AN5" s="200">
        <f t="shared" si="0"/>
        <v>0</v>
      </c>
      <c r="AO5" s="200">
        <f t="shared" si="0"/>
        <v>0</v>
      </c>
      <c r="AP5" s="200">
        <f t="shared" si="0"/>
        <v>0</v>
      </c>
      <c r="AQ5" s="200">
        <f t="shared" si="0"/>
        <v>0</v>
      </c>
      <c r="AR5" s="200">
        <f>SUM(I5:AG5)+AL5</f>
        <v>0</v>
      </c>
    </row>
    <row r="6" spans="1:46" ht="12" x14ac:dyDescent="0.2">
      <c r="A6" s="76"/>
      <c r="B6" s="90" t="s">
        <v>27</v>
      </c>
      <c r="C6" s="90" t="s">
        <v>264</v>
      </c>
      <c r="D6" s="91" t="s">
        <v>28</v>
      </c>
      <c r="E6" s="90" t="s">
        <v>29</v>
      </c>
      <c r="F6" s="90">
        <v>2030</v>
      </c>
      <c r="G6" s="91"/>
      <c r="H6" s="92">
        <v>0</v>
      </c>
      <c r="I6" s="110">
        <f>$F34*I$26</f>
        <v>25.481605963369553</v>
      </c>
      <c r="J6" s="110">
        <f t="shared" ref="J6:AL14" si="1">$F34*J$26</f>
        <v>26.081507417323916</v>
      </c>
      <c r="K6" s="110">
        <f t="shared" si="1"/>
        <v>44.277800696629058</v>
      </c>
      <c r="L6" s="110">
        <f t="shared" si="1"/>
        <v>44.556181484057326</v>
      </c>
      <c r="M6" s="110">
        <f t="shared" si="1"/>
        <v>3.9400114270589905</v>
      </c>
      <c r="N6" s="110">
        <f t="shared" si="1"/>
        <v>209.03741540240119</v>
      </c>
      <c r="O6" s="110">
        <f t="shared" si="1"/>
        <v>59.422361644838851</v>
      </c>
      <c r="P6" s="110">
        <f t="shared" si="1"/>
        <v>27.074131839161939</v>
      </c>
      <c r="Q6" s="110">
        <f t="shared" si="1"/>
        <v>332.06698350694086</v>
      </c>
      <c r="R6" s="110">
        <f t="shared" si="1"/>
        <v>61.431451044384055</v>
      </c>
      <c r="S6" s="110">
        <f t="shared" si="1"/>
        <v>155.29995698141258</v>
      </c>
      <c r="T6" s="110">
        <f t="shared" si="1"/>
        <v>41.994727661548019</v>
      </c>
      <c r="U6" s="110">
        <f t="shared" si="1"/>
        <v>53.383679089330556</v>
      </c>
      <c r="V6" s="110">
        <f t="shared" si="1"/>
        <v>20.736773017535278</v>
      </c>
      <c r="W6" s="110">
        <f t="shared" si="1"/>
        <v>172.45564409787087</v>
      </c>
      <c r="X6" s="110">
        <f t="shared" si="1"/>
        <v>75.954917292785638</v>
      </c>
      <c r="Y6" s="110">
        <f t="shared" si="1"/>
        <v>44.704575649116627</v>
      </c>
      <c r="Z6" s="110">
        <f t="shared" si="1"/>
        <v>1.3816997152654931</v>
      </c>
      <c r="AA6" s="110">
        <f t="shared" si="1"/>
        <v>23.302571731267257</v>
      </c>
      <c r="AB6" s="110">
        <f t="shared" si="1"/>
        <v>170.99316247814789</v>
      </c>
      <c r="AC6" s="110">
        <f t="shared" si="1"/>
        <v>41.282540909821236</v>
      </c>
      <c r="AD6" s="110">
        <f t="shared" si="1"/>
        <v>113.96008290132528</v>
      </c>
      <c r="AE6" s="110">
        <f t="shared" si="1"/>
        <v>75.515789523259031</v>
      </c>
      <c r="AF6" s="110">
        <f t="shared" si="1"/>
        <v>11.017288590756211</v>
      </c>
      <c r="AG6" s="110">
        <f t="shared" si="1"/>
        <v>24.970073092411408</v>
      </c>
      <c r="AH6" s="110">
        <f>AH26*$AR6</f>
        <v>185.42782564409976</v>
      </c>
      <c r="AI6" s="110">
        <f t="shared" ref="AI6:AK8" si="2">AI26*$AR6</f>
        <v>0</v>
      </c>
      <c r="AJ6" s="110">
        <f t="shared" si="2"/>
        <v>16.012987525124032</v>
      </c>
      <c r="AK6" s="110">
        <f t="shared" si="2"/>
        <v>38.945248566735096</v>
      </c>
      <c r="AL6" s="110">
        <f t="shared" si="1"/>
        <v>39.677066841979581</v>
      </c>
      <c r="AM6" s="110">
        <v>0</v>
      </c>
      <c r="AN6" s="110">
        <v>0</v>
      </c>
      <c r="AO6" s="110">
        <v>0</v>
      </c>
      <c r="AP6" s="110">
        <v>0</v>
      </c>
      <c r="AQ6" s="110">
        <v>0</v>
      </c>
      <c r="AR6" s="110">
        <f t="shared" ref="AR6:AR15" si="3">SUM(I6:AG6)+AL6</f>
        <v>1899.9999999999986</v>
      </c>
    </row>
    <row r="7" spans="1:46" ht="12" x14ac:dyDescent="0.2">
      <c r="A7" s="76"/>
      <c r="B7" s="90" t="s">
        <v>27</v>
      </c>
      <c r="C7" s="90" t="s">
        <v>265</v>
      </c>
      <c r="D7" s="91" t="s">
        <v>28</v>
      </c>
      <c r="E7" s="90" t="s">
        <v>29</v>
      </c>
      <c r="F7" s="90">
        <v>2030</v>
      </c>
      <c r="G7" s="91"/>
      <c r="H7" s="92">
        <v>0</v>
      </c>
      <c r="I7" s="110">
        <f t="shared" ref="I7:X14" si="4">$F35*I$26</f>
        <v>260.18060825756305</v>
      </c>
      <c r="J7" s="110">
        <f t="shared" si="4"/>
        <v>266.30591784004446</v>
      </c>
      <c r="K7" s="110">
        <f t="shared" si="4"/>
        <v>452.0996492182129</v>
      </c>
      <c r="L7" s="110">
        <f t="shared" si="4"/>
        <v>454.94206357405938</v>
      </c>
      <c r="M7" s="110">
        <f t="shared" si="4"/>
        <v>40.229590360497099</v>
      </c>
      <c r="N7" s="110">
        <f t="shared" si="4"/>
        <v>2134.3820309508351</v>
      </c>
      <c r="O7" s="110">
        <f t="shared" si="4"/>
        <v>606.73358732098666</v>
      </c>
      <c r="P7" s="110">
        <f t="shared" si="4"/>
        <v>276.4411356209169</v>
      </c>
      <c r="Q7" s="110">
        <f t="shared" si="4"/>
        <v>3390.5786737024519</v>
      </c>
      <c r="R7" s="110">
        <f t="shared" si="4"/>
        <v>627.24744750581669</v>
      </c>
      <c r="S7" s="110">
        <f t="shared" si="4"/>
        <v>1585.6942975996878</v>
      </c>
      <c r="T7" s="110">
        <f t="shared" si="4"/>
        <v>428.78827191264855</v>
      </c>
      <c r="U7" s="110">
        <f t="shared" si="4"/>
        <v>545.07546017527034</v>
      </c>
      <c r="V7" s="110">
        <f t="shared" si="4"/>
        <v>211.73336660009724</v>
      </c>
      <c r="W7" s="110">
        <f t="shared" si="4"/>
        <v>1760.8628923677359</v>
      </c>
      <c r="X7" s="110">
        <f t="shared" si="4"/>
        <v>775.53968183160146</v>
      </c>
      <c r="Y7" s="110">
        <f t="shared" si="1"/>
        <v>456.45724610150705</v>
      </c>
      <c r="Z7" s="110">
        <f t="shared" si="1"/>
        <v>14.107881303237152</v>
      </c>
      <c r="AA7" s="110">
        <f t="shared" si="1"/>
        <v>237.93152188767644</v>
      </c>
      <c r="AB7" s="110">
        <f t="shared" si="1"/>
        <v>1745.9301853031959</v>
      </c>
      <c r="AC7" s="110">
        <f t="shared" si="1"/>
        <v>421.51647034238567</v>
      </c>
      <c r="AD7" s="110">
        <f t="shared" si="1"/>
        <v>1163.5924254135327</v>
      </c>
      <c r="AE7" s="110">
        <f t="shared" si="1"/>
        <v>771.05595618485597</v>
      </c>
      <c r="AF7" s="110">
        <f t="shared" si="1"/>
        <v>112.49231508456351</v>
      </c>
      <c r="AG7" s="110">
        <f t="shared" si="1"/>
        <v>254.95758841725356</v>
      </c>
      <c r="AH7" s="110">
        <f>AH27*$AR7</f>
        <v>1647.360569585114</v>
      </c>
      <c r="AI7" s="110">
        <f t="shared" si="2"/>
        <v>9.0758988459794683</v>
      </c>
      <c r="AJ7" s="110">
        <f t="shared" si="2"/>
        <v>142.16018509020253</v>
      </c>
      <c r="AK7" s="110">
        <f t="shared" si="2"/>
        <v>311.006906749503</v>
      </c>
      <c r="AL7" s="110">
        <f t="shared" si="1"/>
        <v>405.12373512337081</v>
      </c>
      <c r="AM7" s="110">
        <v>0</v>
      </c>
      <c r="AN7" s="110">
        <v>0</v>
      </c>
      <c r="AO7" s="110">
        <v>0</v>
      </c>
      <c r="AP7" s="110">
        <v>0</v>
      </c>
      <c r="AQ7" s="110">
        <v>0</v>
      </c>
      <c r="AR7" s="110">
        <f t="shared" si="3"/>
        <v>19400.000000000004</v>
      </c>
    </row>
    <row r="8" spans="1:46" ht="12" x14ac:dyDescent="0.2">
      <c r="A8" s="76"/>
      <c r="B8" s="175" t="s">
        <v>27</v>
      </c>
      <c r="C8" s="175" t="s">
        <v>266</v>
      </c>
      <c r="D8" s="201" t="s">
        <v>28</v>
      </c>
      <c r="E8" s="175" t="s">
        <v>29</v>
      </c>
      <c r="F8" s="175">
        <v>2030</v>
      </c>
      <c r="G8" s="201"/>
      <c r="H8" s="199">
        <v>0</v>
      </c>
      <c r="I8" s="200">
        <f t="shared" si="4"/>
        <v>221.9581993125085</v>
      </c>
      <c r="J8" s="200">
        <f t="shared" si="1"/>
        <v>227.18365671405834</v>
      </c>
      <c r="K8" s="200">
        <f t="shared" si="1"/>
        <v>385.68294817326893</v>
      </c>
      <c r="L8" s="200">
        <f t="shared" si="1"/>
        <v>388.10779134797303</v>
      </c>
      <c r="M8" s="200">
        <f t="shared" si="1"/>
        <v>34.319573219908577</v>
      </c>
      <c r="N8" s="200">
        <f t="shared" si="1"/>
        <v>1820.8259078472317</v>
      </c>
      <c r="O8" s="200">
        <f t="shared" si="1"/>
        <v>517.60004485372792</v>
      </c>
      <c r="P8" s="200">
        <f t="shared" si="1"/>
        <v>235.82993786217375</v>
      </c>
      <c r="Q8" s="200">
        <f t="shared" si="1"/>
        <v>2892.4781984420374</v>
      </c>
      <c r="R8" s="200">
        <f t="shared" si="1"/>
        <v>535.10027093924009</v>
      </c>
      <c r="S8" s="200">
        <f t="shared" si="1"/>
        <v>1352.7443621275677</v>
      </c>
      <c r="T8" s="200">
        <f t="shared" si="1"/>
        <v>365.79618042032615</v>
      </c>
      <c r="U8" s="200">
        <f t="shared" si="1"/>
        <v>464.99994154127404</v>
      </c>
      <c r="V8" s="200">
        <f t="shared" si="1"/>
        <v>180.62820707379413</v>
      </c>
      <c r="W8" s="200">
        <f t="shared" si="1"/>
        <v>1502.179426220928</v>
      </c>
      <c r="X8" s="200">
        <f t="shared" si="1"/>
        <v>661.60730589242235</v>
      </c>
      <c r="Y8" s="200">
        <f t="shared" si="1"/>
        <v>389.40038262783173</v>
      </c>
      <c r="Z8" s="200">
        <f t="shared" si="1"/>
        <v>12.0353317303389</v>
      </c>
      <c r="AA8" s="200">
        <f t="shared" si="1"/>
        <v>202.97766429077535</v>
      </c>
      <c r="AB8" s="200">
        <f t="shared" si="1"/>
        <v>1489.4404415859726</v>
      </c>
      <c r="AC8" s="200">
        <f t="shared" si="1"/>
        <v>359.59265897765346</v>
      </c>
      <c r="AD8" s="200">
        <f t="shared" si="1"/>
        <v>992.65230106154388</v>
      </c>
      <c r="AE8" s="200">
        <f t="shared" si="1"/>
        <v>657.78227189996687</v>
      </c>
      <c r="AF8" s="200">
        <f t="shared" si="1"/>
        <v>95.966382198429102</v>
      </c>
      <c r="AG8" s="200">
        <f t="shared" si="1"/>
        <v>217.50247877863623</v>
      </c>
      <c r="AH8" s="200">
        <f>AH28*$AR8</f>
        <v>854.73020382827997</v>
      </c>
      <c r="AI8" s="200">
        <f t="shared" si="2"/>
        <v>28.06085295434092</v>
      </c>
      <c r="AJ8" s="200">
        <f t="shared" si="2"/>
        <v>73.499949427880637</v>
      </c>
      <c r="AK8" s="200">
        <f t="shared" si="2"/>
        <v>71.346010295867387</v>
      </c>
      <c r="AL8" s="200">
        <f t="shared" si="1"/>
        <v>345.60813486040109</v>
      </c>
      <c r="AM8" s="200">
        <v>0</v>
      </c>
      <c r="AN8" s="200">
        <v>0</v>
      </c>
      <c r="AO8" s="200">
        <v>0</v>
      </c>
      <c r="AP8" s="200">
        <v>0</v>
      </c>
      <c r="AQ8" s="200">
        <v>0</v>
      </c>
      <c r="AR8" s="200">
        <f t="shared" si="3"/>
        <v>16549.999999999993</v>
      </c>
      <c r="AT8" s="170">
        <f>SUM(AR6:AR8)</f>
        <v>37850</v>
      </c>
    </row>
    <row r="9" spans="1:46" ht="12" x14ac:dyDescent="0.2">
      <c r="A9" s="76"/>
      <c r="B9" s="90" t="s">
        <v>27</v>
      </c>
      <c r="C9" s="90" t="s">
        <v>264</v>
      </c>
      <c r="D9" s="91" t="s">
        <v>28</v>
      </c>
      <c r="E9" s="90" t="s">
        <v>29</v>
      </c>
      <c r="F9" s="90">
        <v>2040</v>
      </c>
      <c r="G9" s="91"/>
      <c r="H9" s="92">
        <v>0</v>
      </c>
      <c r="I9" s="110">
        <f t="shared" si="4"/>
        <v>20.117057339502292</v>
      </c>
      <c r="J9" s="110">
        <f t="shared" si="1"/>
        <v>20.590663750518896</v>
      </c>
      <c r="K9" s="110">
        <f t="shared" si="1"/>
        <v>34.956158444707178</v>
      </c>
      <c r="L9" s="110">
        <f t="shared" si="1"/>
        <v>35.175932750571597</v>
      </c>
      <c r="M9" s="110">
        <f t="shared" si="1"/>
        <v>3.1105353371518372</v>
      </c>
      <c r="N9" s="110">
        <f t="shared" si="1"/>
        <v>165.02953847558001</v>
      </c>
      <c r="O9" s="110">
        <f t="shared" si="1"/>
        <v>46.912390772241231</v>
      </c>
      <c r="P9" s="110">
        <f t="shared" si="1"/>
        <v>21.374314609864705</v>
      </c>
      <c r="Q9" s="110">
        <f t="shared" si="1"/>
        <v>262.15814487390082</v>
      </c>
      <c r="R9" s="110">
        <f t="shared" si="1"/>
        <v>48.498513982408497</v>
      </c>
      <c r="S9" s="110">
        <f t="shared" si="1"/>
        <v>122.60522919585213</v>
      </c>
      <c r="T9" s="110">
        <f t="shared" si="1"/>
        <v>33.153732364380033</v>
      </c>
      <c r="U9" s="110">
        <f t="shared" si="1"/>
        <v>42.145009807366257</v>
      </c>
      <c r="V9" s="110">
        <f t="shared" si="1"/>
        <v>16.371136592791022</v>
      </c>
      <c r="W9" s="110">
        <f t="shared" si="1"/>
        <v>136.14919270884553</v>
      </c>
      <c r="X9" s="110">
        <f t="shared" si="1"/>
        <v>59.964408389041338</v>
      </c>
      <c r="Y9" s="110">
        <f t="shared" si="1"/>
        <v>35.293086038776309</v>
      </c>
      <c r="Z9" s="110">
        <f t="shared" si="1"/>
        <v>1.0908155646832847</v>
      </c>
      <c r="AA9" s="110">
        <f t="shared" si="1"/>
        <v>18.396767156263639</v>
      </c>
      <c r="AB9" s="110">
        <f t="shared" si="1"/>
        <v>134.99460195643266</v>
      </c>
      <c r="AC9" s="110">
        <f t="shared" si="1"/>
        <v>32.591479665648372</v>
      </c>
      <c r="AD9" s="110">
        <f t="shared" si="1"/>
        <v>89.968486501046328</v>
      </c>
      <c r="AE9" s="110">
        <f t="shared" si="1"/>
        <v>59.617728570994011</v>
      </c>
      <c r="AF9" s="110">
        <f t="shared" si="1"/>
        <v>8.6978594137549088</v>
      </c>
      <c r="AG9" s="110">
        <f t="shared" si="1"/>
        <v>19.713215599272178</v>
      </c>
      <c r="AH9" s="110">
        <f>AH26*$AR9</f>
        <v>146.39038866639464</v>
      </c>
      <c r="AI9" s="110">
        <f t="shared" ref="AI9:AK11" si="5">AI26*$AR9</f>
        <v>0</v>
      </c>
      <c r="AJ9" s="110">
        <f t="shared" si="5"/>
        <v>12.641832256676876</v>
      </c>
      <c r="AK9" s="110">
        <f t="shared" si="5"/>
        <v>30.746248868475092</v>
      </c>
      <c r="AL9" s="110">
        <f t="shared" si="1"/>
        <v>31.324000138404955</v>
      </c>
      <c r="AM9" s="110">
        <v>0</v>
      </c>
      <c r="AN9" s="110">
        <v>0</v>
      </c>
      <c r="AO9" s="110">
        <v>0</v>
      </c>
      <c r="AP9" s="110">
        <v>0</v>
      </c>
      <c r="AQ9" s="110">
        <v>0</v>
      </c>
      <c r="AR9" s="110">
        <f t="shared" si="3"/>
        <v>1499.9999999999998</v>
      </c>
    </row>
    <row r="10" spans="1:46" ht="12" x14ac:dyDescent="0.2">
      <c r="A10" s="76"/>
      <c r="B10" s="90" t="s">
        <v>27</v>
      </c>
      <c r="C10" s="90" t="s">
        <v>265</v>
      </c>
      <c r="D10" s="91" t="s">
        <v>28</v>
      </c>
      <c r="E10" s="90" t="s">
        <v>29</v>
      </c>
      <c r="F10" s="90">
        <v>2040</v>
      </c>
      <c r="G10" s="91"/>
      <c r="H10" s="92">
        <v>0</v>
      </c>
      <c r="I10" s="110">
        <f t="shared" si="4"/>
        <v>352.04850344129011</v>
      </c>
      <c r="J10" s="110">
        <f t="shared" si="1"/>
        <v>360.33661563408072</v>
      </c>
      <c r="K10" s="110">
        <f t="shared" si="1"/>
        <v>611.7327727823756</v>
      </c>
      <c r="L10" s="110">
        <f t="shared" si="1"/>
        <v>615.57882313500295</v>
      </c>
      <c r="M10" s="110">
        <f t="shared" si="1"/>
        <v>54.434368400157148</v>
      </c>
      <c r="N10" s="110">
        <f t="shared" si="1"/>
        <v>2888.0169233226502</v>
      </c>
      <c r="O10" s="110">
        <f t="shared" si="1"/>
        <v>820.96683851422154</v>
      </c>
      <c r="P10" s="110">
        <f t="shared" si="1"/>
        <v>374.05050567263231</v>
      </c>
      <c r="Q10" s="110">
        <f t="shared" si="1"/>
        <v>4587.7675352932647</v>
      </c>
      <c r="R10" s="110">
        <f t="shared" si="1"/>
        <v>848.72399469214872</v>
      </c>
      <c r="S10" s="110">
        <f t="shared" si="1"/>
        <v>2145.5915109274124</v>
      </c>
      <c r="T10" s="110">
        <f t="shared" si="1"/>
        <v>580.19031637665069</v>
      </c>
      <c r="U10" s="110">
        <f t="shared" si="1"/>
        <v>737.53767162890949</v>
      </c>
      <c r="V10" s="110">
        <f t="shared" si="1"/>
        <v>286.49489037384285</v>
      </c>
      <c r="W10" s="110">
        <f t="shared" si="1"/>
        <v>2382.6108724047967</v>
      </c>
      <c r="X10" s="110">
        <f t="shared" si="1"/>
        <v>1049.3771468082234</v>
      </c>
      <c r="Y10" s="110">
        <f t="shared" si="1"/>
        <v>617.62900567858549</v>
      </c>
      <c r="Z10" s="110">
        <f t="shared" si="1"/>
        <v>19.089272381957482</v>
      </c>
      <c r="AA10" s="110">
        <f t="shared" si="1"/>
        <v>321.94342523461364</v>
      </c>
      <c r="AB10" s="110">
        <f t="shared" si="1"/>
        <v>2362.4055342375714</v>
      </c>
      <c r="AC10" s="110">
        <f t="shared" si="1"/>
        <v>570.35089414884646</v>
      </c>
      <c r="AD10" s="110">
        <f t="shared" si="1"/>
        <v>1574.4485137683109</v>
      </c>
      <c r="AE10" s="110">
        <f t="shared" si="1"/>
        <v>1043.3102499923953</v>
      </c>
      <c r="AF10" s="110">
        <f t="shared" si="1"/>
        <v>152.21253974071089</v>
      </c>
      <c r="AG10" s="110">
        <f t="shared" si="1"/>
        <v>344.98127298726314</v>
      </c>
      <c r="AH10" s="110">
        <f>AH27*$AR10</f>
        <v>2229.0316985365589</v>
      </c>
      <c r="AI10" s="110">
        <f t="shared" si="5"/>
        <v>12.280533232317579</v>
      </c>
      <c r="AJ10" s="110">
        <f t="shared" si="5"/>
        <v>192.35592054731012</v>
      </c>
      <c r="AK10" s="110">
        <f t="shared" si="5"/>
        <v>420.82120114301307</v>
      </c>
      <c r="AL10" s="110">
        <f t="shared" si="1"/>
        <v>548.17000242208667</v>
      </c>
      <c r="AM10" s="110">
        <v>0</v>
      </c>
      <c r="AN10" s="110">
        <v>0</v>
      </c>
      <c r="AO10" s="110">
        <v>0</v>
      </c>
      <c r="AP10" s="110">
        <v>0</v>
      </c>
      <c r="AQ10" s="110">
        <v>0</v>
      </c>
      <c r="AR10" s="110">
        <f t="shared" si="3"/>
        <v>26250.000000000004</v>
      </c>
    </row>
    <row r="11" spans="1:46" ht="12" x14ac:dyDescent="0.2">
      <c r="A11" s="76"/>
      <c r="B11" s="175" t="s">
        <v>27</v>
      </c>
      <c r="C11" s="175" t="s">
        <v>266</v>
      </c>
      <c r="D11" s="201" t="s">
        <v>28</v>
      </c>
      <c r="E11" s="175" t="s">
        <v>29</v>
      </c>
      <c r="F11" s="175">
        <v>2040</v>
      </c>
      <c r="G11" s="201"/>
      <c r="H11" s="199">
        <v>0</v>
      </c>
      <c r="I11" s="200">
        <f t="shared" si="4"/>
        <v>227.32274793637592</v>
      </c>
      <c r="J11" s="200">
        <f t="shared" si="1"/>
        <v>232.67450038086352</v>
      </c>
      <c r="K11" s="200">
        <f t="shared" si="1"/>
        <v>395.00459042519105</v>
      </c>
      <c r="L11" s="200">
        <f t="shared" si="1"/>
        <v>397.48804008145902</v>
      </c>
      <c r="M11" s="200">
        <f t="shared" si="1"/>
        <v>35.149049309815759</v>
      </c>
      <c r="N11" s="200">
        <f t="shared" si="1"/>
        <v>1864.8337847740543</v>
      </c>
      <c r="O11" s="200">
        <f t="shared" si="1"/>
        <v>530.11001572632586</v>
      </c>
      <c r="P11" s="200">
        <f t="shared" si="1"/>
        <v>241.52975509147115</v>
      </c>
      <c r="Q11" s="200">
        <f t="shared" si="1"/>
        <v>2962.3870370750797</v>
      </c>
      <c r="R11" s="200">
        <f t="shared" si="1"/>
        <v>548.03320800121605</v>
      </c>
      <c r="S11" s="200">
        <f t="shared" si="1"/>
        <v>1385.439089913129</v>
      </c>
      <c r="T11" s="200">
        <f t="shared" si="1"/>
        <v>374.63717571749442</v>
      </c>
      <c r="U11" s="200">
        <f t="shared" si="1"/>
        <v>476.23861082323867</v>
      </c>
      <c r="V11" s="200">
        <f t="shared" si="1"/>
        <v>184.99384349853852</v>
      </c>
      <c r="W11" s="200">
        <f t="shared" si="1"/>
        <v>1538.4858776099545</v>
      </c>
      <c r="X11" s="200">
        <f t="shared" si="1"/>
        <v>677.5978147961672</v>
      </c>
      <c r="Y11" s="200">
        <f t="shared" si="1"/>
        <v>398.81187223817233</v>
      </c>
      <c r="Z11" s="200">
        <f t="shared" si="1"/>
        <v>12.326215880921117</v>
      </c>
      <c r="AA11" s="200">
        <f t="shared" si="1"/>
        <v>207.88346886577912</v>
      </c>
      <c r="AB11" s="200">
        <f t="shared" si="1"/>
        <v>1525.439002107689</v>
      </c>
      <c r="AC11" s="200">
        <f t="shared" si="1"/>
        <v>368.28372022182657</v>
      </c>
      <c r="AD11" s="200">
        <f t="shared" si="1"/>
        <v>1016.6438974618236</v>
      </c>
      <c r="AE11" s="200">
        <f t="shared" si="1"/>
        <v>673.68033285223237</v>
      </c>
      <c r="AF11" s="200">
        <f t="shared" si="1"/>
        <v>98.28581137543047</v>
      </c>
      <c r="AG11" s="200">
        <f t="shared" si="1"/>
        <v>222.75933627177562</v>
      </c>
      <c r="AH11" s="200">
        <f>AH28*$AR11</f>
        <v>875.38833564286108</v>
      </c>
      <c r="AI11" s="200">
        <f t="shared" si="5"/>
        <v>28.739060880729834</v>
      </c>
      <c r="AJ11" s="200">
        <f t="shared" si="5"/>
        <v>75.276383250911024</v>
      </c>
      <c r="AK11" s="200">
        <f t="shared" si="5"/>
        <v>73.070385167066632</v>
      </c>
      <c r="AL11" s="200">
        <f t="shared" si="1"/>
        <v>353.96120156397598</v>
      </c>
      <c r="AM11" s="200">
        <v>0</v>
      </c>
      <c r="AN11" s="200">
        <v>0</v>
      </c>
      <c r="AO11" s="200">
        <v>0</v>
      </c>
      <c r="AP11" s="200">
        <v>0</v>
      </c>
      <c r="AQ11" s="200">
        <v>0</v>
      </c>
      <c r="AR11" s="200">
        <f t="shared" si="3"/>
        <v>16950</v>
      </c>
      <c r="AT11" s="170">
        <f>SUM(AR9:AR11)</f>
        <v>44700</v>
      </c>
    </row>
    <row r="12" spans="1:46" ht="12" x14ac:dyDescent="0.2">
      <c r="A12" s="76"/>
      <c r="B12" s="90" t="s">
        <v>27</v>
      </c>
      <c r="C12" s="90" t="s">
        <v>264</v>
      </c>
      <c r="D12" s="91" t="s">
        <v>28</v>
      </c>
      <c r="E12" s="90" t="s">
        <v>29</v>
      </c>
      <c r="F12" s="90">
        <v>2050</v>
      </c>
      <c r="G12" s="91"/>
      <c r="H12" s="92">
        <v>0</v>
      </c>
      <c r="I12" s="110">
        <f t="shared" si="4"/>
        <v>24.140468807402716</v>
      </c>
      <c r="J12" s="110">
        <f t="shared" si="1"/>
        <v>24.70879650062264</v>
      </c>
      <c r="K12" s="110">
        <f t="shared" si="1"/>
        <v>41.947390133648547</v>
      </c>
      <c r="L12" s="110">
        <f t="shared" si="1"/>
        <v>42.211119300685851</v>
      </c>
      <c r="M12" s="110">
        <f t="shared" si="1"/>
        <v>3.7326424045821986</v>
      </c>
      <c r="N12" s="110">
        <f t="shared" si="1"/>
        <v>198.03544617069571</v>
      </c>
      <c r="O12" s="110">
        <f t="shared" si="1"/>
        <v>56.294868926689389</v>
      </c>
      <c r="P12" s="110">
        <f t="shared" si="1"/>
        <v>25.649177531837605</v>
      </c>
      <c r="Q12" s="110">
        <f t="shared" si="1"/>
        <v>314.58977384868052</v>
      </c>
      <c r="R12" s="110">
        <f t="shared" si="1"/>
        <v>58.198216778890107</v>
      </c>
      <c r="S12" s="110">
        <f t="shared" si="1"/>
        <v>147.12627503502233</v>
      </c>
      <c r="T12" s="110">
        <f t="shared" si="1"/>
        <v>39.784478837255982</v>
      </c>
      <c r="U12" s="110">
        <f t="shared" si="1"/>
        <v>50.574011768839434</v>
      </c>
      <c r="V12" s="110">
        <f t="shared" si="1"/>
        <v>19.645363911349197</v>
      </c>
      <c r="W12" s="110">
        <f t="shared" si="1"/>
        <v>163.37903125061439</v>
      </c>
      <c r="X12" s="110">
        <f t="shared" si="1"/>
        <v>71.957290066849495</v>
      </c>
      <c r="Y12" s="110">
        <f t="shared" si="1"/>
        <v>42.351703246531507</v>
      </c>
      <c r="Z12" s="110">
        <f t="shared" si="1"/>
        <v>1.3089786776199397</v>
      </c>
      <c r="AA12" s="110">
        <f t="shared" si="1"/>
        <v>22.076120587516332</v>
      </c>
      <c r="AB12" s="110">
        <f t="shared" si="1"/>
        <v>161.99352234771894</v>
      </c>
      <c r="AC12" s="110">
        <f t="shared" si="1"/>
        <v>39.109775598777986</v>
      </c>
      <c r="AD12" s="110">
        <f t="shared" si="1"/>
        <v>107.96218380125543</v>
      </c>
      <c r="AE12" s="110">
        <f t="shared" si="1"/>
        <v>71.541274285192699</v>
      </c>
      <c r="AF12" s="110">
        <f t="shared" si="1"/>
        <v>10.437431296505874</v>
      </c>
      <c r="AG12" s="110">
        <f t="shared" si="1"/>
        <v>23.655858719126577</v>
      </c>
      <c r="AH12" s="110">
        <f>AH26*$AR12</f>
        <v>175.66846639967332</v>
      </c>
      <c r="AI12" s="110">
        <f t="shared" ref="AI12:AK14" si="6">AI26*$AR12</f>
        <v>0</v>
      </c>
      <c r="AJ12" s="110">
        <f t="shared" si="6"/>
        <v>15.170198708012229</v>
      </c>
      <c r="AK12" s="110">
        <f t="shared" si="6"/>
        <v>36.895498642170061</v>
      </c>
      <c r="AL12" s="110">
        <f t="shared" si="1"/>
        <v>37.588800166085889</v>
      </c>
      <c r="AM12" s="110">
        <v>0</v>
      </c>
      <c r="AN12" s="110">
        <v>0</v>
      </c>
      <c r="AO12" s="110">
        <v>0</v>
      </c>
      <c r="AP12" s="110">
        <v>0</v>
      </c>
      <c r="AQ12" s="110">
        <v>0</v>
      </c>
      <c r="AR12" s="110">
        <f t="shared" si="3"/>
        <v>1799.9999999999973</v>
      </c>
    </row>
    <row r="13" spans="1:46" ht="12" x14ac:dyDescent="0.2">
      <c r="A13" s="76"/>
      <c r="B13" s="90" t="s">
        <v>27</v>
      </c>
      <c r="C13" s="90" t="s">
        <v>265</v>
      </c>
      <c r="D13" s="91" t="s">
        <v>28</v>
      </c>
      <c r="E13" s="90" t="s">
        <v>29</v>
      </c>
      <c r="F13" s="90">
        <v>2050</v>
      </c>
      <c r="G13" s="91"/>
      <c r="H13" s="92">
        <v>0</v>
      </c>
      <c r="I13" s="110">
        <f t="shared" si="4"/>
        <v>388.25920665239431</v>
      </c>
      <c r="J13" s="110">
        <f t="shared" si="1"/>
        <v>397.39981038501475</v>
      </c>
      <c r="K13" s="110">
        <f t="shared" si="1"/>
        <v>674.65385798284854</v>
      </c>
      <c r="L13" s="110">
        <f t="shared" si="1"/>
        <v>678.89550208603191</v>
      </c>
      <c r="M13" s="110">
        <f t="shared" si="1"/>
        <v>60.033332007030459</v>
      </c>
      <c r="N13" s="110">
        <f t="shared" si="1"/>
        <v>3185.0700925786946</v>
      </c>
      <c r="O13" s="110">
        <f t="shared" si="1"/>
        <v>905.40914190425588</v>
      </c>
      <c r="P13" s="110">
        <f t="shared" si="1"/>
        <v>412.52427197038884</v>
      </c>
      <c r="Q13" s="110">
        <f t="shared" si="1"/>
        <v>5059.6521960662867</v>
      </c>
      <c r="R13" s="110">
        <f t="shared" si="1"/>
        <v>936.02131986048414</v>
      </c>
      <c r="S13" s="110">
        <f t="shared" si="1"/>
        <v>2366.2809234799465</v>
      </c>
      <c r="T13" s="110">
        <f t="shared" si="1"/>
        <v>639.8670346325348</v>
      </c>
      <c r="U13" s="110">
        <f t="shared" si="1"/>
        <v>813.39868928216879</v>
      </c>
      <c r="V13" s="110">
        <f t="shared" si="1"/>
        <v>315.96293624086672</v>
      </c>
      <c r="W13" s="110">
        <f t="shared" si="1"/>
        <v>2627.6794192807188</v>
      </c>
      <c r="X13" s="110">
        <f t="shared" si="1"/>
        <v>1157.3130819084981</v>
      </c>
      <c r="Y13" s="110">
        <f t="shared" si="1"/>
        <v>681.15656054838291</v>
      </c>
      <c r="Z13" s="110">
        <f t="shared" si="1"/>
        <v>21.0527403983874</v>
      </c>
      <c r="AA13" s="110">
        <f t="shared" si="1"/>
        <v>355.05760611588823</v>
      </c>
      <c r="AB13" s="110">
        <f t="shared" si="1"/>
        <v>2605.3958177591503</v>
      </c>
      <c r="AC13" s="110">
        <f t="shared" si="1"/>
        <v>629.0155575470136</v>
      </c>
      <c r="AD13" s="110">
        <f t="shared" si="1"/>
        <v>1736.3917894701945</v>
      </c>
      <c r="AE13" s="110">
        <f t="shared" si="1"/>
        <v>1150.6221614201845</v>
      </c>
      <c r="AF13" s="110">
        <f t="shared" si="1"/>
        <v>167.86868668546975</v>
      </c>
      <c r="AG13" s="110">
        <f t="shared" si="1"/>
        <v>380.46506106595308</v>
      </c>
      <c r="AH13" s="110">
        <f>AH27*$AR13</f>
        <v>2458.3035303860338</v>
      </c>
      <c r="AI13" s="110">
        <f t="shared" si="6"/>
        <v>13.543673793355959</v>
      </c>
      <c r="AJ13" s="110">
        <f t="shared" si="6"/>
        <v>212.14110094646205</v>
      </c>
      <c r="AK13" s="110">
        <f t="shared" si="6"/>
        <v>464.10566754629446</v>
      </c>
      <c r="AL13" s="110">
        <f t="shared" si="1"/>
        <v>604.55320267121567</v>
      </c>
      <c r="AM13" s="110">
        <v>0</v>
      </c>
      <c r="AN13" s="110">
        <v>0</v>
      </c>
      <c r="AO13" s="110">
        <v>0</v>
      </c>
      <c r="AP13" s="110">
        <v>0</v>
      </c>
      <c r="AQ13" s="110">
        <v>0</v>
      </c>
      <c r="AR13" s="110">
        <f t="shared" si="3"/>
        <v>28950.000000000007</v>
      </c>
    </row>
    <row r="14" spans="1:46" ht="12" x14ac:dyDescent="0.2">
      <c r="A14" s="76"/>
      <c r="B14" s="175" t="s">
        <v>27</v>
      </c>
      <c r="C14" s="175" t="s">
        <v>266</v>
      </c>
      <c r="D14" s="201" t="s">
        <v>28</v>
      </c>
      <c r="E14" s="175" t="s">
        <v>29</v>
      </c>
      <c r="F14" s="175">
        <v>2050</v>
      </c>
      <c r="G14" s="201"/>
      <c r="H14" s="199">
        <v>0</v>
      </c>
      <c r="I14" s="200">
        <f t="shared" si="4"/>
        <v>227.32274793637572</v>
      </c>
      <c r="J14" s="200">
        <f t="shared" si="1"/>
        <v>232.67450038086332</v>
      </c>
      <c r="K14" s="200">
        <f t="shared" si="1"/>
        <v>395.00459042519071</v>
      </c>
      <c r="L14" s="200">
        <f t="shared" si="1"/>
        <v>397.48804008145868</v>
      </c>
      <c r="M14" s="200">
        <f t="shared" si="1"/>
        <v>35.14904930981573</v>
      </c>
      <c r="N14" s="200">
        <f t="shared" si="1"/>
        <v>1864.8337847740527</v>
      </c>
      <c r="O14" s="200">
        <f t="shared" si="1"/>
        <v>530.1100157263254</v>
      </c>
      <c r="P14" s="200">
        <f t="shared" si="1"/>
        <v>241.52975509147095</v>
      </c>
      <c r="Q14" s="200">
        <f t="shared" si="1"/>
        <v>2962.3870370750769</v>
      </c>
      <c r="R14" s="200">
        <f t="shared" si="1"/>
        <v>548.0332080012156</v>
      </c>
      <c r="S14" s="200">
        <f t="shared" si="1"/>
        <v>1385.4390899131279</v>
      </c>
      <c r="T14" s="200">
        <f t="shared" si="1"/>
        <v>374.63717571749407</v>
      </c>
      <c r="U14" s="200">
        <f t="shared" si="1"/>
        <v>476.23861082323828</v>
      </c>
      <c r="V14" s="200">
        <f t="shared" si="1"/>
        <v>184.99384349853838</v>
      </c>
      <c r="W14" s="200">
        <f t="shared" si="1"/>
        <v>1538.4858776099531</v>
      </c>
      <c r="X14" s="200">
        <f t="shared" si="1"/>
        <v>677.59781479616652</v>
      </c>
      <c r="Y14" s="200">
        <f t="shared" si="1"/>
        <v>398.81187223817199</v>
      </c>
      <c r="Z14" s="200">
        <f t="shared" si="1"/>
        <v>12.326215880921106</v>
      </c>
      <c r="AA14" s="200">
        <f t="shared" si="1"/>
        <v>207.88346886577892</v>
      </c>
      <c r="AB14" s="200">
        <f t="shared" si="1"/>
        <v>1525.4390021076877</v>
      </c>
      <c r="AC14" s="200">
        <f t="shared" si="1"/>
        <v>368.28372022182623</v>
      </c>
      <c r="AD14" s="200">
        <f t="shared" si="1"/>
        <v>1016.6438974618227</v>
      </c>
      <c r="AE14" s="200">
        <f t="shared" si="1"/>
        <v>673.6803328522318</v>
      </c>
      <c r="AF14" s="200">
        <f t="shared" si="1"/>
        <v>98.285811375430384</v>
      </c>
      <c r="AG14" s="200">
        <f t="shared" si="1"/>
        <v>222.75933627177542</v>
      </c>
      <c r="AH14" s="200">
        <f>AH28*$AR14</f>
        <v>875.3883356428604</v>
      </c>
      <c r="AI14" s="200">
        <f t="shared" si="6"/>
        <v>28.739060880729809</v>
      </c>
      <c r="AJ14" s="200">
        <f t="shared" si="6"/>
        <v>75.276383250910953</v>
      </c>
      <c r="AK14" s="200">
        <f t="shared" si="6"/>
        <v>73.070385167066561</v>
      </c>
      <c r="AL14" s="200">
        <f t="shared" si="1"/>
        <v>353.96120156397569</v>
      </c>
      <c r="AM14" s="200">
        <v>0</v>
      </c>
      <c r="AN14" s="200">
        <v>0</v>
      </c>
      <c r="AO14" s="200">
        <v>0</v>
      </c>
      <c r="AP14" s="200">
        <v>0</v>
      </c>
      <c r="AQ14" s="200">
        <v>0</v>
      </c>
      <c r="AR14" s="200">
        <f t="shared" si="3"/>
        <v>16949.999999999985</v>
      </c>
      <c r="AT14" s="170">
        <f>SUM(AR12:AR14)</f>
        <v>47699.999999999985</v>
      </c>
    </row>
    <row r="15" spans="1:46" ht="12" x14ac:dyDescent="0.2">
      <c r="A15" s="76"/>
      <c r="B15" s="202" t="str">
        <f>B14</f>
        <v>ANNUAL</v>
      </c>
      <c r="C15" s="202" t="s">
        <v>204</v>
      </c>
      <c r="D15" s="203" t="str">
        <f>D14</f>
        <v>UP</v>
      </c>
      <c r="E15" s="202" t="str">
        <f>E14</f>
        <v>ACT_BND</v>
      </c>
      <c r="F15" s="202">
        <v>0</v>
      </c>
      <c r="G15" s="203"/>
      <c r="H15" s="199">
        <v>5</v>
      </c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200"/>
      <c r="AC15" s="200"/>
      <c r="AD15" s="200"/>
      <c r="AE15" s="200"/>
      <c r="AF15" s="200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0"/>
      <c r="AR15" s="200">
        <f t="shared" si="3"/>
        <v>0</v>
      </c>
      <c r="AS15" s="74"/>
    </row>
    <row r="16" spans="1:46" ht="12" x14ac:dyDescent="0.2">
      <c r="A16" s="76"/>
      <c r="B16" s="90"/>
      <c r="C16" s="90" t="s">
        <v>264</v>
      </c>
      <c r="D16" s="91"/>
      <c r="E16" s="90" t="s">
        <v>60</v>
      </c>
      <c r="F16" s="90">
        <v>2020</v>
      </c>
      <c r="G16" s="91" t="s">
        <v>55</v>
      </c>
      <c r="H16" s="204">
        <f>J34</f>
        <v>1.8440000000000002E-2</v>
      </c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</row>
    <row r="17" spans="1:44" ht="12" x14ac:dyDescent="0.2">
      <c r="A17" s="76"/>
      <c r="B17" s="90"/>
      <c r="C17" s="90" t="s">
        <v>265</v>
      </c>
      <c r="D17" s="91"/>
      <c r="E17" s="90" t="s">
        <v>60</v>
      </c>
      <c r="F17" s="90">
        <v>2020</v>
      </c>
      <c r="G17" s="91" t="s">
        <v>55</v>
      </c>
      <c r="H17" s="204">
        <f>J35</f>
        <v>4.3869999999999999E-2</v>
      </c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</row>
    <row r="18" spans="1:44" ht="12" x14ac:dyDescent="0.2">
      <c r="A18" s="76"/>
      <c r="B18" s="90"/>
      <c r="C18" s="90" t="s">
        <v>266</v>
      </c>
      <c r="D18" s="91"/>
      <c r="E18" s="90" t="s">
        <v>60</v>
      </c>
      <c r="F18" s="90">
        <v>2020</v>
      </c>
      <c r="G18" s="91" t="s">
        <v>55</v>
      </c>
      <c r="H18" s="204">
        <f>J36</f>
        <v>8.7739999999999999E-2</v>
      </c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</row>
    <row r="19" spans="1:44" ht="12" x14ac:dyDescent="0.2">
      <c r="A19" s="76"/>
      <c r="B19" s="90"/>
      <c r="C19" s="90" t="s">
        <v>264</v>
      </c>
      <c r="D19" s="91"/>
      <c r="E19" s="90" t="s">
        <v>60</v>
      </c>
      <c r="F19" s="90">
        <v>2050</v>
      </c>
      <c r="G19" s="91" t="s">
        <v>55</v>
      </c>
      <c r="H19" s="204">
        <f>H16</f>
        <v>1.8440000000000002E-2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</row>
    <row r="20" spans="1:44" ht="12" x14ac:dyDescent="0.2">
      <c r="A20" s="76"/>
      <c r="B20" s="90"/>
      <c r="C20" s="90" t="s">
        <v>265</v>
      </c>
      <c r="D20" s="91"/>
      <c r="E20" s="90" t="s">
        <v>60</v>
      </c>
      <c r="F20" s="90">
        <v>2050</v>
      </c>
      <c r="G20" s="91" t="s">
        <v>55</v>
      </c>
      <c r="H20" s="204">
        <f t="shared" ref="H20:H21" si="7">H17</f>
        <v>4.3869999999999999E-2</v>
      </c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</row>
    <row r="21" spans="1:44" ht="12" x14ac:dyDescent="0.2">
      <c r="A21" s="76"/>
      <c r="B21" s="90"/>
      <c r="C21" s="90" t="s">
        <v>266</v>
      </c>
      <c r="D21" s="91"/>
      <c r="E21" s="90" t="s">
        <v>60</v>
      </c>
      <c r="F21" s="90">
        <v>2050</v>
      </c>
      <c r="G21" s="91" t="s">
        <v>55</v>
      </c>
      <c r="H21" s="204">
        <f t="shared" si="7"/>
        <v>8.7739999999999999E-2</v>
      </c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</row>
    <row r="22" spans="1:44" ht="12" x14ac:dyDescent="0.2">
      <c r="A22" s="76"/>
      <c r="B22" s="90"/>
      <c r="C22" s="90" t="s">
        <v>264</v>
      </c>
      <c r="D22" s="91"/>
      <c r="E22" s="90" t="s">
        <v>60</v>
      </c>
      <c r="F22" s="90">
        <v>0</v>
      </c>
      <c r="G22" s="91" t="s">
        <v>55</v>
      </c>
      <c r="H22" s="205">
        <v>5</v>
      </c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</row>
    <row r="23" spans="1:44" ht="12" x14ac:dyDescent="0.2">
      <c r="A23" s="76"/>
      <c r="B23" s="90"/>
      <c r="C23" s="90" t="s">
        <v>265</v>
      </c>
      <c r="D23" s="91"/>
      <c r="E23" s="90" t="s">
        <v>60</v>
      </c>
      <c r="F23" s="90">
        <v>0</v>
      </c>
      <c r="G23" s="91" t="s">
        <v>55</v>
      </c>
      <c r="H23" s="205">
        <v>5</v>
      </c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</row>
    <row r="24" spans="1:44" ht="12" x14ac:dyDescent="0.2">
      <c r="A24" s="76"/>
      <c r="B24" s="90"/>
      <c r="C24" s="90" t="s">
        <v>266</v>
      </c>
      <c r="D24" s="91"/>
      <c r="E24" s="90" t="s">
        <v>60</v>
      </c>
      <c r="F24" s="90">
        <v>0</v>
      </c>
      <c r="G24" s="91" t="s">
        <v>55</v>
      </c>
      <c r="H24" s="205">
        <v>5</v>
      </c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</row>
    <row r="25" spans="1:44" ht="12" x14ac:dyDescent="0.2">
      <c r="A25" s="76"/>
      <c r="B25" s="76"/>
      <c r="C25" s="76"/>
      <c r="D25" s="76"/>
      <c r="E25" s="76"/>
      <c r="F25" s="76"/>
      <c r="G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</row>
    <row r="26" spans="1:44" ht="12" x14ac:dyDescent="0.2">
      <c r="A26" s="76"/>
      <c r="B26" s="76"/>
      <c r="C26" s="76"/>
      <c r="D26" s="76"/>
      <c r="E26" s="76"/>
      <c r="F26" s="76"/>
      <c r="G26" s="76"/>
      <c r="H26" s="206" t="s">
        <v>267</v>
      </c>
      <c r="I26" s="76">
        <v>1.3411371559668196E-2</v>
      </c>
      <c r="J26" s="76">
        <v>1.3727109167012598E-2</v>
      </c>
      <c r="K26" s="76">
        <v>2.3304105629804783E-2</v>
      </c>
      <c r="L26" s="76">
        <v>2.3450621833714397E-2</v>
      </c>
      <c r="M26" s="76">
        <v>2.0736902247678914E-3</v>
      </c>
      <c r="N26" s="76">
        <v>0.11001969231705334</v>
      </c>
      <c r="O26" s="76">
        <v>3.1274927181494154E-2</v>
      </c>
      <c r="P26" s="76">
        <v>1.4249543073243135E-2</v>
      </c>
      <c r="Q26" s="76">
        <v>0.17477209658260057</v>
      </c>
      <c r="R26" s="76">
        <v>3.2332342654938999E-2</v>
      </c>
      <c r="S26" s="76">
        <v>8.173681946390142E-2</v>
      </c>
      <c r="T26" s="76">
        <v>2.2102488242920024E-2</v>
      </c>
      <c r="U26" s="76">
        <v>2.8096673204910837E-2</v>
      </c>
      <c r="V26" s="76">
        <v>1.0914091061860681E-2</v>
      </c>
      <c r="W26" s="76">
        <v>9.0766128472563684E-2</v>
      </c>
      <c r="X26" s="76">
        <v>3.9976272259360894E-2</v>
      </c>
      <c r="Y26" s="76">
        <v>2.3528724025850874E-2</v>
      </c>
      <c r="Z26" s="76">
        <v>7.2721037645552317E-4</v>
      </c>
      <c r="AA26" s="76">
        <v>1.2264511437509092E-2</v>
      </c>
      <c r="AB26" s="76">
        <v>8.9996401304288431E-2</v>
      </c>
      <c r="AC26" s="76">
        <v>2.1727653110432246E-2</v>
      </c>
      <c r="AD26" s="76">
        <v>5.9978991000697555E-2</v>
      </c>
      <c r="AE26" s="76">
        <v>3.9745152380662674E-2</v>
      </c>
      <c r="AF26" s="76">
        <v>5.7985729425032726E-3</v>
      </c>
      <c r="AG26" s="76">
        <v>1.3142143732848119E-2</v>
      </c>
      <c r="AH26" s="76">
        <v>9.7593592444263105E-2</v>
      </c>
      <c r="AI26" s="76">
        <v>0</v>
      </c>
      <c r="AJ26" s="76">
        <v>8.4278881711179181E-3</v>
      </c>
      <c r="AK26" s="76">
        <v>2.0497499245650065E-2</v>
      </c>
      <c r="AL26" s="76">
        <v>2.0882666758936637E-2</v>
      </c>
      <c r="AM26" s="76"/>
      <c r="AN26" s="76"/>
      <c r="AO26" s="76"/>
      <c r="AP26" s="76"/>
      <c r="AQ26" s="76"/>
      <c r="AR26" s="76"/>
    </row>
    <row r="27" spans="1:44" ht="12" x14ac:dyDescent="0.2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>
        <v>8.4915493277583187E-2</v>
      </c>
      <c r="AI27" s="76">
        <v>4.6782983742162196E-4</v>
      </c>
      <c r="AJ27" s="76">
        <v>7.3278445922784798E-3</v>
      </c>
      <c r="AK27" s="76">
        <v>1.6031283853067162E-2</v>
      </c>
      <c r="AL27" s="76"/>
      <c r="AM27" s="76"/>
      <c r="AN27" s="76"/>
      <c r="AO27" s="76"/>
      <c r="AP27" s="76"/>
      <c r="AQ27" s="76"/>
      <c r="AR27" s="76"/>
    </row>
    <row r="28" spans="1:44" ht="12.75" x14ac:dyDescent="0.2">
      <c r="A28" s="76"/>
      <c r="B28" s="207"/>
      <c r="C28" s="78"/>
      <c r="D28" s="80"/>
      <c r="E28" s="80"/>
      <c r="F28" s="208" t="s">
        <v>268</v>
      </c>
      <c r="G28" s="80"/>
      <c r="H28" s="80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>
        <v>5.1645329536451984E-2</v>
      </c>
      <c r="AI28" s="76">
        <v>1.6955198159722617E-3</v>
      </c>
      <c r="AJ28" s="76">
        <v>4.4410845575758714E-3</v>
      </c>
      <c r="AK28" s="76">
        <v>4.3109371779980312E-3</v>
      </c>
      <c r="AL28" s="76"/>
      <c r="AM28" s="76"/>
      <c r="AN28" s="76"/>
      <c r="AO28" s="76"/>
      <c r="AP28" s="76"/>
      <c r="AQ28" s="76"/>
      <c r="AR28" s="76"/>
    </row>
    <row r="29" spans="1:44" ht="12.75" x14ac:dyDescent="0.2">
      <c r="A29" s="76"/>
      <c r="B29" s="207"/>
      <c r="C29" s="78"/>
      <c r="F29" s="1" t="s">
        <v>269</v>
      </c>
      <c r="G29" s="1" t="s">
        <v>270</v>
      </c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</row>
    <row r="30" spans="1:44" ht="12.75" x14ac:dyDescent="0.2">
      <c r="A30" s="76"/>
      <c r="B30" s="207"/>
      <c r="C30" s="78"/>
      <c r="F30" s="90" t="s">
        <v>29</v>
      </c>
      <c r="G30" s="90" t="s">
        <v>216</v>
      </c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</row>
    <row r="31" spans="1:44" ht="12" x14ac:dyDescent="0.2">
      <c r="A31" s="76"/>
      <c r="B31" s="90" t="s">
        <v>27</v>
      </c>
      <c r="C31" s="90" t="s">
        <v>264</v>
      </c>
      <c r="D31" s="91" t="s">
        <v>28</v>
      </c>
      <c r="E31" s="90">
        <v>2025</v>
      </c>
      <c r="F31" s="109"/>
      <c r="G31" s="109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</row>
    <row r="32" spans="1:44" ht="12" x14ac:dyDescent="0.2">
      <c r="A32" s="76"/>
      <c r="B32" s="90" t="s">
        <v>27</v>
      </c>
      <c r="C32" s="90" t="s">
        <v>265</v>
      </c>
      <c r="D32" s="91" t="s">
        <v>28</v>
      </c>
      <c r="E32" s="90">
        <v>2025</v>
      </c>
      <c r="F32" s="109"/>
      <c r="G32" s="109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</row>
    <row r="33" spans="1:44" ht="12" x14ac:dyDescent="0.2">
      <c r="A33" s="76"/>
      <c r="B33" s="175" t="s">
        <v>27</v>
      </c>
      <c r="C33" s="90" t="s">
        <v>266</v>
      </c>
      <c r="D33" s="201" t="s">
        <v>28</v>
      </c>
      <c r="E33" s="175">
        <v>2025</v>
      </c>
      <c r="F33" s="209"/>
      <c r="G33" s="209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</row>
    <row r="34" spans="1:44" ht="12" x14ac:dyDescent="0.2">
      <c r="A34" s="76"/>
      <c r="B34" s="90" t="s">
        <v>27</v>
      </c>
      <c r="C34" s="90" t="s">
        <v>264</v>
      </c>
      <c r="D34" s="91" t="s">
        <v>28</v>
      </c>
      <c r="E34" s="90">
        <v>2030</v>
      </c>
      <c r="F34" s="110">
        <f>(41.6-39.7)*1000</f>
        <v>1899.9999999999986</v>
      </c>
      <c r="G34" s="109">
        <v>2.1000000000000001E-2</v>
      </c>
      <c r="I34" s="76"/>
      <c r="J34" s="76">
        <v>1.8440000000000002E-2</v>
      </c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</row>
    <row r="35" spans="1:44" ht="12" x14ac:dyDescent="0.2">
      <c r="A35" s="76"/>
      <c r="B35" s="90" t="s">
        <v>27</v>
      </c>
      <c r="C35" s="90" t="s">
        <v>265</v>
      </c>
      <c r="D35" s="91" t="s">
        <v>28</v>
      </c>
      <c r="E35" s="90">
        <v>2030</v>
      </c>
      <c r="F35" s="110">
        <f>(83.2-61.9)*1000-F34</f>
        <v>19400.000000000004</v>
      </c>
      <c r="G35" s="109">
        <v>0.05</v>
      </c>
      <c r="I35" s="76"/>
      <c r="J35" s="76">
        <v>4.3869999999999999E-2</v>
      </c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</row>
    <row r="36" spans="1:44" ht="12" x14ac:dyDescent="0.2">
      <c r="A36" s="76"/>
      <c r="B36" s="175" t="s">
        <v>27</v>
      </c>
      <c r="C36" s="90" t="s">
        <v>266</v>
      </c>
      <c r="D36" s="201" t="s">
        <v>28</v>
      </c>
      <c r="E36" s="175">
        <v>2030</v>
      </c>
      <c r="F36" s="200">
        <f>(112.1-74.25)*1000-F35-F34</f>
        <v>16549.999999999989</v>
      </c>
      <c r="G36" s="209">
        <v>0.1</v>
      </c>
      <c r="H36" s="170">
        <f>F34+F35+F36</f>
        <v>37849.999999999993</v>
      </c>
      <c r="I36" s="76"/>
      <c r="J36" s="76">
        <v>8.7739999999999999E-2</v>
      </c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</row>
    <row r="37" spans="1:44" ht="12" x14ac:dyDescent="0.2">
      <c r="A37" s="76"/>
      <c r="B37" s="90" t="s">
        <v>27</v>
      </c>
      <c r="C37" s="90" t="s">
        <v>264</v>
      </c>
      <c r="D37" s="91" t="s">
        <v>28</v>
      </c>
      <c r="E37" s="90">
        <v>2040</v>
      </c>
      <c r="F37" s="110">
        <f>(57-55.5)*1000</f>
        <v>1500</v>
      </c>
      <c r="G37" s="109">
        <v>2.1000000000000001E-2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</row>
    <row r="38" spans="1:44" ht="12" x14ac:dyDescent="0.2">
      <c r="A38" s="76"/>
      <c r="B38" s="90" t="s">
        <v>27</v>
      </c>
      <c r="C38" s="90" t="s">
        <v>265</v>
      </c>
      <c r="D38" s="91" t="s">
        <v>28</v>
      </c>
      <c r="E38" s="90">
        <v>2040</v>
      </c>
      <c r="F38" s="110">
        <f>(103.12-75.37)*1000-F37</f>
        <v>26250</v>
      </c>
      <c r="G38" s="109">
        <f>G35</f>
        <v>0.05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</row>
    <row r="39" spans="1:44" ht="12" x14ac:dyDescent="0.2">
      <c r="A39" s="76"/>
      <c r="B39" s="175" t="s">
        <v>27</v>
      </c>
      <c r="C39" s="90" t="s">
        <v>266</v>
      </c>
      <c r="D39" s="201" t="s">
        <v>28</v>
      </c>
      <c r="E39" s="175">
        <v>2040</v>
      </c>
      <c r="F39" s="200">
        <f>(136.9-92.2)*1000-F38-F37</f>
        <v>16950</v>
      </c>
      <c r="G39" s="209">
        <f>G36</f>
        <v>0.1</v>
      </c>
      <c r="H39" s="170">
        <f>F38+F39+F37</f>
        <v>44700</v>
      </c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</row>
    <row r="40" spans="1:44" ht="12" x14ac:dyDescent="0.2">
      <c r="A40" s="76"/>
      <c r="B40" s="90" t="s">
        <v>27</v>
      </c>
      <c r="C40" s="90" t="s">
        <v>264</v>
      </c>
      <c r="D40" s="91" t="s">
        <v>28</v>
      </c>
      <c r="E40" s="90">
        <v>2050</v>
      </c>
      <c r="F40" s="110">
        <f>(81-79.2)*1000</f>
        <v>1799.9999999999973</v>
      </c>
      <c r="G40" s="109">
        <v>2.1000000000000001E-2</v>
      </c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</row>
    <row r="41" spans="1:44" ht="12" x14ac:dyDescent="0.2">
      <c r="A41" s="76"/>
      <c r="B41" s="90" t="s">
        <v>27</v>
      </c>
      <c r="C41" s="90" t="s">
        <v>265</v>
      </c>
      <c r="D41" s="91" t="s">
        <v>28</v>
      </c>
      <c r="E41" s="90">
        <v>2050</v>
      </c>
      <c r="F41" s="110">
        <f>(128.25-97.5)*1000-F40</f>
        <v>28950.000000000004</v>
      </c>
      <c r="G41" s="109">
        <f>G38</f>
        <v>0.05</v>
      </c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</row>
    <row r="42" spans="1:44" ht="12" x14ac:dyDescent="0.2">
      <c r="A42" s="76"/>
      <c r="B42" s="90" t="s">
        <v>27</v>
      </c>
      <c r="C42" s="90" t="s">
        <v>266</v>
      </c>
      <c r="D42" s="91" t="s">
        <v>28</v>
      </c>
      <c r="E42" s="90">
        <v>2050</v>
      </c>
      <c r="F42" s="110">
        <f>(164.6-116.9)*1000-F41-F40</f>
        <v>16949.999999999985</v>
      </c>
      <c r="G42" s="109">
        <f>G39</f>
        <v>0.1</v>
      </c>
      <c r="H42" s="170">
        <f>F40+F41+F42</f>
        <v>47699.999999999985</v>
      </c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</row>
    <row r="43" spans="1:44" ht="12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</row>
    <row r="44" spans="1:44" ht="12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</row>
    <row r="45" spans="1:44" ht="12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</row>
    <row r="46" spans="1:44" ht="12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</row>
    <row r="47" spans="1:44" ht="12" x14ac:dyDescent="0.2">
      <c r="A47" s="76"/>
      <c r="B47" s="76"/>
      <c r="C47" s="76"/>
      <c r="D47" s="210"/>
      <c r="E47" s="210"/>
      <c r="F47" s="210"/>
      <c r="G47" s="210"/>
      <c r="H47" s="210"/>
      <c r="I47" s="210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</row>
    <row r="48" spans="1:44" ht="12" x14ac:dyDescent="0.2">
      <c r="A48" s="76"/>
      <c r="B48" s="76"/>
      <c r="C48" s="76"/>
      <c r="D48" s="210"/>
      <c r="E48" s="210"/>
      <c r="F48" s="210"/>
      <c r="G48" s="210"/>
      <c r="H48" s="210"/>
      <c r="I48" s="210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</row>
    <row r="49" spans="1:44" s="212" customFormat="1" ht="12" x14ac:dyDescent="0.2">
      <c r="A49" s="111"/>
      <c r="B49" s="111"/>
      <c r="C49" s="111"/>
      <c r="D49" s="211"/>
      <c r="E49" s="211"/>
      <c r="F49" s="211"/>
      <c r="G49" s="211"/>
      <c r="H49" s="211"/>
      <c r="I49" s="2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</row>
    <row r="50" spans="1:44" ht="12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</row>
    <row r="51" spans="1:44" ht="12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</row>
    <row r="52" spans="1:44" ht="12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</row>
    <row r="53" spans="1:44" ht="12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</row>
    <row r="54" spans="1:44" ht="12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</row>
    <row r="55" spans="1:44" ht="12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</row>
    <row r="56" spans="1:44" ht="12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</row>
    <row r="57" spans="1:44" ht="12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CB95-876F-44D4-AEDC-230ACC4D31E2}">
  <dimension ref="B1:AW86"/>
  <sheetViews>
    <sheetView workbookViewId="0"/>
  </sheetViews>
  <sheetFormatPr defaultColWidth="8.85546875" defaultRowHeight="11.25" x14ac:dyDescent="0.2"/>
  <cols>
    <col min="1" max="1" width="8.85546875" style="1"/>
    <col min="2" max="2" width="11" style="1" customWidth="1"/>
    <col min="3" max="3" width="15.5703125" style="1" customWidth="1"/>
    <col min="4" max="4" width="8.85546875" style="1"/>
    <col min="5" max="5" width="13.7109375" style="1" customWidth="1"/>
    <col min="6" max="6" width="8.85546875" style="1"/>
    <col min="7" max="7" width="10.7109375" style="1" customWidth="1"/>
    <col min="8" max="8" width="10.85546875" style="1" customWidth="1"/>
    <col min="9" max="32" width="8.85546875" style="1" customWidth="1"/>
    <col min="33" max="16384" width="8.85546875" style="1"/>
  </cols>
  <sheetData>
    <row r="1" spans="2:49" s="83" customFormat="1" ht="15" x14ac:dyDescent="0.25">
      <c r="B1" s="83" t="s">
        <v>222</v>
      </c>
      <c r="F1" s="84"/>
      <c r="G1" s="83" t="s">
        <v>262</v>
      </c>
      <c r="H1" s="84" t="s">
        <v>223</v>
      </c>
    </row>
    <row r="2" spans="2:49" ht="11.45" customHeight="1" x14ac:dyDescent="0.2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4" spans="2:49" ht="12.75" x14ac:dyDescent="0.2">
      <c r="B4" s="85" t="s">
        <v>69</v>
      </c>
      <c r="C4" s="86"/>
      <c r="D4" s="87"/>
      <c r="E4" s="87"/>
      <c r="F4" s="87"/>
      <c r="G4" s="87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72"/>
      <c r="AT4" s="72"/>
    </row>
    <row r="5" spans="2:49" ht="12.75" thickBot="1" x14ac:dyDescent="0.25">
      <c r="B5" s="88" t="s">
        <v>151</v>
      </c>
      <c r="C5" s="88" t="s">
        <v>5</v>
      </c>
      <c r="D5" s="88" t="s">
        <v>67</v>
      </c>
      <c r="E5" s="88" t="s">
        <v>64</v>
      </c>
      <c r="F5" s="88" t="s">
        <v>4</v>
      </c>
      <c r="G5" s="88" t="s">
        <v>65</v>
      </c>
      <c r="H5" s="108" t="s">
        <v>148</v>
      </c>
      <c r="I5" s="108" t="s">
        <v>147</v>
      </c>
      <c r="J5" s="108" t="s">
        <v>146</v>
      </c>
      <c r="K5" s="108" t="s">
        <v>145</v>
      </c>
      <c r="L5" s="108" t="s">
        <v>144</v>
      </c>
      <c r="M5" s="108" t="s">
        <v>143</v>
      </c>
      <c r="N5" s="108" t="s">
        <v>142</v>
      </c>
      <c r="O5" s="108" t="s">
        <v>141</v>
      </c>
      <c r="P5" s="108" t="s">
        <v>140</v>
      </c>
      <c r="Q5" s="108" t="s">
        <v>139</v>
      </c>
      <c r="R5" s="108" t="s">
        <v>138</v>
      </c>
      <c r="S5" s="108" t="s">
        <v>137</v>
      </c>
      <c r="T5" s="108" t="s">
        <v>136</v>
      </c>
      <c r="U5" s="108" t="s">
        <v>135</v>
      </c>
      <c r="V5" s="108" t="s">
        <v>134</v>
      </c>
      <c r="W5" s="108" t="s">
        <v>133</v>
      </c>
      <c r="X5" s="108" t="s">
        <v>132</v>
      </c>
      <c r="Y5" s="108" t="s">
        <v>131</v>
      </c>
      <c r="Z5" s="108" t="s">
        <v>130</v>
      </c>
      <c r="AA5" s="108" t="s">
        <v>129</v>
      </c>
      <c r="AB5" s="108" t="s">
        <v>128</v>
      </c>
      <c r="AC5" s="108" t="s">
        <v>127</v>
      </c>
      <c r="AD5" s="108" t="s">
        <v>126</v>
      </c>
      <c r="AE5" s="108" t="s">
        <v>125</v>
      </c>
      <c r="AF5" s="108" t="s">
        <v>124</v>
      </c>
      <c r="AG5" s="108" t="s">
        <v>123</v>
      </c>
      <c r="AH5" s="108" t="s">
        <v>122</v>
      </c>
      <c r="AI5" s="108" t="s">
        <v>121</v>
      </c>
      <c r="AJ5" s="108" t="s">
        <v>120</v>
      </c>
      <c r="AK5" s="108" t="s">
        <v>119</v>
      </c>
      <c r="AL5" s="108" t="s">
        <v>118</v>
      </c>
      <c r="AM5" s="108" t="s">
        <v>117</v>
      </c>
      <c r="AN5" s="108" t="s">
        <v>116</v>
      </c>
      <c r="AO5" s="108" t="s">
        <v>115</v>
      </c>
      <c r="AP5" s="108" t="s">
        <v>177</v>
      </c>
      <c r="AQ5" s="108" t="s">
        <v>179</v>
      </c>
      <c r="AR5" s="108" t="s">
        <v>181</v>
      </c>
      <c r="AS5" s="108" t="s">
        <v>244</v>
      </c>
      <c r="AT5" s="108" t="s">
        <v>252</v>
      </c>
      <c r="AU5" s="108" t="s">
        <v>20</v>
      </c>
      <c r="AV5" s="108" t="s">
        <v>63</v>
      </c>
      <c r="AW5" s="108" t="s">
        <v>215</v>
      </c>
    </row>
    <row r="6" spans="2:49" ht="12" x14ac:dyDescent="0.2">
      <c r="B6" s="175" t="s">
        <v>27</v>
      </c>
      <c r="C6" s="175" t="s">
        <v>217</v>
      </c>
      <c r="D6" s="201" t="s">
        <v>28</v>
      </c>
      <c r="E6" s="175" t="s">
        <v>29</v>
      </c>
      <c r="F6" s="175">
        <v>2029</v>
      </c>
      <c r="G6" s="209">
        <v>0</v>
      </c>
      <c r="H6" s="200">
        <v>0</v>
      </c>
      <c r="I6" s="200">
        <v>0</v>
      </c>
      <c r="J6" s="200">
        <v>0</v>
      </c>
      <c r="K6" s="200">
        <v>0</v>
      </c>
      <c r="L6" s="200">
        <v>0</v>
      </c>
      <c r="M6" s="200">
        <v>0</v>
      </c>
      <c r="N6" s="200">
        <v>0</v>
      </c>
      <c r="O6" s="200">
        <v>0</v>
      </c>
      <c r="P6" s="200">
        <v>0</v>
      </c>
      <c r="Q6" s="200">
        <v>0</v>
      </c>
      <c r="R6" s="200">
        <v>0</v>
      </c>
      <c r="S6" s="200">
        <v>0</v>
      </c>
      <c r="T6" s="200">
        <v>0</v>
      </c>
      <c r="U6" s="200">
        <v>0</v>
      </c>
      <c r="V6" s="200">
        <v>0</v>
      </c>
      <c r="W6" s="200">
        <v>0</v>
      </c>
      <c r="X6" s="200">
        <v>0</v>
      </c>
      <c r="Y6" s="200">
        <v>0</v>
      </c>
      <c r="Z6" s="200">
        <v>0</v>
      </c>
      <c r="AA6" s="200">
        <v>0</v>
      </c>
      <c r="AB6" s="200">
        <v>0</v>
      </c>
      <c r="AC6" s="200">
        <v>0</v>
      </c>
      <c r="AD6" s="200">
        <v>0</v>
      </c>
      <c r="AE6" s="200">
        <v>0</v>
      </c>
      <c r="AF6" s="200">
        <v>0</v>
      </c>
      <c r="AG6" s="200">
        <v>0</v>
      </c>
      <c r="AH6" s="200">
        <v>0</v>
      </c>
      <c r="AI6" s="200">
        <v>0</v>
      </c>
      <c r="AJ6" s="200">
        <v>0</v>
      </c>
      <c r="AK6" s="200">
        <v>0</v>
      </c>
      <c r="AL6" s="200">
        <v>0</v>
      </c>
      <c r="AM6" s="200">
        <v>0</v>
      </c>
      <c r="AN6" s="200">
        <v>0</v>
      </c>
      <c r="AO6" s="200">
        <v>0</v>
      </c>
      <c r="AP6" s="200">
        <v>0</v>
      </c>
      <c r="AQ6" s="200">
        <v>0</v>
      </c>
      <c r="AR6" s="200">
        <v>0</v>
      </c>
      <c r="AS6" s="200">
        <f t="shared" ref="AS6:AS18" si="0">SUM(H6:AG6,AL6)</f>
        <v>0</v>
      </c>
      <c r="AT6" s="110">
        <f>SUM(H6:AL6)</f>
        <v>0</v>
      </c>
      <c r="AU6" s="109"/>
      <c r="AV6" s="109"/>
      <c r="AW6" s="109"/>
    </row>
    <row r="7" spans="2:49" ht="12" x14ac:dyDescent="0.2">
      <c r="B7" s="90" t="s">
        <v>27</v>
      </c>
      <c r="C7" s="90" t="s">
        <v>171</v>
      </c>
      <c r="D7" s="91" t="s">
        <v>28</v>
      </c>
      <c r="E7" s="90" t="s">
        <v>29</v>
      </c>
      <c r="F7" s="90">
        <v>2030</v>
      </c>
      <c r="G7" s="109">
        <v>0</v>
      </c>
      <c r="H7" s="110">
        <f>D$62*$F38</f>
        <v>478.53591447107482</v>
      </c>
      <c r="I7" s="110">
        <f>E$62*$F38</f>
        <v>232.07883022571238</v>
      </c>
      <c r="J7" s="110">
        <f t="shared" ref="J7:AG17" si="1">F$62*$F38</f>
        <v>348.1373487909737</v>
      </c>
      <c r="K7" s="110">
        <f t="shared" si="1"/>
        <v>0.75216834588496828</v>
      </c>
      <c r="L7" s="110">
        <f t="shared" si="1"/>
        <v>260.49897577512218</v>
      </c>
      <c r="M7" s="110">
        <f t="shared" si="1"/>
        <v>1240.1694261820749</v>
      </c>
      <c r="N7" s="110">
        <f t="shared" si="1"/>
        <v>91.421178942449828</v>
      </c>
      <c r="O7" s="110">
        <f t="shared" si="1"/>
        <v>220.34969803613001</v>
      </c>
      <c r="P7" s="110">
        <f t="shared" si="1"/>
        <v>2781.500870725517</v>
      </c>
      <c r="Q7" s="110">
        <f t="shared" si="1"/>
        <v>141.77035124102269</v>
      </c>
      <c r="R7" s="110">
        <f t="shared" si="1"/>
        <v>1884.4644967763738</v>
      </c>
      <c r="S7" s="110">
        <f t="shared" si="1"/>
        <v>1149.852181439252</v>
      </c>
      <c r="T7" s="110">
        <f t="shared" si="1"/>
        <v>174.0927902049022</v>
      </c>
      <c r="U7" s="110">
        <f t="shared" si="1"/>
        <v>823.92939382652662</v>
      </c>
      <c r="V7" s="110">
        <f t="shared" si="1"/>
        <v>1071.7967431175782</v>
      </c>
      <c r="W7" s="110">
        <f t="shared" si="1"/>
        <v>76.954395280694698</v>
      </c>
      <c r="X7" s="110">
        <f t="shared" si="1"/>
        <v>9.1044636670117676</v>
      </c>
      <c r="Y7" s="110">
        <f t="shared" si="1"/>
        <v>188.05052931268358</v>
      </c>
      <c r="Z7" s="110">
        <f t="shared" si="1"/>
        <v>1.0081313177606447E-2</v>
      </c>
      <c r="AA7" s="110">
        <f t="shared" si="1"/>
        <v>254.61443175344826</v>
      </c>
      <c r="AB7" s="110">
        <f t="shared" si="1"/>
        <v>311.62795784169742</v>
      </c>
      <c r="AC7" s="110">
        <f t="shared" si="1"/>
        <v>359.6891474323445</v>
      </c>
      <c r="AD7" s="110">
        <f t="shared" si="1"/>
        <v>2249.7780040019434</v>
      </c>
      <c r="AE7" s="110">
        <f t="shared" si="1"/>
        <v>210.04612355303601</v>
      </c>
      <c r="AF7" s="110">
        <f t="shared" si="1"/>
        <v>348.78766762433185</v>
      </c>
      <c r="AG7" s="110">
        <f t="shared" si="1"/>
        <v>330.14519440140293</v>
      </c>
      <c r="AH7" s="110">
        <v>1602.9603336438558</v>
      </c>
      <c r="AI7" s="110">
        <v>3.7454859684866273</v>
      </c>
      <c r="AJ7" s="110">
        <v>164.61203652115614</v>
      </c>
      <c r="AK7" s="110">
        <v>62.833819762702461</v>
      </c>
      <c r="AL7" s="110">
        <f t="shared" ref="AL7:AL18" si="2">AH$62*$F38</f>
        <v>611.84163571763611</v>
      </c>
      <c r="AM7" s="110"/>
      <c r="AN7" s="110"/>
      <c r="AO7" s="110"/>
      <c r="AP7" s="110"/>
      <c r="AQ7" s="110"/>
      <c r="AR7" s="110"/>
      <c r="AS7" s="110">
        <f t="shared" si="0"/>
        <v>15850.000000000007</v>
      </c>
      <c r="AT7" s="110">
        <f t="shared" ref="AT7:AT18" si="3">SUM(H7:AL7)</f>
        <v>17684.15167589621</v>
      </c>
      <c r="AU7" s="109"/>
      <c r="AV7" s="109"/>
      <c r="AW7" s="109"/>
    </row>
    <row r="8" spans="2:49" ht="12" x14ac:dyDescent="0.2">
      <c r="B8" s="90" t="s">
        <v>27</v>
      </c>
      <c r="C8" s="90" t="s">
        <v>170</v>
      </c>
      <c r="D8" s="91" t="s">
        <v>28</v>
      </c>
      <c r="E8" s="90" t="s">
        <v>29</v>
      </c>
      <c r="F8" s="90">
        <v>2030</v>
      </c>
      <c r="G8" s="109">
        <v>0</v>
      </c>
      <c r="H8" s="110">
        <f t="shared" ref="H8:W18" si="4">D$62*$F39</f>
        <v>478.53591447107482</v>
      </c>
      <c r="I8" s="110">
        <f t="shared" si="4"/>
        <v>232.07883022571238</v>
      </c>
      <c r="J8" s="110">
        <f t="shared" si="1"/>
        <v>348.1373487909737</v>
      </c>
      <c r="K8" s="110">
        <f t="shared" si="1"/>
        <v>0.75216834588496828</v>
      </c>
      <c r="L8" s="110">
        <f t="shared" si="1"/>
        <v>260.49897577512218</v>
      </c>
      <c r="M8" s="110">
        <f t="shared" si="1"/>
        <v>1240.1694261820749</v>
      </c>
      <c r="N8" s="110">
        <f t="shared" si="1"/>
        <v>91.421178942449828</v>
      </c>
      <c r="O8" s="110">
        <f t="shared" si="1"/>
        <v>220.34969803613001</v>
      </c>
      <c r="P8" s="110">
        <f t="shared" si="1"/>
        <v>2781.500870725517</v>
      </c>
      <c r="Q8" s="110">
        <f t="shared" si="1"/>
        <v>141.77035124102269</v>
      </c>
      <c r="R8" s="110">
        <f t="shared" si="1"/>
        <v>1884.4644967763738</v>
      </c>
      <c r="S8" s="110">
        <f t="shared" si="1"/>
        <v>1149.852181439252</v>
      </c>
      <c r="T8" s="110">
        <f t="shared" si="1"/>
        <v>174.0927902049022</v>
      </c>
      <c r="U8" s="110">
        <f t="shared" si="1"/>
        <v>823.92939382652662</v>
      </c>
      <c r="V8" s="110">
        <f t="shared" si="1"/>
        <v>1071.7967431175782</v>
      </c>
      <c r="W8" s="110">
        <f t="shared" si="1"/>
        <v>76.954395280694698</v>
      </c>
      <c r="X8" s="110">
        <f t="shared" si="1"/>
        <v>9.1044636670117676</v>
      </c>
      <c r="Y8" s="110">
        <f t="shared" si="1"/>
        <v>188.05052931268358</v>
      </c>
      <c r="Z8" s="110">
        <f t="shared" si="1"/>
        <v>1.0081313177606447E-2</v>
      </c>
      <c r="AA8" s="110">
        <f t="shared" si="1"/>
        <v>254.61443175344826</v>
      </c>
      <c r="AB8" s="110">
        <f t="shared" si="1"/>
        <v>311.62795784169742</v>
      </c>
      <c r="AC8" s="110">
        <f t="shared" si="1"/>
        <v>359.6891474323445</v>
      </c>
      <c r="AD8" s="110">
        <f t="shared" si="1"/>
        <v>2249.7780040019434</v>
      </c>
      <c r="AE8" s="110">
        <f t="shared" si="1"/>
        <v>210.04612355303601</v>
      </c>
      <c r="AF8" s="110">
        <f t="shared" si="1"/>
        <v>348.78766762433185</v>
      </c>
      <c r="AG8" s="110">
        <f t="shared" si="1"/>
        <v>330.14519440140293</v>
      </c>
      <c r="AH8" s="110">
        <v>2298.7908421119846</v>
      </c>
      <c r="AI8" s="110">
        <v>5.3713673775342325</v>
      </c>
      <c r="AJ8" s="110">
        <v>236.06862510193076</v>
      </c>
      <c r="AK8" s="110">
        <v>90.109409705148323</v>
      </c>
      <c r="AL8" s="110">
        <f t="shared" si="2"/>
        <v>611.84163571763611</v>
      </c>
      <c r="AM8" s="110"/>
      <c r="AN8" s="110"/>
      <c r="AO8" s="110"/>
      <c r="AP8" s="110"/>
      <c r="AQ8" s="110"/>
      <c r="AR8" s="110"/>
      <c r="AS8" s="110">
        <f t="shared" si="0"/>
        <v>15850.000000000007</v>
      </c>
      <c r="AT8" s="110">
        <f t="shared" si="3"/>
        <v>18480.340244296607</v>
      </c>
      <c r="AU8" s="109"/>
      <c r="AV8" s="109"/>
      <c r="AW8" s="109"/>
    </row>
    <row r="9" spans="2:49" ht="12" x14ac:dyDescent="0.2">
      <c r="B9" s="90" t="s">
        <v>27</v>
      </c>
      <c r="C9" s="90" t="s">
        <v>169</v>
      </c>
      <c r="D9" s="91" t="s">
        <v>28</v>
      </c>
      <c r="E9" s="90" t="s">
        <v>29</v>
      </c>
      <c r="F9" s="90">
        <v>2030</v>
      </c>
      <c r="G9" s="109">
        <v>0</v>
      </c>
      <c r="H9" s="110">
        <f t="shared" si="4"/>
        <v>422.6815648324951</v>
      </c>
      <c r="I9" s="110">
        <f t="shared" si="4"/>
        <v>204.99076486813712</v>
      </c>
      <c r="J9" s="110">
        <f t="shared" si="1"/>
        <v>307.50302101410927</v>
      </c>
      <c r="K9" s="110">
        <f t="shared" si="1"/>
        <v>0.6643758260182685</v>
      </c>
      <c r="L9" s="110">
        <f t="shared" si="1"/>
        <v>230.09373254584926</v>
      </c>
      <c r="M9" s="110">
        <f t="shared" si="1"/>
        <v>1095.417789687637</v>
      </c>
      <c r="N9" s="110">
        <f t="shared" si="1"/>
        <v>80.750568151059795</v>
      </c>
      <c r="O9" s="110">
        <f t="shared" si="1"/>
        <v>194.63064810762273</v>
      </c>
      <c r="P9" s="110">
        <f t="shared" si="1"/>
        <v>2456.8461949626017</v>
      </c>
      <c r="Q9" s="110">
        <f t="shared" si="1"/>
        <v>125.22302317819039</v>
      </c>
      <c r="R9" s="110">
        <f t="shared" si="1"/>
        <v>1664.5112274365447</v>
      </c>
      <c r="S9" s="110">
        <f t="shared" si="1"/>
        <v>1015.6423053722101</v>
      </c>
      <c r="T9" s="110">
        <f t="shared" si="1"/>
        <v>153.77281153745304</v>
      </c>
      <c r="U9" s="110">
        <f t="shared" si="1"/>
        <v>727.7609787742191</v>
      </c>
      <c r="V9" s="110">
        <f t="shared" si="1"/>
        <v>946.69743871584194</v>
      </c>
      <c r="W9" s="110">
        <f t="shared" si="1"/>
        <v>67.972336525534743</v>
      </c>
      <c r="X9" s="110">
        <f t="shared" si="1"/>
        <v>8.0417975607674919</v>
      </c>
      <c r="Y9" s="110">
        <f t="shared" si="1"/>
        <v>166.10141390394764</v>
      </c>
      <c r="Z9" s="110">
        <f t="shared" si="1"/>
        <v>8.9046299360561673E-3</v>
      </c>
      <c r="AA9" s="110">
        <f t="shared" si="1"/>
        <v>224.89602804720982</v>
      </c>
      <c r="AB9" s="110">
        <f t="shared" si="1"/>
        <v>275.25497853525326</v>
      </c>
      <c r="AC9" s="110">
        <f t="shared" si="1"/>
        <v>317.70650246390051</v>
      </c>
      <c r="AD9" s="110">
        <f t="shared" si="1"/>
        <v>1987.1856186767957</v>
      </c>
      <c r="AE9" s="110">
        <f t="shared" si="1"/>
        <v>185.52969903738196</v>
      </c>
      <c r="AF9" s="110">
        <f t="shared" si="1"/>
        <v>308.07743512559279</v>
      </c>
      <c r="AG9" s="110">
        <f t="shared" si="1"/>
        <v>291.61089726306886</v>
      </c>
      <c r="AH9" s="110">
        <v>1792.4011003472206</v>
      </c>
      <c r="AI9" s="110">
        <v>4.1881343102168662</v>
      </c>
      <c r="AJ9" s="110">
        <v>184.06618629183822</v>
      </c>
      <c r="AK9" s="110">
        <v>70.259634825567304</v>
      </c>
      <c r="AL9" s="110">
        <f t="shared" si="2"/>
        <v>540.42794322062502</v>
      </c>
      <c r="AM9" s="110"/>
      <c r="AN9" s="110"/>
      <c r="AO9" s="110"/>
      <c r="AP9" s="110"/>
      <c r="AQ9" s="110"/>
      <c r="AR9" s="110"/>
      <c r="AS9" s="110">
        <f t="shared" si="0"/>
        <v>14000.000000000004</v>
      </c>
      <c r="AT9" s="110">
        <f t="shared" si="3"/>
        <v>16050.915055774847</v>
      </c>
      <c r="AU9" s="109"/>
      <c r="AV9" s="109"/>
      <c r="AW9" s="109"/>
    </row>
    <row r="10" spans="2:49" ht="12" x14ac:dyDescent="0.2">
      <c r="B10" s="175" t="s">
        <v>27</v>
      </c>
      <c r="C10" s="175" t="s">
        <v>168</v>
      </c>
      <c r="D10" s="201" t="s">
        <v>28</v>
      </c>
      <c r="E10" s="175" t="s">
        <v>29</v>
      </c>
      <c r="F10" s="175">
        <v>2030</v>
      </c>
      <c r="G10" s="209">
        <v>0</v>
      </c>
      <c r="H10" s="200">
        <f t="shared" si="4"/>
        <v>75.478850862945549</v>
      </c>
      <c r="I10" s="200">
        <f t="shared" si="4"/>
        <v>36.605493726453055</v>
      </c>
      <c r="J10" s="200">
        <f t="shared" si="1"/>
        <v>54.911253752519514</v>
      </c>
      <c r="K10" s="200">
        <f t="shared" si="1"/>
        <v>0.1186385403604051</v>
      </c>
      <c r="L10" s="200">
        <f t="shared" si="1"/>
        <v>41.08816652604451</v>
      </c>
      <c r="M10" s="200">
        <f t="shared" si="1"/>
        <v>195.61031958707804</v>
      </c>
      <c r="N10" s="200">
        <f t="shared" si="1"/>
        <v>14.419744312689248</v>
      </c>
      <c r="O10" s="200">
        <f t="shared" si="1"/>
        <v>34.755472876361203</v>
      </c>
      <c r="P10" s="200">
        <f t="shared" si="1"/>
        <v>438.72253481475036</v>
      </c>
      <c r="Q10" s="200">
        <f t="shared" si="1"/>
        <v>22.361254138962568</v>
      </c>
      <c r="R10" s="200">
        <f t="shared" si="1"/>
        <v>297.23414775652583</v>
      </c>
      <c r="S10" s="200">
        <f t="shared" si="1"/>
        <v>181.36469738789467</v>
      </c>
      <c r="T10" s="200">
        <f t="shared" si="1"/>
        <v>27.459430631688043</v>
      </c>
      <c r="U10" s="200">
        <f t="shared" si="1"/>
        <v>129.95731763825341</v>
      </c>
      <c r="V10" s="200">
        <f t="shared" si="1"/>
        <v>169.05311405640035</v>
      </c>
      <c r="W10" s="200">
        <f t="shared" si="1"/>
        <v>12.137917236702634</v>
      </c>
      <c r="X10" s="200">
        <f t="shared" si="1"/>
        <v>1.4360352787084807</v>
      </c>
      <c r="Y10" s="200">
        <f t="shared" si="1"/>
        <v>29.66096676856208</v>
      </c>
      <c r="Z10" s="200">
        <f t="shared" si="1"/>
        <v>1.5901124885814586E-3</v>
      </c>
      <c r="AA10" s="200">
        <f t="shared" si="1"/>
        <v>40.160005008430325</v>
      </c>
      <c r="AB10" s="200">
        <f t="shared" si="1"/>
        <v>49.15267473843808</v>
      </c>
      <c r="AC10" s="200">
        <f t="shared" si="1"/>
        <v>56.733304011410802</v>
      </c>
      <c r="AD10" s="200">
        <f t="shared" si="1"/>
        <v>354.85457476371352</v>
      </c>
      <c r="AE10" s="200">
        <f t="shared" si="1"/>
        <v>33.130303399532494</v>
      </c>
      <c r="AF10" s="200">
        <f t="shared" si="1"/>
        <v>55.013827700998711</v>
      </c>
      <c r="AG10" s="200">
        <f t="shared" si="1"/>
        <v>52.073374511262294</v>
      </c>
      <c r="AH10" s="200">
        <v>2353.43721712257</v>
      </c>
      <c r="AI10" s="200">
        <v>5.4990543991871856</v>
      </c>
      <c r="AJ10" s="200">
        <v>241.6803990742429</v>
      </c>
      <c r="AK10" s="200">
        <v>92.251471742513161</v>
      </c>
      <c r="AL10" s="200">
        <f t="shared" si="2"/>
        <v>96.504989860825887</v>
      </c>
      <c r="AM10" s="200"/>
      <c r="AN10" s="200"/>
      <c r="AO10" s="200"/>
      <c r="AP10" s="200"/>
      <c r="AQ10" s="200"/>
      <c r="AR10" s="200"/>
      <c r="AS10" s="200">
        <f t="shared" si="0"/>
        <v>2500.0000000000005</v>
      </c>
      <c r="AT10" s="110">
        <f t="shared" si="3"/>
        <v>5192.8681423385133</v>
      </c>
      <c r="AU10" s="109"/>
      <c r="AV10" s="109"/>
      <c r="AW10" s="109"/>
    </row>
    <row r="11" spans="2:49" ht="12" x14ac:dyDescent="0.2">
      <c r="B11" s="90" t="s">
        <v>27</v>
      </c>
      <c r="C11" s="90" t="s">
        <v>171</v>
      </c>
      <c r="D11" s="91" t="s">
        <v>28</v>
      </c>
      <c r="E11" s="90" t="s">
        <v>29</v>
      </c>
      <c r="F11" s="90">
        <v>2040</v>
      </c>
      <c r="G11" s="109">
        <v>0</v>
      </c>
      <c r="H11" s="110">
        <f t="shared" si="4"/>
        <v>626.47446216244816</v>
      </c>
      <c r="I11" s="110">
        <f t="shared" si="4"/>
        <v>303.82559792956039</v>
      </c>
      <c r="J11" s="110">
        <f t="shared" si="1"/>
        <v>455.76340614591197</v>
      </c>
      <c r="K11" s="110">
        <f t="shared" si="1"/>
        <v>0.9846998849913623</v>
      </c>
      <c r="L11" s="110">
        <f t="shared" si="1"/>
        <v>341.03178216616942</v>
      </c>
      <c r="M11" s="110">
        <f t="shared" si="1"/>
        <v>1623.5656525727477</v>
      </c>
      <c r="N11" s="110">
        <f t="shared" si="1"/>
        <v>119.68387779532075</v>
      </c>
      <c r="O11" s="110">
        <f t="shared" si="1"/>
        <v>288.47042487379798</v>
      </c>
      <c r="P11" s="110">
        <f t="shared" si="1"/>
        <v>3641.3970389624278</v>
      </c>
      <c r="Q11" s="110">
        <f t="shared" si="1"/>
        <v>185.59840935338931</v>
      </c>
      <c r="R11" s="110">
        <f t="shared" si="1"/>
        <v>2467.0434263791644</v>
      </c>
      <c r="S11" s="110">
        <f t="shared" si="1"/>
        <v>1505.3269883195258</v>
      </c>
      <c r="T11" s="110">
        <f t="shared" si="1"/>
        <v>227.91327424301076</v>
      </c>
      <c r="U11" s="110">
        <f t="shared" si="1"/>
        <v>1078.6457363975032</v>
      </c>
      <c r="V11" s="110">
        <f t="shared" si="1"/>
        <v>1403.1408466681228</v>
      </c>
      <c r="W11" s="110">
        <f t="shared" si="1"/>
        <v>100.74471306463185</v>
      </c>
      <c r="X11" s="110">
        <f t="shared" si="1"/>
        <v>11.91909281328039</v>
      </c>
      <c r="Y11" s="110">
        <f t="shared" si="1"/>
        <v>246.18602417906524</v>
      </c>
      <c r="Z11" s="110">
        <f t="shared" si="1"/>
        <v>1.3197933655226106E-2</v>
      </c>
      <c r="AA11" s="110">
        <f t="shared" si="1"/>
        <v>333.32804156997167</v>
      </c>
      <c r="AB11" s="110">
        <f t="shared" si="1"/>
        <v>407.96720032903607</v>
      </c>
      <c r="AC11" s="110">
        <f t="shared" si="1"/>
        <v>470.88642329470969</v>
      </c>
      <c r="AD11" s="110">
        <f t="shared" si="1"/>
        <v>2945.2929705388219</v>
      </c>
      <c r="AE11" s="110">
        <f t="shared" si="1"/>
        <v>274.9815182161197</v>
      </c>
      <c r="AF11" s="110">
        <f t="shared" si="1"/>
        <v>456.61476991828931</v>
      </c>
      <c r="AG11" s="110">
        <f t="shared" si="1"/>
        <v>432.20900844347705</v>
      </c>
      <c r="AH11" s="110">
        <v>1835.7554028452457</v>
      </c>
      <c r="AI11" s="110">
        <v>4.2894362128726513</v>
      </c>
      <c r="AJ11" s="110">
        <v>188.51834887900037</v>
      </c>
      <c r="AK11" s="110">
        <v>71.959063296704898</v>
      </c>
      <c r="AL11" s="110">
        <f t="shared" si="2"/>
        <v>800.99141584485494</v>
      </c>
      <c r="AM11" s="110"/>
      <c r="AN11" s="110"/>
      <c r="AO11" s="110"/>
      <c r="AP11" s="110"/>
      <c r="AQ11" s="110"/>
      <c r="AR11" s="110"/>
      <c r="AS11" s="110">
        <f t="shared" si="0"/>
        <v>20750.000000000007</v>
      </c>
      <c r="AT11" s="110">
        <f t="shared" si="3"/>
        <v>22850.52225123383</v>
      </c>
      <c r="AU11" s="109"/>
      <c r="AV11" s="109"/>
      <c r="AW11" s="109"/>
    </row>
    <row r="12" spans="2:49" ht="12" x14ac:dyDescent="0.2">
      <c r="B12" s="90" t="s">
        <v>27</v>
      </c>
      <c r="C12" s="90" t="s">
        <v>170</v>
      </c>
      <c r="D12" s="91" t="s">
        <v>28</v>
      </c>
      <c r="E12" s="90" t="s">
        <v>29</v>
      </c>
      <c r="F12" s="90">
        <v>2040</v>
      </c>
      <c r="G12" s="109">
        <v>0</v>
      </c>
      <c r="H12" s="110">
        <f t="shared" si="4"/>
        <v>626.47446216244816</v>
      </c>
      <c r="I12" s="110">
        <f t="shared" si="4"/>
        <v>303.82559792956039</v>
      </c>
      <c r="J12" s="110">
        <f t="shared" si="1"/>
        <v>455.76340614591197</v>
      </c>
      <c r="K12" s="110">
        <f t="shared" si="1"/>
        <v>0.9846998849913623</v>
      </c>
      <c r="L12" s="110">
        <f t="shared" si="1"/>
        <v>341.03178216616942</v>
      </c>
      <c r="M12" s="110">
        <f t="shared" si="1"/>
        <v>1623.5656525727477</v>
      </c>
      <c r="N12" s="110">
        <f t="shared" si="1"/>
        <v>119.68387779532075</v>
      </c>
      <c r="O12" s="110">
        <f t="shared" si="1"/>
        <v>288.47042487379798</v>
      </c>
      <c r="P12" s="110">
        <f t="shared" si="1"/>
        <v>3641.3970389624278</v>
      </c>
      <c r="Q12" s="110">
        <f t="shared" si="1"/>
        <v>185.59840935338931</v>
      </c>
      <c r="R12" s="110">
        <f t="shared" si="1"/>
        <v>2467.0434263791644</v>
      </c>
      <c r="S12" s="110">
        <f t="shared" si="1"/>
        <v>1505.3269883195258</v>
      </c>
      <c r="T12" s="110">
        <f t="shared" si="1"/>
        <v>227.91327424301076</v>
      </c>
      <c r="U12" s="110">
        <f t="shared" si="1"/>
        <v>1078.6457363975032</v>
      </c>
      <c r="V12" s="110">
        <f t="shared" si="1"/>
        <v>1403.1408466681228</v>
      </c>
      <c r="W12" s="110">
        <f t="shared" si="1"/>
        <v>100.74471306463185</v>
      </c>
      <c r="X12" s="110">
        <f t="shared" si="1"/>
        <v>11.91909281328039</v>
      </c>
      <c r="Y12" s="110">
        <f t="shared" si="1"/>
        <v>246.18602417906524</v>
      </c>
      <c r="Z12" s="110">
        <f t="shared" si="1"/>
        <v>1.3197933655226106E-2</v>
      </c>
      <c r="AA12" s="110">
        <f t="shared" si="1"/>
        <v>333.32804156997167</v>
      </c>
      <c r="AB12" s="110">
        <f t="shared" si="1"/>
        <v>407.96720032903607</v>
      </c>
      <c r="AC12" s="110">
        <f t="shared" si="1"/>
        <v>470.88642329470969</v>
      </c>
      <c r="AD12" s="110">
        <f t="shared" si="1"/>
        <v>2945.2929705388219</v>
      </c>
      <c r="AE12" s="110">
        <f t="shared" si="1"/>
        <v>274.9815182161197</v>
      </c>
      <c r="AF12" s="110">
        <f t="shared" si="1"/>
        <v>456.61476991828931</v>
      </c>
      <c r="AG12" s="110">
        <f t="shared" si="1"/>
        <v>432.20900844347705</v>
      </c>
      <c r="AH12" s="110">
        <v>2632.6401345348868</v>
      </c>
      <c r="AI12" s="110">
        <v>6.1514414780060083</v>
      </c>
      <c r="AJ12" s="110">
        <v>270.35245032420289</v>
      </c>
      <c r="AK12" s="110">
        <v>103.19583850050181</v>
      </c>
      <c r="AL12" s="110">
        <f t="shared" si="2"/>
        <v>800.99141584485494</v>
      </c>
      <c r="AM12" s="110"/>
      <c r="AN12" s="110"/>
      <c r="AO12" s="110"/>
      <c r="AP12" s="110"/>
      <c r="AQ12" s="110"/>
      <c r="AR12" s="110"/>
      <c r="AS12" s="110">
        <f t="shared" si="0"/>
        <v>20750.000000000007</v>
      </c>
      <c r="AT12" s="110">
        <f t="shared" si="3"/>
        <v>23762.339864837606</v>
      </c>
      <c r="AU12" s="109"/>
      <c r="AV12" s="109"/>
      <c r="AW12" s="109"/>
    </row>
    <row r="13" spans="2:49" ht="12" x14ac:dyDescent="0.2">
      <c r="B13" s="90" t="s">
        <v>27</v>
      </c>
      <c r="C13" s="90" t="s">
        <v>169</v>
      </c>
      <c r="D13" s="91" t="s">
        <v>28</v>
      </c>
      <c r="E13" s="90" t="s">
        <v>29</v>
      </c>
      <c r="F13" s="90">
        <v>2040</v>
      </c>
      <c r="G13" s="109">
        <v>0</v>
      </c>
      <c r="H13" s="110">
        <f t="shared" si="4"/>
        <v>323.04948169340696</v>
      </c>
      <c r="I13" s="110">
        <f t="shared" si="4"/>
        <v>156.67151314921907</v>
      </c>
      <c r="J13" s="110">
        <f t="shared" si="1"/>
        <v>235.02016606078351</v>
      </c>
      <c r="K13" s="110">
        <f t="shared" si="1"/>
        <v>0.50777295274253376</v>
      </c>
      <c r="L13" s="110">
        <f t="shared" si="1"/>
        <v>175.85735273147048</v>
      </c>
      <c r="M13" s="110">
        <f t="shared" si="1"/>
        <v>837.21216783269404</v>
      </c>
      <c r="N13" s="110">
        <f t="shared" si="1"/>
        <v>61.716505658309984</v>
      </c>
      <c r="O13" s="110">
        <f t="shared" si="1"/>
        <v>148.75342391082594</v>
      </c>
      <c r="P13" s="110">
        <f t="shared" si="1"/>
        <v>1877.7324490071314</v>
      </c>
      <c r="Q13" s="110">
        <f t="shared" si="1"/>
        <v>95.7061677147598</v>
      </c>
      <c r="R13" s="110">
        <f t="shared" si="1"/>
        <v>1272.1621523979306</v>
      </c>
      <c r="S13" s="110">
        <f t="shared" si="1"/>
        <v>776.24090482018914</v>
      </c>
      <c r="T13" s="110">
        <f t="shared" si="1"/>
        <v>117.52636310362482</v>
      </c>
      <c r="U13" s="110">
        <f t="shared" si="1"/>
        <v>556.21731949172465</v>
      </c>
      <c r="V13" s="110">
        <f t="shared" si="1"/>
        <v>723.54732816139347</v>
      </c>
      <c r="W13" s="110">
        <f t="shared" si="1"/>
        <v>51.950285773087273</v>
      </c>
      <c r="X13" s="110">
        <f t="shared" si="1"/>
        <v>6.1462309928722973</v>
      </c>
      <c r="Y13" s="110">
        <f t="shared" si="1"/>
        <v>126.94893776944569</v>
      </c>
      <c r="Z13" s="110">
        <f t="shared" si="1"/>
        <v>6.8056814511286423E-3</v>
      </c>
      <c r="AA13" s="110">
        <f t="shared" si="1"/>
        <v>171.88482143608178</v>
      </c>
      <c r="AB13" s="110">
        <f t="shared" si="1"/>
        <v>210.37344788051499</v>
      </c>
      <c r="AC13" s="110">
        <f t="shared" si="1"/>
        <v>242.81854116883824</v>
      </c>
      <c r="AD13" s="110">
        <f t="shared" si="1"/>
        <v>1518.7775799886938</v>
      </c>
      <c r="AE13" s="110">
        <f t="shared" si="1"/>
        <v>141.79769854999907</v>
      </c>
      <c r="AF13" s="110">
        <f t="shared" si="1"/>
        <v>235.45918256027448</v>
      </c>
      <c r="AG13" s="110">
        <f t="shared" si="1"/>
        <v>222.87404290820263</v>
      </c>
      <c r="AH13" s="110">
        <v>2052.7083140905929</v>
      </c>
      <c r="AI13" s="110">
        <v>4.7963695834848759</v>
      </c>
      <c r="AJ13" s="110">
        <v>210.79779011015495</v>
      </c>
      <c r="AK13" s="110">
        <v>80.463316231770023</v>
      </c>
      <c r="AL13" s="110">
        <f t="shared" si="2"/>
        <v>413.04135660433479</v>
      </c>
      <c r="AM13" s="110"/>
      <c r="AN13" s="110"/>
      <c r="AO13" s="110"/>
      <c r="AP13" s="110"/>
      <c r="AQ13" s="110"/>
      <c r="AR13" s="110"/>
      <c r="AS13" s="110">
        <f t="shared" si="0"/>
        <v>10700.000000000002</v>
      </c>
      <c r="AT13" s="110">
        <f t="shared" si="3"/>
        <v>13048.765790016003</v>
      </c>
      <c r="AU13" s="109"/>
      <c r="AV13" s="109"/>
      <c r="AW13" s="109"/>
    </row>
    <row r="14" spans="2:49" ht="12" x14ac:dyDescent="0.2">
      <c r="B14" s="175" t="s">
        <v>27</v>
      </c>
      <c r="C14" s="175" t="s">
        <v>168</v>
      </c>
      <c r="D14" s="201" t="s">
        <v>28</v>
      </c>
      <c r="E14" s="175" t="s">
        <v>29</v>
      </c>
      <c r="F14" s="175">
        <v>2040</v>
      </c>
      <c r="G14" s="209">
        <v>0</v>
      </c>
      <c r="H14" s="200">
        <f t="shared" si="4"/>
        <v>90.574621035534662</v>
      </c>
      <c r="I14" s="200">
        <f t="shared" si="4"/>
        <v>43.926592471743668</v>
      </c>
      <c r="J14" s="200">
        <f t="shared" si="1"/>
        <v>65.893504503023422</v>
      </c>
      <c r="K14" s="200">
        <f t="shared" si="1"/>
        <v>0.1423662484324861</v>
      </c>
      <c r="L14" s="200">
        <f t="shared" si="1"/>
        <v>49.30579983125341</v>
      </c>
      <c r="M14" s="200">
        <f t="shared" si="1"/>
        <v>234.73238350449364</v>
      </c>
      <c r="N14" s="200">
        <f t="shared" si="1"/>
        <v>17.303693175227099</v>
      </c>
      <c r="O14" s="200">
        <f t="shared" si="1"/>
        <v>41.70656745163344</v>
      </c>
      <c r="P14" s="200">
        <f t="shared" si="1"/>
        <v>526.46704177770039</v>
      </c>
      <c r="Q14" s="200">
        <f t="shared" si="1"/>
        <v>26.833504966755083</v>
      </c>
      <c r="R14" s="200">
        <f t="shared" si="1"/>
        <v>356.68097730783103</v>
      </c>
      <c r="S14" s="200">
        <f t="shared" si="1"/>
        <v>217.63763686547358</v>
      </c>
      <c r="T14" s="200">
        <f t="shared" si="1"/>
        <v>32.951316758025648</v>
      </c>
      <c r="U14" s="200">
        <f t="shared" si="1"/>
        <v>155.94878116590411</v>
      </c>
      <c r="V14" s="200">
        <f t="shared" si="1"/>
        <v>202.86373686768042</v>
      </c>
      <c r="W14" s="200">
        <f t="shared" si="1"/>
        <v>14.56550068404316</v>
      </c>
      <c r="X14" s="200">
        <f t="shared" si="1"/>
        <v>1.7232423344501768</v>
      </c>
      <c r="Y14" s="200">
        <f t="shared" si="1"/>
        <v>35.593160122274497</v>
      </c>
      <c r="Z14" s="200">
        <f t="shared" si="1"/>
        <v>1.9081349862977502E-3</v>
      </c>
      <c r="AA14" s="200">
        <f t="shared" si="1"/>
        <v>48.192006010116387</v>
      </c>
      <c r="AB14" s="200">
        <f t="shared" si="1"/>
        <v>58.983209686125697</v>
      </c>
      <c r="AC14" s="200">
        <f t="shared" si="1"/>
        <v>68.079964813692968</v>
      </c>
      <c r="AD14" s="200">
        <f t="shared" si="1"/>
        <v>425.82548971645622</v>
      </c>
      <c r="AE14" s="200">
        <f t="shared" si="1"/>
        <v>39.756364079438995</v>
      </c>
      <c r="AF14" s="200">
        <f t="shared" si="1"/>
        <v>66.01659324119845</v>
      </c>
      <c r="AG14" s="200">
        <f t="shared" si="1"/>
        <v>62.488049413514752</v>
      </c>
      <c r="AH14" s="200">
        <v>2695.222705086429</v>
      </c>
      <c r="AI14" s="200">
        <v>6.2976722579903033</v>
      </c>
      <c r="AJ14" s="200">
        <v>276.77921221780514</v>
      </c>
      <c r="AK14" s="200">
        <v>105.64898838561672</v>
      </c>
      <c r="AL14" s="200">
        <f t="shared" si="2"/>
        <v>115.80598783299106</v>
      </c>
      <c r="AM14" s="200"/>
      <c r="AN14" s="200"/>
      <c r="AO14" s="200"/>
      <c r="AP14" s="200"/>
      <c r="AQ14" s="200"/>
      <c r="AR14" s="200"/>
      <c r="AS14" s="200">
        <f t="shared" si="0"/>
        <v>3000.0000000000005</v>
      </c>
      <c r="AT14" s="110">
        <f t="shared" si="3"/>
        <v>6083.9485779478418</v>
      </c>
      <c r="AU14" s="109"/>
      <c r="AV14" s="109"/>
      <c r="AW14" s="109"/>
    </row>
    <row r="15" spans="2:49" ht="12" x14ac:dyDescent="0.2">
      <c r="B15" s="90" t="s">
        <v>27</v>
      </c>
      <c r="C15" s="90" t="s">
        <v>171</v>
      </c>
      <c r="D15" s="91" t="s">
        <v>28</v>
      </c>
      <c r="E15" s="90" t="s">
        <v>29</v>
      </c>
      <c r="F15" s="90">
        <v>2050</v>
      </c>
      <c r="G15" s="109">
        <v>0</v>
      </c>
      <c r="H15" s="110">
        <f t="shared" si="4"/>
        <v>1036.3246223482424</v>
      </c>
      <c r="I15" s="110">
        <f t="shared" si="4"/>
        <v>502.59342886420046</v>
      </c>
      <c r="J15" s="110">
        <f t="shared" si="1"/>
        <v>753.93151402209287</v>
      </c>
      <c r="K15" s="110">
        <f t="shared" si="1"/>
        <v>1.6289071591483619</v>
      </c>
      <c r="L15" s="110">
        <f t="shared" si="1"/>
        <v>564.14052640259115</v>
      </c>
      <c r="M15" s="110">
        <f t="shared" si="1"/>
        <v>2685.7296879305813</v>
      </c>
      <c r="N15" s="110">
        <f t="shared" si="1"/>
        <v>197.98308941322338</v>
      </c>
      <c r="O15" s="110">
        <f t="shared" si="1"/>
        <v>477.19264259243926</v>
      </c>
      <c r="P15" s="110">
        <f t="shared" si="1"/>
        <v>6023.6604030065218</v>
      </c>
      <c r="Q15" s="110">
        <f t="shared" si="1"/>
        <v>307.02001932795611</v>
      </c>
      <c r="R15" s="110">
        <f t="shared" si="1"/>
        <v>4081.0248486971</v>
      </c>
      <c r="S15" s="110">
        <f t="shared" si="1"/>
        <v>2490.1372951357935</v>
      </c>
      <c r="T15" s="110">
        <f t="shared" si="1"/>
        <v>377.01798257307684</v>
      </c>
      <c r="U15" s="110">
        <f t="shared" si="1"/>
        <v>1784.3139711732194</v>
      </c>
      <c r="V15" s="110">
        <f t="shared" si="1"/>
        <v>2321.0992559943766</v>
      </c>
      <c r="W15" s="110">
        <f t="shared" si="1"/>
        <v>166.65360365992717</v>
      </c>
      <c r="X15" s="110">
        <f t="shared" si="1"/>
        <v>19.716764376667438</v>
      </c>
      <c r="Y15" s="110">
        <f t="shared" si="1"/>
        <v>407.24507373235735</v>
      </c>
      <c r="Z15" s="110">
        <f t="shared" si="1"/>
        <v>2.1832244468223426E-2</v>
      </c>
      <c r="AA15" s="110">
        <f t="shared" si="1"/>
        <v>551.39686876574831</v>
      </c>
      <c r="AB15" s="110">
        <f t="shared" si="1"/>
        <v>674.86622415875479</v>
      </c>
      <c r="AC15" s="110">
        <f t="shared" si="1"/>
        <v>778.94826407667028</v>
      </c>
      <c r="AD15" s="110">
        <f t="shared" si="1"/>
        <v>4872.1533115057864</v>
      </c>
      <c r="AE15" s="110">
        <f t="shared" si="1"/>
        <v>454.87906567558116</v>
      </c>
      <c r="AF15" s="110">
        <f t="shared" si="1"/>
        <v>755.3398543347123</v>
      </c>
      <c r="AG15" s="110">
        <f t="shared" si="1"/>
        <v>714.96743203963126</v>
      </c>
      <c r="AH15" s="110">
        <v>2718.71384388766</v>
      </c>
      <c r="AI15" s="110">
        <v>6.3525617826510743</v>
      </c>
      <c r="AJ15" s="110">
        <v>279.19157646482392</v>
      </c>
      <c r="AK15" s="110">
        <v>106.56980841495698</v>
      </c>
      <c r="AL15" s="110">
        <f t="shared" si="2"/>
        <v>1325.0135107891394</v>
      </c>
      <c r="AM15" s="110"/>
      <c r="AN15" s="110"/>
      <c r="AO15" s="110"/>
      <c r="AP15" s="110"/>
      <c r="AQ15" s="110"/>
      <c r="AR15" s="110"/>
      <c r="AS15" s="110">
        <f t="shared" si="0"/>
        <v>34325.000000000007</v>
      </c>
      <c r="AT15" s="110">
        <f t="shared" si="3"/>
        <v>37435.827790550095</v>
      </c>
      <c r="AU15" s="109"/>
      <c r="AV15" s="109"/>
      <c r="AW15" s="109"/>
    </row>
    <row r="16" spans="2:49" ht="12" x14ac:dyDescent="0.2">
      <c r="B16" s="90" t="s">
        <v>27</v>
      </c>
      <c r="C16" s="90" t="s">
        <v>170</v>
      </c>
      <c r="D16" s="91" t="s">
        <v>28</v>
      </c>
      <c r="E16" s="90" t="s">
        <v>29</v>
      </c>
      <c r="F16" s="90">
        <v>2050</v>
      </c>
      <c r="G16" s="109">
        <v>0</v>
      </c>
      <c r="H16" s="110">
        <f t="shared" si="4"/>
        <v>1036.3246223482424</v>
      </c>
      <c r="I16" s="110">
        <f t="shared" si="4"/>
        <v>502.59342886420046</v>
      </c>
      <c r="J16" s="110">
        <f t="shared" si="1"/>
        <v>753.93151402209287</v>
      </c>
      <c r="K16" s="110">
        <f t="shared" si="1"/>
        <v>1.6289071591483619</v>
      </c>
      <c r="L16" s="110">
        <f t="shared" si="1"/>
        <v>564.14052640259115</v>
      </c>
      <c r="M16" s="110">
        <f t="shared" si="1"/>
        <v>2685.7296879305813</v>
      </c>
      <c r="N16" s="110">
        <f t="shared" si="1"/>
        <v>197.98308941322338</v>
      </c>
      <c r="O16" s="110">
        <f t="shared" si="1"/>
        <v>477.19264259243926</v>
      </c>
      <c r="P16" s="110">
        <f t="shared" si="1"/>
        <v>6023.6604030065218</v>
      </c>
      <c r="Q16" s="110">
        <f t="shared" si="1"/>
        <v>307.02001932795611</v>
      </c>
      <c r="R16" s="110">
        <f t="shared" si="1"/>
        <v>4081.0248486971</v>
      </c>
      <c r="S16" s="110">
        <f t="shared" si="1"/>
        <v>2490.1372951357935</v>
      </c>
      <c r="T16" s="110">
        <f t="shared" si="1"/>
        <v>377.01798257307684</v>
      </c>
      <c r="U16" s="110">
        <f t="shared" si="1"/>
        <v>1784.3139711732194</v>
      </c>
      <c r="V16" s="110">
        <f t="shared" si="1"/>
        <v>2321.0992559943766</v>
      </c>
      <c r="W16" s="110">
        <f t="shared" si="1"/>
        <v>166.65360365992717</v>
      </c>
      <c r="X16" s="110">
        <f t="shared" si="1"/>
        <v>19.716764376667438</v>
      </c>
      <c r="Y16" s="110">
        <f t="shared" si="1"/>
        <v>407.24507373235735</v>
      </c>
      <c r="Z16" s="110">
        <f t="shared" si="1"/>
        <v>2.1832244468223426E-2</v>
      </c>
      <c r="AA16" s="110">
        <f t="shared" si="1"/>
        <v>551.39686876574831</v>
      </c>
      <c r="AB16" s="110">
        <f t="shared" si="1"/>
        <v>674.86622415875479</v>
      </c>
      <c r="AC16" s="110">
        <f t="shared" si="1"/>
        <v>778.94826407667028</v>
      </c>
      <c r="AD16" s="110">
        <f t="shared" si="1"/>
        <v>4872.1533115057864</v>
      </c>
      <c r="AE16" s="110">
        <f t="shared" si="1"/>
        <v>454.87906567558116</v>
      </c>
      <c r="AF16" s="110">
        <f t="shared" si="1"/>
        <v>755.3398543347123</v>
      </c>
      <c r="AG16" s="110">
        <f t="shared" si="1"/>
        <v>714.96743203963126</v>
      </c>
      <c r="AH16" s="110">
        <v>3898.8828079388945</v>
      </c>
      <c r="AI16" s="110">
        <v>9.1101511019382464</v>
      </c>
      <c r="AJ16" s="110">
        <v>400.38610170296346</v>
      </c>
      <c r="AK16" s="110">
        <v>152.83079343144968</v>
      </c>
      <c r="AL16" s="110">
        <f t="shared" si="2"/>
        <v>1325.0135107891394</v>
      </c>
      <c r="AM16" s="110"/>
      <c r="AN16" s="110"/>
      <c r="AO16" s="110"/>
      <c r="AP16" s="110"/>
      <c r="AQ16" s="110"/>
      <c r="AR16" s="110"/>
      <c r="AS16" s="110">
        <f t="shared" si="0"/>
        <v>34325.000000000007</v>
      </c>
      <c r="AT16" s="110">
        <f t="shared" si="3"/>
        <v>38786.209854175249</v>
      </c>
      <c r="AU16" s="109"/>
      <c r="AV16" s="109"/>
      <c r="AW16" s="109"/>
    </row>
    <row r="17" spans="2:49" ht="12" x14ac:dyDescent="0.2">
      <c r="B17" s="90" t="s">
        <v>27</v>
      </c>
      <c r="C17" s="90" t="s">
        <v>169</v>
      </c>
      <c r="D17" s="91" t="s">
        <v>28</v>
      </c>
      <c r="E17" s="90" t="s">
        <v>29</v>
      </c>
      <c r="F17" s="90">
        <v>2050</v>
      </c>
      <c r="G17" s="109">
        <v>0</v>
      </c>
      <c r="H17" s="110">
        <f t="shared" si="4"/>
        <v>238.51316872690796</v>
      </c>
      <c r="I17" s="110">
        <f t="shared" si="4"/>
        <v>115.67336017559165</v>
      </c>
      <c r="J17" s="110">
        <f t="shared" si="1"/>
        <v>173.51956185796166</v>
      </c>
      <c r="K17" s="110">
        <f t="shared" si="1"/>
        <v>0.37489778753888009</v>
      </c>
      <c r="L17" s="110">
        <f t="shared" si="1"/>
        <v>129.83860622230065</v>
      </c>
      <c r="M17" s="110">
        <f t="shared" si="1"/>
        <v>618.12860989516662</v>
      </c>
      <c r="N17" s="110">
        <f t="shared" si="1"/>
        <v>45.566392028098022</v>
      </c>
      <c r="O17" s="110">
        <f t="shared" si="1"/>
        <v>109.82729428930139</v>
      </c>
      <c r="P17" s="110">
        <f t="shared" si="1"/>
        <v>1386.363210014611</v>
      </c>
      <c r="Q17" s="110">
        <f t="shared" si="1"/>
        <v>70.66156307912172</v>
      </c>
      <c r="R17" s="110">
        <f t="shared" si="1"/>
        <v>939.25990691062168</v>
      </c>
      <c r="S17" s="110">
        <f t="shared" si="1"/>
        <v>573.1124437457471</v>
      </c>
      <c r="T17" s="110">
        <f t="shared" si="1"/>
        <v>86.771800796134215</v>
      </c>
      <c r="U17" s="110">
        <f t="shared" si="1"/>
        <v>410.66512373688079</v>
      </c>
      <c r="V17" s="110">
        <f t="shared" si="1"/>
        <v>534.20784041822515</v>
      </c>
      <c r="W17" s="110">
        <f t="shared" si="1"/>
        <v>38.35581846798032</v>
      </c>
      <c r="X17" s="110">
        <f t="shared" si="1"/>
        <v>4.537871480718799</v>
      </c>
      <c r="Y17" s="110">
        <f t="shared" ref="Y17:AG18" si="5">U$62*$F48</f>
        <v>93.728654988656174</v>
      </c>
      <c r="Z17" s="110">
        <f t="shared" si="5"/>
        <v>5.0247554639174094E-3</v>
      </c>
      <c r="AA17" s="110">
        <f t="shared" si="5"/>
        <v>126.90561582663983</v>
      </c>
      <c r="AB17" s="110">
        <f t="shared" si="5"/>
        <v>155.32245217346434</v>
      </c>
      <c r="AC17" s="110">
        <f t="shared" si="5"/>
        <v>179.27724067605814</v>
      </c>
      <c r="AD17" s="110">
        <f t="shared" si="5"/>
        <v>1121.3404562533347</v>
      </c>
      <c r="AE17" s="110">
        <f t="shared" si="5"/>
        <v>104.69175874252268</v>
      </c>
      <c r="AF17" s="110">
        <f t="shared" si="5"/>
        <v>173.84369553515592</v>
      </c>
      <c r="AG17" s="110">
        <f t="shared" si="5"/>
        <v>164.55186345558886</v>
      </c>
      <c r="AH17" s="110">
        <v>3040.0163890743834</v>
      </c>
      <c r="AI17" s="110">
        <v>7.1033190842371123</v>
      </c>
      <c r="AJ17" s="110">
        <v>312.18694459248491</v>
      </c>
      <c r="AK17" s="110">
        <v>119.16442213672461</v>
      </c>
      <c r="AL17" s="110">
        <f t="shared" si="2"/>
        <v>304.95576796020981</v>
      </c>
      <c r="AM17" s="110"/>
      <c r="AN17" s="110"/>
      <c r="AO17" s="110"/>
      <c r="AP17" s="110"/>
      <c r="AQ17" s="110"/>
      <c r="AR17" s="110"/>
      <c r="AS17" s="110">
        <f t="shared" si="0"/>
        <v>7899.9999999999991</v>
      </c>
      <c r="AT17" s="110">
        <f t="shared" si="3"/>
        <v>11378.47107488783</v>
      </c>
      <c r="AU17" s="109"/>
      <c r="AV17" s="109"/>
      <c r="AW17" s="109"/>
    </row>
    <row r="18" spans="2:49" ht="12" x14ac:dyDescent="0.2">
      <c r="B18" s="175" t="s">
        <v>27</v>
      </c>
      <c r="C18" s="175" t="s">
        <v>168</v>
      </c>
      <c r="D18" s="201" t="s">
        <v>28</v>
      </c>
      <c r="E18" s="175" t="s">
        <v>29</v>
      </c>
      <c r="F18" s="175">
        <v>2050</v>
      </c>
      <c r="G18" s="209">
        <v>0</v>
      </c>
      <c r="H18" s="200">
        <f t="shared" si="4"/>
        <v>156.99600979492675</v>
      </c>
      <c r="I18" s="200">
        <f t="shared" si="4"/>
        <v>76.139426951022358</v>
      </c>
      <c r="J18" s="200">
        <f t="shared" si="4"/>
        <v>114.21540780524059</v>
      </c>
      <c r="K18" s="200">
        <f t="shared" si="4"/>
        <v>0.2467681639496426</v>
      </c>
      <c r="L18" s="200">
        <f t="shared" si="4"/>
        <v>85.463386374172572</v>
      </c>
      <c r="M18" s="200">
        <f t="shared" si="4"/>
        <v>406.86946474112233</v>
      </c>
      <c r="N18" s="200">
        <f t="shared" si="4"/>
        <v>29.993068170393638</v>
      </c>
      <c r="O18" s="200">
        <f t="shared" si="4"/>
        <v>72.291383582831301</v>
      </c>
      <c r="P18" s="200">
        <f t="shared" si="4"/>
        <v>912.54287241468069</v>
      </c>
      <c r="Q18" s="200">
        <f t="shared" si="4"/>
        <v>46.511408609042142</v>
      </c>
      <c r="R18" s="200">
        <f t="shared" si="4"/>
        <v>618.24702733357378</v>
      </c>
      <c r="S18" s="200">
        <f t="shared" si="4"/>
        <v>377.2385705668209</v>
      </c>
      <c r="T18" s="200">
        <f t="shared" si="4"/>
        <v>57.115615713911126</v>
      </c>
      <c r="U18" s="200">
        <f t="shared" si="4"/>
        <v>270.31122068756713</v>
      </c>
      <c r="V18" s="200">
        <f t="shared" si="4"/>
        <v>351.63047723731273</v>
      </c>
      <c r="W18" s="200">
        <f t="shared" si="4"/>
        <v>25.246867852341477</v>
      </c>
      <c r="X18" s="200">
        <f t="shared" ref="X18" si="6">T$62*$F49</f>
        <v>2.9869533797136398</v>
      </c>
      <c r="Y18" s="200">
        <f t="shared" si="5"/>
        <v>61.694810878609125</v>
      </c>
      <c r="Z18" s="200">
        <f t="shared" si="5"/>
        <v>3.307433976249434E-3</v>
      </c>
      <c r="AA18" s="200">
        <f t="shared" si="5"/>
        <v>83.532810417535075</v>
      </c>
      <c r="AB18" s="200">
        <f t="shared" si="5"/>
        <v>102.2375634559512</v>
      </c>
      <c r="AC18" s="200">
        <f t="shared" si="5"/>
        <v>118.00527234373448</v>
      </c>
      <c r="AD18" s="200">
        <f t="shared" si="5"/>
        <v>738.09751550852411</v>
      </c>
      <c r="AE18" s="200">
        <f t="shared" si="5"/>
        <v>68.911031071027594</v>
      </c>
      <c r="AF18" s="200">
        <f t="shared" si="5"/>
        <v>114.42876161807732</v>
      </c>
      <c r="AG18" s="200">
        <f t="shared" si="5"/>
        <v>108.31261898342558</v>
      </c>
      <c r="AH18" s="200">
        <v>3991.5662344350644</v>
      </c>
      <c r="AI18" s="200">
        <v>9.3267157081649881</v>
      </c>
      <c r="AJ18" s="200">
        <v>409.90399635517332</v>
      </c>
      <c r="AK18" s="200">
        <v>156.46385508195957</v>
      </c>
      <c r="AL18" s="200">
        <f t="shared" si="2"/>
        <v>200.73037891051786</v>
      </c>
      <c r="AM18" s="200"/>
      <c r="AN18" s="200"/>
      <c r="AO18" s="200"/>
      <c r="AP18" s="200"/>
      <c r="AQ18" s="200"/>
      <c r="AR18" s="200"/>
      <c r="AS18" s="200">
        <f t="shared" si="0"/>
        <v>5200.0000000000009</v>
      </c>
      <c r="AT18" s="110">
        <f t="shared" si="3"/>
        <v>9767.2608015803617</v>
      </c>
      <c r="AU18" s="109"/>
      <c r="AV18" s="109"/>
      <c r="AW18" s="109"/>
    </row>
    <row r="19" spans="2:49" ht="12" x14ac:dyDescent="0.2">
      <c r="B19" s="90"/>
      <c r="C19" s="90" t="s">
        <v>171</v>
      </c>
      <c r="D19" s="91"/>
      <c r="E19" s="90" t="s">
        <v>216</v>
      </c>
      <c r="F19" s="90">
        <v>2025</v>
      </c>
      <c r="G19" s="204">
        <v>1.8440000000000002E-2</v>
      </c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09"/>
      <c r="AV19" s="109" t="s">
        <v>55</v>
      </c>
      <c r="AW19" s="109"/>
    </row>
    <row r="20" spans="2:49" ht="12" x14ac:dyDescent="0.2">
      <c r="B20" s="90"/>
      <c r="C20" s="90" t="s">
        <v>170</v>
      </c>
      <c r="D20" s="91"/>
      <c r="E20" s="90" t="s">
        <v>216</v>
      </c>
      <c r="F20" s="90">
        <v>2025</v>
      </c>
      <c r="G20" s="204">
        <v>1.8450000000000001E-2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09"/>
      <c r="AV20" s="109" t="s">
        <v>55</v>
      </c>
      <c r="AW20" s="109"/>
    </row>
    <row r="21" spans="2:49" ht="12" x14ac:dyDescent="0.2">
      <c r="B21" s="90"/>
      <c r="C21" s="90" t="s">
        <v>169</v>
      </c>
      <c r="D21" s="91"/>
      <c r="E21" s="90" t="s">
        <v>216</v>
      </c>
      <c r="F21" s="90">
        <v>2025</v>
      </c>
      <c r="G21" s="204">
        <v>4.3869999999999999E-2</v>
      </c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09"/>
      <c r="AV21" s="109" t="s">
        <v>55</v>
      </c>
      <c r="AW21" s="109"/>
    </row>
    <row r="22" spans="2:49" ht="12" x14ac:dyDescent="0.2">
      <c r="B22" s="175"/>
      <c r="C22" s="175" t="s">
        <v>168</v>
      </c>
      <c r="D22" s="201"/>
      <c r="E22" s="175" t="s">
        <v>216</v>
      </c>
      <c r="F22" s="175">
        <v>2025</v>
      </c>
      <c r="G22" s="214">
        <v>8.7739999999999999E-2</v>
      </c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9"/>
      <c r="AV22" s="209" t="s">
        <v>55</v>
      </c>
      <c r="AW22" s="109"/>
    </row>
    <row r="23" spans="2:49" ht="12" x14ac:dyDescent="0.2">
      <c r="B23" s="90" t="s">
        <v>27</v>
      </c>
      <c r="C23" s="175" t="s">
        <v>217</v>
      </c>
      <c r="D23" s="91" t="s">
        <v>28</v>
      </c>
      <c r="E23" s="90" t="s">
        <v>216</v>
      </c>
      <c r="F23" s="90">
        <v>0</v>
      </c>
      <c r="G23" s="92">
        <v>5</v>
      </c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09" t="s">
        <v>13</v>
      </c>
      <c r="AV23" s="109"/>
      <c r="AW23" s="109"/>
    </row>
    <row r="24" spans="2:49" ht="12" x14ac:dyDescent="0.2">
      <c r="B24" s="175" t="s">
        <v>27</v>
      </c>
      <c r="C24" s="175" t="s">
        <v>217</v>
      </c>
      <c r="D24" s="201" t="s">
        <v>28</v>
      </c>
      <c r="E24" s="175" t="s">
        <v>29</v>
      </c>
      <c r="F24" s="175">
        <v>0</v>
      </c>
      <c r="G24" s="199">
        <v>5</v>
      </c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9"/>
      <c r="AV24" s="209"/>
      <c r="AW24" s="109"/>
    </row>
    <row r="25" spans="2:49" ht="12" x14ac:dyDescent="0.2">
      <c r="B25" s="90"/>
      <c r="C25" s="90" t="s">
        <v>217</v>
      </c>
      <c r="D25" s="91"/>
      <c r="E25" s="90" t="s">
        <v>23</v>
      </c>
      <c r="F25" s="90"/>
      <c r="G25" s="205">
        <v>2030</v>
      </c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09"/>
      <c r="AV25" s="109"/>
      <c r="AW25" s="109"/>
    </row>
    <row r="26" spans="2:49" ht="12" x14ac:dyDescent="0.2">
      <c r="B26" s="90"/>
      <c r="C26" s="90" t="s">
        <v>39</v>
      </c>
      <c r="D26" s="91"/>
      <c r="E26" s="90" t="s">
        <v>60</v>
      </c>
      <c r="F26" s="90">
        <v>2020</v>
      </c>
      <c r="G26" s="109">
        <v>1E-3</v>
      </c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09"/>
      <c r="AV26" s="109" t="s">
        <v>55</v>
      </c>
      <c r="AW26" s="109"/>
    </row>
    <row r="27" spans="2:49" ht="12.75" x14ac:dyDescent="0.2">
      <c r="C27" s="77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</row>
    <row r="28" spans="2:49" s="76" customFormat="1" ht="12" x14ac:dyDescent="0.2"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</row>
    <row r="29" spans="2:49" s="76" customFormat="1" ht="12" x14ac:dyDescent="0.2"/>
    <row r="30" spans="2:49" s="76" customFormat="1" ht="12" x14ac:dyDescent="0.2"/>
    <row r="31" spans="2:49" ht="12.75" x14ac:dyDescent="0.2">
      <c r="B31" s="207"/>
      <c r="C31" s="78"/>
      <c r="D31" s="80"/>
      <c r="E31" s="80"/>
      <c r="F31" s="208" t="s">
        <v>268</v>
      </c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</row>
    <row r="32" spans="2:49" ht="12.75" x14ac:dyDescent="0.2">
      <c r="B32" s="207"/>
      <c r="C32" s="78"/>
      <c r="F32" s="1" t="s">
        <v>269</v>
      </c>
      <c r="G32" s="1" t="s">
        <v>270</v>
      </c>
    </row>
    <row r="33" spans="2:8" ht="12.75" x14ac:dyDescent="0.2">
      <c r="B33" s="207"/>
      <c r="C33" s="78"/>
      <c r="F33" s="90" t="s">
        <v>29</v>
      </c>
      <c r="G33" s="90" t="s">
        <v>216</v>
      </c>
    </row>
    <row r="34" spans="2:8" ht="12" x14ac:dyDescent="0.2">
      <c r="B34" s="90" t="s">
        <v>27</v>
      </c>
      <c r="C34" s="90" t="s">
        <v>171</v>
      </c>
      <c r="D34" s="91" t="s">
        <v>28</v>
      </c>
      <c r="E34" s="90">
        <v>2025</v>
      </c>
      <c r="F34" s="109"/>
      <c r="G34" s="109"/>
    </row>
    <row r="35" spans="2:8" ht="12" x14ac:dyDescent="0.2">
      <c r="B35" s="90" t="s">
        <v>27</v>
      </c>
      <c r="C35" s="90" t="s">
        <v>170</v>
      </c>
      <c r="D35" s="91" t="s">
        <v>28</v>
      </c>
      <c r="E35" s="90">
        <v>2025</v>
      </c>
      <c r="F35" s="109"/>
      <c r="G35" s="109"/>
    </row>
    <row r="36" spans="2:8" ht="12" x14ac:dyDescent="0.2">
      <c r="B36" s="90" t="s">
        <v>27</v>
      </c>
      <c r="C36" s="90" t="s">
        <v>169</v>
      </c>
      <c r="D36" s="91" t="s">
        <v>28</v>
      </c>
      <c r="E36" s="90">
        <v>2025</v>
      </c>
      <c r="F36" s="109"/>
      <c r="G36" s="109"/>
    </row>
    <row r="37" spans="2:8" ht="12" x14ac:dyDescent="0.2">
      <c r="B37" s="175" t="s">
        <v>27</v>
      </c>
      <c r="C37" s="175" t="s">
        <v>168</v>
      </c>
      <c r="D37" s="201" t="s">
        <v>28</v>
      </c>
      <c r="E37" s="175">
        <v>2025</v>
      </c>
      <c r="F37" s="209"/>
      <c r="G37" s="209"/>
    </row>
    <row r="38" spans="2:8" ht="12" x14ac:dyDescent="0.2">
      <c r="B38" s="90" t="s">
        <v>27</v>
      </c>
      <c r="C38" s="90" t="s">
        <v>171</v>
      </c>
      <c r="D38" s="91" t="s">
        <v>28</v>
      </c>
      <c r="E38" s="90">
        <v>2030</v>
      </c>
      <c r="F38" s="110">
        <f>31700/2</f>
        <v>15850</v>
      </c>
      <c r="G38" s="109">
        <f>20*1000/1000/1000</f>
        <v>0.02</v>
      </c>
    </row>
    <row r="39" spans="2:8" ht="12" x14ac:dyDescent="0.2">
      <c r="B39" s="90" t="s">
        <v>27</v>
      </c>
      <c r="C39" s="90" t="s">
        <v>170</v>
      </c>
      <c r="D39" s="91" t="s">
        <v>28</v>
      </c>
      <c r="E39" s="90">
        <v>2030</v>
      </c>
      <c r="F39" s="110">
        <f>31700/2</f>
        <v>15850</v>
      </c>
      <c r="G39" s="109">
        <v>2.1000000000000001E-2</v>
      </c>
    </row>
    <row r="40" spans="2:8" ht="12" x14ac:dyDescent="0.2">
      <c r="B40" s="90" t="s">
        <v>27</v>
      </c>
      <c r="C40" s="90" t="s">
        <v>169</v>
      </c>
      <c r="D40" s="91" t="s">
        <v>28</v>
      </c>
      <c r="E40" s="90">
        <v>2030</v>
      </c>
      <c r="F40" s="110">
        <f>45700-F38-F39</f>
        <v>14000</v>
      </c>
      <c r="G40" s="109">
        <v>0.05</v>
      </c>
    </row>
    <row r="41" spans="2:8" ht="12" x14ac:dyDescent="0.2">
      <c r="B41" s="175" t="s">
        <v>27</v>
      </c>
      <c r="C41" s="175" t="s">
        <v>168</v>
      </c>
      <c r="D41" s="201" t="s">
        <v>28</v>
      </c>
      <c r="E41" s="175">
        <v>2030</v>
      </c>
      <c r="F41" s="200">
        <f>48200-F38-F40-F39</f>
        <v>2500</v>
      </c>
      <c r="G41" s="209">
        <v>0.1</v>
      </c>
      <c r="H41" s="170">
        <f>F38+F39+F40+F41</f>
        <v>48200</v>
      </c>
    </row>
    <row r="42" spans="2:8" ht="12" x14ac:dyDescent="0.2">
      <c r="B42" s="90" t="s">
        <v>27</v>
      </c>
      <c r="C42" s="90" t="s">
        <v>171</v>
      </c>
      <c r="D42" s="91" t="s">
        <v>28</v>
      </c>
      <c r="E42" s="90">
        <v>2040</v>
      </c>
      <c r="F42" s="110">
        <f>41500/2</f>
        <v>20750</v>
      </c>
      <c r="G42" s="109">
        <v>0.02</v>
      </c>
    </row>
    <row r="43" spans="2:8" ht="12" x14ac:dyDescent="0.2">
      <c r="B43" s="90" t="s">
        <v>27</v>
      </c>
      <c r="C43" s="90" t="s">
        <v>170</v>
      </c>
      <c r="D43" s="91" t="s">
        <v>28</v>
      </c>
      <c r="E43" s="90">
        <v>2040</v>
      </c>
      <c r="F43" s="110">
        <f>41500/2</f>
        <v>20750</v>
      </c>
      <c r="G43" s="109">
        <v>2.1000000000000001E-2</v>
      </c>
    </row>
    <row r="44" spans="2:8" ht="12" x14ac:dyDescent="0.2">
      <c r="B44" s="90" t="s">
        <v>27</v>
      </c>
      <c r="C44" s="90" t="s">
        <v>169</v>
      </c>
      <c r="D44" s="91" t="s">
        <v>28</v>
      </c>
      <c r="E44" s="90">
        <v>2040</v>
      </c>
      <c r="F44" s="110">
        <f>52200-F42-F43</f>
        <v>10700</v>
      </c>
      <c r="G44" s="109">
        <f>G40</f>
        <v>0.05</v>
      </c>
    </row>
    <row r="45" spans="2:8" ht="12" x14ac:dyDescent="0.2">
      <c r="B45" s="175" t="s">
        <v>27</v>
      </c>
      <c r="C45" s="175" t="s">
        <v>168</v>
      </c>
      <c r="D45" s="201" t="s">
        <v>28</v>
      </c>
      <c r="E45" s="175">
        <v>2040</v>
      </c>
      <c r="F45" s="200">
        <f>55200-F42-F44-F43</f>
        <v>3000</v>
      </c>
      <c r="G45" s="209">
        <f>G41</f>
        <v>0.1</v>
      </c>
      <c r="H45" s="170">
        <f>F42+F44+F45+F43</f>
        <v>55200</v>
      </c>
    </row>
    <row r="46" spans="2:8" ht="12" x14ac:dyDescent="0.2">
      <c r="B46" s="90" t="s">
        <v>27</v>
      </c>
      <c r="C46" s="90" t="s">
        <v>171</v>
      </c>
      <c r="D46" s="91" t="s">
        <v>28</v>
      </c>
      <c r="E46" s="90">
        <v>2050</v>
      </c>
      <c r="F46" s="110">
        <f>68650/2</f>
        <v>34325</v>
      </c>
      <c r="G46" s="109">
        <v>0.02</v>
      </c>
    </row>
    <row r="47" spans="2:8" ht="12" x14ac:dyDescent="0.2">
      <c r="B47" s="90" t="s">
        <v>27</v>
      </c>
      <c r="C47" s="90" t="s">
        <v>170</v>
      </c>
      <c r="D47" s="91" t="s">
        <v>28</v>
      </c>
      <c r="E47" s="90">
        <v>2050</v>
      </c>
      <c r="F47" s="110">
        <f>68650/2</f>
        <v>34325</v>
      </c>
      <c r="G47" s="109">
        <v>2.1000000000000001E-2</v>
      </c>
    </row>
    <row r="48" spans="2:8" ht="12" x14ac:dyDescent="0.2">
      <c r="B48" s="90" t="s">
        <v>27</v>
      </c>
      <c r="C48" s="90" t="s">
        <v>169</v>
      </c>
      <c r="D48" s="91" t="s">
        <v>28</v>
      </c>
      <c r="E48" s="90">
        <v>2050</v>
      </c>
      <c r="F48" s="110">
        <f>76550-F46-F47</f>
        <v>7900</v>
      </c>
      <c r="G48" s="109">
        <f>G44</f>
        <v>0.05</v>
      </c>
    </row>
    <row r="49" spans="2:40" ht="12" x14ac:dyDescent="0.2">
      <c r="B49" s="90" t="s">
        <v>27</v>
      </c>
      <c r="C49" s="90" t="s">
        <v>168</v>
      </c>
      <c r="D49" s="91" t="s">
        <v>28</v>
      </c>
      <c r="E49" s="90">
        <v>2050</v>
      </c>
      <c r="F49" s="110">
        <f>81750-F46-F48-F47</f>
        <v>5200</v>
      </c>
      <c r="G49" s="109">
        <f>G45</f>
        <v>0.1</v>
      </c>
      <c r="H49" s="170">
        <f>F46+F47+F48+F49</f>
        <v>81750</v>
      </c>
    </row>
    <row r="50" spans="2:40" ht="12.75" x14ac:dyDescent="0.2">
      <c r="B50" s="207"/>
      <c r="C50" s="78"/>
      <c r="D50" s="78"/>
      <c r="E50" s="78"/>
      <c r="F50" s="78"/>
      <c r="G50" s="79"/>
    </row>
    <row r="51" spans="2:40" ht="12.75" x14ac:dyDescent="0.2">
      <c r="B51" s="207"/>
      <c r="C51" s="78"/>
      <c r="D51" s="78"/>
      <c r="E51" s="78"/>
      <c r="F51" s="78"/>
      <c r="G51" s="79"/>
    </row>
    <row r="52" spans="2:40" ht="12.75" x14ac:dyDescent="0.2">
      <c r="B52" s="81"/>
      <c r="C52" s="78"/>
      <c r="D52" s="78"/>
      <c r="E52" s="78"/>
      <c r="F52" s="78"/>
      <c r="G52" s="79"/>
    </row>
    <row r="53" spans="2:40" ht="12.75" x14ac:dyDescent="0.2">
      <c r="B53" s="80"/>
      <c r="C53" s="78"/>
      <c r="D53" s="78"/>
      <c r="E53" s="78"/>
      <c r="F53" s="78"/>
      <c r="G53" s="79"/>
    </row>
    <row r="54" spans="2:40" ht="12.75" x14ac:dyDescent="0.2">
      <c r="B54" s="82"/>
      <c r="C54" s="78"/>
      <c r="D54" s="78"/>
      <c r="E54" s="78"/>
      <c r="F54" s="78"/>
      <c r="G54" s="79"/>
    </row>
    <row r="55" spans="2:40" ht="12.75" x14ac:dyDescent="0.2">
      <c r="C55" s="78"/>
      <c r="D55" s="78"/>
      <c r="E55" s="78"/>
      <c r="F55" s="78"/>
      <c r="G55" s="79"/>
    </row>
    <row r="56" spans="2:40" ht="12.75" x14ac:dyDescent="0.2">
      <c r="B56" s="82"/>
      <c r="C56" s="78"/>
      <c r="D56" s="78"/>
      <c r="E56" s="78"/>
      <c r="F56" s="78"/>
      <c r="G56" s="79"/>
    </row>
    <row r="57" spans="2:40" ht="12.75" x14ac:dyDescent="0.2">
      <c r="B57" s="82"/>
      <c r="C57" s="78"/>
      <c r="D57" s="78"/>
      <c r="E57" s="78"/>
      <c r="F57" s="78"/>
      <c r="G57" s="79"/>
    </row>
    <row r="58" spans="2:40" ht="12.75" x14ac:dyDescent="0.2">
      <c r="B58" s="82"/>
      <c r="C58" s="78"/>
      <c r="D58" s="78"/>
      <c r="E58" s="78"/>
      <c r="F58" s="78"/>
      <c r="G58" s="79"/>
    </row>
    <row r="59" spans="2:40" ht="12.75" x14ac:dyDescent="0.2">
      <c r="B59" s="216" t="s">
        <v>278</v>
      </c>
    </row>
    <row r="60" spans="2:40" ht="12.75" x14ac:dyDescent="0.2">
      <c r="B60" s="207" t="s">
        <v>268</v>
      </c>
      <c r="C60" s="78"/>
      <c r="D60" s="1" t="s">
        <v>148</v>
      </c>
      <c r="E60" s="1" t="s">
        <v>147</v>
      </c>
      <c r="F60" s="1" t="s">
        <v>146</v>
      </c>
      <c r="G60" s="1" t="s">
        <v>145</v>
      </c>
      <c r="H60" s="1" t="s">
        <v>144</v>
      </c>
      <c r="I60" s="1" t="s">
        <v>143</v>
      </c>
      <c r="J60" s="1" t="s">
        <v>142</v>
      </c>
      <c r="K60" s="1" t="s">
        <v>141</v>
      </c>
      <c r="L60" s="1" t="s">
        <v>140</v>
      </c>
      <c r="M60" s="1" t="s">
        <v>139</v>
      </c>
      <c r="N60" s="1" t="s">
        <v>138</v>
      </c>
      <c r="O60" s="1" t="s">
        <v>137</v>
      </c>
      <c r="P60" s="1" t="s">
        <v>136</v>
      </c>
      <c r="Q60" s="1" t="s">
        <v>135</v>
      </c>
      <c r="R60" s="1" t="s">
        <v>134</v>
      </c>
      <c r="S60" s="1" t="s">
        <v>133</v>
      </c>
      <c r="T60" s="1" t="s">
        <v>132</v>
      </c>
      <c r="U60" s="1" t="s">
        <v>131</v>
      </c>
      <c r="V60" s="1" t="s">
        <v>130</v>
      </c>
      <c r="W60" s="1" t="s">
        <v>129</v>
      </c>
      <c r="X60" s="1" t="s">
        <v>128</v>
      </c>
      <c r="Y60" s="1" t="s">
        <v>127</v>
      </c>
      <c r="Z60" s="1" t="s">
        <v>126</v>
      </c>
      <c r="AA60" s="1" t="s">
        <v>125</v>
      </c>
      <c r="AB60" s="1" t="s">
        <v>124</v>
      </c>
      <c r="AC60" s="1" t="s">
        <v>123</v>
      </c>
      <c r="AD60" s="1" t="s">
        <v>122</v>
      </c>
      <c r="AE60" s="1" t="s">
        <v>121</v>
      </c>
      <c r="AF60" s="1" t="s">
        <v>120</v>
      </c>
      <c r="AG60" s="1" t="s">
        <v>119</v>
      </c>
      <c r="AH60" s="1" t="s">
        <v>118</v>
      </c>
      <c r="AI60" s="1" t="s">
        <v>117</v>
      </c>
      <c r="AJ60" s="1" t="s">
        <v>116</v>
      </c>
      <c r="AK60" s="1" t="s">
        <v>177</v>
      </c>
      <c r="AL60" s="1" t="s">
        <v>115</v>
      </c>
      <c r="AM60" s="1" t="s">
        <v>179</v>
      </c>
      <c r="AN60" s="1" t="s">
        <v>181</v>
      </c>
    </row>
    <row r="61" spans="2:40" ht="12.75" x14ac:dyDescent="0.2">
      <c r="B61" s="217">
        <v>8846739.4836049806</v>
      </c>
      <c r="C61" s="78" t="s">
        <v>251</v>
      </c>
      <c r="D61" s="70">
        <v>267096.69204254093</v>
      </c>
      <c r="E61" s="70">
        <v>129535.70666666667</v>
      </c>
      <c r="F61" s="70">
        <v>194314.22266666661</v>
      </c>
      <c r="G61" s="70">
        <v>419.8257037134635</v>
      </c>
      <c r="H61" s="70">
        <v>145398.52204595777</v>
      </c>
      <c r="I61" s="70">
        <v>692205.41507663683</v>
      </c>
      <c r="J61" s="70">
        <v>51027.088541822537</v>
      </c>
      <c r="K61" s="70">
        <v>122989.04566666664</v>
      </c>
      <c r="L61" s="70">
        <v>1552505.5884371649</v>
      </c>
      <c r="M61" s="70">
        <v>79129.675957634186</v>
      </c>
      <c r="N61" s="70">
        <v>1051821.2283333335</v>
      </c>
      <c r="O61" s="70">
        <v>641794.49172542267</v>
      </c>
      <c r="P61" s="70">
        <v>97170.571666666656</v>
      </c>
      <c r="Q61" s="70">
        <v>459879.41325349221</v>
      </c>
      <c r="R61" s="70">
        <v>598227.54357965325</v>
      </c>
      <c r="S61" s="70">
        <v>42952.39666666666</v>
      </c>
      <c r="T61" s="70">
        <v>5081.6919999999991</v>
      </c>
      <c r="U61" s="70">
        <v>104961.13833333335</v>
      </c>
      <c r="V61" s="70">
        <v>5.626924374442785</v>
      </c>
      <c r="W61" s="70">
        <v>142114.04078794172</v>
      </c>
      <c r="X61" s="70">
        <v>173936.36333333331</v>
      </c>
      <c r="Y61" s="70">
        <v>200761.9042532451</v>
      </c>
      <c r="Z61" s="70">
        <v>1255722.3909999998</v>
      </c>
      <c r="AA61" s="70">
        <v>117238.06527538257</v>
      </c>
      <c r="AB61" s="70">
        <v>194677.20066666667</v>
      </c>
      <c r="AC61" s="70">
        <v>184271.83133333334</v>
      </c>
      <c r="AD61" s="70">
        <v>1495655.9579350017</v>
      </c>
      <c r="AE61" s="70">
        <v>2088.3485206211435</v>
      </c>
      <c r="AF61" s="70">
        <v>153592.67974586229</v>
      </c>
      <c r="AG61" s="70">
        <v>45064.442191329465</v>
      </c>
      <c r="AH61" s="70">
        <v>341501.8016666667</v>
      </c>
      <c r="AI61" s="70">
        <v>228918.12533333336</v>
      </c>
      <c r="AJ61" s="70">
        <v>380461.44033333333</v>
      </c>
      <c r="AK61" s="70">
        <v>71567.162333333341</v>
      </c>
      <c r="AL61" s="70">
        <v>129583.14600000001</v>
      </c>
      <c r="AM61" s="70">
        <v>128917.68633333332</v>
      </c>
      <c r="AN61" s="70">
        <v>57713.502</v>
      </c>
    </row>
    <row r="62" spans="2:40" ht="12.75" x14ac:dyDescent="0.2">
      <c r="B62" s="207"/>
      <c r="C62" s="78" t="s">
        <v>279</v>
      </c>
      <c r="D62" s="1">
        <v>3.0191540345178222E-2</v>
      </c>
      <c r="E62" s="1">
        <v>1.4642197490581222E-2</v>
      </c>
      <c r="F62" s="1">
        <v>2.1964501501007806E-2</v>
      </c>
      <c r="G62" s="1">
        <v>4.7455416144162036E-5</v>
      </c>
      <c r="H62" s="1">
        <v>1.6435266610417804E-2</v>
      </c>
      <c r="I62" s="1">
        <v>7.8244127834831215E-2</v>
      </c>
      <c r="J62" s="1">
        <v>5.7678977250756993E-3</v>
      </c>
      <c r="K62" s="1">
        <v>1.390218915054448E-2</v>
      </c>
      <c r="L62" s="1">
        <v>0.17548901392590013</v>
      </c>
      <c r="M62" s="1">
        <v>8.9445016555850278E-3</v>
      </c>
      <c r="N62" s="1">
        <v>0.11889365910261034</v>
      </c>
      <c r="O62" s="1">
        <v>7.2545878955157864E-2</v>
      </c>
      <c r="P62" s="1">
        <v>1.0983772252675217E-2</v>
      </c>
      <c r="Q62" s="1">
        <v>5.1982927055301366E-2</v>
      </c>
      <c r="R62" s="1">
        <v>6.7621245622560139E-2</v>
      </c>
      <c r="S62" s="1">
        <v>4.8551668946810534E-3</v>
      </c>
      <c r="T62" s="1">
        <v>5.7441411148339227E-4</v>
      </c>
      <c r="U62" s="1">
        <v>1.1864386707424832E-2</v>
      </c>
      <c r="V62" s="1">
        <v>6.3604499543258342E-7</v>
      </c>
      <c r="W62" s="1">
        <v>1.606400200337213E-2</v>
      </c>
      <c r="X62" s="1">
        <v>1.9661069895375232E-2</v>
      </c>
      <c r="Y62" s="1">
        <v>2.2693321604564321E-2</v>
      </c>
      <c r="Z62" s="1">
        <v>0.1419418299054854</v>
      </c>
      <c r="AA62" s="1">
        <v>1.3252121359812997E-2</v>
      </c>
      <c r="AB62" s="1">
        <v>2.2005531080399484E-2</v>
      </c>
      <c r="AC62" s="1">
        <v>2.0829349804504918E-2</v>
      </c>
      <c r="AH62" s="1">
        <v>3.8601995944330357E-2</v>
      </c>
    </row>
    <row r="63" spans="2:40" ht="12.75" x14ac:dyDescent="0.2">
      <c r="B63" s="207"/>
      <c r="C63" s="78"/>
    </row>
    <row r="64" spans="2:40" x14ac:dyDescent="0.2">
      <c r="C64" s="1" t="s">
        <v>268</v>
      </c>
      <c r="D64" s="1" t="s">
        <v>280</v>
      </c>
      <c r="E64" s="1" t="s">
        <v>155</v>
      </c>
    </row>
    <row r="65" spans="3:5" ht="3.6" customHeight="1" x14ac:dyDescent="0.2"/>
    <row r="66" spans="3:5" x14ac:dyDescent="0.2">
      <c r="C66" s="1">
        <v>2030</v>
      </c>
      <c r="D66" s="170">
        <f>H41</f>
        <v>48200</v>
      </c>
      <c r="E66" s="170">
        <f>D66+E65</f>
        <v>48200</v>
      </c>
    </row>
    <row r="67" spans="3:5" x14ac:dyDescent="0.2">
      <c r="C67" s="1">
        <v>2031</v>
      </c>
      <c r="D67" s="1">
        <f t="shared" ref="D67:D75" si="7">D66+($D$76-$D$66)/($C$76-$C$66)</f>
        <v>48900</v>
      </c>
      <c r="E67" s="170">
        <f t="shared" ref="E67:E86" si="8">D67+E66</f>
        <v>97100</v>
      </c>
    </row>
    <row r="68" spans="3:5" x14ac:dyDescent="0.2">
      <c r="C68" s="1">
        <v>2032</v>
      </c>
      <c r="D68" s="1">
        <f t="shared" si="7"/>
        <v>49600</v>
      </c>
      <c r="E68" s="170">
        <f t="shared" si="8"/>
        <v>146700</v>
      </c>
    </row>
    <row r="69" spans="3:5" x14ac:dyDescent="0.2">
      <c r="C69" s="1">
        <v>2033</v>
      </c>
      <c r="D69" s="1">
        <f t="shared" si="7"/>
        <v>50300</v>
      </c>
      <c r="E69" s="170">
        <f t="shared" si="8"/>
        <v>197000</v>
      </c>
    </row>
    <row r="70" spans="3:5" x14ac:dyDescent="0.2">
      <c r="C70" s="1">
        <v>2034</v>
      </c>
      <c r="D70" s="1">
        <f t="shared" si="7"/>
        <v>51000</v>
      </c>
      <c r="E70" s="170">
        <f t="shared" si="8"/>
        <v>248000</v>
      </c>
    </row>
    <row r="71" spans="3:5" x14ac:dyDescent="0.2">
      <c r="C71" s="1">
        <v>2035</v>
      </c>
      <c r="D71" s="1">
        <f t="shared" si="7"/>
        <v>51700</v>
      </c>
      <c r="E71" s="170">
        <f t="shared" si="8"/>
        <v>299700</v>
      </c>
    </row>
    <row r="72" spans="3:5" x14ac:dyDescent="0.2">
      <c r="C72" s="1">
        <v>2036</v>
      </c>
      <c r="D72" s="1">
        <f t="shared" si="7"/>
        <v>52400</v>
      </c>
      <c r="E72" s="170">
        <f t="shared" si="8"/>
        <v>352100</v>
      </c>
    </row>
    <row r="73" spans="3:5" x14ac:dyDescent="0.2">
      <c r="C73" s="1">
        <v>2037</v>
      </c>
      <c r="D73" s="1">
        <f t="shared" si="7"/>
        <v>53100</v>
      </c>
      <c r="E73" s="170">
        <f t="shared" si="8"/>
        <v>405200</v>
      </c>
    </row>
    <row r="74" spans="3:5" x14ac:dyDescent="0.2">
      <c r="C74" s="1">
        <v>2038</v>
      </c>
      <c r="D74" s="1">
        <f t="shared" si="7"/>
        <v>53800</v>
      </c>
      <c r="E74" s="170">
        <f t="shared" si="8"/>
        <v>459000</v>
      </c>
    </row>
    <row r="75" spans="3:5" x14ac:dyDescent="0.2">
      <c r="C75" s="1">
        <v>2039</v>
      </c>
      <c r="D75" s="1">
        <f t="shared" si="7"/>
        <v>54500</v>
      </c>
      <c r="E75" s="170">
        <f t="shared" si="8"/>
        <v>513500</v>
      </c>
    </row>
    <row r="76" spans="3:5" x14ac:dyDescent="0.2">
      <c r="C76" s="1">
        <v>2040</v>
      </c>
      <c r="D76" s="170">
        <f>H45</f>
        <v>55200</v>
      </c>
      <c r="E76" s="170">
        <f t="shared" si="8"/>
        <v>568700</v>
      </c>
    </row>
    <row r="77" spans="3:5" x14ac:dyDescent="0.2">
      <c r="C77" s="1">
        <v>2041</v>
      </c>
      <c r="D77" s="1">
        <f>D76+($D$86-$D$76)/($C$76-$C$66)</f>
        <v>57855</v>
      </c>
      <c r="E77" s="170">
        <f t="shared" si="8"/>
        <v>626555</v>
      </c>
    </row>
    <row r="78" spans="3:5" x14ac:dyDescent="0.2">
      <c r="C78" s="1">
        <v>2042</v>
      </c>
      <c r="D78" s="1">
        <f t="shared" ref="D78:D85" si="9">D77+($D$86-$D$76)/($C$76-$C$66)</f>
        <v>60510</v>
      </c>
      <c r="E78" s="170">
        <f t="shared" si="8"/>
        <v>687065</v>
      </c>
    </row>
    <row r="79" spans="3:5" x14ac:dyDescent="0.2">
      <c r="C79" s="1">
        <v>2043</v>
      </c>
      <c r="D79" s="1">
        <f t="shared" si="9"/>
        <v>63165</v>
      </c>
      <c r="E79" s="170">
        <f t="shared" si="8"/>
        <v>750230</v>
      </c>
    </row>
    <row r="80" spans="3:5" x14ac:dyDescent="0.2">
      <c r="C80" s="1">
        <v>2044</v>
      </c>
      <c r="D80" s="1">
        <f t="shared" si="9"/>
        <v>65820</v>
      </c>
      <c r="E80" s="170">
        <f t="shared" si="8"/>
        <v>816050</v>
      </c>
    </row>
    <row r="81" spans="3:5" x14ac:dyDescent="0.2">
      <c r="C81" s="1">
        <v>2045</v>
      </c>
      <c r="D81" s="1">
        <f t="shared" si="9"/>
        <v>68475</v>
      </c>
      <c r="E81" s="170">
        <f t="shared" si="8"/>
        <v>884525</v>
      </c>
    </row>
    <row r="82" spans="3:5" x14ac:dyDescent="0.2">
      <c r="C82" s="1">
        <v>2046</v>
      </c>
      <c r="D82" s="1">
        <f t="shared" si="9"/>
        <v>71130</v>
      </c>
      <c r="E82" s="170">
        <f t="shared" si="8"/>
        <v>955655</v>
      </c>
    </row>
    <row r="83" spans="3:5" x14ac:dyDescent="0.2">
      <c r="C83" s="1">
        <v>2047</v>
      </c>
      <c r="D83" s="1">
        <f t="shared" si="9"/>
        <v>73785</v>
      </c>
      <c r="E83" s="170">
        <f t="shared" si="8"/>
        <v>1029440</v>
      </c>
    </row>
    <row r="84" spans="3:5" x14ac:dyDescent="0.2">
      <c r="C84" s="1">
        <v>2048</v>
      </c>
      <c r="D84" s="1">
        <f t="shared" si="9"/>
        <v>76440</v>
      </c>
      <c r="E84" s="170">
        <f t="shared" si="8"/>
        <v>1105880</v>
      </c>
    </row>
    <row r="85" spans="3:5" x14ac:dyDescent="0.2">
      <c r="C85" s="1">
        <v>2049</v>
      </c>
      <c r="D85" s="1">
        <f t="shared" si="9"/>
        <v>79095</v>
      </c>
      <c r="E85" s="170">
        <f t="shared" si="8"/>
        <v>1184975</v>
      </c>
    </row>
    <row r="86" spans="3:5" x14ac:dyDescent="0.2">
      <c r="C86" s="1">
        <v>2050</v>
      </c>
      <c r="D86" s="170">
        <f>H49</f>
        <v>81750</v>
      </c>
      <c r="E86" s="170">
        <f t="shared" si="8"/>
        <v>1266725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42D7-5270-432C-8B8A-42C5E03AC3E8}">
  <dimension ref="B1:AR87"/>
  <sheetViews>
    <sheetView topLeftCell="A18" workbookViewId="0"/>
  </sheetViews>
  <sheetFormatPr defaultColWidth="8.85546875" defaultRowHeight="12" x14ac:dyDescent="0.2"/>
  <cols>
    <col min="1" max="2" width="8.85546875" style="76"/>
    <col min="3" max="3" width="8.7109375" style="76" customWidth="1"/>
    <col min="4" max="4" width="8.85546875" style="76" customWidth="1"/>
    <col min="5" max="5" width="10.140625" style="76" customWidth="1"/>
    <col min="6" max="7" width="8.85546875" style="76"/>
    <col min="8" max="8" width="9.5703125" style="76" customWidth="1"/>
    <col min="9" max="15" width="8.85546875" style="76"/>
    <col min="16" max="16" width="11" style="76" bestFit="1" customWidth="1"/>
    <col min="17" max="16384" width="8.85546875" style="76"/>
  </cols>
  <sheetData>
    <row r="1" spans="2:44" s="83" customFormat="1" ht="15" x14ac:dyDescent="0.25">
      <c r="B1" s="83" t="s">
        <v>205</v>
      </c>
      <c r="E1" s="83" t="s">
        <v>262</v>
      </c>
      <c r="G1" s="84" t="s">
        <v>218</v>
      </c>
    </row>
    <row r="3" spans="2:44" x14ac:dyDescent="0.2">
      <c r="B3" s="85" t="s">
        <v>69</v>
      </c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</row>
    <row r="4" spans="2:44" ht="12.75" thickBot="1" x14ac:dyDescent="0.25">
      <c r="B4" s="88" t="s">
        <v>151</v>
      </c>
      <c r="C4" s="88" t="s">
        <v>5</v>
      </c>
      <c r="D4" s="88" t="s">
        <v>67</v>
      </c>
      <c r="E4" s="88" t="s">
        <v>64</v>
      </c>
      <c r="F4" s="88" t="s">
        <v>4</v>
      </c>
      <c r="G4" s="88" t="s">
        <v>63</v>
      </c>
      <c r="H4" s="88" t="s">
        <v>65</v>
      </c>
      <c r="I4" s="89" t="s">
        <v>143</v>
      </c>
      <c r="J4" s="89" t="s">
        <v>140</v>
      </c>
      <c r="K4" s="89" t="s">
        <v>138</v>
      </c>
      <c r="L4" s="89" t="s">
        <v>134</v>
      </c>
      <c r="M4" s="89" t="s">
        <v>128</v>
      </c>
      <c r="N4" s="89" t="s">
        <v>148</v>
      </c>
      <c r="O4" s="89" t="s">
        <v>127</v>
      </c>
      <c r="P4" s="89" t="s">
        <v>144</v>
      </c>
      <c r="Q4" s="89" t="s">
        <v>136</v>
      </c>
      <c r="R4" s="89" t="s">
        <v>123</v>
      </c>
      <c r="S4" s="89" t="s">
        <v>122</v>
      </c>
      <c r="T4" s="89" t="s">
        <v>139</v>
      </c>
      <c r="U4" s="89" t="s">
        <v>125</v>
      </c>
      <c r="V4" s="89" t="s">
        <v>244</v>
      </c>
      <c r="X4" s="76" t="s">
        <v>221</v>
      </c>
      <c r="AM4" s="87"/>
      <c r="AN4" s="87"/>
      <c r="AO4" s="87"/>
      <c r="AP4" s="87"/>
      <c r="AQ4" s="87"/>
      <c r="AR4" s="87"/>
    </row>
    <row r="5" spans="2:44" x14ac:dyDescent="0.2">
      <c r="B5" s="90" t="s">
        <v>27</v>
      </c>
      <c r="C5" s="90" t="s">
        <v>210</v>
      </c>
      <c r="D5" s="91" t="s">
        <v>28</v>
      </c>
      <c r="E5" s="90" t="s">
        <v>29</v>
      </c>
      <c r="F5" s="90">
        <v>2020</v>
      </c>
      <c r="G5" s="90"/>
      <c r="H5" s="92">
        <v>0</v>
      </c>
      <c r="I5" s="92">
        <f>H5</f>
        <v>0</v>
      </c>
      <c r="J5" s="92">
        <f t="shared" ref="J5:U20" si="0">I5</f>
        <v>0</v>
      </c>
      <c r="K5" s="92">
        <f t="shared" si="0"/>
        <v>0</v>
      </c>
      <c r="L5" s="92">
        <f t="shared" si="0"/>
        <v>0</v>
      </c>
      <c r="M5" s="92">
        <f t="shared" si="0"/>
        <v>0</v>
      </c>
      <c r="N5" s="92">
        <f t="shared" si="0"/>
        <v>0</v>
      </c>
      <c r="O5" s="92">
        <f t="shared" si="0"/>
        <v>0</v>
      </c>
      <c r="P5" s="92">
        <f t="shared" si="0"/>
        <v>0</v>
      </c>
      <c r="Q5" s="92">
        <f t="shared" si="0"/>
        <v>0</v>
      </c>
      <c r="R5" s="92">
        <f t="shared" si="0"/>
        <v>0</v>
      </c>
      <c r="S5" s="92">
        <f t="shared" si="0"/>
        <v>0</v>
      </c>
      <c r="T5" s="92">
        <f t="shared" si="0"/>
        <v>0</v>
      </c>
      <c r="U5" s="92">
        <f t="shared" si="0"/>
        <v>0</v>
      </c>
      <c r="V5" s="218">
        <f>SUM(I5:R5)+T5+U5</f>
        <v>0</v>
      </c>
      <c r="AM5" s="87"/>
      <c r="AN5" s="87"/>
      <c r="AO5" s="87"/>
      <c r="AP5" s="87"/>
      <c r="AQ5" s="87"/>
      <c r="AR5" s="87"/>
    </row>
    <row r="6" spans="2:44" x14ac:dyDescent="0.2">
      <c r="B6" s="90" t="s">
        <v>27</v>
      </c>
      <c r="C6" s="90" t="s">
        <v>210</v>
      </c>
      <c r="D6" s="91" t="s">
        <v>28</v>
      </c>
      <c r="E6" s="90" t="s">
        <v>29</v>
      </c>
      <c r="F6" s="90">
        <v>2029</v>
      </c>
      <c r="G6" s="90"/>
      <c r="H6" s="92">
        <v>0</v>
      </c>
      <c r="I6" s="92">
        <f>H6</f>
        <v>0</v>
      </c>
      <c r="J6" s="92">
        <f t="shared" si="0"/>
        <v>0</v>
      </c>
      <c r="K6" s="92">
        <f t="shared" si="0"/>
        <v>0</v>
      </c>
      <c r="L6" s="92">
        <f t="shared" si="0"/>
        <v>0</v>
      </c>
      <c r="M6" s="92">
        <f t="shared" si="0"/>
        <v>0</v>
      </c>
      <c r="N6" s="92">
        <f t="shared" si="0"/>
        <v>0</v>
      </c>
      <c r="O6" s="92">
        <f t="shared" si="0"/>
        <v>0</v>
      </c>
      <c r="P6" s="92">
        <f t="shared" si="0"/>
        <v>0</v>
      </c>
      <c r="Q6" s="92">
        <f t="shared" si="0"/>
        <v>0</v>
      </c>
      <c r="R6" s="92">
        <f t="shared" si="0"/>
        <v>0</v>
      </c>
      <c r="S6" s="92">
        <f t="shared" si="0"/>
        <v>0</v>
      </c>
      <c r="T6" s="92">
        <f t="shared" si="0"/>
        <v>0</v>
      </c>
      <c r="U6" s="92">
        <f t="shared" si="0"/>
        <v>0</v>
      </c>
      <c r="V6" s="218">
        <f t="shared" ref="V6" si="1">SUM(I6:R6)+T6+U6</f>
        <v>0</v>
      </c>
      <c r="AM6" s="87"/>
      <c r="AN6" s="87"/>
      <c r="AO6" s="87"/>
      <c r="AP6" s="87"/>
      <c r="AQ6" s="87"/>
      <c r="AR6" s="87"/>
    </row>
    <row r="7" spans="2:44" x14ac:dyDescent="0.2">
      <c r="B7" s="90" t="s">
        <v>27</v>
      </c>
      <c r="C7" s="90" t="s">
        <v>211</v>
      </c>
      <c r="D7" s="91" t="s">
        <v>28</v>
      </c>
      <c r="E7" s="90" t="s">
        <v>29</v>
      </c>
      <c r="F7" s="90">
        <v>2030</v>
      </c>
      <c r="G7" s="90"/>
      <c r="H7" s="92">
        <v>0</v>
      </c>
      <c r="I7" s="110">
        <f>P49*C$64</f>
        <v>143.90846300418053</v>
      </c>
      <c r="J7" s="110">
        <f t="shared" ref="J7:S10" si="2">Q49*D$64</f>
        <v>198.0729838291517</v>
      </c>
      <c r="K7" s="110">
        <f t="shared" si="2"/>
        <v>214.62840332535444</v>
      </c>
      <c r="L7" s="110">
        <f t="shared" si="2"/>
        <v>96.557142962286761</v>
      </c>
      <c r="M7" s="110">
        <f t="shared" si="2"/>
        <v>193.87914072728759</v>
      </c>
      <c r="N7" s="110">
        <f t="shared" si="2"/>
        <v>19.625938192556255</v>
      </c>
      <c r="O7" s="110">
        <f t="shared" si="2"/>
        <v>16.040377004617071</v>
      </c>
      <c r="P7" s="110">
        <f t="shared" si="2"/>
        <v>27.476313469578759</v>
      </c>
      <c r="Q7" s="110">
        <f t="shared" si="2"/>
        <v>35.326688746601256</v>
      </c>
      <c r="R7" s="110">
        <f t="shared" si="2"/>
        <v>15.700750554045005</v>
      </c>
      <c r="S7" s="110">
        <f t="shared" si="2"/>
        <v>58.270087018356662</v>
      </c>
      <c r="T7" s="92">
        <v>0</v>
      </c>
      <c r="U7" s="92">
        <f t="shared" si="0"/>
        <v>0</v>
      </c>
      <c r="V7" s="218">
        <f>(SUM(I7:R7)+T7+U7)/1000</f>
        <v>0.96121620181565937</v>
      </c>
      <c r="AM7" s="87"/>
      <c r="AN7" s="87"/>
      <c r="AO7" s="87"/>
      <c r="AP7" s="87"/>
      <c r="AQ7" s="87"/>
      <c r="AR7" s="87"/>
    </row>
    <row r="8" spans="2:44" x14ac:dyDescent="0.2">
      <c r="B8" s="90" t="s">
        <v>27</v>
      </c>
      <c r="C8" s="90" t="s">
        <v>212</v>
      </c>
      <c r="D8" s="91" t="s">
        <v>28</v>
      </c>
      <c r="E8" s="90" t="s">
        <v>29</v>
      </c>
      <c r="F8" s="90">
        <v>2030</v>
      </c>
      <c r="G8" s="90"/>
      <c r="H8" s="92">
        <v>0</v>
      </c>
      <c r="I8" s="110">
        <f t="shared" ref="I8:I10" si="3">P50*C$64</f>
        <v>164.77329382835282</v>
      </c>
      <c r="J8" s="110">
        <f t="shared" si="2"/>
        <v>117.17611272075743</v>
      </c>
      <c r="K8" s="110">
        <f t="shared" si="2"/>
        <v>210.8747252579999</v>
      </c>
      <c r="L8" s="110">
        <f t="shared" si="2"/>
        <v>122.97187948289543</v>
      </c>
      <c r="M8" s="110">
        <f t="shared" si="2"/>
        <v>111.91429289794418</v>
      </c>
      <c r="N8" s="110">
        <f t="shared" si="2"/>
        <v>11.328825716058859</v>
      </c>
      <c r="O8" s="110">
        <f t="shared" si="2"/>
        <v>9.4891740793770474</v>
      </c>
      <c r="P8" s="110">
        <f t="shared" si="2"/>
        <v>15.860356002482401</v>
      </c>
      <c r="Q8" s="110">
        <f t="shared" si="2"/>
        <v>20.39188628890594</v>
      </c>
      <c r="R8" s="110">
        <f t="shared" si="2"/>
        <v>9.0630605728470872</v>
      </c>
      <c r="S8" s="110">
        <f t="shared" si="2"/>
        <v>66.718481799089531</v>
      </c>
      <c r="T8" s="92">
        <v>0</v>
      </c>
      <c r="U8" s="92">
        <f t="shared" si="0"/>
        <v>0</v>
      </c>
      <c r="V8" s="218">
        <f t="shared" ref="V8:V26" si="4">(SUM(I8:R8)+T8+U8)/1000</f>
        <v>0.79384360684762112</v>
      </c>
      <c r="AM8" s="87"/>
      <c r="AN8" s="87"/>
      <c r="AO8" s="87"/>
      <c r="AP8" s="87"/>
      <c r="AQ8" s="87"/>
      <c r="AR8" s="87"/>
    </row>
    <row r="9" spans="2:44" x14ac:dyDescent="0.2">
      <c r="B9" s="90" t="s">
        <v>27</v>
      </c>
      <c r="C9" s="90" t="s">
        <v>213</v>
      </c>
      <c r="D9" s="91" t="s">
        <v>28</v>
      </c>
      <c r="E9" s="90" t="s">
        <v>29</v>
      </c>
      <c r="F9" s="90">
        <v>2030</v>
      </c>
      <c r="G9" s="90"/>
      <c r="H9" s="92">
        <v>0</v>
      </c>
      <c r="I9" s="110">
        <f t="shared" si="3"/>
        <v>142.33415796630629</v>
      </c>
      <c r="J9" s="110">
        <f t="shared" si="2"/>
        <v>133.47707035869195</v>
      </c>
      <c r="K9" s="110">
        <f t="shared" si="2"/>
        <v>196.91933086926997</v>
      </c>
      <c r="L9" s="110">
        <f t="shared" si="2"/>
        <v>103.61044525326784</v>
      </c>
      <c r="M9" s="110">
        <f t="shared" si="2"/>
        <v>139.85312403320998</v>
      </c>
      <c r="N9" s="110">
        <f t="shared" si="2"/>
        <v>14.157009145055348</v>
      </c>
      <c r="O9" s="110">
        <f t="shared" si="2"/>
        <v>10.809260751440798</v>
      </c>
      <c r="P9" s="110">
        <f t="shared" si="2"/>
        <v>19.819812803077486</v>
      </c>
      <c r="Q9" s="110">
        <f t="shared" si="2"/>
        <v>25.482616461099621</v>
      </c>
      <c r="R9" s="110">
        <f t="shared" si="2"/>
        <v>11.325607316044277</v>
      </c>
      <c r="S9" s="110">
        <f t="shared" si="2"/>
        <v>57.63263394829152</v>
      </c>
      <c r="T9" s="92">
        <v>0</v>
      </c>
      <c r="U9" s="92">
        <f t="shared" si="0"/>
        <v>0</v>
      </c>
      <c r="V9" s="218">
        <f t="shared" si="4"/>
        <v>0.79778843495746354</v>
      </c>
      <c r="AM9" s="87"/>
      <c r="AN9" s="87"/>
      <c r="AO9" s="87"/>
      <c r="AP9" s="87"/>
      <c r="AQ9" s="87"/>
      <c r="AR9" s="87"/>
    </row>
    <row r="10" spans="2:44" x14ac:dyDescent="0.2">
      <c r="B10" s="90" t="s">
        <v>27</v>
      </c>
      <c r="C10" s="90" t="s">
        <v>214</v>
      </c>
      <c r="D10" s="91" t="s">
        <v>28</v>
      </c>
      <c r="E10" s="90" t="s">
        <v>29</v>
      </c>
      <c r="F10" s="90">
        <v>2030</v>
      </c>
      <c r="G10" s="90"/>
      <c r="H10" s="92">
        <v>0</v>
      </c>
      <c r="I10" s="110">
        <f t="shared" si="3"/>
        <v>120.41265662973181</v>
      </c>
      <c r="J10" s="110">
        <f t="shared" si="2"/>
        <v>122.70240451997034</v>
      </c>
      <c r="K10" s="110">
        <f t="shared" si="2"/>
        <v>187.10135007118518</v>
      </c>
      <c r="L10" s="110">
        <f t="shared" si="2"/>
        <v>81.622437063454768</v>
      </c>
      <c r="M10" s="110">
        <f t="shared" si="2"/>
        <v>125.78201377012978</v>
      </c>
      <c r="N10" s="110">
        <f t="shared" si="2"/>
        <v>12.732623111117308</v>
      </c>
      <c r="O10" s="110">
        <f t="shared" si="2"/>
        <v>9.9367050963952934</v>
      </c>
      <c r="P10" s="110">
        <f t="shared" si="2"/>
        <v>17.82567235556423</v>
      </c>
      <c r="Q10" s="110">
        <f t="shared" si="2"/>
        <v>22.91872160001115</v>
      </c>
      <c r="R10" s="110">
        <f t="shared" si="2"/>
        <v>10.186098488893844</v>
      </c>
      <c r="S10" s="110">
        <f t="shared" si="2"/>
        <v>48.756381893413341</v>
      </c>
      <c r="T10" s="92">
        <v>0</v>
      </c>
      <c r="U10" s="92">
        <f t="shared" si="0"/>
        <v>0</v>
      </c>
      <c r="V10" s="218">
        <f t="shared" si="4"/>
        <v>0.71122068270645378</v>
      </c>
      <c r="AM10" s="87"/>
      <c r="AN10" s="87"/>
      <c r="AO10" s="87"/>
      <c r="AP10" s="87"/>
      <c r="AQ10" s="87"/>
      <c r="AR10" s="87"/>
    </row>
    <row r="11" spans="2:44" x14ac:dyDescent="0.2">
      <c r="B11" s="90" t="s">
        <v>27</v>
      </c>
      <c r="C11" s="90" t="s">
        <v>211</v>
      </c>
      <c r="D11" s="91" t="s">
        <v>28</v>
      </c>
      <c r="E11" s="90" t="s">
        <v>29</v>
      </c>
      <c r="F11" s="90">
        <v>2035</v>
      </c>
      <c r="G11" s="90"/>
      <c r="H11" s="92">
        <v>0</v>
      </c>
      <c r="I11" s="110">
        <f>P49*C$69</f>
        <v>863.45077802508331</v>
      </c>
      <c r="J11" s="110">
        <f t="shared" ref="J11:S14" si="5">Q49*D$69</f>
        <v>1188.4379029749102</v>
      </c>
      <c r="K11" s="110">
        <f t="shared" si="5"/>
        <v>1287.7704199521265</v>
      </c>
      <c r="L11" s="110">
        <f t="shared" si="5"/>
        <v>579.34285777372054</v>
      </c>
      <c r="M11" s="110">
        <f t="shared" si="5"/>
        <v>1163.2748443637256</v>
      </c>
      <c r="N11" s="110">
        <f t="shared" si="5"/>
        <v>117.75562915533753</v>
      </c>
      <c r="O11" s="110">
        <f t="shared" si="5"/>
        <v>96.242262027702438</v>
      </c>
      <c r="P11" s="110">
        <f t="shared" si="5"/>
        <v>164.85788081747256</v>
      </c>
      <c r="Q11" s="110">
        <f t="shared" si="5"/>
        <v>211.96013247960755</v>
      </c>
      <c r="R11" s="110">
        <f t="shared" si="5"/>
        <v>94.204503324270036</v>
      </c>
      <c r="S11" s="110">
        <f t="shared" si="5"/>
        <v>349.62052211013997</v>
      </c>
      <c r="T11" s="92">
        <v>0</v>
      </c>
      <c r="U11" s="92">
        <f t="shared" si="0"/>
        <v>0</v>
      </c>
      <c r="V11" s="218">
        <f t="shared" si="4"/>
        <v>5.7672972108939558</v>
      </c>
      <c r="AM11" s="87"/>
      <c r="AN11" s="87"/>
      <c r="AO11" s="87"/>
      <c r="AP11" s="87"/>
      <c r="AQ11" s="87"/>
      <c r="AR11" s="87"/>
    </row>
    <row r="12" spans="2:44" x14ac:dyDescent="0.2">
      <c r="B12" s="90" t="s">
        <v>27</v>
      </c>
      <c r="C12" s="90" t="s">
        <v>212</v>
      </c>
      <c r="D12" s="91" t="s">
        <v>28</v>
      </c>
      <c r="E12" s="90" t="s">
        <v>29</v>
      </c>
      <c r="F12" s="90">
        <v>2035</v>
      </c>
      <c r="G12" s="90"/>
      <c r="H12" s="92">
        <v>0</v>
      </c>
      <c r="I12" s="110">
        <f t="shared" ref="I12:I14" si="6">P50*C$69</f>
        <v>988.63976297011698</v>
      </c>
      <c r="J12" s="110">
        <f t="shared" si="5"/>
        <v>703.05667632454458</v>
      </c>
      <c r="K12" s="110">
        <f t="shared" si="5"/>
        <v>1265.2483515479994</v>
      </c>
      <c r="L12" s="110">
        <f t="shared" si="5"/>
        <v>737.83127689737262</v>
      </c>
      <c r="M12" s="110">
        <f t="shared" si="5"/>
        <v>671.4857573876651</v>
      </c>
      <c r="N12" s="110">
        <f t="shared" si="5"/>
        <v>67.972954296353151</v>
      </c>
      <c r="O12" s="110">
        <f t="shared" si="5"/>
        <v>56.935044476262284</v>
      </c>
      <c r="P12" s="110">
        <f t="shared" si="5"/>
        <v>95.162136014894415</v>
      </c>
      <c r="Q12" s="110">
        <f t="shared" si="5"/>
        <v>122.35131773343565</v>
      </c>
      <c r="R12" s="110">
        <f t="shared" si="5"/>
        <v>54.378363437082527</v>
      </c>
      <c r="S12" s="110">
        <f t="shared" si="5"/>
        <v>400.31089079453727</v>
      </c>
      <c r="T12" s="92">
        <v>0</v>
      </c>
      <c r="U12" s="92">
        <f t="shared" si="0"/>
        <v>0</v>
      </c>
      <c r="V12" s="218">
        <f t="shared" si="4"/>
        <v>4.7630616410857272</v>
      </c>
      <c r="AM12" s="87"/>
      <c r="AN12" s="87"/>
      <c r="AO12" s="87"/>
      <c r="AP12" s="87"/>
      <c r="AQ12" s="87"/>
      <c r="AR12" s="87"/>
    </row>
    <row r="13" spans="2:44" x14ac:dyDescent="0.2">
      <c r="B13" s="90" t="s">
        <v>27</v>
      </c>
      <c r="C13" s="90" t="s">
        <v>213</v>
      </c>
      <c r="D13" s="91" t="s">
        <v>28</v>
      </c>
      <c r="E13" s="90" t="s">
        <v>29</v>
      </c>
      <c r="F13" s="90">
        <v>2035</v>
      </c>
      <c r="G13" s="90"/>
      <c r="H13" s="92">
        <v>0</v>
      </c>
      <c r="I13" s="110">
        <f t="shared" si="6"/>
        <v>854.00494779783787</v>
      </c>
      <c r="J13" s="110">
        <f t="shared" si="5"/>
        <v>800.86242215215168</v>
      </c>
      <c r="K13" s="110">
        <f t="shared" si="5"/>
        <v>1181.5159852156198</v>
      </c>
      <c r="L13" s="110">
        <f t="shared" si="5"/>
        <v>621.6626715196071</v>
      </c>
      <c r="M13" s="110">
        <f t="shared" si="5"/>
        <v>839.11874419925982</v>
      </c>
      <c r="N13" s="110">
        <f t="shared" si="5"/>
        <v>84.9420548703321</v>
      </c>
      <c r="O13" s="110">
        <f t="shared" si="5"/>
        <v>64.855564508644804</v>
      </c>
      <c r="P13" s="110">
        <f t="shared" si="5"/>
        <v>118.91887681846492</v>
      </c>
      <c r="Q13" s="110">
        <f t="shared" si="5"/>
        <v>152.89569876659772</v>
      </c>
      <c r="R13" s="110">
        <f t="shared" si="5"/>
        <v>67.953643896265675</v>
      </c>
      <c r="S13" s="110">
        <f t="shared" si="5"/>
        <v>345.79580368974911</v>
      </c>
      <c r="T13" s="92">
        <v>0</v>
      </c>
      <c r="U13" s="92">
        <f t="shared" si="0"/>
        <v>0</v>
      </c>
      <c r="V13" s="218">
        <f t="shared" si="4"/>
        <v>4.7867306097447822</v>
      </c>
      <c r="AM13" s="87"/>
      <c r="AN13" s="87"/>
      <c r="AO13" s="87"/>
      <c r="AP13" s="87"/>
      <c r="AQ13" s="87"/>
      <c r="AR13" s="87"/>
    </row>
    <row r="14" spans="2:44" x14ac:dyDescent="0.2">
      <c r="B14" s="90" t="s">
        <v>27</v>
      </c>
      <c r="C14" s="90" t="s">
        <v>214</v>
      </c>
      <c r="D14" s="91" t="s">
        <v>28</v>
      </c>
      <c r="E14" s="90" t="s">
        <v>29</v>
      </c>
      <c r="F14" s="90">
        <v>2035</v>
      </c>
      <c r="G14" s="90"/>
      <c r="H14" s="92">
        <v>0</v>
      </c>
      <c r="I14" s="110">
        <f t="shared" si="6"/>
        <v>722.47593977839085</v>
      </c>
      <c r="J14" s="110">
        <f t="shared" si="5"/>
        <v>736.21442711982206</v>
      </c>
      <c r="K14" s="110">
        <f t="shared" si="5"/>
        <v>1122.6081004271111</v>
      </c>
      <c r="L14" s="110">
        <f t="shared" si="5"/>
        <v>489.73462238072858</v>
      </c>
      <c r="M14" s="110">
        <f t="shared" si="5"/>
        <v>754.69208262077871</v>
      </c>
      <c r="N14" s="110">
        <f t="shared" si="5"/>
        <v>76.395738666703863</v>
      </c>
      <c r="O14" s="110">
        <f t="shared" si="5"/>
        <v>59.620230578371768</v>
      </c>
      <c r="P14" s="110">
        <f t="shared" si="5"/>
        <v>106.95403413338539</v>
      </c>
      <c r="Q14" s="110">
        <f t="shared" si="5"/>
        <v>137.51232960006689</v>
      </c>
      <c r="R14" s="110">
        <f t="shared" si="5"/>
        <v>61.116590933363078</v>
      </c>
      <c r="S14" s="110">
        <f t="shared" si="5"/>
        <v>292.53829136048006</v>
      </c>
      <c r="T14" s="92">
        <v>0</v>
      </c>
      <c r="U14" s="92">
        <f t="shared" si="0"/>
        <v>0</v>
      </c>
      <c r="V14" s="218">
        <f t="shared" si="4"/>
        <v>4.2673240962387222</v>
      </c>
      <c r="AM14" s="87"/>
      <c r="AN14" s="87"/>
      <c r="AO14" s="87"/>
      <c r="AP14" s="87"/>
      <c r="AQ14" s="87"/>
      <c r="AR14" s="87"/>
    </row>
    <row r="15" spans="2:44" x14ac:dyDescent="0.2">
      <c r="B15" s="90" t="s">
        <v>27</v>
      </c>
      <c r="C15" s="90" t="s">
        <v>211</v>
      </c>
      <c r="D15" s="91" t="s">
        <v>28</v>
      </c>
      <c r="E15" s="90" t="s">
        <v>29</v>
      </c>
      <c r="F15" s="90">
        <v>2040</v>
      </c>
      <c r="G15" s="90"/>
      <c r="H15" s="92">
        <v>0</v>
      </c>
      <c r="I15" s="110">
        <f>P49*C$74</f>
        <v>1582.9930930459861</v>
      </c>
      <c r="J15" s="110">
        <f t="shared" ref="J15:S18" si="7">Q49*D$74</f>
        <v>2178.8028221206687</v>
      </c>
      <c r="K15" s="110">
        <f t="shared" si="7"/>
        <v>2360.9124365788985</v>
      </c>
      <c r="L15" s="110">
        <f t="shared" si="7"/>
        <v>1062.1285725851542</v>
      </c>
      <c r="M15" s="110">
        <f t="shared" si="7"/>
        <v>2132.6705480001633</v>
      </c>
      <c r="N15" s="110">
        <f t="shared" si="7"/>
        <v>215.88532011811881</v>
      </c>
      <c r="O15" s="110">
        <f t="shared" si="7"/>
        <v>176.44414705078782</v>
      </c>
      <c r="P15" s="110">
        <f t="shared" si="7"/>
        <v>302.23944816536635</v>
      </c>
      <c r="Q15" s="110">
        <f t="shared" si="7"/>
        <v>388.59357621261387</v>
      </c>
      <c r="R15" s="110">
        <f t="shared" si="7"/>
        <v>172.70825609449508</v>
      </c>
      <c r="S15" s="110">
        <f t="shared" si="7"/>
        <v>640.97095720192328</v>
      </c>
      <c r="T15" s="92">
        <v>0</v>
      </c>
      <c r="U15" s="92">
        <f t="shared" si="0"/>
        <v>0</v>
      </c>
      <c r="V15" s="218">
        <f t="shared" si="4"/>
        <v>10.573378219972252</v>
      </c>
      <c r="AM15" s="87"/>
      <c r="AN15" s="87"/>
      <c r="AO15" s="87"/>
      <c r="AP15" s="87"/>
      <c r="AQ15" s="87"/>
      <c r="AR15" s="87"/>
    </row>
    <row r="16" spans="2:44" x14ac:dyDescent="0.2">
      <c r="B16" s="90" t="s">
        <v>27</v>
      </c>
      <c r="C16" s="90" t="s">
        <v>212</v>
      </c>
      <c r="D16" s="91" t="s">
        <v>28</v>
      </c>
      <c r="E16" s="90" t="s">
        <v>29</v>
      </c>
      <c r="F16" s="90">
        <v>2040</v>
      </c>
      <c r="G16" s="90"/>
      <c r="H16" s="92">
        <v>0</v>
      </c>
      <c r="I16" s="110">
        <f t="shared" ref="I16:I18" si="8">P50*C$74</f>
        <v>1812.5062321118812</v>
      </c>
      <c r="J16" s="110">
        <f t="shared" si="7"/>
        <v>1288.9372399283318</v>
      </c>
      <c r="K16" s="110">
        <f t="shared" si="7"/>
        <v>2319.6219778379982</v>
      </c>
      <c r="L16" s="110">
        <f t="shared" si="7"/>
        <v>1352.6906743118495</v>
      </c>
      <c r="M16" s="110">
        <f t="shared" si="7"/>
        <v>1231.0572218773859</v>
      </c>
      <c r="N16" s="110">
        <f t="shared" si="7"/>
        <v>124.61708287664744</v>
      </c>
      <c r="O16" s="110">
        <f t="shared" si="7"/>
        <v>104.38091487314753</v>
      </c>
      <c r="P16" s="110">
        <f t="shared" si="7"/>
        <v>174.46391602730642</v>
      </c>
      <c r="Q16" s="110">
        <f t="shared" si="7"/>
        <v>224.31074917796536</v>
      </c>
      <c r="R16" s="110">
        <f t="shared" si="7"/>
        <v>99.693666301317975</v>
      </c>
      <c r="S16" s="110">
        <f t="shared" si="7"/>
        <v>733.903299789985</v>
      </c>
      <c r="T16" s="92">
        <v>0</v>
      </c>
      <c r="U16" s="92">
        <f t="shared" si="0"/>
        <v>0</v>
      </c>
      <c r="V16" s="218">
        <f t="shared" si="4"/>
        <v>8.7322796753238325</v>
      </c>
      <c r="AM16" s="87"/>
      <c r="AN16" s="87"/>
      <c r="AO16" s="87"/>
      <c r="AP16" s="87"/>
      <c r="AQ16" s="87"/>
      <c r="AR16" s="87"/>
    </row>
    <row r="17" spans="2:44" x14ac:dyDescent="0.2">
      <c r="B17" s="90" t="s">
        <v>27</v>
      </c>
      <c r="C17" s="90" t="s">
        <v>213</v>
      </c>
      <c r="D17" s="91" t="s">
        <v>28</v>
      </c>
      <c r="E17" s="90" t="s">
        <v>29</v>
      </c>
      <c r="F17" s="90">
        <v>2040</v>
      </c>
      <c r="G17" s="90"/>
      <c r="H17" s="92">
        <v>0</v>
      </c>
      <c r="I17" s="110">
        <f t="shared" si="8"/>
        <v>1565.6757376293695</v>
      </c>
      <c r="J17" s="110">
        <f t="shared" si="7"/>
        <v>1468.2477739456115</v>
      </c>
      <c r="K17" s="110">
        <f t="shared" si="7"/>
        <v>2166.1126395619694</v>
      </c>
      <c r="L17" s="110">
        <f t="shared" si="7"/>
        <v>1139.7148977859461</v>
      </c>
      <c r="M17" s="110">
        <f t="shared" si="7"/>
        <v>1538.3843643653097</v>
      </c>
      <c r="N17" s="110">
        <f t="shared" si="7"/>
        <v>155.72710059560885</v>
      </c>
      <c r="O17" s="110">
        <f t="shared" si="7"/>
        <v>118.9018682658488</v>
      </c>
      <c r="P17" s="110">
        <f t="shared" si="7"/>
        <v>218.01794083385238</v>
      </c>
      <c r="Q17" s="110">
        <f t="shared" si="7"/>
        <v>280.30878107209583</v>
      </c>
      <c r="R17" s="110">
        <f t="shared" si="7"/>
        <v>124.58168047648707</v>
      </c>
      <c r="S17" s="110">
        <f t="shared" si="7"/>
        <v>633.95897343120669</v>
      </c>
      <c r="T17" s="92">
        <v>0</v>
      </c>
      <c r="U17" s="92">
        <f t="shared" si="0"/>
        <v>0</v>
      </c>
      <c r="V17" s="218">
        <f t="shared" si="4"/>
        <v>8.7756727845320981</v>
      </c>
      <c r="AM17" s="87"/>
      <c r="AN17" s="87"/>
      <c r="AO17" s="87"/>
      <c r="AP17" s="87"/>
      <c r="AQ17" s="87"/>
      <c r="AR17" s="87"/>
    </row>
    <row r="18" spans="2:44" x14ac:dyDescent="0.2">
      <c r="B18" s="90" t="s">
        <v>27</v>
      </c>
      <c r="C18" s="90" t="s">
        <v>214</v>
      </c>
      <c r="D18" s="91" t="s">
        <v>28</v>
      </c>
      <c r="E18" s="90" t="s">
        <v>29</v>
      </c>
      <c r="F18" s="90">
        <v>2040</v>
      </c>
      <c r="G18" s="90"/>
      <c r="H18" s="92">
        <v>0</v>
      </c>
      <c r="I18" s="110">
        <f t="shared" si="8"/>
        <v>1324.5392229270499</v>
      </c>
      <c r="J18" s="110">
        <f t="shared" si="7"/>
        <v>1349.7264497196738</v>
      </c>
      <c r="K18" s="110">
        <f t="shared" si="7"/>
        <v>2058.1148507830367</v>
      </c>
      <c r="L18" s="110">
        <f t="shared" si="7"/>
        <v>897.84680769800218</v>
      </c>
      <c r="M18" s="110">
        <f t="shared" si="7"/>
        <v>1383.6021514714278</v>
      </c>
      <c r="N18" s="110">
        <f t="shared" si="7"/>
        <v>140.05885422229039</v>
      </c>
      <c r="O18" s="110">
        <f t="shared" si="7"/>
        <v>109.30375606034825</v>
      </c>
      <c r="P18" s="110">
        <f t="shared" si="7"/>
        <v>196.08239591120656</v>
      </c>
      <c r="Q18" s="110">
        <f t="shared" si="7"/>
        <v>252.10593760012267</v>
      </c>
      <c r="R18" s="110">
        <f t="shared" si="7"/>
        <v>112.04708337783231</v>
      </c>
      <c r="S18" s="110">
        <f t="shared" si="7"/>
        <v>536.32020082754673</v>
      </c>
      <c r="T18" s="92">
        <v>0</v>
      </c>
      <c r="U18" s="92">
        <f t="shared" si="0"/>
        <v>0</v>
      </c>
      <c r="V18" s="218">
        <f t="shared" si="4"/>
        <v>7.8234275097709913</v>
      </c>
      <c r="AM18" s="87"/>
      <c r="AN18" s="87"/>
      <c r="AO18" s="87"/>
      <c r="AP18" s="87"/>
      <c r="AQ18" s="87"/>
      <c r="AR18" s="87"/>
    </row>
    <row r="19" spans="2:44" x14ac:dyDescent="0.2">
      <c r="B19" s="90" t="s">
        <v>27</v>
      </c>
      <c r="C19" s="90" t="s">
        <v>211</v>
      </c>
      <c r="D19" s="91" t="s">
        <v>28</v>
      </c>
      <c r="E19" s="90" t="s">
        <v>29</v>
      </c>
      <c r="F19" s="90">
        <v>2045</v>
      </c>
      <c r="G19" s="90"/>
      <c r="H19" s="92">
        <v>0</v>
      </c>
      <c r="I19" s="110">
        <f>P49*C$79</f>
        <v>2302.5354080668885</v>
      </c>
      <c r="J19" s="110">
        <f t="shared" ref="J19:S22" si="9">Q49*D$79</f>
        <v>3169.1677412664271</v>
      </c>
      <c r="K19" s="110">
        <f t="shared" si="9"/>
        <v>3434.0544532056701</v>
      </c>
      <c r="L19" s="110">
        <f t="shared" si="9"/>
        <v>1544.9142873965877</v>
      </c>
      <c r="M19" s="110">
        <f t="shared" si="9"/>
        <v>3102.0662516366015</v>
      </c>
      <c r="N19" s="110">
        <f t="shared" si="9"/>
        <v>314.01501108090008</v>
      </c>
      <c r="O19" s="110">
        <f t="shared" si="9"/>
        <v>256.64603207387319</v>
      </c>
      <c r="P19" s="110">
        <f t="shared" si="9"/>
        <v>439.62101551326003</v>
      </c>
      <c r="Q19" s="110">
        <f t="shared" si="9"/>
        <v>565.22701994561999</v>
      </c>
      <c r="R19" s="110">
        <f t="shared" si="9"/>
        <v>251.2120088647201</v>
      </c>
      <c r="S19" s="110">
        <f t="shared" si="9"/>
        <v>932.32139229370671</v>
      </c>
      <c r="T19" s="92">
        <v>0</v>
      </c>
      <c r="U19" s="92">
        <f t="shared" si="0"/>
        <v>0</v>
      </c>
      <c r="V19" s="218">
        <f t="shared" si="4"/>
        <v>15.37945922905055</v>
      </c>
      <c r="AM19" s="87"/>
      <c r="AN19" s="87"/>
      <c r="AO19" s="87"/>
      <c r="AP19" s="87"/>
      <c r="AQ19" s="87"/>
      <c r="AR19" s="87"/>
    </row>
    <row r="20" spans="2:44" x14ac:dyDescent="0.2">
      <c r="B20" s="90" t="s">
        <v>27</v>
      </c>
      <c r="C20" s="90" t="s">
        <v>212</v>
      </c>
      <c r="D20" s="91" t="s">
        <v>28</v>
      </c>
      <c r="E20" s="90" t="s">
        <v>29</v>
      </c>
      <c r="F20" s="90">
        <v>2045</v>
      </c>
      <c r="G20" s="90"/>
      <c r="H20" s="92">
        <v>0</v>
      </c>
      <c r="I20" s="110">
        <f t="shared" ref="I20:I22" si="10">P50*C$79</f>
        <v>2636.3727012536451</v>
      </c>
      <c r="J20" s="110">
        <f t="shared" si="9"/>
        <v>1874.8178035321189</v>
      </c>
      <c r="K20" s="110">
        <f t="shared" si="9"/>
        <v>3373.9956041279975</v>
      </c>
      <c r="L20" s="110">
        <f t="shared" si="9"/>
        <v>1967.5500717263265</v>
      </c>
      <c r="M20" s="110">
        <f t="shared" si="9"/>
        <v>1790.6286863671069</v>
      </c>
      <c r="N20" s="110">
        <f t="shared" si="9"/>
        <v>181.26121145694174</v>
      </c>
      <c r="O20" s="110">
        <f t="shared" si="9"/>
        <v>151.82678527003279</v>
      </c>
      <c r="P20" s="110">
        <f t="shared" si="9"/>
        <v>253.76569603971839</v>
      </c>
      <c r="Q20" s="110">
        <f t="shared" si="9"/>
        <v>326.27018062249499</v>
      </c>
      <c r="R20" s="110">
        <f t="shared" si="9"/>
        <v>145.00896916555342</v>
      </c>
      <c r="S20" s="110">
        <f t="shared" si="9"/>
        <v>1067.4957087854327</v>
      </c>
      <c r="T20" s="92">
        <v>0</v>
      </c>
      <c r="U20" s="92">
        <f t="shared" si="0"/>
        <v>0</v>
      </c>
      <c r="V20" s="218">
        <f t="shared" si="4"/>
        <v>12.701497709561934</v>
      </c>
      <c r="AM20" s="87"/>
      <c r="AN20" s="87"/>
      <c r="AO20" s="87"/>
      <c r="AP20" s="87"/>
      <c r="AQ20" s="87"/>
      <c r="AR20" s="87"/>
    </row>
    <row r="21" spans="2:44" x14ac:dyDescent="0.2">
      <c r="B21" s="90" t="s">
        <v>27</v>
      </c>
      <c r="C21" s="90" t="s">
        <v>213</v>
      </c>
      <c r="D21" s="91" t="s">
        <v>28</v>
      </c>
      <c r="E21" s="90" t="s">
        <v>29</v>
      </c>
      <c r="F21" s="90">
        <v>2045</v>
      </c>
      <c r="G21" s="90"/>
      <c r="H21" s="92">
        <v>0</v>
      </c>
      <c r="I21" s="110">
        <f t="shared" si="10"/>
        <v>2277.3465274609007</v>
      </c>
      <c r="J21" s="110">
        <f t="shared" si="9"/>
        <v>2135.6331257390711</v>
      </c>
      <c r="K21" s="110">
        <f t="shared" si="9"/>
        <v>3150.7092939083186</v>
      </c>
      <c r="L21" s="110">
        <f t="shared" si="9"/>
        <v>1657.767124052285</v>
      </c>
      <c r="M21" s="110">
        <f t="shared" si="9"/>
        <v>2237.6499845313597</v>
      </c>
      <c r="N21" s="110">
        <f t="shared" si="9"/>
        <v>226.51214632088559</v>
      </c>
      <c r="O21" s="110">
        <f t="shared" si="9"/>
        <v>172.94817202305279</v>
      </c>
      <c r="P21" s="110">
        <f t="shared" si="9"/>
        <v>317.11700484923972</v>
      </c>
      <c r="Q21" s="110">
        <f t="shared" si="9"/>
        <v>407.72186337759388</v>
      </c>
      <c r="R21" s="110">
        <f t="shared" si="9"/>
        <v>181.20971705670846</v>
      </c>
      <c r="S21" s="110">
        <f t="shared" si="9"/>
        <v>922.12214317266444</v>
      </c>
      <c r="T21" s="92">
        <v>0</v>
      </c>
      <c r="U21" s="92">
        <f t="shared" ref="U21:U22" si="11">T21</f>
        <v>0</v>
      </c>
      <c r="V21" s="218">
        <f t="shared" si="4"/>
        <v>12.764614959319415</v>
      </c>
      <c r="AM21" s="87"/>
      <c r="AN21" s="87"/>
      <c r="AO21" s="87"/>
      <c r="AP21" s="87"/>
      <c r="AQ21" s="87"/>
      <c r="AR21" s="87"/>
    </row>
    <row r="22" spans="2:44" x14ac:dyDescent="0.2">
      <c r="B22" s="90" t="s">
        <v>27</v>
      </c>
      <c r="C22" s="90" t="s">
        <v>214</v>
      </c>
      <c r="D22" s="91" t="s">
        <v>28</v>
      </c>
      <c r="E22" s="90" t="s">
        <v>29</v>
      </c>
      <c r="F22" s="90">
        <v>2045</v>
      </c>
      <c r="G22" s="90"/>
      <c r="H22" s="92">
        <v>0</v>
      </c>
      <c r="I22" s="110">
        <f t="shared" si="10"/>
        <v>1926.602506075709</v>
      </c>
      <c r="J22" s="110">
        <f t="shared" si="9"/>
        <v>1963.2384723195255</v>
      </c>
      <c r="K22" s="110">
        <f t="shared" si="9"/>
        <v>2993.621601138962</v>
      </c>
      <c r="L22" s="110">
        <f t="shared" si="9"/>
        <v>1305.9589930152758</v>
      </c>
      <c r="M22" s="110">
        <f t="shared" si="9"/>
        <v>2012.5122203220765</v>
      </c>
      <c r="N22" s="110">
        <f t="shared" si="9"/>
        <v>203.72196977787695</v>
      </c>
      <c r="O22" s="110">
        <f t="shared" si="9"/>
        <v>158.98728154232472</v>
      </c>
      <c r="P22" s="110">
        <f t="shared" si="9"/>
        <v>285.21075768902762</v>
      </c>
      <c r="Q22" s="110">
        <f t="shared" si="9"/>
        <v>366.69954560017834</v>
      </c>
      <c r="R22" s="110">
        <f t="shared" si="9"/>
        <v>162.97757582230153</v>
      </c>
      <c r="S22" s="110">
        <f t="shared" si="9"/>
        <v>780.10211029461357</v>
      </c>
      <c r="T22" s="92">
        <v>0</v>
      </c>
      <c r="U22" s="92">
        <f t="shared" si="11"/>
        <v>0</v>
      </c>
      <c r="V22" s="218">
        <f t="shared" si="4"/>
        <v>11.379530923303259</v>
      </c>
      <c r="AM22" s="87"/>
      <c r="AN22" s="87"/>
      <c r="AO22" s="87"/>
      <c r="AP22" s="87"/>
      <c r="AQ22" s="87"/>
      <c r="AR22" s="87"/>
    </row>
    <row r="23" spans="2:44" x14ac:dyDescent="0.2">
      <c r="B23" s="90" t="s">
        <v>27</v>
      </c>
      <c r="C23" s="90" t="s">
        <v>211</v>
      </c>
      <c r="D23" s="91" t="s">
        <v>28</v>
      </c>
      <c r="E23" s="90" t="s">
        <v>29</v>
      </c>
      <c r="F23" s="90">
        <v>2050</v>
      </c>
      <c r="G23" s="90"/>
      <c r="H23" s="92">
        <v>0</v>
      </c>
      <c r="I23" s="110">
        <f>P49*C$84</f>
        <v>3022.0777230877911</v>
      </c>
      <c r="J23" s="110">
        <f t="shared" ref="J23:S26" si="12">Q49*D$84</f>
        <v>4159.5326604121856</v>
      </c>
      <c r="K23" s="110">
        <f t="shared" si="12"/>
        <v>4507.1964698324437</v>
      </c>
      <c r="L23" s="110">
        <f t="shared" si="12"/>
        <v>2027.7000022080219</v>
      </c>
      <c r="M23" s="110">
        <f t="shared" si="12"/>
        <v>4071.4619552730392</v>
      </c>
      <c r="N23" s="110">
        <f t="shared" si="12"/>
        <v>412.14470204368132</v>
      </c>
      <c r="O23" s="110">
        <f t="shared" si="12"/>
        <v>336.8479170969585</v>
      </c>
      <c r="P23" s="110">
        <f t="shared" si="12"/>
        <v>577.00258286115388</v>
      </c>
      <c r="Q23" s="110">
        <f t="shared" si="12"/>
        <v>741.86046367862639</v>
      </c>
      <c r="R23" s="110">
        <f t="shared" si="12"/>
        <v>329.71576163494507</v>
      </c>
      <c r="S23" s="110">
        <f t="shared" si="12"/>
        <v>1223.6718273854899</v>
      </c>
      <c r="T23" s="92">
        <v>0</v>
      </c>
      <c r="U23" s="92">
        <f ca="1">SUMIF($B$38:$B$49,U$4,OFFSET($C$38:$C$49,0,RIGHT($C23,1)*1))*1000*$X23</f>
        <v>0</v>
      </c>
      <c r="V23" s="218">
        <f t="shared" ca="1" si="4"/>
        <v>20.185540238128851</v>
      </c>
      <c r="X23" s="76">
        <v>1</v>
      </c>
      <c r="AM23" s="87"/>
      <c r="AN23" s="87"/>
      <c r="AO23" s="87"/>
      <c r="AP23" s="87"/>
      <c r="AQ23" s="87"/>
      <c r="AR23" s="87"/>
    </row>
    <row r="24" spans="2:44" x14ac:dyDescent="0.2">
      <c r="B24" s="90" t="s">
        <v>27</v>
      </c>
      <c r="C24" s="90" t="s">
        <v>212</v>
      </c>
      <c r="D24" s="91" t="s">
        <v>28</v>
      </c>
      <c r="E24" s="90" t="s">
        <v>29</v>
      </c>
      <c r="F24" s="90">
        <v>2050</v>
      </c>
      <c r="G24" s="90"/>
      <c r="H24" s="92">
        <v>0</v>
      </c>
      <c r="I24" s="110">
        <f t="shared" ref="I24:I26" si="13">P50*C$84</f>
        <v>3460.239170395409</v>
      </c>
      <c r="J24" s="110">
        <f t="shared" si="12"/>
        <v>2460.6983671359058</v>
      </c>
      <c r="K24" s="110">
        <f t="shared" si="12"/>
        <v>4428.3692304179976</v>
      </c>
      <c r="L24" s="110">
        <f t="shared" si="12"/>
        <v>2582.409469140804</v>
      </c>
      <c r="M24" s="110">
        <f t="shared" si="12"/>
        <v>2350.2001508568278</v>
      </c>
      <c r="N24" s="110">
        <f t="shared" si="12"/>
        <v>237.90534003723602</v>
      </c>
      <c r="O24" s="110">
        <f t="shared" si="12"/>
        <v>199.27265566691798</v>
      </c>
      <c r="P24" s="110">
        <f t="shared" si="12"/>
        <v>333.06747605213042</v>
      </c>
      <c r="Q24" s="110">
        <f t="shared" si="12"/>
        <v>428.22961206702473</v>
      </c>
      <c r="R24" s="110">
        <f t="shared" si="12"/>
        <v>190.32427202978883</v>
      </c>
      <c r="S24" s="110">
        <f t="shared" si="12"/>
        <v>1401.0881177808803</v>
      </c>
      <c r="T24" s="92">
        <v>0</v>
      </c>
      <c r="U24" s="92">
        <f ca="1">SUMIF($B$38:$B$49,U$4,OFFSET($C$38:$C$49,0,RIGHT($C24,1)*1))*1000*$X24</f>
        <v>0</v>
      </c>
      <c r="V24" s="218">
        <f t="shared" ca="1" si="4"/>
        <v>16.670715743800042</v>
      </c>
      <c r="X24" s="76">
        <v>1</v>
      </c>
      <c r="AM24" s="87"/>
      <c r="AN24" s="87"/>
      <c r="AO24" s="87"/>
      <c r="AP24" s="87"/>
      <c r="AQ24" s="87"/>
      <c r="AR24" s="87"/>
    </row>
    <row r="25" spans="2:44" x14ac:dyDescent="0.2">
      <c r="B25" s="90" t="s">
        <v>27</v>
      </c>
      <c r="C25" s="90" t="s">
        <v>213</v>
      </c>
      <c r="D25" s="91" t="s">
        <v>28</v>
      </c>
      <c r="E25" s="90" t="s">
        <v>29</v>
      </c>
      <c r="F25" s="90">
        <v>2050</v>
      </c>
      <c r="G25" s="90"/>
      <c r="H25" s="92">
        <v>0</v>
      </c>
      <c r="I25" s="110">
        <f t="shared" si="13"/>
        <v>2989.0173172924324</v>
      </c>
      <c r="J25" s="110">
        <f t="shared" si="12"/>
        <v>2803.0184775325306</v>
      </c>
      <c r="K25" s="110">
        <f t="shared" si="12"/>
        <v>4135.3059482546696</v>
      </c>
      <c r="L25" s="110">
        <f t="shared" si="12"/>
        <v>2175.8193503186249</v>
      </c>
      <c r="M25" s="110">
        <f t="shared" si="12"/>
        <v>2936.915604697409</v>
      </c>
      <c r="N25" s="110">
        <f t="shared" si="12"/>
        <v>297.29719204616231</v>
      </c>
      <c r="O25" s="110">
        <f t="shared" si="12"/>
        <v>226.99447578025675</v>
      </c>
      <c r="P25" s="110">
        <f t="shared" si="12"/>
        <v>416.21606886462723</v>
      </c>
      <c r="Q25" s="110">
        <f t="shared" si="12"/>
        <v>535.13494568309204</v>
      </c>
      <c r="R25" s="110">
        <f t="shared" si="12"/>
        <v>237.83775363692979</v>
      </c>
      <c r="S25" s="110">
        <f t="shared" si="12"/>
        <v>1210.2853129141217</v>
      </c>
      <c r="T25" s="92">
        <v>0</v>
      </c>
      <c r="U25" s="92">
        <f ca="1">SUMIF($B$38:$B$49,U$4,OFFSET($C$38:$C$49,0,RIGHT($C25,1)*1))*1000*$X25</f>
        <v>0</v>
      </c>
      <c r="V25" s="218">
        <f t="shared" ca="1" si="4"/>
        <v>16.753557134106732</v>
      </c>
      <c r="X25" s="76">
        <v>1</v>
      </c>
      <c r="AM25" s="87"/>
      <c r="AN25" s="87"/>
      <c r="AO25" s="87"/>
      <c r="AP25" s="87"/>
      <c r="AQ25" s="87"/>
      <c r="AR25" s="87"/>
    </row>
    <row r="26" spans="2:44" x14ac:dyDescent="0.2">
      <c r="B26" s="90" t="s">
        <v>27</v>
      </c>
      <c r="C26" s="90" t="s">
        <v>214</v>
      </c>
      <c r="D26" s="91" t="s">
        <v>28</v>
      </c>
      <c r="E26" s="90" t="s">
        <v>29</v>
      </c>
      <c r="F26" s="90">
        <v>2050</v>
      </c>
      <c r="G26" s="90"/>
      <c r="H26" s="92">
        <v>0</v>
      </c>
      <c r="I26" s="110">
        <f t="shared" si="13"/>
        <v>2528.6657892243679</v>
      </c>
      <c r="J26" s="110">
        <f t="shared" si="12"/>
        <v>2576.7504949193772</v>
      </c>
      <c r="K26" s="110">
        <f t="shared" si="12"/>
        <v>3929.1283514948886</v>
      </c>
      <c r="L26" s="110">
        <f t="shared" si="12"/>
        <v>1714.0711783325501</v>
      </c>
      <c r="M26" s="110">
        <f t="shared" si="12"/>
        <v>2641.4222891727254</v>
      </c>
      <c r="N26" s="110">
        <f t="shared" si="12"/>
        <v>267.38508533346345</v>
      </c>
      <c r="O26" s="110">
        <f t="shared" si="12"/>
        <v>208.67080702430115</v>
      </c>
      <c r="P26" s="110">
        <f t="shared" si="12"/>
        <v>374.33911946684884</v>
      </c>
      <c r="Q26" s="110">
        <f t="shared" si="12"/>
        <v>481.29315360023406</v>
      </c>
      <c r="R26" s="110">
        <f t="shared" si="12"/>
        <v>213.90806826677073</v>
      </c>
      <c r="S26" s="110">
        <f t="shared" si="12"/>
        <v>1023.8840197616801</v>
      </c>
      <c r="T26" s="92">
        <v>0</v>
      </c>
      <c r="U26" s="92">
        <f ca="1">SUMIF($B$38:$B$49,U$4,OFFSET($C$38:$C$49,0,RIGHT($C26,1)*1))*1000*$X26</f>
        <v>0</v>
      </c>
      <c r="V26" s="218">
        <f t="shared" ca="1" si="4"/>
        <v>14.935634336835527</v>
      </c>
      <c r="X26" s="76">
        <v>1</v>
      </c>
      <c r="Y26" s="75"/>
      <c r="AM26" s="87"/>
      <c r="AN26" s="87"/>
      <c r="AO26" s="87"/>
      <c r="AP26" s="87"/>
      <c r="AQ26" s="87"/>
      <c r="AR26" s="87"/>
    </row>
    <row r="27" spans="2:44" x14ac:dyDescent="0.2">
      <c r="B27" s="90" t="str">
        <f>B26</f>
        <v>ANNUAL</v>
      </c>
      <c r="C27" s="90" t="s">
        <v>210</v>
      </c>
      <c r="D27" s="90" t="str">
        <f t="shared" ref="D27:E27" si="14">D26</f>
        <v>UP</v>
      </c>
      <c r="E27" s="90" t="str">
        <f t="shared" si="14"/>
        <v>ACT_BND</v>
      </c>
      <c r="F27" s="90">
        <v>0</v>
      </c>
      <c r="G27" s="90"/>
      <c r="H27" s="92">
        <v>5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3"/>
      <c r="Y27" s="75"/>
      <c r="AM27" s="87"/>
      <c r="AN27" s="87"/>
      <c r="AO27" s="87"/>
      <c r="AP27" s="87"/>
      <c r="AQ27" s="87"/>
      <c r="AR27" s="87"/>
    </row>
    <row r="28" spans="2:44" x14ac:dyDescent="0.2">
      <c r="B28" s="90"/>
      <c r="C28" s="90" t="s">
        <v>211</v>
      </c>
      <c r="D28" s="90"/>
      <c r="E28" s="90" t="s">
        <v>60</v>
      </c>
      <c r="F28" s="90">
        <v>2020</v>
      </c>
      <c r="G28" s="91" t="s">
        <v>106</v>
      </c>
      <c r="H28" s="94">
        <f ca="1">AVERAGE(I28:S28)</f>
        <v>0.15964615443501898</v>
      </c>
      <c r="I28" s="94">
        <f t="shared" ref="I28:M31" ca="1" si="15">SUMIF($B$38:$B$44,I$4,OFFSET($H$38:$H$44,0,RIGHT($C28,1)*1))/1000</f>
        <v>0.15048148188209318</v>
      </c>
      <c r="J28" s="94">
        <f t="shared" ca="1" si="15"/>
        <v>0.17214036616405406</v>
      </c>
      <c r="K28" s="94">
        <f t="shared" ca="1" si="15"/>
        <v>0.14326559553483043</v>
      </c>
      <c r="L28" s="94">
        <f t="shared" ca="1" si="15"/>
        <v>0.1663638155159147</v>
      </c>
      <c r="M28" s="94">
        <f t="shared" ca="1" si="15"/>
        <v>0.1602469183284338</v>
      </c>
      <c r="N28" s="94">
        <f t="shared" ref="N28:U31" ca="1" si="16">SUMIF($B$38:$B$49,N$4,OFFSET($H$38:$H$49,0,RIGHT($C28,1)*1))/1000</f>
        <v>0.1602469183284338</v>
      </c>
      <c r="O28" s="94">
        <f t="shared" ca="1" si="16"/>
        <v>0.17214036616405406</v>
      </c>
      <c r="P28" s="94">
        <f t="shared" ca="1" si="16"/>
        <v>0.1602469183284338</v>
      </c>
      <c r="Q28" s="94">
        <f t="shared" ca="1" si="16"/>
        <v>0.1602469183284338</v>
      </c>
      <c r="R28" s="94">
        <f t="shared" ca="1" si="16"/>
        <v>0.1602469183284338</v>
      </c>
      <c r="S28" s="94">
        <f t="shared" ca="1" si="16"/>
        <v>0.15048148188209318</v>
      </c>
      <c r="T28" s="94">
        <f t="shared" ca="1" si="16"/>
        <v>0.1602469183284338</v>
      </c>
      <c r="U28" s="94">
        <f t="shared" ca="1" si="16"/>
        <v>0</v>
      </c>
      <c r="V28" s="95"/>
    </row>
    <row r="29" spans="2:44" x14ac:dyDescent="0.2">
      <c r="B29" s="90"/>
      <c r="C29" s="90" t="s">
        <v>212</v>
      </c>
      <c r="D29" s="90"/>
      <c r="E29" s="90" t="s">
        <v>60</v>
      </c>
      <c r="F29" s="90">
        <v>2020</v>
      </c>
      <c r="G29" s="91" t="s">
        <v>106</v>
      </c>
      <c r="H29" s="94">
        <f t="shared" ref="H29:H31" ca="1" si="17">AVERAGE(I29:S29)</f>
        <v>0.17056498891006827</v>
      </c>
      <c r="I29" s="94">
        <f t="shared" ca="1" si="15"/>
        <v>0.16671484338142942</v>
      </c>
      <c r="J29" s="94">
        <f t="shared" ca="1" si="15"/>
        <v>0.18133090167078275</v>
      </c>
      <c r="K29" s="94">
        <f t="shared" ca="1" si="15"/>
        <v>0.1555396391175542</v>
      </c>
      <c r="L29" s="94">
        <f t="shared" ca="1" si="15"/>
        <v>0.18122705304676912</v>
      </c>
      <c r="M29" s="94">
        <f t="shared" ca="1" si="15"/>
        <v>0.16867133914840063</v>
      </c>
      <c r="N29" s="94">
        <f t="shared" ca="1" si="16"/>
        <v>0.16867133914840063</v>
      </c>
      <c r="O29" s="94">
        <f t="shared" ca="1" si="16"/>
        <v>0.18133090167078275</v>
      </c>
      <c r="P29" s="94">
        <f t="shared" ca="1" si="16"/>
        <v>0.16867133914840063</v>
      </c>
      <c r="Q29" s="94">
        <f t="shared" ca="1" si="16"/>
        <v>0.16867133914840063</v>
      </c>
      <c r="R29" s="94">
        <f t="shared" ca="1" si="16"/>
        <v>0.16867133914840063</v>
      </c>
      <c r="S29" s="94">
        <f t="shared" ca="1" si="16"/>
        <v>0.16671484338142942</v>
      </c>
      <c r="T29" s="94">
        <f t="shared" ca="1" si="16"/>
        <v>0.16867133914840063</v>
      </c>
      <c r="U29" s="94">
        <f t="shared" ca="1" si="16"/>
        <v>0</v>
      </c>
      <c r="V29" s="95"/>
    </row>
    <row r="30" spans="2:44" x14ac:dyDescent="0.2">
      <c r="B30" s="90"/>
      <c r="C30" s="90" t="s">
        <v>213</v>
      </c>
      <c r="D30" s="90"/>
      <c r="E30" s="90" t="s">
        <v>60</v>
      </c>
      <c r="F30" s="90">
        <v>2020</v>
      </c>
      <c r="G30" s="91" t="s">
        <v>106</v>
      </c>
      <c r="H30" s="94">
        <f t="shared" ca="1" si="17"/>
        <v>0.17921800478511488</v>
      </c>
      <c r="I30" s="94">
        <f t="shared" ca="1" si="15"/>
        <v>0.17651076051390902</v>
      </c>
      <c r="J30" s="94">
        <f t="shared" ca="1" si="15"/>
        <v>0.18941687156594786</v>
      </c>
      <c r="K30" s="94">
        <f t="shared" ca="1" si="15"/>
        <v>0.1610088671433515</v>
      </c>
      <c r="L30" s="94">
        <f t="shared" ca="1" si="15"/>
        <v>0.19021181908008436</v>
      </c>
      <c r="M30" s="94">
        <f t="shared" ca="1" si="15"/>
        <v>0.17766442045062278</v>
      </c>
      <c r="N30" s="94">
        <f t="shared" ca="1" si="16"/>
        <v>0.17766442045062278</v>
      </c>
      <c r="O30" s="94">
        <f t="shared" ca="1" si="16"/>
        <v>0.18941687156594786</v>
      </c>
      <c r="P30" s="94">
        <f t="shared" ca="1" si="16"/>
        <v>0.17766442045062278</v>
      </c>
      <c r="Q30" s="94">
        <f t="shared" ca="1" si="16"/>
        <v>0.17766442045062278</v>
      </c>
      <c r="R30" s="94">
        <f t="shared" ca="1" si="16"/>
        <v>0.17766442045062278</v>
      </c>
      <c r="S30" s="94">
        <f t="shared" ca="1" si="16"/>
        <v>0.17651076051390902</v>
      </c>
      <c r="T30" s="94">
        <f t="shared" ca="1" si="16"/>
        <v>0.17766442045062278</v>
      </c>
      <c r="U30" s="94">
        <f t="shared" ca="1" si="16"/>
        <v>0</v>
      </c>
      <c r="V30" s="95"/>
    </row>
    <row r="31" spans="2:44" x14ac:dyDescent="0.2">
      <c r="B31" s="90"/>
      <c r="C31" s="90" t="s">
        <v>214</v>
      </c>
      <c r="D31" s="90"/>
      <c r="E31" s="90" t="s">
        <v>60</v>
      </c>
      <c r="F31" s="90">
        <v>2020</v>
      </c>
      <c r="G31" s="91" t="s">
        <v>106</v>
      </c>
      <c r="H31" s="94">
        <f t="shared" ca="1" si="17"/>
        <v>0.18785697786963818</v>
      </c>
      <c r="I31" s="94">
        <f t="shared" ca="1" si="15"/>
        <v>0.18396003145372541</v>
      </c>
      <c r="J31" s="94">
        <f t="shared" ca="1" si="15"/>
        <v>0.19719336795096798</v>
      </c>
      <c r="K31" s="94">
        <f t="shared" ca="1" si="15"/>
        <v>0.16369830234218549</v>
      </c>
      <c r="L31" s="94">
        <f t="shared" ca="1" si="15"/>
        <v>0.19638559793718977</v>
      </c>
      <c r="M31" s="94">
        <f t="shared" ca="1" si="15"/>
        <v>0.18880721149545163</v>
      </c>
      <c r="N31" s="94">
        <f t="shared" ca="1" si="16"/>
        <v>0.18880721149545163</v>
      </c>
      <c r="O31" s="94">
        <f t="shared" ca="1" si="16"/>
        <v>0.19719336795096798</v>
      </c>
      <c r="P31" s="94">
        <f t="shared" ca="1" si="16"/>
        <v>0.18880721149545163</v>
      </c>
      <c r="Q31" s="94">
        <f t="shared" ca="1" si="16"/>
        <v>0.18880721149545163</v>
      </c>
      <c r="R31" s="94">
        <f t="shared" ca="1" si="16"/>
        <v>0.18880721149545163</v>
      </c>
      <c r="S31" s="94">
        <f t="shared" ca="1" si="16"/>
        <v>0.18396003145372541</v>
      </c>
      <c r="T31" s="94">
        <f t="shared" ca="1" si="16"/>
        <v>0.18880721149545163</v>
      </c>
      <c r="U31" s="94">
        <f t="shared" ca="1" si="16"/>
        <v>0</v>
      </c>
      <c r="V31" s="95"/>
    </row>
    <row r="35" spans="2:26" x14ac:dyDescent="0.2">
      <c r="B35" s="96" t="s">
        <v>219</v>
      </c>
      <c r="C35" s="97"/>
      <c r="D35" s="97"/>
      <c r="E35" s="98" t="s">
        <v>220</v>
      </c>
      <c r="F35" s="97"/>
      <c r="G35" s="97"/>
      <c r="H35" s="97" t="s">
        <v>281</v>
      </c>
      <c r="I35" s="97"/>
      <c r="J35" s="97"/>
      <c r="K35" s="97"/>
      <c r="L35" s="97"/>
    </row>
    <row r="36" spans="2:26" x14ac:dyDescent="0.2">
      <c r="B36" s="97"/>
      <c r="C36" s="99"/>
      <c r="D36" s="100" t="s">
        <v>206</v>
      </c>
      <c r="E36" s="99"/>
      <c r="F36" s="99"/>
      <c r="G36" s="99"/>
      <c r="H36" s="99"/>
      <c r="I36" s="101" t="s">
        <v>106</v>
      </c>
      <c r="J36" s="99"/>
      <c r="K36" s="99"/>
      <c r="L36" s="99"/>
    </row>
    <row r="37" spans="2:26" x14ac:dyDescent="0.2">
      <c r="B37" s="97"/>
      <c r="C37" s="99"/>
      <c r="D37" s="102">
        <v>1</v>
      </c>
      <c r="E37" s="102">
        <v>2</v>
      </c>
      <c r="F37" s="102">
        <v>3</v>
      </c>
      <c r="G37" s="102">
        <v>4</v>
      </c>
      <c r="H37" s="99"/>
      <c r="I37" s="102">
        <v>1</v>
      </c>
      <c r="J37" s="102">
        <v>2</v>
      </c>
      <c r="K37" s="102">
        <v>3</v>
      </c>
      <c r="L37" s="102">
        <v>4</v>
      </c>
      <c r="O37" s="76" t="s">
        <v>282</v>
      </c>
      <c r="P37" s="76" t="s">
        <v>283</v>
      </c>
      <c r="Q37" s="76" t="s">
        <v>284</v>
      </c>
    </row>
    <row r="38" spans="2:26" x14ac:dyDescent="0.2">
      <c r="B38" s="103" t="s">
        <v>138</v>
      </c>
      <c r="C38" s="99" t="s">
        <v>198</v>
      </c>
      <c r="D38" s="104">
        <v>14.544448896561542</v>
      </c>
      <c r="E38" s="104">
        <v>14.290078188962225</v>
      </c>
      <c r="F38" s="104">
        <v>13.344380800483043</v>
      </c>
      <c r="G38" s="104">
        <v>12.679058234724117</v>
      </c>
      <c r="H38" s="104">
        <v>54.857966120730929</v>
      </c>
      <c r="I38" s="104">
        <v>143.26559553483042</v>
      </c>
      <c r="J38" s="104">
        <v>155.5396391175542</v>
      </c>
      <c r="K38" s="104">
        <v>161.00886714335149</v>
      </c>
      <c r="L38" s="104">
        <v>163.69830234218549</v>
      </c>
      <c r="O38" s="76">
        <v>1.1000000000000001</v>
      </c>
      <c r="P38" s="76">
        <v>0.3</v>
      </c>
      <c r="Q38" s="76" t="s">
        <v>285</v>
      </c>
    </row>
    <row r="39" spans="2:26" x14ac:dyDescent="0.2">
      <c r="B39" s="103" t="s">
        <v>143</v>
      </c>
      <c r="C39" s="99" t="s">
        <v>195</v>
      </c>
      <c r="D39" s="104">
        <v>10.307035140065754</v>
      </c>
      <c r="E39" s="104">
        <v>11.801419417452021</v>
      </c>
      <c r="F39" s="104">
        <v>10.19428001081334</v>
      </c>
      <c r="G39" s="104">
        <v>8.6242147076177389</v>
      </c>
      <c r="H39" s="104">
        <v>40.926949275948857</v>
      </c>
      <c r="I39" s="104">
        <v>150.48148188209316</v>
      </c>
      <c r="J39" s="104">
        <v>166.7148433814294</v>
      </c>
      <c r="K39" s="104">
        <v>176.51076051390902</v>
      </c>
      <c r="L39" s="104">
        <v>183.96003145372541</v>
      </c>
      <c r="O39" s="76">
        <f>O38/10</f>
        <v>0.11000000000000001</v>
      </c>
      <c r="P39" s="76">
        <f>P38/10</f>
        <v>0.03</v>
      </c>
      <c r="Q39" s="76" t="s">
        <v>286</v>
      </c>
    </row>
    <row r="40" spans="2:26" x14ac:dyDescent="0.2">
      <c r="B40" s="103" t="s">
        <v>134</v>
      </c>
      <c r="C40" s="99" t="s">
        <v>200</v>
      </c>
      <c r="D40" s="104">
        <v>5.6940091318660446</v>
      </c>
      <c r="E40" s="104">
        <v>7.2516955582646245</v>
      </c>
      <c r="F40" s="104">
        <v>6.1099448816462987</v>
      </c>
      <c r="G40" s="104">
        <v>4.8133042025280117</v>
      </c>
      <c r="H40" s="104">
        <v>23.86895377430498</v>
      </c>
      <c r="I40" s="104">
        <v>166.36381551591469</v>
      </c>
      <c r="J40" s="104">
        <v>181.22705304676913</v>
      </c>
      <c r="K40" s="104">
        <v>190.21181908008435</v>
      </c>
      <c r="L40" s="104">
        <v>196.38559793718977</v>
      </c>
    </row>
    <row r="41" spans="2:26" x14ac:dyDescent="0.2">
      <c r="B41" s="103" t="s">
        <v>140</v>
      </c>
      <c r="C41" s="99" t="s">
        <v>196</v>
      </c>
      <c r="D41" s="104">
        <v>9.9382032393539461</v>
      </c>
      <c r="E41" s="104">
        <v>5.8792471366049295</v>
      </c>
      <c r="F41" s="104">
        <v>6.6971387383269878</v>
      </c>
      <c r="G41" s="104">
        <v>6.1565257941927074</v>
      </c>
      <c r="H41" s="104">
        <v>28.671114908478568</v>
      </c>
      <c r="I41" s="104">
        <v>172.14036616405406</v>
      </c>
      <c r="J41" s="104">
        <v>181.33090167078277</v>
      </c>
      <c r="K41" s="104">
        <v>189.41687156594787</v>
      </c>
      <c r="L41" s="104">
        <v>197.19336795096797</v>
      </c>
    </row>
    <row r="42" spans="2:26" x14ac:dyDescent="0.2">
      <c r="B42" s="103" t="s">
        <v>128</v>
      </c>
      <c r="C42" s="99" t="s">
        <v>201</v>
      </c>
      <c r="D42" s="104">
        <v>6.9448930660692287</v>
      </c>
      <c r="E42" s="104">
        <v>4.0088520808653518</v>
      </c>
      <c r="F42" s="104">
        <v>5.0096415102878513</v>
      </c>
      <c r="G42" s="104">
        <v>4.5056040169743312</v>
      </c>
      <c r="H42" s="104">
        <v>20.46899067419676</v>
      </c>
      <c r="I42" s="104">
        <v>160.24691832843379</v>
      </c>
      <c r="J42" s="104">
        <v>168.67133914840062</v>
      </c>
      <c r="K42" s="104">
        <v>177.66442045062277</v>
      </c>
      <c r="L42" s="104">
        <v>188.80721149545164</v>
      </c>
    </row>
    <row r="43" spans="2:26" x14ac:dyDescent="0.2">
      <c r="B43" s="103" t="s">
        <v>122</v>
      </c>
      <c r="C43" s="99" t="s">
        <v>203</v>
      </c>
      <c r="D43" s="104">
        <v>4.0789060912849662</v>
      </c>
      <c r="E43" s="104">
        <v>4.6702937259362667</v>
      </c>
      <c r="F43" s="104">
        <v>4.0342843763804064</v>
      </c>
      <c r="G43" s="104">
        <v>3.4129467325389338</v>
      </c>
      <c r="H43" s="104">
        <v>16.196430926140572</v>
      </c>
      <c r="I43" s="104">
        <v>150.48148188209316</v>
      </c>
      <c r="J43" s="104">
        <v>166.7148433814294</v>
      </c>
      <c r="K43" s="104">
        <v>176.51076051390902</v>
      </c>
      <c r="L43" s="104">
        <v>183.96003145372541</v>
      </c>
    </row>
    <row r="44" spans="2:26" x14ac:dyDescent="0.2">
      <c r="B44" s="103" t="s">
        <v>148</v>
      </c>
      <c r="C44" s="99" t="s">
        <v>194</v>
      </c>
      <c r="D44" s="104">
        <v>1.3738156734789377</v>
      </c>
      <c r="E44" s="104">
        <v>0.79301780012412004</v>
      </c>
      <c r="F44" s="104">
        <v>0.99099064015387428</v>
      </c>
      <c r="G44" s="104">
        <v>0.89128361777821152</v>
      </c>
      <c r="H44" s="104">
        <v>4.0491077315351438</v>
      </c>
      <c r="I44" s="104">
        <v>160.24691832843379</v>
      </c>
      <c r="J44" s="104">
        <v>168.67133914840062</v>
      </c>
      <c r="K44" s="104">
        <v>177.66442045062277</v>
      </c>
      <c r="L44" s="104">
        <v>188.80721149545164</v>
      </c>
    </row>
    <row r="45" spans="2:26" x14ac:dyDescent="0.2">
      <c r="B45" s="103" t="s">
        <v>127</v>
      </c>
      <c r="C45" s="99" t="s">
        <v>202</v>
      </c>
      <c r="D45" s="104">
        <v>1.122826390323195</v>
      </c>
      <c r="E45" s="104">
        <v>0.66424218555639336</v>
      </c>
      <c r="F45" s="104">
        <v>0.75664825260085589</v>
      </c>
      <c r="G45" s="104">
        <v>0.69556935674767051</v>
      </c>
      <c r="H45" s="104">
        <v>3.2392861852281145</v>
      </c>
      <c r="I45" s="104">
        <v>172.14036616405406</v>
      </c>
      <c r="J45" s="104">
        <v>181.33090167078277</v>
      </c>
      <c r="K45" s="104">
        <v>189.41687156594787</v>
      </c>
      <c r="L45" s="104">
        <v>197.19336795096797</v>
      </c>
    </row>
    <row r="46" spans="2:26" x14ac:dyDescent="0.2">
      <c r="B46" s="103" t="s">
        <v>144</v>
      </c>
      <c r="C46" s="99" t="s">
        <v>207</v>
      </c>
      <c r="D46" s="104">
        <v>1.923341942870513</v>
      </c>
      <c r="E46" s="104">
        <v>1.1102249201737682</v>
      </c>
      <c r="F46" s="104">
        <v>1.3873868962154241</v>
      </c>
      <c r="G46" s="104">
        <v>1.247797064889496</v>
      </c>
      <c r="H46" s="104">
        <v>5.6687508241492006</v>
      </c>
      <c r="I46" s="104">
        <v>160.24691832843379</v>
      </c>
      <c r="J46" s="104">
        <v>168.67133914840062</v>
      </c>
      <c r="K46" s="104">
        <v>177.66442045062277</v>
      </c>
      <c r="L46" s="104">
        <v>188.80721149545164</v>
      </c>
    </row>
    <row r="47" spans="2:26" x14ac:dyDescent="0.2">
      <c r="B47" s="103" t="s">
        <v>123</v>
      </c>
      <c r="C47" s="99" t="s">
        <v>208</v>
      </c>
      <c r="D47" s="104">
        <v>1.0990525387831502</v>
      </c>
      <c r="E47" s="104">
        <v>0.63441424009929603</v>
      </c>
      <c r="F47" s="104">
        <v>0.79279251212309942</v>
      </c>
      <c r="G47" s="104">
        <v>0.71302689422256915</v>
      </c>
      <c r="H47" s="104">
        <v>3.2392861852281145</v>
      </c>
      <c r="I47" s="104">
        <v>160.24691832843379</v>
      </c>
      <c r="J47" s="104">
        <v>168.67133914840062</v>
      </c>
      <c r="K47" s="104">
        <v>177.66442045062277</v>
      </c>
      <c r="L47" s="104">
        <v>188.80721149545164</v>
      </c>
      <c r="O47" s="95"/>
      <c r="P47" s="95" t="s">
        <v>287</v>
      </c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2:26" x14ac:dyDescent="0.2">
      <c r="B48" s="103" t="s">
        <v>139</v>
      </c>
      <c r="C48" s="99" t="s">
        <v>197</v>
      </c>
      <c r="D48" s="104">
        <f>2/4</f>
        <v>0.5</v>
      </c>
      <c r="E48" s="104">
        <f t="shared" ref="E48:G48" si="18">2/4</f>
        <v>0.5</v>
      </c>
      <c r="F48" s="104">
        <f t="shared" si="18"/>
        <v>0.5</v>
      </c>
      <c r="G48" s="104">
        <f t="shared" si="18"/>
        <v>0.5</v>
      </c>
      <c r="H48" s="104"/>
      <c r="I48" s="104">
        <f>I47</f>
        <v>160.24691832843379</v>
      </c>
      <c r="J48" s="104">
        <f t="shared" ref="J48:L48" si="19">J47</f>
        <v>168.67133914840062</v>
      </c>
      <c r="K48" s="104">
        <f t="shared" si="19"/>
        <v>177.66442045062277</v>
      </c>
      <c r="L48" s="104">
        <f t="shared" si="19"/>
        <v>188.80721149545164</v>
      </c>
      <c r="O48" s="95"/>
      <c r="P48" s="95" t="s">
        <v>143</v>
      </c>
      <c r="Q48" s="95" t="s">
        <v>140</v>
      </c>
      <c r="R48" s="95" t="s">
        <v>138</v>
      </c>
      <c r="S48" s="95" t="s">
        <v>134</v>
      </c>
      <c r="T48" s="95" t="s">
        <v>128</v>
      </c>
      <c r="U48" s="95" t="s">
        <v>148</v>
      </c>
      <c r="V48" s="95" t="s">
        <v>127</v>
      </c>
      <c r="W48" s="95" t="s">
        <v>144</v>
      </c>
      <c r="X48" s="95" t="s">
        <v>136</v>
      </c>
      <c r="Y48" s="95" t="s">
        <v>123</v>
      </c>
      <c r="Z48" s="95" t="s">
        <v>122</v>
      </c>
    </row>
    <row r="49" spans="2:26" x14ac:dyDescent="0.2">
      <c r="B49" s="103" t="s">
        <v>136</v>
      </c>
      <c r="C49" s="99" t="s">
        <v>199</v>
      </c>
      <c r="D49" s="104">
        <v>2.472868212262088</v>
      </c>
      <c r="E49" s="104">
        <v>1.427432040223416</v>
      </c>
      <c r="F49" s="104">
        <v>1.7837831522769736</v>
      </c>
      <c r="G49" s="104">
        <v>1.6043105120007806</v>
      </c>
      <c r="H49" s="104">
        <v>7.2883939167632583</v>
      </c>
      <c r="I49" s="104">
        <v>160.24691832843379</v>
      </c>
      <c r="J49" s="104">
        <v>168.67133914840062</v>
      </c>
      <c r="K49" s="104">
        <v>177.66442045062277</v>
      </c>
      <c r="L49" s="104">
        <v>188.80721149545164</v>
      </c>
      <c r="O49" s="95" t="s">
        <v>211</v>
      </c>
      <c r="P49" s="95">
        <v>0.25183981025731594</v>
      </c>
      <c r="Q49" s="95">
        <v>0.34662772170101547</v>
      </c>
      <c r="R49" s="95">
        <v>0.26512920410779078</v>
      </c>
      <c r="S49" s="95">
        <v>0.23855294143623787</v>
      </c>
      <c r="T49" s="95">
        <v>0.33928849627275326</v>
      </c>
      <c r="U49" s="95">
        <v>0.3392884962727532</v>
      </c>
      <c r="V49" s="95">
        <v>0.34662772170101547</v>
      </c>
      <c r="W49" s="95">
        <v>0.3392884962727532</v>
      </c>
      <c r="X49" s="95">
        <v>0.33928849627275326</v>
      </c>
      <c r="Y49" s="95">
        <v>0.33928849627275326</v>
      </c>
      <c r="Z49" s="95">
        <v>0.25183981025731594</v>
      </c>
    </row>
    <row r="50" spans="2:26" x14ac:dyDescent="0.2"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O50" s="95" t="s">
        <v>212</v>
      </c>
      <c r="P50" s="95">
        <v>0.28835326419961743</v>
      </c>
      <c r="Q50" s="95">
        <v>0.20505819726132549</v>
      </c>
      <c r="R50" s="95">
        <v>0.26049230767164694</v>
      </c>
      <c r="S50" s="95">
        <v>0.30381287872244755</v>
      </c>
      <c r="T50" s="95">
        <v>0.1958500125714023</v>
      </c>
      <c r="U50" s="95">
        <v>0.19585001257140228</v>
      </c>
      <c r="V50" s="95">
        <v>0.20505819726132549</v>
      </c>
      <c r="W50" s="95">
        <v>0.19585001257140228</v>
      </c>
      <c r="X50" s="95">
        <v>0.19585001257140228</v>
      </c>
      <c r="Y50" s="95">
        <v>0.1958500125714023</v>
      </c>
      <c r="Z50" s="95">
        <v>0.28835326419961743</v>
      </c>
    </row>
    <row r="51" spans="2:26" x14ac:dyDescent="0.2"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O51" s="95" t="s">
        <v>213</v>
      </c>
      <c r="P51" s="95">
        <v>0.24908477644103602</v>
      </c>
      <c r="Q51" s="95">
        <v>0.2335848731277109</v>
      </c>
      <c r="R51" s="95">
        <v>0.24325329107380408</v>
      </c>
      <c r="S51" s="95">
        <v>0.2559787470963088</v>
      </c>
      <c r="T51" s="95">
        <v>0.24474296705811743</v>
      </c>
      <c r="U51" s="95">
        <v>0.24474296705811746</v>
      </c>
      <c r="V51" s="95">
        <v>0.23358487312771092</v>
      </c>
      <c r="W51" s="95">
        <v>0.24474296705811743</v>
      </c>
      <c r="X51" s="95">
        <v>0.24474296705811743</v>
      </c>
      <c r="Y51" s="95">
        <v>0.24474296705811743</v>
      </c>
      <c r="Z51" s="95">
        <v>0.24908477644103597</v>
      </c>
    </row>
    <row r="52" spans="2:26" x14ac:dyDescent="0.2">
      <c r="B52" s="97"/>
      <c r="C52" s="105" t="s">
        <v>209</v>
      </c>
      <c r="D52" s="106">
        <f>SUM(D38:D49)</f>
        <v>59.999400322919364</v>
      </c>
      <c r="E52" s="106">
        <f>SUM(E38:E49)</f>
        <v>53.030917294262416</v>
      </c>
      <c r="F52" s="106">
        <f>SUM(F38:F49)</f>
        <v>51.601271771308149</v>
      </c>
      <c r="G52" s="106">
        <f>SUM(G38:G49)</f>
        <v>45.843641134214572</v>
      </c>
      <c r="H52" s="107">
        <f>SUM(H38:H49)</f>
        <v>208.47523052270452</v>
      </c>
      <c r="I52" s="97"/>
      <c r="J52" s="97"/>
      <c r="K52" s="97"/>
      <c r="L52" s="97"/>
      <c r="O52" s="95" t="s">
        <v>214</v>
      </c>
      <c r="P52" s="95">
        <v>0.21072214910203066</v>
      </c>
      <c r="Q52" s="95">
        <v>0.21472920790994809</v>
      </c>
      <c r="R52" s="95">
        <v>0.23112519714675817</v>
      </c>
      <c r="S52" s="95">
        <v>0.20165543274500589</v>
      </c>
      <c r="T52" s="95">
        <v>0.22011852409772711</v>
      </c>
      <c r="U52" s="95">
        <v>0.22011852409772709</v>
      </c>
      <c r="V52" s="95">
        <v>0.21472920790994812</v>
      </c>
      <c r="W52" s="95">
        <v>0.22011852409772706</v>
      </c>
      <c r="X52" s="95">
        <v>0.22011852409772706</v>
      </c>
      <c r="Y52" s="95">
        <v>0.22011852409772706</v>
      </c>
      <c r="Z52" s="95">
        <v>0.2107221491020306</v>
      </c>
    </row>
    <row r="55" spans="2:26" x14ac:dyDescent="0.2">
      <c r="B55" s="111" t="s">
        <v>288</v>
      </c>
    </row>
    <row r="57" spans="2:26" x14ac:dyDescent="0.2">
      <c r="B57" s="76" t="s">
        <v>289</v>
      </c>
      <c r="C57" s="219">
        <f>C84/($B$84-$B$63)</f>
        <v>571.42857142857144</v>
      </c>
      <c r="D57" s="219">
        <f t="shared" ref="D57:M57" si="20">D84/($B$84-$B$63)</f>
        <v>571.42857142857144</v>
      </c>
      <c r="E57" s="219">
        <f t="shared" si="20"/>
        <v>809.52380952380952</v>
      </c>
      <c r="F57" s="219">
        <f t="shared" si="20"/>
        <v>404.76190476190476</v>
      </c>
      <c r="G57" s="219">
        <f t="shared" si="20"/>
        <v>571.42857142857144</v>
      </c>
      <c r="H57" s="219">
        <f t="shared" si="20"/>
        <v>57.844396164787767</v>
      </c>
      <c r="I57" s="219">
        <f t="shared" si="20"/>
        <v>46.275516931830211</v>
      </c>
      <c r="J57" s="219">
        <f t="shared" si="20"/>
        <v>80.98215463070288</v>
      </c>
      <c r="K57" s="219">
        <f t="shared" si="20"/>
        <v>104.11991309661796</v>
      </c>
      <c r="L57" s="219">
        <f t="shared" si="20"/>
        <v>46.275516931830211</v>
      </c>
      <c r="M57" s="219">
        <f t="shared" si="20"/>
        <v>231.37758465915107</v>
      </c>
      <c r="N57" s="76" t="s">
        <v>290</v>
      </c>
      <c r="O57" s="76" t="s">
        <v>290</v>
      </c>
      <c r="P57" s="76" t="s">
        <v>291</v>
      </c>
      <c r="Q57" s="76" t="s">
        <v>292</v>
      </c>
      <c r="R57" s="76" t="s">
        <v>293</v>
      </c>
    </row>
    <row r="58" spans="2:26" x14ac:dyDescent="0.2">
      <c r="B58" s="220"/>
      <c r="C58" s="220" t="s">
        <v>143</v>
      </c>
      <c r="D58" s="220" t="s">
        <v>140</v>
      </c>
      <c r="E58" s="220" t="s">
        <v>138</v>
      </c>
      <c r="F58" s="220" t="s">
        <v>134</v>
      </c>
      <c r="G58" s="220" t="s">
        <v>128</v>
      </c>
      <c r="H58" s="220" t="s">
        <v>148</v>
      </c>
      <c r="I58" s="220" t="s">
        <v>127</v>
      </c>
      <c r="J58" s="220" t="s">
        <v>144</v>
      </c>
      <c r="K58" s="220" t="s">
        <v>136</v>
      </c>
      <c r="L58" s="220" t="s">
        <v>123</v>
      </c>
      <c r="M58" s="220" t="s">
        <v>122</v>
      </c>
      <c r="N58" s="220" t="s">
        <v>294</v>
      </c>
      <c r="O58" s="220" t="s">
        <v>268</v>
      </c>
    </row>
    <row r="59" spans="2:26" x14ac:dyDescent="0.2">
      <c r="B59" s="95">
        <v>2025</v>
      </c>
      <c r="C59" s="218">
        <v>0</v>
      </c>
      <c r="D59" s="218">
        <v>0</v>
      </c>
      <c r="E59" s="218">
        <v>0</v>
      </c>
      <c r="F59" s="218">
        <v>0</v>
      </c>
      <c r="G59" s="218">
        <v>0</v>
      </c>
      <c r="H59" s="218">
        <v>0</v>
      </c>
      <c r="I59" s="218">
        <v>0</v>
      </c>
      <c r="J59" s="218">
        <v>0</v>
      </c>
      <c r="K59" s="218">
        <v>0</v>
      </c>
      <c r="L59" s="218">
        <v>0</v>
      </c>
      <c r="M59" s="218">
        <v>0</v>
      </c>
      <c r="N59" s="218">
        <f>SUM(C59:M59)</f>
        <v>0</v>
      </c>
      <c r="O59" s="218">
        <f>N59-M59</f>
        <v>0</v>
      </c>
    </row>
    <row r="60" spans="2:26" x14ac:dyDescent="0.2">
      <c r="B60" s="95">
        <v>2026</v>
      </c>
      <c r="C60" s="218">
        <v>0</v>
      </c>
      <c r="D60" s="218">
        <v>0</v>
      </c>
      <c r="E60" s="218">
        <v>0</v>
      </c>
      <c r="F60" s="218">
        <v>0</v>
      </c>
      <c r="G60" s="218">
        <v>0</v>
      </c>
      <c r="H60" s="218">
        <v>0</v>
      </c>
      <c r="I60" s="218">
        <v>0</v>
      </c>
      <c r="J60" s="218">
        <v>0</v>
      </c>
      <c r="K60" s="218">
        <v>0</v>
      </c>
      <c r="L60" s="218">
        <v>0</v>
      </c>
      <c r="M60" s="218">
        <v>0</v>
      </c>
      <c r="N60" s="218">
        <f>SUM(C60:M60)/1000</f>
        <v>0</v>
      </c>
      <c r="O60" s="218">
        <f>N60-(M60/1000)</f>
        <v>0</v>
      </c>
      <c r="P60" s="162">
        <f>N60*1000*1000/$O$39</f>
        <v>0</v>
      </c>
      <c r="Q60" s="221">
        <f>P60/1000/1000/1000</f>
        <v>0</v>
      </c>
      <c r="R60" s="221">
        <f>P60/1000/1000</f>
        <v>0</v>
      </c>
    </row>
    <row r="61" spans="2:26" x14ac:dyDescent="0.2">
      <c r="B61" s="95">
        <v>2027</v>
      </c>
      <c r="C61" s="218">
        <v>0</v>
      </c>
      <c r="D61" s="218">
        <v>0</v>
      </c>
      <c r="E61" s="218">
        <v>0</v>
      </c>
      <c r="F61" s="218">
        <v>0</v>
      </c>
      <c r="G61" s="218">
        <v>0</v>
      </c>
      <c r="H61" s="218">
        <v>0</v>
      </c>
      <c r="I61" s="218">
        <v>0</v>
      </c>
      <c r="J61" s="218">
        <v>0</v>
      </c>
      <c r="K61" s="218">
        <v>0</v>
      </c>
      <c r="L61" s="218">
        <v>0</v>
      </c>
      <c r="M61" s="218">
        <v>0</v>
      </c>
      <c r="N61" s="218">
        <f t="shared" ref="N61:N84" si="21">SUM(C61:M61)/1000</f>
        <v>0</v>
      </c>
      <c r="O61" s="218">
        <f t="shared" ref="O61:O84" si="22">N61-(M61/1000)</f>
        <v>0</v>
      </c>
      <c r="P61" s="162">
        <f t="shared" ref="P61:P84" si="23">N61*1000*1000/$O$39</f>
        <v>0</v>
      </c>
      <c r="Q61" s="221">
        <f t="shared" ref="Q61:Q84" si="24">P61/1000/1000/1000</f>
        <v>0</v>
      </c>
      <c r="R61" s="221">
        <f t="shared" ref="R61:R84" si="25">P61/1000/1000</f>
        <v>0</v>
      </c>
    </row>
    <row r="62" spans="2:26" x14ac:dyDescent="0.2">
      <c r="B62" s="95">
        <v>2028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M62" s="218">
        <v>0</v>
      </c>
      <c r="N62" s="218">
        <f t="shared" si="21"/>
        <v>0</v>
      </c>
      <c r="O62" s="218">
        <f t="shared" si="22"/>
        <v>0</v>
      </c>
      <c r="P62" s="162">
        <f t="shared" si="23"/>
        <v>0</v>
      </c>
      <c r="Q62" s="221">
        <f t="shared" si="24"/>
        <v>0</v>
      </c>
      <c r="R62" s="221">
        <f t="shared" si="25"/>
        <v>0</v>
      </c>
    </row>
    <row r="63" spans="2:26" x14ac:dyDescent="0.2">
      <c r="B63" s="95">
        <v>2029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M63" s="218">
        <v>0</v>
      </c>
      <c r="N63" s="218">
        <f t="shared" si="21"/>
        <v>0</v>
      </c>
      <c r="O63" s="218">
        <f t="shared" si="22"/>
        <v>0</v>
      </c>
      <c r="P63" s="162">
        <f t="shared" si="23"/>
        <v>0</v>
      </c>
      <c r="Q63" s="221">
        <f t="shared" si="24"/>
        <v>0</v>
      </c>
      <c r="R63" s="221">
        <f t="shared" si="25"/>
        <v>0</v>
      </c>
      <c r="T63" s="76" t="s">
        <v>295</v>
      </c>
    </row>
    <row r="64" spans="2:26" x14ac:dyDescent="0.2">
      <c r="B64" s="220">
        <v>2030</v>
      </c>
      <c r="C64" s="222">
        <f t="shared" ref="C64:M79" si="26">C63+C$57</f>
        <v>571.42857142857144</v>
      </c>
      <c r="D64" s="222">
        <f t="shared" si="26"/>
        <v>571.42857142857144</v>
      </c>
      <c r="E64" s="222">
        <f t="shared" si="26"/>
        <v>809.52380952380952</v>
      </c>
      <c r="F64" s="222">
        <f t="shared" si="26"/>
        <v>404.76190476190476</v>
      </c>
      <c r="G64" s="222">
        <f t="shared" si="26"/>
        <v>571.42857142857144</v>
      </c>
      <c r="H64" s="222">
        <f t="shared" si="26"/>
        <v>57.844396164787767</v>
      </c>
      <c r="I64" s="222">
        <f t="shared" si="26"/>
        <v>46.275516931830211</v>
      </c>
      <c r="J64" s="222">
        <f t="shared" si="26"/>
        <v>80.98215463070288</v>
      </c>
      <c r="K64" s="222">
        <f t="shared" si="26"/>
        <v>104.11991309661796</v>
      </c>
      <c r="L64" s="222">
        <f t="shared" si="26"/>
        <v>46.275516931830211</v>
      </c>
      <c r="M64" s="222">
        <f t="shared" si="26"/>
        <v>231.37758465915107</v>
      </c>
      <c r="N64" s="222">
        <f t="shared" si="21"/>
        <v>3.4954465109863486</v>
      </c>
      <c r="O64" s="222">
        <f t="shared" si="22"/>
        <v>3.2640689263271976</v>
      </c>
      <c r="P64" s="162">
        <f t="shared" si="23"/>
        <v>31776786.463512257</v>
      </c>
      <c r="Q64" s="221">
        <f t="shared" si="24"/>
        <v>3.1776786463512258E-2</v>
      </c>
      <c r="R64" s="221">
        <f t="shared" si="25"/>
        <v>31.776786463512256</v>
      </c>
      <c r="T64" s="76">
        <v>9.2800000000000001E-4</v>
      </c>
      <c r="U64" s="76">
        <f>T64*1000</f>
        <v>0.92800000000000005</v>
      </c>
    </row>
    <row r="65" spans="2:18" x14ac:dyDescent="0.2">
      <c r="B65" s="95">
        <v>2031</v>
      </c>
      <c r="C65" s="218">
        <f t="shared" si="26"/>
        <v>1142.8571428571429</v>
      </c>
      <c r="D65" s="218">
        <f t="shared" si="26"/>
        <v>1142.8571428571429</v>
      </c>
      <c r="E65" s="218">
        <f t="shared" si="26"/>
        <v>1619.047619047619</v>
      </c>
      <c r="F65" s="218">
        <f t="shared" si="26"/>
        <v>809.52380952380952</v>
      </c>
      <c r="G65" s="218">
        <f t="shared" si="26"/>
        <v>1142.8571428571429</v>
      </c>
      <c r="H65" s="218">
        <f t="shared" si="26"/>
        <v>115.68879232957553</v>
      </c>
      <c r="I65" s="218">
        <f t="shared" si="26"/>
        <v>92.551033863660422</v>
      </c>
      <c r="J65" s="218">
        <f t="shared" si="26"/>
        <v>161.96430926140576</v>
      </c>
      <c r="K65" s="218">
        <f t="shared" si="26"/>
        <v>208.23982619323593</v>
      </c>
      <c r="L65" s="218">
        <f t="shared" si="26"/>
        <v>92.551033863660422</v>
      </c>
      <c r="M65" s="218">
        <f t="shared" si="26"/>
        <v>462.75516931830214</v>
      </c>
      <c r="N65" s="218">
        <f t="shared" si="21"/>
        <v>6.9908930219726972</v>
      </c>
      <c r="O65" s="218">
        <f t="shared" si="22"/>
        <v>6.5281378526543952</v>
      </c>
      <c r="P65" s="162">
        <f t="shared" si="23"/>
        <v>63553572.927024513</v>
      </c>
      <c r="Q65" s="221">
        <f t="shared" si="24"/>
        <v>6.3553572927024515E-2</v>
      </c>
      <c r="R65" s="221">
        <f t="shared" si="25"/>
        <v>63.553572927024511</v>
      </c>
    </row>
    <row r="66" spans="2:18" x14ac:dyDescent="0.2">
      <c r="B66" s="95">
        <v>2032</v>
      </c>
      <c r="C66" s="218">
        <f t="shared" si="26"/>
        <v>1714.2857142857142</v>
      </c>
      <c r="D66" s="218">
        <f t="shared" si="26"/>
        <v>1714.2857142857142</v>
      </c>
      <c r="E66" s="218">
        <f t="shared" si="26"/>
        <v>2428.5714285714284</v>
      </c>
      <c r="F66" s="218">
        <f t="shared" si="26"/>
        <v>1214.2857142857142</v>
      </c>
      <c r="G66" s="218">
        <f t="shared" si="26"/>
        <v>1714.2857142857142</v>
      </c>
      <c r="H66" s="218">
        <f t="shared" si="26"/>
        <v>173.53318849436329</v>
      </c>
      <c r="I66" s="218">
        <f t="shared" si="26"/>
        <v>138.82655079549062</v>
      </c>
      <c r="J66" s="218">
        <f t="shared" si="26"/>
        <v>242.94646389210862</v>
      </c>
      <c r="K66" s="218">
        <f t="shared" si="26"/>
        <v>312.35973928985391</v>
      </c>
      <c r="L66" s="218">
        <f t="shared" si="26"/>
        <v>138.82655079549062</v>
      </c>
      <c r="M66" s="218">
        <f t="shared" si="26"/>
        <v>694.13275397745315</v>
      </c>
      <c r="N66" s="218">
        <f t="shared" si="21"/>
        <v>10.486339532959045</v>
      </c>
      <c r="O66" s="218">
        <f t="shared" si="22"/>
        <v>9.7922067789815923</v>
      </c>
      <c r="P66" s="162">
        <f t="shared" si="23"/>
        <v>95330359.39053677</v>
      </c>
      <c r="Q66" s="221">
        <f t="shared" si="24"/>
        <v>9.5330359390536773E-2</v>
      </c>
      <c r="R66" s="221">
        <f t="shared" si="25"/>
        <v>95.330359390536771</v>
      </c>
    </row>
    <row r="67" spans="2:18" x14ac:dyDescent="0.2">
      <c r="B67" s="95">
        <v>2033</v>
      </c>
      <c r="C67" s="218">
        <f t="shared" si="26"/>
        <v>2285.7142857142858</v>
      </c>
      <c r="D67" s="218">
        <f t="shared" si="26"/>
        <v>2285.7142857142858</v>
      </c>
      <c r="E67" s="218">
        <f t="shared" si="26"/>
        <v>3238.0952380952381</v>
      </c>
      <c r="F67" s="218">
        <f t="shared" si="26"/>
        <v>1619.047619047619</v>
      </c>
      <c r="G67" s="218">
        <f t="shared" si="26"/>
        <v>2285.7142857142858</v>
      </c>
      <c r="H67" s="218">
        <f t="shared" si="26"/>
        <v>231.37758465915107</v>
      </c>
      <c r="I67" s="218">
        <f t="shared" si="26"/>
        <v>185.10206772732084</v>
      </c>
      <c r="J67" s="218">
        <f t="shared" si="26"/>
        <v>323.92861852281152</v>
      </c>
      <c r="K67" s="218">
        <f t="shared" si="26"/>
        <v>416.47965238647186</v>
      </c>
      <c r="L67" s="218">
        <f t="shared" si="26"/>
        <v>185.10206772732084</v>
      </c>
      <c r="M67" s="218">
        <f t="shared" si="26"/>
        <v>925.51033863660427</v>
      </c>
      <c r="N67" s="218">
        <f t="shared" si="21"/>
        <v>13.981786043945394</v>
      </c>
      <c r="O67" s="218">
        <f t="shared" si="22"/>
        <v>13.05627570530879</v>
      </c>
      <c r="P67" s="162">
        <f t="shared" si="23"/>
        <v>127107145.85404903</v>
      </c>
      <c r="Q67" s="221">
        <f t="shared" si="24"/>
        <v>0.12710714585404903</v>
      </c>
      <c r="R67" s="221">
        <f t="shared" si="25"/>
        <v>127.10714585404902</v>
      </c>
    </row>
    <row r="68" spans="2:18" x14ac:dyDescent="0.2">
      <c r="B68" s="95">
        <v>2034</v>
      </c>
      <c r="C68" s="218">
        <f t="shared" si="26"/>
        <v>2857.1428571428573</v>
      </c>
      <c r="D68" s="218">
        <f t="shared" si="26"/>
        <v>2857.1428571428573</v>
      </c>
      <c r="E68" s="218">
        <f t="shared" si="26"/>
        <v>4047.6190476190477</v>
      </c>
      <c r="F68" s="218">
        <f t="shared" si="26"/>
        <v>2023.8095238095239</v>
      </c>
      <c r="G68" s="218">
        <f t="shared" si="26"/>
        <v>2857.1428571428573</v>
      </c>
      <c r="H68" s="218">
        <f t="shared" si="26"/>
        <v>289.22198082393885</v>
      </c>
      <c r="I68" s="218">
        <f t="shared" si="26"/>
        <v>231.37758465915107</v>
      </c>
      <c r="J68" s="218">
        <f t="shared" si="26"/>
        <v>404.91077315351441</v>
      </c>
      <c r="K68" s="218">
        <f t="shared" si="26"/>
        <v>520.5995654830898</v>
      </c>
      <c r="L68" s="218">
        <f t="shared" si="26"/>
        <v>231.37758465915107</v>
      </c>
      <c r="M68" s="218">
        <f t="shared" si="26"/>
        <v>1156.8879232957554</v>
      </c>
      <c r="N68" s="218">
        <f t="shared" si="21"/>
        <v>17.477232554931742</v>
      </c>
      <c r="O68" s="218">
        <f t="shared" si="22"/>
        <v>16.320344631635987</v>
      </c>
      <c r="P68" s="162">
        <f t="shared" si="23"/>
        <v>158883932.31756127</v>
      </c>
      <c r="Q68" s="221">
        <f t="shared" si="24"/>
        <v>0.15888393231756126</v>
      </c>
      <c r="R68" s="221">
        <f t="shared" si="25"/>
        <v>158.88393231756126</v>
      </c>
    </row>
    <row r="69" spans="2:18" x14ac:dyDescent="0.2">
      <c r="B69" s="220">
        <v>2035</v>
      </c>
      <c r="C69" s="222">
        <f t="shared" si="26"/>
        <v>3428.5714285714289</v>
      </c>
      <c r="D69" s="222">
        <f t="shared" si="26"/>
        <v>3428.5714285714289</v>
      </c>
      <c r="E69" s="222">
        <f t="shared" si="26"/>
        <v>4857.1428571428569</v>
      </c>
      <c r="F69" s="222">
        <f t="shared" si="26"/>
        <v>2428.5714285714284</v>
      </c>
      <c r="G69" s="222">
        <f t="shared" si="26"/>
        <v>3428.5714285714289</v>
      </c>
      <c r="H69" s="222">
        <f t="shared" si="26"/>
        <v>347.06637698872663</v>
      </c>
      <c r="I69" s="222">
        <f t="shared" si="26"/>
        <v>277.65310159098129</v>
      </c>
      <c r="J69" s="222">
        <f t="shared" si="26"/>
        <v>485.89292778421731</v>
      </c>
      <c r="K69" s="222">
        <f t="shared" si="26"/>
        <v>624.71947857970781</v>
      </c>
      <c r="L69" s="222">
        <f t="shared" si="26"/>
        <v>277.65310159098129</v>
      </c>
      <c r="M69" s="222">
        <f t="shared" si="26"/>
        <v>1388.2655079549065</v>
      </c>
      <c r="N69" s="222">
        <f t="shared" si="21"/>
        <v>20.97267906591809</v>
      </c>
      <c r="O69" s="222">
        <f t="shared" si="22"/>
        <v>19.584413557963185</v>
      </c>
      <c r="P69" s="162">
        <f t="shared" si="23"/>
        <v>190660718.78107354</v>
      </c>
      <c r="Q69" s="221">
        <f t="shared" si="24"/>
        <v>0.19066071878107355</v>
      </c>
      <c r="R69" s="221">
        <f t="shared" si="25"/>
        <v>190.66071878107354</v>
      </c>
    </row>
    <row r="70" spans="2:18" x14ac:dyDescent="0.2">
      <c r="B70" s="95">
        <v>2036</v>
      </c>
      <c r="C70" s="218">
        <f t="shared" si="26"/>
        <v>4000.0000000000005</v>
      </c>
      <c r="D70" s="218">
        <f t="shared" si="26"/>
        <v>4000.0000000000005</v>
      </c>
      <c r="E70" s="218">
        <f t="shared" si="26"/>
        <v>5666.6666666666661</v>
      </c>
      <c r="F70" s="218">
        <f t="shared" si="26"/>
        <v>2833.333333333333</v>
      </c>
      <c r="G70" s="218">
        <f t="shared" si="26"/>
        <v>4000.0000000000005</v>
      </c>
      <c r="H70" s="218">
        <f t="shared" si="26"/>
        <v>404.91077315351441</v>
      </c>
      <c r="I70" s="218">
        <f t="shared" si="26"/>
        <v>323.92861852281152</v>
      </c>
      <c r="J70" s="218">
        <f t="shared" si="26"/>
        <v>566.87508241492014</v>
      </c>
      <c r="K70" s="218">
        <f t="shared" si="26"/>
        <v>728.83939167632582</v>
      </c>
      <c r="L70" s="218">
        <f t="shared" si="26"/>
        <v>323.92861852281152</v>
      </c>
      <c r="M70" s="218">
        <f t="shared" si="26"/>
        <v>1619.6430926140577</v>
      </c>
      <c r="N70" s="218">
        <f t="shared" si="21"/>
        <v>24.468125576904445</v>
      </c>
      <c r="O70" s="218">
        <f t="shared" si="22"/>
        <v>22.848482484290386</v>
      </c>
      <c r="P70" s="162">
        <f t="shared" si="23"/>
        <v>222437505.24458581</v>
      </c>
      <c r="Q70" s="221">
        <f t="shared" si="24"/>
        <v>0.2224375052445858</v>
      </c>
      <c r="R70" s="221">
        <f t="shared" si="25"/>
        <v>222.43750524458579</v>
      </c>
    </row>
    <row r="71" spans="2:18" x14ac:dyDescent="0.2">
      <c r="B71" s="95">
        <v>2037</v>
      </c>
      <c r="C71" s="218">
        <f t="shared" si="26"/>
        <v>4571.4285714285716</v>
      </c>
      <c r="D71" s="218">
        <f t="shared" si="26"/>
        <v>4571.4285714285716</v>
      </c>
      <c r="E71" s="218">
        <f t="shared" si="26"/>
        <v>6476.1904761904752</v>
      </c>
      <c r="F71" s="218">
        <f t="shared" si="26"/>
        <v>3238.0952380952376</v>
      </c>
      <c r="G71" s="218">
        <f t="shared" si="26"/>
        <v>4571.4285714285716</v>
      </c>
      <c r="H71" s="218">
        <f t="shared" si="26"/>
        <v>462.75516931830219</v>
      </c>
      <c r="I71" s="218">
        <f t="shared" si="26"/>
        <v>370.20413545464174</v>
      </c>
      <c r="J71" s="218">
        <f t="shared" si="26"/>
        <v>647.85723704562304</v>
      </c>
      <c r="K71" s="218">
        <f t="shared" si="26"/>
        <v>832.95930477294382</v>
      </c>
      <c r="L71" s="218">
        <f t="shared" si="26"/>
        <v>370.20413545464174</v>
      </c>
      <c r="M71" s="218">
        <f t="shared" si="26"/>
        <v>1851.0206772732088</v>
      </c>
      <c r="N71" s="218">
        <f t="shared" si="21"/>
        <v>27.963572087890789</v>
      </c>
      <c r="O71" s="218">
        <f t="shared" si="22"/>
        <v>26.112551410617581</v>
      </c>
      <c r="P71" s="162">
        <f t="shared" si="23"/>
        <v>254214291.70809805</v>
      </c>
      <c r="Q71" s="221">
        <f t="shared" si="24"/>
        <v>0.25421429170809806</v>
      </c>
      <c r="R71" s="221">
        <f t="shared" si="25"/>
        <v>254.21429170809805</v>
      </c>
    </row>
    <row r="72" spans="2:18" x14ac:dyDescent="0.2">
      <c r="B72" s="95">
        <v>2038</v>
      </c>
      <c r="C72" s="218">
        <f t="shared" si="26"/>
        <v>5142.8571428571431</v>
      </c>
      <c r="D72" s="218">
        <f t="shared" si="26"/>
        <v>5142.8571428571431</v>
      </c>
      <c r="E72" s="218">
        <f t="shared" si="26"/>
        <v>7285.7142857142844</v>
      </c>
      <c r="F72" s="218">
        <f t="shared" si="26"/>
        <v>3642.8571428571422</v>
      </c>
      <c r="G72" s="218">
        <f t="shared" si="26"/>
        <v>5142.8571428571431</v>
      </c>
      <c r="H72" s="218">
        <f t="shared" si="26"/>
        <v>520.59956548308992</v>
      </c>
      <c r="I72" s="218">
        <f t="shared" si="26"/>
        <v>416.47965238647197</v>
      </c>
      <c r="J72" s="218">
        <f t="shared" si="26"/>
        <v>728.83939167632593</v>
      </c>
      <c r="K72" s="218">
        <f t="shared" si="26"/>
        <v>937.07921786956183</v>
      </c>
      <c r="L72" s="218">
        <f t="shared" si="26"/>
        <v>416.47965238647197</v>
      </c>
      <c r="M72" s="218">
        <f t="shared" si="26"/>
        <v>2082.3982619323597</v>
      </c>
      <c r="N72" s="218">
        <f t="shared" si="21"/>
        <v>31.45901859887714</v>
      </c>
      <c r="O72" s="218">
        <f t="shared" si="22"/>
        <v>29.376620336944782</v>
      </c>
      <c r="P72" s="162">
        <f t="shared" si="23"/>
        <v>285991078.1716103</v>
      </c>
      <c r="Q72" s="221">
        <f t="shared" si="24"/>
        <v>0.28599107817161029</v>
      </c>
      <c r="R72" s="221">
        <f t="shared" si="25"/>
        <v>285.9910781716103</v>
      </c>
    </row>
    <row r="73" spans="2:18" x14ac:dyDescent="0.2">
      <c r="B73" s="95">
        <v>2039</v>
      </c>
      <c r="C73" s="218">
        <f t="shared" si="26"/>
        <v>5714.2857142857147</v>
      </c>
      <c r="D73" s="218">
        <f t="shared" si="26"/>
        <v>5714.2857142857147</v>
      </c>
      <c r="E73" s="218">
        <f t="shared" si="26"/>
        <v>8095.2380952380936</v>
      </c>
      <c r="F73" s="218">
        <f t="shared" si="26"/>
        <v>4047.6190476190468</v>
      </c>
      <c r="G73" s="218">
        <f t="shared" si="26"/>
        <v>5714.2857142857147</v>
      </c>
      <c r="H73" s="218">
        <f t="shared" si="26"/>
        <v>578.4439616478777</v>
      </c>
      <c r="I73" s="218">
        <f t="shared" si="26"/>
        <v>462.75516931830219</v>
      </c>
      <c r="J73" s="218">
        <f t="shared" si="26"/>
        <v>809.82154630702883</v>
      </c>
      <c r="K73" s="218">
        <f t="shared" si="26"/>
        <v>1041.1991309661798</v>
      </c>
      <c r="L73" s="218">
        <f t="shared" si="26"/>
        <v>462.75516931830219</v>
      </c>
      <c r="M73" s="218">
        <f t="shared" si="26"/>
        <v>2313.7758465915108</v>
      </c>
      <c r="N73" s="218">
        <f t="shared" si="21"/>
        <v>34.954465109863484</v>
      </c>
      <c r="O73" s="218">
        <f t="shared" si="22"/>
        <v>32.640689263271973</v>
      </c>
      <c r="P73" s="162">
        <f t="shared" si="23"/>
        <v>317767864.63512254</v>
      </c>
      <c r="Q73" s="221">
        <f t="shared" si="24"/>
        <v>0.31776786463512252</v>
      </c>
      <c r="R73" s="221">
        <f t="shared" si="25"/>
        <v>317.76786463512252</v>
      </c>
    </row>
    <row r="74" spans="2:18" x14ac:dyDescent="0.2">
      <c r="B74" s="220">
        <v>2040</v>
      </c>
      <c r="C74" s="222">
        <f t="shared" si="26"/>
        <v>6285.7142857142862</v>
      </c>
      <c r="D74" s="222">
        <f t="shared" si="26"/>
        <v>6285.7142857142862</v>
      </c>
      <c r="E74" s="222">
        <f t="shared" si="26"/>
        <v>8904.7619047619028</v>
      </c>
      <c r="F74" s="222">
        <f t="shared" si="26"/>
        <v>4452.3809523809514</v>
      </c>
      <c r="G74" s="222">
        <f t="shared" si="26"/>
        <v>6285.7142857142862</v>
      </c>
      <c r="H74" s="222">
        <f t="shared" si="26"/>
        <v>636.28835781266548</v>
      </c>
      <c r="I74" s="222">
        <f t="shared" si="26"/>
        <v>509.03068625013242</v>
      </c>
      <c r="J74" s="222">
        <f t="shared" si="26"/>
        <v>890.80370093773172</v>
      </c>
      <c r="K74" s="222">
        <f t="shared" si="26"/>
        <v>1145.3190440627977</v>
      </c>
      <c r="L74" s="222">
        <f t="shared" si="26"/>
        <v>509.03068625013242</v>
      </c>
      <c r="M74" s="222">
        <f t="shared" si="26"/>
        <v>2545.1534312506619</v>
      </c>
      <c r="N74" s="222">
        <f t="shared" si="21"/>
        <v>38.449911620849825</v>
      </c>
      <c r="O74" s="222">
        <f t="shared" si="22"/>
        <v>35.904758189599164</v>
      </c>
      <c r="P74" s="162">
        <f t="shared" si="23"/>
        <v>349544651.09863472</v>
      </c>
      <c r="Q74" s="221">
        <f t="shared" si="24"/>
        <v>0.3495446510986347</v>
      </c>
      <c r="R74" s="221">
        <f t="shared" si="25"/>
        <v>349.54465109863469</v>
      </c>
    </row>
    <row r="75" spans="2:18" x14ac:dyDescent="0.2">
      <c r="B75" s="95">
        <v>2041</v>
      </c>
      <c r="C75" s="218">
        <f t="shared" si="26"/>
        <v>6857.1428571428578</v>
      </c>
      <c r="D75" s="218">
        <f t="shared" si="26"/>
        <v>6857.1428571428578</v>
      </c>
      <c r="E75" s="218">
        <f t="shared" si="26"/>
        <v>9714.2857142857119</v>
      </c>
      <c r="F75" s="218">
        <f t="shared" si="26"/>
        <v>4857.142857142856</v>
      </c>
      <c r="G75" s="218">
        <f t="shared" si="26"/>
        <v>6857.1428571428578</v>
      </c>
      <c r="H75" s="218">
        <f t="shared" si="26"/>
        <v>694.13275397745326</v>
      </c>
      <c r="I75" s="218">
        <f t="shared" si="26"/>
        <v>555.30620318196259</v>
      </c>
      <c r="J75" s="218">
        <f t="shared" si="26"/>
        <v>971.78585556843461</v>
      </c>
      <c r="K75" s="218">
        <f t="shared" si="26"/>
        <v>1249.4389571594156</v>
      </c>
      <c r="L75" s="218">
        <f t="shared" si="26"/>
        <v>555.30620318196259</v>
      </c>
      <c r="M75" s="218">
        <f t="shared" si="26"/>
        <v>2776.531015909813</v>
      </c>
      <c r="N75" s="218">
        <f t="shared" si="21"/>
        <v>41.94535813183618</v>
      </c>
      <c r="O75" s="218">
        <f t="shared" si="22"/>
        <v>39.168827115926369</v>
      </c>
      <c r="P75" s="162">
        <f t="shared" si="23"/>
        <v>381321437.56214708</v>
      </c>
      <c r="Q75" s="221">
        <f t="shared" si="24"/>
        <v>0.38132143756214709</v>
      </c>
      <c r="R75" s="221">
        <f t="shared" si="25"/>
        <v>381.32143756214708</v>
      </c>
    </row>
    <row r="76" spans="2:18" x14ac:dyDescent="0.2">
      <c r="B76" s="95">
        <v>2042</v>
      </c>
      <c r="C76" s="218">
        <f t="shared" si="26"/>
        <v>7428.5714285714294</v>
      </c>
      <c r="D76" s="218">
        <f t="shared" si="26"/>
        <v>7428.5714285714294</v>
      </c>
      <c r="E76" s="218">
        <f t="shared" si="26"/>
        <v>10523.809523809521</v>
      </c>
      <c r="F76" s="218">
        <f t="shared" si="26"/>
        <v>5261.9047619047606</v>
      </c>
      <c r="G76" s="218">
        <f t="shared" si="26"/>
        <v>7428.5714285714294</v>
      </c>
      <c r="H76" s="218">
        <f t="shared" si="26"/>
        <v>751.97715014224104</v>
      </c>
      <c r="I76" s="218">
        <f t="shared" si="26"/>
        <v>601.58172011379281</v>
      </c>
      <c r="J76" s="218">
        <f t="shared" si="26"/>
        <v>1052.7680101991375</v>
      </c>
      <c r="K76" s="218">
        <f t="shared" si="26"/>
        <v>1353.5588702560335</v>
      </c>
      <c r="L76" s="218">
        <f t="shared" si="26"/>
        <v>601.58172011379281</v>
      </c>
      <c r="M76" s="218">
        <f t="shared" si="26"/>
        <v>3007.9086005689642</v>
      </c>
      <c r="N76" s="218">
        <f t="shared" si="21"/>
        <v>45.440804642822535</v>
      </c>
      <c r="O76" s="218">
        <f t="shared" si="22"/>
        <v>42.432896042253567</v>
      </c>
      <c r="P76" s="162">
        <f t="shared" si="23"/>
        <v>413098224.02565932</v>
      </c>
      <c r="Q76" s="221">
        <f t="shared" si="24"/>
        <v>0.41309822402565932</v>
      </c>
      <c r="R76" s="221">
        <f t="shared" si="25"/>
        <v>413.09822402565931</v>
      </c>
    </row>
    <row r="77" spans="2:18" x14ac:dyDescent="0.2">
      <c r="B77" s="95">
        <v>2043</v>
      </c>
      <c r="C77" s="218">
        <f t="shared" si="26"/>
        <v>8000.0000000000009</v>
      </c>
      <c r="D77" s="218">
        <f t="shared" si="26"/>
        <v>8000.0000000000009</v>
      </c>
      <c r="E77" s="218">
        <f t="shared" si="26"/>
        <v>11333.33333333333</v>
      </c>
      <c r="F77" s="218">
        <f t="shared" si="26"/>
        <v>5666.6666666666652</v>
      </c>
      <c r="G77" s="218">
        <f t="shared" si="26"/>
        <v>8000.0000000000009</v>
      </c>
      <c r="H77" s="218">
        <f t="shared" si="26"/>
        <v>809.82154630702883</v>
      </c>
      <c r="I77" s="218">
        <f t="shared" si="26"/>
        <v>647.85723704562304</v>
      </c>
      <c r="J77" s="218">
        <f t="shared" si="26"/>
        <v>1133.7501648298403</v>
      </c>
      <c r="K77" s="218">
        <f t="shared" si="26"/>
        <v>1457.6787833526514</v>
      </c>
      <c r="L77" s="218">
        <f t="shared" si="26"/>
        <v>647.85723704562304</v>
      </c>
      <c r="M77" s="218">
        <f t="shared" si="26"/>
        <v>3239.2861852281153</v>
      </c>
      <c r="N77" s="218">
        <f t="shared" si="21"/>
        <v>48.93625115380889</v>
      </c>
      <c r="O77" s="218">
        <f t="shared" si="22"/>
        <v>45.696964968580772</v>
      </c>
      <c r="P77" s="162">
        <f t="shared" si="23"/>
        <v>444875010.48917162</v>
      </c>
      <c r="Q77" s="221">
        <f t="shared" si="24"/>
        <v>0.44487501048917161</v>
      </c>
      <c r="R77" s="221">
        <f t="shared" si="25"/>
        <v>444.87501048917159</v>
      </c>
    </row>
    <row r="78" spans="2:18" x14ac:dyDescent="0.2">
      <c r="B78" s="95">
        <v>2044</v>
      </c>
      <c r="C78" s="218">
        <f t="shared" si="26"/>
        <v>8571.4285714285725</v>
      </c>
      <c r="D78" s="218">
        <f t="shared" si="26"/>
        <v>8571.4285714285725</v>
      </c>
      <c r="E78" s="218">
        <f t="shared" si="26"/>
        <v>12142.857142857139</v>
      </c>
      <c r="F78" s="218">
        <f t="shared" si="26"/>
        <v>6071.4285714285697</v>
      </c>
      <c r="G78" s="218">
        <f t="shared" si="26"/>
        <v>8571.4285714285725</v>
      </c>
      <c r="H78" s="218">
        <f t="shared" si="26"/>
        <v>867.66594247181661</v>
      </c>
      <c r="I78" s="218">
        <f t="shared" si="26"/>
        <v>694.13275397745326</v>
      </c>
      <c r="J78" s="218">
        <f t="shared" si="26"/>
        <v>1214.7323194605431</v>
      </c>
      <c r="K78" s="218">
        <f t="shared" si="26"/>
        <v>1561.7986964492693</v>
      </c>
      <c r="L78" s="218">
        <f t="shared" si="26"/>
        <v>694.13275397745326</v>
      </c>
      <c r="M78" s="218">
        <f t="shared" si="26"/>
        <v>3470.6637698872664</v>
      </c>
      <c r="N78" s="218">
        <f t="shared" si="21"/>
        <v>52.431697664795216</v>
      </c>
      <c r="O78" s="218">
        <f t="shared" si="22"/>
        <v>48.961033894907949</v>
      </c>
      <c r="P78" s="162">
        <f t="shared" si="23"/>
        <v>476651796.95268375</v>
      </c>
      <c r="Q78" s="221">
        <f t="shared" si="24"/>
        <v>0.47665179695268373</v>
      </c>
      <c r="R78" s="221">
        <f t="shared" si="25"/>
        <v>476.65179695268375</v>
      </c>
    </row>
    <row r="79" spans="2:18" x14ac:dyDescent="0.2">
      <c r="B79" s="220">
        <v>2045</v>
      </c>
      <c r="C79" s="222">
        <f t="shared" si="26"/>
        <v>9142.8571428571431</v>
      </c>
      <c r="D79" s="222">
        <f t="shared" si="26"/>
        <v>9142.8571428571431</v>
      </c>
      <c r="E79" s="222">
        <f t="shared" si="26"/>
        <v>12952.380952380949</v>
      </c>
      <c r="F79" s="222">
        <f t="shared" si="26"/>
        <v>6476.1904761904743</v>
      </c>
      <c r="G79" s="222">
        <f t="shared" si="26"/>
        <v>9142.8571428571431</v>
      </c>
      <c r="H79" s="222">
        <f t="shared" si="26"/>
        <v>925.51033863660439</v>
      </c>
      <c r="I79" s="222">
        <f t="shared" si="26"/>
        <v>740.40827090928349</v>
      </c>
      <c r="J79" s="222">
        <f t="shared" si="26"/>
        <v>1295.7144740912458</v>
      </c>
      <c r="K79" s="222">
        <f t="shared" si="26"/>
        <v>1665.9186095458872</v>
      </c>
      <c r="L79" s="222">
        <f t="shared" si="26"/>
        <v>740.40827090928349</v>
      </c>
      <c r="M79" s="222">
        <f t="shared" si="26"/>
        <v>3702.0413545464176</v>
      </c>
      <c r="N79" s="222">
        <f t="shared" si="21"/>
        <v>55.927144175781578</v>
      </c>
      <c r="O79" s="222">
        <f t="shared" si="22"/>
        <v>52.225102821235161</v>
      </c>
      <c r="P79" s="162">
        <f t="shared" si="23"/>
        <v>508428583.41619611</v>
      </c>
      <c r="Q79" s="221">
        <f t="shared" si="24"/>
        <v>0.50842858341619612</v>
      </c>
      <c r="R79" s="221">
        <f t="shared" si="25"/>
        <v>508.42858341619609</v>
      </c>
    </row>
    <row r="80" spans="2:18" x14ac:dyDescent="0.2">
      <c r="B80" s="95">
        <v>2046</v>
      </c>
      <c r="C80" s="218">
        <f t="shared" ref="C80:M83" si="27">C79+C$57</f>
        <v>9714.2857142857138</v>
      </c>
      <c r="D80" s="218">
        <f t="shared" si="27"/>
        <v>9714.2857142857138</v>
      </c>
      <c r="E80" s="218">
        <f t="shared" si="27"/>
        <v>13761.904761904758</v>
      </c>
      <c r="F80" s="218">
        <f t="shared" si="27"/>
        <v>6880.9523809523789</v>
      </c>
      <c r="G80" s="218">
        <f t="shared" si="27"/>
        <v>9714.2857142857138</v>
      </c>
      <c r="H80" s="218">
        <f t="shared" si="27"/>
        <v>983.35473480139217</v>
      </c>
      <c r="I80" s="218">
        <f t="shared" si="27"/>
        <v>786.68378784111371</v>
      </c>
      <c r="J80" s="218">
        <f t="shared" si="27"/>
        <v>1376.6966287219486</v>
      </c>
      <c r="K80" s="218">
        <f t="shared" si="27"/>
        <v>1770.0385226425051</v>
      </c>
      <c r="L80" s="218">
        <f t="shared" si="27"/>
        <v>786.68378784111371</v>
      </c>
      <c r="M80" s="218">
        <f t="shared" si="27"/>
        <v>3933.4189392055687</v>
      </c>
      <c r="N80" s="218">
        <f t="shared" si="21"/>
        <v>59.422590686767926</v>
      </c>
      <c r="O80" s="218">
        <f t="shared" si="22"/>
        <v>55.489171747562359</v>
      </c>
      <c r="P80" s="162">
        <f t="shared" si="23"/>
        <v>540205369.87970829</v>
      </c>
      <c r="Q80" s="221">
        <f t="shared" si="24"/>
        <v>0.54020536987970835</v>
      </c>
      <c r="R80" s="221">
        <f t="shared" si="25"/>
        <v>540.20536987970831</v>
      </c>
    </row>
    <row r="81" spans="2:18" x14ac:dyDescent="0.2">
      <c r="B81" s="95">
        <v>2047</v>
      </c>
      <c r="C81" s="218">
        <f t="shared" si="27"/>
        <v>10285.714285714284</v>
      </c>
      <c r="D81" s="218">
        <f t="shared" si="27"/>
        <v>10285.714285714284</v>
      </c>
      <c r="E81" s="218">
        <f t="shared" si="27"/>
        <v>14571.428571428567</v>
      </c>
      <c r="F81" s="218">
        <f t="shared" si="27"/>
        <v>7285.7142857142835</v>
      </c>
      <c r="G81" s="218">
        <f t="shared" si="27"/>
        <v>10285.714285714284</v>
      </c>
      <c r="H81" s="218">
        <f t="shared" si="27"/>
        <v>1041.1991309661798</v>
      </c>
      <c r="I81" s="218">
        <f t="shared" si="27"/>
        <v>832.95930477294394</v>
      </c>
      <c r="J81" s="218">
        <f t="shared" si="27"/>
        <v>1457.6787833526514</v>
      </c>
      <c r="K81" s="218">
        <f t="shared" si="27"/>
        <v>1874.158435739123</v>
      </c>
      <c r="L81" s="218">
        <f t="shared" si="27"/>
        <v>832.95930477294394</v>
      </c>
      <c r="M81" s="218">
        <f t="shared" si="27"/>
        <v>4164.7965238647193</v>
      </c>
      <c r="N81" s="218">
        <f t="shared" si="21"/>
        <v>62.918037197754266</v>
      </c>
      <c r="O81" s="218">
        <f t="shared" si="22"/>
        <v>58.75324067388955</v>
      </c>
      <c r="P81" s="162">
        <f t="shared" si="23"/>
        <v>571982156.34322047</v>
      </c>
      <c r="Q81" s="221">
        <f t="shared" si="24"/>
        <v>0.57198215634322047</v>
      </c>
      <c r="R81" s="221">
        <f t="shared" si="25"/>
        <v>571.98215634322048</v>
      </c>
    </row>
    <row r="82" spans="2:18" x14ac:dyDescent="0.2">
      <c r="B82" s="95">
        <v>2048</v>
      </c>
      <c r="C82" s="218">
        <f t="shared" si="27"/>
        <v>10857.142857142855</v>
      </c>
      <c r="D82" s="218">
        <f t="shared" si="27"/>
        <v>10857.142857142855</v>
      </c>
      <c r="E82" s="218">
        <f t="shared" si="27"/>
        <v>15380.952380952376</v>
      </c>
      <c r="F82" s="218">
        <f t="shared" si="27"/>
        <v>7690.4761904761881</v>
      </c>
      <c r="G82" s="218">
        <f t="shared" si="27"/>
        <v>10857.142857142855</v>
      </c>
      <c r="H82" s="218">
        <f t="shared" si="27"/>
        <v>1099.0435271309675</v>
      </c>
      <c r="I82" s="218">
        <f t="shared" si="27"/>
        <v>879.23482170477416</v>
      </c>
      <c r="J82" s="218">
        <f t="shared" si="27"/>
        <v>1538.6609379833542</v>
      </c>
      <c r="K82" s="218">
        <f t="shared" si="27"/>
        <v>1978.2783488357409</v>
      </c>
      <c r="L82" s="218">
        <f t="shared" si="27"/>
        <v>879.23482170477416</v>
      </c>
      <c r="M82" s="218">
        <f t="shared" si="27"/>
        <v>4396.17410852387</v>
      </c>
      <c r="N82" s="218">
        <f t="shared" si="21"/>
        <v>66.413483708740614</v>
      </c>
      <c r="O82" s="218">
        <f t="shared" si="22"/>
        <v>62.017309600216741</v>
      </c>
      <c r="P82" s="162">
        <f t="shared" si="23"/>
        <v>603758942.80673289</v>
      </c>
      <c r="Q82" s="221">
        <f t="shared" si="24"/>
        <v>0.60375894280673292</v>
      </c>
      <c r="R82" s="221">
        <f t="shared" si="25"/>
        <v>603.75894280673288</v>
      </c>
    </row>
    <row r="83" spans="2:18" x14ac:dyDescent="0.2">
      <c r="B83" s="95">
        <v>2049</v>
      </c>
      <c r="C83" s="218">
        <f t="shared" si="27"/>
        <v>11428.571428571426</v>
      </c>
      <c r="D83" s="218">
        <f t="shared" si="27"/>
        <v>11428.571428571426</v>
      </c>
      <c r="E83" s="218">
        <f t="shared" si="27"/>
        <v>16190.476190476185</v>
      </c>
      <c r="F83" s="218">
        <f t="shared" si="27"/>
        <v>8095.2380952380927</v>
      </c>
      <c r="G83" s="218">
        <f t="shared" si="27"/>
        <v>11428.571428571426</v>
      </c>
      <c r="H83" s="218">
        <f t="shared" si="27"/>
        <v>1156.8879232957552</v>
      </c>
      <c r="I83" s="218">
        <f t="shared" si="27"/>
        <v>925.51033863660439</v>
      </c>
      <c r="J83" s="218">
        <f t="shared" si="27"/>
        <v>1619.643092614057</v>
      </c>
      <c r="K83" s="218">
        <f t="shared" si="27"/>
        <v>2082.3982619323588</v>
      </c>
      <c r="L83" s="218">
        <f t="shared" si="27"/>
        <v>925.51033863660439</v>
      </c>
      <c r="M83" s="218">
        <f t="shared" si="27"/>
        <v>4627.5516931830207</v>
      </c>
      <c r="N83" s="218">
        <f t="shared" si="21"/>
        <v>69.908930219726955</v>
      </c>
      <c r="O83" s="218">
        <f t="shared" si="22"/>
        <v>65.281378526543932</v>
      </c>
      <c r="P83" s="162">
        <f t="shared" si="23"/>
        <v>635535729.27024496</v>
      </c>
      <c r="Q83" s="221">
        <f t="shared" si="24"/>
        <v>0.63553572927024493</v>
      </c>
      <c r="R83" s="221">
        <f t="shared" si="25"/>
        <v>635.53572927024493</v>
      </c>
    </row>
    <row r="84" spans="2:18" x14ac:dyDescent="0.2">
      <c r="B84" s="220">
        <v>2050</v>
      </c>
      <c r="C84" s="222">
        <f>C85</f>
        <v>12000</v>
      </c>
      <c r="D84" s="222">
        <f t="shared" ref="D84:M84" si="28">D85</f>
        <v>12000</v>
      </c>
      <c r="E84" s="222">
        <f t="shared" si="28"/>
        <v>17000</v>
      </c>
      <c r="F84" s="222">
        <f t="shared" si="28"/>
        <v>8500</v>
      </c>
      <c r="G84" s="222">
        <f t="shared" si="28"/>
        <v>12000</v>
      </c>
      <c r="H84" s="222">
        <f t="shared" si="28"/>
        <v>1214.7323194605431</v>
      </c>
      <c r="I84" s="222">
        <f t="shared" si="28"/>
        <v>971.78585556843439</v>
      </c>
      <c r="J84" s="222">
        <f t="shared" si="28"/>
        <v>1700.6252472447604</v>
      </c>
      <c r="K84" s="222">
        <f t="shared" si="28"/>
        <v>2186.5181750289771</v>
      </c>
      <c r="L84" s="222">
        <f t="shared" si="28"/>
        <v>971.78585556843439</v>
      </c>
      <c r="M84" s="222">
        <f t="shared" si="28"/>
        <v>4858.9292778421723</v>
      </c>
      <c r="N84" s="222">
        <f t="shared" si="21"/>
        <v>73.404376730713309</v>
      </c>
      <c r="O84" s="222">
        <f t="shared" si="22"/>
        <v>68.545447452871144</v>
      </c>
      <c r="P84" s="162">
        <f t="shared" si="23"/>
        <v>667312515.73375726</v>
      </c>
      <c r="Q84" s="221">
        <f t="shared" si="24"/>
        <v>0.66731251573375727</v>
      </c>
      <c r="R84" s="221">
        <f t="shared" si="25"/>
        <v>667.31251573375732</v>
      </c>
    </row>
    <row r="85" spans="2:18" x14ac:dyDescent="0.2">
      <c r="B85" s="223" t="s">
        <v>296</v>
      </c>
      <c r="C85" s="76">
        <v>12000</v>
      </c>
      <c r="D85" s="76">
        <v>12000</v>
      </c>
      <c r="E85" s="76">
        <v>17000</v>
      </c>
      <c r="F85" s="76">
        <v>8500</v>
      </c>
      <c r="G85" s="76">
        <v>12000</v>
      </c>
      <c r="H85" s="219">
        <f>H87*H86</f>
        <v>1214.7323194605431</v>
      </c>
      <c r="I85" s="219">
        <f t="shared" ref="I85:M85" si="29">I87*I86</f>
        <v>971.78585556843439</v>
      </c>
      <c r="J85" s="219">
        <f t="shared" si="29"/>
        <v>1700.6252472447604</v>
      </c>
      <c r="K85" s="219">
        <f t="shared" si="29"/>
        <v>2186.5181750289771</v>
      </c>
      <c r="L85" s="219">
        <f t="shared" si="29"/>
        <v>971.78585556843439</v>
      </c>
      <c r="M85" s="219">
        <f t="shared" si="29"/>
        <v>4858.9292778421723</v>
      </c>
      <c r="R85" s="221"/>
    </row>
    <row r="86" spans="2:18" x14ac:dyDescent="0.2">
      <c r="B86" s="223" t="s">
        <v>297</v>
      </c>
      <c r="H86" s="76">
        <v>0.5</v>
      </c>
      <c r="I86" s="76">
        <v>0.5</v>
      </c>
      <c r="J86" s="76">
        <v>0.5</v>
      </c>
      <c r="K86" s="76">
        <v>0.5</v>
      </c>
      <c r="L86" s="76">
        <v>0.5</v>
      </c>
      <c r="M86" s="76">
        <v>0.5</v>
      </c>
    </row>
    <row r="87" spans="2:18" x14ac:dyDescent="0.2">
      <c r="H87" s="76">
        <v>2429.4646389210861</v>
      </c>
      <c r="I87" s="76">
        <v>1943.5717111368688</v>
      </c>
      <c r="J87" s="76">
        <v>3401.2504944895209</v>
      </c>
      <c r="K87" s="76">
        <v>4373.0363500579542</v>
      </c>
      <c r="L87" s="76">
        <v>1943.5717111368688</v>
      </c>
      <c r="M87" s="76">
        <v>9717.8585556843445</v>
      </c>
    </row>
  </sheetData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GeneralNETS</vt:lpstr>
      <vt:lpstr>CO2Storage</vt:lpstr>
      <vt:lpstr>DACCS</vt:lpstr>
      <vt:lpstr>PyCCs</vt:lpstr>
      <vt:lpstr>SCS</vt:lpstr>
      <vt:lpstr>SOC</vt:lpstr>
      <vt:lpstr>Forestry</vt:lpstr>
      <vt:lpstr>EW</vt:lpstr>
    </vt:vector>
  </TitlesOfParts>
  <Company>VTT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Markkanen</dc:creator>
  <cp:lastModifiedBy>Johanna Markkanen</cp:lastModifiedBy>
  <dcterms:created xsi:type="dcterms:W3CDTF">2025-02-28T07:43:27Z</dcterms:created>
  <dcterms:modified xsi:type="dcterms:W3CDTF">2025-12-05T11:11:49Z</dcterms:modified>
</cp:coreProperties>
</file>