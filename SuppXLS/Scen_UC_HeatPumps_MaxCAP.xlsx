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1" activeTab="1"/>
  </bookViews>
  <sheets>
    <sheet name="FillTable" sheetId="11" r:id="rId3"/>
    <sheet name="Rdw_Stock" sheetId="12" r:id="rId4"/>
    <sheet name="VDA_table" sheetId="10" r:id="rId5"/>
    <sheet name="STOCK 2010" sheetId="9" r:id="rId6"/>
    <sheet name="STOCK 2014" sheetId="8" r:id="rId7"/>
  </sheets>
  <definedNames/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</calcChain>
</file>

<file path=xl/sharedStrings.xml><?xml version="1.0" encoding="utf-8"?>
<sst xmlns="http://schemas.openxmlformats.org/spreadsheetml/2006/main" count="496" uniqueCount="152">
  <si>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</si>
  <si>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</si>
  <si>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</si>
  <si>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</si>
  <si>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</si>
  <si>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</si>
  <si>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</si>
  <si>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</si>
  <si>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</si>
  <si>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</si>
  <si>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</si>
  <si>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</si>
  <si>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</si>
  <si>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</si>
  <si>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</si>
  <si>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</si>
  <si>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</si>
  <si>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</si>
  <si>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</si>
  <si>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</si>
  <si>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</si>
  <si>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</si>
  <si>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</si>
  <si>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</si>
  <si>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</si>
  <si>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</si>
  <si>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</si>
  <si>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</si>
  <si>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</si>
  <si>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</si>
  <si>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</si>
  <si>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</si>
  <si>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</si>
  <si>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</si>
  <si>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</si>
  <si>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</si>
  <si>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</si>
  <si>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</si>
  <si>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</si>
  <si>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</si>
  <si>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</si>
  <si>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</si>
  <si>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</si>
  <si>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</si>
  <si>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</si>
  <si>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</si>
  <si>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</si>
  <si>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</si>
  <si>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</si>
  <si>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</si>
  <si>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</si>
  <si>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</si>
  <si>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</si>
  <si>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</si>
  <si>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</si>
  <si>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</si>
  <si>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</si>
  <si>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</si>
  <si>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</si>
  <si>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</si>
  <si>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</si>
  <si>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</si>
  <si>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</si>
  <si>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</si>
  <si>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</si>
  <si>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</si>
  <si>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</si>
  <si>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</si>
  <si>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</si>
  <si>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</si>
  <si>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</si>
  <si>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</si>
  <si>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</si>
  <si>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</si>
  <si>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</si>
  <si>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</si>
  <si>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</si>
  <si>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</si>
  <si>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</si>
  <si>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</si>
  <si>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</si>
  <si>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</si>
  <si>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</si>
  <si>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</si>
  <si>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</si>
  <si>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</si>
  <si>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</si>
  <si>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</si>
  <si>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</si>
  <si>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</si>
  <si>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Air</t>
  </si>
  <si>
    <t>Ground</t>
  </si>
  <si>
    <t>Stock 2010</t>
  </si>
  <si>
    <t>New ELC Techs</t>
  </si>
  <si>
    <t>~UC_T: UC_RHSRTS~UP</t>
  </si>
  <si>
    <t>UC_RHSRTS~UP~0</t>
  </si>
  <si>
    <t>AIR TOT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</si>
  <si>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</si>
  <si>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</si>
  <si>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</si>
  <si>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</si>
  <si>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</si>
  <si>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</si>
  <si>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</si>
  <si>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</si>
  <si>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</si>
  <si>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</si>
  <si>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</si>
  <si>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</si>
  <si>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year2</t>
  </si>
  <si>
    <t>NewHouses_and_retrofits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</si>
  <si>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</si>
  <si>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</si>
  <si>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</si>
  <si>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Max HP</t>
  </si>
  <si>
    <t>Max GHP Det</t>
  </si>
  <si>
    <t>Max GHP Flat</t>
  </si>
  <si>
    <t>Max GHP SDet</t>
  </si>
  <si>
    <t>UC_RSD_HPCAP-DH_Max</t>
  </si>
  <si>
    <t>UC_RSD_HPCAP-FL_Max</t>
  </si>
  <si>
    <t>UC_RSD_HPCAP-SD_Max</t>
  </si>
  <si>
    <t>Maximum STOCK Heat Pumps-FL</t>
  </si>
  <si>
    <t>Maximum STOCK Heat Pumps-DH</t>
  </si>
  <si>
    <t>Maximum STOCK Heat Pumps-SD</t>
  </si>
  <si>
    <t>R_ES-SH-DH*ELC*, -*ELC01, -*ELC-R, -*spl</t>
  </si>
  <si>
    <t>R_ES-SH-FL*ELC*, -*ELC01, -*ELC-R, -*spl</t>
  </si>
  <si>
    <t>R_ES-SH-SD*ELC*, -*ELC01, -*ELC-R, -*spl</t>
  </si>
  <si>
    <t>UC_RSD_GHPCAP-FL_Max</t>
  </si>
  <si>
    <t>UC_RSD_GHPCAP-DH_Max</t>
  </si>
  <si>
    <t>UC_RSD_GHPCAP-SD_Max</t>
  </si>
  <si>
    <t>Maximum STOCK Ground Heat Pumps-DH</t>
  </si>
  <si>
    <t>Maximum STOCK Ground Heat Pumps-FL</t>
  </si>
  <si>
    <t>Maximum STOCK Ground Heat Pumps-SD</t>
  </si>
  <si>
    <t>R_ES-SH-DH*ELC06, R_ES-SH-DH*ELC07, R_ES-SH-DH*ELC08, R_ES-SH-DH*ELC09, R_ES-SH-DH*ELC10, R_ES-SH-DH*ELC11, R_ES-SH-DH*ELC-HPG</t>
  </si>
  <si>
    <t>R_ES-SH-FL*ELC06, R_ES-SH-FL*ELC07, R_ES-SH-FL*ELC08, R_ES-SH-FL*ELC09, R_ES-SH-FL*ELC10, R_ES-SH-FL*ELC11, R_ES-SH-FL*ELC-HPG</t>
  </si>
  <si>
    <t>R_ES-SH-SD*ELC06, R_ES-SH-SD*ELC07, R_ES-SH-SD*ELC08, R_ES-SH-SD*ELC09, R_ES-SH-SD*ELC10, R_ES-SH-SD*ELC11, R_ES-SH-SD*ELC-HPG</t>
  </si>
  <si>
    <r>
      <t>HP Stock 2014</t>
    </r>
    <r>
      <rPr>
        <sz val="11"/>
        <color theme="1"/>
        <rFont val="Calibri"/>
        <family val="2"/>
        <scheme val="minor"/>
      </rPr>
      <t xml:space="preserve"> (n. of units)</t>
    </r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</si>
  <si>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</si>
  <si>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</si>
  <si>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</si>
  <si>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</si>
  <si>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</si>
  <si>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</si>
  <si>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</si>
  <si>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</si>
  <si>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</si>
  <si>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</si>
  <si>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scenario</t>
  </si>
  <si>
    <t>-</t>
  </si>
  <si>
    <t>2010</t>
  </si>
  <si>
    <t>2050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</si>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</sst>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* #,##0.00_);_(* \(#,##0.00\);_(* &quot;-&quot;??_);_(@_)"/>
    <numFmt numFmtId="167" formatCode="&quot;$&quot;#,##0_);\(&quot;$&quot;#,##0\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8" tint="0.799950003623962"/>
        <bgColor indexed="64"/>
      </patternFill>
    </fill>
    <fill>
      <patternFill patternType="solid">
        <fgColor theme="4" tint="0.799950003623962"/>
        <bgColor indexed="64"/>
      </patternFill>
    </fill>
    <fill>
      <patternFill patternType="solid">
        <fgColor theme="5" tint="0.79995000362396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6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45">
    <xf numFmtId="0" fontId="0" fillId="0" borderId="0" xfId="0"/>
    <xf numFmtId="1" fontId="0" fillId="0" borderId="0" xfId="0" applyNumberFormat="1"/>
    <xf numFmtId="0" fontId="0" fillId="0" borderId="24" xfId="50" applyFont="1" applyBorder="1">
      <alignment/>
      <protection/>
    </xf>
    <xf numFmtId="0" fontId="0" fillId="0" borderId="0" xfId="0" applyFont="1"/>
    <xf numFmtId="0" fontId="0" fillId="0" borderId="0" xfId="50" applyFont="1">
      <alignment/>
      <protection/>
    </xf>
    <xf numFmtId="0" fontId="54" fillId="8" borderId="0" xfId="160" applyFont="1"/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0" fontId="14" fillId="34" borderId="25" xfId="0" applyFont="1" applyFill="1" applyBorder="1"/>
    <xf numFmtId="1" fontId="0" fillId="35" borderId="0" xfId="0" applyNumberFormat="1" applyFont="1" applyFill="1" applyBorder="1"/>
    <xf numFmtId="1" fontId="0" fillId="35" borderId="24" xfId="0" applyNumberFormat="1" applyFont="1" applyFill="1" applyBorder="1"/>
    <xf numFmtId="181" fontId="0" fillId="0" borderId="0" xfId="0" applyNumberFormat="1" applyFont="1"/>
    <xf numFmtId="1" fontId="14" fillId="36" borderId="25" xfId="0" applyNumberFormat="1" applyFont="1" applyFill="1" applyBorder="1" applyAlignment="1">
      <alignment vertical="center"/>
    </xf>
    <xf numFmtId="0" fontId="58" fillId="0" borderId="0" xfId="0" applyFont="1"/>
    <xf numFmtId="0" fontId="56" fillId="0" borderId="0" xfId="50" applyFont="1" applyBorder="1">
      <alignment/>
      <protection/>
    </xf>
    <xf numFmtId="0" fontId="56" fillId="0" borderId="0" xfId="50" applyFont="1" applyBorder="1" applyAlignment="1">
      <alignment wrapText="1"/>
      <protection/>
    </xf>
    <xf numFmtId="0" fontId="0" fillId="0" borderId="0" xfId="0" applyFont="1" applyFill="1"/>
    <xf numFmtId="1" fontId="0" fillId="0" borderId="0" xfId="0" applyNumberFormat="1" applyFont="1"/>
    <xf numFmtId="9" fontId="0" fillId="0" borderId="0" xfId="0" applyNumberFormat="1" applyFont="1"/>
    <xf numFmtId="0" fontId="3" fillId="0" borderId="0" xfId="0" applyFont="1"/>
    <xf numFmtId="0" fontId="0" fillId="0" borderId="0" xfId="0" applyFill="1"/>
    <xf numFmtId="0" fontId="0" fillId="37" borderId="0" xfId="0" applyFont="1" applyFill="1"/>
    <xf numFmtId="1" fontId="0" fillId="37" borderId="0" xfId="0" applyNumberFormat="1" applyFont="1" applyFill="1"/>
    <xf numFmtId="0" fontId="0" fillId="37" borderId="0" xfId="0" applyFont="1" applyFill="1" applyBorder="1"/>
    <xf numFmtId="1" fontId="0" fillId="37" borderId="0" xfId="0" applyNumberFormat="1" applyFont="1" applyFill="1" applyBorder="1"/>
    <xf numFmtId="0" fontId="0" fillId="37" borderId="24" xfId="0" applyFont="1" applyFill="1" applyBorder="1"/>
    <xf numFmtId="1" fontId="0" fillId="37" borderId="24" xfId="0" applyNumberFormat="1" applyFont="1" applyFill="1" applyBorder="1"/>
    <xf numFmtId="0" fontId="59" fillId="37" borderId="0" xfId="0" applyFont="1" applyFill="1" applyBorder="1"/>
    <xf numFmtId="9" fontId="55" fillId="8" borderId="0" xfId="15" applyFont="1" applyFill="1"/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1" fontId="0" fillId="0" borderId="24" xfId="0" applyNumberFormat="1" applyFont="1" applyBorder="1"/>
    <xf numFmtId="0" fontId="56" fillId="0" borderId="0" xfId="66" applyFont="1" applyBorder="1" applyAlignment="1">
      <alignment vertical="center"/>
      <protection/>
    </xf>
    <xf numFmtId="0" fontId="56" fillId="0" borderId="0" xfId="20" applyFont="1" applyBorder="1">
      <alignment/>
      <protection/>
    </xf>
    <xf numFmtId="1" fontId="0" fillId="0" borderId="0" xfId="0" applyNumberFormat="1" applyFont="1" applyBorder="1"/>
    <xf numFmtId="0" fontId="56" fillId="0" borderId="24" xfId="50" applyFont="1" applyBorder="1">
      <alignment/>
      <protection/>
    </xf>
    <xf numFmtId="0" fontId="0" fillId="0" borderId="24" xfId="0" applyFont="1" applyBorder="1"/>
    <xf numFmtId="0" fontId="59" fillId="37" borderId="0" xfId="0" applyFont="1" applyFill="1"/>
    <xf numFmtId="0" fontId="59" fillId="37" borderId="24" xfId="0" applyFont="1" applyFill="1" applyBorder="1"/>
    <xf numFmtId="0" fontId="59" fillId="35" borderId="0" xfId="0" applyFont="1" applyFill="1" applyBorder="1"/>
    <xf numFmtId="0" fontId="59" fillId="35" borderId="24" xfId="0" applyFont="1" applyFill="1" applyBorder="1"/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alcChain" Target="calcChain.xml" /><Relationship Id="rId1" Type="http://schemas.openxmlformats.org/officeDocument/2006/relationships/theme" Target="theme/theme1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2010'!$L$5:$L$25</c:f>
              <c:numCache>
                <c:formatCode>0</c:formatCode>
                <c:ptCount val="21"/>
                <c:pt idx="0">
                  <c:v>302</c:v>
                </c:pt>
                <c:pt idx="1">
                  <c:v>164</c:v>
                </c:pt>
                <c:pt idx="2">
                  <c:v>650</c:v>
                </c:pt>
                <c:pt idx="3">
                  <c:v>927</c:v>
                </c:pt>
                <c:pt idx="4">
                  <c:v>2879</c:v>
                </c:pt>
                <c:pt idx="5">
                  <c:v>9724</c:v>
                </c:pt>
                <c:pt idx="6">
                  <c:v>1200</c:v>
                </c:pt>
                <c:pt idx="7">
                  <c:v>9070.264989</c:v>
                </c:pt>
                <c:pt idx="8">
                  <c:v>1520</c:v>
                </c:pt>
                <c:pt idx="9">
                  <c:v>0</c:v>
                </c:pt>
                <c:pt idx="10">
                  <c:v>25245</c:v>
                </c:pt>
                <c:pt idx="11">
                  <c:v>4226</c:v>
                </c:pt>
                <c:pt idx="12">
                  <c:v>59579</c:v>
                </c:pt>
                <c:pt idx="13">
                  <c:v>21063</c:v>
                </c:pt>
                <c:pt idx="14">
                  <c:v>0</c:v>
                </c:pt>
                <c:pt idx="15">
                  <c:v>6326</c:v>
                </c:pt>
                <c:pt idx="16">
                  <c:v>130781</c:v>
                </c:pt>
                <c:pt idx="17">
                  <c:v>20941</c:v>
                </c:pt>
                <c:pt idx="18">
                  <c:v>1240</c:v>
                </c:pt>
                <c:pt idx="19">
                  <c:v>366053</c:v>
                </c:pt>
                <c:pt idx="20">
                  <c:v>96565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2010'!$M$5:$M$25</c:f>
              <c:numCache>
                <c:formatCode>0</c:formatCode>
                <c:ptCount val="21"/>
                <c:pt idx="0">
                  <c:v>0</c:v>
                </c:pt>
                <c:pt idx="1">
                  <c:v>268.02</c:v>
                </c:pt>
                <c:pt idx="2">
                  <c:v>58.5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130.5</c:v>
                </c:pt>
                <c:pt idx="8">
                  <c:v>34320</c:v>
                </c:pt>
                <c:pt idx="9">
                  <c:v>49669.255</c:v>
                </c:pt>
                <c:pt idx="10">
                  <c:v>0</c:v>
                </c:pt>
                <c:pt idx="11">
                  <c:v>42163</c:v>
                </c:pt>
                <c:pt idx="12">
                  <c:v>0</c:v>
                </c:pt>
                <c:pt idx="13">
                  <c:v>0</c:v>
                </c:pt>
                <c:pt idx="14">
                  <c:v>67229.95</c:v>
                </c:pt>
                <c:pt idx="15">
                  <c:v>297948</c:v>
                </c:pt>
                <c:pt idx="16">
                  <c:v>1371.6</c:v>
                </c:pt>
                <c:pt idx="17">
                  <c:v>504182</c:v>
                </c:pt>
                <c:pt idx="18">
                  <c:v>715200.73</c:v>
                </c:pt>
                <c:pt idx="19">
                  <c:v>217550.715</c:v>
                </c:pt>
                <c:pt idx="20">
                  <c:v>402543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2010'!$N$5:$N$25</c:f>
              <c:numCache>
                <c:formatCode>0</c:formatCode>
                <c:ptCount val="21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3</c:v>
                </c:pt>
                <c:pt idx="4">
                  <c:v>1611</c:v>
                </c:pt>
                <c:pt idx="5">
                  <c:v>10</c:v>
                </c:pt>
                <c:pt idx="6">
                  <c:v>2060</c:v>
                </c:pt>
                <c:pt idx="7">
                  <c:v>5901</c:v>
                </c:pt>
                <c:pt idx="8">
                  <c:v>0</c:v>
                </c:pt>
                <c:pt idx="9">
                  <c:v>427</c:v>
                </c:pt>
                <c:pt idx="10">
                  <c:v>0</c:v>
                </c:pt>
                <c:pt idx="11">
                  <c:v>6580</c:v>
                </c:pt>
                <c:pt idx="12">
                  <c:v>1487</c:v>
                </c:pt>
                <c:pt idx="13">
                  <c:v>80685</c:v>
                </c:pt>
                <c:pt idx="14">
                  <c:v>0</c:v>
                </c:pt>
                <c:pt idx="15">
                  <c:v>0</c:v>
                </c:pt>
                <c:pt idx="16">
                  <c:v>102515</c:v>
                </c:pt>
                <c:pt idx="17">
                  <c:v>0</c:v>
                </c:pt>
                <c:pt idx="18">
                  <c:v>0</c:v>
                </c:pt>
                <c:pt idx="19">
                  <c:v>29000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2010'!$O$5:$O$25</c:f>
              <c:numCache>
                <c:formatCode>0</c:formatCode>
                <c:ptCount val="21"/>
                <c:pt idx="0">
                  <c:v>769</c:v>
                </c:pt>
                <c:pt idx="1">
                  <c:v>520</c:v>
                </c:pt>
                <c:pt idx="2">
                  <c:v>500</c:v>
                </c:pt>
                <c:pt idx="3">
                  <c:v>1279</c:v>
                </c:pt>
                <c:pt idx="4">
                  <c:v>1954</c:v>
                </c:pt>
                <c:pt idx="5">
                  <c:v>8747</c:v>
                </c:pt>
                <c:pt idx="6">
                  <c:v>4120</c:v>
                </c:pt>
                <c:pt idx="7">
                  <c:v>18652.7350114</c:v>
                </c:pt>
                <c:pt idx="8">
                  <c:v>3735</c:v>
                </c:pt>
                <c:pt idx="9">
                  <c:v>0</c:v>
                </c:pt>
                <c:pt idx="10">
                  <c:v>16160</c:v>
                </c:pt>
                <c:pt idx="11">
                  <c:v>13528</c:v>
                </c:pt>
                <c:pt idx="12">
                  <c:v>45733</c:v>
                </c:pt>
                <c:pt idx="13">
                  <c:v>69213</c:v>
                </c:pt>
                <c:pt idx="14">
                  <c:v>0</c:v>
                </c:pt>
                <c:pt idx="15">
                  <c:v>34934</c:v>
                </c:pt>
                <c:pt idx="16">
                  <c:v>216821</c:v>
                </c:pt>
                <c:pt idx="17">
                  <c:v>25248</c:v>
                </c:pt>
                <c:pt idx="18">
                  <c:v>357</c:v>
                </c:pt>
                <c:pt idx="19">
                  <c:v>84737</c:v>
                </c:pt>
                <c:pt idx="20">
                  <c:v>372685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4186162"/>
        <c:axId val="52205642"/>
      </c:barChart>
      <c:catAx>
        <c:axId val="418616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52205642"/>
        <c:crosses val="autoZero"/>
        <c:auto val="1"/>
        <c:lblOffset val="100"/>
        <c:noMultiLvlLbl val="0"/>
      </c:catAx>
      <c:valAx>
        <c:axId val="5220564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418616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47549119"/>
        <c:axId val="62617402"/>
      </c:barChart>
      <c:catAx>
        <c:axId val="4754911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62617402"/>
        <c:crosses val="autoZero"/>
        <c:auto val="1"/>
        <c:lblOffset val="100"/>
        <c:noMultiLvlLbl val="0"/>
      </c:catAx>
      <c:valAx>
        <c:axId val="626174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47549119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279538</xdr:colOff>
      <xdr:row>37</xdr:row>
      <xdr:rowOff>11388</xdr:rowOff>
    </xdr:from>
    <xdr:to>
      <xdr:col>29</xdr:col>
      <xdr:colOff>50938</xdr:colOff>
      <xdr:row>68</xdr:row>
      <xdr:rowOff>139976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6981825" y="6715125"/>
        <a:ext cx="11563350" cy="57435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638675"/>
        <a:ext cx="11515725" cy="5734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705350"/>
          <a:ext cx="5734050" cy="49339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"/>
  <sheetViews>
    <sheetView workbookViewId="0" topLeftCell="A1">
      <selection pane="topLeft" activeCell="O29" sqref="O29"/>
    </sheetView>
  </sheetViews>
  <sheetFormatPr defaultRowHeight="14.4"/>
  <cols>
    <col min="4" max="4" width="10.7142857142857" bestFit="1" customWidth="1"/>
  </cols>
  <sheetData>
    <row r="2" spans="2:2" ht="14.4">
      <c r="B2" s="22" t="s">
        <v>104</v>
      </c>
    </row>
    <row r="3" spans="2:10" ht="14.4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4.4">
      <c r="D4" s="23" t="s">
        <v>105</v>
      </c>
      <c r="F4">
        <v>1</v>
      </c>
      <c r="G4" s="22"/>
      <c r="H4" s="22"/>
      <c r="I4" s="22"/>
      <c r="J4" t="s">
        <v>106</v>
      </c>
    </row>
    <row r="5" spans="4:10" ht="14.4">
      <c r="D5" s="23" t="s">
        <v>105</v>
      </c>
      <c r="F5">
        <v>1</v>
      </c>
      <c r="G5" s="22"/>
      <c r="H5" s="22"/>
      <c r="J5" t="s">
        <v>107</v>
      </c>
    </row>
    <row r="6" spans="4:10" ht="14.4">
      <c r="D6" s="23" t="s">
        <v>105</v>
      </c>
      <c r="F6">
        <v>1</v>
      </c>
      <c r="G6" s="22"/>
      <c r="H6" s="22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"/>
  <sheetViews>
    <sheetView tabSelected="1" workbookViewId="0" topLeftCell="A1">
      <selection pane="topLeft" activeCell="A4" sqref="A4"/>
    </sheetView>
  </sheetViews>
  <sheetFormatPr defaultRowHeight="14.4"/>
  <cols>
    <col min="1" max="1" width="24.5714285714286" bestFit="1" customWidth="1"/>
    <col min="2" max="2" width="10.7142857142857" bestFit="1" customWidth="1"/>
  </cols>
  <sheetData>
    <row r="1" spans="1:49" ht="14.4">
      <c r="A1" t="s">
        <v>147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84</v>
      </c>
      <c r="M1" t="s">
        <v>0</v>
      </c>
      <c r="N1" t="s">
        <v>85</v>
      </c>
      <c r="O1" t="s">
        <v>1</v>
      </c>
      <c r="P1" t="s">
        <v>74</v>
      </c>
      <c r="Q1" t="s">
        <v>20</v>
      </c>
      <c r="R1" t="s">
        <v>75</v>
      </c>
      <c r="S1" t="s">
        <v>2</v>
      </c>
      <c r="T1" t="s">
        <v>3</v>
      </c>
      <c r="U1" t="s">
        <v>4</v>
      </c>
      <c r="V1" t="s">
        <v>5</v>
      </c>
      <c r="W1" t="s">
        <v>76</v>
      </c>
      <c r="X1" t="s">
        <v>6</v>
      </c>
      <c r="Y1" t="s">
        <v>7</v>
      </c>
      <c r="Z1" t="s">
        <v>8</v>
      </c>
      <c r="AA1" t="s">
        <v>77</v>
      </c>
      <c r="AB1" t="s">
        <v>9</v>
      </c>
      <c r="AC1" t="s">
        <v>10</v>
      </c>
      <c r="AD1" t="s">
        <v>78</v>
      </c>
      <c r="AE1" t="s">
        <v>11</v>
      </c>
      <c r="AF1" t="s">
        <v>89</v>
      </c>
      <c r="AG1" t="s">
        <v>12</v>
      </c>
      <c r="AH1" t="s">
        <v>79</v>
      </c>
      <c r="AI1" t="s">
        <v>80</v>
      </c>
      <c r="AJ1" t="s">
        <v>86</v>
      </c>
      <c r="AK1" t="s">
        <v>87</v>
      </c>
      <c r="AL1" t="s">
        <v>81</v>
      </c>
      <c r="AM1" t="s">
        <v>13</v>
      </c>
      <c r="AN1" t="s">
        <v>19</v>
      </c>
      <c r="AO1" t="s">
        <v>14</v>
      </c>
      <c r="AP1" t="s">
        <v>15</v>
      </c>
      <c r="AQ1" t="s">
        <v>82</v>
      </c>
      <c r="AR1" t="s">
        <v>88</v>
      </c>
      <c r="AS1" t="s">
        <v>16</v>
      </c>
      <c r="AT1" t="s">
        <v>83</v>
      </c>
      <c r="AU1" t="s">
        <v>17</v>
      </c>
      <c r="AV1" t="s">
        <v>18</v>
      </c>
      <c r="AW1" t="s">
        <v>109</v>
      </c>
    </row>
    <row r="2" spans="1:49" ht="14.4">
      <c r="A2" t="s">
        <v>110</v>
      </c>
      <c r="B2" t="s">
        <v>105</v>
      </c>
      <c r="C2" t="s">
        <v>148</v>
      </c>
      <c r="D2" t="s">
        <v>106</v>
      </c>
      <c r="E2" t="s">
        <v>148</v>
      </c>
      <c r="F2" t="s">
        <v>148</v>
      </c>
      <c r="G2" t="s">
        <v>149</v>
      </c>
      <c r="H2" t="s">
        <v>148</v>
      </c>
      <c r="I2" t="s">
        <v>148</v>
      </c>
      <c r="J2" t="s">
        <v>148</v>
      </c>
      <c r="K2" t="s">
        <v>148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148</v>
      </c>
    </row>
    <row r="3" spans="1:49" ht="14.4">
      <c r="A3" t="s">
        <v>110</v>
      </c>
      <c r="B3" t="s">
        <v>105</v>
      </c>
      <c r="C3" t="s">
        <v>148</v>
      </c>
      <c r="D3" t="s">
        <v>106</v>
      </c>
      <c r="E3" t="s">
        <v>148</v>
      </c>
      <c r="F3" t="s">
        <v>148</v>
      </c>
      <c r="G3" t="s">
        <v>150</v>
      </c>
      <c r="H3" t="s">
        <v>148</v>
      </c>
      <c r="I3" t="s">
        <v>148</v>
      </c>
      <c r="J3" t="s">
        <v>148</v>
      </c>
      <c r="K3" t="s">
        <v>148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148</v>
      </c>
    </row>
    <row r="4" spans="1:49" ht="14.4">
      <c r="A4" t="s">
        <v>110</v>
      </c>
      <c r="B4" t="s">
        <v>105</v>
      </c>
      <c r="C4" t="s">
        <v>148</v>
      </c>
      <c r="D4" t="s">
        <v>106</v>
      </c>
      <c r="E4" t="s">
        <v>148</v>
      </c>
      <c r="F4" t="s">
        <v>148</v>
      </c>
      <c r="G4" t="s">
        <v>151</v>
      </c>
      <c r="H4" t="s">
        <v>148</v>
      </c>
      <c r="I4" t="s">
        <v>148</v>
      </c>
      <c r="J4" t="s">
        <v>148</v>
      </c>
      <c r="K4" t="s">
        <v>148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148</v>
      </c>
    </row>
    <row r="5" spans="1:49" ht="14.4">
      <c r="A5" t="s">
        <v>110</v>
      </c>
      <c r="B5" t="s">
        <v>105</v>
      </c>
      <c r="C5" t="s">
        <v>148</v>
      </c>
      <c r="D5" t="s">
        <v>107</v>
      </c>
      <c r="E5" t="s">
        <v>148</v>
      </c>
      <c r="F5" t="s">
        <v>148</v>
      </c>
      <c r="G5" t="s">
        <v>149</v>
      </c>
      <c r="H5" t="s">
        <v>148</v>
      </c>
      <c r="I5" t="s">
        <v>148</v>
      </c>
      <c r="J5" t="s">
        <v>148</v>
      </c>
      <c r="K5" t="s">
        <v>148</v>
      </c>
      <c r="L5">
        <v>196.66972424213799</v>
      </c>
      <c r="M5">
        <v>1468.1931444905699</v>
      </c>
      <c r="N5">
        <v>271.18740136497502</v>
      </c>
      <c r="O5">
        <v>905.52301441199199</v>
      </c>
      <c r="P5">
        <v>777.21770601382104</v>
      </c>
      <c r="Q5">
        <v>1648.28521152997</v>
      </c>
      <c r="R5">
        <v>83.5448736928291</v>
      </c>
      <c r="S5">
        <v>2208.0312140248402</v>
      </c>
      <c r="T5">
        <v>18507.478934742299</v>
      </c>
      <c r="U5">
        <v>1066.67625172521</v>
      </c>
      <c r="V5">
        <v>488.146378750765</v>
      </c>
      <c r="W5">
        <v>1679.0753129779901</v>
      </c>
      <c r="X5">
        <v>7433.1088118539301</v>
      </c>
      <c r="Y5">
        <v>1108.17231523071</v>
      </c>
      <c r="Z5">
        <v>9195.3526981771192</v>
      </c>
      <c r="AA5">
        <v>505.02472685864501</v>
      </c>
      <c r="AB5">
        <v>1314.8023053054101</v>
      </c>
      <c r="AC5">
        <v>148.11826981025001</v>
      </c>
      <c r="AD5">
        <v>67.1621346364728</v>
      </c>
      <c r="AE5">
        <v>17047.8841549219</v>
      </c>
      <c r="AF5">
        <v>159.63428240686099</v>
      </c>
      <c r="AG5">
        <v>725.543466048396</v>
      </c>
      <c r="AH5">
        <v>67.999999638297794</v>
      </c>
      <c r="AI5">
        <v>576.16017362476396</v>
      </c>
      <c r="AJ5">
        <v>98.552265437365506</v>
      </c>
      <c r="AK5">
        <v>160.89708606675001</v>
      </c>
      <c r="AL5">
        <v>16.335462474584801</v>
      </c>
      <c r="AM5">
        <v>1728.7005676351</v>
      </c>
      <c r="AN5">
        <v>1151.6628112433</v>
      </c>
      <c r="AO5">
        <v>6734.1391844108903</v>
      </c>
      <c r="AP5">
        <v>514.68576543917504</v>
      </c>
      <c r="AQ5">
        <v>2050.9073432785099</v>
      </c>
      <c r="AR5">
        <v>801.27752404119997</v>
      </c>
      <c r="AS5">
        <v>2426.7814922366401</v>
      </c>
      <c r="AT5">
        <v>461.41891138861399</v>
      </c>
      <c r="AU5">
        <v>580.36075202452605</v>
      </c>
      <c r="AV5">
        <v>3928.2270816740302</v>
      </c>
      <c r="AW5" t="s">
        <v>148</v>
      </c>
    </row>
    <row r="6" spans="1:49" ht="14.4">
      <c r="A6" t="s">
        <v>110</v>
      </c>
      <c r="B6" t="s">
        <v>105</v>
      </c>
      <c r="C6" t="s">
        <v>148</v>
      </c>
      <c r="D6" t="s">
        <v>107</v>
      </c>
      <c r="E6" t="s">
        <v>148</v>
      </c>
      <c r="F6" t="s">
        <v>148</v>
      </c>
      <c r="G6" t="s">
        <v>150</v>
      </c>
      <c r="H6" t="s">
        <v>148</v>
      </c>
      <c r="I6" t="s">
        <v>148</v>
      </c>
      <c r="J6" t="s">
        <v>148</v>
      </c>
      <c r="K6" t="s">
        <v>148</v>
      </c>
      <c r="L6">
        <v>594.93412284646195</v>
      </c>
      <c r="M6">
        <v>1849.3437949404499</v>
      </c>
      <c r="N6">
        <v>533.67917828783504</v>
      </c>
      <c r="O6">
        <v>1352.0842015303599</v>
      </c>
      <c r="P6">
        <v>878.78692912233498</v>
      </c>
      <c r="Q6">
        <v>2219.15015327323</v>
      </c>
      <c r="R6">
        <v>111.816814329298</v>
      </c>
      <c r="S6">
        <v>2881.97564738445</v>
      </c>
      <c r="T6">
        <v>17471.245290423802</v>
      </c>
      <c r="U6">
        <v>1247.02971181476</v>
      </c>
      <c r="V6">
        <v>410.02138328230302</v>
      </c>
      <c r="W6">
        <v>1751.49295265102</v>
      </c>
      <c r="X6">
        <v>9405.3351305155393</v>
      </c>
      <c r="Y6">
        <v>1243.27710085749</v>
      </c>
      <c r="Z6">
        <v>10926.6783234369</v>
      </c>
      <c r="AA6">
        <v>585.209313207994</v>
      </c>
      <c r="AB6">
        <v>1192.00799566468</v>
      </c>
      <c r="AC6">
        <v>194.51586367719199</v>
      </c>
      <c r="AD6">
        <v>86.628122498979195</v>
      </c>
      <c r="AE6">
        <v>18505.0277567919</v>
      </c>
      <c r="AF6">
        <v>342.42976242738501</v>
      </c>
      <c r="AG6">
        <v>432.69102066230698</v>
      </c>
      <c r="AH6">
        <v>164.42580851063801</v>
      </c>
      <c r="AI6">
        <v>388.64785022710402</v>
      </c>
      <c r="AJ6">
        <v>120.086299956801</v>
      </c>
      <c r="AK6">
        <v>301.26036751984299</v>
      </c>
      <c r="AL6">
        <v>33.804364966159</v>
      </c>
      <c r="AM6">
        <v>2147.81464239968</v>
      </c>
      <c r="AN6">
        <v>1562.0320805865999</v>
      </c>
      <c r="AO6">
        <v>7676.4269807335004</v>
      </c>
      <c r="AP6">
        <v>1141.83975008075</v>
      </c>
      <c r="AQ6">
        <v>2464.3513275</v>
      </c>
      <c r="AR6">
        <v>1133.1086572721499</v>
      </c>
      <c r="AS6">
        <v>3425.3517494702101</v>
      </c>
      <c r="AT6">
        <v>547.313698979376</v>
      </c>
      <c r="AU6">
        <v>748.76980913823002</v>
      </c>
      <c r="AV6">
        <v>5444.8133686860201</v>
      </c>
      <c r="AW6" t="s">
        <v>148</v>
      </c>
    </row>
    <row r="7" spans="1:49" ht="14.4">
      <c r="A7" t="s">
        <v>110</v>
      </c>
      <c r="B7" t="s">
        <v>105</v>
      </c>
      <c r="C7" t="s">
        <v>148</v>
      </c>
      <c r="D7" t="s">
        <v>107</v>
      </c>
      <c r="E7" t="s">
        <v>148</v>
      </c>
      <c r="F7" t="s">
        <v>148</v>
      </c>
      <c r="G7" t="s">
        <v>151</v>
      </c>
      <c r="H7" t="s">
        <v>148</v>
      </c>
      <c r="I7" t="s">
        <v>148</v>
      </c>
      <c r="J7" t="s">
        <v>148</v>
      </c>
      <c r="K7" t="s">
        <v>148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148</v>
      </c>
    </row>
    <row r="8" spans="1:49" ht="14.4">
      <c r="A8" t="s">
        <v>110</v>
      </c>
      <c r="B8" t="s">
        <v>105</v>
      </c>
      <c r="C8" t="s">
        <v>148</v>
      </c>
      <c r="D8" t="s">
        <v>108</v>
      </c>
      <c r="E8" t="s">
        <v>148</v>
      </c>
      <c r="F8" t="s">
        <v>148</v>
      </c>
      <c r="G8" t="s">
        <v>149</v>
      </c>
      <c r="H8" t="s">
        <v>148</v>
      </c>
      <c r="I8" t="s">
        <v>148</v>
      </c>
      <c r="J8" t="s">
        <v>148</v>
      </c>
      <c r="K8" t="s">
        <v>148</v>
      </c>
      <c r="L8">
        <v>48.267498585209196</v>
      </c>
      <c r="M8">
        <v>470.44080729921598</v>
      </c>
      <c r="N8">
        <v>79.842639754449607</v>
      </c>
      <c r="O8">
        <v>1585.6864897222899</v>
      </c>
      <c r="P8">
        <v>335.33279917511499</v>
      </c>
      <c r="Q8">
        <v>944.09207412879698</v>
      </c>
      <c r="R8">
        <v>108.10427898787999</v>
      </c>
      <c r="S8">
        <v>608.78058155096699</v>
      </c>
      <c r="T8">
        <v>8085.1738767626803</v>
      </c>
      <c r="U8">
        <v>531.00509997212998</v>
      </c>
      <c r="V8">
        <v>51.8056805448864</v>
      </c>
      <c r="W8">
        <v>412.08562022410098</v>
      </c>
      <c r="X8">
        <v>2157.0210401387399</v>
      </c>
      <c r="Y8">
        <v>598.70621603794302</v>
      </c>
      <c r="Z8">
        <v>5600.5710921203899</v>
      </c>
      <c r="AA8">
        <v>227.63959739245499</v>
      </c>
      <c r="AB8">
        <v>567.53090466114202</v>
      </c>
      <c r="AC8">
        <v>700.17966555581404</v>
      </c>
      <c r="AD8">
        <v>40.710304317715</v>
      </c>
      <c r="AE8">
        <v>3755.6580946086501</v>
      </c>
      <c r="AF8">
        <v>46.999316481953798</v>
      </c>
      <c r="AG8">
        <v>131.79385110597499</v>
      </c>
      <c r="AH8">
        <v>67.688622394445105</v>
      </c>
      <c r="AI8">
        <v>73.615615852930205</v>
      </c>
      <c r="AJ8">
        <v>24.187105315257199</v>
      </c>
      <c r="AK8">
        <v>63.288108733270299</v>
      </c>
      <c r="AL8">
        <v>45.592677880469303</v>
      </c>
      <c r="AM8">
        <v>3357.5157752383102</v>
      </c>
      <c r="AN8">
        <v>364.130577894233</v>
      </c>
      <c r="AO8">
        <v>1247.67525922551</v>
      </c>
      <c r="AP8">
        <v>330.83001010664299</v>
      </c>
      <c r="AQ8">
        <v>604.098545274309</v>
      </c>
      <c r="AR8">
        <v>235.91107984126899</v>
      </c>
      <c r="AS8">
        <v>565.48786980541695</v>
      </c>
      <c r="AT8">
        <v>64.875141320435105</v>
      </c>
      <c r="AU8">
        <v>128.41321929206799</v>
      </c>
      <c r="AV8">
        <v>13230.7891913522</v>
      </c>
      <c r="AW8" t="s">
        <v>148</v>
      </c>
    </row>
    <row r="9" spans="1:49" ht="14.4">
      <c r="A9" t="s">
        <v>110</v>
      </c>
      <c r="B9" t="s">
        <v>105</v>
      </c>
      <c r="C9" t="s">
        <v>148</v>
      </c>
      <c r="D9" t="s">
        <v>108</v>
      </c>
      <c r="E9" t="s">
        <v>148</v>
      </c>
      <c r="F9" t="s">
        <v>148</v>
      </c>
      <c r="G9" t="s">
        <v>150</v>
      </c>
      <c r="H9" t="s">
        <v>148</v>
      </c>
      <c r="I9" t="s">
        <v>148</v>
      </c>
      <c r="J9" t="s">
        <v>148</v>
      </c>
      <c r="K9" t="s">
        <v>148</v>
      </c>
      <c r="L9">
        <v>146.01119741963601</v>
      </c>
      <c r="M9">
        <v>592.56971136958896</v>
      </c>
      <c r="N9">
        <v>157.125125142298</v>
      </c>
      <c r="O9">
        <v>2367.6721819443301</v>
      </c>
      <c r="P9">
        <v>379.15513059072703</v>
      </c>
      <c r="Q9">
        <v>1271.0676868005601</v>
      </c>
      <c r="R9">
        <v>144.68722684570801</v>
      </c>
      <c r="S9">
        <v>794.59511237266895</v>
      </c>
      <c r="T9">
        <v>7632.4850356294401</v>
      </c>
      <c r="U9">
        <v>620.78736235050201</v>
      </c>
      <c r="V9">
        <v>43.514481974147202</v>
      </c>
      <c r="W9">
        <v>429.85865740067601</v>
      </c>
      <c r="X9">
        <v>2729.34330434187</v>
      </c>
      <c r="Y9">
        <v>671.69854210448204</v>
      </c>
      <c r="Z9">
        <v>6655.0616120761497</v>
      </c>
      <c r="AA9">
        <v>263.78275233693603</v>
      </c>
      <c r="AB9">
        <v>514.52706875635602</v>
      </c>
      <c r="AC9">
        <v>919.50879894339596</v>
      </c>
      <c r="AD9">
        <v>52.509606022715197</v>
      </c>
      <c r="AE9">
        <v>4076.6676177634799</v>
      </c>
      <c r="AF9">
        <v>100.817722449781</v>
      </c>
      <c r="AG9">
        <v>78.597656268131004</v>
      </c>
      <c r="AH9">
        <v>163.67289004968799</v>
      </c>
      <c r="AI9">
        <v>49.657286556947703</v>
      </c>
      <c r="AJ9">
        <v>29.4720772889861</v>
      </c>
      <c r="AK9">
        <v>118.49934242259</v>
      </c>
      <c r="AL9">
        <v>94.348814749126703</v>
      </c>
      <c r="AM9">
        <v>4171.5272610860502</v>
      </c>
      <c r="AN9">
        <v>493.88036032811499</v>
      </c>
      <c r="AO9">
        <v>1422.25869718941</v>
      </c>
      <c r="AP9">
        <v>733.95240635234597</v>
      </c>
      <c r="AQ9">
        <v>725.87923431380398</v>
      </c>
      <c r="AR9">
        <v>333.60836775551201</v>
      </c>
      <c r="AS9">
        <v>798.17440108995697</v>
      </c>
      <c r="AT9">
        <v>76.951881883299095</v>
      </c>
      <c r="AU9">
        <v>165.67616153354899</v>
      </c>
      <c r="AV9">
        <v>18338.8527112952</v>
      </c>
      <c r="AW9" t="s">
        <v>148</v>
      </c>
    </row>
    <row r="10" spans="1:49" ht="14.4">
      <c r="A10" t="s">
        <v>110</v>
      </c>
      <c r="B10" t="s">
        <v>105</v>
      </c>
      <c r="C10" t="s">
        <v>148</v>
      </c>
      <c r="D10" t="s">
        <v>108</v>
      </c>
      <c r="E10" t="s">
        <v>148</v>
      </c>
      <c r="F10" t="s">
        <v>148</v>
      </c>
      <c r="G10" t="s">
        <v>151</v>
      </c>
      <c r="H10" t="s">
        <v>148</v>
      </c>
      <c r="I10" t="s">
        <v>148</v>
      </c>
      <c r="J10" t="s">
        <v>148</v>
      </c>
      <c r="K10" t="s">
        <v>148</v>
      </c>
      <c r="L10">
        <v>146.01119741963601</v>
      </c>
      <c r="M10">
        <v>592.56971136958896</v>
      </c>
      <c r="N10">
        <v>157.125125142298</v>
      </c>
      <c r="O10">
        <v>2367.6721819443301</v>
      </c>
      <c r="P10">
        <v>379.15513059072703</v>
      </c>
      <c r="Q10">
        <v>1271.0676868005601</v>
      </c>
      <c r="R10">
        <v>144.68722684570801</v>
      </c>
      <c r="S10">
        <v>794.59511237266895</v>
      </c>
      <c r="T10">
        <v>7632.4850356294401</v>
      </c>
      <c r="U10">
        <v>620.78736235050201</v>
      </c>
      <c r="V10">
        <v>43.514481974147202</v>
      </c>
      <c r="W10">
        <v>429.85865740067601</v>
      </c>
      <c r="X10">
        <v>2729.34330434187</v>
      </c>
      <c r="Y10">
        <v>671.69854210448204</v>
      </c>
      <c r="Z10">
        <v>6655.0616120761497</v>
      </c>
      <c r="AA10">
        <v>263.78275233693603</v>
      </c>
      <c r="AB10">
        <v>514.52706875635602</v>
      </c>
      <c r="AC10">
        <v>919.50879894339596</v>
      </c>
      <c r="AD10">
        <v>52.509606022715197</v>
      </c>
      <c r="AE10">
        <v>4076.6676177634799</v>
      </c>
      <c r="AF10">
        <v>100.817722449781</v>
      </c>
      <c r="AG10">
        <v>78.597656268131004</v>
      </c>
      <c r="AH10">
        <v>163.67289004968799</v>
      </c>
      <c r="AI10">
        <v>49.657286556947703</v>
      </c>
      <c r="AJ10">
        <v>29.4720772889861</v>
      </c>
      <c r="AK10">
        <v>118.49934242259</v>
      </c>
      <c r="AL10">
        <v>94.348814749126703</v>
      </c>
      <c r="AM10">
        <v>4171.5272610860502</v>
      </c>
      <c r="AN10">
        <v>493.88036032811499</v>
      </c>
      <c r="AO10">
        <v>1422.25869718941</v>
      </c>
      <c r="AP10">
        <v>733.95240635234597</v>
      </c>
      <c r="AQ10">
        <v>725.87923431380398</v>
      </c>
      <c r="AR10">
        <v>333.60836775551201</v>
      </c>
      <c r="AS10">
        <v>798.17440108995697</v>
      </c>
      <c r="AT10">
        <v>76.951881883299095</v>
      </c>
      <c r="AU10">
        <v>165.67616153354899</v>
      </c>
      <c r="AV10">
        <v>18338.8527112952</v>
      </c>
      <c r="AW10" t="s">
        <v>148</v>
      </c>
    </row>
  </sheetData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B1:BU51"/>
  <sheetViews>
    <sheetView zoomScale="55" zoomScaleNormal="55" workbookViewId="0" topLeftCell="A1">
      <selection pane="topLeft" activeCell="D7" sqref="D7"/>
    </sheetView>
  </sheetViews>
  <sheetFormatPr defaultColWidth="9.11428571428571" defaultRowHeight="14.4"/>
  <cols>
    <col min="1" max="1" width="9.14285714285714" style="3"/>
    <col min="2" max="2" width="33.2857142857143" style="3" customWidth="1"/>
    <col min="3" max="3" width="30.8571428571429" style="3" bestFit="1" customWidth="1"/>
    <col min="4" max="4" width="128.428571428571" style="3" bestFit="1" customWidth="1"/>
    <col min="5" max="5" width="9.14285714285714" style="3"/>
    <col min="6" max="6" width="21.4285714285714" style="3" customWidth="1"/>
    <col min="7" max="7" width="13.8571428571429" style="3" customWidth="1"/>
    <col min="8" max="25" width="9.14285714285714" style="3"/>
    <col min="26" max="26" width="9.14285714285714" style="3" customWidth="1"/>
    <col min="27" max="31" width="9.14285714285714" style="3"/>
    <col min="32" max="32" width="9.28571428571429" style="3" customWidth="1"/>
    <col min="33" max="39" width="9.14285714285714" style="3"/>
    <col min="40" max="44" width="9.14285714285714" style="3" customWidth="1"/>
    <col min="45" max="16384" width="9.14285714285714" style="3"/>
  </cols>
  <sheetData>
    <row r="1" spans="2:5" ht="14.4">
      <c r="B1" s="8"/>
      <c r="E1" s="8"/>
    </row>
    <row r="2" spans="2:5" ht="14.4">
      <c r="B2" s="8" t="s">
        <v>69</v>
      </c>
      <c r="E2" s="8"/>
    </row>
    <row r="3" spans="5:5" ht="14.4">
      <c r="E3" s="8" t="s">
        <v>94</v>
      </c>
    </row>
    <row r="4" spans="2:44" ht="15" thickBot="1">
      <c r="B4" s="6" t="s">
        <v>70</v>
      </c>
      <c r="C4" s="6" t="s">
        <v>71</v>
      </c>
      <c r="D4" s="6" t="s">
        <v>36</v>
      </c>
      <c r="E4" s="6" t="s">
        <v>35</v>
      </c>
      <c r="F4" s="6" t="s">
        <v>72</v>
      </c>
      <c r="G4" s="6" t="s">
        <v>95</v>
      </c>
      <c r="H4" s="7" t="str">
        <f t="shared" si="0" ref="H4:AR4">H34</f>
        <v>AL</v>
      </c>
      <c r="I4" s="7" t="str">
        <f t="shared" si="0"/>
        <v>AT</v>
      </c>
      <c r="J4" s="7" t="str">
        <f t="shared" si="0"/>
        <v>BA</v>
      </c>
      <c r="K4" s="7" t="str">
        <f t="shared" si="0"/>
        <v>BE</v>
      </c>
      <c r="L4" s="7" t="str">
        <f t="shared" si="0"/>
        <v>BG</v>
      </c>
      <c r="M4" s="7" t="str">
        <f t="shared" si="0"/>
        <v>CH</v>
      </c>
      <c r="N4" s="7" t="str">
        <f t="shared" si="0"/>
        <v>CY</v>
      </c>
      <c r="O4" s="7" t="str">
        <f t="shared" si="0"/>
        <v>CZ</v>
      </c>
      <c r="P4" s="7" t="str">
        <f t="shared" si="0"/>
        <v>DE</v>
      </c>
      <c r="Q4" s="7" t="str">
        <f t="shared" si="0"/>
        <v>DK</v>
      </c>
      <c r="R4" s="7" t="str">
        <f t="shared" si="0"/>
        <v>EE</v>
      </c>
      <c r="S4" s="7" t="str">
        <f t="shared" si="0"/>
        <v>EL</v>
      </c>
      <c r="T4" s="7" t="str">
        <f t="shared" si="0"/>
        <v>ES</v>
      </c>
      <c r="U4" s="7" t="str">
        <f t="shared" si="0"/>
        <v>FI</v>
      </c>
      <c r="V4" s="7" t="str">
        <f t="shared" si="0"/>
        <v>FR</v>
      </c>
      <c r="W4" s="7" t="str">
        <f t="shared" si="0"/>
        <v>HR</v>
      </c>
      <c r="X4" s="7" t="str">
        <f t="shared" si="0"/>
        <v>HU</v>
      </c>
      <c r="Y4" s="7" t="str">
        <f t="shared" si="0"/>
        <v>IE</v>
      </c>
      <c r="Z4" s="7" t="str">
        <f t="shared" si="0"/>
        <v>IS</v>
      </c>
      <c r="AA4" s="7" t="str">
        <f t="shared" si="0"/>
        <v>IT</v>
      </c>
      <c r="AB4" s="7" t="str">
        <f t="shared" si="0"/>
        <v>KS</v>
      </c>
      <c r="AC4" s="7" t="str">
        <f t="shared" si="0"/>
        <v>LT</v>
      </c>
      <c r="AD4" s="7" t="str">
        <f t="shared" si="0"/>
        <v>LU</v>
      </c>
      <c r="AE4" s="7" t="str">
        <f t="shared" si="0"/>
        <v>LV</v>
      </c>
      <c r="AF4" s="7" t="str">
        <f t="shared" si="0"/>
        <v>ME</v>
      </c>
      <c r="AG4" s="7" t="str">
        <f t="shared" si="0"/>
        <v>MK</v>
      </c>
      <c r="AH4" s="7" t="str">
        <f t="shared" si="0"/>
        <v>MT</v>
      </c>
      <c r="AI4" s="7" t="str">
        <f t="shared" si="0"/>
        <v>NL</v>
      </c>
      <c r="AJ4" s="7" t="str">
        <f t="shared" si="0"/>
        <v>NO</v>
      </c>
      <c r="AK4" s="7" t="str">
        <f t="shared" si="0"/>
        <v>PL</v>
      </c>
      <c r="AL4" s="7" t="str">
        <f t="shared" si="0"/>
        <v>PT</v>
      </c>
      <c r="AM4" s="7" t="str">
        <f t="shared" si="0"/>
        <v>RO</v>
      </c>
      <c r="AN4" s="7" t="str">
        <f t="shared" si="0"/>
        <v>RS</v>
      </c>
      <c r="AO4" s="7" t="str">
        <f t="shared" si="0"/>
        <v>SE</v>
      </c>
      <c r="AP4" s="7" t="str">
        <f t="shared" si="0"/>
        <v>SI</v>
      </c>
      <c r="AQ4" s="7" t="str">
        <f t="shared" si="0"/>
        <v>SK</v>
      </c>
      <c r="AR4" s="7" t="str">
        <f t="shared" si="0"/>
        <v>UK</v>
      </c>
    </row>
    <row r="5" spans="2:44" ht="14.4">
      <c r="B5" s="9" t="s">
        <v>118</v>
      </c>
      <c r="C5" s="9" t="s">
        <v>122</v>
      </c>
      <c r="D5" s="18" t="s">
        <v>124</v>
      </c>
      <c r="E5" s="10" t="str">
        <f t="shared" si="1" ref="E5:E13">G35</f>
        <v>2010</v>
      </c>
      <c r="F5" s="10">
        <v>1</v>
      </c>
      <c r="G5" s="10">
        <v>5</v>
      </c>
      <c r="H5" s="20">
        <f t="shared" si="2" ref="H5:AR5">IF(H35*H$48&gt;SUM(H$28:H$29,H$31)/1000,H35*H$48,SUM(H$28:H$29,H$31)/1000*1.1)</f>
        <v>42.68282932741635</v>
      </c>
      <c r="I5" s="20">
        <f t="shared" si="2"/>
        <v>507.58087103336499</v>
      </c>
      <c r="J5" s="20">
        <f t="shared" si="2"/>
        <v>111.5504823363605</v>
      </c>
      <c r="K5" s="20">
        <f t="shared" si="2"/>
        <v>475.19360879399852</v>
      </c>
      <c r="L5" s="20">
        <f t="shared" si="2"/>
        <v>308.5061752411055</v>
      </c>
      <c r="M5" s="20">
        <f t="shared" si="2"/>
        <v>420.77511918099952</v>
      </c>
      <c r="N5" s="20">
        <f t="shared" si="2"/>
        <v>52.926053254483001</v>
      </c>
      <c r="O5" s="20">
        <f t="shared" si="2"/>
        <v>513.52919804298995</v>
      </c>
      <c r="P5" s="20">
        <f t="shared" si="2"/>
        <v>3866.8222888864948</v>
      </c>
      <c r="Q5" s="20">
        <f t="shared" si="2"/>
        <v>498.69064487514203</v>
      </c>
      <c r="R5" s="20">
        <f t="shared" si="2"/>
        <v>104.73650000000001</v>
      </c>
      <c r="S5" s="20">
        <f t="shared" si="2"/>
        <v>364.40629226428752</v>
      </c>
      <c r="T5" s="20">
        <f t="shared" si="2"/>
        <v>486.49230756031199</v>
      </c>
      <c r="U5" s="20">
        <f t="shared" si="2"/>
        <v>652.58490000000006</v>
      </c>
      <c r="V5" s="20">
        <f t="shared" si="2"/>
        <v>3149.4305632534551</v>
      </c>
      <c r="W5" s="20">
        <f t="shared" si="2"/>
        <v>318.04192554352602</v>
      </c>
      <c r="X5" s="20">
        <f t="shared" si="2"/>
        <v>768.33103406455496</v>
      </c>
      <c r="Y5" s="20">
        <f t="shared" si="2"/>
        <v>232.74690868337899</v>
      </c>
      <c r="Z5" s="20">
        <f t="shared" si="2"/>
        <v>21.791251851046852</v>
      </c>
      <c r="AA5" s="20">
        <f t="shared" si="2"/>
        <v>1220.5429170000002</v>
      </c>
      <c r="AB5" s="20">
        <f t="shared" si="2"/>
        <v>65.664116807322998</v>
      </c>
      <c r="AC5" s="20">
        <f t="shared" si="2"/>
        <v>130.313021318267</v>
      </c>
      <c r="AD5" s="20">
        <f t="shared" si="2"/>
        <v>26.155688483628548</v>
      </c>
      <c r="AE5" s="20">
        <f t="shared" si="2"/>
        <v>92.164432445794503</v>
      </c>
      <c r="AF5" s="20">
        <f t="shared" si="2"/>
        <v>21.388597262252201</v>
      </c>
      <c r="AG5" s="20">
        <f t="shared" si="2"/>
        <v>58.225060034608497</v>
      </c>
      <c r="AH5" s="20">
        <f t="shared" si="2"/>
        <v>1.78406130836619</v>
      </c>
      <c r="AI5" s="20">
        <f t="shared" si="2"/>
        <v>317.89453862571952</v>
      </c>
      <c r="AJ5" s="20">
        <f t="shared" si="2"/>
        <v>901.21471000000008</v>
      </c>
      <c r="AK5" s="20">
        <f t="shared" si="2"/>
        <v>1662.43379226505</v>
      </c>
      <c r="AL5" s="20">
        <f t="shared" si="2"/>
        <v>204.90767979145249</v>
      </c>
      <c r="AM5" s="20">
        <f t="shared" si="2"/>
        <v>1051.7399133552699</v>
      </c>
      <c r="AN5" s="20">
        <f t="shared" si="2"/>
        <v>329.59825508923802</v>
      </c>
      <c r="AO5" s="20">
        <f t="shared" si="2"/>
        <v>1339.5250000000001</v>
      </c>
      <c r="AP5" s="20">
        <f t="shared" si="2"/>
        <v>97.532379502053502</v>
      </c>
      <c r="AQ5" s="20">
        <f t="shared" si="2"/>
        <v>215.75150312034251</v>
      </c>
      <c r="AR5" s="20">
        <f t="shared" si="2"/>
        <v>1905.48877175847</v>
      </c>
    </row>
    <row r="6" spans="2:73" ht="14.4">
      <c r="B6" s="9"/>
      <c r="C6" s="9"/>
      <c r="D6" s="18" t="s">
        <v>124</v>
      </c>
      <c r="E6" s="10" t="str">
        <f t="shared" si="1"/>
        <v>2050</v>
      </c>
      <c r="F6" s="10">
        <v>1</v>
      </c>
      <c r="G6" s="10"/>
      <c r="H6" s="20">
        <f t="shared" si="3" ref="H6:AR6">IF(H36*H$48&gt;SUM(H$28:H$29,H$31)/1000,H36*H$48,SUM(H$28:H$29,H$31)/1000*1.1)</f>
        <v>129.117339866951</v>
      </c>
      <c r="I6" s="20">
        <f t="shared" si="3"/>
        <v>639.35153068824002</v>
      </c>
      <c r="J6" s="20">
        <f t="shared" si="3"/>
        <v>219.5240982849335</v>
      </c>
      <c r="K6" s="20">
        <f t="shared" si="3"/>
        <v>709.53665549381503</v>
      </c>
      <c r="L6" s="20">
        <f t="shared" si="3"/>
        <v>348.82272014346898</v>
      </c>
      <c r="M6" s="20">
        <f t="shared" si="3"/>
        <v>566.505822956055</v>
      </c>
      <c r="N6" s="20">
        <f t="shared" si="3"/>
        <v>70.836454809878006</v>
      </c>
      <c r="O6" s="20">
        <f t="shared" si="3"/>
        <v>670.27070703544996</v>
      </c>
      <c r="P6" s="20">
        <f t="shared" si="3"/>
        <v>3650.3189300836448</v>
      </c>
      <c r="Q6" s="20">
        <f t="shared" si="3"/>
        <v>583.00918404956496</v>
      </c>
      <c r="R6" s="20">
        <f t="shared" si="3"/>
        <v>104.73650000000001</v>
      </c>
      <c r="S6" s="20">
        <f t="shared" si="3"/>
        <v>380.12294497415149</v>
      </c>
      <c r="T6" s="20">
        <f t="shared" si="3"/>
        <v>615.57328257129996</v>
      </c>
      <c r="U6" s="20">
        <f t="shared" si="3"/>
        <v>652.58490000000006</v>
      </c>
      <c r="V6" s="20">
        <f t="shared" si="3"/>
        <v>3742.413781854525</v>
      </c>
      <c r="W6" s="20">
        <f t="shared" si="3"/>
        <v>368.5385822123705</v>
      </c>
      <c r="X6" s="20">
        <f t="shared" si="3"/>
        <v>696.57372232057503</v>
      </c>
      <c r="Y6" s="20">
        <f t="shared" si="3"/>
        <v>305.65416419420751</v>
      </c>
      <c r="Z6" s="20">
        <f t="shared" si="3"/>
        <v>28.107135739152799</v>
      </c>
      <c r="AA6" s="20">
        <f t="shared" si="3"/>
        <v>1146.1557519590599</v>
      </c>
      <c r="AB6" s="20">
        <f t="shared" si="3"/>
        <v>140.855382561417</v>
      </c>
      <c r="AC6" s="20">
        <f t="shared" si="3"/>
        <v>77.714536534781004</v>
      </c>
      <c r="AD6" s="20">
        <f t="shared" si="3"/>
        <v>63.245150719837</v>
      </c>
      <c r="AE6" s="20">
        <f t="shared" si="3"/>
        <v>62.169358760272999</v>
      </c>
      <c r="AF6" s="20">
        <f t="shared" si="3"/>
        <v>26.0620848753844</v>
      </c>
      <c r="AG6" s="20">
        <f t="shared" si="3"/>
        <v>109.01939502878299</v>
      </c>
      <c r="AH6" s="20">
        <f t="shared" si="3"/>
        <v>3.6919101423571301</v>
      </c>
      <c r="AI6" s="20">
        <f t="shared" si="3"/>
        <v>394.96634500055001</v>
      </c>
      <c r="AJ6" s="20">
        <f t="shared" si="3"/>
        <v>901.21471000000008</v>
      </c>
      <c r="AK6" s="20">
        <f t="shared" si="3"/>
        <v>1895.0531414867</v>
      </c>
      <c r="AL6" s="20">
        <f t="shared" si="3"/>
        <v>454.59142178345149</v>
      </c>
      <c r="AM6" s="20">
        <f t="shared" si="3"/>
        <v>1263.7609690930999</v>
      </c>
      <c r="AN6" s="20">
        <f t="shared" si="3"/>
        <v>466.09398748617048</v>
      </c>
      <c r="AO6" s="20">
        <f t="shared" si="3"/>
        <v>1339.5250000000001</v>
      </c>
      <c r="AP6" s="20">
        <f t="shared" si="3"/>
        <v>115.68838224441799</v>
      </c>
      <c r="AQ6" s="20">
        <f t="shared" si="3"/>
        <v>278.35826466411049</v>
      </c>
      <c r="AR6" s="20">
        <f t="shared" si="3"/>
        <v>2641.1484169927999</v>
      </c>
      <c r="AS6" s="20"/>
      <c r="AT6" s="20"/>
      <c r="AU6" s="20"/>
      <c r="AV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2:44" ht="14.4">
      <c r="B7" s="36"/>
      <c r="C7" s="36"/>
      <c r="D7" s="18" t="s">
        <v>124</v>
      </c>
      <c r="E7" s="37" t="str">
        <f t="shared" si="1"/>
        <v>2060</v>
      </c>
      <c r="F7" s="37">
        <v>1</v>
      </c>
      <c r="G7" s="37"/>
      <c r="H7" s="38">
        <f t="shared" si="4" ref="H7:AR7">IF(H37*H$48&gt;SUM(H$28:H$29,H$31)/1000,H37*H$48,SUM(H$28:H$29,H$31)/1000*1.1)</f>
        <v>129.117339866951</v>
      </c>
      <c r="I7" s="38">
        <f t="shared" si="4"/>
        <v>639.35153068824002</v>
      </c>
      <c r="J7" s="38">
        <f t="shared" si="4"/>
        <v>219.5240982849335</v>
      </c>
      <c r="K7" s="38">
        <f t="shared" si="4"/>
        <v>709.53665549381503</v>
      </c>
      <c r="L7" s="38">
        <f t="shared" si="4"/>
        <v>348.82272014346898</v>
      </c>
      <c r="M7" s="38">
        <f t="shared" si="4"/>
        <v>566.505822956055</v>
      </c>
      <c r="N7" s="38">
        <f t="shared" si="4"/>
        <v>70.836454809878006</v>
      </c>
      <c r="O7" s="38">
        <f t="shared" si="4"/>
        <v>670.27070703544996</v>
      </c>
      <c r="P7" s="38">
        <f t="shared" si="4"/>
        <v>3650.3189300836448</v>
      </c>
      <c r="Q7" s="38">
        <f t="shared" si="4"/>
        <v>583.00918404956496</v>
      </c>
      <c r="R7" s="38">
        <f t="shared" si="4"/>
        <v>104.73650000000001</v>
      </c>
      <c r="S7" s="38">
        <f t="shared" si="4"/>
        <v>380.12294497415149</v>
      </c>
      <c r="T7" s="38">
        <f t="shared" si="4"/>
        <v>615.57328257129996</v>
      </c>
      <c r="U7" s="38">
        <f t="shared" si="4"/>
        <v>652.58490000000006</v>
      </c>
      <c r="V7" s="38">
        <f t="shared" si="4"/>
        <v>3742.413781854525</v>
      </c>
      <c r="W7" s="38">
        <f t="shared" si="4"/>
        <v>368.5385822123705</v>
      </c>
      <c r="X7" s="38">
        <f t="shared" si="4"/>
        <v>696.57372232057503</v>
      </c>
      <c r="Y7" s="38">
        <f t="shared" si="4"/>
        <v>305.65416419420751</v>
      </c>
      <c r="Z7" s="38">
        <f t="shared" si="4"/>
        <v>28.107135739152799</v>
      </c>
      <c r="AA7" s="38">
        <f t="shared" si="4"/>
        <v>1146.1557519590599</v>
      </c>
      <c r="AB7" s="38">
        <f t="shared" si="4"/>
        <v>140.855382561417</v>
      </c>
      <c r="AC7" s="38">
        <f t="shared" si="4"/>
        <v>77.714536534781004</v>
      </c>
      <c r="AD7" s="38">
        <f t="shared" si="4"/>
        <v>63.245150719837</v>
      </c>
      <c r="AE7" s="38">
        <f t="shared" si="4"/>
        <v>62.169358760272999</v>
      </c>
      <c r="AF7" s="38">
        <f t="shared" si="4"/>
        <v>26.0620848753844</v>
      </c>
      <c r="AG7" s="38">
        <f t="shared" si="4"/>
        <v>109.01939502878299</v>
      </c>
      <c r="AH7" s="38">
        <f t="shared" si="4"/>
        <v>3.6919101423571301</v>
      </c>
      <c r="AI7" s="38">
        <f t="shared" si="4"/>
        <v>394.96634500055001</v>
      </c>
      <c r="AJ7" s="38">
        <f t="shared" si="4"/>
        <v>901.21471000000008</v>
      </c>
      <c r="AK7" s="38">
        <f t="shared" si="4"/>
        <v>1895.0531414867</v>
      </c>
      <c r="AL7" s="38">
        <f t="shared" si="4"/>
        <v>454.59142178345149</v>
      </c>
      <c r="AM7" s="38">
        <f t="shared" si="4"/>
        <v>1263.7609690930999</v>
      </c>
      <c r="AN7" s="38">
        <f t="shared" si="4"/>
        <v>466.09398748617048</v>
      </c>
      <c r="AO7" s="38">
        <f t="shared" si="4"/>
        <v>1339.5250000000001</v>
      </c>
      <c r="AP7" s="38">
        <f t="shared" si="4"/>
        <v>115.68838224441799</v>
      </c>
      <c r="AQ7" s="38">
        <f t="shared" si="4"/>
        <v>278.35826466411049</v>
      </c>
      <c r="AR7" s="38">
        <f t="shared" si="4"/>
        <v>2641.1484169927999</v>
      </c>
    </row>
    <row r="8" spans="2:44" ht="14.4">
      <c r="B8" s="36" t="s">
        <v>119</v>
      </c>
      <c r="C8" s="36" t="s">
        <v>121</v>
      </c>
      <c r="D8" s="18" t="s">
        <v>125</v>
      </c>
      <c r="E8" s="37" t="str">
        <f t="shared" si="1"/>
        <v>2010</v>
      </c>
      <c r="F8" s="37">
        <v>1</v>
      </c>
      <c r="G8" s="37">
        <v>5</v>
      </c>
      <c r="H8" s="38">
        <f t="shared" si="5" ref="H8:AR8">IF(H38*H$48&gt;SUM(H$28:H$29,H$31)/1000,H38*H$48,SUM(H$28:H$29,H$31)/1000*1.1)</f>
        <v>98.334862121068994</v>
      </c>
      <c r="I8" s="38">
        <f t="shared" si="5"/>
        <v>734.09657224528496</v>
      </c>
      <c r="J8" s="38">
        <f t="shared" si="5"/>
        <v>135.59370068248751</v>
      </c>
      <c r="K8" s="38">
        <f t="shared" si="5"/>
        <v>452.761507205996</v>
      </c>
      <c r="L8" s="38">
        <f t="shared" si="5"/>
        <v>388.60885300691052</v>
      </c>
      <c r="M8" s="38">
        <f t="shared" si="5"/>
        <v>824.14260576498498</v>
      </c>
      <c r="N8" s="38">
        <f t="shared" si="5"/>
        <v>41.77243684641455</v>
      </c>
      <c r="O8" s="38">
        <f t="shared" si="5"/>
        <v>1104.0156070124201</v>
      </c>
      <c r="P8" s="38">
        <f t="shared" si="5"/>
        <v>9253.7394673711497</v>
      </c>
      <c r="Q8" s="38">
        <f t="shared" si="5"/>
        <v>533.33812586260501</v>
      </c>
      <c r="R8" s="38">
        <f t="shared" si="5"/>
        <v>244.0731893753825</v>
      </c>
      <c r="S8" s="38">
        <f t="shared" si="5"/>
        <v>839.53765648899503</v>
      </c>
      <c r="T8" s="38">
        <f t="shared" si="5"/>
        <v>3716.554405926965</v>
      </c>
      <c r="U8" s="38">
        <f t="shared" si="5"/>
        <v>652.58490000000006</v>
      </c>
      <c r="V8" s="38">
        <f t="shared" si="5"/>
        <v>4597.6763490885596</v>
      </c>
      <c r="W8" s="38">
        <f t="shared" si="5"/>
        <v>252.51236342932251</v>
      </c>
      <c r="X8" s="38">
        <f t="shared" si="5"/>
        <v>657.40115265270504</v>
      </c>
      <c r="Y8" s="38">
        <f t="shared" si="5"/>
        <v>74.059134905125006</v>
      </c>
      <c r="Z8" s="38">
        <f t="shared" si="5"/>
        <v>33.5810673182364</v>
      </c>
      <c r="AA8" s="38">
        <f t="shared" si="5"/>
        <v>8523.9420774609498</v>
      </c>
      <c r="AB8" s="38">
        <f t="shared" si="5"/>
        <v>79.817141203430495</v>
      </c>
      <c r="AC8" s="38">
        <f t="shared" si="5"/>
        <v>362.771733024198</v>
      </c>
      <c r="AD8" s="38">
        <f t="shared" si="5"/>
        <v>33.999999819148897</v>
      </c>
      <c r="AE8" s="38">
        <f t="shared" si="5"/>
        <v>288.08008681238198</v>
      </c>
      <c r="AF8" s="38">
        <f t="shared" si="5"/>
        <v>49.276132718682753</v>
      </c>
      <c r="AG8" s="38">
        <f t="shared" si="5"/>
        <v>80.448543033375003</v>
      </c>
      <c r="AH8" s="38">
        <f t="shared" si="5"/>
        <v>8.1677312372924007</v>
      </c>
      <c r="AI8" s="38">
        <f t="shared" si="5"/>
        <v>864.35028381755001</v>
      </c>
      <c r="AJ8" s="38">
        <f t="shared" si="5"/>
        <v>901.21471000000008</v>
      </c>
      <c r="AK8" s="38">
        <f t="shared" si="5"/>
        <v>3367.0695922054451</v>
      </c>
      <c r="AL8" s="38">
        <f t="shared" si="5"/>
        <v>257.34288271958752</v>
      </c>
      <c r="AM8" s="38">
        <f t="shared" si="5"/>
        <v>1025.4536716392549</v>
      </c>
      <c r="AN8" s="38">
        <f t="shared" si="5"/>
        <v>400.63876202059998</v>
      </c>
      <c r="AO8" s="38">
        <f t="shared" si="5"/>
        <v>1339.5250000000001</v>
      </c>
      <c r="AP8" s="38">
        <f t="shared" si="5"/>
        <v>230.709455694307</v>
      </c>
      <c r="AQ8" s="38">
        <f t="shared" si="5"/>
        <v>290.18037601226303</v>
      </c>
      <c r="AR8" s="38">
        <f t="shared" si="5"/>
        <v>1964.1135408370151</v>
      </c>
    </row>
    <row r="9" spans="2:44" ht="14.4">
      <c r="B9" s="36"/>
      <c r="C9" s="36"/>
      <c r="D9" s="18" t="s">
        <v>125</v>
      </c>
      <c r="E9" s="37" t="str">
        <f t="shared" si="1"/>
        <v>2050</v>
      </c>
      <c r="F9" s="37">
        <v>1</v>
      </c>
      <c r="G9" s="37"/>
      <c r="H9" s="38">
        <f t="shared" si="6" ref="H9:AR9">IF(H39*H$48&gt;SUM(H$28:H$29,H$31)/1000,H39*H$48,SUM(H$28:H$29,H$31)/1000*1.1)</f>
        <v>297.46706142323097</v>
      </c>
      <c r="I9" s="38">
        <f t="shared" si="6"/>
        <v>924.67189747022496</v>
      </c>
      <c r="J9" s="38">
        <f t="shared" si="6"/>
        <v>266.83958914391752</v>
      </c>
      <c r="K9" s="38">
        <f t="shared" si="6"/>
        <v>676.04210076517995</v>
      </c>
      <c r="L9" s="38">
        <f t="shared" si="6"/>
        <v>439.39346456116749</v>
      </c>
      <c r="M9" s="38">
        <f t="shared" si="6"/>
        <v>1109.575076636615</v>
      </c>
      <c r="N9" s="38">
        <f t="shared" si="6"/>
        <v>55.908407164648999</v>
      </c>
      <c r="O9" s="38">
        <f t="shared" si="6"/>
        <v>1440.987823692225</v>
      </c>
      <c r="P9" s="38">
        <f t="shared" si="6"/>
        <v>8735.6226452119008</v>
      </c>
      <c r="Q9" s="38">
        <f t="shared" si="6"/>
        <v>623.51485590738002</v>
      </c>
      <c r="R9" s="38">
        <f t="shared" si="6"/>
        <v>205.01069164115151</v>
      </c>
      <c r="S9" s="38">
        <f t="shared" si="6"/>
        <v>875.74647632551</v>
      </c>
      <c r="T9" s="38">
        <f t="shared" si="6"/>
        <v>4702.6675652577696</v>
      </c>
      <c r="U9" s="38">
        <f t="shared" si="6"/>
        <v>621.63855042874502</v>
      </c>
      <c r="V9" s="38">
        <f t="shared" si="6"/>
        <v>5463.3391617184498</v>
      </c>
      <c r="W9" s="38">
        <f t="shared" si="6"/>
        <v>292.604656603997</v>
      </c>
      <c r="X9" s="38">
        <f t="shared" si="6"/>
        <v>596.00399783234002</v>
      </c>
      <c r="Y9" s="38">
        <f t="shared" si="6"/>
        <v>97.257931838595994</v>
      </c>
      <c r="Z9" s="38">
        <f t="shared" si="6"/>
        <v>43.314061249489598</v>
      </c>
      <c r="AA9" s="38">
        <f t="shared" si="6"/>
        <v>9252.5138783959501</v>
      </c>
      <c r="AB9" s="38">
        <f t="shared" si="6"/>
        <v>171.21488121369251</v>
      </c>
      <c r="AC9" s="38">
        <f t="shared" si="6"/>
        <v>216.34551033115349</v>
      </c>
      <c r="AD9" s="38">
        <f t="shared" si="6"/>
        <v>82.212904255319003</v>
      </c>
      <c r="AE9" s="38">
        <f t="shared" si="6"/>
        <v>194.32392511355201</v>
      </c>
      <c r="AF9" s="38">
        <f t="shared" si="6"/>
        <v>60.0431499784005</v>
      </c>
      <c r="AG9" s="38">
        <f t="shared" si="6"/>
        <v>150.63018375992149</v>
      </c>
      <c r="AH9" s="38">
        <f t="shared" si="6"/>
        <v>16.9021824830795</v>
      </c>
      <c r="AI9" s="38">
        <f t="shared" si="6"/>
        <v>1073.90732119984</v>
      </c>
      <c r="AJ9" s="38">
        <f t="shared" si="6"/>
        <v>901.21471000000008</v>
      </c>
      <c r="AK9" s="38">
        <f t="shared" si="6"/>
        <v>3838.2134903667502</v>
      </c>
      <c r="AL9" s="38">
        <f t="shared" si="6"/>
        <v>570.91987504037502</v>
      </c>
      <c r="AM9" s="38">
        <f t="shared" si="6"/>
        <v>1232.17566375</v>
      </c>
      <c r="AN9" s="38">
        <f t="shared" si="6"/>
        <v>566.55432863607496</v>
      </c>
      <c r="AO9" s="38">
        <f t="shared" si="6"/>
        <v>1712.675874735105</v>
      </c>
      <c r="AP9" s="38">
        <f t="shared" si="6"/>
        <v>273.656849489688</v>
      </c>
      <c r="AQ9" s="38">
        <f t="shared" si="6"/>
        <v>374.38490456911501</v>
      </c>
      <c r="AR9" s="38">
        <f t="shared" si="6"/>
        <v>2722.4066843430101</v>
      </c>
    </row>
    <row r="10" spans="2:44" ht="14.4">
      <c r="B10" s="36"/>
      <c r="C10" s="36"/>
      <c r="D10" s="18" t="s">
        <v>125</v>
      </c>
      <c r="E10" s="37" t="str">
        <f t="shared" si="1"/>
        <v>2060</v>
      </c>
      <c r="F10" s="37">
        <v>1</v>
      </c>
      <c r="G10" s="37"/>
      <c r="H10" s="38">
        <f t="shared" si="7" ref="H10:AR10">IF(H40*H$48&gt;SUM(H$28:H$29,H$31)/1000,H40*H$48,SUM(H$28:H$29,H$31)/1000*1.1)</f>
        <v>297.46706142323097</v>
      </c>
      <c r="I10" s="38">
        <f t="shared" si="7"/>
        <v>924.67189747022496</v>
      </c>
      <c r="J10" s="38">
        <f t="shared" si="7"/>
        <v>266.83958914391752</v>
      </c>
      <c r="K10" s="38">
        <f t="shared" si="7"/>
        <v>676.04210076517995</v>
      </c>
      <c r="L10" s="38">
        <f t="shared" si="7"/>
        <v>439.39346456116749</v>
      </c>
      <c r="M10" s="38">
        <f t="shared" si="7"/>
        <v>1109.575076636615</v>
      </c>
      <c r="N10" s="38">
        <f t="shared" si="7"/>
        <v>55.908407164648999</v>
      </c>
      <c r="O10" s="38">
        <f t="shared" si="7"/>
        <v>1440.987823692225</v>
      </c>
      <c r="P10" s="38">
        <f t="shared" si="7"/>
        <v>8735.6226452119008</v>
      </c>
      <c r="Q10" s="38">
        <f t="shared" si="7"/>
        <v>623.51485590738002</v>
      </c>
      <c r="R10" s="38">
        <f t="shared" si="7"/>
        <v>205.01069164115151</v>
      </c>
      <c r="S10" s="38">
        <f t="shared" si="7"/>
        <v>875.74647632551</v>
      </c>
      <c r="T10" s="38">
        <f t="shared" si="7"/>
        <v>4702.6675652577696</v>
      </c>
      <c r="U10" s="38">
        <f t="shared" si="7"/>
        <v>621.63855042874502</v>
      </c>
      <c r="V10" s="38">
        <f t="shared" si="7"/>
        <v>5463.3391617184498</v>
      </c>
      <c r="W10" s="38">
        <f t="shared" si="7"/>
        <v>292.604656603997</v>
      </c>
      <c r="X10" s="38">
        <f t="shared" si="7"/>
        <v>596.00399783234002</v>
      </c>
      <c r="Y10" s="38">
        <f t="shared" si="7"/>
        <v>97.257931838595994</v>
      </c>
      <c r="Z10" s="38">
        <f t="shared" si="7"/>
        <v>43.314061249489598</v>
      </c>
      <c r="AA10" s="38">
        <f t="shared" si="7"/>
        <v>9252.5138783959501</v>
      </c>
      <c r="AB10" s="38">
        <f t="shared" si="7"/>
        <v>171.21488121369251</v>
      </c>
      <c r="AC10" s="38">
        <f t="shared" si="7"/>
        <v>216.34551033115349</v>
      </c>
      <c r="AD10" s="38">
        <f t="shared" si="7"/>
        <v>82.212904255319003</v>
      </c>
      <c r="AE10" s="38">
        <f t="shared" si="7"/>
        <v>194.32392511355201</v>
      </c>
      <c r="AF10" s="38">
        <f t="shared" si="7"/>
        <v>60.0431499784005</v>
      </c>
      <c r="AG10" s="38">
        <f t="shared" si="7"/>
        <v>150.63018375992149</v>
      </c>
      <c r="AH10" s="38">
        <f t="shared" si="7"/>
        <v>16.9021824830795</v>
      </c>
      <c r="AI10" s="38">
        <f t="shared" si="7"/>
        <v>1073.90732119984</v>
      </c>
      <c r="AJ10" s="38">
        <f t="shared" si="7"/>
        <v>901.21471000000008</v>
      </c>
      <c r="AK10" s="38">
        <f t="shared" si="7"/>
        <v>3838.2134903667502</v>
      </c>
      <c r="AL10" s="38">
        <f t="shared" si="7"/>
        <v>570.91987504037502</v>
      </c>
      <c r="AM10" s="38">
        <f t="shared" si="7"/>
        <v>1232.17566375</v>
      </c>
      <c r="AN10" s="38">
        <f t="shared" si="7"/>
        <v>566.55432863607496</v>
      </c>
      <c r="AO10" s="38">
        <f t="shared" si="7"/>
        <v>1712.675874735105</v>
      </c>
      <c r="AP10" s="38">
        <f t="shared" si="7"/>
        <v>273.656849489688</v>
      </c>
      <c r="AQ10" s="38">
        <f t="shared" si="7"/>
        <v>374.38490456911501</v>
      </c>
      <c r="AR10" s="38">
        <f t="shared" si="7"/>
        <v>2722.4066843430101</v>
      </c>
    </row>
    <row r="11" spans="2:44" ht="14.4">
      <c r="B11" s="36" t="s">
        <v>120</v>
      </c>
      <c r="C11" s="36" t="s">
        <v>123</v>
      </c>
      <c r="D11" s="18" t="s">
        <v>126</v>
      </c>
      <c r="E11" s="37" t="str">
        <f t="shared" si="1"/>
        <v>2010</v>
      </c>
      <c r="F11" s="37">
        <v>1</v>
      </c>
      <c r="G11" s="37">
        <v>5</v>
      </c>
      <c r="H11" s="38">
        <f t="shared" si="8" ref="H11:AR11">IF(H41*H$48&gt;SUM(H$28:H$29,H$31)/1000,H41*H$48,SUM(H$28:H$29,H$31)/1000*1.1)</f>
        <v>24.133749292604598</v>
      </c>
      <c r="I11" s="38">
        <f t="shared" si="8"/>
        <v>235.22040364960799</v>
      </c>
      <c r="J11" s="38">
        <f t="shared" si="8"/>
        <v>39.921319877224803</v>
      </c>
      <c r="K11" s="38">
        <f t="shared" si="8"/>
        <v>792.84324486114497</v>
      </c>
      <c r="L11" s="38">
        <f t="shared" si="8"/>
        <v>167.66639958755749</v>
      </c>
      <c r="M11" s="38">
        <f t="shared" si="8"/>
        <v>472.04603706439849</v>
      </c>
      <c r="N11" s="38">
        <f t="shared" si="8"/>
        <v>54.052139493939997</v>
      </c>
      <c r="O11" s="38">
        <f t="shared" si="8"/>
        <v>304.39029077548349</v>
      </c>
      <c r="P11" s="38">
        <f t="shared" si="8"/>
        <v>4042.5869383813401</v>
      </c>
      <c r="Q11" s="38">
        <f t="shared" si="8"/>
        <v>265.50254998606499</v>
      </c>
      <c r="R11" s="38">
        <f t="shared" si="8"/>
        <v>104.73650000000001</v>
      </c>
      <c r="S11" s="38">
        <f t="shared" si="8"/>
        <v>206.04281011205049</v>
      </c>
      <c r="T11" s="38">
        <f t="shared" si="8"/>
        <v>1078.5105200693699</v>
      </c>
      <c r="U11" s="38">
        <f t="shared" si="8"/>
        <v>652.58490000000006</v>
      </c>
      <c r="V11" s="38">
        <f t="shared" si="8"/>
        <v>2800.285546060195</v>
      </c>
      <c r="W11" s="38">
        <f t="shared" si="8"/>
        <v>113.81979869622749</v>
      </c>
      <c r="X11" s="38">
        <f t="shared" si="8"/>
        <v>283.76545233057101</v>
      </c>
      <c r="Y11" s="38">
        <f t="shared" si="8"/>
        <v>350.08983277790702</v>
      </c>
      <c r="Z11" s="38">
        <f t="shared" si="8"/>
        <v>20.3551521588575</v>
      </c>
      <c r="AA11" s="38">
        <f t="shared" si="8"/>
        <v>1877.8290473043251</v>
      </c>
      <c r="AB11" s="38">
        <f t="shared" si="8"/>
        <v>23.499658240976899</v>
      </c>
      <c r="AC11" s="38">
        <f t="shared" si="8"/>
        <v>65.896925552987497</v>
      </c>
      <c r="AD11" s="38">
        <f t="shared" si="8"/>
        <v>33.844311197222552</v>
      </c>
      <c r="AE11" s="38">
        <f t="shared" si="8"/>
        <v>36.807807926465102</v>
      </c>
      <c r="AF11" s="38">
        <f t="shared" si="8"/>
        <v>12.093552657628599</v>
      </c>
      <c r="AG11" s="38">
        <f t="shared" si="8"/>
        <v>31.644054366635149</v>
      </c>
      <c r="AH11" s="38">
        <f t="shared" si="8"/>
        <v>22.796338940234651</v>
      </c>
      <c r="AI11" s="38">
        <f t="shared" si="8"/>
        <v>1678.7578876191551</v>
      </c>
      <c r="AJ11" s="38">
        <f t="shared" si="8"/>
        <v>901.21471000000008</v>
      </c>
      <c r="AK11" s="38">
        <f t="shared" si="8"/>
        <v>623.83762961275499</v>
      </c>
      <c r="AL11" s="38">
        <f t="shared" si="8"/>
        <v>165.41500505332149</v>
      </c>
      <c r="AM11" s="38">
        <f t="shared" si="8"/>
        <v>302.0492726371545</v>
      </c>
      <c r="AN11" s="38">
        <f t="shared" si="8"/>
        <v>117.95553992063449</v>
      </c>
      <c r="AO11" s="38">
        <f t="shared" si="8"/>
        <v>1339.5250000000001</v>
      </c>
      <c r="AP11" s="38">
        <f t="shared" si="8"/>
        <v>32.437570660217553</v>
      </c>
      <c r="AQ11" s="38">
        <f t="shared" si="8"/>
        <v>64.206609646033996</v>
      </c>
      <c r="AR11" s="38">
        <f t="shared" si="8"/>
        <v>6615.3945956760999</v>
      </c>
    </row>
    <row r="12" spans="2:44" ht="14.4">
      <c r="B12" s="36"/>
      <c r="C12" s="36"/>
      <c r="D12" s="18" t="s">
        <v>126</v>
      </c>
      <c r="E12" s="37" t="str">
        <f t="shared" si="1"/>
        <v>2050</v>
      </c>
      <c r="F12" s="37">
        <v>1</v>
      </c>
      <c r="G12" s="37"/>
      <c r="H12" s="38">
        <f t="shared" si="9" ref="H12:AR12">IF(H42*H$48&gt;SUM(H$28:H$29,H$31)/1000,H42*H$48,SUM(H$28:H$29,H$31)/1000*1.1)</f>
        <v>73.005598709818003</v>
      </c>
      <c r="I12" s="38">
        <f t="shared" si="9"/>
        <v>296.28485568479448</v>
      </c>
      <c r="J12" s="38">
        <f t="shared" si="9"/>
        <v>78.562562571149002</v>
      </c>
      <c r="K12" s="38">
        <f t="shared" si="9"/>
        <v>1183.836090972165</v>
      </c>
      <c r="L12" s="38">
        <f t="shared" si="9"/>
        <v>189.57756529536351</v>
      </c>
      <c r="M12" s="38">
        <f t="shared" si="9"/>
        <v>635.53384340028003</v>
      </c>
      <c r="N12" s="38">
        <f t="shared" si="9"/>
        <v>72.343613422854006</v>
      </c>
      <c r="O12" s="38">
        <f t="shared" si="9"/>
        <v>397.29755618633448</v>
      </c>
      <c r="P12" s="38">
        <f t="shared" si="9"/>
        <v>3816.24251781472</v>
      </c>
      <c r="Q12" s="38">
        <f t="shared" si="9"/>
        <v>310.393681175251</v>
      </c>
      <c r="R12" s="38">
        <f t="shared" si="9"/>
        <v>104.73650000000001</v>
      </c>
      <c r="S12" s="38">
        <f t="shared" si="9"/>
        <v>214.929328700338</v>
      </c>
      <c r="T12" s="38">
        <f t="shared" si="9"/>
        <v>1364.671652170935</v>
      </c>
      <c r="U12" s="38">
        <f t="shared" si="9"/>
        <v>652.58490000000006</v>
      </c>
      <c r="V12" s="38">
        <f t="shared" si="9"/>
        <v>3327.5308060380748</v>
      </c>
      <c r="W12" s="38">
        <f t="shared" si="9"/>
        <v>131.89137616846801</v>
      </c>
      <c r="X12" s="38">
        <f t="shared" si="9"/>
        <v>257.26353437817801</v>
      </c>
      <c r="Y12" s="38">
        <f t="shared" si="9"/>
        <v>459.75439947169798</v>
      </c>
      <c r="Z12" s="38">
        <f t="shared" si="9"/>
        <v>26.254803011357598</v>
      </c>
      <c r="AA12" s="38">
        <f t="shared" si="9"/>
        <v>2038.33380888174</v>
      </c>
      <c r="AB12" s="38">
        <f t="shared" si="9"/>
        <v>50.408861224890501</v>
      </c>
      <c r="AC12" s="38">
        <f t="shared" si="9"/>
        <v>39.298828134065502</v>
      </c>
      <c r="AD12" s="38">
        <f t="shared" si="9"/>
        <v>81.836445024843997</v>
      </c>
      <c r="AE12" s="38">
        <f t="shared" si="9"/>
        <v>24.828643278473852</v>
      </c>
      <c r="AF12" s="38">
        <f t="shared" si="9"/>
        <v>14.73603864449305</v>
      </c>
      <c r="AG12" s="38">
        <f t="shared" si="9"/>
        <v>59.249671211295002</v>
      </c>
      <c r="AH12" s="38">
        <f t="shared" si="9"/>
        <v>47.174407374563351</v>
      </c>
      <c r="AI12" s="38">
        <f t="shared" si="9"/>
        <v>2085.7636305430251</v>
      </c>
      <c r="AJ12" s="38">
        <f t="shared" si="9"/>
        <v>901.21471000000008</v>
      </c>
      <c r="AK12" s="38">
        <f t="shared" si="9"/>
        <v>711.12934859470499</v>
      </c>
      <c r="AL12" s="38">
        <f t="shared" si="9"/>
        <v>366.97620317617299</v>
      </c>
      <c r="AM12" s="38">
        <f t="shared" si="9"/>
        <v>362.93961715690199</v>
      </c>
      <c r="AN12" s="38">
        <f t="shared" si="9"/>
        <v>166.804183877756</v>
      </c>
      <c r="AO12" s="38">
        <f t="shared" si="9"/>
        <v>1339.5250000000001</v>
      </c>
      <c r="AP12" s="38">
        <f t="shared" si="9"/>
        <v>38.475940941649547</v>
      </c>
      <c r="AQ12" s="38">
        <f t="shared" si="9"/>
        <v>82.838080766774496</v>
      </c>
      <c r="AR12" s="38">
        <f t="shared" si="9"/>
        <v>9169.4263556475998</v>
      </c>
    </row>
    <row r="13" spans="2:44" ht="14.4">
      <c r="B13" s="32"/>
      <c r="C13" s="32"/>
      <c r="D13" s="33" t="s">
        <v>126</v>
      </c>
      <c r="E13" s="34" t="str">
        <f t="shared" si="1"/>
        <v>2060</v>
      </c>
      <c r="F13" s="34">
        <v>1</v>
      </c>
      <c r="G13" s="34"/>
      <c r="H13" s="35">
        <f t="shared" si="10" ref="H13:AR13">IF(H43*H$48&gt;SUM(H$28:H$29,H$31)/1000,H43*H$48,SUM(H$28:H$29,H$31)/1000*1.1)</f>
        <v>73.005598709818003</v>
      </c>
      <c r="I13" s="35">
        <f t="shared" si="10"/>
        <v>296.28485568479448</v>
      </c>
      <c r="J13" s="35">
        <f t="shared" si="10"/>
        <v>78.562562571149002</v>
      </c>
      <c r="K13" s="35">
        <f t="shared" si="10"/>
        <v>1183.836090972165</v>
      </c>
      <c r="L13" s="35">
        <f t="shared" si="10"/>
        <v>189.57756529536351</v>
      </c>
      <c r="M13" s="35">
        <f t="shared" si="10"/>
        <v>635.53384340028003</v>
      </c>
      <c r="N13" s="35">
        <f t="shared" si="10"/>
        <v>72.343613422854006</v>
      </c>
      <c r="O13" s="35">
        <f t="shared" si="10"/>
        <v>397.29755618633448</v>
      </c>
      <c r="P13" s="35">
        <f t="shared" si="10"/>
        <v>3816.24251781472</v>
      </c>
      <c r="Q13" s="35">
        <f t="shared" si="10"/>
        <v>310.393681175251</v>
      </c>
      <c r="R13" s="35">
        <f t="shared" si="10"/>
        <v>104.73650000000001</v>
      </c>
      <c r="S13" s="35">
        <f t="shared" si="10"/>
        <v>214.929328700338</v>
      </c>
      <c r="T13" s="35">
        <f t="shared" si="10"/>
        <v>1364.671652170935</v>
      </c>
      <c r="U13" s="35">
        <f t="shared" si="10"/>
        <v>652.58490000000006</v>
      </c>
      <c r="V13" s="35">
        <f t="shared" si="10"/>
        <v>3327.5308060380748</v>
      </c>
      <c r="W13" s="35">
        <f t="shared" si="10"/>
        <v>131.89137616846801</v>
      </c>
      <c r="X13" s="35">
        <f t="shared" si="10"/>
        <v>257.26353437817801</v>
      </c>
      <c r="Y13" s="35">
        <f t="shared" si="10"/>
        <v>459.75439947169798</v>
      </c>
      <c r="Z13" s="35">
        <f t="shared" si="10"/>
        <v>26.254803011357598</v>
      </c>
      <c r="AA13" s="35">
        <f t="shared" si="10"/>
        <v>2038.33380888174</v>
      </c>
      <c r="AB13" s="35">
        <f t="shared" si="10"/>
        <v>50.408861224890501</v>
      </c>
      <c r="AC13" s="35">
        <f t="shared" si="10"/>
        <v>39.298828134065502</v>
      </c>
      <c r="AD13" s="35">
        <f t="shared" si="10"/>
        <v>81.836445024843997</v>
      </c>
      <c r="AE13" s="35">
        <f t="shared" si="10"/>
        <v>24.828643278473852</v>
      </c>
      <c r="AF13" s="35">
        <f t="shared" si="10"/>
        <v>14.73603864449305</v>
      </c>
      <c r="AG13" s="35">
        <f t="shared" si="10"/>
        <v>59.249671211295002</v>
      </c>
      <c r="AH13" s="35">
        <f t="shared" si="10"/>
        <v>47.174407374563351</v>
      </c>
      <c r="AI13" s="35">
        <f t="shared" si="10"/>
        <v>2085.7636305430251</v>
      </c>
      <c r="AJ13" s="35">
        <f t="shared" si="10"/>
        <v>901.21471000000008</v>
      </c>
      <c r="AK13" s="35">
        <f t="shared" si="10"/>
        <v>711.12934859470499</v>
      </c>
      <c r="AL13" s="35">
        <f t="shared" si="10"/>
        <v>366.97620317617299</v>
      </c>
      <c r="AM13" s="35">
        <f t="shared" si="10"/>
        <v>362.93961715690199</v>
      </c>
      <c r="AN13" s="35">
        <f t="shared" si="10"/>
        <v>166.804183877756</v>
      </c>
      <c r="AO13" s="35">
        <f t="shared" si="10"/>
        <v>1339.5250000000001</v>
      </c>
      <c r="AP13" s="35">
        <f t="shared" si="10"/>
        <v>38.475940941649547</v>
      </c>
      <c r="AQ13" s="35">
        <f t="shared" si="10"/>
        <v>82.838080766774496</v>
      </c>
      <c r="AR13" s="35">
        <f t="shared" si="10"/>
        <v>9169.4263556475998</v>
      </c>
    </row>
    <row r="14" spans="2:44" ht="14.4">
      <c r="B14" s="36" t="s">
        <v>128</v>
      </c>
      <c r="C14" s="36" t="s">
        <v>130</v>
      </c>
      <c r="D14" s="17" t="s">
        <v>133</v>
      </c>
      <c r="E14" s="37" t="str">
        <f t="shared" si="11" ref="E14:E22">G35</f>
        <v>2010</v>
      </c>
      <c r="F14" s="37">
        <v>1</v>
      </c>
      <c r="G14" s="37">
        <v>5</v>
      </c>
      <c r="H14" s="38">
        <f t="shared" si="12" ref="H14:AR14">IF(H35*H$49&gt;H$31/1000,H35*H$49,H$31/1000*1.1)</f>
        <v>42.68282932741635</v>
      </c>
      <c r="I14" s="38">
        <f t="shared" si="12"/>
        <v>507.58087103336499</v>
      </c>
      <c r="J14" s="38">
        <f t="shared" si="12"/>
        <v>111.5504823363605</v>
      </c>
      <c r="K14" s="38">
        <f t="shared" si="12"/>
        <v>475.19360879399852</v>
      </c>
      <c r="L14" s="38">
        <f t="shared" si="12"/>
        <v>308.5061752411055</v>
      </c>
      <c r="M14" s="38">
        <f t="shared" si="12"/>
        <v>420.77511918099952</v>
      </c>
      <c r="N14" s="38">
        <f t="shared" si="12"/>
        <v>52.926053254483001</v>
      </c>
      <c r="O14" s="38">
        <f t="shared" si="12"/>
        <v>513.52919804298995</v>
      </c>
      <c r="P14" s="38">
        <f t="shared" si="12"/>
        <v>3866.8222888864948</v>
      </c>
      <c r="Q14" s="38">
        <f t="shared" si="12"/>
        <v>498.69064487514203</v>
      </c>
      <c r="R14" s="38">
        <f t="shared" si="12"/>
        <v>55.833970352173999</v>
      </c>
      <c r="S14" s="38">
        <f t="shared" si="12"/>
        <v>364.40629226428752</v>
      </c>
      <c r="T14" s="38">
        <f t="shared" si="12"/>
        <v>486.49230756031199</v>
      </c>
      <c r="U14" s="38">
        <f t="shared" si="12"/>
        <v>396.06073436567499</v>
      </c>
      <c r="V14" s="38">
        <f t="shared" si="12"/>
        <v>3149.4305632534551</v>
      </c>
      <c r="W14" s="38">
        <f t="shared" si="12"/>
        <v>318.04192554352602</v>
      </c>
      <c r="X14" s="38">
        <f t="shared" si="12"/>
        <v>768.33103406455496</v>
      </c>
      <c r="Y14" s="38">
        <f t="shared" si="12"/>
        <v>232.74690868337899</v>
      </c>
      <c r="Z14" s="38">
        <f t="shared" si="12"/>
        <v>21.791251851046852</v>
      </c>
      <c r="AA14" s="38">
        <f t="shared" si="12"/>
        <v>1055.9038732446049</v>
      </c>
      <c r="AB14" s="38">
        <f t="shared" si="12"/>
        <v>65.664116807322998</v>
      </c>
      <c r="AC14" s="38">
        <f t="shared" si="12"/>
        <v>130.313021318267</v>
      </c>
      <c r="AD14" s="38">
        <f t="shared" si="12"/>
        <v>26.155688483628548</v>
      </c>
      <c r="AE14" s="38">
        <f t="shared" si="12"/>
        <v>92.164432445794503</v>
      </c>
      <c r="AF14" s="38">
        <f t="shared" si="12"/>
        <v>21.388597262252201</v>
      </c>
      <c r="AG14" s="38">
        <f t="shared" si="12"/>
        <v>58.225060034608497</v>
      </c>
      <c r="AH14" s="38">
        <f t="shared" si="12"/>
        <v>1.78406130836619</v>
      </c>
      <c r="AI14" s="38">
        <f t="shared" si="12"/>
        <v>317.89453862571952</v>
      </c>
      <c r="AJ14" s="38">
        <f t="shared" si="12"/>
        <v>231.8062514754055</v>
      </c>
      <c r="AK14" s="38">
        <f t="shared" si="12"/>
        <v>1662.43379226505</v>
      </c>
      <c r="AL14" s="38">
        <f t="shared" si="12"/>
        <v>204.90767979145249</v>
      </c>
      <c r="AM14" s="38">
        <f t="shared" si="12"/>
        <v>1051.7399133552699</v>
      </c>
      <c r="AN14" s="38">
        <f t="shared" si="12"/>
        <v>329.59825508923802</v>
      </c>
      <c r="AO14" s="38">
        <f t="shared" si="12"/>
        <v>589.36531847897004</v>
      </c>
      <c r="AP14" s="38">
        <f t="shared" si="12"/>
        <v>97.532379502053502</v>
      </c>
      <c r="AQ14" s="38">
        <f t="shared" si="12"/>
        <v>215.75150312034251</v>
      </c>
      <c r="AR14" s="38">
        <f t="shared" si="12"/>
        <v>1905.48877175847</v>
      </c>
    </row>
    <row r="15" spans="2:44" ht="14.4">
      <c r="B15" s="36"/>
      <c r="C15" s="36"/>
      <c r="D15" s="17" t="s">
        <v>133</v>
      </c>
      <c r="E15" s="37" t="str">
        <f t="shared" si="11"/>
        <v>2050</v>
      </c>
      <c r="F15" s="37">
        <v>1</v>
      </c>
      <c r="G15" s="37"/>
      <c r="H15" s="38">
        <f t="shared" si="13" ref="H15:AR15">IF(H36*H$49&gt;H$31/1000,H36*H$49,H$31/1000*1.1)</f>
        <v>129.117339866951</v>
      </c>
      <c r="I15" s="38">
        <f t="shared" si="13"/>
        <v>639.35153068824002</v>
      </c>
      <c r="J15" s="38">
        <f t="shared" si="13"/>
        <v>219.5240982849335</v>
      </c>
      <c r="K15" s="38">
        <f t="shared" si="13"/>
        <v>709.53665549381503</v>
      </c>
      <c r="L15" s="38">
        <f t="shared" si="13"/>
        <v>348.82272014346898</v>
      </c>
      <c r="M15" s="38">
        <f t="shared" si="13"/>
        <v>566.505822956055</v>
      </c>
      <c r="N15" s="38">
        <f t="shared" si="13"/>
        <v>70.836454809878006</v>
      </c>
      <c r="O15" s="38">
        <f t="shared" si="13"/>
        <v>670.27070703544996</v>
      </c>
      <c r="P15" s="38">
        <f t="shared" si="13"/>
        <v>3650.3189300836448</v>
      </c>
      <c r="Q15" s="38">
        <f t="shared" si="13"/>
        <v>583.00918404956496</v>
      </c>
      <c r="R15" s="38">
        <f t="shared" si="13"/>
        <v>46.898067371775149</v>
      </c>
      <c r="S15" s="38">
        <f t="shared" si="13"/>
        <v>380.12294497415149</v>
      </c>
      <c r="T15" s="38">
        <f t="shared" si="13"/>
        <v>615.57328257129996</v>
      </c>
      <c r="U15" s="38">
        <f t="shared" si="13"/>
        <v>444.347178519012</v>
      </c>
      <c r="V15" s="38">
        <f t="shared" si="13"/>
        <v>3742.413781854525</v>
      </c>
      <c r="W15" s="38">
        <f t="shared" si="13"/>
        <v>368.5385822123705</v>
      </c>
      <c r="X15" s="38">
        <f t="shared" si="13"/>
        <v>696.57372232057503</v>
      </c>
      <c r="Y15" s="38">
        <f t="shared" si="13"/>
        <v>305.65416419420751</v>
      </c>
      <c r="Z15" s="38">
        <f t="shared" si="13"/>
        <v>28.107135739152799</v>
      </c>
      <c r="AA15" s="38">
        <f t="shared" si="13"/>
        <v>1146.1557519590599</v>
      </c>
      <c r="AB15" s="38">
        <f t="shared" si="13"/>
        <v>140.855382561417</v>
      </c>
      <c r="AC15" s="38">
        <f t="shared" si="13"/>
        <v>77.714536534781004</v>
      </c>
      <c r="AD15" s="38">
        <f t="shared" si="13"/>
        <v>63.245150719837</v>
      </c>
      <c r="AE15" s="38">
        <f t="shared" si="13"/>
        <v>62.169358760272999</v>
      </c>
      <c r="AF15" s="38">
        <f t="shared" si="13"/>
        <v>26.0620848753844</v>
      </c>
      <c r="AG15" s="38">
        <f t="shared" si="13"/>
        <v>109.01939502878299</v>
      </c>
      <c r="AH15" s="38">
        <f t="shared" si="13"/>
        <v>3.6919101423571301</v>
      </c>
      <c r="AI15" s="38">
        <f t="shared" si="13"/>
        <v>394.96634500055001</v>
      </c>
      <c r="AJ15" s="38">
        <f t="shared" si="13"/>
        <v>314.40522151983799</v>
      </c>
      <c r="AK15" s="38">
        <f t="shared" si="13"/>
        <v>1895.0531414867</v>
      </c>
      <c r="AL15" s="38">
        <f t="shared" si="13"/>
        <v>454.59142178345149</v>
      </c>
      <c r="AM15" s="38">
        <f t="shared" si="13"/>
        <v>1263.7609690930999</v>
      </c>
      <c r="AN15" s="38">
        <f t="shared" si="13"/>
        <v>466.09398748617048</v>
      </c>
      <c r="AO15" s="38">
        <f t="shared" si="13"/>
        <v>831.876924719915</v>
      </c>
      <c r="AP15" s="38">
        <f t="shared" si="13"/>
        <v>115.68838224441799</v>
      </c>
      <c r="AQ15" s="38">
        <f t="shared" si="13"/>
        <v>278.35826466411049</v>
      </c>
      <c r="AR15" s="38">
        <f t="shared" si="13"/>
        <v>2641.1484169927999</v>
      </c>
    </row>
    <row r="16" spans="2:44" ht="14.4">
      <c r="B16" s="36"/>
      <c r="C16" s="36"/>
      <c r="D16" s="17" t="s">
        <v>133</v>
      </c>
      <c r="E16" s="37" t="str">
        <f t="shared" si="11"/>
        <v>2060</v>
      </c>
      <c r="F16" s="37">
        <v>1</v>
      </c>
      <c r="G16" s="37"/>
      <c r="H16" s="38">
        <f t="shared" si="14" ref="H16:AR16">IF(H37*H$49&gt;H$31/1000,H37*H$49,H$31/1000*1.1)</f>
        <v>129.117339866951</v>
      </c>
      <c r="I16" s="38">
        <f t="shared" si="14"/>
        <v>639.35153068824002</v>
      </c>
      <c r="J16" s="38">
        <f t="shared" si="14"/>
        <v>219.5240982849335</v>
      </c>
      <c r="K16" s="38">
        <f t="shared" si="14"/>
        <v>709.53665549381503</v>
      </c>
      <c r="L16" s="38">
        <f t="shared" si="14"/>
        <v>348.82272014346898</v>
      </c>
      <c r="M16" s="38">
        <f t="shared" si="14"/>
        <v>566.505822956055</v>
      </c>
      <c r="N16" s="38">
        <f t="shared" si="14"/>
        <v>70.836454809878006</v>
      </c>
      <c r="O16" s="38">
        <f t="shared" si="14"/>
        <v>670.27070703544996</v>
      </c>
      <c r="P16" s="38">
        <f t="shared" si="14"/>
        <v>3650.3189300836448</v>
      </c>
      <c r="Q16" s="38">
        <f t="shared" si="14"/>
        <v>583.00918404956496</v>
      </c>
      <c r="R16" s="38">
        <f t="shared" si="14"/>
        <v>46.898067371775149</v>
      </c>
      <c r="S16" s="38">
        <f t="shared" si="14"/>
        <v>380.12294497415149</v>
      </c>
      <c r="T16" s="38">
        <f t="shared" si="14"/>
        <v>615.57328257129996</v>
      </c>
      <c r="U16" s="38">
        <f t="shared" si="14"/>
        <v>444.347178519012</v>
      </c>
      <c r="V16" s="38">
        <f t="shared" si="14"/>
        <v>3742.413781854525</v>
      </c>
      <c r="W16" s="38">
        <f t="shared" si="14"/>
        <v>368.5385822123705</v>
      </c>
      <c r="X16" s="38">
        <f t="shared" si="14"/>
        <v>696.57372232057503</v>
      </c>
      <c r="Y16" s="38">
        <f t="shared" si="14"/>
        <v>305.65416419420751</v>
      </c>
      <c r="Z16" s="38">
        <f t="shared" si="14"/>
        <v>28.107135739152799</v>
      </c>
      <c r="AA16" s="38">
        <f t="shared" si="14"/>
        <v>1146.1557519590599</v>
      </c>
      <c r="AB16" s="38">
        <f t="shared" si="14"/>
        <v>140.855382561417</v>
      </c>
      <c r="AC16" s="38">
        <f t="shared" si="14"/>
        <v>77.714536534781004</v>
      </c>
      <c r="AD16" s="38">
        <f t="shared" si="14"/>
        <v>63.245150719837</v>
      </c>
      <c r="AE16" s="38">
        <f t="shared" si="14"/>
        <v>62.169358760272999</v>
      </c>
      <c r="AF16" s="38">
        <f t="shared" si="14"/>
        <v>26.0620848753844</v>
      </c>
      <c r="AG16" s="38">
        <f t="shared" si="14"/>
        <v>109.01939502878299</v>
      </c>
      <c r="AH16" s="38">
        <f t="shared" si="14"/>
        <v>3.6919101423571301</v>
      </c>
      <c r="AI16" s="38">
        <f t="shared" si="14"/>
        <v>394.96634500055001</v>
      </c>
      <c r="AJ16" s="38">
        <f t="shared" si="14"/>
        <v>314.40522151983799</v>
      </c>
      <c r="AK16" s="38">
        <f t="shared" si="14"/>
        <v>1895.0531414867</v>
      </c>
      <c r="AL16" s="38">
        <f t="shared" si="14"/>
        <v>454.59142178345149</v>
      </c>
      <c r="AM16" s="38">
        <f t="shared" si="14"/>
        <v>1263.7609690930999</v>
      </c>
      <c r="AN16" s="38">
        <f t="shared" si="14"/>
        <v>466.09398748617048</v>
      </c>
      <c r="AO16" s="38">
        <f t="shared" si="14"/>
        <v>831.876924719915</v>
      </c>
      <c r="AP16" s="38">
        <f t="shared" si="14"/>
        <v>115.68838224441799</v>
      </c>
      <c r="AQ16" s="38">
        <f t="shared" si="14"/>
        <v>278.35826466411049</v>
      </c>
      <c r="AR16" s="38">
        <f t="shared" si="14"/>
        <v>2641.1484169927999</v>
      </c>
    </row>
    <row r="17" spans="2:44" ht="14.4">
      <c r="B17" s="36" t="s">
        <v>127</v>
      </c>
      <c r="C17" s="36" t="s">
        <v>131</v>
      </c>
      <c r="D17" s="17" t="s">
        <v>134</v>
      </c>
      <c r="E17" s="37" t="str">
        <f t="shared" si="11"/>
        <v>2010</v>
      </c>
      <c r="F17" s="37">
        <v>1</v>
      </c>
      <c r="G17" s="37">
        <v>5</v>
      </c>
      <c r="H17" s="38">
        <f t="shared" si="15" ref="H17:AR17">IF(H38*H$50&gt;H$31/1000,H38*H$50,H$31/1000*1.1)</f>
        <v>39.333944848427599</v>
      </c>
      <c r="I17" s="38">
        <f t="shared" si="15"/>
        <v>293.63862889811401</v>
      </c>
      <c r="J17" s="38">
        <f t="shared" si="15"/>
        <v>54.237480272995008</v>
      </c>
      <c r="K17" s="38">
        <f t="shared" si="15"/>
        <v>181.10460288239841</v>
      </c>
      <c r="L17" s="38">
        <f t="shared" si="15"/>
        <v>155.44354120276421</v>
      </c>
      <c r="M17" s="38">
        <f t="shared" si="15"/>
        <v>329.65704230599403</v>
      </c>
      <c r="N17" s="38">
        <f t="shared" si="15"/>
        <v>16.708974738565821</v>
      </c>
      <c r="O17" s="38">
        <f t="shared" si="15"/>
        <v>441.60624280496808</v>
      </c>
      <c r="P17" s="38">
        <f t="shared" si="15"/>
        <v>3701.4957869484601</v>
      </c>
      <c r="Q17" s="38">
        <f t="shared" si="15"/>
        <v>213.33525034504203</v>
      </c>
      <c r="R17" s="38">
        <f t="shared" si="15"/>
        <v>97.629275750152999</v>
      </c>
      <c r="S17" s="38">
        <f t="shared" si="15"/>
        <v>335.81506259559802</v>
      </c>
      <c r="T17" s="38">
        <f t="shared" si="15"/>
        <v>1486.6217623707862</v>
      </c>
      <c r="U17" s="38">
        <f t="shared" si="15"/>
        <v>221.634463046142</v>
      </c>
      <c r="V17" s="38">
        <f t="shared" si="15"/>
        <v>1839.070539635424</v>
      </c>
      <c r="W17" s="38">
        <f t="shared" si="15"/>
        <v>101.00494537172901</v>
      </c>
      <c r="X17" s="38">
        <f t="shared" si="15"/>
        <v>262.96046106108201</v>
      </c>
      <c r="Y17" s="38">
        <f t="shared" si="15"/>
        <v>29.623653962050003</v>
      </c>
      <c r="Z17" s="38">
        <f t="shared" si="15"/>
        <v>13.432426927294561</v>
      </c>
      <c r="AA17" s="38">
        <f t="shared" si="15"/>
        <v>3409.5768309843802</v>
      </c>
      <c r="AB17" s="38">
        <f t="shared" si="15"/>
        <v>31.926856481372198</v>
      </c>
      <c r="AC17" s="38">
        <f t="shared" si="15"/>
        <v>145.10869320967922</v>
      </c>
      <c r="AD17" s="38">
        <f t="shared" si="15"/>
        <v>13.59999992765956</v>
      </c>
      <c r="AE17" s="38">
        <f t="shared" si="15"/>
        <v>115.2320347249528</v>
      </c>
      <c r="AF17" s="38">
        <f t="shared" si="15"/>
        <v>19.710453087473102</v>
      </c>
      <c r="AG17" s="38">
        <f t="shared" si="15"/>
        <v>32.17941721335</v>
      </c>
      <c r="AH17" s="38">
        <f t="shared" si="15"/>
        <v>3.2670924949169606</v>
      </c>
      <c r="AI17" s="38">
        <f t="shared" si="15"/>
        <v>345.74011352702001</v>
      </c>
      <c r="AJ17" s="38">
        <f t="shared" si="15"/>
        <v>230.33256224866</v>
      </c>
      <c r="AK17" s="38">
        <f t="shared" si="15"/>
        <v>1346.8278368821782</v>
      </c>
      <c r="AL17" s="38">
        <f t="shared" si="15"/>
        <v>102.93715308783501</v>
      </c>
      <c r="AM17" s="38">
        <f t="shared" si="15"/>
        <v>410.18146865570202</v>
      </c>
      <c r="AN17" s="38">
        <f t="shared" si="15"/>
        <v>160.25550480824</v>
      </c>
      <c r="AO17" s="38">
        <f t="shared" si="15"/>
        <v>485.35629844732807</v>
      </c>
      <c r="AP17" s="38">
        <f t="shared" si="15"/>
        <v>92.283782277722807</v>
      </c>
      <c r="AQ17" s="38">
        <f t="shared" si="15"/>
        <v>116.07215040490522</v>
      </c>
      <c r="AR17" s="38">
        <f t="shared" si="15"/>
        <v>785.6454163348061</v>
      </c>
    </row>
    <row r="18" spans="2:44" ht="14.4">
      <c r="B18" s="36"/>
      <c r="C18" s="36"/>
      <c r="D18" s="17" t="s">
        <v>134</v>
      </c>
      <c r="E18" s="37" t="str">
        <f t="shared" si="11"/>
        <v>2050</v>
      </c>
      <c r="F18" s="37">
        <v>1</v>
      </c>
      <c r="G18" s="37"/>
      <c r="H18" s="38">
        <f t="shared" si="16" ref="H18:AR18">IF(H39*H$50&gt;H$31/1000,H39*H$50,H$31/1000*1.1)</f>
        <v>118.98682456929239</v>
      </c>
      <c r="I18" s="38">
        <f t="shared" si="16"/>
        <v>369.86875898809001</v>
      </c>
      <c r="J18" s="38">
        <f t="shared" si="16"/>
        <v>106.73583565756701</v>
      </c>
      <c r="K18" s="38">
        <f t="shared" si="16"/>
        <v>270.416840306072</v>
      </c>
      <c r="L18" s="38">
        <f t="shared" si="16"/>
        <v>175.75738582446701</v>
      </c>
      <c r="M18" s="38">
        <f t="shared" si="16"/>
        <v>443.83003065464601</v>
      </c>
      <c r="N18" s="38">
        <f t="shared" si="16"/>
        <v>22.3633628658596</v>
      </c>
      <c r="O18" s="38">
        <f t="shared" si="16"/>
        <v>576.39512947689002</v>
      </c>
      <c r="P18" s="38">
        <f t="shared" si="16"/>
        <v>3494.2490580847607</v>
      </c>
      <c r="Q18" s="38">
        <f t="shared" si="16"/>
        <v>249.40594236295203</v>
      </c>
      <c r="R18" s="38">
        <f t="shared" si="16"/>
        <v>82.004276656460604</v>
      </c>
      <c r="S18" s="38">
        <f t="shared" si="16"/>
        <v>350.29859053020402</v>
      </c>
      <c r="T18" s="38">
        <f t="shared" si="16"/>
        <v>1881.067026103108</v>
      </c>
      <c r="U18" s="38">
        <f t="shared" si="16"/>
        <v>248.65542017149801</v>
      </c>
      <c r="V18" s="38">
        <f t="shared" si="16"/>
        <v>2185.3356646873799</v>
      </c>
      <c r="W18" s="38">
        <f t="shared" si="16"/>
        <v>117.04186264159881</v>
      </c>
      <c r="X18" s="38">
        <f t="shared" si="16"/>
        <v>238.40159913293601</v>
      </c>
      <c r="Y18" s="38">
        <f t="shared" si="16"/>
        <v>38.903172735438403</v>
      </c>
      <c r="Z18" s="38">
        <f t="shared" si="16"/>
        <v>17.32562449979584</v>
      </c>
      <c r="AA18" s="38">
        <f t="shared" si="16"/>
        <v>3701.0055513583802</v>
      </c>
      <c r="AB18" s="38">
        <f t="shared" si="16"/>
        <v>68.485952485477</v>
      </c>
      <c r="AC18" s="38">
        <f t="shared" si="16"/>
        <v>86.538204132461402</v>
      </c>
      <c r="AD18" s="38">
        <f t="shared" si="16"/>
        <v>32.885161702127604</v>
      </c>
      <c r="AE18" s="38">
        <f t="shared" si="16"/>
        <v>77.729570045420814</v>
      </c>
      <c r="AF18" s="38">
        <f t="shared" si="16"/>
        <v>24.017259991360202</v>
      </c>
      <c r="AG18" s="38">
        <f t="shared" si="16"/>
        <v>60.252073503968603</v>
      </c>
      <c r="AH18" s="38">
        <f t="shared" si="16"/>
        <v>6.7608729932317999</v>
      </c>
      <c r="AI18" s="38">
        <f t="shared" si="16"/>
        <v>429.56292847993603</v>
      </c>
      <c r="AJ18" s="38">
        <f t="shared" si="16"/>
        <v>312.40641611732002</v>
      </c>
      <c r="AK18" s="38">
        <f t="shared" si="16"/>
        <v>1535.2853961467001</v>
      </c>
      <c r="AL18" s="38">
        <f t="shared" si="16"/>
        <v>228.36795001615002</v>
      </c>
      <c r="AM18" s="38">
        <f t="shared" si="16"/>
        <v>492.87026550000002</v>
      </c>
      <c r="AN18" s="38">
        <f t="shared" si="16"/>
        <v>226.62173145443001</v>
      </c>
      <c r="AO18" s="38">
        <f t="shared" si="16"/>
        <v>685.07034989404201</v>
      </c>
      <c r="AP18" s="38">
        <f t="shared" si="16"/>
        <v>109.46273979587521</v>
      </c>
      <c r="AQ18" s="38">
        <f t="shared" si="16"/>
        <v>149.75396182764601</v>
      </c>
      <c r="AR18" s="38">
        <f t="shared" si="16"/>
        <v>1088.9626737372041</v>
      </c>
    </row>
    <row r="19" spans="2:44" ht="14.4">
      <c r="B19" s="36"/>
      <c r="C19" s="36"/>
      <c r="D19" s="17" t="s">
        <v>134</v>
      </c>
      <c r="E19" s="37" t="str">
        <f t="shared" si="11"/>
        <v>2060</v>
      </c>
      <c r="F19" s="37">
        <v>1</v>
      </c>
      <c r="G19" s="37"/>
      <c r="H19" s="38">
        <f t="shared" si="17" ref="H19:AR19">IF(H40*H$50&gt;H$31/1000,H40*H$50,H$31/1000*1.1)</f>
        <v>118.98682456929239</v>
      </c>
      <c r="I19" s="38">
        <f t="shared" si="17"/>
        <v>369.86875898809001</v>
      </c>
      <c r="J19" s="38">
        <f t="shared" si="17"/>
        <v>106.73583565756701</v>
      </c>
      <c r="K19" s="38">
        <f t="shared" si="17"/>
        <v>270.416840306072</v>
      </c>
      <c r="L19" s="38">
        <f t="shared" si="17"/>
        <v>175.75738582446701</v>
      </c>
      <c r="M19" s="38">
        <f t="shared" si="17"/>
        <v>443.83003065464601</v>
      </c>
      <c r="N19" s="38">
        <f t="shared" si="17"/>
        <v>22.3633628658596</v>
      </c>
      <c r="O19" s="38">
        <f t="shared" si="17"/>
        <v>576.39512947689002</v>
      </c>
      <c r="P19" s="38">
        <f t="shared" si="17"/>
        <v>3494.2490580847607</v>
      </c>
      <c r="Q19" s="38">
        <f t="shared" si="17"/>
        <v>249.40594236295203</v>
      </c>
      <c r="R19" s="38">
        <f t="shared" si="17"/>
        <v>82.004276656460604</v>
      </c>
      <c r="S19" s="38">
        <f t="shared" si="17"/>
        <v>350.29859053020402</v>
      </c>
      <c r="T19" s="38">
        <f t="shared" si="17"/>
        <v>1881.067026103108</v>
      </c>
      <c r="U19" s="38">
        <f t="shared" si="17"/>
        <v>248.65542017149801</v>
      </c>
      <c r="V19" s="38">
        <f t="shared" si="17"/>
        <v>2185.3356646873799</v>
      </c>
      <c r="W19" s="38">
        <f t="shared" si="17"/>
        <v>117.04186264159881</v>
      </c>
      <c r="X19" s="38">
        <f t="shared" si="17"/>
        <v>238.40159913293601</v>
      </c>
      <c r="Y19" s="38">
        <f t="shared" si="17"/>
        <v>38.903172735438403</v>
      </c>
      <c r="Z19" s="38">
        <f t="shared" si="17"/>
        <v>17.32562449979584</v>
      </c>
      <c r="AA19" s="38">
        <f t="shared" si="17"/>
        <v>3701.0055513583802</v>
      </c>
      <c r="AB19" s="38">
        <f t="shared" si="17"/>
        <v>68.485952485477</v>
      </c>
      <c r="AC19" s="38">
        <f t="shared" si="17"/>
        <v>86.538204132461402</v>
      </c>
      <c r="AD19" s="38">
        <f t="shared" si="17"/>
        <v>32.885161702127604</v>
      </c>
      <c r="AE19" s="38">
        <f t="shared" si="17"/>
        <v>77.729570045420814</v>
      </c>
      <c r="AF19" s="38">
        <f t="shared" si="17"/>
        <v>24.017259991360202</v>
      </c>
      <c r="AG19" s="38">
        <f t="shared" si="17"/>
        <v>60.252073503968603</v>
      </c>
      <c r="AH19" s="38">
        <f t="shared" si="17"/>
        <v>6.7608729932317999</v>
      </c>
      <c r="AI19" s="38">
        <f t="shared" si="17"/>
        <v>429.56292847993603</v>
      </c>
      <c r="AJ19" s="38">
        <f t="shared" si="17"/>
        <v>312.40641611732002</v>
      </c>
      <c r="AK19" s="38">
        <f t="shared" si="17"/>
        <v>1535.2853961467001</v>
      </c>
      <c r="AL19" s="38">
        <f t="shared" si="17"/>
        <v>228.36795001615002</v>
      </c>
      <c r="AM19" s="38">
        <f t="shared" si="17"/>
        <v>492.87026550000002</v>
      </c>
      <c r="AN19" s="38">
        <f t="shared" si="17"/>
        <v>226.62173145443001</v>
      </c>
      <c r="AO19" s="38">
        <f t="shared" si="17"/>
        <v>685.07034989404201</v>
      </c>
      <c r="AP19" s="38">
        <f t="shared" si="17"/>
        <v>109.46273979587521</v>
      </c>
      <c r="AQ19" s="38">
        <f t="shared" si="17"/>
        <v>149.75396182764601</v>
      </c>
      <c r="AR19" s="38">
        <f t="shared" si="17"/>
        <v>1088.9626737372041</v>
      </c>
    </row>
    <row r="20" spans="2:44" ht="14.4">
      <c r="B20" s="36" t="s">
        <v>129</v>
      </c>
      <c r="C20" s="36" t="s">
        <v>132</v>
      </c>
      <c r="D20" s="17" t="s">
        <v>135</v>
      </c>
      <c r="E20" s="37" t="str">
        <f t="shared" si="11"/>
        <v>2010</v>
      </c>
      <c r="F20" s="37">
        <v>1</v>
      </c>
      <c r="G20" s="37">
        <v>5</v>
      </c>
      <c r="H20" s="38">
        <f t="shared" si="18" ref="H20:AR20">IF(H41*H$51&gt;H$31/1000,H41*H$51,H$31/1000*1.1)</f>
        <v>4.8267498585209196</v>
      </c>
      <c r="I20" s="38">
        <f t="shared" si="18"/>
        <v>98.83720000000001</v>
      </c>
      <c r="J20" s="38">
        <f t="shared" si="18"/>
        <v>7.9842639754449607</v>
      </c>
      <c r="K20" s="38">
        <f t="shared" si="18"/>
        <v>158.568648972229</v>
      </c>
      <c r="L20" s="38">
        <f t="shared" si="18"/>
        <v>33.5332799175115</v>
      </c>
      <c r="M20" s="38">
        <f t="shared" si="18"/>
        <v>94.409207412879709</v>
      </c>
      <c r="N20" s="38">
        <f t="shared" si="18"/>
        <v>10.810427898787999</v>
      </c>
      <c r="O20" s="38">
        <f t="shared" si="18"/>
        <v>60.878058155096703</v>
      </c>
      <c r="P20" s="38">
        <f t="shared" si="18"/>
        <v>808.51738767626807</v>
      </c>
      <c r="Q20" s="38">
        <f t="shared" si="18"/>
        <v>53.100509997213003</v>
      </c>
      <c r="R20" s="38">
        <f t="shared" si="18"/>
        <v>9.7625000000000011</v>
      </c>
      <c r="S20" s="38">
        <f t="shared" si="18"/>
        <v>41.208562022410099</v>
      </c>
      <c r="T20" s="38">
        <f t="shared" si="18"/>
        <v>215.70210401387399</v>
      </c>
      <c r="U20" s="38">
        <f t="shared" si="18"/>
        <v>93.823400000000007</v>
      </c>
      <c r="V20" s="38">
        <f t="shared" si="18"/>
        <v>560.05710921203899</v>
      </c>
      <c r="W20" s="38">
        <f t="shared" si="18"/>
        <v>22.7639597392455</v>
      </c>
      <c r="X20" s="38">
        <f t="shared" si="18"/>
        <v>56.753090466114202</v>
      </c>
      <c r="Y20" s="38">
        <f t="shared" si="18"/>
        <v>70.01796655558141</v>
      </c>
      <c r="Z20" s="38">
        <f t="shared" si="18"/>
        <v>4.0710304317714998</v>
      </c>
      <c r="AA20" s="38">
        <f t="shared" si="18"/>
        <v>375.56580946086501</v>
      </c>
      <c r="AB20" s="38">
        <f t="shared" si="18"/>
        <v>4.6999316481953803</v>
      </c>
      <c r="AC20" s="38">
        <f t="shared" si="18"/>
        <v>13.179385110597501</v>
      </c>
      <c r="AD20" s="38">
        <f t="shared" si="18"/>
        <v>6.7688622394445108</v>
      </c>
      <c r="AE20" s="38">
        <f t="shared" si="18"/>
        <v>7.3615615852930212</v>
      </c>
      <c r="AF20" s="38">
        <f t="shared" si="18"/>
        <v>2.4187105315257202</v>
      </c>
      <c r="AG20" s="38">
        <f t="shared" si="18"/>
        <v>6.3288108733270301</v>
      </c>
      <c r="AH20" s="38">
        <f t="shared" si="18"/>
        <v>4.5592677880469301</v>
      </c>
      <c r="AI20" s="38">
        <f t="shared" si="18"/>
        <v>335.75157752383103</v>
      </c>
      <c r="AJ20" s="38">
        <f t="shared" si="18"/>
        <v>41.914400000000001</v>
      </c>
      <c r="AK20" s="38">
        <f t="shared" si="18"/>
        <v>124.767525922551</v>
      </c>
      <c r="AL20" s="38">
        <f t="shared" si="18"/>
        <v>33.083001010664297</v>
      </c>
      <c r="AM20" s="38">
        <f t="shared" si="18"/>
        <v>60.409854527430902</v>
      </c>
      <c r="AN20" s="38">
        <f t="shared" si="18"/>
        <v>23.5911079841269</v>
      </c>
      <c r="AO20" s="38">
        <f t="shared" si="18"/>
        <v>521.48690000000011</v>
      </c>
      <c r="AP20" s="38">
        <f t="shared" si="18"/>
        <v>6.4875141320435112</v>
      </c>
      <c r="AQ20" s="38">
        <f t="shared" si="18"/>
        <v>12.841321929206799</v>
      </c>
      <c r="AR20" s="38">
        <f t="shared" si="18"/>
        <v>1323.0789191352201</v>
      </c>
    </row>
    <row r="21" spans="4:44" ht="14.4">
      <c r="D21" s="17" t="s">
        <v>135</v>
      </c>
      <c r="E21" s="10" t="str">
        <f t="shared" si="11"/>
        <v>2050</v>
      </c>
      <c r="F21" s="10">
        <v>1</v>
      </c>
      <c r="G21" s="10"/>
      <c r="H21" s="20">
        <f t="shared" si="19" ref="H21:AR21">IF(H42*H$51&gt;H$31/1000,H42*H$51,H$31/1000*1.1)</f>
        <v>14.601119741963601</v>
      </c>
      <c r="I21" s="20">
        <f t="shared" si="19"/>
        <v>98.83720000000001</v>
      </c>
      <c r="J21" s="20">
        <f t="shared" si="19"/>
        <v>15.7125125142298</v>
      </c>
      <c r="K21" s="20">
        <f t="shared" si="19"/>
        <v>236.76721819443301</v>
      </c>
      <c r="L21" s="20">
        <f t="shared" si="19"/>
        <v>37.915513059072701</v>
      </c>
      <c r="M21" s="20">
        <f t="shared" si="19"/>
        <v>127.10676868005601</v>
      </c>
      <c r="N21" s="20">
        <f t="shared" si="19"/>
        <v>14.468722684570801</v>
      </c>
      <c r="O21" s="20">
        <f t="shared" si="19"/>
        <v>79.459511237266895</v>
      </c>
      <c r="P21" s="20">
        <f t="shared" si="19"/>
        <v>763.24850356294405</v>
      </c>
      <c r="Q21" s="20">
        <f t="shared" si="19"/>
        <v>62.078736235050201</v>
      </c>
      <c r="R21" s="20">
        <f t="shared" si="19"/>
        <v>9.7625000000000011</v>
      </c>
      <c r="S21" s="20">
        <f t="shared" si="19"/>
        <v>42.985865740067602</v>
      </c>
      <c r="T21" s="20">
        <f t="shared" si="19"/>
        <v>272.93433043418702</v>
      </c>
      <c r="U21" s="20">
        <f t="shared" si="19"/>
        <v>93.823400000000007</v>
      </c>
      <c r="V21" s="20">
        <f t="shared" si="19"/>
        <v>665.50616120761504</v>
      </c>
      <c r="W21" s="20">
        <f t="shared" si="19"/>
        <v>26.378275233693603</v>
      </c>
      <c r="X21" s="20">
        <f t="shared" si="19"/>
        <v>51.452706875635606</v>
      </c>
      <c r="Y21" s="20">
        <f t="shared" si="19"/>
        <v>91.950879894339607</v>
      </c>
      <c r="Z21" s="20">
        <f t="shared" si="19"/>
        <v>5.2509606022715198</v>
      </c>
      <c r="AA21" s="20">
        <f t="shared" si="19"/>
        <v>407.66676177634804</v>
      </c>
      <c r="AB21" s="20">
        <f t="shared" si="19"/>
        <v>10.081772244978101</v>
      </c>
      <c r="AC21" s="20">
        <f t="shared" si="19"/>
        <v>7.8597656268131004</v>
      </c>
      <c r="AD21" s="20">
        <f t="shared" si="19"/>
        <v>16.3672890049688</v>
      </c>
      <c r="AE21" s="20">
        <f t="shared" si="19"/>
        <v>4.9657286556947708</v>
      </c>
      <c r="AF21" s="20">
        <f t="shared" si="19"/>
        <v>2.94720772889861</v>
      </c>
      <c r="AG21" s="20">
        <f t="shared" si="19"/>
        <v>11.849934242259001</v>
      </c>
      <c r="AH21" s="20">
        <f t="shared" si="19"/>
        <v>9.4348814749126699</v>
      </c>
      <c r="AI21" s="20">
        <f t="shared" si="19"/>
        <v>417.15272610860507</v>
      </c>
      <c r="AJ21" s="20">
        <f t="shared" si="19"/>
        <v>49.388036032811499</v>
      </c>
      <c r="AK21" s="20">
        <f t="shared" si="19"/>
        <v>142.225869718941</v>
      </c>
      <c r="AL21" s="20">
        <f t="shared" si="19"/>
        <v>73.3952406352346</v>
      </c>
      <c r="AM21" s="20">
        <f t="shared" si="19"/>
        <v>72.587923431380403</v>
      </c>
      <c r="AN21" s="20">
        <f t="shared" si="19"/>
        <v>33.360836775551199</v>
      </c>
      <c r="AO21" s="20">
        <f t="shared" si="19"/>
        <v>521.48690000000011</v>
      </c>
      <c r="AP21" s="20">
        <f t="shared" si="19"/>
        <v>7.6951881883299098</v>
      </c>
      <c r="AQ21" s="20">
        <f t="shared" si="19"/>
        <v>16.567616153354901</v>
      </c>
      <c r="AR21" s="20">
        <f t="shared" si="19"/>
        <v>1833.8852711295201</v>
      </c>
    </row>
    <row r="22" spans="2:44" ht="14.4">
      <c r="B22" s="40"/>
      <c r="C22" s="40"/>
      <c r="D22" s="39" t="s">
        <v>135</v>
      </c>
      <c r="E22" s="34" t="str">
        <f t="shared" si="11"/>
        <v>2060</v>
      </c>
      <c r="F22" s="34">
        <v>1</v>
      </c>
      <c r="G22" s="34"/>
      <c r="H22" s="35">
        <f t="shared" si="20" ref="H22:AR22">IF(H43*H$51&gt;H$31/1000,H43*H$51,H$31/1000*1.1)</f>
        <v>14.601119741963601</v>
      </c>
      <c r="I22" s="35">
        <f t="shared" si="20"/>
        <v>98.83720000000001</v>
      </c>
      <c r="J22" s="35">
        <f t="shared" si="20"/>
        <v>15.7125125142298</v>
      </c>
      <c r="K22" s="35">
        <f t="shared" si="20"/>
        <v>236.76721819443301</v>
      </c>
      <c r="L22" s="35">
        <f t="shared" si="20"/>
        <v>37.915513059072701</v>
      </c>
      <c r="M22" s="35">
        <f t="shared" si="20"/>
        <v>127.10676868005601</v>
      </c>
      <c r="N22" s="35">
        <f t="shared" si="20"/>
        <v>14.468722684570801</v>
      </c>
      <c r="O22" s="35">
        <f t="shared" si="20"/>
        <v>79.459511237266895</v>
      </c>
      <c r="P22" s="35">
        <f t="shared" si="20"/>
        <v>763.24850356294405</v>
      </c>
      <c r="Q22" s="35">
        <f t="shared" si="20"/>
        <v>62.078736235050201</v>
      </c>
      <c r="R22" s="35">
        <f t="shared" si="20"/>
        <v>9.7625000000000011</v>
      </c>
      <c r="S22" s="35">
        <f t="shared" si="20"/>
        <v>42.985865740067602</v>
      </c>
      <c r="T22" s="35">
        <f t="shared" si="20"/>
        <v>272.93433043418702</v>
      </c>
      <c r="U22" s="35">
        <f t="shared" si="20"/>
        <v>93.823400000000007</v>
      </c>
      <c r="V22" s="35">
        <f t="shared" si="20"/>
        <v>665.50616120761504</v>
      </c>
      <c r="W22" s="35">
        <f t="shared" si="20"/>
        <v>26.378275233693603</v>
      </c>
      <c r="X22" s="35">
        <f t="shared" si="20"/>
        <v>51.452706875635606</v>
      </c>
      <c r="Y22" s="35">
        <f t="shared" si="20"/>
        <v>91.950879894339607</v>
      </c>
      <c r="Z22" s="35">
        <f t="shared" si="20"/>
        <v>5.2509606022715198</v>
      </c>
      <c r="AA22" s="35">
        <f t="shared" si="20"/>
        <v>407.66676177634804</v>
      </c>
      <c r="AB22" s="35">
        <f t="shared" si="20"/>
        <v>10.081772244978101</v>
      </c>
      <c r="AC22" s="35">
        <f t="shared" si="20"/>
        <v>7.8597656268131004</v>
      </c>
      <c r="AD22" s="35">
        <f t="shared" si="20"/>
        <v>16.3672890049688</v>
      </c>
      <c r="AE22" s="35">
        <f t="shared" si="20"/>
        <v>4.9657286556947708</v>
      </c>
      <c r="AF22" s="35">
        <f t="shared" si="20"/>
        <v>2.94720772889861</v>
      </c>
      <c r="AG22" s="35">
        <f t="shared" si="20"/>
        <v>11.849934242259001</v>
      </c>
      <c r="AH22" s="35">
        <f t="shared" si="20"/>
        <v>9.4348814749126699</v>
      </c>
      <c r="AI22" s="35">
        <f t="shared" si="20"/>
        <v>417.15272610860507</v>
      </c>
      <c r="AJ22" s="35">
        <f t="shared" si="20"/>
        <v>49.388036032811499</v>
      </c>
      <c r="AK22" s="35">
        <f t="shared" si="20"/>
        <v>142.225869718941</v>
      </c>
      <c r="AL22" s="35">
        <f t="shared" si="20"/>
        <v>73.3952406352346</v>
      </c>
      <c r="AM22" s="35">
        <f t="shared" si="20"/>
        <v>72.587923431380403</v>
      </c>
      <c r="AN22" s="35">
        <f t="shared" si="20"/>
        <v>33.360836775551199</v>
      </c>
      <c r="AO22" s="35">
        <f t="shared" si="20"/>
        <v>521.48690000000011</v>
      </c>
      <c r="AP22" s="35">
        <f t="shared" si="20"/>
        <v>7.6951881883299098</v>
      </c>
      <c r="AQ22" s="35">
        <f t="shared" si="20"/>
        <v>16.567616153354901</v>
      </c>
      <c r="AR22" s="35">
        <f t="shared" si="20"/>
        <v>1833.8852711295201</v>
      </c>
    </row>
    <row r="23" spans="4:28" ht="14.4">
      <c r="D23" s="17"/>
      <c r="E23" s="10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5:33" ht="14.4">
      <c r="E24" s="10"/>
      <c r="AD24" s="19"/>
      <c r="AE24" s="19"/>
      <c r="AF24" s="19"/>
      <c r="AG24" s="19"/>
    </row>
    <row r="25" spans="33:41" ht="14.4">
      <c r="AG25" s="20"/>
      <c r="AO25" s="21"/>
    </row>
    <row r="26" spans="2:28" ht="14.4">
      <c r="B26" s="16" t="s">
        <v>93</v>
      </c>
      <c r="F26" s="16" t="s">
        <v>136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44" ht="15" thickBot="1">
      <c r="B27" s="2" t="s">
        <v>37</v>
      </c>
      <c r="C27" s="2" t="s">
        <v>38</v>
      </c>
      <c r="D27" s="2" t="s">
        <v>65</v>
      </c>
      <c r="F27" s="11" t="s">
        <v>73</v>
      </c>
      <c r="G27" s="11" t="s">
        <v>35</v>
      </c>
      <c r="H27" s="11" t="s">
        <v>84</v>
      </c>
      <c r="I27" s="11" t="str">
        <f>'STOCK 2014'!K18</f>
        <v>AT</v>
      </c>
      <c r="J27" s="11" t="s">
        <v>85</v>
      </c>
      <c r="K27" s="11" t="str">
        <f>'STOCK 2014'!K9</f>
        <v>BE</v>
      </c>
      <c r="L27" s="11" t="s">
        <v>74</v>
      </c>
      <c r="M27" s="11" t="str">
        <f>'STOCK 2014'!K17</f>
        <v>CH</v>
      </c>
      <c r="N27" s="11" t="s">
        <v>75</v>
      </c>
      <c r="O27" s="11" t="str">
        <f>'STOCK 2014'!K10</f>
        <v>CZ</v>
      </c>
      <c r="P27" s="11" t="str">
        <f>'STOCK 2014'!K21</f>
        <v>DE</v>
      </c>
      <c r="Q27" s="11" t="str">
        <f>'STOCK 2014'!K16</f>
        <v>DK</v>
      </c>
      <c r="R27" s="11" t="str">
        <f>'STOCK 2014'!K13</f>
        <v>EE</v>
      </c>
      <c r="S27" s="11" t="s">
        <v>76</v>
      </c>
      <c r="T27" s="11" t="str">
        <f>'STOCK 2014'!K19</f>
        <v>ES</v>
      </c>
      <c r="U27" s="11" t="str">
        <f>'STOCK 2014'!K20</f>
        <v>FI</v>
      </c>
      <c r="V27" s="11" t="str">
        <f>'STOCK 2014'!K24</f>
        <v>FR</v>
      </c>
      <c r="W27" s="11" t="s">
        <v>77</v>
      </c>
      <c r="X27" s="11" t="str">
        <f>'STOCK 2014'!K6</f>
        <v>HU</v>
      </c>
      <c r="Y27" s="11" t="str">
        <f>'STOCK 2014'!K8</f>
        <v>IE</v>
      </c>
      <c r="Z27" s="11" t="s">
        <v>78</v>
      </c>
      <c r="AA27" s="11" t="str">
        <f>'STOCK 2014'!K23</f>
        <v>IT</v>
      </c>
      <c r="AB27" s="11" t="s">
        <v>89</v>
      </c>
      <c r="AC27" s="11" t="str">
        <f>'STOCK 2014'!K5</f>
        <v>LT</v>
      </c>
      <c r="AD27" s="11" t="s">
        <v>79</v>
      </c>
      <c r="AE27" s="11" t="s">
        <v>80</v>
      </c>
      <c r="AF27" s="11" t="s">
        <v>86</v>
      </c>
      <c r="AG27" s="11" t="s">
        <v>87</v>
      </c>
      <c r="AH27" s="11" t="s">
        <v>81</v>
      </c>
      <c r="AI27" s="11" t="str">
        <f>'STOCK 2014'!K12</f>
        <v>NL</v>
      </c>
      <c r="AJ27" s="11" t="str">
        <f>'STOCK 2014'!K22</f>
        <v>NO</v>
      </c>
      <c r="AK27" s="11" t="str">
        <f>'STOCK 2014'!K11</f>
        <v>PL</v>
      </c>
      <c r="AL27" s="11" t="str">
        <f>'STOCK 2014'!K14</f>
        <v>PT</v>
      </c>
      <c r="AM27" s="11" t="s">
        <v>82</v>
      </c>
      <c r="AN27" s="11" t="s">
        <v>88</v>
      </c>
      <c r="AO27" s="11" t="str">
        <f>'STOCK 2014'!K25</f>
        <v>SE</v>
      </c>
      <c r="AP27" s="11" t="s">
        <v>83</v>
      </c>
      <c r="AQ27" s="11" t="str">
        <f>'STOCK 2014'!K7</f>
        <v>SK</v>
      </c>
      <c r="AR27" s="11" t="str">
        <f>'STOCK 2014'!K15</f>
        <v>UK</v>
      </c>
    </row>
    <row r="28" spans="2:44" ht="14.4">
      <c r="B28" s="4" t="s">
        <v>39</v>
      </c>
      <c r="C28" s="4" t="s">
        <v>40</v>
      </c>
      <c r="D28" s="4" t="s">
        <v>66</v>
      </c>
      <c r="F28" s="43" t="str">
        <f>'STOCK 2014'!L4</f>
        <v>AIR</v>
      </c>
      <c r="G28" s="43">
        <v>2014</v>
      </c>
      <c r="H28" s="12"/>
      <c r="I28" s="12">
        <f>'STOCK 2014'!L18</f>
        <v>49974</v>
      </c>
      <c r="J28" s="12"/>
      <c r="K28" s="12">
        <f>'STOCK 2014'!L9</f>
        <v>19544</v>
      </c>
      <c r="L28" s="12"/>
      <c r="M28" s="12">
        <f>'STOCK 2014'!L17</f>
        <v>105523</v>
      </c>
      <c r="N28" s="12"/>
      <c r="O28" s="12">
        <f>'STOCK 2014'!L10</f>
        <v>28948</v>
      </c>
      <c r="P28" s="12">
        <f>'STOCK 2014'!L21</f>
        <v>277894</v>
      </c>
      <c r="Q28" s="12">
        <f>'STOCK 2014'!L16</f>
        <v>14122</v>
      </c>
      <c r="R28" s="12">
        <f>'STOCK 2014'!L13</f>
        <v>4820</v>
      </c>
      <c r="S28" s="12"/>
      <c r="T28" s="12">
        <f>'STOCK 2014'!L19</f>
        <v>2090</v>
      </c>
      <c r="U28" s="12">
        <f>'STOCK 2014'!L20</f>
        <v>11055</v>
      </c>
      <c r="V28" s="12">
        <f>'STOCK 2014'!L24</f>
        <v>507040</v>
      </c>
      <c r="W28" s="12"/>
      <c r="X28" s="12">
        <f>'STOCK 2014'!L6</f>
        <v>552</v>
      </c>
      <c r="Y28" s="12">
        <f>'STOCK 2014'!L8</f>
        <v>5432</v>
      </c>
      <c r="Z28" s="12"/>
      <c r="AA28" s="12">
        <f>'STOCK 2014'!L23</f>
        <v>2889</v>
      </c>
      <c r="AB28" s="12"/>
      <c r="AC28" s="12">
        <f>'STOCK 2014'!L5</f>
        <v>1175</v>
      </c>
      <c r="AD28" s="12"/>
      <c r="AE28" s="12"/>
      <c r="AF28" s="12"/>
      <c r="AG28" s="12"/>
      <c r="AH28" s="12"/>
      <c r="AI28" s="12">
        <f>'STOCK 2014'!L12</f>
        <v>23527.264988999999</v>
      </c>
      <c r="AJ28" s="12">
        <f>'STOCK 2014'!L22</f>
        <v>32157</v>
      </c>
      <c r="AK28" s="12">
        <f>'STOCK 2014'!L11</f>
        <v>6533</v>
      </c>
      <c r="AL28" s="12">
        <f>'STOCK 2014'!L14</f>
        <v>202</v>
      </c>
      <c r="AM28" s="12"/>
      <c r="AN28" s="12"/>
      <c r="AO28" s="12">
        <f>'STOCK 2014'!L25</f>
        <v>124437</v>
      </c>
      <c r="AP28" s="12"/>
      <c r="AQ28" s="12">
        <f>'STOCK 2014'!L7</f>
        <v>1499</v>
      </c>
      <c r="AR28" s="12">
        <f>'STOCK 2014'!L15</f>
        <v>84481</v>
      </c>
    </row>
    <row r="29" spans="2:44" ht="14.4">
      <c r="B29" s="4" t="s">
        <v>41</v>
      </c>
      <c r="C29" s="4" t="s">
        <v>42</v>
      </c>
      <c r="D29" s="4" t="s">
        <v>65</v>
      </c>
      <c r="F29" s="43" t="str">
        <f>'STOCK 2014'!M4</f>
        <v xml:space="preserve">AIR REVERSIBLE </v>
      </c>
      <c r="G29" s="43">
        <v>2014</v>
      </c>
      <c r="H29" s="12"/>
      <c r="I29" s="12">
        <f>'STOCK 2014'!M18</f>
        <v>0</v>
      </c>
      <c r="J29" s="12"/>
      <c r="K29" s="12">
        <f>'STOCK 2014'!M9</f>
        <v>1819.8</v>
      </c>
      <c r="L29" s="12"/>
      <c r="M29" s="12">
        <f>'STOCK 2014'!M17</f>
        <v>0</v>
      </c>
      <c r="N29" s="12"/>
      <c r="O29" s="12">
        <f>'STOCK 2014'!M10</f>
        <v>0</v>
      </c>
      <c r="P29" s="12">
        <f>'STOCK 2014'!M21</f>
        <v>1371.5999999999999</v>
      </c>
      <c r="Q29" s="12">
        <f>'STOCK 2014'!M16</f>
        <v>115755</v>
      </c>
      <c r="R29" s="12">
        <f>'STOCK 2014'!M13</f>
        <v>81520</v>
      </c>
      <c r="S29" s="12"/>
      <c r="T29" s="12">
        <f>'STOCK 2014'!M19</f>
        <v>278896.065</v>
      </c>
      <c r="U29" s="12">
        <f>'STOCK 2014'!M20</f>
        <v>496910</v>
      </c>
      <c r="V29" s="12">
        <f>'STOCK 2014'!M24</f>
        <v>405640.01000000001</v>
      </c>
      <c r="W29" s="12"/>
      <c r="X29" s="12">
        <f>'STOCK 2014'!M6</f>
        <v>613.62</v>
      </c>
      <c r="Y29" s="12">
        <f>'STOCK 2014'!M8</f>
        <v>0</v>
      </c>
      <c r="Z29" s="12"/>
      <c r="AA29" s="12">
        <f>'STOCK 2014'!M23</f>
        <v>1103936.47</v>
      </c>
      <c r="AB29" s="12"/>
      <c r="AC29" s="12">
        <f>'STOCK 2014'!M5</f>
        <v>0</v>
      </c>
      <c r="AD29" s="12"/>
      <c r="AE29" s="12"/>
      <c r="AF29" s="12"/>
      <c r="AG29" s="12"/>
      <c r="AH29" s="12"/>
      <c r="AI29" s="12">
        <f>'STOCK 2014'!M12</f>
        <v>130.5</v>
      </c>
      <c r="AJ29" s="12">
        <f>'STOCK 2014'!M22</f>
        <v>749025.09999999998</v>
      </c>
      <c r="AK29" s="12">
        <f>'STOCK 2014'!M11</f>
        <v>2685.5999999999999</v>
      </c>
      <c r="AL29" s="12">
        <f>'STOCK 2014'!M14</f>
        <v>85780.105000150012</v>
      </c>
      <c r="AM29" s="12"/>
      <c r="AN29" s="12"/>
      <c r="AO29" s="12">
        <f>'STOCK 2014'!M25</f>
        <v>619234</v>
      </c>
      <c r="AP29" s="12"/>
      <c r="AQ29" s="12">
        <f>'STOCK 2014'!M7</f>
        <v>169.19999999999999</v>
      </c>
      <c r="AR29" s="12">
        <f>'STOCK 2014'!M15</f>
        <v>0</v>
      </c>
    </row>
    <row r="30" spans="2:44" ht="14.4">
      <c r="B30" s="4" t="s">
        <v>43</v>
      </c>
      <c r="C30" s="4" t="s">
        <v>44</v>
      </c>
      <c r="D30" s="4" t="s">
        <v>65</v>
      </c>
      <c r="F30" s="43" t="str">
        <f>'STOCK 2014'!N4</f>
        <v>AIR Sanitary Hot Water</v>
      </c>
      <c r="G30" s="43">
        <v>2014</v>
      </c>
      <c r="H30" s="12"/>
      <c r="I30" s="12">
        <f>'STOCK 2014'!N18</f>
        <v>75277</v>
      </c>
      <c r="J30" s="12"/>
      <c r="K30" s="12">
        <f>'STOCK 2014'!N9</f>
        <v>12489</v>
      </c>
      <c r="L30" s="12"/>
      <c r="M30" s="12">
        <f>'STOCK 2014'!N17</f>
        <v>12446</v>
      </c>
      <c r="N30" s="12"/>
      <c r="O30" s="12">
        <f>'STOCK 2014'!N10</f>
        <v>20</v>
      </c>
      <c r="P30" s="12">
        <f>'STOCK 2014'!N21</f>
        <v>144174</v>
      </c>
      <c r="Q30" s="12">
        <f>'STOCK 2014'!N16</f>
        <v>15463</v>
      </c>
      <c r="R30" s="12">
        <f>'STOCK 2014'!N13</f>
        <v>0</v>
      </c>
      <c r="S30" s="12"/>
      <c r="T30" s="12">
        <f>'STOCK 2014'!N19</f>
        <v>2187</v>
      </c>
      <c r="U30" s="12">
        <f>'STOCK 2014'!N20</f>
        <v>0</v>
      </c>
      <c r="V30" s="12">
        <f>'STOCK 2014'!N24</f>
        <v>209089</v>
      </c>
      <c r="W30" s="12"/>
      <c r="X30" s="12">
        <f>'STOCK 2014'!N6</f>
        <v>71</v>
      </c>
      <c r="Y30" s="12">
        <f>'STOCK 2014'!N8</f>
        <v>15</v>
      </c>
      <c r="Z30" s="12"/>
      <c r="AA30" s="12">
        <f>'STOCK 2014'!N23</f>
        <v>1551</v>
      </c>
      <c r="AB30" s="12"/>
      <c r="AC30" s="12">
        <f>'STOCK 2014'!N5</f>
        <v>0</v>
      </c>
      <c r="AD30" s="12"/>
      <c r="AE30" s="12"/>
      <c r="AF30" s="12"/>
      <c r="AG30" s="12"/>
      <c r="AH30" s="12"/>
      <c r="AI30" s="12">
        <f>'STOCK 2014'!N12</f>
        <v>7155</v>
      </c>
      <c r="AJ30" s="12">
        <f>'STOCK 2014'!N22</f>
        <v>0</v>
      </c>
      <c r="AK30" s="12">
        <f>'STOCK 2014'!N11</f>
        <v>28457</v>
      </c>
      <c r="AL30" s="12">
        <f>'STOCK 2014'!N14</f>
        <v>2772</v>
      </c>
      <c r="AM30" s="12"/>
      <c r="AN30" s="12"/>
      <c r="AO30" s="12">
        <f>'STOCK 2014'!N25</f>
        <v>0</v>
      </c>
      <c r="AP30" s="12"/>
      <c r="AQ30" s="12">
        <f>'STOCK 2014'!N7</f>
        <v>72</v>
      </c>
      <c r="AR30" s="12">
        <f>'STOCK 2014'!N15</f>
        <v>230</v>
      </c>
    </row>
    <row r="31" spans="2:44" ht="14.4">
      <c r="B31" s="4" t="s">
        <v>45</v>
      </c>
      <c r="C31" s="4" t="s">
        <v>46</v>
      </c>
      <c r="D31" s="4" t="s">
        <v>65</v>
      </c>
      <c r="F31" s="44" t="str">
        <f>'STOCK 2014'!O4</f>
        <v>GROUND</v>
      </c>
      <c r="G31" s="44">
        <v>2014</v>
      </c>
      <c r="H31" s="13"/>
      <c r="I31" s="13">
        <f>'STOCK 2014'!O18</f>
        <v>89852</v>
      </c>
      <c r="J31" s="13"/>
      <c r="K31" s="13">
        <f>'STOCK 2014'!O9</f>
        <v>6996</v>
      </c>
      <c r="L31" s="13"/>
      <c r="M31" s="13">
        <f>'STOCK 2014'!O17</f>
        <v>75879</v>
      </c>
      <c r="N31" s="13"/>
      <c r="O31" s="13">
        <f>'STOCK 2014'!O10</f>
        <v>17469</v>
      </c>
      <c r="P31" s="13">
        <f>'STOCK 2014'!O21</f>
        <v>296129</v>
      </c>
      <c r="Q31" s="13">
        <f>'STOCK 2014'!O16</f>
        <v>25814</v>
      </c>
      <c r="R31" s="13">
        <f>'STOCK 2014'!O13</f>
        <v>8875</v>
      </c>
      <c r="S31" s="13"/>
      <c r="T31" s="13">
        <f>'STOCK 2014'!O19</f>
        <v>1144</v>
      </c>
      <c r="U31" s="13">
        <f>'STOCK 2014'!O20</f>
        <v>85294</v>
      </c>
      <c r="V31" s="13">
        <f>'STOCK 2014'!O24</f>
        <v>103409</v>
      </c>
      <c r="W31" s="13"/>
      <c r="X31" s="13">
        <f>'STOCK 2014'!O6</f>
        <v>1845</v>
      </c>
      <c r="Y31" s="13">
        <f>'STOCK 2014'!O8</f>
        <v>3119</v>
      </c>
      <c r="Z31" s="13"/>
      <c r="AA31" s="13">
        <f>'STOCK 2014'!O23</f>
        <v>2759</v>
      </c>
      <c r="AB31" s="13"/>
      <c r="AC31" s="13">
        <f>'STOCK 2014'!O5</f>
        <v>2868</v>
      </c>
      <c r="AD31" s="13"/>
      <c r="AE31" s="13"/>
      <c r="AF31" s="13"/>
      <c r="AG31" s="13"/>
      <c r="AH31" s="13"/>
      <c r="AI31" s="13">
        <f>'STOCK 2014'!O12</f>
        <v>35860.7350114</v>
      </c>
      <c r="AJ31" s="13">
        <f>'STOCK 2014'!O22</f>
        <v>38104</v>
      </c>
      <c r="AK31" s="13">
        <f>'STOCK 2014'!O11</f>
        <v>22750</v>
      </c>
      <c r="AL31" s="13">
        <f>'STOCK 2014'!O14</f>
        <v>54</v>
      </c>
      <c r="AM31" s="13"/>
      <c r="AN31" s="13"/>
      <c r="AO31" s="13">
        <f>'STOCK 2014'!O25</f>
        <v>474079</v>
      </c>
      <c r="AP31" s="13"/>
      <c r="AQ31" s="13">
        <f>'STOCK 2014'!O7</f>
        <v>1426</v>
      </c>
      <c r="AR31" s="13">
        <f>'STOCK 2014'!O15</f>
        <v>24875</v>
      </c>
    </row>
    <row r="32" spans="2:4" ht="14.4">
      <c r="B32" s="4" t="s">
        <v>47</v>
      </c>
      <c r="C32" s="4" t="s">
        <v>48</v>
      </c>
      <c r="D32" s="4" t="s">
        <v>65</v>
      </c>
    </row>
    <row r="33" spans="2:6" ht="14.4">
      <c r="B33" s="4" t="s">
        <v>49</v>
      </c>
      <c r="C33" s="4" t="s">
        <v>50</v>
      </c>
      <c r="D33" s="4" t="s">
        <v>65</v>
      </c>
      <c r="F33" s="16" t="s">
        <v>112</v>
      </c>
    </row>
    <row r="34" spans="2:44" ht="15" thickBot="1">
      <c r="B34" s="4" t="s">
        <v>51</v>
      </c>
      <c r="C34" s="4" t="s">
        <v>52</v>
      </c>
      <c r="D34" s="4" t="s">
        <v>67</v>
      </c>
      <c r="F34" s="11" t="s">
        <v>111</v>
      </c>
      <c r="G34" s="11" t="s">
        <v>35</v>
      </c>
      <c r="H34" s="11" t="s">
        <v>84</v>
      </c>
      <c r="I34" s="11" t="s">
        <v>0</v>
      </c>
      <c r="J34" s="11" t="s">
        <v>85</v>
      </c>
      <c r="K34" s="11" t="s">
        <v>1</v>
      </c>
      <c r="L34" s="11" t="s">
        <v>74</v>
      </c>
      <c r="M34" s="11" t="s">
        <v>20</v>
      </c>
      <c r="N34" s="11" t="s">
        <v>75</v>
      </c>
      <c r="O34" s="11" t="s">
        <v>2</v>
      </c>
      <c r="P34" s="11" t="s">
        <v>3</v>
      </c>
      <c r="Q34" s="11" t="s">
        <v>4</v>
      </c>
      <c r="R34" s="11" t="s">
        <v>5</v>
      </c>
      <c r="S34" s="11" t="s">
        <v>76</v>
      </c>
      <c r="T34" s="11" t="s">
        <v>6</v>
      </c>
      <c r="U34" s="11" t="s">
        <v>7</v>
      </c>
      <c r="V34" s="11" t="s">
        <v>8</v>
      </c>
      <c r="W34" s="11" t="s">
        <v>77</v>
      </c>
      <c r="X34" s="11" t="s">
        <v>9</v>
      </c>
      <c r="Y34" s="11" t="s">
        <v>10</v>
      </c>
      <c r="Z34" s="11" t="s">
        <v>78</v>
      </c>
      <c r="AA34" s="11" t="s">
        <v>11</v>
      </c>
      <c r="AB34" s="11" t="s">
        <v>89</v>
      </c>
      <c r="AC34" s="11" t="s">
        <v>12</v>
      </c>
      <c r="AD34" s="11" t="s">
        <v>79</v>
      </c>
      <c r="AE34" s="11" t="s">
        <v>80</v>
      </c>
      <c r="AF34" s="11" t="s">
        <v>86</v>
      </c>
      <c r="AG34" s="11" t="s">
        <v>87</v>
      </c>
      <c r="AH34" s="11" t="s">
        <v>81</v>
      </c>
      <c r="AI34" s="11" t="s">
        <v>13</v>
      </c>
      <c r="AJ34" s="11" t="s">
        <v>19</v>
      </c>
      <c r="AK34" s="11" t="s">
        <v>14</v>
      </c>
      <c r="AL34" s="11" t="s">
        <v>15</v>
      </c>
      <c r="AM34" s="11" t="s">
        <v>82</v>
      </c>
      <c r="AN34" s="11" t="s">
        <v>88</v>
      </c>
      <c r="AO34" s="11" t="s">
        <v>16</v>
      </c>
      <c r="AP34" s="11" t="s">
        <v>83</v>
      </c>
      <c r="AQ34" s="11" t="s">
        <v>17</v>
      </c>
      <c r="AR34" s="11" t="s">
        <v>18</v>
      </c>
    </row>
    <row r="35" spans="2:44" ht="14.4">
      <c r="B35" s="4" t="s">
        <v>53</v>
      </c>
      <c r="C35" s="4" t="s">
        <v>54</v>
      </c>
      <c r="D35" s="4" t="s">
        <v>65</v>
      </c>
      <c r="F35" s="24" t="str">
        <f>Rdw_Stock!D2</f>
        <v>R_DetH</v>
      </c>
      <c r="G35" s="41" t="str">
        <f>Rdw_Stock!G2</f>
        <v>2010</v>
      </c>
      <c r="H35" s="25">
        <f>AVERAGEIFS(Rdw_Stock!L$2:L$29,Rdw_Stock!$D$2:$D$29,VDA_table!$F35,Rdw_Stock!$G$2:$G$29,VDA_table!$G35)</f>
        <v>85.3656586548327</v>
      </c>
      <c r="I35" s="25">
        <f>AVERAGEIFS(Rdw_Stock!M$2:M$29,Rdw_Stock!$D$2:$D$29,VDA_table!$F35,Rdw_Stock!$G$2:$G$29,VDA_table!$G35)</f>
        <v>1015.16174206673</v>
      </c>
      <c r="J35" s="25">
        <f>AVERAGEIFS(Rdw_Stock!N$2:N$29,Rdw_Stock!$D$2:$D$29,VDA_table!$F35,Rdw_Stock!$G$2:$G$29,VDA_table!$G35)</f>
        <v>223.10096467272101</v>
      </c>
      <c r="K35" s="25">
        <f>AVERAGEIFS(Rdw_Stock!O$2:O$29,Rdw_Stock!$D$2:$D$29,VDA_table!$F35,Rdw_Stock!$G$2:$G$29,VDA_table!$G35)</f>
        <v>950.38721758799704</v>
      </c>
      <c r="L35" s="25">
        <f>AVERAGEIFS(Rdw_Stock!P$2:P$29,Rdw_Stock!$D$2:$D$29,VDA_table!$F35,Rdw_Stock!$G$2:$G$29,VDA_table!$G35)</f>
        <v>617.01235048221099</v>
      </c>
      <c r="M35" s="25">
        <f>AVERAGEIFS(Rdw_Stock!Q$2:Q$29,Rdw_Stock!$D$2:$D$29,VDA_table!$F35,Rdw_Stock!$G$2:$G$29,VDA_table!$G35)</f>
        <v>841.55023836199905</v>
      </c>
      <c r="N35" s="25">
        <f>AVERAGEIFS(Rdw_Stock!R$2:R$29,Rdw_Stock!$D$2:$D$29,VDA_table!$F35,Rdw_Stock!$G$2:$G$29,VDA_table!$G35)</f>
        <v>105.852106508966</v>
      </c>
      <c r="O35" s="25">
        <f>AVERAGEIFS(Rdw_Stock!S$2:S$29,Rdw_Stock!$D$2:$D$29,VDA_table!$F35,Rdw_Stock!$G$2:$G$29,VDA_table!$G35)</f>
        <v>1027.0583960859799</v>
      </c>
      <c r="P35" s="25">
        <f>AVERAGEIFS(Rdw_Stock!T$2:T$29,Rdw_Stock!$D$2:$D$29,VDA_table!$F35,Rdw_Stock!$G$2:$G$29,VDA_table!$G35)</f>
        <v>7733.6445777729896</v>
      </c>
      <c r="Q35" s="25">
        <f>AVERAGEIFS(Rdw_Stock!U$2:U$29,Rdw_Stock!$D$2:$D$29,VDA_table!$F35,Rdw_Stock!$G$2:$G$29,VDA_table!$G35)</f>
        <v>997.38128975028405</v>
      </c>
      <c r="R35" s="25">
        <f>AVERAGEIFS(Rdw_Stock!V$2:V$29,Rdw_Stock!$D$2:$D$29,VDA_table!$F35,Rdw_Stock!$G$2:$G$29,VDA_table!$G35)</f>
        <v>111.667940704348</v>
      </c>
      <c r="S35" s="25">
        <f>AVERAGEIFS(Rdw_Stock!W$2:W$29,Rdw_Stock!$D$2:$D$29,VDA_table!$F35,Rdw_Stock!$G$2:$G$29,VDA_table!$G35)</f>
        <v>728.81258452857503</v>
      </c>
      <c r="T35" s="25">
        <f>AVERAGEIFS(Rdw_Stock!X$2:X$29,Rdw_Stock!$D$2:$D$29,VDA_table!$F35,Rdw_Stock!$G$2:$G$29,VDA_table!$G35)</f>
        <v>972.98461512062397</v>
      </c>
      <c r="U35" s="25">
        <f>AVERAGEIFS(Rdw_Stock!Y$2:Y$29,Rdw_Stock!$D$2:$D$29,VDA_table!$F35,Rdw_Stock!$G$2:$G$29,VDA_table!$G35)</f>
        <v>792.12146873134998</v>
      </c>
      <c r="V35" s="25">
        <f>AVERAGEIFS(Rdw_Stock!Z$2:Z$29,Rdw_Stock!$D$2:$D$29,VDA_table!$F35,Rdw_Stock!$G$2:$G$29,VDA_table!$G35)</f>
        <v>6298.8611265069103</v>
      </c>
      <c r="W35" s="25">
        <f>AVERAGEIFS(Rdw_Stock!AA$2:AA$29,Rdw_Stock!$D$2:$D$29,VDA_table!$F35,Rdw_Stock!$G$2:$G$29,VDA_table!$G35)</f>
        <v>636.08385108705204</v>
      </c>
      <c r="X35" s="25">
        <f>AVERAGEIFS(Rdw_Stock!AB$2:AB$29,Rdw_Stock!$D$2:$D$29,VDA_table!$F35,Rdw_Stock!$G$2:$G$29,VDA_table!$G35)</f>
        <v>1536.6620681291099</v>
      </c>
      <c r="Y35" s="25">
        <f>AVERAGEIFS(Rdw_Stock!AC$2:AC$29,Rdw_Stock!$D$2:$D$29,VDA_table!$F35,Rdw_Stock!$G$2:$G$29,VDA_table!$G35)</f>
        <v>465.49381736675798</v>
      </c>
      <c r="Z35" s="25">
        <f>AVERAGEIFS(Rdw_Stock!AD$2:AD$29,Rdw_Stock!$D$2:$D$29,VDA_table!$F35,Rdw_Stock!$G$2:$G$29,VDA_table!$G35)</f>
        <v>43.582503702093703</v>
      </c>
      <c r="AA35" s="25">
        <f>AVERAGEIFS(Rdw_Stock!AE$2:AE$29,Rdw_Stock!$D$2:$D$29,VDA_table!$F35,Rdw_Stock!$G$2:$G$29,VDA_table!$G35)</f>
        <v>2111.8077464892099</v>
      </c>
      <c r="AB35" s="25">
        <f>AVERAGEIFS(Rdw_Stock!AF$2:AF$29,Rdw_Stock!$D$2:$D$29,VDA_table!$F35,Rdw_Stock!$G$2:$G$29,VDA_table!$G35)</f>
        <v>131.328233614646</v>
      </c>
      <c r="AC35" s="25">
        <f>AVERAGEIFS(Rdw_Stock!AG$2:AG$29,Rdw_Stock!$D$2:$D$29,VDA_table!$F35,Rdw_Stock!$G$2:$G$29,VDA_table!$G35)</f>
        <v>260.62604263653401</v>
      </c>
      <c r="AD35" s="25">
        <f>AVERAGEIFS(Rdw_Stock!AH$2:AH$29,Rdw_Stock!$D$2:$D$29,VDA_table!$F35,Rdw_Stock!$G$2:$G$29,VDA_table!$G35)</f>
        <v>52.311376967257097</v>
      </c>
      <c r="AE35" s="25">
        <f>AVERAGEIFS(Rdw_Stock!AI$2:AI$29,Rdw_Stock!$D$2:$D$29,VDA_table!$F35,Rdw_Stock!$G$2:$G$29,VDA_table!$G35)</f>
        <v>184.32886489158901</v>
      </c>
      <c r="AF35" s="25">
        <f>AVERAGEIFS(Rdw_Stock!AJ$2:AJ$29,Rdw_Stock!$D$2:$D$29,VDA_table!$F35,Rdw_Stock!$G$2:$G$29,VDA_table!$G35)</f>
        <v>42.777194524504402</v>
      </c>
      <c r="AG35" s="25">
        <f>AVERAGEIFS(Rdw_Stock!AK$2:AK$29,Rdw_Stock!$D$2:$D$29,VDA_table!$F35,Rdw_Stock!$G$2:$G$29,VDA_table!$G35)</f>
        <v>116.45012006921699</v>
      </c>
      <c r="AH35" s="25">
        <f>AVERAGEIFS(Rdw_Stock!AL$2:AL$29,Rdw_Stock!$D$2:$D$29,VDA_table!$F35,Rdw_Stock!$G$2:$G$29,VDA_table!$G35)</f>
        <v>3.5681226167323801</v>
      </c>
      <c r="AI35" s="25">
        <f>AVERAGEIFS(Rdw_Stock!AM$2:AM$29,Rdw_Stock!$D$2:$D$29,VDA_table!$F35,Rdw_Stock!$G$2:$G$29,VDA_table!$G35)</f>
        <v>635.78907725143904</v>
      </c>
      <c r="AJ35" s="25">
        <f>AVERAGEIFS(Rdw_Stock!AN$2:AN$29,Rdw_Stock!$D$2:$D$29,VDA_table!$F35,Rdw_Stock!$G$2:$G$29,VDA_table!$G35)</f>
        <v>463.61250295081101</v>
      </c>
      <c r="AK35" s="25">
        <f>AVERAGEIFS(Rdw_Stock!AO$2:AO$29,Rdw_Stock!$D$2:$D$29,VDA_table!$F35,Rdw_Stock!$G$2:$G$29,VDA_table!$G35)</f>
        <v>3324.8675845301</v>
      </c>
      <c r="AL35" s="25">
        <f>AVERAGEIFS(Rdw_Stock!AP$2:AP$29,Rdw_Stock!$D$2:$D$29,VDA_table!$F35,Rdw_Stock!$G$2:$G$29,VDA_table!$G35)</f>
        <v>409.81535958290499</v>
      </c>
      <c r="AM35" s="25">
        <f>AVERAGEIFS(Rdw_Stock!AQ$2:AQ$29,Rdw_Stock!$D$2:$D$29,VDA_table!$F35,Rdw_Stock!$G$2:$G$29,VDA_table!$G35)</f>
        <v>2103.4798267105398</v>
      </c>
      <c r="AN35" s="25">
        <f>AVERAGEIFS(Rdw_Stock!AR$2:AR$29,Rdw_Stock!$D$2:$D$29,VDA_table!$F35,Rdw_Stock!$G$2:$G$29,VDA_table!$G35)</f>
        <v>659.19651017847605</v>
      </c>
      <c r="AO35" s="25">
        <f>AVERAGEIFS(Rdw_Stock!AS$2:AS$29,Rdw_Stock!$D$2:$D$29,VDA_table!$F35,Rdw_Stock!$G$2:$G$29,VDA_table!$G35)</f>
        <v>1178.7306369579401</v>
      </c>
      <c r="AP35" s="25">
        <f>AVERAGEIFS(Rdw_Stock!AT$2:AT$29,Rdw_Stock!$D$2:$D$29,VDA_table!$F35,Rdw_Stock!$G$2:$G$29,VDA_table!$G35)</f>
        <v>195.064759004107</v>
      </c>
      <c r="AQ35" s="25">
        <f>AVERAGEIFS(Rdw_Stock!AU$2:AU$29,Rdw_Stock!$D$2:$D$29,VDA_table!$F35,Rdw_Stock!$G$2:$G$29,VDA_table!$G35)</f>
        <v>431.50300624068501</v>
      </c>
      <c r="AR35" s="25">
        <f>AVERAGEIFS(Rdw_Stock!AV$2:AV$29,Rdw_Stock!$D$2:$D$29,VDA_table!$F35,Rdw_Stock!$G$2:$G$29,VDA_table!$G35)</f>
        <v>3810.9775435169399</v>
      </c>
    </row>
    <row r="36" spans="2:44" ht="14.4">
      <c r="B36" s="4" t="s">
        <v>55</v>
      </c>
      <c r="C36" s="4" t="s">
        <v>56</v>
      </c>
      <c r="D36" s="4" t="s">
        <v>68</v>
      </c>
      <c r="F36" s="26" t="str">
        <f>Rdw_Stock!D3</f>
        <v>R_DetH</v>
      </c>
      <c r="G36" s="30" t="str">
        <f>Rdw_Stock!G3</f>
        <v>2050</v>
      </c>
      <c r="H36" s="27">
        <f>AVERAGEIFS(Rdw_Stock!L$2:L$29,Rdw_Stock!$D$2:$D$29,VDA_table!$F36,Rdw_Stock!$G$2:$G$29,VDA_table!$G36)</f>
        <v>258.234679733902</v>
      </c>
      <c r="I36" s="27">
        <f>AVERAGEIFS(Rdw_Stock!M$2:M$29,Rdw_Stock!$D$2:$D$29,VDA_table!$F36,Rdw_Stock!$G$2:$G$29,VDA_table!$G36)</f>
        <v>1278.70306137648</v>
      </c>
      <c r="J36" s="27">
        <f>AVERAGEIFS(Rdw_Stock!N$2:N$29,Rdw_Stock!$D$2:$D$29,VDA_table!$F36,Rdw_Stock!$G$2:$G$29,VDA_table!$G36)</f>
        <v>439.048196569867</v>
      </c>
      <c r="K36" s="27">
        <f>AVERAGEIFS(Rdw_Stock!O$2:O$29,Rdw_Stock!$D$2:$D$29,VDA_table!$F36,Rdw_Stock!$G$2:$G$29,VDA_table!$G36)</f>
        <v>1419.0733109876301</v>
      </c>
      <c r="L36" s="27">
        <f>AVERAGEIFS(Rdw_Stock!P$2:P$29,Rdw_Stock!$D$2:$D$29,VDA_table!$F36,Rdw_Stock!$G$2:$G$29,VDA_table!$G36)</f>
        <v>697.64544028693797</v>
      </c>
      <c r="M36" s="27">
        <f>AVERAGEIFS(Rdw_Stock!Q$2:Q$29,Rdw_Stock!$D$2:$D$29,VDA_table!$F36,Rdw_Stock!$G$2:$G$29,VDA_table!$G36)</f>
        <v>1133.01164591211</v>
      </c>
      <c r="N36" s="27">
        <f>AVERAGEIFS(Rdw_Stock!R$2:R$29,Rdw_Stock!$D$2:$D$29,VDA_table!$F36,Rdw_Stock!$G$2:$G$29,VDA_table!$G36)</f>
        <v>141.67290961975601</v>
      </c>
      <c r="O36" s="27">
        <f>AVERAGEIFS(Rdw_Stock!S$2:S$29,Rdw_Stock!$D$2:$D$29,VDA_table!$F36,Rdw_Stock!$G$2:$G$29,VDA_table!$G36)</f>
        <v>1340.5414140708999</v>
      </c>
      <c r="P36" s="27">
        <f>AVERAGEIFS(Rdw_Stock!T$2:T$29,Rdw_Stock!$D$2:$D$29,VDA_table!$F36,Rdw_Stock!$G$2:$G$29,VDA_table!$G36)</f>
        <v>7300.6378601672895</v>
      </c>
      <c r="Q36" s="27">
        <f>AVERAGEIFS(Rdw_Stock!U$2:U$29,Rdw_Stock!$D$2:$D$29,VDA_table!$F36,Rdw_Stock!$G$2:$G$29,VDA_table!$G36)</f>
        <v>1166.0183680991299</v>
      </c>
      <c r="R36" s="27">
        <f>AVERAGEIFS(Rdw_Stock!V$2:V$29,Rdw_Stock!$D$2:$D$29,VDA_table!$F36,Rdw_Stock!$G$2:$G$29,VDA_table!$G36)</f>
        <v>93.796134743550297</v>
      </c>
      <c r="S36" s="27">
        <f>AVERAGEIFS(Rdw_Stock!W$2:W$29,Rdw_Stock!$D$2:$D$29,VDA_table!$F36,Rdw_Stock!$G$2:$G$29,VDA_table!$G36)</f>
        <v>760.24588994830299</v>
      </c>
      <c r="T36" s="27">
        <f>AVERAGEIFS(Rdw_Stock!X$2:X$29,Rdw_Stock!$D$2:$D$29,VDA_table!$F36,Rdw_Stock!$G$2:$G$29,VDA_table!$G36)</f>
        <v>1231.1465651425999</v>
      </c>
      <c r="U36" s="27">
        <f>AVERAGEIFS(Rdw_Stock!Y$2:Y$29,Rdw_Stock!$D$2:$D$29,VDA_table!$F36,Rdw_Stock!$G$2:$G$29,VDA_table!$G36)</f>
        <v>888.69435703802401</v>
      </c>
      <c r="V36" s="27">
        <f>AVERAGEIFS(Rdw_Stock!Z$2:Z$29,Rdw_Stock!$D$2:$D$29,VDA_table!$F36,Rdw_Stock!$G$2:$G$29,VDA_table!$G36)</f>
        <v>7484.8275637090501</v>
      </c>
      <c r="W36" s="27">
        <f>AVERAGEIFS(Rdw_Stock!AA$2:AA$29,Rdw_Stock!$D$2:$D$29,VDA_table!$F36,Rdw_Stock!$G$2:$G$29,VDA_table!$G36)</f>
        <v>737.077164424741</v>
      </c>
      <c r="X36" s="27">
        <f>AVERAGEIFS(Rdw_Stock!AB$2:AB$29,Rdw_Stock!$D$2:$D$29,VDA_table!$F36,Rdw_Stock!$G$2:$G$29,VDA_table!$G36)</f>
        <v>1393.1474446411501</v>
      </c>
      <c r="Y36" s="27">
        <f>AVERAGEIFS(Rdw_Stock!AC$2:AC$29,Rdw_Stock!$D$2:$D$29,VDA_table!$F36,Rdw_Stock!$G$2:$G$29,VDA_table!$G36)</f>
        <v>611.30832838841502</v>
      </c>
      <c r="Z36" s="27">
        <f>AVERAGEIFS(Rdw_Stock!AD$2:AD$29,Rdw_Stock!$D$2:$D$29,VDA_table!$F36,Rdw_Stock!$G$2:$G$29,VDA_table!$G36)</f>
        <v>56.214271478305598</v>
      </c>
      <c r="AA36" s="27">
        <f>AVERAGEIFS(Rdw_Stock!AE$2:AE$29,Rdw_Stock!$D$2:$D$29,VDA_table!$F36,Rdw_Stock!$G$2:$G$29,VDA_table!$G36)</f>
        <v>2292.3115039181198</v>
      </c>
      <c r="AB36" s="27">
        <f>AVERAGEIFS(Rdw_Stock!AF$2:AF$29,Rdw_Stock!$D$2:$D$29,VDA_table!$F36,Rdw_Stock!$G$2:$G$29,VDA_table!$G36)</f>
        <v>281.710765122834</v>
      </c>
      <c r="AC36" s="27">
        <f>AVERAGEIFS(Rdw_Stock!AG$2:AG$29,Rdw_Stock!$D$2:$D$29,VDA_table!$F36,Rdw_Stock!$G$2:$G$29,VDA_table!$G36)</f>
        <v>155.42907306956201</v>
      </c>
      <c r="AD36" s="27">
        <f>AVERAGEIFS(Rdw_Stock!AH$2:AH$29,Rdw_Stock!$D$2:$D$29,VDA_table!$F36,Rdw_Stock!$G$2:$G$29,VDA_table!$G36)</f>
        <v>126.490301439674</v>
      </c>
      <c r="AE36" s="27">
        <f>AVERAGEIFS(Rdw_Stock!AI$2:AI$29,Rdw_Stock!$D$2:$D$29,VDA_table!$F36,Rdw_Stock!$G$2:$G$29,VDA_table!$G36)</f>
        <v>124.338717520546</v>
      </c>
      <c r="AF36" s="27">
        <f>AVERAGEIFS(Rdw_Stock!AJ$2:AJ$29,Rdw_Stock!$D$2:$D$29,VDA_table!$F36,Rdw_Stock!$G$2:$G$29,VDA_table!$G36)</f>
        <v>52.1241697507688</v>
      </c>
      <c r="AG36" s="27">
        <f>AVERAGEIFS(Rdw_Stock!AK$2:AK$29,Rdw_Stock!$D$2:$D$29,VDA_table!$F36,Rdw_Stock!$G$2:$G$29,VDA_table!$G36)</f>
        <v>218.03879005756599</v>
      </c>
      <c r="AH36" s="27">
        <f>AVERAGEIFS(Rdw_Stock!AL$2:AL$29,Rdw_Stock!$D$2:$D$29,VDA_table!$F36,Rdw_Stock!$G$2:$G$29,VDA_table!$G36)</f>
        <v>7.3838202847142602</v>
      </c>
      <c r="AI36" s="27">
        <f>AVERAGEIFS(Rdw_Stock!AM$2:AM$29,Rdw_Stock!$D$2:$D$29,VDA_table!$F36,Rdw_Stock!$G$2:$G$29,VDA_table!$G36)</f>
        <v>789.93269000110001</v>
      </c>
      <c r="AJ36" s="27">
        <f>AVERAGEIFS(Rdw_Stock!AN$2:AN$29,Rdw_Stock!$D$2:$D$29,VDA_table!$F36,Rdw_Stock!$G$2:$G$29,VDA_table!$G36)</f>
        <v>628.81044303967599</v>
      </c>
      <c r="AK36" s="27">
        <f>AVERAGEIFS(Rdw_Stock!AO$2:AO$29,Rdw_Stock!$D$2:$D$29,VDA_table!$F36,Rdw_Stock!$G$2:$G$29,VDA_table!$G36)</f>
        <v>3790.1062829734001</v>
      </c>
      <c r="AL36" s="27">
        <f>AVERAGEIFS(Rdw_Stock!AP$2:AP$29,Rdw_Stock!$D$2:$D$29,VDA_table!$F36,Rdw_Stock!$G$2:$G$29,VDA_table!$G36)</f>
        <v>909.18284356690299</v>
      </c>
      <c r="AM36" s="27">
        <f>AVERAGEIFS(Rdw_Stock!AQ$2:AQ$29,Rdw_Stock!$D$2:$D$29,VDA_table!$F36,Rdw_Stock!$G$2:$G$29,VDA_table!$G36)</f>
        <v>2527.5219381861998</v>
      </c>
      <c r="AN36" s="27">
        <f>AVERAGEIFS(Rdw_Stock!AR$2:AR$29,Rdw_Stock!$D$2:$D$29,VDA_table!$F36,Rdw_Stock!$G$2:$G$29,VDA_table!$G36)</f>
        <v>932.18797497234095</v>
      </c>
      <c r="AO36" s="27">
        <f>AVERAGEIFS(Rdw_Stock!AS$2:AS$29,Rdw_Stock!$D$2:$D$29,VDA_table!$F36,Rdw_Stock!$G$2:$G$29,VDA_table!$G36)</f>
        <v>1663.75384943983</v>
      </c>
      <c r="AP36" s="27">
        <f>AVERAGEIFS(Rdw_Stock!AT$2:AT$29,Rdw_Stock!$D$2:$D$29,VDA_table!$F36,Rdw_Stock!$G$2:$G$29,VDA_table!$G36)</f>
        <v>231.37676448883599</v>
      </c>
      <c r="AQ36" s="27">
        <f>AVERAGEIFS(Rdw_Stock!AU$2:AU$29,Rdw_Stock!$D$2:$D$29,VDA_table!$F36,Rdw_Stock!$G$2:$G$29,VDA_table!$G36)</f>
        <v>556.71652932822099</v>
      </c>
      <c r="AR36" s="27">
        <f>AVERAGEIFS(Rdw_Stock!AV$2:AV$29,Rdw_Stock!$D$2:$D$29,VDA_table!$F36,Rdw_Stock!$G$2:$G$29,VDA_table!$G36)</f>
        <v>5282.2968339855997</v>
      </c>
    </row>
    <row r="37" spans="2:44" ht="14.4">
      <c r="B37" s="4" t="s">
        <v>57</v>
      </c>
      <c r="C37" s="4" t="s">
        <v>58</v>
      </c>
      <c r="D37" s="4" t="s">
        <v>65</v>
      </c>
      <c r="F37" s="28" t="str">
        <f>Rdw_Stock!D4</f>
        <v>R_DetH</v>
      </c>
      <c r="G37" s="42" t="str">
        <f>Rdw_Stock!G4</f>
        <v>2060</v>
      </c>
      <c r="H37" s="29">
        <f>AVERAGEIFS(Rdw_Stock!L$2:L$29,Rdw_Stock!$D$2:$D$29,VDA_table!$F37,Rdw_Stock!$G$2:$G$29,VDA_table!$G37)</f>
        <v>258.234679733902</v>
      </c>
      <c r="I37" s="29">
        <f>AVERAGEIFS(Rdw_Stock!M$2:M$29,Rdw_Stock!$D$2:$D$29,VDA_table!$F37,Rdw_Stock!$G$2:$G$29,VDA_table!$G37)</f>
        <v>1278.70306137648</v>
      </c>
      <c r="J37" s="29">
        <f>AVERAGEIFS(Rdw_Stock!N$2:N$29,Rdw_Stock!$D$2:$D$29,VDA_table!$F37,Rdw_Stock!$G$2:$G$29,VDA_table!$G37)</f>
        <v>439.048196569867</v>
      </c>
      <c r="K37" s="29">
        <f>AVERAGEIFS(Rdw_Stock!O$2:O$29,Rdw_Stock!$D$2:$D$29,VDA_table!$F37,Rdw_Stock!$G$2:$G$29,VDA_table!$G37)</f>
        <v>1419.0733109876301</v>
      </c>
      <c r="L37" s="29">
        <f>AVERAGEIFS(Rdw_Stock!P$2:P$29,Rdw_Stock!$D$2:$D$29,VDA_table!$F37,Rdw_Stock!$G$2:$G$29,VDA_table!$G37)</f>
        <v>697.64544028693797</v>
      </c>
      <c r="M37" s="29">
        <f>AVERAGEIFS(Rdw_Stock!Q$2:Q$29,Rdw_Stock!$D$2:$D$29,VDA_table!$F37,Rdw_Stock!$G$2:$G$29,VDA_table!$G37)</f>
        <v>1133.01164591211</v>
      </c>
      <c r="N37" s="29">
        <f>AVERAGEIFS(Rdw_Stock!R$2:R$29,Rdw_Stock!$D$2:$D$29,VDA_table!$F37,Rdw_Stock!$G$2:$G$29,VDA_table!$G37)</f>
        <v>141.67290961975601</v>
      </c>
      <c r="O37" s="29">
        <f>AVERAGEIFS(Rdw_Stock!S$2:S$29,Rdw_Stock!$D$2:$D$29,VDA_table!$F37,Rdw_Stock!$G$2:$G$29,VDA_table!$G37)</f>
        <v>1340.5414140708999</v>
      </c>
      <c r="P37" s="29">
        <f>AVERAGEIFS(Rdw_Stock!T$2:T$29,Rdw_Stock!$D$2:$D$29,VDA_table!$F37,Rdw_Stock!$G$2:$G$29,VDA_table!$G37)</f>
        <v>7300.6378601672895</v>
      </c>
      <c r="Q37" s="29">
        <f>AVERAGEIFS(Rdw_Stock!U$2:U$29,Rdw_Stock!$D$2:$D$29,VDA_table!$F37,Rdw_Stock!$G$2:$G$29,VDA_table!$G37)</f>
        <v>1166.0183680991299</v>
      </c>
      <c r="R37" s="29">
        <f>AVERAGEIFS(Rdw_Stock!V$2:V$29,Rdw_Stock!$D$2:$D$29,VDA_table!$F37,Rdw_Stock!$G$2:$G$29,VDA_table!$G37)</f>
        <v>93.796134743550297</v>
      </c>
      <c r="S37" s="29">
        <f>AVERAGEIFS(Rdw_Stock!W$2:W$29,Rdw_Stock!$D$2:$D$29,VDA_table!$F37,Rdw_Stock!$G$2:$G$29,VDA_table!$G37)</f>
        <v>760.24588994830299</v>
      </c>
      <c r="T37" s="29">
        <f>AVERAGEIFS(Rdw_Stock!X$2:X$29,Rdw_Stock!$D$2:$D$29,VDA_table!$F37,Rdw_Stock!$G$2:$G$29,VDA_table!$G37)</f>
        <v>1231.1465651425999</v>
      </c>
      <c r="U37" s="29">
        <f>AVERAGEIFS(Rdw_Stock!Y$2:Y$29,Rdw_Stock!$D$2:$D$29,VDA_table!$F37,Rdw_Stock!$G$2:$G$29,VDA_table!$G37)</f>
        <v>888.69435703802401</v>
      </c>
      <c r="V37" s="29">
        <f>AVERAGEIFS(Rdw_Stock!Z$2:Z$29,Rdw_Stock!$D$2:$D$29,VDA_table!$F37,Rdw_Stock!$G$2:$G$29,VDA_table!$G37)</f>
        <v>7484.8275637090501</v>
      </c>
      <c r="W37" s="29">
        <f>AVERAGEIFS(Rdw_Stock!AA$2:AA$29,Rdw_Stock!$D$2:$D$29,VDA_table!$F37,Rdw_Stock!$G$2:$G$29,VDA_table!$G37)</f>
        <v>737.077164424741</v>
      </c>
      <c r="X37" s="29">
        <f>AVERAGEIFS(Rdw_Stock!AB$2:AB$29,Rdw_Stock!$D$2:$D$29,VDA_table!$F37,Rdw_Stock!$G$2:$G$29,VDA_table!$G37)</f>
        <v>1393.1474446411501</v>
      </c>
      <c r="Y37" s="29">
        <f>AVERAGEIFS(Rdw_Stock!AC$2:AC$29,Rdw_Stock!$D$2:$D$29,VDA_table!$F37,Rdw_Stock!$G$2:$G$29,VDA_table!$G37)</f>
        <v>611.30832838841502</v>
      </c>
      <c r="Z37" s="29">
        <f>AVERAGEIFS(Rdw_Stock!AD$2:AD$29,Rdw_Stock!$D$2:$D$29,VDA_table!$F37,Rdw_Stock!$G$2:$G$29,VDA_table!$G37)</f>
        <v>56.214271478305598</v>
      </c>
      <c r="AA37" s="29">
        <f>AVERAGEIFS(Rdw_Stock!AE$2:AE$29,Rdw_Stock!$D$2:$D$29,VDA_table!$F37,Rdw_Stock!$G$2:$G$29,VDA_table!$G37)</f>
        <v>2292.3115039181198</v>
      </c>
      <c r="AB37" s="29">
        <f>AVERAGEIFS(Rdw_Stock!AF$2:AF$29,Rdw_Stock!$D$2:$D$29,VDA_table!$F37,Rdw_Stock!$G$2:$G$29,VDA_table!$G37)</f>
        <v>281.710765122834</v>
      </c>
      <c r="AC37" s="29">
        <f>AVERAGEIFS(Rdw_Stock!AG$2:AG$29,Rdw_Stock!$D$2:$D$29,VDA_table!$F37,Rdw_Stock!$G$2:$G$29,VDA_table!$G37)</f>
        <v>155.42907306956201</v>
      </c>
      <c r="AD37" s="29">
        <f>AVERAGEIFS(Rdw_Stock!AH$2:AH$29,Rdw_Stock!$D$2:$D$29,VDA_table!$F37,Rdw_Stock!$G$2:$G$29,VDA_table!$G37)</f>
        <v>126.490301439674</v>
      </c>
      <c r="AE37" s="29">
        <f>AVERAGEIFS(Rdw_Stock!AI$2:AI$29,Rdw_Stock!$D$2:$D$29,VDA_table!$F37,Rdw_Stock!$G$2:$G$29,VDA_table!$G37)</f>
        <v>124.338717520546</v>
      </c>
      <c r="AF37" s="29">
        <f>AVERAGEIFS(Rdw_Stock!AJ$2:AJ$29,Rdw_Stock!$D$2:$D$29,VDA_table!$F37,Rdw_Stock!$G$2:$G$29,VDA_table!$G37)</f>
        <v>52.1241697507688</v>
      </c>
      <c r="AG37" s="29">
        <f>AVERAGEIFS(Rdw_Stock!AK$2:AK$29,Rdw_Stock!$D$2:$D$29,VDA_table!$F37,Rdw_Stock!$G$2:$G$29,VDA_table!$G37)</f>
        <v>218.03879005756599</v>
      </c>
      <c r="AH37" s="29">
        <f>AVERAGEIFS(Rdw_Stock!AL$2:AL$29,Rdw_Stock!$D$2:$D$29,VDA_table!$F37,Rdw_Stock!$G$2:$G$29,VDA_table!$G37)</f>
        <v>7.3838202847142602</v>
      </c>
      <c r="AI37" s="29">
        <f>AVERAGEIFS(Rdw_Stock!AM$2:AM$29,Rdw_Stock!$D$2:$D$29,VDA_table!$F37,Rdw_Stock!$G$2:$G$29,VDA_table!$G37)</f>
        <v>789.93269000110001</v>
      </c>
      <c r="AJ37" s="29">
        <f>AVERAGEIFS(Rdw_Stock!AN$2:AN$29,Rdw_Stock!$D$2:$D$29,VDA_table!$F37,Rdw_Stock!$G$2:$G$29,VDA_table!$G37)</f>
        <v>628.81044303967599</v>
      </c>
      <c r="AK37" s="29">
        <f>AVERAGEIFS(Rdw_Stock!AO$2:AO$29,Rdw_Stock!$D$2:$D$29,VDA_table!$F37,Rdw_Stock!$G$2:$G$29,VDA_table!$G37)</f>
        <v>3790.1062829734001</v>
      </c>
      <c r="AL37" s="29">
        <f>AVERAGEIFS(Rdw_Stock!AP$2:AP$29,Rdw_Stock!$D$2:$D$29,VDA_table!$F37,Rdw_Stock!$G$2:$G$29,VDA_table!$G37)</f>
        <v>909.18284356690299</v>
      </c>
      <c r="AM37" s="29">
        <f>AVERAGEIFS(Rdw_Stock!AQ$2:AQ$29,Rdw_Stock!$D$2:$D$29,VDA_table!$F37,Rdw_Stock!$G$2:$G$29,VDA_table!$G37)</f>
        <v>2527.5219381861998</v>
      </c>
      <c r="AN37" s="29">
        <f>AVERAGEIFS(Rdw_Stock!AR$2:AR$29,Rdw_Stock!$D$2:$D$29,VDA_table!$F37,Rdw_Stock!$G$2:$G$29,VDA_table!$G37)</f>
        <v>932.18797497234095</v>
      </c>
      <c r="AO37" s="29">
        <f>AVERAGEIFS(Rdw_Stock!AS$2:AS$29,Rdw_Stock!$D$2:$D$29,VDA_table!$F37,Rdw_Stock!$G$2:$G$29,VDA_table!$G37)</f>
        <v>1663.75384943983</v>
      </c>
      <c r="AP37" s="29">
        <f>AVERAGEIFS(Rdw_Stock!AT$2:AT$29,Rdw_Stock!$D$2:$D$29,VDA_table!$F37,Rdw_Stock!$G$2:$G$29,VDA_table!$G37)</f>
        <v>231.37676448883599</v>
      </c>
      <c r="AQ37" s="29">
        <f>AVERAGEIFS(Rdw_Stock!AU$2:AU$29,Rdw_Stock!$D$2:$D$29,VDA_table!$F37,Rdw_Stock!$G$2:$G$29,VDA_table!$G37)</f>
        <v>556.71652932822099</v>
      </c>
      <c r="AR37" s="29">
        <f>AVERAGEIFS(Rdw_Stock!AV$2:AV$29,Rdw_Stock!$D$2:$D$29,VDA_table!$F37,Rdw_Stock!$G$2:$G$29,VDA_table!$G37)</f>
        <v>5282.2968339855997</v>
      </c>
    </row>
    <row r="38" spans="2:44" ht="14.4">
      <c r="B38" s="4" t="s">
        <v>59</v>
      </c>
      <c r="C38" s="4" t="s">
        <v>60</v>
      </c>
      <c r="D38" s="4" t="s">
        <v>67</v>
      </c>
      <c r="F38" s="24" t="str">
        <f>Rdw_Stock!D5</f>
        <v>R_Flat</v>
      </c>
      <c r="G38" s="41" t="str">
        <f>Rdw_Stock!G5</f>
        <v>2010</v>
      </c>
      <c r="H38" s="25">
        <f>AVERAGEIFS(Rdw_Stock!L$2:L$29,Rdw_Stock!$D$2:$D$29,VDA_table!$F38,Rdw_Stock!$G$2:$G$29,VDA_table!$G38)</f>
        <v>196.66972424213799</v>
      </c>
      <c r="I38" s="25">
        <f>AVERAGEIFS(Rdw_Stock!M$2:M$29,Rdw_Stock!$D$2:$D$29,VDA_table!$F38,Rdw_Stock!$G$2:$G$29,VDA_table!$G38)</f>
        <v>1468.1931444905699</v>
      </c>
      <c r="J38" s="25">
        <f>AVERAGEIFS(Rdw_Stock!N$2:N$29,Rdw_Stock!$D$2:$D$29,VDA_table!$F38,Rdw_Stock!$G$2:$G$29,VDA_table!$G38)</f>
        <v>271.18740136497502</v>
      </c>
      <c r="K38" s="25">
        <f>AVERAGEIFS(Rdw_Stock!O$2:O$29,Rdw_Stock!$D$2:$D$29,VDA_table!$F38,Rdw_Stock!$G$2:$G$29,VDA_table!$G38)</f>
        <v>905.52301441199199</v>
      </c>
      <c r="L38" s="25">
        <f>AVERAGEIFS(Rdw_Stock!P$2:P$29,Rdw_Stock!$D$2:$D$29,VDA_table!$F38,Rdw_Stock!$G$2:$G$29,VDA_table!$G38)</f>
        <v>777.21770601382104</v>
      </c>
      <c r="M38" s="25">
        <f>AVERAGEIFS(Rdw_Stock!Q$2:Q$29,Rdw_Stock!$D$2:$D$29,VDA_table!$F38,Rdw_Stock!$G$2:$G$29,VDA_table!$G38)</f>
        <v>1648.28521152997</v>
      </c>
      <c r="N38" s="25">
        <f>AVERAGEIFS(Rdw_Stock!R$2:R$29,Rdw_Stock!$D$2:$D$29,VDA_table!$F38,Rdw_Stock!$G$2:$G$29,VDA_table!$G38)</f>
        <v>83.5448736928291</v>
      </c>
      <c r="O38" s="25">
        <f>AVERAGEIFS(Rdw_Stock!S$2:S$29,Rdw_Stock!$D$2:$D$29,VDA_table!$F38,Rdw_Stock!$G$2:$G$29,VDA_table!$G38)</f>
        <v>2208.0312140248402</v>
      </c>
      <c r="P38" s="25">
        <f>AVERAGEIFS(Rdw_Stock!T$2:T$29,Rdw_Stock!$D$2:$D$29,VDA_table!$F38,Rdw_Stock!$G$2:$G$29,VDA_table!$G38)</f>
        <v>18507.478934742299</v>
      </c>
      <c r="Q38" s="25">
        <f>AVERAGEIFS(Rdw_Stock!U$2:U$29,Rdw_Stock!$D$2:$D$29,VDA_table!$F38,Rdw_Stock!$G$2:$G$29,VDA_table!$G38)</f>
        <v>1066.67625172521</v>
      </c>
      <c r="R38" s="25">
        <f>AVERAGEIFS(Rdw_Stock!V$2:V$29,Rdw_Stock!$D$2:$D$29,VDA_table!$F38,Rdw_Stock!$G$2:$G$29,VDA_table!$G38)</f>
        <v>488.146378750765</v>
      </c>
      <c r="S38" s="25">
        <f>AVERAGEIFS(Rdw_Stock!W$2:W$29,Rdw_Stock!$D$2:$D$29,VDA_table!$F38,Rdw_Stock!$G$2:$G$29,VDA_table!$G38)</f>
        <v>1679.0753129779901</v>
      </c>
      <c r="T38" s="25">
        <f>AVERAGEIFS(Rdw_Stock!X$2:X$29,Rdw_Stock!$D$2:$D$29,VDA_table!$F38,Rdw_Stock!$G$2:$G$29,VDA_table!$G38)</f>
        <v>7433.1088118539301</v>
      </c>
      <c r="U38" s="25">
        <f>AVERAGEIFS(Rdw_Stock!Y$2:Y$29,Rdw_Stock!$D$2:$D$29,VDA_table!$F38,Rdw_Stock!$G$2:$G$29,VDA_table!$G38)</f>
        <v>1108.17231523071</v>
      </c>
      <c r="V38" s="25">
        <f>AVERAGEIFS(Rdw_Stock!Z$2:Z$29,Rdw_Stock!$D$2:$D$29,VDA_table!$F38,Rdw_Stock!$G$2:$G$29,VDA_table!$G38)</f>
        <v>9195.3526981771192</v>
      </c>
      <c r="W38" s="25">
        <f>AVERAGEIFS(Rdw_Stock!AA$2:AA$29,Rdw_Stock!$D$2:$D$29,VDA_table!$F38,Rdw_Stock!$G$2:$G$29,VDA_table!$G38)</f>
        <v>505.02472685864501</v>
      </c>
      <c r="X38" s="25">
        <f>AVERAGEIFS(Rdw_Stock!AB$2:AB$29,Rdw_Stock!$D$2:$D$29,VDA_table!$F38,Rdw_Stock!$G$2:$G$29,VDA_table!$G38)</f>
        <v>1314.8023053054101</v>
      </c>
      <c r="Y38" s="25">
        <f>AVERAGEIFS(Rdw_Stock!AC$2:AC$29,Rdw_Stock!$D$2:$D$29,VDA_table!$F38,Rdw_Stock!$G$2:$G$29,VDA_table!$G38)</f>
        <v>148.11826981025001</v>
      </c>
      <c r="Z38" s="25">
        <f>AVERAGEIFS(Rdw_Stock!AD$2:AD$29,Rdw_Stock!$D$2:$D$29,VDA_table!$F38,Rdw_Stock!$G$2:$G$29,VDA_table!$G38)</f>
        <v>67.1621346364728</v>
      </c>
      <c r="AA38" s="25">
        <f>AVERAGEIFS(Rdw_Stock!AE$2:AE$29,Rdw_Stock!$D$2:$D$29,VDA_table!$F38,Rdw_Stock!$G$2:$G$29,VDA_table!$G38)</f>
        <v>17047.8841549219</v>
      </c>
      <c r="AB38" s="25">
        <f>AVERAGEIFS(Rdw_Stock!AF$2:AF$29,Rdw_Stock!$D$2:$D$29,VDA_table!$F38,Rdw_Stock!$G$2:$G$29,VDA_table!$G38)</f>
        <v>159.63428240686099</v>
      </c>
      <c r="AC38" s="25">
        <f>AVERAGEIFS(Rdw_Stock!AG$2:AG$29,Rdw_Stock!$D$2:$D$29,VDA_table!$F38,Rdw_Stock!$G$2:$G$29,VDA_table!$G38)</f>
        <v>725.543466048396</v>
      </c>
      <c r="AD38" s="25">
        <f>AVERAGEIFS(Rdw_Stock!AH$2:AH$29,Rdw_Stock!$D$2:$D$29,VDA_table!$F38,Rdw_Stock!$G$2:$G$29,VDA_table!$G38)</f>
        <v>67.999999638297794</v>
      </c>
      <c r="AE38" s="25">
        <f>AVERAGEIFS(Rdw_Stock!AI$2:AI$29,Rdw_Stock!$D$2:$D$29,VDA_table!$F38,Rdw_Stock!$G$2:$G$29,VDA_table!$G38)</f>
        <v>576.16017362476396</v>
      </c>
      <c r="AF38" s="25">
        <f>AVERAGEIFS(Rdw_Stock!AJ$2:AJ$29,Rdw_Stock!$D$2:$D$29,VDA_table!$F38,Rdw_Stock!$G$2:$G$29,VDA_table!$G38)</f>
        <v>98.552265437365506</v>
      </c>
      <c r="AG38" s="25">
        <f>AVERAGEIFS(Rdw_Stock!AK$2:AK$29,Rdw_Stock!$D$2:$D$29,VDA_table!$F38,Rdw_Stock!$G$2:$G$29,VDA_table!$G38)</f>
        <v>160.89708606675001</v>
      </c>
      <c r="AH38" s="25">
        <f>AVERAGEIFS(Rdw_Stock!AL$2:AL$29,Rdw_Stock!$D$2:$D$29,VDA_table!$F38,Rdw_Stock!$G$2:$G$29,VDA_table!$G38)</f>
        <v>16.335462474584801</v>
      </c>
      <c r="AI38" s="25">
        <f>AVERAGEIFS(Rdw_Stock!AM$2:AM$29,Rdw_Stock!$D$2:$D$29,VDA_table!$F38,Rdw_Stock!$G$2:$G$29,VDA_table!$G38)</f>
        <v>1728.7005676351</v>
      </c>
      <c r="AJ38" s="25">
        <f>AVERAGEIFS(Rdw_Stock!AN$2:AN$29,Rdw_Stock!$D$2:$D$29,VDA_table!$F38,Rdw_Stock!$G$2:$G$29,VDA_table!$G38)</f>
        <v>1151.6628112433</v>
      </c>
      <c r="AK38" s="25">
        <f>AVERAGEIFS(Rdw_Stock!AO$2:AO$29,Rdw_Stock!$D$2:$D$29,VDA_table!$F38,Rdw_Stock!$G$2:$G$29,VDA_table!$G38)</f>
        <v>6734.1391844108903</v>
      </c>
      <c r="AL38" s="25">
        <f>AVERAGEIFS(Rdw_Stock!AP$2:AP$29,Rdw_Stock!$D$2:$D$29,VDA_table!$F38,Rdw_Stock!$G$2:$G$29,VDA_table!$G38)</f>
        <v>514.68576543917504</v>
      </c>
      <c r="AM38" s="25">
        <f>AVERAGEIFS(Rdw_Stock!AQ$2:AQ$29,Rdw_Stock!$D$2:$D$29,VDA_table!$F38,Rdw_Stock!$G$2:$G$29,VDA_table!$G38)</f>
        <v>2050.9073432785099</v>
      </c>
      <c r="AN38" s="25">
        <f>AVERAGEIFS(Rdw_Stock!AR$2:AR$29,Rdw_Stock!$D$2:$D$29,VDA_table!$F38,Rdw_Stock!$G$2:$G$29,VDA_table!$G38)</f>
        <v>801.27752404119997</v>
      </c>
      <c r="AO38" s="25">
        <f>AVERAGEIFS(Rdw_Stock!AS$2:AS$29,Rdw_Stock!$D$2:$D$29,VDA_table!$F38,Rdw_Stock!$G$2:$G$29,VDA_table!$G38)</f>
        <v>2426.7814922366401</v>
      </c>
      <c r="AP38" s="25">
        <f>AVERAGEIFS(Rdw_Stock!AT$2:AT$29,Rdw_Stock!$D$2:$D$29,VDA_table!$F38,Rdw_Stock!$G$2:$G$29,VDA_table!$G38)</f>
        <v>461.41891138861399</v>
      </c>
      <c r="AQ38" s="25">
        <f>AVERAGEIFS(Rdw_Stock!AU$2:AU$29,Rdw_Stock!$D$2:$D$29,VDA_table!$F38,Rdw_Stock!$G$2:$G$29,VDA_table!$G38)</f>
        <v>580.36075202452605</v>
      </c>
      <c r="AR38" s="25">
        <f>AVERAGEIFS(Rdw_Stock!AV$2:AV$29,Rdw_Stock!$D$2:$D$29,VDA_table!$F38,Rdw_Stock!$G$2:$G$29,VDA_table!$G38)</f>
        <v>3928.2270816740302</v>
      </c>
    </row>
    <row r="39" spans="2:44" ht="14.4">
      <c r="B39" s="4" t="s">
        <v>61</v>
      </c>
      <c r="C39" s="4" t="s">
        <v>62</v>
      </c>
      <c r="D39" s="4" t="s">
        <v>65</v>
      </c>
      <c r="F39" s="26" t="str">
        <f>Rdw_Stock!D6</f>
        <v>R_Flat</v>
      </c>
      <c r="G39" s="30" t="str">
        <f>Rdw_Stock!G6</f>
        <v>2050</v>
      </c>
      <c r="H39" s="27">
        <f>AVERAGEIFS(Rdw_Stock!L$2:L$29,Rdw_Stock!$D$2:$D$29,VDA_table!$F39,Rdw_Stock!$G$2:$G$29,VDA_table!$G39)</f>
        <v>594.93412284646195</v>
      </c>
      <c r="I39" s="27">
        <f>AVERAGEIFS(Rdw_Stock!M$2:M$29,Rdw_Stock!$D$2:$D$29,VDA_table!$F39,Rdw_Stock!$G$2:$G$29,VDA_table!$G39)</f>
        <v>1849.3437949404499</v>
      </c>
      <c r="J39" s="27">
        <f>AVERAGEIFS(Rdw_Stock!N$2:N$29,Rdw_Stock!$D$2:$D$29,VDA_table!$F39,Rdw_Stock!$G$2:$G$29,VDA_table!$G39)</f>
        <v>533.67917828783504</v>
      </c>
      <c r="K39" s="27">
        <f>AVERAGEIFS(Rdw_Stock!O$2:O$29,Rdw_Stock!$D$2:$D$29,VDA_table!$F39,Rdw_Stock!$G$2:$G$29,VDA_table!$G39)</f>
        <v>1352.0842015303599</v>
      </c>
      <c r="L39" s="27">
        <f>AVERAGEIFS(Rdw_Stock!P$2:P$29,Rdw_Stock!$D$2:$D$29,VDA_table!$F39,Rdw_Stock!$G$2:$G$29,VDA_table!$G39)</f>
        <v>878.78692912233498</v>
      </c>
      <c r="M39" s="27">
        <f>AVERAGEIFS(Rdw_Stock!Q$2:Q$29,Rdw_Stock!$D$2:$D$29,VDA_table!$F39,Rdw_Stock!$G$2:$G$29,VDA_table!$G39)</f>
        <v>2219.15015327323</v>
      </c>
      <c r="N39" s="27">
        <f>AVERAGEIFS(Rdw_Stock!R$2:R$29,Rdw_Stock!$D$2:$D$29,VDA_table!$F39,Rdw_Stock!$G$2:$G$29,VDA_table!$G39)</f>
        <v>111.816814329298</v>
      </c>
      <c r="O39" s="27">
        <f>AVERAGEIFS(Rdw_Stock!S$2:S$29,Rdw_Stock!$D$2:$D$29,VDA_table!$F39,Rdw_Stock!$G$2:$G$29,VDA_table!$G39)</f>
        <v>2881.97564738445</v>
      </c>
      <c r="P39" s="27">
        <f>AVERAGEIFS(Rdw_Stock!T$2:T$29,Rdw_Stock!$D$2:$D$29,VDA_table!$F39,Rdw_Stock!$G$2:$G$29,VDA_table!$G39)</f>
        <v>17471.245290423802</v>
      </c>
      <c r="Q39" s="27">
        <f>AVERAGEIFS(Rdw_Stock!U$2:U$29,Rdw_Stock!$D$2:$D$29,VDA_table!$F39,Rdw_Stock!$G$2:$G$29,VDA_table!$G39)</f>
        <v>1247.02971181476</v>
      </c>
      <c r="R39" s="27">
        <f>AVERAGEIFS(Rdw_Stock!V$2:V$29,Rdw_Stock!$D$2:$D$29,VDA_table!$F39,Rdw_Stock!$G$2:$G$29,VDA_table!$G39)</f>
        <v>410.02138328230302</v>
      </c>
      <c r="S39" s="27">
        <f>AVERAGEIFS(Rdw_Stock!W$2:W$29,Rdw_Stock!$D$2:$D$29,VDA_table!$F39,Rdw_Stock!$G$2:$G$29,VDA_table!$G39)</f>
        <v>1751.49295265102</v>
      </c>
      <c r="T39" s="27">
        <f>AVERAGEIFS(Rdw_Stock!X$2:X$29,Rdw_Stock!$D$2:$D$29,VDA_table!$F39,Rdw_Stock!$G$2:$G$29,VDA_table!$G39)</f>
        <v>9405.3351305155393</v>
      </c>
      <c r="U39" s="27">
        <f>AVERAGEIFS(Rdw_Stock!Y$2:Y$29,Rdw_Stock!$D$2:$D$29,VDA_table!$F39,Rdw_Stock!$G$2:$G$29,VDA_table!$G39)</f>
        <v>1243.27710085749</v>
      </c>
      <c r="V39" s="27">
        <f>AVERAGEIFS(Rdw_Stock!Z$2:Z$29,Rdw_Stock!$D$2:$D$29,VDA_table!$F39,Rdw_Stock!$G$2:$G$29,VDA_table!$G39)</f>
        <v>10926.6783234369</v>
      </c>
      <c r="W39" s="27">
        <f>AVERAGEIFS(Rdw_Stock!AA$2:AA$29,Rdw_Stock!$D$2:$D$29,VDA_table!$F39,Rdw_Stock!$G$2:$G$29,VDA_table!$G39)</f>
        <v>585.209313207994</v>
      </c>
      <c r="X39" s="27">
        <f>AVERAGEIFS(Rdw_Stock!AB$2:AB$29,Rdw_Stock!$D$2:$D$29,VDA_table!$F39,Rdw_Stock!$G$2:$G$29,VDA_table!$G39)</f>
        <v>1192.00799566468</v>
      </c>
      <c r="Y39" s="27">
        <f>AVERAGEIFS(Rdw_Stock!AC$2:AC$29,Rdw_Stock!$D$2:$D$29,VDA_table!$F39,Rdw_Stock!$G$2:$G$29,VDA_table!$G39)</f>
        <v>194.51586367719199</v>
      </c>
      <c r="Z39" s="27">
        <f>AVERAGEIFS(Rdw_Stock!AD$2:AD$29,Rdw_Stock!$D$2:$D$29,VDA_table!$F39,Rdw_Stock!$G$2:$G$29,VDA_table!$G39)</f>
        <v>86.628122498979195</v>
      </c>
      <c r="AA39" s="27">
        <f>AVERAGEIFS(Rdw_Stock!AE$2:AE$29,Rdw_Stock!$D$2:$D$29,VDA_table!$F39,Rdw_Stock!$G$2:$G$29,VDA_table!$G39)</f>
        <v>18505.0277567919</v>
      </c>
      <c r="AB39" s="27">
        <f>AVERAGEIFS(Rdw_Stock!AF$2:AF$29,Rdw_Stock!$D$2:$D$29,VDA_table!$F39,Rdw_Stock!$G$2:$G$29,VDA_table!$G39)</f>
        <v>342.42976242738501</v>
      </c>
      <c r="AC39" s="27">
        <f>AVERAGEIFS(Rdw_Stock!AG$2:AG$29,Rdw_Stock!$D$2:$D$29,VDA_table!$F39,Rdw_Stock!$G$2:$G$29,VDA_table!$G39)</f>
        <v>432.69102066230698</v>
      </c>
      <c r="AD39" s="27">
        <f>AVERAGEIFS(Rdw_Stock!AH$2:AH$29,Rdw_Stock!$D$2:$D$29,VDA_table!$F39,Rdw_Stock!$G$2:$G$29,VDA_table!$G39)</f>
        <v>164.42580851063801</v>
      </c>
      <c r="AE39" s="27">
        <f>AVERAGEIFS(Rdw_Stock!AI$2:AI$29,Rdw_Stock!$D$2:$D$29,VDA_table!$F39,Rdw_Stock!$G$2:$G$29,VDA_table!$G39)</f>
        <v>388.64785022710402</v>
      </c>
      <c r="AF39" s="27">
        <f>AVERAGEIFS(Rdw_Stock!AJ$2:AJ$29,Rdw_Stock!$D$2:$D$29,VDA_table!$F39,Rdw_Stock!$G$2:$G$29,VDA_table!$G39)</f>
        <v>120.086299956801</v>
      </c>
      <c r="AG39" s="27">
        <f>AVERAGEIFS(Rdw_Stock!AK$2:AK$29,Rdw_Stock!$D$2:$D$29,VDA_table!$F39,Rdw_Stock!$G$2:$G$29,VDA_table!$G39)</f>
        <v>301.26036751984299</v>
      </c>
      <c r="AH39" s="27">
        <f>AVERAGEIFS(Rdw_Stock!AL$2:AL$29,Rdw_Stock!$D$2:$D$29,VDA_table!$F39,Rdw_Stock!$G$2:$G$29,VDA_table!$G39)</f>
        <v>33.804364966159</v>
      </c>
      <c r="AI39" s="27">
        <f>AVERAGEIFS(Rdw_Stock!AM$2:AM$29,Rdw_Stock!$D$2:$D$29,VDA_table!$F39,Rdw_Stock!$G$2:$G$29,VDA_table!$G39)</f>
        <v>2147.81464239968</v>
      </c>
      <c r="AJ39" s="27">
        <f>AVERAGEIFS(Rdw_Stock!AN$2:AN$29,Rdw_Stock!$D$2:$D$29,VDA_table!$F39,Rdw_Stock!$G$2:$G$29,VDA_table!$G39)</f>
        <v>1562.0320805865999</v>
      </c>
      <c r="AK39" s="27">
        <f>AVERAGEIFS(Rdw_Stock!AO$2:AO$29,Rdw_Stock!$D$2:$D$29,VDA_table!$F39,Rdw_Stock!$G$2:$G$29,VDA_table!$G39)</f>
        <v>7676.4269807335004</v>
      </c>
      <c r="AL39" s="27">
        <f>AVERAGEIFS(Rdw_Stock!AP$2:AP$29,Rdw_Stock!$D$2:$D$29,VDA_table!$F39,Rdw_Stock!$G$2:$G$29,VDA_table!$G39)</f>
        <v>1141.83975008075</v>
      </c>
      <c r="AM39" s="27">
        <f>AVERAGEIFS(Rdw_Stock!AQ$2:AQ$29,Rdw_Stock!$D$2:$D$29,VDA_table!$F39,Rdw_Stock!$G$2:$G$29,VDA_table!$G39)</f>
        <v>2464.3513275</v>
      </c>
      <c r="AN39" s="27">
        <f>AVERAGEIFS(Rdw_Stock!AR$2:AR$29,Rdw_Stock!$D$2:$D$29,VDA_table!$F39,Rdw_Stock!$G$2:$G$29,VDA_table!$G39)</f>
        <v>1133.1086572721499</v>
      </c>
      <c r="AO39" s="27">
        <f>AVERAGEIFS(Rdw_Stock!AS$2:AS$29,Rdw_Stock!$D$2:$D$29,VDA_table!$F39,Rdw_Stock!$G$2:$G$29,VDA_table!$G39)</f>
        <v>3425.3517494702101</v>
      </c>
      <c r="AP39" s="27">
        <f>AVERAGEIFS(Rdw_Stock!AT$2:AT$29,Rdw_Stock!$D$2:$D$29,VDA_table!$F39,Rdw_Stock!$G$2:$G$29,VDA_table!$G39)</f>
        <v>547.313698979376</v>
      </c>
      <c r="AQ39" s="27">
        <f>AVERAGEIFS(Rdw_Stock!AU$2:AU$29,Rdw_Stock!$D$2:$D$29,VDA_table!$F39,Rdw_Stock!$G$2:$G$29,VDA_table!$G39)</f>
        <v>748.76980913823002</v>
      </c>
      <c r="AR39" s="27">
        <f>AVERAGEIFS(Rdw_Stock!AV$2:AV$29,Rdw_Stock!$D$2:$D$29,VDA_table!$F39,Rdw_Stock!$G$2:$G$29,VDA_table!$G39)</f>
        <v>5444.8133686860201</v>
      </c>
    </row>
    <row r="40" spans="2:44" ht="14.4">
      <c r="B40" s="2" t="s">
        <v>63</v>
      </c>
      <c r="C40" s="2" t="s">
        <v>64</v>
      </c>
      <c r="D40" s="2" t="s">
        <v>67</v>
      </c>
      <c r="F40" s="28" t="str">
        <f>Rdw_Stock!D7</f>
        <v>R_Flat</v>
      </c>
      <c r="G40" s="42" t="str">
        <f>Rdw_Stock!G7</f>
        <v>2060</v>
      </c>
      <c r="H40" s="29">
        <f>AVERAGEIFS(Rdw_Stock!L$2:L$29,Rdw_Stock!$D$2:$D$29,VDA_table!$F40,Rdw_Stock!$G$2:$G$29,VDA_table!$G40)</f>
        <v>594.93412284646195</v>
      </c>
      <c r="I40" s="29">
        <f>AVERAGEIFS(Rdw_Stock!M$2:M$29,Rdw_Stock!$D$2:$D$29,VDA_table!$F40,Rdw_Stock!$G$2:$G$29,VDA_table!$G40)</f>
        <v>1849.3437949404499</v>
      </c>
      <c r="J40" s="29">
        <f>AVERAGEIFS(Rdw_Stock!N$2:N$29,Rdw_Stock!$D$2:$D$29,VDA_table!$F40,Rdw_Stock!$G$2:$G$29,VDA_table!$G40)</f>
        <v>533.67917828783504</v>
      </c>
      <c r="K40" s="29">
        <f>AVERAGEIFS(Rdw_Stock!O$2:O$29,Rdw_Stock!$D$2:$D$29,VDA_table!$F40,Rdw_Stock!$G$2:$G$29,VDA_table!$G40)</f>
        <v>1352.0842015303599</v>
      </c>
      <c r="L40" s="29">
        <f>AVERAGEIFS(Rdw_Stock!P$2:P$29,Rdw_Stock!$D$2:$D$29,VDA_table!$F40,Rdw_Stock!$G$2:$G$29,VDA_table!$G40)</f>
        <v>878.78692912233498</v>
      </c>
      <c r="M40" s="29">
        <f>AVERAGEIFS(Rdw_Stock!Q$2:Q$29,Rdw_Stock!$D$2:$D$29,VDA_table!$F40,Rdw_Stock!$G$2:$G$29,VDA_table!$G40)</f>
        <v>2219.15015327323</v>
      </c>
      <c r="N40" s="29">
        <f>AVERAGEIFS(Rdw_Stock!R$2:R$29,Rdw_Stock!$D$2:$D$29,VDA_table!$F40,Rdw_Stock!$G$2:$G$29,VDA_table!$G40)</f>
        <v>111.816814329298</v>
      </c>
      <c r="O40" s="29">
        <f>AVERAGEIFS(Rdw_Stock!S$2:S$29,Rdw_Stock!$D$2:$D$29,VDA_table!$F40,Rdw_Stock!$G$2:$G$29,VDA_table!$G40)</f>
        <v>2881.97564738445</v>
      </c>
      <c r="P40" s="29">
        <f>AVERAGEIFS(Rdw_Stock!T$2:T$29,Rdw_Stock!$D$2:$D$29,VDA_table!$F40,Rdw_Stock!$G$2:$G$29,VDA_table!$G40)</f>
        <v>17471.245290423802</v>
      </c>
      <c r="Q40" s="29">
        <f>AVERAGEIFS(Rdw_Stock!U$2:U$29,Rdw_Stock!$D$2:$D$29,VDA_table!$F40,Rdw_Stock!$G$2:$G$29,VDA_table!$G40)</f>
        <v>1247.02971181476</v>
      </c>
      <c r="R40" s="29">
        <f>AVERAGEIFS(Rdw_Stock!V$2:V$29,Rdw_Stock!$D$2:$D$29,VDA_table!$F40,Rdw_Stock!$G$2:$G$29,VDA_table!$G40)</f>
        <v>410.02138328230302</v>
      </c>
      <c r="S40" s="29">
        <f>AVERAGEIFS(Rdw_Stock!W$2:W$29,Rdw_Stock!$D$2:$D$29,VDA_table!$F40,Rdw_Stock!$G$2:$G$29,VDA_table!$G40)</f>
        <v>1751.49295265102</v>
      </c>
      <c r="T40" s="29">
        <f>AVERAGEIFS(Rdw_Stock!X$2:X$29,Rdw_Stock!$D$2:$D$29,VDA_table!$F40,Rdw_Stock!$G$2:$G$29,VDA_table!$G40)</f>
        <v>9405.3351305155393</v>
      </c>
      <c r="U40" s="29">
        <f>AVERAGEIFS(Rdw_Stock!Y$2:Y$29,Rdw_Stock!$D$2:$D$29,VDA_table!$F40,Rdw_Stock!$G$2:$G$29,VDA_table!$G40)</f>
        <v>1243.27710085749</v>
      </c>
      <c r="V40" s="29">
        <f>AVERAGEIFS(Rdw_Stock!Z$2:Z$29,Rdw_Stock!$D$2:$D$29,VDA_table!$F40,Rdw_Stock!$G$2:$G$29,VDA_table!$G40)</f>
        <v>10926.6783234369</v>
      </c>
      <c r="W40" s="29">
        <f>AVERAGEIFS(Rdw_Stock!AA$2:AA$29,Rdw_Stock!$D$2:$D$29,VDA_table!$F40,Rdw_Stock!$G$2:$G$29,VDA_table!$G40)</f>
        <v>585.209313207994</v>
      </c>
      <c r="X40" s="29">
        <f>AVERAGEIFS(Rdw_Stock!AB$2:AB$29,Rdw_Stock!$D$2:$D$29,VDA_table!$F40,Rdw_Stock!$G$2:$G$29,VDA_table!$G40)</f>
        <v>1192.00799566468</v>
      </c>
      <c r="Y40" s="29">
        <f>AVERAGEIFS(Rdw_Stock!AC$2:AC$29,Rdw_Stock!$D$2:$D$29,VDA_table!$F40,Rdw_Stock!$G$2:$G$29,VDA_table!$G40)</f>
        <v>194.51586367719199</v>
      </c>
      <c r="Z40" s="29">
        <f>AVERAGEIFS(Rdw_Stock!AD$2:AD$29,Rdw_Stock!$D$2:$D$29,VDA_table!$F40,Rdw_Stock!$G$2:$G$29,VDA_table!$G40)</f>
        <v>86.628122498979195</v>
      </c>
      <c r="AA40" s="29">
        <f>AVERAGEIFS(Rdw_Stock!AE$2:AE$29,Rdw_Stock!$D$2:$D$29,VDA_table!$F40,Rdw_Stock!$G$2:$G$29,VDA_table!$G40)</f>
        <v>18505.0277567919</v>
      </c>
      <c r="AB40" s="29">
        <f>AVERAGEIFS(Rdw_Stock!AF$2:AF$29,Rdw_Stock!$D$2:$D$29,VDA_table!$F40,Rdw_Stock!$G$2:$G$29,VDA_table!$G40)</f>
        <v>342.42976242738501</v>
      </c>
      <c r="AC40" s="29">
        <f>AVERAGEIFS(Rdw_Stock!AG$2:AG$29,Rdw_Stock!$D$2:$D$29,VDA_table!$F40,Rdw_Stock!$G$2:$G$29,VDA_table!$G40)</f>
        <v>432.69102066230698</v>
      </c>
      <c r="AD40" s="29">
        <f>AVERAGEIFS(Rdw_Stock!AH$2:AH$29,Rdw_Stock!$D$2:$D$29,VDA_table!$F40,Rdw_Stock!$G$2:$G$29,VDA_table!$G40)</f>
        <v>164.42580851063801</v>
      </c>
      <c r="AE40" s="29">
        <f>AVERAGEIFS(Rdw_Stock!AI$2:AI$29,Rdw_Stock!$D$2:$D$29,VDA_table!$F40,Rdw_Stock!$G$2:$G$29,VDA_table!$G40)</f>
        <v>388.64785022710402</v>
      </c>
      <c r="AF40" s="29">
        <f>AVERAGEIFS(Rdw_Stock!AJ$2:AJ$29,Rdw_Stock!$D$2:$D$29,VDA_table!$F40,Rdw_Stock!$G$2:$G$29,VDA_table!$G40)</f>
        <v>120.086299956801</v>
      </c>
      <c r="AG40" s="29">
        <f>AVERAGEIFS(Rdw_Stock!AK$2:AK$29,Rdw_Stock!$D$2:$D$29,VDA_table!$F40,Rdw_Stock!$G$2:$G$29,VDA_table!$G40)</f>
        <v>301.26036751984299</v>
      </c>
      <c r="AH40" s="29">
        <f>AVERAGEIFS(Rdw_Stock!AL$2:AL$29,Rdw_Stock!$D$2:$D$29,VDA_table!$F40,Rdw_Stock!$G$2:$G$29,VDA_table!$G40)</f>
        <v>33.804364966159</v>
      </c>
      <c r="AI40" s="29">
        <f>AVERAGEIFS(Rdw_Stock!AM$2:AM$29,Rdw_Stock!$D$2:$D$29,VDA_table!$F40,Rdw_Stock!$G$2:$G$29,VDA_table!$G40)</f>
        <v>2147.81464239968</v>
      </c>
      <c r="AJ40" s="29">
        <f>AVERAGEIFS(Rdw_Stock!AN$2:AN$29,Rdw_Stock!$D$2:$D$29,VDA_table!$F40,Rdw_Stock!$G$2:$G$29,VDA_table!$G40)</f>
        <v>1562.0320805865999</v>
      </c>
      <c r="AK40" s="29">
        <f>AVERAGEIFS(Rdw_Stock!AO$2:AO$29,Rdw_Stock!$D$2:$D$29,VDA_table!$F40,Rdw_Stock!$G$2:$G$29,VDA_table!$G40)</f>
        <v>7676.4269807335004</v>
      </c>
      <c r="AL40" s="29">
        <f>AVERAGEIFS(Rdw_Stock!AP$2:AP$29,Rdw_Stock!$D$2:$D$29,VDA_table!$F40,Rdw_Stock!$G$2:$G$29,VDA_table!$G40)</f>
        <v>1141.83975008075</v>
      </c>
      <c r="AM40" s="29">
        <f>AVERAGEIFS(Rdw_Stock!AQ$2:AQ$29,Rdw_Stock!$D$2:$D$29,VDA_table!$F40,Rdw_Stock!$G$2:$G$29,VDA_table!$G40)</f>
        <v>2464.3513275</v>
      </c>
      <c r="AN40" s="29">
        <f>AVERAGEIFS(Rdw_Stock!AR$2:AR$29,Rdw_Stock!$D$2:$D$29,VDA_table!$F40,Rdw_Stock!$G$2:$G$29,VDA_table!$G40)</f>
        <v>1133.1086572721499</v>
      </c>
      <c r="AO40" s="29">
        <f>AVERAGEIFS(Rdw_Stock!AS$2:AS$29,Rdw_Stock!$D$2:$D$29,VDA_table!$F40,Rdw_Stock!$G$2:$G$29,VDA_table!$G40)</f>
        <v>3425.3517494702101</v>
      </c>
      <c r="AP40" s="29">
        <f>AVERAGEIFS(Rdw_Stock!AT$2:AT$29,Rdw_Stock!$D$2:$D$29,VDA_table!$F40,Rdw_Stock!$G$2:$G$29,VDA_table!$G40)</f>
        <v>547.313698979376</v>
      </c>
      <c r="AQ40" s="29">
        <f>AVERAGEIFS(Rdw_Stock!AU$2:AU$29,Rdw_Stock!$D$2:$D$29,VDA_table!$F40,Rdw_Stock!$G$2:$G$29,VDA_table!$G40)</f>
        <v>748.76980913823002</v>
      </c>
      <c r="AR40" s="29">
        <f>AVERAGEIFS(Rdw_Stock!AV$2:AV$29,Rdw_Stock!$D$2:$D$29,VDA_table!$F40,Rdw_Stock!$G$2:$G$29,VDA_table!$G40)</f>
        <v>5444.8133686860201</v>
      </c>
    </row>
    <row r="41" spans="6:44" ht="14.4">
      <c r="F41" s="24" t="str">
        <f>Rdw_Stock!D8</f>
        <v>R_SDetH</v>
      </c>
      <c r="G41" s="41" t="str">
        <f>Rdw_Stock!G8</f>
        <v>2010</v>
      </c>
      <c r="H41" s="25">
        <f>AVERAGEIFS(Rdw_Stock!L$2:L$29,Rdw_Stock!$D$2:$D$29,VDA_table!$F41,Rdw_Stock!$G$2:$G$29,VDA_table!$G41)</f>
        <v>48.267498585209196</v>
      </c>
      <c r="I41" s="25">
        <f>AVERAGEIFS(Rdw_Stock!M$2:M$29,Rdw_Stock!$D$2:$D$29,VDA_table!$F41,Rdw_Stock!$G$2:$G$29,VDA_table!$G41)</f>
        <v>470.44080729921598</v>
      </c>
      <c r="J41" s="25">
        <f>AVERAGEIFS(Rdw_Stock!N$2:N$29,Rdw_Stock!$D$2:$D$29,VDA_table!$F41,Rdw_Stock!$G$2:$G$29,VDA_table!$G41)</f>
        <v>79.842639754449607</v>
      </c>
      <c r="K41" s="25">
        <f>AVERAGEIFS(Rdw_Stock!O$2:O$29,Rdw_Stock!$D$2:$D$29,VDA_table!$F41,Rdw_Stock!$G$2:$G$29,VDA_table!$G41)</f>
        <v>1585.6864897222899</v>
      </c>
      <c r="L41" s="25">
        <f>AVERAGEIFS(Rdw_Stock!P$2:P$29,Rdw_Stock!$D$2:$D$29,VDA_table!$F41,Rdw_Stock!$G$2:$G$29,VDA_table!$G41)</f>
        <v>335.33279917511499</v>
      </c>
      <c r="M41" s="25">
        <f>AVERAGEIFS(Rdw_Stock!Q$2:Q$29,Rdw_Stock!$D$2:$D$29,VDA_table!$F41,Rdw_Stock!$G$2:$G$29,VDA_table!$G41)</f>
        <v>944.09207412879698</v>
      </c>
      <c r="N41" s="25">
        <f>AVERAGEIFS(Rdw_Stock!R$2:R$29,Rdw_Stock!$D$2:$D$29,VDA_table!$F41,Rdw_Stock!$G$2:$G$29,VDA_table!$G41)</f>
        <v>108.10427898787999</v>
      </c>
      <c r="O41" s="25">
        <f>AVERAGEIFS(Rdw_Stock!S$2:S$29,Rdw_Stock!$D$2:$D$29,VDA_table!$F41,Rdw_Stock!$G$2:$G$29,VDA_table!$G41)</f>
        <v>608.78058155096699</v>
      </c>
      <c r="P41" s="25">
        <f>AVERAGEIFS(Rdw_Stock!T$2:T$29,Rdw_Stock!$D$2:$D$29,VDA_table!$F41,Rdw_Stock!$G$2:$G$29,VDA_table!$G41)</f>
        <v>8085.1738767626803</v>
      </c>
      <c r="Q41" s="25">
        <f>AVERAGEIFS(Rdw_Stock!U$2:U$29,Rdw_Stock!$D$2:$D$29,VDA_table!$F41,Rdw_Stock!$G$2:$G$29,VDA_table!$G41)</f>
        <v>531.00509997212998</v>
      </c>
      <c r="R41" s="25">
        <f>AVERAGEIFS(Rdw_Stock!V$2:V$29,Rdw_Stock!$D$2:$D$29,VDA_table!$F41,Rdw_Stock!$G$2:$G$29,VDA_table!$G41)</f>
        <v>51.8056805448864</v>
      </c>
      <c r="S41" s="25">
        <f>AVERAGEIFS(Rdw_Stock!W$2:W$29,Rdw_Stock!$D$2:$D$29,VDA_table!$F41,Rdw_Stock!$G$2:$G$29,VDA_table!$G41)</f>
        <v>412.08562022410098</v>
      </c>
      <c r="T41" s="25">
        <f>AVERAGEIFS(Rdw_Stock!X$2:X$29,Rdw_Stock!$D$2:$D$29,VDA_table!$F41,Rdw_Stock!$G$2:$G$29,VDA_table!$G41)</f>
        <v>2157.0210401387399</v>
      </c>
      <c r="U41" s="25">
        <f>AVERAGEIFS(Rdw_Stock!Y$2:Y$29,Rdw_Stock!$D$2:$D$29,VDA_table!$F41,Rdw_Stock!$G$2:$G$29,VDA_table!$G41)</f>
        <v>598.70621603794302</v>
      </c>
      <c r="V41" s="25">
        <f>AVERAGEIFS(Rdw_Stock!Z$2:Z$29,Rdw_Stock!$D$2:$D$29,VDA_table!$F41,Rdw_Stock!$G$2:$G$29,VDA_table!$G41)</f>
        <v>5600.5710921203899</v>
      </c>
      <c r="W41" s="25">
        <f>AVERAGEIFS(Rdw_Stock!AA$2:AA$29,Rdw_Stock!$D$2:$D$29,VDA_table!$F41,Rdw_Stock!$G$2:$G$29,VDA_table!$G41)</f>
        <v>227.63959739245499</v>
      </c>
      <c r="X41" s="25">
        <f>AVERAGEIFS(Rdw_Stock!AB$2:AB$29,Rdw_Stock!$D$2:$D$29,VDA_table!$F41,Rdw_Stock!$G$2:$G$29,VDA_table!$G41)</f>
        <v>567.53090466114202</v>
      </c>
      <c r="Y41" s="25">
        <f>AVERAGEIFS(Rdw_Stock!AC$2:AC$29,Rdw_Stock!$D$2:$D$29,VDA_table!$F41,Rdw_Stock!$G$2:$G$29,VDA_table!$G41)</f>
        <v>700.17966555581404</v>
      </c>
      <c r="Z41" s="25">
        <f>AVERAGEIFS(Rdw_Stock!AD$2:AD$29,Rdw_Stock!$D$2:$D$29,VDA_table!$F41,Rdw_Stock!$G$2:$G$29,VDA_table!$G41)</f>
        <v>40.710304317715</v>
      </c>
      <c r="AA41" s="25">
        <f>AVERAGEIFS(Rdw_Stock!AE$2:AE$29,Rdw_Stock!$D$2:$D$29,VDA_table!$F41,Rdw_Stock!$G$2:$G$29,VDA_table!$G41)</f>
        <v>3755.6580946086501</v>
      </c>
      <c r="AB41" s="25">
        <f>AVERAGEIFS(Rdw_Stock!AF$2:AF$29,Rdw_Stock!$D$2:$D$29,VDA_table!$F41,Rdw_Stock!$G$2:$G$29,VDA_table!$G41)</f>
        <v>46.999316481953798</v>
      </c>
      <c r="AC41" s="25">
        <f>AVERAGEIFS(Rdw_Stock!AG$2:AG$29,Rdw_Stock!$D$2:$D$29,VDA_table!$F41,Rdw_Stock!$G$2:$G$29,VDA_table!$G41)</f>
        <v>131.79385110597499</v>
      </c>
      <c r="AD41" s="25">
        <f>AVERAGEIFS(Rdw_Stock!AH$2:AH$29,Rdw_Stock!$D$2:$D$29,VDA_table!$F41,Rdw_Stock!$G$2:$G$29,VDA_table!$G41)</f>
        <v>67.688622394445105</v>
      </c>
      <c r="AE41" s="25">
        <f>AVERAGEIFS(Rdw_Stock!AI$2:AI$29,Rdw_Stock!$D$2:$D$29,VDA_table!$F41,Rdw_Stock!$G$2:$G$29,VDA_table!$G41)</f>
        <v>73.615615852930205</v>
      </c>
      <c r="AF41" s="25">
        <f>AVERAGEIFS(Rdw_Stock!AJ$2:AJ$29,Rdw_Stock!$D$2:$D$29,VDA_table!$F41,Rdw_Stock!$G$2:$G$29,VDA_table!$G41)</f>
        <v>24.187105315257199</v>
      </c>
      <c r="AG41" s="25">
        <f>AVERAGEIFS(Rdw_Stock!AK$2:AK$29,Rdw_Stock!$D$2:$D$29,VDA_table!$F41,Rdw_Stock!$G$2:$G$29,VDA_table!$G41)</f>
        <v>63.288108733270299</v>
      </c>
      <c r="AH41" s="25">
        <f>AVERAGEIFS(Rdw_Stock!AL$2:AL$29,Rdw_Stock!$D$2:$D$29,VDA_table!$F41,Rdw_Stock!$G$2:$G$29,VDA_table!$G41)</f>
        <v>45.592677880469303</v>
      </c>
      <c r="AI41" s="25">
        <f>AVERAGEIFS(Rdw_Stock!AM$2:AM$29,Rdw_Stock!$D$2:$D$29,VDA_table!$F41,Rdw_Stock!$G$2:$G$29,VDA_table!$G41)</f>
        <v>3357.5157752383102</v>
      </c>
      <c r="AJ41" s="25">
        <f>AVERAGEIFS(Rdw_Stock!AN$2:AN$29,Rdw_Stock!$D$2:$D$29,VDA_table!$F41,Rdw_Stock!$G$2:$G$29,VDA_table!$G41)</f>
        <v>364.130577894233</v>
      </c>
      <c r="AK41" s="25">
        <f>AVERAGEIFS(Rdw_Stock!AO$2:AO$29,Rdw_Stock!$D$2:$D$29,VDA_table!$F41,Rdw_Stock!$G$2:$G$29,VDA_table!$G41)</f>
        <v>1247.67525922551</v>
      </c>
      <c r="AL41" s="25">
        <f>AVERAGEIFS(Rdw_Stock!AP$2:AP$29,Rdw_Stock!$D$2:$D$29,VDA_table!$F41,Rdw_Stock!$G$2:$G$29,VDA_table!$G41)</f>
        <v>330.83001010664299</v>
      </c>
      <c r="AM41" s="25">
        <f>AVERAGEIFS(Rdw_Stock!AQ$2:AQ$29,Rdw_Stock!$D$2:$D$29,VDA_table!$F41,Rdw_Stock!$G$2:$G$29,VDA_table!$G41)</f>
        <v>604.098545274309</v>
      </c>
      <c r="AN41" s="25">
        <f>AVERAGEIFS(Rdw_Stock!AR$2:AR$29,Rdw_Stock!$D$2:$D$29,VDA_table!$F41,Rdw_Stock!$G$2:$G$29,VDA_table!$G41)</f>
        <v>235.91107984126899</v>
      </c>
      <c r="AO41" s="25">
        <f>AVERAGEIFS(Rdw_Stock!AS$2:AS$29,Rdw_Stock!$D$2:$D$29,VDA_table!$F41,Rdw_Stock!$G$2:$G$29,VDA_table!$G41)</f>
        <v>565.48786980541695</v>
      </c>
      <c r="AP41" s="25">
        <f>AVERAGEIFS(Rdw_Stock!AT$2:AT$29,Rdw_Stock!$D$2:$D$29,VDA_table!$F41,Rdw_Stock!$G$2:$G$29,VDA_table!$G41)</f>
        <v>64.875141320435105</v>
      </c>
      <c r="AQ41" s="25">
        <f>AVERAGEIFS(Rdw_Stock!AU$2:AU$29,Rdw_Stock!$D$2:$D$29,VDA_table!$F41,Rdw_Stock!$G$2:$G$29,VDA_table!$G41)</f>
        <v>128.41321929206799</v>
      </c>
      <c r="AR41" s="25">
        <f>AVERAGEIFS(Rdw_Stock!AV$2:AV$29,Rdw_Stock!$D$2:$D$29,VDA_table!$F41,Rdw_Stock!$G$2:$G$29,VDA_table!$G41)</f>
        <v>13230.7891913522</v>
      </c>
    </row>
    <row r="42" spans="6:44" ht="14.4">
      <c r="F42" s="26" t="str">
        <f>Rdw_Stock!D9</f>
        <v>R_SDetH</v>
      </c>
      <c r="G42" s="30" t="str">
        <f>Rdw_Stock!G9</f>
        <v>2050</v>
      </c>
      <c r="H42" s="27">
        <f>AVERAGEIFS(Rdw_Stock!L$2:L$29,Rdw_Stock!$D$2:$D$29,VDA_table!$F42,Rdw_Stock!$G$2:$G$29,VDA_table!$G42)</f>
        <v>146.01119741963601</v>
      </c>
      <c r="I42" s="27">
        <f>AVERAGEIFS(Rdw_Stock!M$2:M$29,Rdw_Stock!$D$2:$D$29,VDA_table!$F42,Rdw_Stock!$G$2:$G$29,VDA_table!$G42)</f>
        <v>592.56971136958896</v>
      </c>
      <c r="J42" s="27">
        <f>AVERAGEIFS(Rdw_Stock!N$2:N$29,Rdw_Stock!$D$2:$D$29,VDA_table!$F42,Rdw_Stock!$G$2:$G$29,VDA_table!$G42)</f>
        <v>157.125125142298</v>
      </c>
      <c r="K42" s="27">
        <f>AVERAGEIFS(Rdw_Stock!O$2:O$29,Rdw_Stock!$D$2:$D$29,VDA_table!$F42,Rdw_Stock!$G$2:$G$29,VDA_table!$G42)</f>
        <v>2367.6721819443301</v>
      </c>
      <c r="L42" s="27">
        <f>AVERAGEIFS(Rdw_Stock!P$2:P$29,Rdw_Stock!$D$2:$D$29,VDA_table!$F42,Rdw_Stock!$G$2:$G$29,VDA_table!$G42)</f>
        <v>379.15513059072703</v>
      </c>
      <c r="M42" s="27">
        <f>AVERAGEIFS(Rdw_Stock!Q$2:Q$29,Rdw_Stock!$D$2:$D$29,VDA_table!$F42,Rdw_Stock!$G$2:$G$29,VDA_table!$G42)</f>
        <v>1271.0676868005601</v>
      </c>
      <c r="N42" s="27">
        <f>AVERAGEIFS(Rdw_Stock!R$2:R$29,Rdw_Stock!$D$2:$D$29,VDA_table!$F42,Rdw_Stock!$G$2:$G$29,VDA_table!$G42)</f>
        <v>144.68722684570801</v>
      </c>
      <c r="O42" s="27">
        <f>AVERAGEIFS(Rdw_Stock!S$2:S$29,Rdw_Stock!$D$2:$D$29,VDA_table!$F42,Rdw_Stock!$G$2:$G$29,VDA_table!$G42)</f>
        <v>794.59511237266895</v>
      </c>
      <c r="P42" s="27">
        <f>AVERAGEIFS(Rdw_Stock!T$2:T$29,Rdw_Stock!$D$2:$D$29,VDA_table!$F42,Rdw_Stock!$G$2:$G$29,VDA_table!$G42)</f>
        <v>7632.4850356294401</v>
      </c>
      <c r="Q42" s="27">
        <f>AVERAGEIFS(Rdw_Stock!U$2:U$29,Rdw_Stock!$D$2:$D$29,VDA_table!$F42,Rdw_Stock!$G$2:$G$29,VDA_table!$G42)</f>
        <v>620.78736235050201</v>
      </c>
      <c r="R42" s="27">
        <f>AVERAGEIFS(Rdw_Stock!V$2:V$29,Rdw_Stock!$D$2:$D$29,VDA_table!$F42,Rdw_Stock!$G$2:$G$29,VDA_table!$G42)</f>
        <v>43.514481974147202</v>
      </c>
      <c r="S42" s="27">
        <f>AVERAGEIFS(Rdw_Stock!W$2:W$29,Rdw_Stock!$D$2:$D$29,VDA_table!$F42,Rdw_Stock!$G$2:$G$29,VDA_table!$G42)</f>
        <v>429.85865740067601</v>
      </c>
      <c r="T42" s="27">
        <f>AVERAGEIFS(Rdw_Stock!X$2:X$29,Rdw_Stock!$D$2:$D$29,VDA_table!$F42,Rdw_Stock!$G$2:$G$29,VDA_table!$G42)</f>
        <v>2729.34330434187</v>
      </c>
      <c r="U42" s="27">
        <f>AVERAGEIFS(Rdw_Stock!Y$2:Y$29,Rdw_Stock!$D$2:$D$29,VDA_table!$F42,Rdw_Stock!$G$2:$G$29,VDA_table!$G42)</f>
        <v>671.69854210448204</v>
      </c>
      <c r="V42" s="27">
        <f>AVERAGEIFS(Rdw_Stock!Z$2:Z$29,Rdw_Stock!$D$2:$D$29,VDA_table!$F42,Rdw_Stock!$G$2:$G$29,VDA_table!$G42)</f>
        <v>6655.0616120761497</v>
      </c>
      <c r="W42" s="27">
        <f>AVERAGEIFS(Rdw_Stock!AA$2:AA$29,Rdw_Stock!$D$2:$D$29,VDA_table!$F42,Rdw_Stock!$G$2:$G$29,VDA_table!$G42)</f>
        <v>263.78275233693603</v>
      </c>
      <c r="X42" s="27">
        <f>AVERAGEIFS(Rdw_Stock!AB$2:AB$29,Rdw_Stock!$D$2:$D$29,VDA_table!$F42,Rdw_Stock!$G$2:$G$29,VDA_table!$G42)</f>
        <v>514.52706875635602</v>
      </c>
      <c r="Y42" s="27">
        <f>AVERAGEIFS(Rdw_Stock!AC$2:AC$29,Rdw_Stock!$D$2:$D$29,VDA_table!$F42,Rdw_Stock!$G$2:$G$29,VDA_table!$G42)</f>
        <v>919.50879894339596</v>
      </c>
      <c r="Z42" s="27">
        <f>AVERAGEIFS(Rdw_Stock!AD$2:AD$29,Rdw_Stock!$D$2:$D$29,VDA_table!$F42,Rdw_Stock!$G$2:$G$29,VDA_table!$G42)</f>
        <v>52.509606022715197</v>
      </c>
      <c r="AA42" s="27">
        <f>AVERAGEIFS(Rdw_Stock!AE$2:AE$29,Rdw_Stock!$D$2:$D$29,VDA_table!$F42,Rdw_Stock!$G$2:$G$29,VDA_table!$G42)</f>
        <v>4076.6676177634799</v>
      </c>
      <c r="AB42" s="27">
        <f>AVERAGEIFS(Rdw_Stock!AF$2:AF$29,Rdw_Stock!$D$2:$D$29,VDA_table!$F42,Rdw_Stock!$G$2:$G$29,VDA_table!$G42)</f>
        <v>100.817722449781</v>
      </c>
      <c r="AC42" s="27">
        <f>AVERAGEIFS(Rdw_Stock!AG$2:AG$29,Rdw_Stock!$D$2:$D$29,VDA_table!$F42,Rdw_Stock!$G$2:$G$29,VDA_table!$G42)</f>
        <v>78.597656268131004</v>
      </c>
      <c r="AD42" s="27">
        <f>AVERAGEIFS(Rdw_Stock!AH$2:AH$29,Rdw_Stock!$D$2:$D$29,VDA_table!$F42,Rdw_Stock!$G$2:$G$29,VDA_table!$G42)</f>
        <v>163.67289004968799</v>
      </c>
      <c r="AE42" s="27">
        <f>AVERAGEIFS(Rdw_Stock!AI$2:AI$29,Rdw_Stock!$D$2:$D$29,VDA_table!$F42,Rdw_Stock!$G$2:$G$29,VDA_table!$G42)</f>
        <v>49.657286556947703</v>
      </c>
      <c r="AF42" s="27">
        <f>AVERAGEIFS(Rdw_Stock!AJ$2:AJ$29,Rdw_Stock!$D$2:$D$29,VDA_table!$F42,Rdw_Stock!$G$2:$G$29,VDA_table!$G42)</f>
        <v>29.4720772889861</v>
      </c>
      <c r="AG42" s="27">
        <f>AVERAGEIFS(Rdw_Stock!AK$2:AK$29,Rdw_Stock!$D$2:$D$29,VDA_table!$F42,Rdw_Stock!$G$2:$G$29,VDA_table!$G42)</f>
        <v>118.49934242259</v>
      </c>
      <c r="AH42" s="27">
        <f>AVERAGEIFS(Rdw_Stock!AL$2:AL$29,Rdw_Stock!$D$2:$D$29,VDA_table!$F42,Rdw_Stock!$G$2:$G$29,VDA_table!$G42)</f>
        <v>94.348814749126703</v>
      </c>
      <c r="AI42" s="27">
        <f>AVERAGEIFS(Rdw_Stock!AM$2:AM$29,Rdw_Stock!$D$2:$D$29,VDA_table!$F42,Rdw_Stock!$G$2:$G$29,VDA_table!$G42)</f>
        <v>4171.5272610860502</v>
      </c>
      <c r="AJ42" s="27">
        <f>AVERAGEIFS(Rdw_Stock!AN$2:AN$29,Rdw_Stock!$D$2:$D$29,VDA_table!$F42,Rdw_Stock!$G$2:$G$29,VDA_table!$G42)</f>
        <v>493.88036032811499</v>
      </c>
      <c r="AK42" s="27">
        <f>AVERAGEIFS(Rdw_Stock!AO$2:AO$29,Rdw_Stock!$D$2:$D$29,VDA_table!$F42,Rdw_Stock!$G$2:$G$29,VDA_table!$G42)</f>
        <v>1422.25869718941</v>
      </c>
      <c r="AL42" s="27">
        <f>AVERAGEIFS(Rdw_Stock!AP$2:AP$29,Rdw_Stock!$D$2:$D$29,VDA_table!$F42,Rdw_Stock!$G$2:$G$29,VDA_table!$G42)</f>
        <v>733.95240635234597</v>
      </c>
      <c r="AM42" s="27">
        <f>AVERAGEIFS(Rdw_Stock!AQ$2:AQ$29,Rdw_Stock!$D$2:$D$29,VDA_table!$F42,Rdw_Stock!$G$2:$G$29,VDA_table!$G42)</f>
        <v>725.87923431380398</v>
      </c>
      <c r="AN42" s="27">
        <f>AVERAGEIFS(Rdw_Stock!AR$2:AR$29,Rdw_Stock!$D$2:$D$29,VDA_table!$F42,Rdw_Stock!$G$2:$G$29,VDA_table!$G42)</f>
        <v>333.60836775551201</v>
      </c>
      <c r="AO42" s="27">
        <f>AVERAGEIFS(Rdw_Stock!AS$2:AS$29,Rdw_Stock!$D$2:$D$29,VDA_table!$F42,Rdw_Stock!$G$2:$G$29,VDA_table!$G42)</f>
        <v>798.17440108995697</v>
      </c>
      <c r="AP42" s="27">
        <f>AVERAGEIFS(Rdw_Stock!AT$2:AT$29,Rdw_Stock!$D$2:$D$29,VDA_table!$F42,Rdw_Stock!$G$2:$G$29,VDA_table!$G42)</f>
        <v>76.951881883299095</v>
      </c>
      <c r="AQ42" s="27">
        <f>AVERAGEIFS(Rdw_Stock!AU$2:AU$29,Rdw_Stock!$D$2:$D$29,VDA_table!$F42,Rdw_Stock!$G$2:$G$29,VDA_table!$G42)</f>
        <v>165.67616153354899</v>
      </c>
      <c r="AR42" s="27">
        <f>AVERAGEIFS(Rdw_Stock!AV$2:AV$29,Rdw_Stock!$D$2:$D$29,VDA_table!$F42,Rdw_Stock!$G$2:$G$29,VDA_table!$G42)</f>
        <v>18338.8527112952</v>
      </c>
    </row>
    <row r="43" spans="6:44" ht="14.4">
      <c r="F43" s="28" t="str">
        <f>Rdw_Stock!D10</f>
        <v>R_SDetH</v>
      </c>
      <c r="G43" s="42" t="str">
        <f>Rdw_Stock!G10</f>
        <v>2060</v>
      </c>
      <c r="H43" s="29">
        <f>AVERAGEIFS(Rdw_Stock!L$2:L$29,Rdw_Stock!$D$2:$D$29,VDA_table!$F43,Rdw_Stock!$G$2:$G$29,VDA_table!$G43)</f>
        <v>146.01119741963601</v>
      </c>
      <c r="I43" s="29">
        <f>AVERAGEIFS(Rdw_Stock!M$2:M$29,Rdw_Stock!$D$2:$D$29,VDA_table!$F43,Rdw_Stock!$G$2:$G$29,VDA_table!$G43)</f>
        <v>592.56971136958896</v>
      </c>
      <c r="J43" s="29">
        <f>AVERAGEIFS(Rdw_Stock!N$2:N$29,Rdw_Stock!$D$2:$D$29,VDA_table!$F43,Rdw_Stock!$G$2:$G$29,VDA_table!$G43)</f>
        <v>157.125125142298</v>
      </c>
      <c r="K43" s="29">
        <f>AVERAGEIFS(Rdw_Stock!O$2:O$29,Rdw_Stock!$D$2:$D$29,VDA_table!$F43,Rdw_Stock!$G$2:$G$29,VDA_table!$G43)</f>
        <v>2367.6721819443301</v>
      </c>
      <c r="L43" s="29">
        <f>AVERAGEIFS(Rdw_Stock!P$2:P$29,Rdw_Stock!$D$2:$D$29,VDA_table!$F43,Rdw_Stock!$G$2:$G$29,VDA_table!$G43)</f>
        <v>379.15513059072703</v>
      </c>
      <c r="M43" s="29">
        <f>AVERAGEIFS(Rdw_Stock!Q$2:Q$29,Rdw_Stock!$D$2:$D$29,VDA_table!$F43,Rdw_Stock!$G$2:$G$29,VDA_table!$G43)</f>
        <v>1271.0676868005601</v>
      </c>
      <c r="N43" s="29">
        <f>AVERAGEIFS(Rdw_Stock!R$2:R$29,Rdw_Stock!$D$2:$D$29,VDA_table!$F43,Rdw_Stock!$G$2:$G$29,VDA_table!$G43)</f>
        <v>144.68722684570801</v>
      </c>
      <c r="O43" s="29">
        <f>AVERAGEIFS(Rdw_Stock!S$2:S$29,Rdw_Stock!$D$2:$D$29,VDA_table!$F43,Rdw_Stock!$G$2:$G$29,VDA_table!$G43)</f>
        <v>794.59511237266895</v>
      </c>
      <c r="P43" s="29">
        <f>AVERAGEIFS(Rdw_Stock!T$2:T$29,Rdw_Stock!$D$2:$D$29,VDA_table!$F43,Rdw_Stock!$G$2:$G$29,VDA_table!$G43)</f>
        <v>7632.4850356294401</v>
      </c>
      <c r="Q43" s="29">
        <f>AVERAGEIFS(Rdw_Stock!U$2:U$29,Rdw_Stock!$D$2:$D$29,VDA_table!$F43,Rdw_Stock!$G$2:$G$29,VDA_table!$G43)</f>
        <v>620.78736235050201</v>
      </c>
      <c r="R43" s="29">
        <f>AVERAGEIFS(Rdw_Stock!V$2:V$29,Rdw_Stock!$D$2:$D$29,VDA_table!$F43,Rdw_Stock!$G$2:$G$29,VDA_table!$G43)</f>
        <v>43.514481974147202</v>
      </c>
      <c r="S43" s="29">
        <f>AVERAGEIFS(Rdw_Stock!W$2:W$29,Rdw_Stock!$D$2:$D$29,VDA_table!$F43,Rdw_Stock!$G$2:$G$29,VDA_table!$G43)</f>
        <v>429.85865740067601</v>
      </c>
      <c r="T43" s="29">
        <f>AVERAGEIFS(Rdw_Stock!X$2:X$29,Rdw_Stock!$D$2:$D$29,VDA_table!$F43,Rdw_Stock!$G$2:$G$29,VDA_table!$G43)</f>
        <v>2729.34330434187</v>
      </c>
      <c r="U43" s="29">
        <f>AVERAGEIFS(Rdw_Stock!Y$2:Y$29,Rdw_Stock!$D$2:$D$29,VDA_table!$F43,Rdw_Stock!$G$2:$G$29,VDA_table!$G43)</f>
        <v>671.69854210448204</v>
      </c>
      <c r="V43" s="29">
        <f>AVERAGEIFS(Rdw_Stock!Z$2:Z$29,Rdw_Stock!$D$2:$D$29,VDA_table!$F43,Rdw_Stock!$G$2:$G$29,VDA_table!$G43)</f>
        <v>6655.0616120761497</v>
      </c>
      <c r="W43" s="29">
        <f>AVERAGEIFS(Rdw_Stock!AA$2:AA$29,Rdw_Stock!$D$2:$D$29,VDA_table!$F43,Rdw_Stock!$G$2:$G$29,VDA_table!$G43)</f>
        <v>263.78275233693603</v>
      </c>
      <c r="X43" s="29">
        <f>AVERAGEIFS(Rdw_Stock!AB$2:AB$29,Rdw_Stock!$D$2:$D$29,VDA_table!$F43,Rdw_Stock!$G$2:$G$29,VDA_table!$G43)</f>
        <v>514.52706875635602</v>
      </c>
      <c r="Y43" s="29">
        <f>AVERAGEIFS(Rdw_Stock!AC$2:AC$29,Rdw_Stock!$D$2:$D$29,VDA_table!$F43,Rdw_Stock!$G$2:$G$29,VDA_table!$G43)</f>
        <v>919.50879894339596</v>
      </c>
      <c r="Z43" s="29">
        <f>AVERAGEIFS(Rdw_Stock!AD$2:AD$29,Rdw_Stock!$D$2:$D$29,VDA_table!$F43,Rdw_Stock!$G$2:$G$29,VDA_table!$G43)</f>
        <v>52.509606022715197</v>
      </c>
      <c r="AA43" s="29">
        <f>AVERAGEIFS(Rdw_Stock!AE$2:AE$29,Rdw_Stock!$D$2:$D$29,VDA_table!$F43,Rdw_Stock!$G$2:$G$29,VDA_table!$G43)</f>
        <v>4076.6676177634799</v>
      </c>
      <c r="AB43" s="29">
        <f>AVERAGEIFS(Rdw_Stock!AF$2:AF$29,Rdw_Stock!$D$2:$D$29,VDA_table!$F43,Rdw_Stock!$G$2:$G$29,VDA_table!$G43)</f>
        <v>100.817722449781</v>
      </c>
      <c r="AC43" s="29">
        <f>AVERAGEIFS(Rdw_Stock!AG$2:AG$29,Rdw_Stock!$D$2:$D$29,VDA_table!$F43,Rdw_Stock!$G$2:$G$29,VDA_table!$G43)</f>
        <v>78.597656268131004</v>
      </c>
      <c r="AD43" s="29">
        <f>AVERAGEIFS(Rdw_Stock!AH$2:AH$29,Rdw_Stock!$D$2:$D$29,VDA_table!$F43,Rdw_Stock!$G$2:$G$29,VDA_table!$G43)</f>
        <v>163.67289004968799</v>
      </c>
      <c r="AE43" s="29">
        <f>AVERAGEIFS(Rdw_Stock!AI$2:AI$29,Rdw_Stock!$D$2:$D$29,VDA_table!$F43,Rdw_Stock!$G$2:$G$29,VDA_table!$G43)</f>
        <v>49.657286556947703</v>
      </c>
      <c r="AF43" s="29">
        <f>AVERAGEIFS(Rdw_Stock!AJ$2:AJ$29,Rdw_Stock!$D$2:$D$29,VDA_table!$F43,Rdw_Stock!$G$2:$G$29,VDA_table!$G43)</f>
        <v>29.4720772889861</v>
      </c>
      <c r="AG43" s="29">
        <f>AVERAGEIFS(Rdw_Stock!AK$2:AK$29,Rdw_Stock!$D$2:$D$29,VDA_table!$F43,Rdw_Stock!$G$2:$G$29,VDA_table!$G43)</f>
        <v>118.49934242259</v>
      </c>
      <c r="AH43" s="29">
        <f>AVERAGEIFS(Rdw_Stock!AL$2:AL$29,Rdw_Stock!$D$2:$D$29,VDA_table!$F43,Rdw_Stock!$G$2:$G$29,VDA_table!$G43)</f>
        <v>94.348814749126703</v>
      </c>
      <c r="AI43" s="29">
        <f>AVERAGEIFS(Rdw_Stock!AM$2:AM$29,Rdw_Stock!$D$2:$D$29,VDA_table!$F43,Rdw_Stock!$G$2:$G$29,VDA_table!$G43)</f>
        <v>4171.5272610860502</v>
      </c>
      <c r="AJ43" s="29">
        <f>AVERAGEIFS(Rdw_Stock!AN$2:AN$29,Rdw_Stock!$D$2:$D$29,VDA_table!$F43,Rdw_Stock!$G$2:$G$29,VDA_table!$G43)</f>
        <v>493.88036032811499</v>
      </c>
      <c r="AK43" s="29">
        <f>AVERAGEIFS(Rdw_Stock!AO$2:AO$29,Rdw_Stock!$D$2:$D$29,VDA_table!$F43,Rdw_Stock!$G$2:$G$29,VDA_table!$G43)</f>
        <v>1422.25869718941</v>
      </c>
      <c r="AL43" s="29">
        <f>AVERAGEIFS(Rdw_Stock!AP$2:AP$29,Rdw_Stock!$D$2:$D$29,VDA_table!$F43,Rdw_Stock!$G$2:$G$29,VDA_table!$G43)</f>
        <v>733.95240635234597</v>
      </c>
      <c r="AM43" s="29">
        <f>AVERAGEIFS(Rdw_Stock!AQ$2:AQ$29,Rdw_Stock!$D$2:$D$29,VDA_table!$F43,Rdw_Stock!$G$2:$G$29,VDA_table!$G43)</f>
        <v>725.87923431380398</v>
      </c>
      <c r="AN43" s="29">
        <f>AVERAGEIFS(Rdw_Stock!AR$2:AR$29,Rdw_Stock!$D$2:$D$29,VDA_table!$F43,Rdw_Stock!$G$2:$G$29,VDA_table!$G43)</f>
        <v>333.60836775551201</v>
      </c>
      <c r="AO43" s="29">
        <f>AVERAGEIFS(Rdw_Stock!AS$2:AS$29,Rdw_Stock!$D$2:$D$29,VDA_table!$F43,Rdw_Stock!$G$2:$G$29,VDA_table!$G43)</f>
        <v>798.17440108995697</v>
      </c>
      <c r="AP43" s="29">
        <f>AVERAGEIFS(Rdw_Stock!AT$2:AT$29,Rdw_Stock!$D$2:$D$29,VDA_table!$F43,Rdw_Stock!$G$2:$G$29,VDA_table!$G43)</f>
        <v>76.951881883299095</v>
      </c>
      <c r="AQ43" s="29">
        <f>AVERAGEIFS(Rdw_Stock!AU$2:AU$29,Rdw_Stock!$D$2:$D$29,VDA_table!$F43,Rdw_Stock!$G$2:$G$29,VDA_table!$G43)</f>
        <v>165.67616153354899</v>
      </c>
      <c r="AR43" s="29">
        <f>AVERAGEIFS(Rdw_Stock!AV$2:AV$29,Rdw_Stock!$D$2:$D$29,VDA_table!$F43,Rdw_Stock!$G$2:$G$29,VDA_table!$G43)</f>
        <v>18338.8527112952</v>
      </c>
    </row>
    <row r="44" spans="6:44" ht="14.4">
      <c r="F44" s="30" t="s">
        <v>113</v>
      </c>
      <c r="G44" s="41" t="str">
        <f>G35</f>
        <v>2010</v>
      </c>
      <c r="H44" s="27">
        <f>SUM(H35,H38,H41)</f>
        <v>330.30288148217988</v>
      </c>
      <c r="I44" s="27">
        <f t="shared" si="21" ref="I44:AR44">SUM(I35,I38,I41)</f>
        <v>2953.7956938565158</v>
      </c>
      <c r="J44" s="27">
        <f t="shared" si="21"/>
        <v>574.13100579214563</v>
      </c>
      <c r="K44" s="27">
        <f t="shared" si="21"/>
        <v>3441.5967217222787</v>
      </c>
      <c r="L44" s="27">
        <f t="shared" si="21"/>
        <v>1729.562855671147</v>
      </c>
      <c r="M44" s="27">
        <f t="shared" si="21"/>
        <v>3433.9275240207658</v>
      </c>
      <c r="N44" s="27">
        <f t="shared" si="21"/>
        <v>297.50125918967507</v>
      </c>
      <c r="O44" s="27">
        <f t="shared" si="21"/>
        <v>3843.870191661787</v>
      </c>
      <c r="P44" s="27">
        <f t="shared" si="21"/>
        <v>34326.29738927797</v>
      </c>
      <c r="Q44" s="27">
        <f t="shared" si="21"/>
        <v>2595.0626414476237</v>
      </c>
      <c r="R44" s="27">
        <f t="shared" si="21"/>
        <v>651.61999999999944</v>
      </c>
      <c r="S44" s="27">
        <f t="shared" si="21"/>
        <v>2819.9735177306661</v>
      </c>
      <c r="T44" s="27">
        <f t="shared" si="21"/>
        <v>10563.114467113293</v>
      </c>
      <c r="U44" s="27">
        <f t="shared" si="21"/>
        <v>2499.0000000000027</v>
      </c>
      <c r="V44" s="27">
        <f t="shared" si="21"/>
        <v>21094.784916804419</v>
      </c>
      <c r="W44" s="27">
        <f t="shared" si="21"/>
        <v>1368.7481753381521</v>
      </c>
      <c r="X44" s="27">
        <f t="shared" si="21"/>
        <v>3418.9952780956619</v>
      </c>
      <c r="Y44" s="27">
        <f t="shared" si="21"/>
        <v>1313.791752732822</v>
      </c>
      <c r="Z44" s="27">
        <f t="shared" si="21"/>
        <v>151.4549426562815</v>
      </c>
      <c r="AA44" s="27">
        <f t="shared" si="21"/>
        <v>22915.349996019759</v>
      </c>
      <c r="AB44" s="27">
        <f t="shared" si="21"/>
        <v>337.96183250346076</v>
      </c>
      <c r="AC44" s="27">
        <f t="shared" si="21"/>
        <v>1117.9633597909049</v>
      </c>
      <c r="AD44" s="27">
        <f t="shared" si="21"/>
        <v>187.999999</v>
      </c>
      <c r="AE44" s="27">
        <f t="shared" si="21"/>
        <v>834.10465436928314</v>
      </c>
      <c r="AF44" s="27">
        <f t="shared" si="21"/>
        <v>165.51656527712709</v>
      </c>
      <c r="AG44" s="27">
        <f t="shared" si="21"/>
        <v>340.63531486923728</v>
      </c>
      <c r="AH44" s="27">
        <f t="shared" si="21"/>
        <v>65.496262971786479</v>
      </c>
      <c r="AI44" s="27">
        <f t="shared" si="21"/>
        <v>5722.0054201248495</v>
      </c>
      <c r="AJ44" s="27">
        <f t="shared" si="21"/>
        <v>1979.405892088344</v>
      </c>
      <c r="AK44" s="27">
        <f t="shared" si="21"/>
        <v>11306.6820281665</v>
      </c>
      <c r="AL44" s="27">
        <f t="shared" si="21"/>
        <v>1255.331135128723</v>
      </c>
      <c r="AM44" s="27">
        <f t="shared" si="21"/>
        <v>4758.4857152633585</v>
      </c>
      <c r="AN44" s="27">
        <f t="shared" si="21"/>
        <v>1696.3851140609449</v>
      </c>
      <c r="AO44" s="27">
        <f t="shared" si="21"/>
        <v>4170.9999989999969</v>
      </c>
      <c r="AP44" s="27">
        <f t="shared" si="21"/>
        <v>721.35881171315611</v>
      </c>
      <c r="AQ44" s="27">
        <f t="shared" si="21"/>
        <v>1140.2769775572792</v>
      </c>
      <c r="AR44" s="27">
        <f t="shared" si="21"/>
        <v>20969.99381654317</v>
      </c>
    </row>
    <row r="45" spans="6:44" ht="14.4">
      <c r="F45" s="30" t="s">
        <v>113</v>
      </c>
      <c r="G45" s="41" t="str">
        <f>G36</f>
        <v>2050</v>
      </c>
      <c r="H45" s="27">
        <f>SUM(H36,H39,H42)</f>
        <v>999.17999999999995</v>
      </c>
      <c r="I45" s="27">
        <f t="shared" si="22" ref="I45:AR45">SUM(I36,I39,I42)</f>
        <v>3720.6165676865185</v>
      </c>
      <c r="J45" s="27">
        <f t="shared" si="22"/>
        <v>1129.8525</v>
      </c>
      <c r="K45" s="27">
        <f t="shared" si="22"/>
        <v>5138.8296944623198</v>
      </c>
      <c r="L45" s="27">
        <f t="shared" si="22"/>
        <v>1955.5875000000001</v>
      </c>
      <c r="M45" s="27">
        <f t="shared" si="22"/>
        <v>4623.2294859859003</v>
      </c>
      <c r="N45" s="27">
        <f t="shared" si="22"/>
        <v>398.17695079476198</v>
      </c>
      <c r="O45" s="27">
        <f t="shared" si="22"/>
        <v>5017.112173828019</v>
      </c>
      <c r="P45" s="27">
        <f t="shared" si="22"/>
        <v>32404.368186220534</v>
      </c>
      <c r="Q45" s="27">
        <f t="shared" si="22"/>
        <v>3033.835442264392</v>
      </c>
      <c r="R45" s="27">
        <f t="shared" si="22"/>
        <v>547.33200000000056</v>
      </c>
      <c r="S45" s="27">
        <f t="shared" si="22"/>
        <v>2941.5974999999989</v>
      </c>
      <c r="T45" s="27">
        <f t="shared" si="22"/>
        <v>13365.82500000001</v>
      </c>
      <c r="U45" s="27">
        <f t="shared" si="22"/>
        <v>2803.669999999996</v>
      </c>
      <c r="V45" s="27">
        <f t="shared" si="22"/>
        <v>25066.567499222096</v>
      </c>
      <c r="W45" s="27">
        <f t="shared" si="22"/>
        <v>1586.0692299696711</v>
      </c>
      <c r="X45" s="27">
        <f t="shared" si="22"/>
        <v>3099.682509062186</v>
      </c>
      <c r="Y45" s="27">
        <f t="shared" si="22"/>
        <v>1725.3329910090029</v>
      </c>
      <c r="Z45" s="27">
        <f t="shared" si="22"/>
        <v>195.35199999999998</v>
      </c>
      <c r="AA45" s="27">
        <f t="shared" si="22"/>
        <v>24874.006878473501</v>
      </c>
      <c r="AB45" s="27">
        <f t="shared" si="22"/>
        <v>724.95825000000013</v>
      </c>
      <c r="AC45" s="27">
        <f t="shared" si="22"/>
        <v>666.71775000000002</v>
      </c>
      <c r="AD45" s="27">
        <f t="shared" si="22"/>
        <v>454.58900000000006</v>
      </c>
      <c r="AE45" s="27">
        <f t="shared" si="22"/>
        <v>562.64385430459777</v>
      </c>
      <c r="AF45" s="27">
        <f t="shared" si="22"/>
        <v>201.68254699655591</v>
      </c>
      <c r="AG45" s="27">
        <f t="shared" si="22"/>
        <v>637.79849999999897</v>
      </c>
      <c r="AH45" s="27">
        <f t="shared" si="22"/>
        <v>135.53699999999998</v>
      </c>
      <c r="AI45" s="27">
        <f t="shared" si="22"/>
        <v>7109.2745934868308</v>
      </c>
      <c r="AJ45" s="27">
        <f t="shared" si="22"/>
        <v>2684.7228839543909</v>
      </c>
      <c r="AK45" s="27">
        <f t="shared" si="22"/>
        <v>12888.791960896311</v>
      </c>
      <c r="AL45" s="27">
        <f t="shared" si="22"/>
        <v>2784.974999999999</v>
      </c>
      <c r="AM45" s="27">
        <f t="shared" si="22"/>
        <v>5717.7525000000032</v>
      </c>
      <c r="AN45" s="27">
        <f t="shared" si="22"/>
        <v>2398.9050000000029</v>
      </c>
      <c r="AO45" s="27">
        <f t="shared" si="22"/>
        <v>5887.279999999997</v>
      </c>
      <c r="AP45" s="27">
        <f t="shared" si="22"/>
        <v>855.64234535151104</v>
      </c>
      <c r="AQ45" s="27">
        <f t="shared" si="22"/>
        <v>1471.1624999999999</v>
      </c>
      <c r="AR45" s="27">
        <f t="shared" si="22"/>
        <v>29065.962913966818</v>
      </c>
    </row>
    <row r="46" spans="6:44" ht="14.4">
      <c r="F46" s="42" t="s">
        <v>113</v>
      </c>
      <c r="G46" s="42" t="str">
        <f>G37</f>
        <v>2060</v>
      </c>
      <c r="H46" s="29">
        <f>SUM(H37,H40,H43)</f>
        <v>999.17999999999995</v>
      </c>
      <c r="I46" s="29">
        <f t="shared" si="23" ref="I46:AR46">SUM(I37,I40,I43)</f>
        <v>3720.6165676865185</v>
      </c>
      <c r="J46" s="29">
        <f t="shared" si="23"/>
        <v>1129.8525</v>
      </c>
      <c r="K46" s="29">
        <f t="shared" si="23"/>
        <v>5138.8296944623198</v>
      </c>
      <c r="L46" s="29">
        <f t="shared" si="23"/>
        <v>1955.5875000000001</v>
      </c>
      <c r="M46" s="29">
        <f t="shared" si="23"/>
        <v>4623.2294859859003</v>
      </c>
      <c r="N46" s="29">
        <f t="shared" si="23"/>
        <v>398.17695079476198</v>
      </c>
      <c r="O46" s="29">
        <f t="shared" si="23"/>
        <v>5017.112173828019</v>
      </c>
      <c r="P46" s="29">
        <f t="shared" si="23"/>
        <v>32404.368186220534</v>
      </c>
      <c r="Q46" s="29">
        <f t="shared" si="23"/>
        <v>3033.835442264392</v>
      </c>
      <c r="R46" s="29">
        <f t="shared" si="23"/>
        <v>547.33200000000056</v>
      </c>
      <c r="S46" s="29">
        <f t="shared" si="23"/>
        <v>2941.5974999999989</v>
      </c>
      <c r="T46" s="29">
        <f t="shared" si="23"/>
        <v>13365.82500000001</v>
      </c>
      <c r="U46" s="29">
        <f t="shared" si="23"/>
        <v>2803.669999999996</v>
      </c>
      <c r="V46" s="29">
        <f t="shared" si="23"/>
        <v>25066.567499222096</v>
      </c>
      <c r="W46" s="29">
        <f t="shared" si="23"/>
        <v>1586.0692299696711</v>
      </c>
      <c r="X46" s="29">
        <f t="shared" si="23"/>
        <v>3099.682509062186</v>
      </c>
      <c r="Y46" s="29">
        <f t="shared" si="23"/>
        <v>1725.3329910090029</v>
      </c>
      <c r="Z46" s="29">
        <f t="shared" si="23"/>
        <v>195.35199999999998</v>
      </c>
      <c r="AA46" s="29">
        <f t="shared" si="23"/>
        <v>24874.006878473501</v>
      </c>
      <c r="AB46" s="29">
        <f t="shared" si="23"/>
        <v>724.95825000000013</v>
      </c>
      <c r="AC46" s="29">
        <f t="shared" si="23"/>
        <v>666.71775000000002</v>
      </c>
      <c r="AD46" s="29">
        <f t="shared" si="23"/>
        <v>454.58900000000006</v>
      </c>
      <c r="AE46" s="29">
        <f t="shared" si="23"/>
        <v>562.64385430459777</v>
      </c>
      <c r="AF46" s="29">
        <f t="shared" si="23"/>
        <v>201.68254699655591</v>
      </c>
      <c r="AG46" s="29">
        <f t="shared" si="23"/>
        <v>637.79849999999897</v>
      </c>
      <c r="AH46" s="29">
        <f t="shared" si="23"/>
        <v>135.53699999999998</v>
      </c>
      <c r="AI46" s="29">
        <f t="shared" si="23"/>
        <v>7109.2745934868308</v>
      </c>
      <c r="AJ46" s="29">
        <f t="shared" si="23"/>
        <v>2684.7228839543909</v>
      </c>
      <c r="AK46" s="29">
        <f t="shared" si="23"/>
        <v>12888.791960896311</v>
      </c>
      <c r="AL46" s="29">
        <f t="shared" si="23"/>
        <v>2784.974999999999</v>
      </c>
      <c r="AM46" s="29">
        <f t="shared" si="23"/>
        <v>5717.7525000000032</v>
      </c>
      <c r="AN46" s="29">
        <f t="shared" si="23"/>
        <v>2398.9050000000029</v>
      </c>
      <c r="AO46" s="29">
        <f t="shared" si="23"/>
        <v>5887.279999999997</v>
      </c>
      <c r="AP46" s="29">
        <f t="shared" si="23"/>
        <v>855.64234535151104</v>
      </c>
      <c r="AQ46" s="29">
        <f t="shared" si="23"/>
        <v>1471.1624999999999</v>
      </c>
      <c r="AR46" s="29">
        <f t="shared" si="23"/>
        <v>29065.962913966818</v>
      </c>
    </row>
    <row r="47" spans="2:2" ht="14.4">
      <c r="B47" s="8"/>
    </row>
    <row r="48" spans="2:45" ht="14.4">
      <c r="B48" s="8"/>
      <c r="F48" s="5" t="s">
        <v>114</v>
      </c>
      <c r="G48" s="31"/>
      <c r="H48" s="31">
        <v>0.50</v>
      </c>
      <c r="I48" s="31">
        <v>0.50</v>
      </c>
      <c r="J48" s="31">
        <v>0.50</v>
      </c>
      <c r="K48" s="31">
        <v>0.50</v>
      </c>
      <c r="L48" s="31">
        <v>0.50</v>
      </c>
      <c r="M48" s="31">
        <v>0.50</v>
      </c>
      <c r="N48" s="31">
        <v>0.50</v>
      </c>
      <c r="O48" s="31">
        <v>0.50</v>
      </c>
      <c r="P48" s="31">
        <v>0.50</v>
      </c>
      <c r="Q48" s="31">
        <v>0.50</v>
      </c>
      <c r="R48" s="31">
        <v>0.50</v>
      </c>
      <c r="S48" s="31">
        <v>0.50</v>
      </c>
      <c r="T48" s="31">
        <v>0.50</v>
      </c>
      <c r="U48" s="31">
        <v>0.50</v>
      </c>
      <c r="V48" s="31">
        <v>0.50</v>
      </c>
      <c r="W48" s="31">
        <v>0.50</v>
      </c>
      <c r="X48" s="31">
        <v>0.50</v>
      </c>
      <c r="Y48" s="31">
        <v>0.50</v>
      </c>
      <c r="Z48" s="31">
        <v>0.50</v>
      </c>
      <c r="AA48" s="31">
        <v>0.50</v>
      </c>
      <c r="AB48" s="31">
        <v>0.50</v>
      </c>
      <c r="AC48" s="31">
        <v>0.50</v>
      </c>
      <c r="AD48" s="31">
        <v>0.50</v>
      </c>
      <c r="AE48" s="31">
        <v>0.50</v>
      </c>
      <c r="AF48" s="31">
        <v>0.50</v>
      </c>
      <c r="AG48" s="31">
        <v>0.50</v>
      </c>
      <c r="AH48" s="31">
        <v>0.50</v>
      </c>
      <c r="AI48" s="31">
        <v>0.50</v>
      </c>
      <c r="AJ48" s="31">
        <v>0.50</v>
      </c>
      <c r="AK48" s="31">
        <v>0.50</v>
      </c>
      <c r="AL48" s="31">
        <v>0.50</v>
      </c>
      <c r="AM48" s="31">
        <v>0.50</v>
      </c>
      <c r="AN48" s="31">
        <v>0.50</v>
      </c>
      <c r="AO48" s="31">
        <v>0.50</v>
      </c>
      <c r="AP48" s="31">
        <v>0.50</v>
      </c>
      <c r="AQ48" s="31">
        <v>0.50</v>
      </c>
      <c r="AR48" s="31">
        <v>0.50</v>
      </c>
      <c r="AS48" s="21"/>
    </row>
    <row r="49" spans="2:45" ht="14.4">
      <c r="B49" s="8"/>
      <c r="F49" s="5" t="s">
        <v>115</v>
      </c>
      <c r="G49" s="31"/>
      <c r="H49" s="31">
        <v>0.50</v>
      </c>
      <c r="I49" s="31">
        <v>0.50</v>
      </c>
      <c r="J49" s="31">
        <v>0.50</v>
      </c>
      <c r="K49" s="31">
        <v>0.50</v>
      </c>
      <c r="L49" s="31">
        <v>0.50</v>
      </c>
      <c r="M49" s="31">
        <v>0.50</v>
      </c>
      <c r="N49" s="31">
        <v>0.50</v>
      </c>
      <c r="O49" s="31">
        <v>0.50</v>
      </c>
      <c r="P49" s="31">
        <v>0.50</v>
      </c>
      <c r="Q49" s="31">
        <v>0.50</v>
      </c>
      <c r="R49" s="31">
        <v>0.50</v>
      </c>
      <c r="S49" s="31">
        <v>0.50</v>
      </c>
      <c r="T49" s="31">
        <v>0.50</v>
      </c>
      <c r="U49" s="31">
        <v>0.50</v>
      </c>
      <c r="V49" s="31">
        <v>0.50</v>
      </c>
      <c r="W49" s="31">
        <v>0.50</v>
      </c>
      <c r="X49" s="31">
        <v>0.50</v>
      </c>
      <c r="Y49" s="31">
        <v>0.50</v>
      </c>
      <c r="Z49" s="31">
        <v>0.50</v>
      </c>
      <c r="AA49" s="31">
        <v>0.50</v>
      </c>
      <c r="AB49" s="31">
        <v>0.50</v>
      </c>
      <c r="AC49" s="31">
        <v>0.50</v>
      </c>
      <c r="AD49" s="31">
        <v>0.50</v>
      </c>
      <c r="AE49" s="31">
        <v>0.50</v>
      </c>
      <c r="AF49" s="31">
        <v>0.50</v>
      </c>
      <c r="AG49" s="31">
        <v>0.50</v>
      </c>
      <c r="AH49" s="31">
        <v>0.50</v>
      </c>
      <c r="AI49" s="31">
        <v>0.50</v>
      </c>
      <c r="AJ49" s="31">
        <v>0.50</v>
      </c>
      <c r="AK49" s="31">
        <v>0.50</v>
      </c>
      <c r="AL49" s="31">
        <v>0.50</v>
      </c>
      <c r="AM49" s="31">
        <v>0.50</v>
      </c>
      <c r="AN49" s="31">
        <v>0.50</v>
      </c>
      <c r="AO49" s="31">
        <v>0.50</v>
      </c>
      <c r="AP49" s="31">
        <v>0.50</v>
      </c>
      <c r="AQ49" s="31">
        <v>0.50</v>
      </c>
      <c r="AR49" s="31">
        <v>0.50</v>
      </c>
      <c r="AS49" s="21"/>
    </row>
    <row r="50" spans="2:45" ht="14.4">
      <c r="B50" s="8"/>
      <c r="F50" s="5" t="s">
        <v>116</v>
      </c>
      <c r="G50" s="31"/>
      <c r="H50" s="31">
        <v>0.20</v>
      </c>
      <c r="I50" s="31">
        <v>0.20</v>
      </c>
      <c r="J50" s="31">
        <v>0.20</v>
      </c>
      <c r="K50" s="31">
        <v>0.20</v>
      </c>
      <c r="L50" s="31">
        <v>0.20</v>
      </c>
      <c r="M50" s="31">
        <v>0.20</v>
      </c>
      <c r="N50" s="31">
        <v>0.20</v>
      </c>
      <c r="O50" s="31">
        <v>0.20</v>
      </c>
      <c r="P50" s="31">
        <v>0.20</v>
      </c>
      <c r="Q50" s="31">
        <v>0.20</v>
      </c>
      <c r="R50" s="31">
        <v>0.20</v>
      </c>
      <c r="S50" s="31">
        <v>0.20</v>
      </c>
      <c r="T50" s="31">
        <v>0.20</v>
      </c>
      <c r="U50" s="31">
        <v>0.20</v>
      </c>
      <c r="V50" s="31">
        <v>0.20</v>
      </c>
      <c r="W50" s="31">
        <v>0.20</v>
      </c>
      <c r="X50" s="31">
        <v>0.20</v>
      </c>
      <c r="Y50" s="31">
        <v>0.20</v>
      </c>
      <c r="Z50" s="31">
        <v>0.20</v>
      </c>
      <c r="AA50" s="31">
        <v>0.20</v>
      </c>
      <c r="AB50" s="31">
        <v>0.20</v>
      </c>
      <c r="AC50" s="31">
        <v>0.20</v>
      </c>
      <c r="AD50" s="31">
        <v>0.20</v>
      </c>
      <c r="AE50" s="31">
        <v>0.20</v>
      </c>
      <c r="AF50" s="31">
        <v>0.20</v>
      </c>
      <c r="AG50" s="31">
        <v>0.20</v>
      </c>
      <c r="AH50" s="31">
        <v>0.20</v>
      </c>
      <c r="AI50" s="31">
        <v>0.20</v>
      </c>
      <c r="AJ50" s="31">
        <v>0.20</v>
      </c>
      <c r="AK50" s="31">
        <v>0.20</v>
      </c>
      <c r="AL50" s="31">
        <v>0.20</v>
      </c>
      <c r="AM50" s="31">
        <v>0.20</v>
      </c>
      <c r="AN50" s="31">
        <v>0.20</v>
      </c>
      <c r="AO50" s="31">
        <v>0.20</v>
      </c>
      <c r="AP50" s="31">
        <v>0.20</v>
      </c>
      <c r="AQ50" s="31">
        <v>0.20</v>
      </c>
      <c r="AR50" s="31">
        <v>0.20</v>
      </c>
      <c r="AS50" s="21"/>
    </row>
    <row r="51" spans="6:45" ht="14.4">
      <c r="F51" s="5" t="s">
        <v>117</v>
      </c>
      <c r="G51" s="31"/>
      <c r="H51" s="31">
        <v>0.10</v>
      </c>
      <c r="I51" s="31">
        <v>0.10</v>
      </c>
      <c r="J51" s="31">
        <v>0.10</v>
      </c>
      <c r="K51" s="31">
        <v>0.10</v>
      </c>
      <c r="L51" s="31">
        <v>0.10</v>
      </c>
      <c r="M51" s="31">
        <v>0.10</v>
      </c>
      <c r="N51" s="31">
        <v>0.10</v>
      </c>
      <c r="O51" s="31">
        <v>0.10</v>
      </c>
      <c r="P51" s="31">
        <v>0.10</v>
      </c>
      <c r="Q51" s="31">
        <v>0.10</v>
      </c>
      <c r="R51" s="31">
        <v>0.10</v>
      </c>
      <c r="S51" s="31">
        <v>0.10</v>
      </c>
      <c r="T51" s="31">
        <v>0.10</v>
      </c>
      <c r="U51" s="31">
        <v>0.10</v>
      </c>
      <c r="V51" s="31">
        <v>0.10</v>
      </c>
      <c r="W51" s="31">
        <v>0.10</v>
      </c>
      <c r="X51" s="31">
        <v>0.10</v>
      </c>
      <c r="Y51" s="31">
        <v>0.10</v>
      </c>
      <c r="Z51" s="31">
        <v>0.10</v>
      </c>
      <c r="AA51" s="31">
        <v>0.10</v>
      </c>
      <c r="AB51" s="31">
        <v>0.10</v>
      </c>
      <c r="AC51" s="31">
        <v>0.10</v>
      </c>
      <c r="AD51" s="31">
        <v>0.10</v>
      </c>
      <c r="AE51" s="31">
        <v>0.10</v>
      </c>
      <c r="AF51" s="31">
        <v>0.10</v>
      </c>
      <c r="AG51" s="31">
        <v>0.10</v>
      </c>
      <c r="AH51" s="31">
        <v>0.10</v>
      </c>
      <c r="AI51" s="31">
        <v>0.10</v>
      </c>
      <c r="AJ51" s="31">
        <v>0.10</v>
      </c>
      <c r="AK51" s="31">
        <v>0.10</v>
      </c>
      <c r="AL51" s="31">
        <v>0.10</v>
      </c>
      <c r="AM51" s="31">
        <v>0.10</v>
      </c>
      <c r="AN51" s="31">
        <v>0.10</v>
      </c>
      <c r="AO51" s="31">
        <v>0.10</v>
      </c>
      <c r="AP51" s="31">
        <v>0.10</v>
      </c>
      <c r="AQ51" s="31">
        <v>0.10</v>
      </c>
      <c r="AR51" s="31">
        <v>0.10</v>
      </c>
      <c r="AS51" s="21"/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2:BB36"/>
  <sheetViews>
    <sheetView zoomScale="115" zoomScaleNormal="115" workbookViewId="0" topLeftCell="A1">
      <selection pane="topLeft" activeCell="R5" sqref="R5"/>
    </sheetView>
  </sheetViews>
  <sheetFormatPr defaultRowHeight="14.4"/>
  <cols>
    <col min="17" max="17" width="21.4285714285714" bestFit="1" customWidth="1"/>
  </cols>
  <sheetData>
    <row r="2" spans="2:11" ht="14.4">
      <c r="B2" t="s">
        <v>27</v>
      </c>
      <c r="K2" t="s">
        <v>28</v>
      </c>
    </row>
    <row r="4" spans="3:38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s="1"/>
      <c r="R4" s="1" t="s">
        <v>0</v>
      </c>
      <c r="S4" t="s">
        <v>1</v>
      </c>
      <c r="T4" t="s">
        <v>20</v>
      </c>
      <c r="U4" t="s">
        <v>2</v>
      </c>
      <c r="V4" s="1" t="s">
        <v>3</v>
      </c>
      <c r="W4" s="1" t="s">
        <v>4</v>
      </c>
      <c r="X4" t="s">
        <v>5</v>
      </c>
      <c r="Y4" s="1" t="s">
        <v>6</v>
      </c>
      <c r="Z4" t="s">
        <v>7</v>
      </c>
      <c r="AA4" s="1" t="s">
        <v>8</v>
      </c>
      <c r="AB4" s="1" t="s">
        <v>9</v>
      </c>
      <c r="AC4" s="1" t="s">
        <v>10</v>
      </c>
      <c r="AD4" t="s">
        <v>11</v>
      </c>
      <c r="AE4" t="s">
        <v>12</v>
      </c>
      <c r="AF4" t="s">
        <v>13</v>
      </c>
      <c r="AG4" s="1" t="s">
        <v>19</v>
      </c>
      <c r="AH4" s="1" t="s">
        <v>14</v>
      </c>
      <c r="AI4" t="s">
        <v>15</v>
      </c>
      <c r="AJ4" t="s">
        <v>16</v>
      </c>
      <c r="AK4" t="s">
        <v>17</v>
      </c>
      <c r="AL4" s="1" t="s">
        <v>18</v>
      </c>
    </row>
    <row r="5" spans="2:38" ht="14.4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t="s">
        <v>12</v>
      </c>
      <c r="L5" s="1">
        <f>D5</f>
        <v>302</v>
      </c>
      <c r="M5" s="1">
        <f>F5</f>
        <v>0</v>
      </c>
      <c r="N5" s="1">
        <f>H5</f>
        <v>0</v>
      </c>
      <c r="O5" s="1">
        <f>E5</f>
        <v>769</v>
      </c>
      <c r="P5" s="1"/>
      <c r="Q5" t="str">
        <f>L4</f>
        <v>AIR</v>
      </c>
      <c r="R5" s="1">
        <f>L5</f>
        <v>302</v>
      </c>
      <c r="S5" s="1">
        <f>L6</f>
        <v>164</v>
      </c>
      <c r="T5" s="1">
        <f>L7</f>
        <v>650</v>
      </c>
      <c r="U5" s="1">
        <f>L8</f>
        <v>927</v>
      </c>
      <c r="V5" s="1">
        <f>L9</f>
        <v>2879</v>
      </c>
      <c r="W5" s="1">
        <f>L10</f>
        <v>9724</v>
      </c>
      <c r="X5" s="1">
        <f>L11</f>
        <v>1200</v>
      </c>
      <c r="Y5" s="1">
        <f>L12</f>
        <v>9070.2649889999993</v>
      </c>
      <c r="Z5" s="1">
        <f>L13</f>
        <v>1520</v>
      </c>
      <c r="AA5" s="1">
        <f>L14</f>
        <v>0</v>
      </c>
      <c r="AB5" s="1">
        <f>L15</f>
        <v>25245</v>
      </c>
      <c r="AC5" s="1">
        <f>L16</f>
        <v>4226</v>
      </c>
      <c r="AD5" s="1">
        <f>L17</f>
        <v>59579</v>
      </c>
      <c r="AE5" s="1">
        <f>L18</f>
        <v>21063</v>
      </c>
      <c r="AF5" s="1">
        <f>L19</f>
        <v>0</v>
      </c>
      <c r="AG5" s="1">
        <f>L20</f>
        <v>6326</v>
      </c>
      <c r="AH5" s="1">
        <f>L21</f>
        <v>130781</v>
      </c>
      <c r="AI5" s="1">
        <f>L22</f>
        <v>20941</v>
      </c>
      <c r="AJ5" s="1">
        <f>L23</f>
        <v>1240</v>
      </c>
      <c r="AK5" s="1">
        <f>L24</f>
        <v>366053</v>
      </c>
      <c r="AL5" s="1">
        <f>L25</f>
        <v>96565</v>
      </c>
    </row>
    <row r="6" spans="2:38" ht="14.4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t="s">
        <v>9</v>
      </c>
      <c r="L6" s="1">
        <f t="shared" si="0" ref="L6:L25">D6</f>
        <v>164</v>
      </c>
      <c r="M6" s="1">
        <f t="shared" si="1" ref="M6:M25">F6</f>
        <v>268.01999999999998</v>
      </c>
      <c r="N6" s="1">
        <f t="shared" si="2" ref="N6:N25">H6</f>
        <v>38</v>
      </c>
      <c r="O6" s="1">
        <f t="shared" si="3" ref="O6:O25">E6</f>
        <v>520</v>
      </c>
      <c r="P6" s="1"/>
      <c r="Q6" t="str">
        <f>M4</f>
        <v xml:space="preserve">AIR REVERSIBLE </v>
      </c>
      <c r="R6" s="1">
        <f>M5</f>
        <v>0</v>
      </c>
      <c r="S6" s="1">
        <f>M6</f>
        <v>268.01999999999998</v>
      </c>
      <c r="T6" s="1">
        <f>M7</f>
        <v>58.5</v>
      </c>
      <c r="U6" s="1">
        <f>M8</f>
        <v>0</v>
      </c>
      <c r="V6" s="1">
        <f>M9</f>
        <v>0</v>
      </c>
      <c r="W6" s="1">
        <f>M10</f>
        <v>0</v>
      </c>
      <c r="X6" s="1">
        <f>M11</f>
        <v>0</v>
      </c>
      <c r="Y6" s="1">
        <f>M12</f>
        <v>130.5</v>
      </c>
      <c r="Z6" s="1">
        <f>M13</f>
        <v>34320</v>
      </c>
      <c r="AA6" s="1">
        <f>M14</f>
        <v>49669.254999999997</v>
      </c>
      <c r="AB6" s="1">
        <f>M15</f>
        <v>0</v>
      </c>
      <c r="AC6" s="1">
        <f>M16</f>
        <v>42163</v>
      </c>
      <c r="AD6" s="1">
        <f>M17</f>
        <v>0</v>
      </c>
      <c r="AE6" s="1">
        <f>M18</f>
        <v>0</v>
      </c>
      <c r="AF6" s="1">
        <f>M19</f>
        <v>67229.949999999997</v>
      </c>
      <c r="AG6" s="1">
        <f>M20</f>
        <v>297948</v>
      </c>
      <c r="AH6" s="1">
        <f>M21</f>
        <v>1371.5999999999999</v>
      </c>
      <c r="AI6" s="1">
        <f>M22</f>
        <v>504182</v>
      </c>
      <c r="AJ6" s="1">
        <f>M23</f>
        <v>715200.72999999998</v>
      </c>
      <c r="AK6" s="1">
        <f>M24</f>
        <v>217550.715</v>
      </c>
      <c r="AL6" s="1">
        <f>M25</f>
        <v>402543</v>
      </c>
    </row>
    <row r="7" spans="2:38" ht="14.4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t="s">
        <v>17</v>
      </c>
      <c r="L7" s="1">
        <f t="shared" si="0"/>
        <v>650</v>
      </c>
      <c r="M7" s="1">
        <f t="shared" si="1"/>
        <v>58.5</v>
      </c>
      <c r="N7" s="1">
        <f t="shared" si="2"/>
        <v>0</v>
      </c>
      <c r="O7" s="1">
        <f t="shared" si="3"/>
        <v>500</v>
      </c>
      <c r="P7" s="1"/>
      <c r="Q7" t="str">
        <f>N4</f>
        <v>AIR Sanitary Hot Water</v>
      </c>
      <c r="R7" s="1">
        <f>N5</f>
        <v>0</v>
      </c>
      <c r="S7" s="1">
        <f>N6</f>
        <v>38</v>
      </c>
      <c r="T7" s="1">
        <f>N7</f>
        <v>0</v>
      </c>
      <c r="U7" s="1">
        <f>N8</f>
        <v>3</v>
      </c>
      <c r="V7" s="1">
        <f>N9</f>
        <v>1611</v>
      </c>
      <c r="W7" s="1">
        <f>N10</f>
        <v>10</v>
      </c>
      <c r="X7" s="1">
        <f>N11</f>
        <v>2060</v>
      </c>
      <c r="Y7" s="1">
        <f>N12</f>
        <v>5901</v>
      </c>
      <c r="Z7" s="1">
        <f>N13</f>
        <v>0</v>
      </c>
      <c r="AA7" s="1">
        <f>N14</f>
        <v>427</v>
      </c>
      <c r="AB7" s="1">
        <f>N15</f>
        <v>0</v>
      </c>
      <c r="AC7" s="1">
        <f>N16</f>
        <v>6580</v>
      </c>
      <c r="AD7" s="1">
        <f>N17</f>
        <v>1487</v>
      </c>
      <c r="AE7" s="1">
        <f>N18</f>
        <v>80685</v>
      </c>
      <c r="AF7" s="1">
        <f>N19</f>
        <v>0</v>
      </c>
      <c r="AG7" s="1">
        <f>N20</f>
        <v>0</v>
      </c>
      <c r="AH7" s="1">
        <f>N21</f>
        <v>102515</v>
      </c>
      <c r="AI7" s="1">
        <f>N22</f>
        <v>0</v>
      </c>
      <c r="AJ7" s="1">
        <f>N23</f>
        <v>0</v>
      </c>
      <c r="AK7" s="1">
        <f>N24</f>
        <v>29000</v>
      </c>
      <c r="AL7" s="1">
        <f>N25</f>
        <v>0</v>
      </c>
    </row>
    <row r="8" spans="2:38" ht="14.4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t="s">
        <v>10</v>
      </c>
      <c r="L8" s="1">
        <f t="shared" si="0"/>
        <v>927</v>
      </c>
      <c r="M8" s="1">
        <f t="shared" si="1"/>
        <v>0</v>
      </c>
      <c r="N8" s="1">
        <f t="shared" si="2"/>
        <v>3</v>
      </c>
      <c r="O8" s="1">
        <f t="shared" si="3"/>
        <v>1279</v>
      </c>
      <c r="P8" s="1"/>
      <c r="Q8" t="str">
        <f>O4</f>
        <v>GROUND</v>
      </c>
      <c r="R8" s="1">
        <f>O5</f>
        <v>769</v>
      </c>
      <c r="S8" s="1">
        <f>O6</f>
        <v>520</v>
      </c>
      <c r="T8" s="1">
        <f>O7</f>
        <v>500</v>
      </c>
      <c r="U8" s="1">
        <f>O8</f>
        <v>1279</v>
      </c>
      <c r="V8" s="1">
        <f>O9</f>
        <v>1954</v>
      </c>
      <c r="W8" s="1">
        <f>O10</f>
        <v>8747</v>
      </c>
      <c r="X8" s="1">
        <f>O11</f>
        <v>4120</v>
      </c>
      <c r="Y8" s="1">
        <f>O12</f>
        <v>18652.7350114</v>
      </c>
      <c r="Z8" s="1">
        <f>O13</f>
        <v>3735</v>
      </c>
      <c r="AA8" s="1">
        <f>O14</f>
        <v>0</v>
      </c>
      <c r="AB8" s="1">
        <f>O15</f>
        <v>16160</v>
      </c>
      <c r="AC8" s="1">
        <f>O16</f>
        <v>13528</v>
      </c>
      <c r="AD8" s="1">
        <f>O17</f>
        <v>45733</v>
      </c>
      <c r="AE8" s="1">
        <f>O18</f>
        <v>69213</v>
      </c>
      <c r="AF8" s="1">
        <f>O19</f>
        <v>0</v>
      </c>
      <c r="AG8" s="1">
        <f>O20</f>
        <v>34934</v>
      </c>
      <c r="AH8" s="1">
        <f>O21</f>
        <v>216821</v>
      </c>
      <c r="AI8" s="1">
        <f>O22</f>
        <v>25248</v>
      </c>
      <c r="AJ8" s="1">
        <f>O23</f>
        <v>357</v>
      </c>
      <c r="AK8" s="1">
        <f>O24</f>
        <v>84737</v>
      </c>
      <c r="AL8" s="1">
        <f>O25</f>
        <v>372685</v>
      </c>
    </row>
    <row r="9" spans="2:17" ht="14.4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t="s">
        <v>1</v>
      </c>
      <c r="L9" s="1">
        <f t="shared" si="0"/>
        <v>2879</v>
      </c>
      <c r="M9" s="1">
        <f t="shared" si="1"/>
        <v>0</v>
      </c>
      <c r="N9" s="1">
        <f t="shared" si="2"/>
        <v>1611</v>
      </c>
      <c r="O9" s="1">
        <f t="shared" si="3"/>
        <v>1954</v>
      </c>
      <c r="P9" s="1"/>
      <c r="Q9" s="1"/>
    </row>
    <row r="10" spans="2:17" ht="14.4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t="s">
        <v>2</v>
      </c>
      <c r="L10" s="1">
        <f t="shared" si="0"/>
        <v>9724</v>
      </c>
      <c r="M10" s="1">
        <f t="shared" si="1"/>
        <v>0</v>
      </c>
      <c r="N10" s="1">
        <f t="shared" si="2"/>
        <v>10</v>
      </c>
      <c r="O10" s="1">
        <f t="shared" si="3"/>
        <v>8747</v>
      </c>
      <c r="P10" s="1"/>
      <c r="Q10" s="1"/>
    </row>
    <row r="11" spans="2:16" ht="14.4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t="s">
        <v>14</v>
      </c>
      <c r="L11" s="1">
        <f t="shared" si="0"/>
        <v>1200</v>
      </c>
      <c r="M11" s="1">
        <f t="shared" si="1"/>
        <v>0</v>
      </c>
      <c r="N11" s="1">
        <f t="shared" si="2"/>
        <v>2060</v>
      </c>
      <c r="O11" s="1">
        <f t="shared" si="3"/>
        <v>4120</v>
      </c>
      <c r="P11" s="1"/>
    </row>
    <row r="12" spans="2:54" ht="15" thickBot="1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t="s">
        <v>13</v>
      </c>
      <c r="L12" s="1">
        <f t="shared" si="0"/>
        <v>9070.2649889999993</v>
      </c>
      <c r="M12" s="1">
        <f t="shared" si="1"/>
        <v>130.5</v>
      </c>
      <c r="N12" s="1">
        <f t="shared" si="2"/>
        <v>5901</v>
      </c>
      <c r="O12" s="1">
        <f t="shared" si="3"/>
        <v>18652.7350114</v>
      </c>
      <c r="P12" s="1"/>
      <c r="Q12" s="6" t="s">
        <v>92</v>
      </c>
      <c r="R12" s="15" t="s">
        <v>0</v>
      </c>
      <c r="S12" s="15" t="s">
        <v>1</v>
      </c>
      <c r="T12" s="15" t="s">
        <v>74</v>
      </c>
      <c r="U12" s="15" t="s">
        <v>20</v>
      </c>
      <c r="V12" s="15" t="s">
        <v>75</v>
      </c>
      <c r="W12" s="15" t="s">
        <v>2</v>
      </c>
      <c r="X12" s="15" t="s">
        <v>3</v>
      </c>
      <c r="Y12" s="15" t="s">
        <v>4</v>
      </c>
      <c r="Z12" s="15" t="s">
        <v>5</v>
      </c>
      <c r="AA12" s="15" t="s">
        <v>6</v>
      </c>
      <c r="AB12" s="15" t="s">
        <v>7</v>
      </c>
      <c r="AC12" s="15" t="s">
        <v>8</v>
      </c>
      <c r="AD12" s="15" t="s">
        <v>76</v>
      </c>
      <c r="AE12" s="15" t="s">
        <v>77</v>
      </c>
      <c r="AF12" s="15" t="s">
        <v>9</v>
      </c>
      <c r="AG12" s="15" t="s">
        <v>10</v>
      </c>
      <c r="AH12" s="15" t="s">
        <v>78</v>
      </c>
      <c r="AI12" s="15" t="s">
        <v>11</v>
      </c>
      <c r="AJ12" s="15" t="s">
        <v>12</v>
      </c>
      <c r="AK12" s="15" t="s">
        <v>79</v>
      </c>
      <c r="AL12" s="15" t="s">
        <v>80</v>
      </c>
      <c r="AM12" s="15" t="s">
        <v>81</v>
      </c>
      <c r="AN12" s="15" t="s">
        <v>13</v>
      </c>
      <c r="AO12" s="15" t="s">
        <v>19</v>
      </c>
      <c r="AP12" s="15" t="s">
        <v>14</v>
      </c>
      <c r="AQ12" s="15" t="s">
        <v>15</v>
      </c>
      <c r="AR12" s="15" t="s">
        <v>82</v>
      </c>
      <c r="AS12" s="15" t="s">
        <v>16</v>
      </c>
      <c r="AT12" s="15" t="s">
        <v>83</v>
      </c>
      <c r="AU12" s="15" t="s">
        <v>17</v>
      </c>
      <c r="AV12" s="15" t="s">
        <v>18</v>
      </c>
      <c r="AW12" s="15" t="s">
        <v>84</v>
      </c>
      <c r="AX12" s="15" t="s">
        <v>85</v>
      </c>
      <c r="AY12" s="15" t="s">
        <v>86</v>
      </c>
      <c r="AZ12" s="15" t="s">
        <v>87</v>
      </c>
      <c r="BA12" s="15" t="s">
        <v>88</v>
      </c>
      <c r="BB12" s="15" t="s">
        <v>89</v>
      </c>
    </row>
    <row r="13" spans="2:48" ht="14.4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t="s">
        <v>5</v>
      </c>
      <c r="L13" s="1">
        <f t="shared" si="0"/>
        <v>1520</v>
      </c>
      <c r="M13" s="1">
        <f t="shared" si="1"/>
        <v>34320</v>
      </c>
      <c r="N13" s="1">
        <f t="shared" si="2"/>
        <v>0</v>
      </c>
      <c r="O13" s="1">
        <f t="shared" si="3"/>
        <v>3735</v>
      </c>
      <c r="P13" s="1"/>
      <c r="Q13" t="s">
        <v>90</v>
      </c>
      <c r="R13" s="1">
        <f>SUM(R5:R7)</f>
        <v>302</v>
      </c>
      <c r="S13" s="1">
        <f>SUM(S5:S7)</f>
        <v>470.01999999999998</v>
      </c>
      <c r="T13" s="1"/>
      <c r="U13" s="1">
        <f>SUM(T5:T7)</f>
        <v>708.5</v>
      </c>
      <c r="W13" s="1">
        <f t="shared" si="4" ref="W13:AC13">SUM(U5:U7)</f>
        <v>930</v>
      </c>
      <c r="X13" s="1">
        <f t="shared" si="4"/>
        <v>4490</v>
      </c>
      <c r="Y13" s="1">
        <f t="shared" si="4"/>
        <v>9734</v>
      </c>
      <c r="Z13" s="1">
        <f t="shared" si="4"/>
        <v>3260</v>
      </c>
      <c r="AA13" s="1">
        <f t="shared" si="4"/>
        <v>15101.764988999999</v>
      </c>
      <c r="AB13" s="1">
        <f t="shared" si="4"/>
        <v>35840</v>
      </c>
      <c r="AC13" s="1">
        <f t="shared" si="4"/>
        <v>50096.254999999997</v>
      </c>
      <c r="AF13" s="1">
        <f>SUM(AB5:AB7)</f>
        <v>25245</v>
      </c>
      <c r="AG13" s="1">
        <f>SUM(AC5:AC7)</f>
        <v>52969</v>
      </c>
      <c r="AI13" s="1">
        <f>SUM(AD5:AD7)</f>
        <v>61066</v>
      </c>
      <c r="AJ13" s="1">
        <f>SUM(AE5:AE7)</f>
        <v>101748</v>
      </c>
      <c r="AN13" s="1">
        <f>SUM(AF5:AF7)</f>
        <v>67229.949999999997</v>
      </c>
      <c r="AO13" s="1">
        <f>SUM(AG5:AG7)</f>
        <v>304274</v>
      </c>
      <c r="AP13" s="1">
        <f>SUM(AH5:AH7)</f>
        <v>234667.60000000001</v>
      </c>
      <c r="AQ13" s="1">
        <f>SUM(AI5:AI7)</f>
        <v>525123</v>
      </c>
      <c r="AS13" s="1">
        <f>SUM(AJ5:AJ7)</f>
        <v>716440.72999999998</v>
      </c>
      <c r="AU13" s="1">
        <f>SUM(AK5:AK7)</f>
        <v>612603.71499999997</v>
      </c>
      <c r="AV13" s="1">
        <f>SUM(AL5:AL7)</f>
        <v>499108</v>
      </c>
    </row>
    <row r="14" spans="2:48" ht="14.4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t="s">
        <v>15</v>
      </c>
      <c r="L14" s="1">
        <f t="shared" si="0"/>
        <v>0</v>
      </c>
      <c r="M14" s="1">
        <f t="shared" si="1"/>
        <v>49669.254999999997</v>
      </c>
      <c r="N14" s="1">
        <f t="shared" si="2"/>
        <v>427</v>
      </c>
      <c r="O14" s="1">
        <f t="shared" si="3"/>
        <v>0</v>
      </c>
      <c r="P14" s="1"/>
      <c r="Q14" s="1" t="s">
        <v>91</v>
      </c>
      <c r="R14" s="1">
        <f>R8</f>
        <v>769</v>
      </c>
      <c r="S14" s="1">
        <f>S8</f>
        <v>520</v>
      </c>
      <c r="U14" s="1">
        <f>T8</f>
        <v>500</v>
      </c>
      <c r="W14" s="1">
        <f t="shared" si="5" ref="W14:AC14">U8</f>
        <v>1279</v>
      </c>
      <c r="X14" s="1">
        <f t="shared" si="5"/>
        <v>1954</v>
      </c>
      <c r="Y14" s="1">
        <f t="shared" si="5"/>
        <v>8747</v>
      </c>
      <c r="Z14" s="1">
        <f t="shared" si="5"/>
        <v>4120</v>
      </c>
      <c r="AA14" s="1">
        <f t="shared" si="5"/>
        <v>18652.7350114</v>
      </c>
      <c r="AB14" s="1">
        <f t="shared" si="5"/>
        <v>3735</v>
      </c>
      <c r="AC14" s="1">
        <f t="shared" si="5"/>
        <v>0</v>
      </c>
      <c r="AF14" s="1">
        <f>AB8</f>
        <v>16160</v>
      </c>
      <c r="AG14" s="1">
        <f>AC8</f>
        <v>13528</v>
      </c>
      <c r="AI14" s="1">
        <f>AD8</f>
        <v>45733</v>
      </c>
      <c r="AJ14" s="1">
        <f>AE8</f>
        <v>69213</v>
      </c>
      <c r="AN14" s="1">
        <f>AF8</f>
        <v>0</v>
      </c>
      <c r="AO14" s="1">
        <f>AG8</f>
        <v>34934</v>
      </c>
      <c r="AP14" s="1">
        <f>AH8</f>
        <v>216821</v>
      </c>
      <c r="AQ14" s="1">
        <f>AI8</f>
        <v>25248</v>
      </c>
      <c r="AS14" s="1">
        <f>AJ8</f>
        <v>357</v>
      </c>
      <c r="AU14" s="1">
        <f>AK8</f>
        <v>84737</v>
      </c>
      <c r="AV14" s="1">
        <f>AL8</f>
        <v>372685</v>
      </c>
    </row>
    <row r="15" spans="2:16" ht="14.4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t="s">
        <v>18</v>
      </c>
      <c r="L15" s="1">
        <f t="shared" si="0"/>
        <v>25245</v>
      </c>
      <c r="M15" s="1">
        <f t="shared" si="1"/>
        <v>0</v>
      </c>
      <c r="N15" s="1">
        <f t="shared" si="2"/>
        <v>0</v>
      </c>
      <c r="O15" s="1">
        <f t="shared" si="3"/>
        <v>16160</v>
      </c>
      <c r="P15" s="1"/>
    </row>
    <row r="16" spans="2:16" ht="14.4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t="s">
        <v>4</v>
      </c>
      <c r="L16" s="1">
        <f t="shared" si="0"/>
        <v>4226</v>
      </c>
      <c r="M16" s="1">
        <f t="shared" si="1"/>
        <v>42163</v>
      </c>
      <c r="N16" s="1">
        <f t="shared" si="2"/>
        <v>6580</v>
      </c>
      <c r="O16" s="1">
        <f t="shared" si="3"/>
        <v>13528</v>
      </c>
      <c r="P16" s="1"/>
    </row>
    <row r="17" spans="2:16" ht="14.4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t="s">
        <v>20</v>
      </c>
      <c r="L17" s="1">
        <f t="shared" si="0"/>
        <v>59579</v>
      </c>
      <c r="M17" s="1">
        <f t="shared" si="1"/>
        <v>0</v>
      </c>
      <c r="N17" s="1">
        <f t="shared" si="2"/>
        <v>1487</v>
      </c>
      <c r="O17" s="1">
        <f t="shared" si="3"/>
        <v>45733</v>
      </c>
      <c r="P17" s="1"/>
    </row>
    <row r="18" spans="2:16" ht="14.4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t="s">
        <v>0</v>
      </c>
      <c r="L18" s="1">
        <f t="shared" si="0"/>
        <v>21063</v>
      </c>
      <c r="M18" s="1">
        <f t="shared" si="1"/>
        <v>0</v>
      </c>
      <c r="N18" s="1">
        <f t="shared" si="2"/>
        <v>80685</v>
      </c>
      <c r="O18" s="1">
        <f t="shared" si="3"/>
        <v>69213</v>
      </c>
      <c r="P18" s="1"/>
    </row>
    <row r="19" spans="2:16" ht="14.4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t="s">
        <v>6</v>
      </c>
      <c r="L19" s="1">
        <f t="shared" si="0"/>
        <v>0</v>
      </c>
      <c r="M19" s="1">
        <f t="shared" si="1"/>
        <v>67229.949999999997</v>
      </c>
      <c r="N19" s="1">
        <f t="shared" si="2"/>
        <v>0</v>
      </c>
      <c r="O19" s="1">
        <f t="shared" si="3"/>
        <v>0</v>
      </c>
      <c r="P19" s="1"/>
    </row>
    <row r="20" spans="2:16" ht="14.4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t="s">
        <v>7</v>
      </c>
      <c r="L20" s="1">
        <f t="shared" si="0"/>
        <v>6326</v>
      </c>
      <c r="M20" s="1">
        <f t="shared" si="1"/>
        <v>297948</v>
      </c>
      <c r="N20" s="1">
        <f t="shared" si="2"/>
        <v>0</v>
      </c>
      <c r="O20" s="1">
        <f t="shared" si="3"/>
        <v>34934</v>
      </c>
      <c r="P20" s="1"/>
    </row>
    <row r="21" spans="2:16" ht="14.4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t="s">
        <v>3</v>
      </c>
      <c r="L21" s="1">
        <f t="shared" si="0"/>
        <v>130781</v>
      </c>
      <c r="M21" s="1">
        <f t="shared" si="1"/>
        <v>1371.5999999999999</v>
      </c>
      <c r="N21" s="1">
        <f t="shared" si="2"/>
        <v>102515</v>
      </c>
      <c r="O21" s="1">
        <f t="shared" si="3"/>
        <v>216821</v>
      </c>
      <c r="P21" s="1"/>
    </row>
    <row r="22" spans="2:16" ht="14.4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t="s">
        <v>19</v>
      </c>
      <c r="L22" s="1">
        <f t="shared" si="0"/>
        <v>20941</v>
      </c>
      <c r="M22" s="1">
        <f t="shared" si="1"/>
        <v>504182</v>
      </c>
      <c r="N22" s="1">
        <f t="shared" si="2"/>
        <v>0</v>
      </c>
      <c r="O22" s="1">
        <f t="shared" si="3"/>
        <v>25248</v>
      </c>
      <c r="P22" s="1"/>
    </row>
    <row r="23" spans="2:16" ht="14.4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t="s">
        <v>11</v>
      </c>
      <c r="L23" s="1">
        <f t="shared" si="0"/>
        <v>1240</v>
      </c>
      <c r="M23" s="1">
        <f t="shared" si="1"/>
        <v>715200.72999999998</v>
      </c>
      <c r="N23" s="1">
        <f t="shared" si="2"/>
        <v>0</v>
      </c>
      <c r="O23" s="1">
        <f t="shared" si="3"/>
        <v>357</v>
      </c>
      <c r="P23" s="1"/>
    </row>
    <row r="24" spans="2:16" ht="14.4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t="s">
        <v>8</v>
      </c>
      <c r="L24" s="1">
        <f t="shared" si="0"/>
        <v>366053</v>
      </c>
      <c r="M24" s="1">
        <f t="shared" si="1"/>
        <v>217550.715</v>
      </c>
      <c r="N24" s="1">
        <f t="shared" si="2"/>
        <v>29000</v>
      </c>
      <c r="O24" s="1">
        <f t="shared" si="3"/>
        <v>84737</v>
      </c>
      <c r="P24" s="1"/>
    </row>
    <row r="25" spans="2:16" ht="14.4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t="s">
        <v>16</v>
      </c>
      <c r="L25" s="1">
        <f t="shared" si="0"/>
        <v>96565</v>
      </c>
      <c r="M25" s="1">
        <f t="shared" si="1"/>
        <v>402543</v>
      </c>
      <c r="N25" s="1">
        <f t="shared" si="2"/>
        <v>0</v>
      </c>
      <c r="O25" s="1">
        <f t="shared" si="3"/>
        <v>372685</v>
      </c>
      <c r="P25" s="1"/>
    </row>
    <row r="26" spans="17:17" ht="14.4">
      <c r="Q26" s="1"/>
    </row>
    <row r="27" spans="17:17" ht="14.4">
      <c r="Q27" s="1"/>
    </row>
    <row r="31" spans="17:17" ht="14.4">
      <c r="Q31" s="1"/>
    </row>
    <row r="32" spans="17:17" ht="14.4">
      <c r="Q32" s="1"/>
    </row>
    <row r="36" spans="17:17" ht="14.4">
      <c r="Q36" s="1"/>
    </row>
  </sheetData>
  <sortState ref="Q16:U36">
    <sortCondition sortBy="value" ref="Q16:Q3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B1:V25"/>
  <sheetViews>
    <sheetView workbookViewId="0" topLeftCell="A1">
      <selection pane="topLeft" activeCell="Q25" sqref="Q25"/>
    </sheetView>
  </sheetViews>
  <sheetFormatPr defaultRowHeight="14.4"/>
  <cols>
    <col min="24" max="24" width="21.4285714285714" bestFit="1" customWidth="1"/>
    <col min="25" max="45" width="9" customWidth="1"/>
  </cols>
  <sheetData>
    <row r="1" spans="18:18" ht="14.4">
      <c r="R1" t="s">
        <v>34</v>
      </c>
    </row>
    <row r="2" spans="2:22" ht="14.4">
      <c r="B2" t="s">
        <v>27</v>
      </c>
      <c r="K2" t="s">
        <v>28</v>
      </c>
      <c r="R2" t="s">
        <v>33</v>
      </c>
      <c r="V2" s="1"/>
    </row>
    <row r="4" spans="3:21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96</v>
      </c>
      <c r="R4" t="s">
        <v>29</v>
      </c>
      <c r="S4" t="s">
        <v>31</v>
      </c>
      <c r="T4" t="s">
        <v>32</v>
      </c>
      <c r="U4" t="s">
        <v>30</v>
      </c>
    </row>
    <row r="5" spans="2:22" ht="14.4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 t="shared" si="0" ref="L5:L25">D5</f>
        <v>1175</v>
      </c>
      <c r="M5" s="1">
        <f t="shared" si="1" ref="M5:M25">F5</f>
        <v>0</v>
      </c>
      <c r="N5" s="1">
        <f t="shared" si="2" ref="N5:N25">H5</f>
        <v>0</v>
      </c>
      <c r="O5" s="1">
        <f t="shared" si="3" ref="O5:O25">E5</f>
        <v>2868</v>
      </c>
      <c r="P5" s="1"/>
      <c r="Q5" s="1">
        <f>R5+S5</f>
        <v>218.25</v>
      </c>
      <c r="R5" s="1">
        <f>(L5-'STOCK 2010'!L5)/4</f>
        <v>218.25</v>
      </c>
      <c r="S5" s="1">
        <f>(M5-'STOCK 2010'!M5)/4</f>
        <v>0</v>
      </c>
      <c r="T5" s="1">
        <f>(N5-'STOCK 2010'!N5)/4</f>
        <v>0</v>
      </c>
      <c r="U5" s="1">
        <f>(O5-'STOCK 2010'!O5)/4</f>
        <v>524.75</v>
      </c>
      <c r="V5" s="1">
        <f t="shared" si="4" ref="V5:V25">SUM(R5:U5)</f>
        <v>743</v>
      </c>
    </row>
    <row r="6" spans="2:22" ht="14.4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0"/>
        <v>552</v>
      </c>
      <c r="M6" s="1">
        <f t="shared" si="1"/>
        <v>613.62</v>
      </c>
      <c r="N6" s="1">
        <f t="shared" si="2"/>
        <v>71</v>
      </c>
      <c r="O6" s="1">
        <f t="shared" si="3"/>
        <v>1845</v>
      </c>
      <c r="P6" s="1"/>
      <c r="Q6" s="1">
        <f t="shared" si="5" ref="Q6:Q25">R6+S6</f>
        <v>183.40000000000001</v>
      </c>
      <c r="R6" s="1">
        <f>(L6-'STOCK 2010'!L6)/4</f>
        <v>97</v>
      </c>
      <c r="S6" s="1">
        <f>(M6-'STOCK 2010'!M6)/4</f>
        <v>86.400000000000006</v>
      </c>
      <c r="T6" s="1">
        <f>(N6-'STOCK 2010'!N6)/4</f>
        <v>8.25</v>
      </c>
      <c r="U6" s="1">
        <f>(O6-'STOCK 2010'!O6)/4</f>
        <v>331.25</v>
      </c>
      <c r="V6" s="1">
        <f t="shared" si="4"/>
        <v>522.89999999999998</v>
      </c>
    </row>
    <row r="7" spans="2:22" ht="14.4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0"/>
        <v>1499</v>
      </c>
      <c r="M7" s="1">
        <f t="shared" si="1"/>
        <v>169.19999999999999</v>
      </c>
      <c r="N7" s="1">
        <f t="shared" si="2"/>
        <v>72</v>
      </c>
      <c r="O7" s="1">
        <f t="shared" si="3"/>
        <v>1426</v>
      </c>
      <c r="P7" s="1"/>
      <c r="Q7" s="1">
        <f t="shared" si="5"/>
        <v>239.92500000000001</v>
      </c>
      <c r="R7" s="1">
        <f>(L7-'STOCK 2010'!L7)/4</f>
        <v>212.25</v>
      </c>
      <c r="S7" s="1">
        <f>(M7-'STOCK 2010'!M7)/4</f>
        <v>27.674999999999997</v>
      </c>
      <c r="T7" s="1">
        <f>(N7-'STOCK 2010'!N7)/4</f>
        <v>18</v>
      </c>
      <c r="U7" s="1">
        <f>(O7-'STOCK 2010'!O7)/4</f>
        <v>231.5</v>
      </c>
      <c r="V7" s="1">
        <f t="shared" si="4"/>
        <v>489.42500000000001</v>
      </c>
    </row>
    <row r="8" spans="2:22" ht="14.4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0"/>
        <v>5432</v>
      </c>
      <c r="M8" s="1">
        <f t="shared" si="1"/>
        <v>0</v>
      </c>
      <c r="N8" s="1">
        <f t="shared" si="2"/>
        <v>15</v>
      </c>
      <c r="O8" s="1">
        <f t="shared" si="3"/>
        <v>3119</v>
      </c>
      <c r="P8" s="1"/>
      <c r="Q8" s="1">
        <f t="shared" si="5"/>
        <v>1126.25</v>
      </c>
      <c r="R8" s="1">
        <f>(L8-'STOCK 2010'!L8)/4</f>
        <v>1126.25</v>
      </c>
      <c r="S8" s="1">
        <f>(M8-'STOCK 2010'!M8)/4</f>
        <v>0</v>
      </c>
      <c r="T8" s="1">
        <f>(N8-'STOCK 2010'!N8)/4</f>
        <v>3</v>
      </c>
      <c r="U8" s="1">
        <f>(O8-'STOCK 2010'!O8)/4</f>
        <v>460</v>
      </c>
      <c r="V8" s="1">
        <f t="shared" si="4"/>
        <v>1589.25</v>
      </c>
    </row>
    <row r="9" spans="2:22" ht="14.4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0"/>
        <v>19544</v>
      </c>
      <c r="M9" s="1">
        <f t="shared" si="1"/>
        <v>1819.8</v>
      </c>
      <c r="N9" s="1">
        <f t="shared" si="2"/>
        <v>12489</v>
      </c>
      <c r="O9" s="1">
        <f t="shared" si="3"/>
        <v>6996</v>
      </c>
      <c r="P9" s="1"/>
      <c r="Q9" s="1">
        <f t="shared" si="5"/>
        <v>4621.1999999999998</v>
      </c>
      <c r="R9" s="1">
        <f>(L9-'STOCK 2010'!L9)/4</f>
        <v>4166.25</v>
      </c>
      <c r="S9" s="1">
        <f>(M9-'STOCK 2010'!M9)/4</f>
        <v>454.94999999999999</v>
      </c>
      <c r="T9" s="1">
        <f>(N9-'STOCK 2010'!N9)/4</f>
        <v>2719.5</v>
      </c>
      <c r="U9" s="1">
        <f>(O9-'STOCK 2010'!O9)/4</f>
        <v>1260.5</v>
      </c>
      <c r="V9" s="1">
        <f t="shared" si="4"/>
        <v>8601.2000000000007</v>
      </c>
    </row>
    <row r="10" spans="2:22" ht="14.4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0"/>
        <v>28948</v>
      </c>
      <c r="M10" s="1">
        <f t="shared" si="1"/>
        <v>0</v>
      </c>
      <c r="N10" s="1">
        <f t="shared" si="2"/>
        <v>20</v>
      </c>
      <c r="O10" s="1">
        <f t="shared" si="3"/>
        <v>17469</v>
      </c>
      <c r="P10" s="1"/>
      <c r="Q10" s="1">
        <f t="shared" si="5"/>
        <v>4806</v>
      </c>
      <c r="R10" s="1">
        <f>(L10-'STOCK 2010'!L10)/4</f>
        <v>4806</v>
      </c>
      <c r="S10" s="1">
        <f>(M10-'STOCK 2010'!M10)/4</f>
        <v>0</v>
      </c>
      <c r="T10" s="1">
        <f>(N10-'STOCK 2010'!N10)/4</f>
        <v>2.5</v>
      </c>
      <c r="U10" s="1">
        <f>(O10-'STOCK 2010'!O10)/4</f>
        <v>2180.5</v>
      </c>
      <c r="V10" s="1">
        <f t="shared" si="4"/>
        <v>6989</v>
      </c>
    </row>
    <row r="11" spans="2:22" ht="14.4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0"/>
        <v>6533</v>
      </c>
      <c r="M11" s="1">
        <f t="shared" si="1"/>
        <v>2685.5999999999999</v>
      </c>
      <c r="N11" s="1">
        <f t="shared" si="2"/>
        <v>28457</v>
      </c>
      <c r="O11" s="1">
        <f t="shared" si="3"/>
        <v>22750</v>
      </c>
      <c r="P11" s="1"/>
      <c r="Q11" s="1">
        <f t="shared" si="5"/>
        <v>2004.6500000000001</v>
      </c>
      <c r="R11" s="1">
        <f>(L11-'STOCK 2010'!L11)/4</f>
        <v>1333.25</v>
      </c>
      <c r="S11" s="1">
        <f>(M11-'STOCK 2010'!M11)/4</f>
        <v>671.39999999999998</v>
      </c>
      <c r="T11" s="1">
        <f>(N11-'STOCK 2010'!N11)/4</f>
        <v>6599.25</v>
      </c>
      <c r="U11" s="1">
        <f>(O11-'STOCK 2010'!O11)/4</f>
        <v>4657.5</v>
      </c>
      <c r="V11" s="1">
        <f t="shared" si="4"/>
        <v>13261.4</v>
      </c>
    </row>
    <row r="12" spans="2:22" ht="14.4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0"/>
        <v>23527.264988999999</v>
      </c>
      <c r="M12" s="1">
        <f t="shared" si="1"/>
        <v>130.5</v>
      </c>
      <c r="N12" s="1">
        <f t="shared" si="2"/>
        <v>7155</v>
      </c>
      <c r="O12" s="1">
        <f t="shared" si="3"/>
        <v>35860.7350114</v>
      </c>
      <c r="P12" s="1"/>
      <c r="Q12" s="1">
        <f t="shared" si="5"/>
        <v>3614.25</v>
      </c>
      <c r="R12" s="1">
        <f>(L12-'STOCK 2010'!L12)/4</f>
        <v>3614.25</v>
      </c>
      <c r="S12" s="1">
        <f>(M12-'STOCK 2010'!M12)/4</f>
        <v>0</v>
      </c>
      <c r="T12" s="1">
        <f>(N12-'STOCK 2010'!N12)/4</f>
        <v>313.5</v>
      </c>
      <c r="U12" s="1">
        <f>(O12-'STOCK 2010'!O12)/4</f>
        <v>4302</v>
      </c>
      <c r="V12" s="1">
        <f t="shared" si="4"/>
        <v>8229.75</v>
      </c>
    </row>
    <row r="13" spans="2:22" ht="14.4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0"/>
        <v>4820</v>
      </c>
      <c r="M13" s="1">
        <f t="shared" si="1"/>
        <v>81520</v>
      </c>
      <c r="N13" s="1">
        <f t="shared" si="2"/>
        <v>0</v>
      </c>
      <c r="O13" s="1">
        <f t="shared" si="3"/>
        <v>8875</v>
      </c>
      <c r="P13" s="1"/>
      <c r="Q13" s="1">
        <f t="shared" si="5"/>
        <v>12625</v>
      </c>
      <c r="R13" s="1">
        <f>(L13-'STOCK 2010'!L13)/4</f>
        <v>825</v>
      </c>
      <c r="S13" s="1">
        <f>(M13-'STOCK 2010'!M13)/4</f>
        <v>11800</v>
      </c>
      <c r="T13" s="1">
        <f>(N13-'STOCK 2010'!N13)/4</f>
        <v>0</v>
      </c>
      <c r="U13" s="1">
        <f>(O13-'STOCK 2010'!O13)/4</f>
        <v>1285</v>
      </c>
      <c r="V13" s="1">
        <f t="shared" si="4"/>
        <v>13910</v>
      </c>
    </row>
    <row r="14" spans="2:22" ht="14.4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0"/>
        <v>202</v>
      </c>
      <c r="M14" s="1">
        <f t="shared" si="1"/>
        <v>85780.105000150012</v>
      </c>
      <c r="N14" s="1">
        <f t="shared" si="2"/>
        <v>2772</v>
      </c>
      <c r="O14" s="1">
        <f t="shared" si="3"/>
        <v>54</v>
      </c>
      <c r="P14" s="1"/>
      <c r="Q14" s="1">
        <f t="shared" si="5"/>
        <v>9078.2125000375036</v>
      </c>
      <c r="R14" s="1">
        <f>(L14-'STOCK 2010'!L14)/4</f>
        <v>50.5</v>
      </c>
      <c r="S14" s="1">
        <f>(M14-'STOCK 2010'!M14)/4</f>
        <v>9027.7125000375036</v>
      </c>
      <c r="T14" s="1">
        <f>(N14-'STOCK 2010'!N14)/4</f>
        <v>586.25</v>
      </c>
      <c r="U14" s="1">
        <f>(O14-'STOCK 2010'!O14)/4</f>
        <v>13.5</v>
      </c>
      <c r="V14" s="1">
        <f t="shared" si="4"/>
        <v>9677.9625000375036</v>
      </c>
    </row>
    <row r="15" spans="2:22" ht="14.4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0"/>
        <v>84481</v>
      </c>
      <c r="M15" s="1">
        <f t="shared" si="1"/>
        <v>0</v>
      </c>
      <c r="N15" s="1">
        <f t="shared" si="2"/>
        <v>230</v>
      </c>
      <c r="O15" s="1">
        <f t="shared" si="3"/>
        <v>24875</v>
      </c>
      <c r="P15" s="1"/>
      <c r="Q15" s="1">
        <f t="shared" si="5"/>
        <v>14809</v>
      </c>
      <c r="R15" s="1">
        <f>(L15-'STOCK 2010'!L15)/4</f>
        <v>14809</v>
      </c>
      <c r="S15" s="1">
        <f>(M15-'STOCK 2010'!M15)/4</f>
        <v>0</v>
      </c>
      <c r="T15" s="1">
        <f>(N15-'STOCK 2010'!N15)/4</f>
        <v>57.5</v>
      </c>
      <c r="U15" s="1">
        <f>(O15-'STOCK 2010'!O15)/4</f>
        <v>2178.75</v>
      </c>
      <c r="V15" s="1">
        <f t="shared" si="4"/>
        <v>17045.25</v>
      </c>
    </row>
    <row r="16" spans="2:22" ht="14.4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0"/>
        <v>14122</v>
      </c>
      <c r="M16" s="1">
        <f t="shared" si="1"/>
        <v>115755</v>
      </c>
      <c r="N16" s="1">
        <f t="shared" si="2"/>
        <v>15463</v>
      </c>
      <c r="O16" s="1">
        <f t="shared" si="3"/>
        <v>25814</v>
      </c>
      <c r="P16" s="1"/>
      <c r="Q16" s="1">
        <f t="shared" si="5"/>
        <v>20872</v>
      </c>
      <c r="R16" s="1">
        <f>(L16-'STOCK 2010'!L16)/4</f>
        <v>2474</v>
      </c>
      <c r="S16" s="1">
        <f>(M16-'STOCK 2010'!M16)/4</f>
        <v>18398</v>
      </c>
      <c r="T16" s="1">
        <f>(N16-'STOCK 2010'!N16)/4</f>
        <v>2220.75</v>
      </c>
      <c r="U16" s="1">
        <f>(O16-'STOCK 2010'!O16)/4</f>
        <v>3071.5</v>
      </c>
      <c r="V16" s="1">
        <f t="shared" si="4"/>
        <v>26164.25</v>
      </c>
    </row>
    <row r="17" spans="2:22" ht="14.4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0"/>
        <v>105523</v>
      </c>
      <c r="M17" s="1">
        <f t="shared" si="1"/>
        <v>0</v>
      </c>
      <c r="N17" s="1">
        <f t="shared" si="2"/>
        <v>12446</v>
      </c>
      <c r="O17" s="1">
        <f t="shared" si="3"/>
        <v>75879</v>
      </c>
      <c r="P17" s="1"/>
      <c r="Q17" s="1">
        <f t="shared" si="5"/>
        <v>11486</v>
      </c>
      <c r="R17" s="1">
        <f>(L17-'STOCK 2010'!L17)/4</f>
        <v>11486</v>
      </c>
      <c r="S17" s="1">
        <f>(M17-'STOCK 2010'!M17)/4</f>
        <v>0</v>
      </c>
      <c r="T17" s="1">
        <f>(N17-'STOCK 2010'!N17)/4</f>
        <v>2739.75</v>
      </c>
      <c r="U17" s="1">
        <f>(O17-'STOCK 2010'!O17)/4</f>
        <v>7536.5</v>
      </c>
      <c r="V17" s="1">
        <f t="shared" si="4"/>
        <v>21762.25</v>
      </c>
    </row>
    <row r="18" spans="2:22" ht="14.4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0"/>
        <v>49974</v>
      </c>
      <c r="M18" s="1">
        <f t="shared" si="1"/>
        <v>0</v>
      </c>
      <c r="N18" s="1">
        <f t="shared" si="2"/>
        <v>75277</v>
      </c>
      <c r="O18" s="1">
        <f t="shared" si="3"/>
        <v>89852</v>
      </c>
      <c r="P18" s="1"/>
      <c r="Q18" s="1">
        <f t="shared" si="5"/>
        <v>7227.75</v>
      </c>
      <c r="R18" s="1">
        <f>(L18-'STOCK 2010'!L18)/4</f>
        <v>7227.75</v>
      </c>
      <c r="S18" s="1">
        <f>(M18-'STOCK 2010'!M18)/4</f>
        <v>0</v>
      </c>
      <c r="T18" s="1">
        <f>(N18-'STOCK 2010'!N18)/4</f>
        <v>-1352</v>
      </c>
      <c r="U18" s="1">
        <f>(O18-'STOCK 2010'!O18)/4</f>
        <v>5159.75</v>
      </c>
      <c r="V18" s="1">
        <f t="shared" si="4"/>
        <v>11035.5</v>
      </c>
    </row>
    <row r="19" spans="2:22" ht="14.4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0"/>
        <v>2090</v>
      </c>
      <c r="M19" s="1">
        <f t="shared" si="1"/>
        <v>278896.065</v>
      </c>
      <c r="N19" s="1">
        <f t="shared" si="2"/>
        <v>2187</v>
      </c>
      <c r="O19" s="1">
        <f t="shared" si="3"/>
        <v>1144</v>
      </c>
      <c r="P19" s="1"/>
      <c r="Q19" s="1">
        <f t="shared" si="5"/>
        <v>53439.028749999998</v>
      </c>
      <c r="R19" s="1">
        <f>(L19-'STOCK 2010'!L19)/4</f>
        <v>522.5</v>
      </c>
      <c r="S19" s="1">
        <f>(M19-'STOCK 2010'!M19)/4</f>
        <v>52916.528749999998</v>
      </c>
      <c r="T19" s="1">
        <f>(N19-'STOCK 2010'!N19)/4</f>
        <v>546.75</v>
      </c>
      <c r="U19" s="1">
        <f>(O19-'STOCK 2010'!O19)/4</f>
        <v>286</v>
      </c>
      <c r="V19" s="1">
        <f t="shared" si="4"/>
        <v>54271.778749999998</v>
      </c>
    </row>
    <row r="20" spans="2:22" ht="14.4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0"/>
        <v>11055</v>
      </c>
      <c r="M20" s="1">
        <f t="shared" si="1"/>
        <v>496910</v>
      </c>
      <c r="N20" s="1">
        <f t="shared" si="2"/>
        <v>0</v>
      </c>
      <c r="O20" s="1">
        <f t="shared" si="3"/>
        <v>85294</v>
      </c>
      <c r="P20" s="1"/>
      <c r="Q20" s="1">
        <f t="shared" si="5"/>
        <v>50922.75</v>
      </c>
      <c r="R20" s="1">
        <f>(L20-'STOCK 2010'!L20)/4</f>
        <v>1182.25</v>
      </c>
      <c r="S20" s="1">
        <f>(M20-'STOCK 2010'!M20)/4</f>
        <v>49740.5</v>
      </c>
      <c r="T20" s="1">
        <f>(N20-'STOCK 2010'!N20)/4</f>
        <v>0</v>
      </c>
      <c r="U20" s="1">
        <f>(O20-'STOCK 2010'!O20)/4</f>
        <v>12590</v>
      </c>
      <c r="V20" s="1">
        <f t="shared" si="4"/>
        <v>63512.75</v>
      </c>
    </row>
    <row r="21" spans="2:22" ht="14.4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0"/>
        <v>277894</v>
      </c>
      <c r="M21" s="1">
        <f t="shared" si="1"/>
        <v>1371.5999999999999</v>
      </c>
      <c r="N21" s="1">
        <f t="shared" si="2"/>
        <v>144174</v>
      </c>
      <c r="O21" s="1">
        <f t="shared" si="3"/>
        <v>296129</v>
      </c>
      <c r="P21" s="1"/>
      <c r="Q21" s="1">
        <f t="shared" si="5"/>
        <v>36778.25</v>
      </c>
      <c r="R21" s="1">
        <f>(L21-'STOCK 2010'!L21)/4</f>
        <v>36778.25</v>
      </c>
      <c r="S21" s="1">
        <f>(M21-'STOCK 2010'!M21)/4</f>
        <v>0</v>
      </c>
      <c r="T21" s="1">
        <f>(N21-'STOCK 2010'!N21)/4</f>
        <v>10414.75</v>
      </c>
      <c r="U21" s="1">
        <f>(O21-'STOCK 2010'!O21)/4</f>
        <v>19827</v>
      </c>
      <c r="V21" s="1">
        <f t="shared" si="4"/>
        <v>67020</v>
      </c>
    </row>
    <row r="22" spans="2:22" ht="14.4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0"/>
        <v>32157</v>
      </c>
      <c r="M22" s="1">
        <f t="shared" si="1"/>
        <v>749025.09999999998</v>
      </c>
      <c r="N22" s="1">
        <f t="shared" si="2"/>
        <v>0</v>
      </c>
      <c r="O22" s="1">
        <f t="shared" si="3"/>
        <v>38104</v>
      </c>
      <c r="P22" s="1"/>
      <c r="Q22" s="1">
        <f t="shared" si="5"/>
        <v>64014.774999999994</v>
      </c>
      <c r="R22" s="1">
        <f>(L22-'STOCK 2010'!L22)/4</f>
        <v>2804</v>
      </c>
      <c r="S22" s="1">
        <f>(M22-'STOCK 2010'!M22)/4</f>
        <v>61210.774999999994</v>
      </c>
      <c r="T22" s="1">
        <f>(N22-'STOCK 2010'!N22)/4</f>
        <v>0</v>
      </c>
      <c r="U22" s="1">
        <f>(O22-'STOCK 2010'!O22)/4</f>
        <v>3214</v>
      </c>
      <c r="V22" s="1">
        <f t="shared" si="4"/>
        <v>67228.774999999994</v>
      </c>
    </row>
    <row r="23" spans="2:22" ht="14.4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0"/>
        <v>2889</v>
      </c>
      <c r="M23" s="1">
        <f t="shared" si="1"/>
        <v>1103936.47</v>
      </c>
      <c r="N23" s="1">
        <f t="shared" si="2"/>
        <v>1551</v>
      </c>
      <c r="O23" s="1">
        <f t="shared" si="3"/>
        <v>2759</v>
      </c>
      <c r="P23" s="1"/>
      <c r="Q23" s="1">
        <f t="shared" si="5"/>
        <v>97596.184999999998</v>
      </c>
      <c r="R23" s="1">
        <f>(L23-'STOCK 2010'!L23)/4</f>
        <v>412.25</v>
      </c>
      <c r="S23" s="1">
        <f>(M23-'STOCK 2010'!M23)/4</f>
        <v>97183.934999999998</v>
      </c>
      <c r="T23" s="1">
        <f>(N23-'STOCK 2010'!N23)/4</f>
        <v>387.75</v>
      </c>
      <c r="U23" s="1">
        <f>(O23-'STOCK 2010'!O23)/4</f>
        <v>600.5</v>
      </c>
      <c r="V23" s="1">
        <f t="shared" si="4"/>
        <v>98584.434999999998</v>
      </c>
    </row>
    <row r="24" spans="2:22" ht="14.4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0"/>
        <v>507040</v>
      </c>
      <c r="M24" s="1">
        <f t="shared" si="1"/>
        <v>405640.01000000001</v>
      </c>
      <c r="N24" s="1">
        <f t="shared" si="2"/>
        <v>209089</v>
      </c>
      <c r="O24" s="1">
        <f t="shared" si="3"/>
        <v>103409</v>
      </c>
      <c r="P24" s="1"/>
      <c r="Q24" s="1">
        <f t="shared" si="5"/>
        <v>82269.07375000001</v>
      </c>
      <c r="R24" s="1">
        <f>(L24-'STOCK 2010'!L24)/4</f>
        <v>35246.75</v>
      </c>
      <c r="S24" s="1">
        <f>(M24-'STOCK 2010'!M24)/4</f>
        <v>47022.323750000003</v>
      </c>
      <c r="T24" s="1">
        <f>(N24-'STOCK 2010'!N24)/4</f>
        <v>45022.25</v>
      </c>
      <c r="U24" s="1">
        <f>(O24-'STOCK 2010'!O24)/4</f>
        <v>4668</v>
      </c>
      <c r="V24" s="1">
        <f t="shared" si="4"/>
        <v>131959.32375000001</v>
      </c>
    </row>
    <row r="25" spans="2:22" ht="14.4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0"/>
        <v>124437</v>
      </c>
      <c r="M25" s="1">
        <f t="shared" si="1"/>
        <v>619234</v>
      </c>
      <c r="N25" s="1">
        <f t="shared" si="2"/>
        <v>0</v>
      </c>
      <c r="O25" s="1">
        <f t="shared" si="3"/>
        <v>474079</v>
      </c>
      <c r="P25" s="1"/>
      <c r="Q25" s="1">
        <f t="shared" si="5"/>
        <v>61140.75</v>
      </c>
      <c r="R25" s="1">
        <f>(L25-'STOCK 2010'!L25)/4</f>
        <v>6968</v>
      </c>
      <c r="S25" s="1">
        <f>(M25-'STOCK 2010'!M25)/4</f>
        <v>54172.75</v>
      </c>
      <c r="T25" s="1">
        <f>(N25-'STOCK 2010'!N25)/4</f>
        <v>0</v>
      </c>
      <c r="U25" s="1">
        <f>(O25-'STOCK 2010'!O25)/4</f>
        <v>25348.5</v>
      </c>
      <c r="V25" s="1">
        <f t="shared" si="4"/>
        <v>86489.25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FillTable</vt:lpstr>
      <vt:lpstr>Rdw_Stock</vt:lpstr>
      <vt:lpstr>VDA_table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Johanna Markkanen</cp:lastModifiedBy>
  <dcterms:created xsi:type="dcterms:W3CDTF">2017-11-06T11:03:08Z</dcterms:created>
  <dcterms:modified xsi:type="dcterms:W3CDTF">2025-07-07T10:03:19Z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971721827983856</vt:r8>
  </property>
</Properties>
</file>