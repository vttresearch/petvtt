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_models\JRCEU\SuppXLS\"/>
    </mc:Choice>
  </mc:AlternateContent>
  <xr:revisionPtr revIDLastSave="0" documentId="13_ncr:1_{2235808D-EA0E-4E68-BF14-0726A0316954}" xr6:coauthVersionLast="47" xr6:coauthVersionMax="47" xr10:uidLastSave="{00000000-0000-0000-0000-000000000000}"/>
  <bookViews>
    <workbookView xWindow="0" yWindow="0" windowWidth="15360" windowHeight="16680" xr2:uid="{EA186669-4177-410A-A867-834A60ED8F82}"/>
  </bookViews>
  <sheets>
    <sheet name="BIO" sheetId="2" r:id="rId1"/>
    <sheet name="bioshares" sheetId="1" r:id="rId2"/>
    <sheet name="BioImport" sheetId="3" r:id="rId3"/>
  </sheets>
  <externalReferences>
    <externalReference r:id="rId4"/>
    <externalReference r:id="rId5"/>
  </externalReferences>
  <definedNames>
    <definedName name="_xlnm._FilterDatabase" localSheetId="0" hidden="1">BIO!$E$4:$AU$235</definedName>
    <definedName name="_Toc379539723" localSheetId="2">BioImport!#REF!</definedName>
    <definedName name="BE">#REF!</definedName>
    <definedName name="bel">#REF!</definedName>
    <definedName name="dsg">#REF!</definedName>
    <definedName name="Scenario">[2]BioCrops!$G$1</definedName>
    <definedName name="scenn">#REF!</definedName>
    <definedName name="Summer">#REF!</definedName>
    <definedName name="Summer1">#REF!</definedName>
    <definedName name="ToeTJ">#REF!</definedName>
    <definedName name="TSeg">#REF!</definedName>
    <definedName name="TSEG1">#REF!</definedName>
    <definedName name="TSEG2">#REF!</definedName>
    <definedName name="TSEG3">#REF!</definedName>
    <definedName name="TSEG4">#REF!</definedName>
    <definedName name="TSEG5">#REF!</definedName>
    <definedName name="Winter">#REF!</definedName>
    <definedName name="XLSIMSIM" localSheetId="0" hidden="1">{"Sim",1,"normal","'Costs'!$Q$8","1","2","100","0"}</definedName>
    <definedName name="XLSIMSIM" hidden="1">{"Sim",1,"normal","'Costs'!$Q$8","1","2","100","0"}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3" l="1"/>
  <c r="E50" i="3" s="1"/>
  <c r="E51" i="3" s="1"/>
  <c r="E48" i="3"/>
  <c r="E47" i="3"/>
  <c r="AL35" i="3"/>
  <c r="AM35" i="3" s="1"/>
  <c r="G35" i="3"/>
  <c r="AM34" i="3"/>
  <c r="AL34" i="3"/>
  <c r="G34" i="3"/>
  <c r="AL33" i="3"/>
  <c r="AM33" i="3" s="1"/>
  <c r="G33" i="3"/>
  <c r="AL32" i="3"/>
  <c r="AM32" i="3" s="1"/>
  <c r="G32" i="3"/>
  <c r="AU319" i="2"/>
  <c r="AT319" i="2"/>
  <c r="AS319" i="2"/>
  <c r="AR319" i="2"/>
  <c r="AQ319" i="2"/>
  <c r="AP319" i="2"/>
  <c r="AO319" i="2"/>
  <c r="AN319" i="2"/>
  <c r="AM319" i="2"/>
  <c r="AL319" i="2"/>
  <c r="AK319" i="2"/>
  <c r="AJ319" i="2"/>
  <c r="AI319" i="2"/>
  <c r="AH319" i="2"/>
  <c r="AH163" i="2" s="1"/>
  <c r="AG319" i="2"/>
  <c r="AF319" i="2"/>
  <c r="AF150" i="2" s="1"/>
  <c r="AE319" i="2"/>
  <c r="AD319" i="2"/>
  <c r="AC319" i="2"/>
  <c r="AC150" i="2" s="1"/>
  <c r="AB319" i="2"/>
  <c r="AB150" i="2" s="1"/>
  <c r="AA319" i="2"/>
  <c r="Z319" i="2"/>
  <c r="Z150" i="2" s="1"/>
  <c r="Y319" i="2"/>
  <c r="Y150" i="2" s="1"/>
  <c r="X319" i="2"/>
  <c r="X137" i="2" s="1"/>
  <c r="BA137" i="2" s="1"/>
  <c r="BG137" i="2" s="1"/>
  <c r="W319" i="2"/>
  <c r="V319" i="2"/>
  <c r="U319" i="2"/>
  <c r="T319" i="2"/>
  <c r="S319" i="2"/>
  <c r="R319" i="2"/>
  <c r="Q319" i="2"/>
  <c r="P319" i="2"/>
  <c r="O319" i="2"/>
  <c r="O150" i="2" s="1"/>
  <c r="N319" i="2"/>
  <c r="M319" i="2"/>
  <c r="M176" i="2" s="1"/>
  <c r="L319" i="2"/>
  <c r="AU318" i="2"/>
  <c r="AT318" i="2"/>
  <c r="AS318" i="2"/>
  <c r="AR318" i="2"/>
  <c r="AQ318" i="2"/>
  <c r="AP318" i="2"/>
  <c r="AO318" i="2"/>
  <c r="AN318" i="2"/>
  <c r="AN175" i="2" s="1"/>
  <c r="AM318" i="2"/>
  <c r="AL318" i="2"/>
  <c r="AL175" i="2" s="1"/>
  <c r="AK318" i="2"/>
  <c r="AK175" i="2" s="1"/>
  <c r="AJ318" i="2"/>
  <c r="AI318" i="2"/>
  <c r="AH318" i="2"/>
  <c r="AG318" i="2"/>
  <c r="AF318" i="2"/>
  <c r="AE318" i="2"/>
  <c r="AD318" i="2"/>
  <c r="AC318" i="2"/>
  <c r="AB318" i="2"/>
  <c r="AA318" i="2"/>
  <c r="AA162" i="2" s="1"/>
  <c r="Z318" i="2"/>
  <c r="Y318" i="2"/>
  <c r="Y175" i="2" s="1"/>
  <c r="X318" i="2"/>
  <c r="W318" i="2"/>
  <c r="V318" i="2"/>
  <c r="V149" i="2" s="1"/>
  <c r="U318" i="2"/>
  <c r="U149" i="2" s="1"/>
  <c r="T318" i="2"/>
  <c r="S318" i="2"/>
  <c r="R318" i="2"/>
  <c r="Q318" i="2"/>
  <c r="P318" i="2"/>
  <c r="O318" i="2"/>
  <c r="O149" i="2" s="1"/>
  <c r="N318" i="2"/>
  <c r="N162" i="2" s="1"/>
  <c r="M318" i="2"/>
  <c r="M162" i="2" s="1"/>
  <c r="L318" i="2"/>
  <c r="AU317" i="2"/>
  <c r="AT317" i="2"/>
  <c r="AS317" i="2"/>
  <c r="AR317" i="2"/>
  <c r="AQ317" i="2"/>
  <c r="AP317" i="2"/>
  <c r="AO317" i="2"/>
  <c r="AN317" i="2"/>
  <c r="AN161" i="2" s="1"/>
  <c r="AM317" i="2"/>
  <c r="AL317" i="2"/>
  <c r="AK317" i="2"/>
  <c r="AK174" i="2" s="1"/>
  <c r="AJ317" i="2"/>
  <c r="AI317" i="2"/>
  <c r="AH317" i="2"/>
  <c r="AG317" i="2"/>
  <c r="AF317" i="2"/>
  <c r="AE317" i="2"/>
  <c r="AD317" i="2"/>
  <c r="AC317" i="2"/>
  <c r="AB317" i="2"/>
  <c r="AA317" i="2"/>
  <c r="AA148" i="2" s="1"/>
  <c r="Z317" i="2"/>
  <c r="Y317" i="2"/>
  <c r="X317" i="2"/>
  <c r="X135" i="2" s="1"/>
  <c r="W317" i="2"/>
  <c r="V317" i="2"/>
  <c r="U317" i="2"/>
  <c r="T317" i="2"/>
  <c r="S317" i="2"/>
  <c r="R317" i="2"/>
  <c r="Q317" i="2"/>
  <c r="P317" i="2"/>
  <c r="O317" i="2"/>
  <c r="O161" i="2" s="1"/>
  <c r="N317" i="2"/>
  <c r="M317" i="2"/>
  <c r="M148" i="2" s="1"/>
  <c r="L317" i="2"/>
  <c r="AU316" i="2"/>
  <c r="AT316" i="2"/>
  <c r="AT111" i="2" s="1"/>
  <c r="AS316" i="2"/>
  <c r="AS111" i="2" s="1"/>
  <c r="AR316" i="2"/>
  <c r="AR111" i="2" s="1"/>
  <c r="AQ316" i="2"/>
  <c r="AQ111" i="2" s="1"/>
  <c r="AP316" i="2"/>
  <c r="AP111" i="2" s="1"/>
  <c r="AO316" i="2"/>
  <c r="AO111" i="2" s="1"/>
  <c r="AN316" i="2"/>
  <c r="AN111" i="2" s="1"/>
  <c r="AM316" i="2"/>
  <c r="AL316" i="2"/>
  <c r="AL111" i="2" s="1"/>
  <c r="AK316" i="2"/>
  <c r="AK111" i="2" s="1"/>
  <c r="AJ316" i="2"/>
  <c r="AI316" i="2"/>
  <c r="AH316" i="2"/>
  <c r="AG316" i="2"/>
  <c r="AF316" i="2"/>
  <c r="AE316" i="2"/>
  <c r="AD316" i="2"/>
  <c r="AC316" i="2"/>
  <c r="AB316" i="2"/>
  <c r="AA316" i="2"/>
  <c r="Z316" i="2"/>
  <c r="Z111" i="2" s="1"/>
  <c r="Y316" i="2"/>
  <c r="Y111" i="2" s="1"/>
  <c r="X316" i="2"/>
  <c r="X111" i="2" s="1"/>
  <c r="X288" i="2" s="1"/>
  <c r="W316" i="2"/>
  <c r="W111" i="2" s="1"/>
  <c r="W288" i="2" s="1"/>
  <c r="V316" i="2"/>
  <c r="V111" i="2" s="1"/>
  <c r="V288" i="2" s="1"/>
  <c r="U316" i="2"/>
  <c r="U111" i="2" s="1"/>
  <c r="U288" i="2" s="1"/>
  <c r="T316" i="2"/>
  <c r="T111" i="2" s="1"/>
  <c r="T288" i="2" s="1"/>
  <c r="S316" i="2"/>
  <c r="S111" i="2" s="1"/>
  <c r="S288" i="2" s="1"/>
  <c r="R316" i="2"/>
  <c r="R111" i="2" s="1"/>
  <c r="R288" i="2" s="1"/>
  <c r="Q316" i="2"/>
  <c r="P316" i="2"/>
  <c r="O316" i="2"/>
  <c r="O111" i="2" s="1"/>
  <c r="O288" i="2" s="1"/>
  <c r="N316" i="2"/>
  <c r="N111" i="2" s="1"/>
  <c r="N288" i="2" s="1"/>
  <c r="M316" i="2"/>
  <c r="M111" i="2" s="1"/>
  <c r="M288" i="2" s="1"/>
  <c r="L316" i="2"/>
  <c r="AU315" i="2"/>
  <c r="AT315" i="2"/>
  <c r="AS315" i="2"/>
  <c r="AR315" i="2"/>
  <c r="AQ315" i="2"/>
  <c r="AP315" i="2"/>
  <c r="AO315" i="2"/>
  <c r="AN315" i="2"/>
  <c r="AM315" i="2"/>
  <c r="AL315" i="2"/>
  <c r="AK315" i="2"/>
  <c r="AJ315" i="2"/>
  <c r="AI315" i="2"/>
  <c r="AH315" i="2"/>
  <c r="AH110" i="2" s="1"/>
  <c r="AG315" i="2"/>
  <c r="AG110" i="2" s="1"/>
  <c r="AF315" i="2"/>
  <c r="AF110" i="2" s="1"/>
  <c r="AE315" i="2"/>
  <c r="AE110" i="2" s="1"/>
  <c r="AD315" i="2"/>
  <c r="AC315" i="2"/>
  <c r="AC110" i="2" s="1"/>
  <c r="AB315" i="2"/>
  <c r="AB110" i="2" s="1"/>
  <c r="AA315" i="2"/>
  <c r="AA110" i="2" s="1"/>
  <c r="Z315" i="2"/>
  <c r="Z110" i="2" s="1"/>
  <c r="Y315" i="2"/>
  <c r="Y110" i="2" s="1"/>
  <c r="Y287" i="2" s="1"/>
  <c r="X315" i="2"/>
  <c r="X110" i="2" s="1"/>
  <c r="X287" i="2" s="1"/>
  <c r="W315" i="2"/>
  <c r="V315" i="2"/>
  <c r="U315" i="2"/>
  <c r="T315" i="2"/>
  <c r="S315" i="2"/>
  <c r="R315" i="2"/>
  <c r="R110" i="2" s="1"/>
  <c r="Q315" i="2"/>
  <c r="P315" i="2"/>
  <c r="O315" i="2"/>
  <c r="O110" i="2" s="1"/>
  <c r="O287" i="2" s="1"/>
  <c r="N315" i="2"/>
  <c r="M315" i="2"/>
  <c r="L315" i="2"/>
  <c r="AU314" i="2"/>
  <c r="AT314" i="2"/>
  <c r="AT109" i="2" s="1"/>
  <c r="AS314" i="2"/>
  <c r="AS109" i="2" s="1"/>
  <c r="AR314" i="2"/>
  <c r="AR109" i="2" s="1"/>
  <c r="AQ314" i="2"/>
  <c r="AQ109" i="2" s="1"/>
  <c r="AP314" i="2"/>
  <c r="AP109" i="2" s="1"/>
  <c r="AO314" i="2"/>
  <c r="AO109" i="2" s="1"/>
  <c r="AN314" i="2"/>
  <c r="AN109" i="2" s="1"/>
  <c r="AN286" i="2" s="1"/>
  <c r="AM314" i="2"/>
  <c r="AL314" i="2"/>
  <c r="AL109" i="2" s="1"/>
  <c r="AK314" i="2"/>
  <c r="AK109" i="2" s="1"/>
  <c r="AK286" i="2" s="1"/>
  <c r="AJ314" i="2"/>
  <c r="AI314" i="2"/>
  <c r="AH314" i="2"/>
  <c r="AG314" i="2"/>
  <c r="AF314" i="2"/>
  <c r="AE314" i="2"/>
  <c r="AD314" i="2"/>
  <c r="AC314" i="2"/>
  <c r="AB314" i="2"/>
  <c r="AA314" i="2"/>
  <c r="AA109" i="2" s="1"/>
  <c r="Z314" i="2"/>
  <c r="Z109" i="2" s="1"/>
  <c r="Y314" i="2"/>
  <c r="Y109" i="2" s="1"/>
  <c r="Y286" i="2" s="1"/>
  <c r="X314" i="2"/>
  <c r="X109" i="2" s="1"/>
  <c r="X286" i="2" s="1"/>
  <c r="W314" i="2"/>
  <c r="W109" i="2" s="1"/>
  <c r="W286" i="2" s="1"/>
  <c r="V314" i="2"/>
  <c r="V109" i="2" s="1"/>
  <c r="V286" i="2" s="1"/>
  <c r="U314" i="2"/>
  <c r="U109" i="2" s="1"/>
  <c r="U286" i="2" s="1"/>
  <c r="T314" i="2"/>
  <c r="T109" i="2" s="1"/>
  <c r="T286" i="2" s="1"/>
  <c r="S314" i="2"/>
  <c r="S109" i="2" s="1"/>
  <c r="R314" i="2"/>
  <c r="R109" i="2" s="1"/>
  <c r="Q314" i="2"/>
  <c r="P314" i="2"/>
  <c r="O314" i="2"/>
  <c r="O109" i="2" s="1"/>
  <c r="N314" i="2"/>
  <c r="N109" i="2" s="1"/>
  <c r="M314" i="2"/>
  <c r="M109" i="2" s="1"/>
  <c r="L314" i="2"/>
  <c r="AU313" i="2"/>
  <c r="AT313" i="2"/>
  <c r="AS313" i="2"/>
  <c r="AR313" i="2"/>
  <c r="AQ313" i="2"/>
  <c r="AP313" i="2"/>
  <c r="AO313" i="2"/>
  <c r="AN313" i="2"/>
  <c r="AM313" i="2"/>
  <c r="AL313" i="2"/>
  <c r="AL98" i="2" s="1"/>
  <c r="AL281" i="2" s="1"/>
  <c r="AK313" i="2"/>
  <c r="AK98" i="2" s="1"/>
  <c r="AK281" i="2" s="1"/>
  <c r="AJ313" i="2"/>
  <c r="AI313" i="2"/>
  <c r="AH313" i="2"/>
  <c r="AH98" i="2" s="1"/>
  <c r="AG313" i="2"/>
  <c r="AG98" i="2" s="1"/>
  <c r="AF313" i="2"/>
  <c r="AF98" i="2" s="1"/>
  <c r="AE313" i="2"/>
  <c r="AE98" i="2" s="1"/>
  <c r="AD313" i="2"/>
  <c r="AC313" i="2"/>
  <c r="AC98" i="2" s="1"/>
  <c r="AC281" i="2" s="1"/>
  <c r="AB313" i="2"/>
  <c r="AB98" i="2" s="1"/>
  <c r="AB281" i="2" s="1"/>
  <c r="AA313" i="2"/>
  <c r="AA98" i="2" s="1"/>
  <c r="AA281" i="2" s="1"/>
  <c r="Z313" i="2"/>
  <c r="Z98" i="2" s="1"/>
  <c r="Z281" i="2" s="1"/>
  <c r="Y313" i="2"/>
  <c r="Y98" i="2" s="1"/>
  <c r="Y281" i="2" s="1"/>
  <c r="X313" i="2"/>
  <c r="X98" i="2" s="1"/>
  <c r="X281" i="2" s="1"/>
  <c r="W313" i="2"/>
  <c r="V313" i="2"/>
  <c r="U313" i="2"/>
  <c r="T313" i="2"/>
  <c r="S313" i="2"/>
  <c r="R313" i="2"/>
  <c r="Q313" i="2"/>
  <c r="P313" i="2"/>
  <c r="O313" i="2"/>
  <c r="O98" i="2" s="1"/>
  <c r="O281" i="2" s="1"/>
  <c r="N313" i="2"/>
  <c r="M313" i="2"/>
  <c r="L313" i="2"/>
  <c r="AU312" i="2"/>
  <c r="AT312" i="2"/>
  <c r="AT97" i="2" s="1"/>
  <c r="AT280" i="2" s="1"/>
  <c r="AS312" i="2"/>
  <c r="AS97" i="2" s="1"/>
  <c r="AS280" i="2" s="1"/>
  <c r="AR312" i="2"/>
  <c r="AR97" i="2" s="1"/>
  <c r="AR280" i="2" s="1"/>
  <c r="AQ312" i="2"/>
  <c r="AP312" i="2"/>
  <c r="AP97" i="2" s="1"/>
  <c r="AP280" i="2" s="1"/>
  <c r="AO312" i="2"/>
  <c r="AO97" i="2" s="1"/>
  <c r="AO280" i="2" s="1"/>
  <c r="AN312" i="2"/>
  <c r="AN97" i="2" s="1"/>
  <c r="AN280" i="2" s="1"/>
  <c r="AM312" i="2"/>
  <c r="AL312" i="2"/>
  <c r="AL97" i="2" s="1"/>
  <c r="AL280" i="2" s="1"/>
  <c r="AK312" i="2"/>
  <c r="AK97" i="2" s="1"/>
  <c r="AK280" i="2" s="1"/>
  <c r="AJ312" i="2"/>
  <c r="AI312" i="2"/>
  <c r="AH312" i="2"/>
  <c r="AG312" i="2"/>
  <c r="AF312" i="2"/>
  <c r="AE312" i="2"/>
  <c r="AE97" i="2" s="1"/>
  <c r="AD312" i="2"/>
  <c r="AC312" i="2"/>
  <c r="AB312" i="2"/>
  <c r="AA312" i="2"/>
  <c r="AA97" i="2" s="1"/>
  <c r="AA280" i="2" s="1"/>
  <c r="Z312" i="2"/>
  <c r="Z97" i="2" s="1"/>
  <c r="Z280" i="2" s="1"/>
  <c r="Y312" i="2"/>
  <c r="Y97" i="2" s="1"/>
  <c r="Y280" i="2" s="1"/>
  <c r="X312" i="2"/>
  <c r="X97" i="2" s="1"/>
  <c r="X280" i="2" s="1"/>
  <c r="W312" i="2"/>
  <c r="W97" i="2" s="1"/>
  <c r="W280" i="2" s="1"/>
  <c r="V312" i="2"/>
  <c r="V97" i="2" s="1"/>
  <c r="V280" i="2" s="1"/>
  <c r="U312" i="2"/>
  <c r="U97" i="2" s="1"/>
  <c r="U280" i="2" s="1"/>
  <c r="T312" i="2"/>
  <c r="S312" i="2"/>
  <c r="S97" i="2" s="1"/>
  <c r="S280" i="2" s="1"/>
  <c r="R312" i="2"/>
  <c r="Q312" i="2"/>
  <c r="P312" i="2"/>
  <c r="O312" i="2"/>
  <c r="O97" i="2" s="1"/>
  <c r="O280" i="2" s="1"/>
  <c r="N312" i="2"/>
  <c r="N97" i="2" s="1"/>
  <c r="N280" i="2" s="1"/>
  <c r="M312" i="2"/>
  <c r="M97" i="2" s="1"/>
  <c r="M280" i="2" s="1"/>
  <c r="L312" i="2"/>
  <c r="AU311" i="2"/>
  <c r="AT311" i="2"/>
  <c r="AS311" i="2"/>
  <c r="AR311" i="2"/>
  <c r="AQ311" i="2"/>
  <c r="AP311" i="2"/>
  <c r="AO311" i="2"/>
  <c r="AN311" i="2"/>
  <c r="AN96" i="2" s="1"/>
  <c r="AM311" i="2"/>
  <c r="AL311" i="2"/>
  <c r="AL96" i="2" s="1"/>
  <c r="AL95" i="2" s="1"/>
  <c r="AK311" i="2"/>
  <c r="AK96" i="2" s="1"/>
  <c r="AK95" i="2" s="1"/>
  <c r="AJ311" i="2"/>
  <c r="AI311" i="2"/>
  <c r="AH311" i="2"/>
  <c r="AH96" i="2" s="1"/>
  <c r="AG311" i="2"/>
  <c r="AG96" i="2" s="1"/>
  <c r="AF311" i="2"/>
  <c r="AF96" i="2" s="1"/>
  <c r="AF279" i="2" s="1"/>
  <c r="AE311" i="2"/>
  <c r="AE96" i="2" s="1"/>
  <c r="AE279" i="2" s="1"/>
  <c r="AD311" i="2"/>
  <c r="AC311" i="2"/>
  <c r="AC96" i="2" s="1"/>
  <c r="AC279" i="2" s="1"/>
  <c r="AB311" i="2"/>
  <c r="AB96" i="2" s="1"/>
  <c r="AA311" i="2"/>
  <c r="AA96" i="2" s="1"/>
  <c r="Z311" i="2"/>
  <c r="Z96" i="2" s="1"/>
  <c r="Z95" i="2" s="1"/>
  <c r="Z278" i="2" s="1"/>
  <c r="Y311" i="2"/>
  <c r="Y96" i="2" s="1"/>
  <c r="X311" i="2"/>
  <c r="X96" i="2" s="1"/>
  <c r="W311" i="2"/>
  <c r="V311" i="2"/>
  <c r="U311" i="2"/>
  <c r="T311" i="2"/>
  <c r="T96" i="2" s="1"/>
  <c r="S311" i="2"/>
  <c r="S96" i="2" s="1"/>
  <c r="R311" i="2"/>
  <c r="Q311" i="2"/>
  <c r="P311" i="2"/>
  <c r="O311" i="2"/>
  <c r="O96" i="2" s="1"/>
  <c r="O279" i="2" s="1"/>
  <c r="N311" i="2"/>
  <c r="N96" i="2" s="1"/>
  <c r="M311" i="2"/>
  <c r="M96" i="2" s="1"/>
  <c r="L311" i="2"/>
  <c r="AU310" i="2"/>
  <c r="AT310" i="2"/>
  <c r="AS310" i="2"/>
  <c r="AS10" i="2" s="1"/>
  <c r="AR310" i="2"/>
  <c r="AR10" i="2" s="1"/>
  <c r="AQ310" i="2"/>
  <c r="AQ49" i="2" s="1"/>
  <c r="AP310" i="2"/>
  <c r="AP23" i="2" s="1"/>
  <c r="AO310" i="2"/>
  <c r="AO23" i="2" s="1"/>
  <c r="AN310" i="2"/>
  <c r="AN36" i="2" s="1"/>
  <c r="AM310" i="2"/>
  <c r="AL310" i="2"/>
  <c r="AL23" i="2" s="1"/>
  <c r="AK310" i="2"/>
  <c r="AK23" i="2" s="1"/>
  <c r="AJ310" i="2"/>
  <c r="AI310" i="2"/>
  <c r="AH310" i="2"/>
  <c r="AG310" i="2"/>
  <c r="AG10" i="2" s="1"/>
  <c r="AF310" i="2"/>
  <c r="AE310" i="2"/>
  <c r="AD310" i="2"/>
  <c r="AC310" i="2"/>
  <c r="AB310" i="2"/>
  <c r="AB73" i="2" s="1"/>
  <c r="AA310" i="2"/>
  <c r="AA73" i="2" s="1"/>
  <c r="Z310" i="2"/>
  <c r="Z23" i="2" s="1"/>
  <c r="Y310" i="2"/>
  <c r="X310" i="2"/>
  <c r="X23" i="2" s="1"/>
  <c r="W310" i="2"/>
  <c r="W36" i="2" s="1"/>
  <c r="V310" i="2"/>
  <c r="V73" i="2" s="1"/>
  <c r="U310" i="2"/>
  <c r="U23" i="2" s="1"/>
  <c r="T310" i="2"/>
  <c r="T23" i="2" s="1"/>
  <c r="S310" i="2"/>
  <c r="S61" i="2" s="1"/>
  <c r="R310" i="2"/>
  <c r="R49" i="2" s="1"/>
  <c r="Q310" i="2"/>
  <c r="P310" i="2"/>
  <c r="O310" i="2"/>
  <c r="O61" i="2" s="1"/>
  <c r="N310" i="2"/>
  <c r="N23" i="2" s="1"/>
  <c r="M310" i="2"/>
  <c r="L310" i="2"/>
  <c r="AU309" i="2"/>
  <c r="AT309" i="2"/>
  <c r="AS309" i="2"/>
  <c r="AR309" i="2"/>
  <c r="AR48" i="2" s="1"/>
  <c r="AQ309" i="2"/>
  <c r="AP309" i="2"/>
  <c r="AP72" i="2" s="1"/>
  <c r="AO309" i="2"/>
  <c r="AN309" i="2"/>
  <c r="AN9" i="2" s="1"/>
  <c r="AM309" i="2"/>
  <c r="AL309" i="2"/>
  <c r="AK309" i="2"/>
  <c r="AJ309" i="2"/>
  <c r="AI309" i="2"/>
  <c r="AH309" i="2"/>
  <c r="AH48" i="2" s="1"/>
  <c r="AG309" i="2"/>
  <c r="AG48" i="2" s="1"/>
  <c r="AF309" i="2"/>
  <c r="AF22" i="2" s="1"/>
  <c r="AE309" i="2"/>
  <c r="AE9" i="2" s="1"/>
  <c r="AD309" i="2"/>
  <c r="AC309" i="2"/>
  <c r="AC48" i="2" s="1"/>
  <c r="AB309" i="2"/>
  <c r="AB60" i="2" s="1"/>
  <c r="AA309" i="2"/>
  <c r="AA72" i="2" s="1"/>
  <c r="Z309" i="2"/>
  <c r="Z72" i="2" s="1"/>
  <c r="Y309" i="2"/>
  <c r="Y48" i="2" s="1"/>
  <c r="X309" i="2"/>
  <c r="X72" i="2" s="1"/>
  <c r="W309" i="2"/>
  <c r="V309" i="2"/>
  <c r="V22" i="2" s="1"/>
  <c r="U309" i="2"/>
  <c r="T309" i="2"/>
  <c r="T9" i="2" s="1"/>
  <c r="S309" i="2"/>
  <c r="R309" i="2"/>
  <c r="Q309" i="2"/>
  <c r="P309" i="2"/>
  <c r="O309" i="2"/>
  <c r="O35" i="2" s="1"/>
  <c r="N309" i="2"/>
  <c r="M309" i="2"/>
  <c r="L309" i="2"/>
  <c r="AU308" i="2"/>
  <c r="AT308" i="2"/>
  <c r="AT21" i="2" s="1"/>
  <c r="AT20" i="2" s="1"/>
  <c r="AS308" i="2"/>
  <c r="AS34" i="2" s="1"/>
  <c r="AS33" i="2" s="1"/>
  <c r="AR308" i="2"/>
  <c r="AR34" i="2" s="1"/>
  <c r="AR33" i="2" s="1"/>
  <c r="AQ308" i="2"/>
  <c r="AQ71" i="2" s="1"/>
  <c r="AQ70" i="2" s="1"/>
  <c r="AP308" i="2"/>
  <c r="AO308" i="2"/>
  <c r="AN308" i="2"/>
  <c r="AN8" i="2" s="1"/>
  <c r="AM308" i="2"/>
  <c r="AL308" i="2"/>
  <c r="AK308" i="2"/>
  <c r="AJ308" i="2"/>
  <c r="AI308" i="2"/>
  <c r="AH308" i="2"/>
  <c r="AG308" i="2"/>
  <c r="AF308" i="2"/>
  <c r="AE308" i="2"/>
  <c r="AD308" i="2"/>
  <c r="AC308" i="2"/>
  <c r="AB308" i="2"/>
  <c r="AB59" i="2" s="1"/>
  <c r="AB58" i="2" s="1"/>
  <c r="AA308" i="2"/>
  <c r="AA34" i="2" s="1"/>
  <c r="AA33" i="2" s="1"/>
  <c r="Z308" i="2"/>
  <c r="Y308" i="2"/>
  <c r="X308" i="2"/>
  <c r="W308" i="2"/>
  <c r="W21" i="2" s="1"/>
  <c r="W20" i="2" s="1"/>
  <c r="V308" i="2"/>
  <c r="V34" i="2" s="1"/>
  <c r="V33" i="2" s="1"/>
  <c r="U308" i="2"/>
  <c r="U71" i="2" s="1"/>
  <c r="U70" i="2" s="1"/>
  <c r="T308" i="2"/>
  <c r="T8" i="2" s="1"/>
  <c r="T7" i="2" s="1"/>
  <c r="S308" i="2"/>
  <c r="S34" i="2" s="1"/>
  <c r="S33" i="2" s="1"/>
  <c r="R308" i="2"/>
  <c r="R47" i="2" s="1"/>
  <c r="R46" i="2" s="1"/>
  <c r="Q308" i="2"/>
  <c r="P308" i="2"/>
  <c r="O308" i="2"/>
  <c r="O34" i="2" s="1"/>
  <c r="O33" i="2" s="1"/>
  <c r="N308" i="2"/>
  <c r="N34" i="2" s="1"/>
  <c r="N33" i="2" s="1"/>
  <c r="M308" i="2"/>
  <c r="M71" i="2" s="1"/>
  <c r="L308" i="2"/>
  <c r="AU307" i="2"/>
  <c r="AT307" i="2"/>
  <c r="AS307" i="2"/>
  <c r="AR307" i="2"/>
  <c r="AQ307" i="2"/>
  <c r="AQ202" i="2" s="1"/>
  <c r="AP307" i="2"/>
  <c r="AP85" i="2" s="1"/>
  <c r="AO307" i="2"/>
  <c r="AO85" i="2" s="1"/>
  <c r="AN307" i="2"/>
  <c r="AM307" i="2"/>
  <c r="AL307" i="2"/>
  <c r="AK307" i="2"/>
  <c r="AJ307" i="2"/>
  <c r="AI307" i="2"/>
  <c r="AH307" i="2"/>
  <c r="AH189" i="2" s="1"/>
  <c r="AG307" i="2"/>
  <c r="AG189" i="2" s="1"/>
  <c r="AF307" i="2"/>
  <c r="AF189" i="2" s="1"/>
  <c r="AE307" i="2"/>
  <c r="AE189" i="2" s="1"/>
  <c r="AD307" i="2"/>
  <c r="AC307" i="2"/>
  <c r="AC202" i="2" s="1"/>
  <c r="AB307" i="2"/>
  <c r="AB189" i="2" s="1"/>
  <c r="AA307" i="2"/>
  <c r="AA85" i="2" s="1"/>
  <c r="Z307" i="2"/>
  <c r="Z202" i="2" s="1"/>
  <c r="Y307" i="2"/>
  <c r="Y202" i="2" s="1"/>
  <c r="X307" i="2"/>
  <c r="W307" i="2"/>
  <c r="V307" i="2"/>
  <c r="U307" i="2"/>
  <c r="T307" i="2"/>
  <c r="T189" i="2" s="1"/>
  <c r="S307" i="2"/>
  <c r="S189" i="2" s="1"/>
  <c r="R307" i="2"/>
  <c r="R189" i="2" s="1"/>
  <c r="Q307" i="2"/>
  <c r="P307" i="2"/>
  <c r="O307" i="2"/>
  <c r="O189" i="2" s="1"/>
  <c r="N307" i="2"/>
  <c r="N189" i="2" s="1"/>
  <c r="M307" i="2"/>
  <c r="M85" i="2" s="1"/>
  <c r="L307" i="2"/>
  <c r="AU306" i="2"/>
  <c r="AT306" i="2"/>
  <c r="AT188" i="2" s="1"/>
  <c r="AS306" i="2"/>
  <c r="AS188" i="2" s="1"/>
  <c r="AR306" i="2"/>
  <c r="AR188" i="2" s="1"/>
  <c r="AQ306" i="2"/>
  <c r="AQ188" i="2" s="1"/>
  <c r="AP306" i="2"/>
  <c r="AP84" i="2" s="1"/>
  <c r="AO306" i="2"/>
  <c r="AN306" i="2"/>
  <c r="AN201" i="2" s="1"/>
  <c r="AM306" i="2"/>
  <c r="AL306" i="2"/>
  <c r="AL84" i="2" s="1"/>
  <c r="AK306" i="2"/>
  <c r="AK188" i="2" s="1"/>
  <c r="AJ306" i="2"/>
  <c r="AI306" i="2"/>
  <c r="AH306" i="2"/>
  <c r="AG306" i="2"/>
  <c r="AG188" i="2" s="1"/>
  <c r="AF306" i="2"/>
  <c r="AF188" i="2" s="1"/>
  <c r="AE306" i="2"/>
  <c r="AD306" i="2"/>
  <c r="AC306" i="2"/>
  <c r="AB306" i="2"/>
  <c r="AB201" i="2" s="1"/>
  <c r="AA306" i="2"/>
  <c r="AA84" i="2" s="1"/>
  <c r="Z306" i="2"/>
  <c r="Z188" i="2" s="1"/>
  <c r="Y306" i="2"/>
  <c r="X306" i="2"/>
  <c r="X188" i="2" s="1"/>
  <c r="W306" i="2"/>
  <c r="W188" i="2" s="1"/>
  <c r="V306" i="2"/>
  <c r="V84" i="2" s="1"/>
  <c r="U306" i="2"/>
  <c r="U188" i="2" s="1"/>
  <c r="T306" i="2"/>
  <c r="T201" i="2" s="1"/>
  <c r="S306" i="2"/>
  <c r="S84" i="2" s="1"/>
  <c r="R306" i="2"/>
  <c r="R201" i="2" s="1"/>
  <c r="Q306" i="2"/>
  <c r="P306" i="2"/>
  <c r="O306" i="2"/>
  <c r="O188" i="2" s="1"/>
  <c r="N306" i="2"/>
  <c r="M306" i="2"/>
  <c r="M201" i="2" s="1"/>
  <c r="L306" i="2"/>
  <c r="AU305" i="2"/>
  <c r="AT305" i="2"/>
  <c r="AT187" i="2" s="1"/>
  <c r="AS305" i="2"/>
  <c r="AR305" i="2"/>
  <c r="AQ305" i="2"/>
  <c r="AP305" i="2"/>
  <c r="AP187" i="2" s="1"/>
  <c r="AO305" i="2"/>
  <c r="AO187" i="2" s="1"/>
  <c r="AN305" i="2"/>
  <c r="AM305" i="2"/>
  <c r="AL305" i="2"/>
  <c r="AK305" i="2"/>
  <c r="AK187" i="2" s="1"/>
  <c r="AJ305" i="2"/>
  <c r="AI305" i="2"/>
  <c r="AH305" i="2"/>
  <c r="AH187" i="2" s="1"/>
  <c r="AG305" i="2"/>
  <c r="AG187" i="2" s="1"/>
  <c r="AF305" i="2"/>
  <c r="AF187" i="2" s="1"/>
  <c r="AE305" i="2"/>
  <c r="AE83" i="2" s="1"/>
  <c r="AD305" i="2"/>
  <c r="AC305" i="2"/>
  <c r="AC200" i="2" s="1"/>
  <c r="AB305" i="2"/>
  <c r="AB83" i="2" s="1"/>
  <c r="AA305" i="2"/>
  <c r="AA187" i="2" s="1"/>
  <c r="Z305" i="2"/>
  <c r="Z187" i="2" s="1"/>
  <c r="Y305" i="2"/>
  <c r="Y187" i="2" s="1"/>
  <c r="X305" i="2"/>
  <c r="X187" i="2" s="1"/>
  <c r="W305" i="2"/>
  <c r="W200" i="2" s="1"/>
  <c r="V305" i="2"/>
  <c r="V187" i="2" s="1"/>
  <c r="U305" i="2"/>
  <c r="T305" i="2"/>
  <c r="S305" i="2"/>
  <c r="R305" i="2"/>
  <c r="Q305" i="2"/>
  <c r="P305" i="2"/>
  <c r="O305" i="2"/>
  <c r="N305" i="2"/>
  <c r="M305" i="2"/>
  <c r="M200" i="2" s="1"/>
  <c r="L305" i="2"/>
  <c r="AU295" i="2"/>
  <c r="AM295" i="2"/>
  <c r="AJ295" i="2"/>
  <c r="AI295" i="2"/>
  <c r="AD295" i="2"/>
  <c r="Q295" i="2"/>
  <c r="P295" i="2"/>
  <c r="L295" i="2"/>
  <c r="AU294" i="2"/>
  <c r="AM294" i="2"/>
  <c r="AJ294" i="2"/>
  <c r="AI294" i="2"/>
  <c r="AD294" i="2"/>
  <c r="Q294" i="2"/>
  <c r="P294" i="2"/>
  <c r="L294" i="2"/>
  <c r="AU293" i="2"/>
  <c r="AM293" i="2"/>
  <c r="AJ293" i="2"/>
  <c r="AI293" i="2"/>
  <c r="AD293" i="2"/>
  <c r="Q293" i="2"/>
  <c r="P293" i="2"/>
  <c r="L293" i="2"/>
  <c r="AU292" i="2"/>
  <c r="AT292" i="2"/>
  <c r="AS292" i="2"/>
  <c r="AR292" i="2"/>
  <c r="AQ292" i="2"/>
  <c r="AP292" i="2"/>
  <c r="AO292" i="2"/>
  <c r="AN292" i="2"/>
  <c r="AM292" i="2"/>
  <c r="AL292" i="2"/>
  <c r="AK292" i="2"/>
  <c r="AJ292" i="2"/>
  <c r="AI292" i="2"/>
  <c r="AH292" i="2"/>
  <c r="AG292" i="2"/>
  <c r="AF292" i="2"/>
  <c r="AE292" i="2"/>
  <c r="AD292" i="2"/>
  <c r="AC292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O292" i="2"/>
  <c r="N292" i="2"/>
  <c r="M292" i="2"/>
  <c r="L292" i="2"/>
  <c r="AU291" i="2"/>
  <c r="AT291" i="2"/>
  <c r="AS291" i="2"/>
  <c r="AR291" i="2"/>
  <c r="AQ291" i="2"/>
  <c r="AP291" i="2"/>
  <c r="AO291" i="2"/>
  <c r="AN291" i="2"/>
  <c r="AM291" i="2"/>
  <c r="AL291" i="2"/>
  <c r="AK291" i="2"/>
  <c r="AJ291" i="2"/>
  <c r="AI291" i="2"/>
  <c r="AH291" i="2"/>
  <c r="AG291" i="2"/>
  <c r="AF291" i="2"/>
  <c r="AE291" i="2"/>
  <c r="AD291" i="2"/>
  <c r="AC291" i="2"/>
  <c r="AB291" i="2"/>
  <c r="AA291" i="2"/>
  <c r="Z291" i="2"/>
  <c r="Y291" i="2"/>
  <c r="X291" i="2"/>
  <c r="W291" i="2"/>
  <c r="V291" i="2"/>
  <c r="U291" i="2"/>
  <c r="T291" i="2"/>
  <c r="S291" i="2"/>
  <c r="R291" i="2"/>
  <c r="Q291" i="2"/>
  <c r="P291" i="2"/>
  <c r="O291" i="2"/>
  <c r="N291" i="2"/>
  <c r="M291" i="2"/>
  <c r="L291" i="2"/>
  <c r="AU290" i="2"/>
  <c r="AT290" i="2"/>
  <c r="AS290" i="2"/>
  <c r="AR290" i="2"/>
  <c r="AQ290" i="2"/>
  <c r="AP290" i="2"/>
  <c r="AO290" i="2"/>
  <c r="AN290" i="2"/>
  <c r="AM290" i="2"/>
  <c r="AL290" i="2"/>
  <c r="AK290" i="2"/>
  <c r="AJ290" i="2"/>
  <c r="AI290" i="2"/>
  <c r="AH290" i="2"/>
  <c r="AG290" i="2"/>
  <c r="AF290" i="2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N290" i="2"/>
  <c r="M290" i="2"/>
  <c r="L290" i="2"/>
  <c r="AX289" i="2"/>
  <c r="AU288" i="2"/>
  <c r="AM288" i="2"/>
  <c r="AJ288" i="2"/>
  <c r="AI288" i="2"/>
  <c r="AD288" i="2"/>
  <c r="Q288" i="2"/>
  <c r="P288" i="2"/>
  <c r="L288" i="2"/>
  <c r="AU287" i="2"/>
  <c r="AM287" i="2"/>
  <c r="AJ287" i="2"/>
  <c r="AI287" i="2"/>
  <c r="AD287" i="2"/>
  <c r="U287" i="2"/>
  <c r="T287" i="2"/>
  <c r="Q287" i="2"/>
  <c r="P287" i="2"/>
  <c r="L287" i="2"/>
  <c r="AU286" i="2"/>
  <c r="AM286" i="2"/>
  <c r="AJ286" i="2"/>
  <c r="AI286" i="2"/>
  <c r="AD286" i="2"/>
  <c r="Q286" i="2"/>
  <c r="P286" i="2"/>
  <c r="L286" i="2"/>
  <c r="AU285" i="2"/>
  <c r="AT285" i="2"/>
  <c r="AS285" i="2"/>
  <c r="AR285" i="2"/>
  <c r="AQ285" i="2"/>
  <c r="AP285" i="2"/>
  <c r="AO285" i="2"/>
  <c r="AN285" i="2"/>
  <c r="AM285" i="2"/>
  <c r="AL285" i="2"/>
  <c r="AK285" i="2"/>
  <c r="AJ285" i="2"/>
  <c r="AI285" i="2"/>
  <c r="AH285" i="2"/>
  <c r="AG285" i="2"/>
  <c r="AF285" i="2"/>
  <c r="AE285" i="2"/>
  <c r="AD285" i="2"/>
  <c r="AC285" i="2"/>
  <c r="AB285" i="2"/>
  <c r="AA285" i="2"/>
  <c r="Z285" i="2"/>
  <c r="Y285" i="2"/>
  <c r="X285" i="2"/>
  <c r="W285" i="2"/>
  <c r="V285" i="2"/>
  <c r="U285" i="2"/>
  <c r="T285" i="2"/>
  <c r="S285" i="2"/>
  <c r="R285" i="2"/>
  <c r="Q285" i="2"/>
  <c r="P285" i="2"/>
  <c r="O285" i="2"/>
  <c r="N285" i="2"/>
  <c r="M285" i="2"/>
  <c r="L285" i="2"/>
  <c r="AU284" i="2"/>
  <c r="AT284" i="2"/>
  <c r="AS284" i="2"/>
  <c r="AR284" i="2"/>
  <c r="AQ284" i="2"/>
  <c r="AP284" i="2"/>
  <c r="AO284" i="2"/>
  <c r="AN284" i="2"/>
  <c r="AM284" i="2"/>
  <c r="AL284" i="2"/>
  <c r="AK284" i="2"/>
  <c r="AJ284" i="2"/>
  <c r="AI284" i="2"/>
  <c r="AH284" i="2"/>
  <c r="AG284" i="2"/>
  <c r="AF284" i="2"/>
  <c r="AE284" i="2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N284" i="2"/>
  <c r="M284" i="2"/>
  <c r="L284" i="2"/>
  <c r="AU283" i="2"/>
  <c r="AT283" i="2"/>
  <c r="AS283" i="2"/>
  <c r="AR283" i="2"/>
  <c r="AQ283" i="2"/>
  <c r="AP283" i="2"/>
  <c r="AO283" i="2"/>
  <c r="AN283" i="2"/>
  <c r="AM283" i="2"/>
  <c r="AL283" i="2"/>
  <c r="AK283" i="2"/>
  <c r="AJ283" i="2"/>
  <c r="AI283" i="2"/>
  <c r="AH283" i="2"/>
  <c r="AG283" i="2"/>
  <c r="AF283" i="2"/>
  <c r="AE283" i="2"/>
  <c r="AD283" i="2"/>
  <c r="AC283" i="2"/>
  <c r="AB283" i="2"/>
  <c r="AA283" i="2"/>
  <c r="Z283" i="2"/>
  <c r="Y283" i="2"/>
  <c r="X283" i="2"/>
  <c r="W283" i="2"/>
  <c r="V283" i="2"/>
  <c r="U283" i="2"/>
  <c r="T283" i="2"/>
  <c r="S283" i="2"/>
  <c r="R283" i="2"/>
  <c r="Q283" i="2"/>
  <c r="P283" i="2"/>
  <c r="O283" i="2"/>
  <c r="N283" i="2"/>
  <c r="M283" i="2"/>
  <c r="L283" i="2"/>
  <c r="AX282" i="2"/>
  <c r="AU281" i="2"/>
  <c r="AQ281" i="2"/>
  <c r="AM281" i="2"/>
  <c r="AJ281" i="2"/>
  <c r="AI281" i="2"/>
  <c r="AD281" i="2"/>
  <c r="Q281" i="2"/>
  <c r="P281" i="2"/>
  <c r="L281" i="2"/>
  <c r="AU280" i="2"/>
  <c r="AQ280" i="2"/>
  <c r="AM280" i="2"/>
  <c r="AJ280" i="2"/>
  <c r="AI280" i="2"/>
  <c r="AE280" i="2"/>
  <c r="AD280" i="2"/>
  <c r="Q280" i="2"/>
  <c r="P280" i="2"/>
  <c r="L280" i="2"/>
  <c r="AU279" i="2"/>
  <c r="AQ279" i="2"/>
  <c r="AN279" i="2"/>
  <c r="AM279" i="2"/>
  <c r="AJ279" i="2"/>
  <c r="AI279" i="2"/>
  <c r="AD279" i="2"/>
  <c r="S279" i="2"/>
  <c r="Q279" i="2"/>
  <c r="P279" i="2"/>
  <c r="L279" i="2"/>
  <c r="AU278" i="2"/>
  <c r="AM278" i="2"/>
  <c r="AJ278" i="2"/>
  <c r="AI278" i="2"/>
  <c r="AD278" i="2"/>
  <c r="Q278" i="2"/>
  <c r="P278" i="2"/>
  <c r="L278" i="2"/>
  <c r="AU277" i="2"/>
  <c r="AT277" i="2"/>
  <c r="AS277" i="2"/>
  <c r="AR277" i="2"/>
  <c r="AQ277" i="2"/>
  <c r="AP277" i="2"/>
  <c r="AO277" i="2"/>
  <c r="AN277" i="2"/>
  <c r="AM277" i="2"/>
  <c r="AL277" i="2"/>
  <c r="AK277" i="2"/>
  <c r="AJ277" i="2"/>
  <c r="AI277" i="2"/>
  <c r="AH277" i="2"/>
  <c r="AG277" i="2"/>
  <c r="AF277" i="2"/>
  <c r="AE277" i="2"/>
  <c r="AD277" i="2"/>
  <c r="AC277" i="2"/>
  <c r="AB277" i="2"/>
  <c r="AA277" i="2"/>
  <c r="Z277" i="2"/>
  <c r="Y277" i="2"/>
  <c r="X277" i="2"/>
  <c r="W277" i="2"/>
  <c r="V277" i="2"/>
  <c r="U277" i="2"/>
  <c r="T277" i="2"/>
  <c r="S277" i="2"/>
  <c r="R277" i="2"/>
  <c r="Q277" i="2"/>
  <c r="P277" i="2"/>
  <c r="O277" i="2"/>
  <c r="N277" i="2"/>
  <c r="M277" i="2"/>
  <c r="L277" i="2"/>
  <c r="AU276" i="2"/>
  <c r="AT276" i="2"/>
  <c r="AS276" i="2"/>
  <c r="AR276" i="2"/>
  <c r="AQ276" i="2"/>
  <c r="AP276" i="2"/>
  <c r="AO276" i="2"/>
  <c r="AN276" i="2"/>
  <c r="AM276" i="2"/>
  <c r="AL276" i="2"/>
  <c r="AK276" i="2"/>
  <c r="AJ276" i="2"/>
  <c r="AI276" i="2"/>
  <c r="AH276" i="2"/>
  <c r="AG276" i="2"/>
  <c r="AF276" i="2"/>
  <c r="AE276" i="2"/>
  <c r="AD276" i="2"/>
  <c r="AC276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O276" i="2"/>
  <c r="N276" i="2"/>
  <c r="M276" i="2"/>
  <c r="L276" i="2"/>
  <c r="AX275" i="2"/>
  <c r="AU274" i="2"/>
  <c r="AM274" i="2"/>
  <c r="AJ274" i="2"/>
  <c r="AI274" i="2"/>
  <c r="AD274" i="2"/>
  <c r="Q274" i="2"/>
  <c r="P274" i="2"/>
  <c r="L274" i="2"/>
  <c r="AU273" i="2"/>
  <c r="AM273" i="2"/>
  <c r="AJ273" i="2"/>
  <c r="AI273" i="2"/>
  <c r="AD273" i="2"/>
  <c r="Q273" i="2"/>
  <c r="P273" i="2"/>
  <c r="L273" i="2"/>
  <c r="AU272" i="2"/>
  <c r="AM272" i="2"/>
  <c r="AJ272" i="2"/>
  <c r="AI272" i="2"/>
  <c r="AD272" i="2"/>
  <c r="Q272" i="2"/>
  <c r="P272" i="2"/>
  <c r="L272" i="2"/>
  <c r="AU271" i="2"/>
  <c r="AM271" i="2"/>
  <c r="AJ271" i="2"/>
  <c r="AI271" i="2"/>
  <c r="Q271" i="2"/>
  <c r="P271" i="2"/>
  <c r="L271" i="2"/>
  <c r="AU270" i="2"/>
  <c r="AT270" i="2"/>
  <c r="AS270" i="2"/>
  <c r="AR270" i="2"/>
  <c r="AQ270" i="2"/>
  <c r="AP270" i="2"/>
  <c r="AO270" i="2"/>
  <c r="AN270" i="2"/>
  <c r="AM270" i="2"/>
  <c r="AL270" i="2"/>
  <c r="AK270" i="2"/>
  <c r="AJ270" i="2"/>
  <c r="AI270" i="2"/>
  <c r="AH270" i="2"/>
  <c r="AG270" i="2"/>
  <c r="AF270" i="2"/>
  <c r="AE270" i="2"/>
  <c r="AD270" i="2"/>
  <c r="AC270" i="2"/>
  <c r="AB270" i="2"/>
  <c r="AA270" i="2"/>
  <c r="Z270" i="2"/>
  <c r="Y270" i="2"/>
  <c r="X270" i="2"/>
  <c r="W270" i="2"/>
  <c r="V270" i="2"/>
  <c r="U270" i="2"/>
  <c r="T270" i="2"/>
  <c r="S270" i="2"/>
  <c r="R270" i="2"/>
  <c r="Q270" i="2"/>
  <c r="P270" i="2"/>
  <c r="O270" i="2"/>
  <c r="N270" i="2"/>
  <c r="M270" i="2"/>
  <c r="L270" i="2"/>
  <c r="AU269" i="2"/>
  <c r="AT269" i="2"/>
  <c r="AS269" i="2"/>
  <c r="AR269" i="2"/>
  <c r="AQ269" i="2"/>
  <c r="AP269" i="2"/>
  <c r="AO269" i="2"/>
  <c r="AN269" i="2"/>
  <c r="AM269" i="2"/>
  <c r="AL269" i="2"/>
  <c r="AK269" i="2"/>
  <c r="AJ269" i="2"/>
  <c r="AI269" i="2"/>
  <c r="AH269" i="2"/>
  <c r="AG269" i="2"/>
  <c r="AF269" i="2"/>
  <c r="AE269" i="2"/>
  <c r="AD269" i="2"/>
  <c r="AC269" i="2"/>
  <c r="AB269" i="2"/>
  <c r="AA269" i="2"/>
  <c r="Z269" i="2"/>
  <c r="Y269" i="2"/>
  <c r="X269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AX268" i="2"/>
  <c r="AU267" i="2"/>
  <c r="AM267" i="2"/>
  <c r="AJ267" i="2"/>
  <c r="AI267" i="2"/>
  <c r="AD267" i="2"/>
  <c r="Q267" i="2"/>
  <c r="P267" i="2"/>
  <c r="L267" i="2"/>
  <c r="AU266" i="2"/>
  <c r="AM266" i="2"/>
  <c r="AJ266" i="2"/>
  <c r="AI266" i="2"/>
  <c r="AD266" i="2"/>
  <c r="Q266" i="2"/>
  <c r="P266" i="2"/>
  <c r="L266" i="2"/>
  <c r="AU265" i="2"/>
  <c r="AM265" i="2"/>
  <c r="AJ265" i="2"/>
  <c r="AI265" i="2"/>
  <c r="AD265" i="2"/>
  <c r="Q265" i="2"/>
  <c r="P265" i="2"/>
  <c r="L265" i="2"/>
  <c r="AU264" i="2"/>
  <c r="AT264" i="2"/>
  <c r="AS264" i="2"/>
  <c r="AR264" i="2"/>
  <c r="AQ264" i="2"/>
  <c r="AP264" i="2"/>
  <c r="AO264" i="2"/>
  <c r="AN264" i="2"/>
  <c r="AM264" i="2"/>
  <c r="AL264" i="2"/>
  <c r="AK264" i="2"/>
  <c r="AJ264" i="2"/>
  <c r="AI264" i="2"/>
  <c r="AH264" i="2"/>
  <c r="AG264" i="2"/>
  <c r="AF264" i="2"/>
  <c r="AE264" i="2"/>
  <c r="AD264" i="2"/>
  <c r="AC264" i="2"/>
  <c r="AB264" i="2"/>
  <c r="AA264" i="2"/>
  <c r="Z264" i="2"/>
  <c r="Y264" i="2"/>
  <c r="X264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AU263" i="2"/>
  <c r="AT263" i="2"/>
  <c r="AS263" i="2"/>
  <c r="AR263" i="2"/>
  <c r="AQ263" i="2"/>
  <c r="AP263" i="2"/>
  <c r="AO263" i="2"/>
  <c r="AN263" i="2"/>
  <c r="AM263" i="2"/>
  <c r="AL263" i="2"/>
  <c r="AK263" i="2"/>
  <c r="AJ263" i="2"/>
  <c r="AI263" i="2"/>
  <c r="AH263" i="2"/>
  <c r="AG263" i="2"/>
  <c r="AF263" i="2"/>
  <c r="AE263" i="2"/>
  <c r="AD263" i="2"/>
  <c r="AC263" i="2"/>
  <c r="AB263" i="2"/>
  <c r="AA263" i="2"/>
  <c r="Z263" i="2"/>
  <c r="Y263" i="2"/>
  <c r="X263" i="2"/>
  <c r="W263" i="2"/>
  <c r="V263" i="2"/>
  <c r="U263" i="2"/>
  <c r="T263" i="2"/>
  <c r="S263" i="2"/>
  <c r="R263" i="2"/>
  <c r="Q263" i="2"/>
  <c r="P263" i="2"/>
  <c r="O263" i="2"/>
  <c r="N263" i="2"/>
  <c r="M263" i="2"/>
  <c r="L263" i="2"/>
  <c r="AU262" i="2"/>
  <c r="AT262" i="2"/>
  <c r="AS262" i="2"/>
  <c r="AR262" i="2"/>
  <c r="AQ262" i="2"/>
  <c r="AP262" i="2"/>
  <c r="AO262" i="2"/>
  <c r="AN262" i="2"/>
  <c r="AM262" i="2"/>
  <c r="AL262" i="2"/>
  <c r="AK262" i="2"/>
  <c r="AJ262" i="2"/>
  <c r="AI262" i="2"/>
  <c r="AH262" i="2"/>
  <c r="AG262" i="2"/>
  <c r="AF262" i="2"/>
  <c r="AE262" i="2"/>
  <c r="AD262" i="2"/>
  <c r="AC262" i="2"/>
  <c r="AB262" i="2"/>
  <c r="AA262" i="2"/>
  <c r="Z262" i="2"/>
  <c r="Y262" i="2"/>
  <c r="X262" i="2"/>
  <c r="W262" i="2"/>
  <c r="V262" i="2"/>
  <c r="U262" i="2"/>
  <c r="T262" i="2"/>
  <c r="S262" i="2"/>
  <c r="R262" i="2"/>
  <c r="Q262" i="2"/>
  <c r="P262" i="2"/>
  <c r="O262" i="2"/>
  <c r="N262" i="2"/>
  <c r="M262" i="2"/>
  <c r="L262" i="2"/>
  <c r="AX261" i="2"/>
  <c r="AW261" i="2"/>
  <c r="AX260" i="2"/>
  <c r="AW260" i="2"/>
  <c r="AU259" i="2"/>
  <c r="AM259" i="2"/>
  <c r="AJ259" i="2"/>
  <c r="AI259" i="2"/>
  <c r="AD259" i="2"/>
  <c r="Q259" i="2"/>
  <c r="P259" i="2"/>
  <c r="L259" i="2"/>
  <c r="AU258" i="2"/>
  <c r="AM258" i="2"/>
  <c r="AJ258" i="2"/>
  <c r="AI258" i="2"/>
  <c r="AD258" i="2"/>
  <c r="Q258" i="2"/>
  <c r="P258" i="2"/>
  <c r="L258" i="2"/>
  <c r="AU257" i="2"/>
  <c r="AM257" i="2"/>
  <c r="AJ257" i="2"/>
  <c r="AI257" i="2"/>
  <c r="AD257" i="2"/>
  <c r="Q257" i="2"/>
  <c r="P257" i="2"/>
  <c r="L257" i="2"/>
  <c r="AU256" i="2"/>
  <c r="AM256" i="2"/>
  <c r="AJ256" i="2"/>
  <c r="AI256" i="2"/>
  <c r="AD256" i="2"/>
  <c r="Q256" i="2"/>
  <c r="P256" i="2"/>
  <c r="L256" i="2"/>
  <c r="AU255" i="2"/>
  <c r="AT255" i="2"/>
  <c r="AS255" i="2"/>
  <c r="AR255" i="2"/>
  <c r="AQ255" i="2"/>
  <c r="AP255" i="2"/>
  <c r="AO255" i="2"/>
  <c r="AN255" i="2"/>
  <c r="AM255" i="2"/>
  <c r="AL255" i="2"/>
  <c r="AK255" i="2"/>
  <c r="AJ255" i="2"/>
  <c r="AI255" i="2"/>
  <c r="AH255" i="2"/>
  <c r="AG255" i="2"/>
  <c r="AF255" i="2"/>
  <c r="AE255" i="2"/>
  <c r="AD255" i="2"/>
  <c r="AC255" i="2"/>
  <c r="AB255" i="2"/>
  <c r="AA255" i="2"/>
  <c r="Z255" i="2"/>
  <c r="Y255" i="2"/>
  <c r="X255" i="2"/>
  <c r="W255" i="2"/>
  <c r="V255" i="2"/>
  <c r="U255" i="2"/>
  <c r="T255" i="2"/>
  <c r="S255" i="2"/>
  <c r="R255" i="2"/>
  <c r="Q255" i="2"/>
  <c r="P255" i="2"/>
  <c r="O255" i="2"/>
  <c r="N255" i="2"/>
  <c r="M255" i="2"/>
  <c r="L255" i="2"/>
  <c r="AU254" i="2"/>
  <c r="AT254" i="2"/>
  <c r="AS254" i="2"/>
  <c r="AR254" i="2"/>
  <c r="AQ254" i="2"/>
  <c r="AP254" i="2"/>
  <c r="AO254" i="2"/>
  <c r="AN254" i="2"/>
  <c r="AM254" i="2"/>
  <c r="AL254" i="2"/>
  <c r="AK254" i="2"/>
  <c r="AJ254" i="2"/>
  <c r="AI254" i="2"/>
  <c r="AH254" i="2"/>
  <c r="AG254" i="2"/>
  <c r="AF254" i="2"/>
  <c r="AE254" i="2"/>
  <c r="AD254" i="2"/>
  <c r="AC254" i="2"/>
  <c r="AB254" i="2"/>
  <c r="AA254" i="2"/>
  <c r="Z254" i="2"/>
  <c r="Y254" i="2"/>
  <c r="X254" i="2"/>
  <c r="W254" i="2"/>
  <c r="V254" i="2"/>
  <c r="U254" i="2"/>
  <c r="T254" i="2"/>
  <c r="S254" i="2"/>
  <c r="R254" i="2"/>
  <c r="Q254" i="2"/>
  <c r="P254" i="2"/>
  <c r="O254" i="2"/>
  <c r="N254" i="2"/>
  <c r="M254" i="2"/>
  <c r="L254" i="2"/>
  <c r="AX253" i="2"/>
  <c r="AU252" i="2"/>
  <c r="AM252" i="2"/>
  <c r="AJ252" i="2"/>
  <c r="AI252" i="2"/>
  <c r="AD252" i="2"/>
  <c r="Q252" i="2"/>
  <c r="P252" i="2"/>
  <c r="L252" i="2"/>
  <c r="AU251" i="2"/>
  <c r="AM251" i="2"/>
  <c r="AJ251" i="2"/>
  <c r="AI251" i="2"/>
  <c r="AD251" i="2"/>
  <c r="Q251" i="2"/>
  <c r="P251" i="2"/>
  <c r="L251" i="2"/>
  <c r="AU250" i="2"/>
  <c r="AM250" i="2"/>
  <c r="AJ250" i="2"/>
  <c r="AI250" i="2"/>
  <c r="AD250" i="2"/>
  <c r="Q250" i="2"/>
  <c r="P250" i="2"/>
  <c r="L250" i="2"/>
  <c r="AU249" i="2"/>
  <c r="AT249" i="2"/>
  <c r="AS249" i="2"/>
  <c r="AR249" i="2"/>
  <c r="AQ249" i="2"/>
  <c r="AP249" i="2"/>
  <c r="AO249" i="2"/>
  <c r="AN249" i="2"/>
  <c r="AM249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AU248" i="2"/>
  <c r="AT248" i="2"/>
  <c r="AS248" i="2"/>
  <c r="AR248" i="2"/>
  <c r="AQ248" i="2"/>
  <c r="AP248" i="2"/>
  <c r="AO248" i="2"/>
  <c r="AN248" i="2"/>
  <c r="AM248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AU247" i="2"/>
  <c r="AT247" i="2"/>
  <c r="AS247" i="2"/>
  <c r="AR247" i="2"/>
  <c r="AQ247" i="2"/>
  <c r="AP247" i="2"/>
  <c r="AO247" i="2"/>
  <c r="AN247" i="2"/>
  <c r="AM247" i="2"/>
  <c r="AL247" i="2"/>
  <c r="AK247" i="2"/>
  <c r="AJ247" i="2"/>
  <c r="AI247" i="2"/>
  <c r="AH247" i="2"/>
  <c r="AG247" i="2"/>
  <c r="AF247" i="2"/>
  <c r="AE247" i="2"/>
  <c r="AD247" i="2"/>
  <c r="AC247" i="2"/>
  <c r="AB247" i="2"/>
  <c r="AA247" i="2"/>
  <c r="Z247" i="2"/>
  <c r="Y247" i="2"/>
  <c r="X247" i="2"/>
  <c r="W247" i="2"/>
  <c r="V247" i="2"/>
  <c r="U247" i="2"/>
  <c r="T247" i="2"/>
  <c r="S247" i="2"/>
  <c r="R247" i="2"/>
  <c r="Q247" i="2"/>
  <c r="P247" i="2"/>
  <c r="O247" i="2"/>
  <c r="N247" i="2"/>
  <c r="M247" i="2"/>
  <c r="L247" i="2"/>
  <c r="AX246" i="2"/>
  <c r="AU245" i="2"/>
  <c r="AM245" i="2"/>
  <c r="AJ245" i="2"/>
  <c r="AI245" i="2"/>
  <c r="AD245" i="2"/>
  <c r="Q245" i="2"/>
  <c r="P245" i="2"/>
  <c r="L245" i="2"/>
  <c r="AU244" i="2"/>
  <c r="AM244" i="2"/>
  <c r="AJ244" i="2"/>
  <c r="AI244" i="2"/>
  <c r="AD244" i="2"/>
  <c r="Q244" i="2"/>
  <c r="P244" i="2"/>
  <c r="L244" i="2"/>
  <c r="AU243" i="2"/>
  <c r="AM243" i="2"/>
  <c r="AJ243" i="2"/>
  <c r="AI243" i="2"/>
  <c r="AD243" i="2"/>
  <c r="Q243" i="2"/>
  <c r="P243" i="2"/>
  <c r="L243" i="2"/>
  <c r="AU242" i="2"/>
  <c r="AM242" i="2"/>
  <c r="AJ242" i="2"/>
  <c r="AI242" i="2"/>
  <c r="Q242" i="2"/>
  <c r="P242" i="2"/>
  <c r="L242" i="2"/>
  <c r="AU241" i="2"/>
  <c r="AT241" i="2"/>
  <c r="AS241" i="2"/>
  <c r="AR241" i="2"/>
  <c r="AQ241" i="2"/>
  <c r="AP241" i="2"/>
  <c r="AO241" i="2"/>
  <c r="AN241" i="2"/>
  <c r="AM241" i="2"/>
  <c r="AL241" i="2"/>
  <c r="AK241" i="2"/>
  <c r="AJ241" i="2"/>
  <c r="AI241" i="2"/>
  <c r="AH241" i="2"/>
  <c r="AG241" i="2"/>
  <c r="AF241" i="2"/>
  <c r="AE241" i="2"/>
  <c r="AD241" i="2"/>
  <c r="AC241" i="2"/>
  <c r="AB241" i="2"/>
  <c r="AA241" i="2"/>
  <c r="Z241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AU240" i="2"/>
  <c r="AT240" i="2"/>
  <c r="AS240" i="2"/>
  <c r="AR240" i="2"/>
  <c r="AQ240" i="2"/>
  <c r="AP240" i="2"/>
  <c r="AO240" i="2"/>
  <c r="AN240" i="2"/>
  <c r="AM240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AU231" i="2"/>
  <c r="AT231" i="2"/>
  <c r="AS231" i="2"/>
  <c r="AR231" i="2"/>
  <c r="AQ231" i="2"/>
  <c r="AP231" i="2"/>
  <c r="AO231" i="2"/>
  <c r="AN231" i="2"/>
  <c r="AM231" i="2"/>
  <c r="AL231" i="2"/>
  <c r="AK231" i="2"/>
  <c r="AJ231" i="2"/>
  <c r="AI231" i="2"/>
  <c r="AH231" i="2"/>
  <c r="AG231" i="2"/>
  <c r="AF231" i="2"/>
  <c r="AE231" i="2"/>
  <c r="AD231" i="2"/>
  <c r="AC231" i="2"/>
  <c r="AB231" i="2"/>
  <c r="AA231" i="2"/>
  <c r="Z231" i="2"/>
  <c r="Y231" i="2"/>
  <c r="W231" i="2"/>
  <c r="V231" i="2"/>
  <c r="U231" i="2"/>
  <c r="T231" i="2"/>
  <c r="S231" i="2"/>
  <c r="R231" i="2"/>
  <c r="Q231" i="2"/>
  <c r="P231" i="2"/>
  <c r="O231" i="2"/>
  <c r="N231" i="2"/>
  <c r="M231" i="2"/>
  <c r="L231" i="2"/>
  <c r="AT202" i="2"/>
  <c r="AS202" i="2"/>
  <c r="AR202" i="2"/>
  <c r="W202" i="2"/>
  <c r="V202" i="2"/>
  <c r="U202" i="2"/>
  <c r="T202" i="2"/>
  <c r="S202" i="2"/>
  <c r="R202" i="2"/>
  <c r="N202" i="2"/>
  <c r="AP201" i="2"/>
  <c r="AH201" i="2"/>
  <c r="AG201" i="2"/>
  <c r="AF201" i="2"/>
  <c r="AC201" i="2"/>
  <c r="Y201" i="2"/>
  <c r="AL200" i="2"/>
  <c r="AK200" i="2"/>
  <c r="V200" i="2"/>
  <c r="U200" i="2"/>
  <c r="T200" i="2"/>
  <c r="N200" i="2"/>
  <c r="AX199" i="2"/>
  <c r="BD199" i="2" s="1"/>
  <c r="AW198" i="2"/>
  <c r="BC198" i="2" s="1"/>
  <c r="AT189" i="2"/>
  <c r="AS189" i="2"/>
  <c r="AR189" i="2"/>
  <c r="AQ189" i="2"/>
  <c r="AK189" i="2"/>
  <c r="W189" i="2"/>
  <c r="V189" i="2"/>
  <c r="U189" i="2"/>
  <c r="AP188" i="2"/>
  <c r="AO188" i="2"/>
  <c r="AH188" i="2"/>
  <c r="AC188" i="2"/>
  <c r="AB188" i="2"/>
  <c r="Y188" i="2"/>
  <c r="AS187" i="2"/>
  <c r="AL187" i="2"/>
  <c r="W187" i="2"/>
  <c r="T187" i="2"/>
  <c r="N187" i="2"/>
  <c r="M187" i="2"/>
  <c r="AX186" i="2"/>
  <c r="BD186" i="2" s="1"/>
  <c r="AW185" i="2"/>
  <c r="BC185" i="2" s="1"/>
  <c r="AT176" i="2"/>
  <c r="AS176" i="2"/>
  <c r="AR176" i="2"/>
  <c r="AQ176" i="2"/>
  <c r="AP176" i="2"/>
  <c r="AO176" i="2"/>
  <c r="AN176" i="2"/>
  <c r="AL176" i="2"/>
  <c r="AK176" i="2"/>
  <c r="W176" i="2"/>
  <c r="V176" i="2"/>
  <c r="U176" i="2"/>
  <c r="T176" i="2"/>
  <c r="S176" i="2"/>
  <c r="R176" i="2"/>
  <c r="O176" i="2"/>
  <c r="N176" i="2"/>
  <c r="AH175" i="2"/>
  <c r="AG175" i="2"/>
  <c r="AF175" i="2"/>
  <c r="AE175" i="2"/>
  <c r="AC175" i="2"/>
  <c r="AB175" i="2"/>
  <c r="AA175" i="2"/>
  <c r="Z175" i="2"/>
  <c r="AT174" i="2"/>
  <c r="AS174" i="2"/>
  <c r="AR174" i="2"/>
  <c r="AQ174" i="2"/>
  <c r="AP174" i="2"/>
  <c r="AO174" i="2"/>
  <c r="AN174" i="2"/>
  <c r="AL174" i="2"/>
  <c r="W174" i="2"/>
  <c r="V174" i="2"/>
  <c r="U174" i="2"/>
  <c r="T174" i="2"/>
  <c r="S174" i="2"/>
  <c r="R174" i="2"/>
  <c r="O174" i="2"/>
  <c r="N174" i="2"/>
  <c r="M174" i="2"/>
  <c r="AX173" i="2"/>
  <c r="BD173" i="2" s="1"/>
  <c r="AW172" i="2"/>
  <c r="BC172" i="2" s="1"/>
  <c r="AT163" i="2"/>
  <c r="AS163" i="2"/>
  <c r="AR163" i="2"/>
  <c r="AQ163" i="2"/>
  <c r="AP163" i="2"/>
  <c r="AO163" i="2"/>
  <c r="AN163" i="2"/>
  <c r="AL163" i="2"/>
  <c r="AK163" i="2"/>
  <c r="W163" i="2"/>
  <c r="V163" i="2"/>
  <c r="U163" i="2"/>
  <c r="T163" i="2"/>
  <c r="S163" i="2"/>
  <c r="R163" i="2"/>
  <c r="N163" i="2"/>
  <c r="AH162" i="2"/>
  <c r="AG162" i="2"/>
  <c r="AF162" i="2"/>
  <c r="AE162" i="2"/>
  <c r="AC162" i="2"/>
  <c r="AB162" i="2"/>
  <c r="Z162" i="2"/>
  <c r="Y162" i="2"/>
  <c r="AT161" i="2"/>
  <c r="AS161" i="2"/>
  <c r="AR161" i="2"/>
  <c r="AQ161" i="2"/>
  <c r="AP161" i="2"/>
  <c r="AO161" i="2"/>
  <c r="AL161" i="2"/>
  <c r="W161" i="2"/>
  <c r="V161" i="2"/>
  <c r="U161" i="2"/>
  <c r="T161" i="2"/>
  <c r="S161" i="2"/>
  <c r="R161" i="2"/>
  <c r="N161" i="2"/>
  <c r="M161" i="2"/>
  <c r="AX160" i="2"/>
  <c r="BD160" i="2" s="1"/>
  <c r="AW159" i="2"/>
  <c r="BC159" i="2" s="1"/>
  <c r="AT150" i="2"/>
  <c r="AS150" i="2"/>
  <c r="AR150" i="2"/>
  <c r="AQ150" i="2"/>
  <c r="AP150" i="2"/>
  <c r="AO150" i="2"/>
  <c r="AN150" i="2"/>
  <c r="AL150" i="2"/>
  <c r="AK150" i="2"/>
  <c r="W150" i="2"/>
  <c r="V150" i="2"/>
  <c r="U150" i="2"/>
  <c r="T150" i="2"/>
  <c r="S150" i="2"/>
  <c r="R150" i="2"/>
  <c r="N150" i="2"/>
  <c r="M150" i="2"/>
  <c r="AH149" i="2"/>
  <c r="AG149" i="2"/>
  <c r="AF149" i="2"/>
  <c r="AE149" i="2"/>
  <c r="AC149" i="2"/>
  <c r="AB149" i="2"/>
  <c r="AA149" i="2"/>
  <c r="Z149" i="2"/>
  <c r="Y149" i="2"/>
  <c r="AT148" i="2"/>
  <c r="AS148" i="2"/>
  <c r="AR148" i="2"/>
  <c r="AQ148" i="2"/>
  <c r="AP148" i="2"/>
  <c r="AP293" i="2" s="1"/>
  <c r="AO148" i="2"/>
  <c r="AL148" i="2"/>
  <c r="AL293" i="2" s="1"/>
  <c r="AK148" i="2"/>
  <c r="W148" i="2"/>
  <c r="W250" i="2" s="1"/>
  <c r="V148" i="2"/>
  <c r="U148" i="2"/>
  <c r="T148" i="2"/>
  <c r="S148" i="2"/>
  <c r="R148" i="2"/>
  <c r="N148" i="2"/>
  <c r="AX147" i="2"/>
  <c r="BD147" i="2" s="1"/>
  <c r="AW146" i="2"/>
  <c r="BC146" i="2" s="1"/>
  <c r="AR137" i="2"/>
  <c r="AR135" i="2"/>
  <c r="AX134" i="2"/>
  <c r="BD134" i="2" s="1"/>
  <c r="AW133" i="2"/>
  <c r="BC133" i="2" s="1"/>
  <c r="BA124" i="2"/>
  <c r="BG124" i="2" s="1"/>
  <c r="AZ123" i="2"/>
  <c r="BF123" i="2" s="1"/>
  <c r="AY122" i="2"/>
  <c r="BE122" i="2" s="1"/>
  <c r="AX121" i="2"/>
  <c r="BD121" i="2" s="1"/>
  <c r="AW120" i="2"/>
  <c r="BC120" i="2" s="1"/>
  <c r="AQ116" i="2"/>
  <c r="AQ117" i="2" s="1"/>
  <c r="R116" i="2"/>
  <c r="R117" i="2" s="1"/>
  <c r="Q116" i="2"/>
  <c r="Q117" i="2" s="1"/>
  <c r="AU115" i="2"/>
  <c r="AU116" i="2" s="1"/>
  <c r="AU117" i="2" s="1"/>
  <c r="AT115" i="2"/>
  <c r="AT116" i="2" s="1"/>
  <c r="AT117" i="2" s="1"/>
  <c r="AS115" i="2"/>
  <c r="AS116" i="2" s="1"/>
  <c r="AS117" i="2" s="1"/>
  <c r="AR115" i="2"/>
  <c r="AR116" i="2" s="1"/>
  <c r="AR117" i="2" s="1"/>
  <c r="AQ115" i="2"/>
  <c r="AP115" i="2"/>
  <c r="AP116" i="2" s="1"/>
  <c r="AP117" i="2" s="1"/>
  <c r="AO115" i="2"/>
  <c r="AO116" i="2" s="1"/>
  <c r="AO117" i="2" s="1"/>
  <c r="AN115" i="2"/>
  <c r="AN116" i="2" s="1"/>
  <c r="AN117" i="2" s="1"/>
  <c r="AM115" i="2"/>
  <c r="AM116" i="2" s="1"/>
  <c r="AM117" i="2" s="1"/>
  <c r="AL115" i="2"/>
  <c r="AL116" i="2" s="1"/>
  <c r="AL117" i="2" s="1"/>
  <c r="AK115" i="2"/>
  <c r="AK116" i="2" s="1"/>
  <c r="AK117" i="2" s="1"/>
  <c r="AJ115" i="2"/>
  <c r="AJ116" i="2" s="1"/>
  <c r="AJ117" i="2" s="1"/>
  <c r="AI115" i="2"/>
  <c r="AI116" i="2" s="1"/>
  <c r="AI117" i="2" s="1"/>
  <c r="AH115" i="2"/>
  <c r="AH116" i="2" s="1"/>
  <c r="AH117" i="2" s="1"/>
  <c r="AG115" i="2"/>
  <c r="AG116" i="2" s="1"/>
  <c r="AG117" i="2" s="1"/>
  <c r="AF115" i="2"/>
  <c r="AF116" i="2" s="1"/>
  <c r="AF117" i="2" s="1"/>
  <c r="AE115" i="2"/>
  <c r="AE116" i="2" s="1"/>
  <c r="AE117" i="2" s="1"/>
  <c r="AD115" i="2"/>
  <c r="AD116" i="2" s="1"/>
  <c r="AD117" i="2" s="1"/>
  <c r="AC115" i="2"/>
  <c r="AC116" i="2" s="1"/>
  <c r="AC117" i="2" s="1"/>
  <c r="AB115" i="2"/>
  <c r="AB116" i="2" s="1"/>
  <c r="AB117" i="2" s="1"/>
  <c r="AA115" i="2"/>
  <c r="AA116" i="2" s="1"/>
  <c r="AA117" i="2" s="1"/>
  <c r="Z115" i="2"/>
  <c r="Z116" i="2" s="1"/>
  <c r="Z117" i="2" s="1"/>
  <c r="Y115" i="2"/>
  <c r="Y116" i="2" s="1"/>
  <c r="Y117" i="2" s="1"/>
  <c r="W115" i="2"/>
  <c r="W116" i="2" s="1"/>
  <c r="W117" i="2" s="1"/>
  <c r="V115" i="2"/>
  <c r="V116" i="2" s="1"/>
  <c r="V117" i="2" s="1"/>
  <c r="U115" i="2"/>
  <c r="U116" i="2" s="1"/>
  <c r="U117" i="2" s="1"/>
  <c r="T115" i="2"/>
  <c r="T116" i="2" s="1"/>
  <c r="T117" i="2" s="1"/>
  <c r="S115" i="2"/>
  <c r="S116" i="2" s="1"/>
  <c r="S117" i="2" s="1"/>
  <c r="R115" i="2"/>
  <c r="Q115" i="2"/>
  <c r="P115" i="2"/>
  <c r="P116" i="2" s="1"/>
  <c r="P117" i="2" s="1"/>
  <c r="O115" i="2"/>
  <c r="O116" i="2" s="1"/>
  <c r="O117" i="2" s="1"/>
  <c r="N115" i="2"/>
  <c r="N116" i="2" s="1"/>
  <c r="N117" i="2" s="1"/>
  <c r="M115" i="2"/>
  <c r="M116" i="2" s="1"/>
  <c r="M117" i="2" s="1"/>
  <c r="L115" i="2"/>
  <c r="L116" i="2" s="1"/>
  <c r="L117" i="2" s="1"/>
  <c r="AH111" i="2"/>
  <c r="AH288" i="2" s="1"/>
  <c r="AG111" i="2"/>
  <c r="AF111" i="2"/>
  <c r="AE111" i="2"/>
  <c r="AC111" i="2"/>
  <c r="AC288" i="2" s="1"/>
  <c r="AB111" i="2"/>
  <c r="AB288" i="2" s="1"/>
  <c r="AA111" i="2"/>
  <c r="AA288" i="2" s="1"/>
  <c r="AT110" i="2"/>
  <c r="AT287" i="2" s="1"/>
  <c r="AS110" i="2"/>
  <c r="AR110" i="2"/>
  <c r="AQ110" i="2"/>
  <c r="AQ287" i="2" s="1"/>
  <c r="AP110" i="2"/>
  <c r="AO110" i="2"/>
  <c r="AN110" i="2"/>
  <c r="AN287" i="2" s="1"/>
  <c r="AL110" i="2"/>
  <c r="AL287" i="2" s="1"/>
  <c r="AK110" i="2"/>
  <c r="W110" i="2"/>
  <c r="W287" i="2" s="1"/>
  <c r="V110" i="2"/>
  <c r="V287" i="2" s="1"/>
  <c r="U110" i="2"/>
  <c r="T110" i="2"/>
  <c r="S110" i="2"/>
  <c r="S287" i="2" s="1"/>
  <c r="N110" i="2"/>
  <c r="M110" i="2"/>
  <c r="AH109" i="2"/>
  <c r="AH286" i="2" s="1"/>
  <c r="AG109" i="2"/>
  <c r="AG286" i="2" s="1"/>
  <c r="AF109" i="2"/>
  <c r="AF286" i="2" s="1"/>
  <c r="AE109" i="2"/>
  <c r="AE286" i="2" s="1"/>
  <c r="AC109" i="2"/>
  <c r="AC286" i="2" s="1"/>
  <c r="AB109" i="2"/>
  <c r="AB286" i="2" s="1"/>
  <c r="AX108" i="2"/>
  <c r="BD108" i="2" s="1"/>
  <c r="AW107" i="2"/>
  <c r="BC107" i="2" s="1"/>
  <c r="AT98" i="2"/>
  <c r="AT281" i="2" s="1"/>
  <c r="AS98" i="2"/>
  <c r="AS281" i="2" s="1"/>
  <c r="AR98" i="2"/>
  <c r="AR281" i="2" s="1"/>
  <c r="AP98" i="2"/>
  <c r="AP281" i="2" s="1"/>
  <c r="AO98" i="2"/>
  <c r="AO281" i="2" s="1"/>
  <c r="AN98" i="2"/>
  <c r="AN281" i="2" s="1"/>
  <c r="W98" i="2"/>
  <c r="W281" i="2" s="1"/>
  <c r="V98" i="2"/>
  <c r="V281" i="2" s="1"/>
  <c r="U98" i="2"/>
  <c r="U281" i="2" s="1"/>
  <c r="T98" i="2"/>
  <c r="T281" i="2" s="1"/>
  <c r="S98" i="2"/>
  <c r="S281" i="2" s="1"/>
  <c r="R98" i="2"/>
  <c r="R281" i="2" s="1"/>
  <c r="N98" i="2"/>
  <c r="N281" i="2" s="1"/>
  <c r="M98" i="2"/>
  <c r="M281" i="2" s="1"/>
  <c r="AH97" i="2"/>
  <c r="AH280" i="2" s="1"/>
  <c r="AG97" i="2"/>
  <c r="AG280" i="2" s="1"/>
  <c r="AF97" i="2"/>
  <c r="AF280" i="2" s="1"/>
  <c r="AC97" i="2"/>
  <c r="AC280" i="2" s="1"/>
  <c r="AB97" i="2"/>
  <c r="AB280" i="2" s="1"/>
  <c r="R97" i="2"/>
  <c r="R280" i="2" s="1"/>
  <c r="AT96" i="2"/>
  <c r="AT279" i="2" s="1"/>
  <c r="AS96" i="2"/>
  <c r="AS95" i="2" s="1"/>
  <c r="AS278" i="2" s="1"/>
  <c r="AR96" i="2"/>
  <c r="AR279" i="2" s="1"/>
  <c r="AP96" i="2"/>
  <c r="AP279" i="2" s="1"/>
  <c r="AO96" i="2"/>
  <c r="AO95" i="2" s="1"/>
  <c r="W96" i="2"/>
  <c r="V96" i="2"/>
  <c r="U96" i="2"/>
  <c r="U279" i="2" s="1"/>
  <c r="R96" i="2"/>
  <c r="AQ95" i="2"/>
  <c r="AQ278" i="2" s="1"/>
  <c r="AP95" i="2"/>
  <c r="AN95" i="2"/>
  <c r="AN256" i="2" s="1"/>
  <c r="S95" i="2"/>
  <c r="S278" i="2" s="1"/>
  <c r="O95" i="2"/>
  <c r="AW94" i="2"/>
  <c r="BC94" i="2" s="1"/>
  <c r="AT85" i="2"/>
  <c r="AS85" i="2"/>
  <c r="AR85" i="2"/>
  <c r="AQ85" i="2"/>
  <c r="AC85" i="2"/>
  <c r="W85" i="2"/>
  <c r="V85" i="2"/>
  <c r="U85" i="2"/>
  <c r="T85" i="2"/>
  <c r="S85" i="2"/>
  <c r="R85" i="2"/>
  <c r="AH84" i="2"/>
  <c r="AG84" i="2"/>
  <c r="AF84" i="2"/>
  <c r="AC84" i="2"/>
  <c r="AB84" i="2"/>
  <c r="Y84" i="2"/>
  <c r="AL83" i="2"/>
  <c r="AK83" i="2"/>
  <c r="W83" i="2"/>
  <c r="W265" i="2" s="1"/>
  <c r="V83" i="2"/>
  <c r="T83" i="2"/>
  <c r="N83" i="2"/>
  <c r="M83" i="2"/>
  <c r="AX82" i="2"/>
  <c r="BD82" i="2" s="1"/>
  <c r="AW81" i="2"/>
  <c r="BC81" i="2" s="1"/>
  <c r="AH73" i="2"/>
  <c r="AG73" i="2"/>
  <c r="AE73" i="2"/>
  <c r="AC73" i="2"/>
  <c r="AT72" i="2"/>
  <c r="AS72" i="2"/>
  <c r="AR72" i="2"/>
  <c r="AQ72" i="2"/>
  <c r="W72" i="2"/>
  <c r="V72" i="2"/>
  <c r="U72" i="2"/>
  <c r="T72" i="2"/>
  <c r="S72" i="2"/>
  <c r="R72" i="2"/>
  <c r="AP71" i="2"/>
  <c r="AP70" i="2" s="1"/>
  <c r="AO71" i="2"/>
  <c r="AO70" i="2" s="1"/>
  <c r="AN71" i="2"/>
  <c r="AN70" i="2" s="1"/>
  <c r="AL71" i="2"/>
  <c r="AH71" i="2"/>
  <c r="AH70" i="2" s="1"/>
  <c r="AG71" i="2"/>
  <c r="AG70" i="2" s="1"/>
  <c r="AF71" i="2"/>
  <c r="AF70" i="2" s="1"/>
  <c r="AE71" i="2"/>
  <c r="AE70" i="2" s="1"/>
  <c r="AB71" i="2"/>
  <c r="AB70" i="2" s="1"/>
  <c r="AW69" i="2"/>
  <c r="BC69" i="2" s="1"/>
  <c r="AH61" i="2"/>
  <c r="AG61" i="2"/>
  <c r="AE61" i="2"/>
  <c r="AC61" i="2"/>
  <c r="AB61" i="2"/>
  <c r="R61" i="2"/>
  <c r="AT60" i="2"/>
  <c r="AS60" i="2"/>
  <c r="AR60" i="2"/>
  <c r="AQ60" i="2"/>
  <c r="AP60" i="2"/>
  <c r="AN60" i="2"/>
  <c r="AL60" i="2"/>
  <c r="AK60" i="2"/>
  <c r="W60" i="2"/>
  <c r="V60" i="2"/>
  <c r="U60" i="2"/>
  <c r="S60" i="2"/>
  <c r="R60" i="2"/>
  <c r="M60" i="2"/>
  <c r="AH59" i="2"/>
  <c r="AH58" i="2" s="1"/>
  <c r="AG59" i="2"/>
  <c r="AG58" i="2" s="1"/>
  <c r="AD58" i="2"/>
  <c r="AW57" i="2"/>
  <c r="BC57" i="2" s="1"/>
  <c r="AO49" i="2"/>
  <c r="AH49" i="2"/>
  <c r="AG49" i="2"/>
  <c r="AF49" i="2"/>
  <c r="AE49" i="2"/>
  <c r="AC49" i="2"/>
  <c r="AT48" i="2"/>
  <c r="AS48" i="2"/>
  <c r="AQ48" i="2"/>
  <c r="AP48" i="2"/>
  <c r="AO48" i="2"/>
  <c r="AN48" i="2"/>
  <c r="W48" i="2"/>
  <c r="V48" i="2"/>
  <c r="U48" i="2"/>
  <c r="T48" i="2"/>
  <c r="R48" i="2"/>
  <c r="AH47" i="2"/>
  <c r="AH46" i="2" s="1"/>
  <c r="AG47" i="2"/>
  <c r="AG46" i="2" s="1"/>
  <c r="AW45" i="2"/>
  <c r="BC45" i="2" s="1"/>
  <c r="AH36" i="2"/>
  <c r="AG36" i="2"/>
  <c r="AF36" i="2"/>
  <c r="AE36" i="2"/>
  <c r="AC36" i="2"/>
  <c r="AB36" i="2"/>
  <c r="AA36" i="2"/>
  <c r="U36" i="2"/>
  <c r="AS35" i="2"/>
  <c r="AR35" i="2"/>
  <c r="AQ35" i="2"/>
  <c r="AP35" i="2"/>
  <c r="W35" i="2"/>
  <c r="V35" i="2"/>
  <c r="U35" i="2"/>
  <c r="T35" i="2"/>
  <c r="S35" i="2"/>
  <c r="AH34" i="2"/>
  <c r="AH33" i="2" s="1"/>
  <c r="AG34" i="2"/>
  <c r="AG33" i="2" s="1"/>
  <c r="AC34" i="2"/>
  <c r="AC33" i="2" s="1"/>
  <c r="AW32" i="2"/>
  <c r="BC32" i="2" s="1"/>
  <c r="AH23" i="2"/>
  <c r="AG23" i="2"/>
  <c r="AF23" i="2"/>
  <c r="AE23" i="2"/>
  <c r="AC23" i="2"/>
  <c r="AB23" i="2"/>
  <c r="AA23" i="2"/>
  <c r="AT22" i="2"/>
  <c r="AS22" i="2"/>
  <c r="AP22" i="2"/>
  <c r="AO22" i="2"/>
  <c r="AN22" i="2"/>
  <c r="AL22" i="2"/>
  <c r="AK22" i="2"/>
  <c r="W22" i="2"/>
  <c r="U22" i="2"/>
  <c r="T22" i="2"/>
  <c r="R22" i="2"/>
  <c r="AH21" i="2"/>
  <c r="AH20" i="2" s="1"/>
  <c r="AG21" i="2"/>
  <c r="AF21" i="2"/>
  <c r="AE21" i="2"/>
  <c r="AE20" i="2" s="1"/>
  <c r="R21" i="2"/>
  <c r="R20" i="2" s="1"/>
  <c r="C20" i="2"/>
  <c r="C21" i="2" s="1"/>
  <c r="C22" i="2" s="1"/>
  <c r="C23" i="2" s="1"/>
  <c r="AW19" i="2"/>
  <c r="BC19" i="2" s="1"/>
  <c r="AH10" i="2"/>
  <c r="AF10" i="2"/>
  <c r="AE10" i="2"/>
  <c r="AC10" i="2"/>
  <c r="AS9" i="2"/>
  <c r="AR9" i="2"/>
  <c r="AP9" i="2"/>
  <c r="AO9" i="2"/>
  <c r="W9" i="2"/>
  <c r="V9" i="2"/>
  <c r="U9" i="2"/>
  <c r="M9" i="2"/>
  <c r="AP8" i="2"/>
  <c r="AP7" i="2" s="1"/>
  <c r="AO8" i="2"/>
  <c r="AH8" i="2"/>
  <c r="AH7" i="2" s="1"/>
  <c r="AG8" i="2"/>
  <c r="AG7" i="2" s="1"/>
  <c r="AF8" i="2"/>
  <c r="AF7" i="2" s="1"/>
  <c r="AE8" i="2"/>
  <c r="AW6" i="2"/>
  <c r="BC6" i="2" s="1"/>
  <c r="AN36" i="1"/>
  <c r="AN35" i="1"/>
  <c r="AN34" i="1"/>
  <c r="AN33" i="1"/>
  <c r="AN32" i="1"/>
  <c r="AN31" i="1"/>
  <c r="AN30" i="1"/>
  <c r="AN29" i="1"/>
  <c r="AN28" i="1"/>
  <c r="AN27" i="1"/>
  <c r="AN26" i="1"/>
  <c r="AN25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N10" i="1"/>
  <c r="AN9" i="1"/>
  <c r="AN8" i="1"/>
  <c r="AN7" i="1"/>
  <c r="AN6" i="1"/>
  <c r="AN5" i="1"/>
  <c r="AN4" i="1"/>
  <c r="AN3" i="1"/>
  <c r="U61" i="2" l="1"/>
  <c r="O202" i="2"/>
  <c r="V47" i="2"/>
  <c r="V46" i="2" s="1"/>
  <c r="O21" i="2"/>
  <c r="O20" i="2" s="1"/>
  <c r="W47" i="2"/>
  <c r="W46" i="2" s="1"/>
  <c r="AR295" i="2"/>
  <c r="T61" i="2"/>
  <c r="AR49" i="2"/>
  <c r="O48" i="2"/>
  <c r="S295" i="2"/>
  <c r="AA189" i="2"/>
  <c r="AC189" i="2"/>
  <c r="R84" i="2"/>
  <c r="R34" i="2"/>
  <c r="R33" i="2" s="1"/>
  <c r="R59" i="2"/>
  <c r="R58" i="2" s="1"/>
  <c r="AF95" i="2"/>
  <c r="AF278" i="2" s="1"/>
  <c r="U34" i="2"/>
  <c r="U33" i="2" s="1"/>
  <c r="O10" i="2"/>
  <c r="W34" i="2"/>
  <c r="W33" i="2" s="1"/>
  <c r="AL61" i="2"/>
  <c r="AK162" i="2"/>
  <c r="AB202" i="2"/>
  <c r="R10" i="2"/>
  <c r="AN61" i="2"/>
  <c r="R73" i="2"/>
  <c r="AR95" i="2"/>
  <c r="AR278" i="2" s="1"/>
  <c r="M163" i="2"/>
  <c r="M295" i="2" s="1"/>
  <c r="AC95" i="2"/>
  <c r="AC278" i="2" s="1"/>
  <c r="AQ273" i="2"/>
  <c r="AL257" i="2"/>
  <c r="R71" i="2"/>
  <c r="R70" i="2" s="1"/>
  <c r="U73" i="2"/>
  <c r="O148" i="2"/>
  <c r="O293" i="2" s="1"/>
  <c r="AK149" i="2"/>
  <c r="O163" i="2"/>
  <c r="AB22" i="2"/>
  <c r="T34" i="2"/>
  <c r="T33" i="2" s="1"/>
  <c r="AE48" i="2"/>
  <c r="AO36" i="2"/>
  <c r="V71" i="2"/>
  <c r="V70" i="2" s="1"/>
  <c r="AC294" i="2"/>
  <c r="AH294" i="2"/>
  <c r="R8" i="2"/>
  <c r="R272" i="2" s="1"/>
  <c r="AA71" i="2"/>
  <c r="AA70" i="2" s="1"/>
  <c r="W73" i="2"/>
  <c r="R188" i="2"/>
  <c r="R258" i="2" s="1"/>
  <c r="V265" i="2"/>
  <c r="AC267" i="2"/>
  <c r="N36" i="2"/>
  <c r="O59" i="2"/>
  <c r="O58" i="2" s="1"/>
  <c r="T73" i="2"/>
  <c r="AT95" i="2"/>
  <c r="AT278" i="2" s="1"/>
  <c r="U8" i="2"/>
  <c r="U7" i="2" s="1"/>
  <c r="AO10" i="2"/>
  <c r="AT34" i="2"/>
  <c r="AT33" i="2" s="1"/>
  <c r="T293" i="2"/>
  <c r="AH176" i="2"/>
  <c r="AE200" i="2"/>
  <c r="AC83" i="2"/>
  <c r="AC9" i="2"/>
  <c r="AB187" i="2"/>
  <c r="AC22" i="2"/>
  <c r="V8" i="2"/>
  <c r="V7" i="2" s="1"/>
  <c r="R23" i="2"/>
  <c r="M47" i="2"/>
  <c r="M46" i="2" s="1"/>
  <c r="O49" i="2"/>
  <c r="AC60" i="2"/>
  <c r="U250" i="2"/>
  <c r="R295" i="2"/>
  <c r="AA188" i="2"/>
  <c r="O36" i="2"/>
  <c r="R36" i="2"/>
  <c r="AE294" i="2"/>
  <c r="AA202" i="2"/>
  <c r="M265" i="2"/>
  <c r="AC187" i="2"/>
  <c r="AC257" i="2" s="1"/>
  <c r="AH266" i="2"/>
  <c r="N47" i="2"/>
  <c r="N46" i="2" s="1"/>
  <c r="O47" i="2"/>
  <c r="O46" i="2" s="1"/>
  <c r="AC245" i="2"/>
  <c r="AB85" i="2"/>
  <c r="AL286" i="2"/>
  <c r="AL250" i="2"/>
  <c r="AA287" i="2"/>
  <c r="AA251" i="2"/>
  <c r="AY135" i="2"/>
  <c r="BE135" i="2" s="1"/>
  <c r="X95" i="2"/>
  <c r="X278" i="2" s="1"/>
  <c r="X279" i="2"/>
  <c r="AP258" i="2"/>
  <c r="AK71" i="2"/>
  <c r="AK8" i="2"/>
  <c r="AK7" i="2" s="1"/>
  <c r="AK34" i="2"/>
  <c r="AK33" i="2" s="1"/>
  <c r="AK59" i="2"/>
  <c r="AK58" i="2" s="1"/>
  <c r="AK21" i="2"/>
  <c r="AK20" i="2" s="1"/>
  <c r="M10" i="2"/>
  <c r="M49" i="2"/>
  <c r="M36" i="2"/>
  <c r="M23" i="2"/>
  <c r="AK49" i="2"/>
  <c r="AK73" i="2"/>
  <c r="AK61" i="2"/>
  <c r="Y174" i="2"/>
  <c r="Y161" i="2"/>
  <c r="Y9" i="2"/>
  <c r="M73" i="2"/>
  <c r="Y83" i="2"/>
  <c r="X200" i="2"/>
  <c r="N201" i="2"/>
  <c r="N84" i="2"/>
  <c r="AL8" i="2"/>
  <c r="AL7" i="2" s="1"/>
  <c r="AL34" i="2"/>
  <c r="AL33" i="2" s="1"/>
  <c r="AL59" i="2"/>
  <c r="AL58" i="2" s="1"/>
  <c r="AL21" i="2"/>
  <c r="AL20" i="2" s="1"/>
  <c r="AL47" i="2"/>
  <c r="AL46" i="2" s="1"/>
  <c r="AL73" i="2"/>
  <c r="AL36" i="2"/>
  <c r="Z287" i="2"/>
  <c r="Z251" i="2"/>
  <c r="Z174" i="2"/>
  <c r="Z161" i="2"/>
  <c r="Z9" i="2"/>
  <c r="X22" i="2"/>
  <c r="X60" i="2"/>
  <c r="N73" i="2"/>
  <c r="Z83" i="2"/>
  <c r="Y200" i="2"/>
  <c r="O201" i="2"/>
  <c r="O84" i="2"/>
  <c r="M8" i="2"/>
  <c r="M7" i="2" s="1"/>
  <c r="AA9" i="2"/>
  <c r="Y22" i="2"/>
  <c r="S47" i="2"/>
  <c r="S46" i="2" s="1"/>
  <c r="Y60" i="2"/>
  <c r="O73" i="2"/>
  <c r="AA83" i="2"/>
  <c r="X148" i="2"/>
  <c r="O252" i="2"/>
  <c r="AE187" i="2"/>
  <c r="Z200" i="2"/>
  <c r="AN34" i="2"/>
  <c r="AN33" i="2" s="1"/>
  <c r="AN47" i="2"/>
  <c r="AN46" i="2" s="1"/>
  <c r="AN59" i="2"/>
  <c r="AN58" i="2" s="1"/>
  <c r="AN21" i="2"/>
  <c r="AN20" i="2" s="1"/>
  <c r="AB72" i="2"/>
  <c r="AB9" i="2"/>
  <c r="AN73" i="2"/>
  <c r="AN23" i="2"/>
  <c r="AB279" i="2"/>
  <c r="AB95" i="2"/>
  <c r="AB278" i="2" s="1"/>
  <c r="AB287" i="2"/>
  <c r="AB251" i="2"/>
  <c r="AV316" i="2"/>
  <c r="N8" i="2"/>
  <c r="N7" i="2" s="1"/>
  <c r="Z22" i="2"/>
  <c r="S36" i="2"/>
  <c r="T47" i="2"/>
  <c r="T46" i="2" s="1"/>
  <c r="Z60" i="2"/>
  <c r="Y85" i="2"/>
  <c r="Y148" i="2"/>
  <c r="AA200" i="2"/>
  <c r="AO84" i="2"/>
  <c r="AO201" i="2"/>
  <c r="AO34" i="2"/>
  <c r="AO33" i="2" s="1"/>
  <c r="AO59" i="2"/>
  <c r="AO58" i="2" s="1"/>
  <c r="AO47" i="2"/>
  <c r="AO46" i="2" s="1"/>
  <c r="AO21" i="2"/>
  <c r="AO20" i="2" s="1"/>
  <c r="AC72" i="2"/>
  <c r="AC35" i="2"/>
  <c r="AC273" i="2" s="1"/>
  <c r="AO73" i="2"/>
  <c r="AO61" i="2"/>
  <c r="AC287" i="2"/>
  <c r="AC251" i="2"/>
  <c r="O8" i="2"/>
  <c r="O7" i="2" s="1"/>
  <c r="AA22" i="2"/>
  <c r="AQ34" i="2"/>
  <c r="AQ33" i="2" s="1"/>
  <c r="T36" i="2"/>
  <c r="U47" i="2"/>
  <c r="U46" i="2" s="1"/>
  <c r="AA60" i="2"/>
  <c r="S73" i="2"/>
  <c r="Z85" i="2"/>
  <c r="R279" i="2"/>
  <c r="R95" i="2"/>
  <c r="Z148" i="2"/>
  <c r="V293" i="2"/>
  <c r="AB200" i="2"/>
  <c r="AB257" i="2" s="1"/>
  <c r="AP34" i="2"/>
  <c r="AP33" i="2" s="1"/>
  <c r="AP59" i="2"/>
  <c r="AP58" i="2" s="1"/>
  <c r="AP21" i="2"/>
  <c r="AP20" i="2" s="1"/>
  <c r="AP47" i="2"/>
  <c r="AP46" i="2" s="1"/>
  <c r="AP73" i="2"/>
  <c r="AP61" i="2"/>
  <c r="AP36" i="2"/>
  <c r="AP49" i="2"/>
  <c r="AP10" i="2"/>
  <c r="AE72" i="2"/>
  <c r="AE60" i="2"/>
  <c r="AS47" i="2"/>
  <c r="AS46" i="2" s="1"/>
  <c r="AS21" i="2"/>
  <c r="AS20" i="2" s="1"/>
  <c r="AG72" i="2"/>
  <c r="AG9" i="2"/>
  <c r="AG35" i="2"/>
  <c r="AS61" i="2"/>
  <c r="AS23" i="2"/>
  <c r="AS36" i="2"/>
  <c r="AS49" i="2"/>
  <c r="Z189" i="2"/>
  <c r="S201" i="2"/>
  <c r="AT201" i="2"/>
  <c r="AT84" i="2"/>
  <c r="AV310" i="2"/>
  <c r="U201" i="2"/>
  <c r="U293" i="2"/>
  <c r="X149" i="2"/>
  <c r="X136" i="2"/>
  <c r="S21" i="2"/>
  <c r="S20" i="2" s="1"/>
  <c r="S49" i="2"/>
  <c r="S59" i="2"/>
  <c r="S58" i="2" s="1"/>
  <c r="AS71" i="2"/>
  <c r="AS70" i="2" s="1"/>
  <c r="W84" i="2"/>
  <c r="AH85" i="2"/>
  <c r="V201" i="2"/>
  <c r="S10" i="2"/>
  <c r="T21" i="2"/>
  <c r="T20" i="2" s="1"/>
  <c r="T49" i="2"/>
  <c r="T59" i="2"/>
  <c r="T58" i="2" s="1"/>
  <c r="AT71" i="2"/>
  <c r="AT70" i="2" s="1"/>
  <c r="X84" i="2"/>
  <c r="S188" i="2"/>
  <c r="W201" i="2"/>
  <c r="AE202" i="2"/>
  <c r="X9" i="2"/>
  <c r="X83" i="2"/>
  <c r="X257" i="2" s="1"/>
  <c r="AR73" i="2"/>
  <c r="AR61" i="2"/>
  <c r="AR36" i="2"/>
  <c r="AR23" i="2"/>
  <c r="N21" i="2"/>
  <c r="N20" i="2" s="1"/>
  <c r="AH83" i="2"/>
  <c r="AH265" i="2" s="1"/>
  <c r="AH200" i="2"/>
  <c r="AT47" i="2"/>
  <c r="AT46" i="2" s="1"/>
  <c r="AA279" i="2"/>
  <c r="AA95" i="2"/>
  <c r="AA278" i="2" s="1"/>
  <c r="T10" i="2"/>
  <c r="X35" i="2"/>
  <c r="U59" i="2"/>
  <c r="U58" i="2" s="1"/>
  <c r="M149" i="2"/>
  <c r="X201" i="2"/>
  <c r="X174" i="2"/>
  <c r="X161" i="2"/>
  <c r="N49" i="2"/>
  <c r="N59" i="2"/>
  <c r="N58" i="2" s="1"/>
  <c r="T84" i="2"/>
  <c r="AE85" i="2"/>
  <c r="AE267" i="2" s="1"/>
  <c r="W8" i="2"/>
  <c r="W71" i="2"/>
  <c r="W70" i="2" s="1"/>
  <c r="W59" i="2"/>
  <c r="W58" i="2" s="1"/>
  <c r="W162" i="2"/>
  <c r="W149" i="2"/>
  <c r="AG85" i="2"/>
  <c r="AG202" i="2"/>
  <c r="AG267" i="2" s="1"/>
  <c r="AX248" i="2"/>
  <c r="AF83" i="2"/>
  <c r="AF200" i="2"/>
  <c r="AF265" i="2" s="1"/>
  <c r="AR84" i="2"/>
  <c r="AR201" i="2"/>
  <c r="AR59" i="2"/>
  <c r="AR58" i="2" s="1"/>
  <c r="AR47" i="2"/>
  <c r="AR46" i="2" s="1"/>
  <c r="AR21" i="2"/>
  <c r="AR20" i="2" s="1"/>
  <c r="AF72" i="2"/>
  <c r="AF9" i="2"/>
  <c r="AF48" i="2"/>
  <c r="AV312" i="2"/>
  <c r="AG83" i="2"/>
  <c r="AG257" i="2" s="1"/>
  <c r="AG200" i="2"/>
  <c r="AS84" i="2"/>
  <c r="AS201" i="2"/>
  <c r="AT149" i="2"/>
  <c r="AT162" i="2"/>
  <c r="N10" i="2"/>
  <c r="AG22" i="2"/>
  <c r="X163" i="2"/>
  <c r="N188" i="2"/>
  <c r="U10" i="2"/>
  <c r="U245" i="2" s="1"/>
  <c r="V21" i="2"/>
  <c r="V20" i="2" s="1"/>
  <c r="V242" i="2" s="1"/>
  <c r="Y35" i="2"/>
  <c r="M175" i="2"/>
  <c r="V188" i="2"/>
  <c r="AS8" i="2"/>
  <c r="AS7" i="2" s="1"/>
  <c r="O23" i="2"/>
  <c r="M34" i="2"/>
  <c r="M33" i="2" s="1"/>
  <c r="AB35" i="2"/>
  <c r="X48" i="2"/>
  <c r="AS59" i="2"/>
  <c r="AS58" i="2" s="1"/>
  <c r="M61" i="2"/>
  <c r="N71" i="2"/>
  <c r="N70" i="2" s="1"/>
  <c r="Z279" i="2"/>
  <c r="AQ84" i="2"/>
  <c r="AQ201" i="2"/>
  <c r="S8" i="2"/>
  <c r="AF287" i="2"/>
  <c r="AF251" i="2"/>
  <c r="M21" i="2"/>
  <c r="M20" i="2" s="1"/>
  <c r="AF60" i="2"/>
  <c r="U244" i="2"/>
  <c r="V59" i="2"/>
  <c r="V58" i="2" s="1"/>
  <c r="AA35" i="2"/>
  <c r="AE287" i="2"/>
  <c r="AE251" i="2"/>
  <c r="U84" i="2"/>
  <c r="U266" i="2" s="1"/>
  <c r="AR71" i="2"/>
  <c r="AR70" i="2" s="1"/>
  <c r="Z35" i="2"/>
  <c r="AR8" i="2"/>
  <c r="AT8" i="2"/>
  <c r="AT7" i="2" s="1"/>
  <c r="N61" i="2"/>
  <c r="O71" i="2"/>
  <c r="O70" i="2" s="1"/>
  <c r="AK10" i="2"/>
  <c r="AF35" i="2"/>
  <c r="Z48" i="2"/>
  <c r="Y72" i="2"/>
  <c r="AK84" i="2"/>
  <c r="AK201" i="2"/>
  <c r="M257" i="2"/>
  <c r="AG60" i="2"/>
  <c r="AH72" i="2"/>
  <c r="AH35" i="2"/>
  <c r="AH9" i="2"/>
  <c r="AH60" i="2"/>
  <c r="AH22" i="2"/>
  <c r="U21" i="2"/>
  <c r="U20" i="2" s="1"/>
  <c r="AK36" i="2"/>
  <c r="U49" i="2"/>
  <c r="T188" i="2"/>
  <c r="AF202" i="2"/>
  <c r="V244" i="2"/>
  <c r="AX240" i="2"/>
  <c r="BC4" i="2"/>
  <c r="AE35" i="2"/>
  <c r="AT59" i="2"/>
  <c r="AT58" i="2" s="1"/>
  <c r="S23" i="2"/>
  <c r="AL49" i="2"/>
  <c r="AL10" i="2"/>
  <c r="AA48" i="2"/>
  <c r="AN49" i="2"/>
  <c r="S71" i="2"/>
  <c r="S70" i="2" s="1"/>
  <c r="T265" i="2"/>
  <c r="AN84" i="2"/>
  <c r="AL188" i="2"/>
  <c r="AL201" i="2"/>
  <c r="AQ59" i="2"/>
  <c r="AQ58" i="2" s="1"/>
  <c r="AQ47" i="2"/>
  <c r="AQ46" i="2" s="1"/>
  <c r="AQ73" i="2"/>
  <c r="AQ36" i="2"/>
  <c r="AQ61" i="2"/>
  <c r="AE22" i="2"/>
  <c r="M59" i="2"/>
  <c r="M58" i="2" s="1"/>
  <c r="X176" i="2"/>
  <c r="Y189" i="2"/>
  <c r="Y267" i="2" s="1"/>
  <c r="AK47" i="2"/>
  <c r="AK46" i="2" s="1"/>
  <c r="AF85" i="2"/>
  <c r="X150" i="2"/>
  <c r="AS73" i="2"/>
  <c r="AH202" i="2"/>
  <c r="AN10" i="2"/>
  <c r="AB48" i="2"/>
  <c r="T71" i="2"/>
  <c r="T70" i="2" s="1"/>
  <c r="AE95" i="2"/>
  <c r="AN188" i="2"/>
  <c r="AR267" i="2"/>
  <c r="AX269" i="2"/>
  <c r="AO279" i="2"/>
  <c r="N257" i="2"/>
  <c r="AX277" i="2"/>
  <c r="S256" i="2"/>
  <c r="AX291" i="2"/>
  <c r="Y266" i="2"/>
  <c r="AX285" i="2"/>
  <c r="AW285" i="2"/>
  <c r="AW290" i="2"/>
  <c r="AW270" i="2"/>
  <c r="AQ244" i="2"/>
  <c r="AL265" i="2"/>
  <c r="AX283" i="2"/>
  <c r="O295" i="2"/>
  <c r="Y294" i="2"/>
  <c r="Z294" i="2"/>
  <c r="AA294" i="2"/>
  <c r="AS244" i="2"/>
  <c r="S293" i="2"/>
  <c r="AB294" i="2"/>
  <c r="AP286" i="2"/>
  <c r="AP250" i="2"/>
  <c r="AR286" i="2"/>
  <c r="AR250" i="2"/>
  <c r="AS286" i="2"/>
  <c r="AS250" i="2"/>
  <c r="AT250" i="2"/>
  <c r="AT286" i="2"/>
  <c r="AO288" i="2"/>
  <c r="AO252" i="2"/>
  <c r="AQ286" i="2"/>
  <c r="AQ250" i="2"/>
  <c r="N286" i="2"/>
  <c r="N250" i="2"/>
  <c r="AF288" i="2"/>
  <c r="AC163" i="2"/>
  <c r="AC176" i="2"/>
  <c r="AC295" i="2" s="1"/>
  <c r="V250" i="2"/>
  <c r="AG281" i="2"/>
  <c r="M35" i="2"/>
  <c r="M72" i="2"/>
  <c r="M22" i="2"/>
  <c r="Y73" i="2"/>
  <c r="Y61" i="2"/>
  <c r="Y10" i="2"/>
  <c r="Y49" i="2"/>
  <c r="V162" i="2"/>
  <c r="V175" i="2"/>
  <c r="V251" i="2" s="1"/>
  <c r="Z288" i="2"/>
  <c r="AP287" i="2"/>
  <c r="AR293" i="2"/>
  <c r="Z201" i="2"/>
  <c r="AW249" i="2"/>
  <c r="S252" i="2"/>
  <c r="AK279" i="2"/>
  <c r="AL162" i="2"/>
  <c r="AL149" i="2"/>
  <c r="AL251" i="2" s="1"/>
  <c r="N175" i="2"/>
  <c r="N251" i="2" s="1"/>
  <c r="AW240" i="2"/>
  <c r="AW291" i="2"/>
  <c r="AP288" i="2"/>
  <c r="AP252" i="2"/>
  <c r="AG279" i="2"/>
  <c r="AG95" i="2"/>
  <c r="Z36" i="2"/>
  <c r="AW4" i="2"/>
  <c r="N85" i="2"/>
  <c r="N252" i="2"/>
  <c r="AA201" i="2"/>
  <c r="T252" i="2"/>
  <c r="AX276" i="2"/>
  <c r="AW277" i="2"/>
  <c r="AL279" i="2"/>
  <c r="AB266" i="2"/>
  <c r="AB258" i="2"/>
  <c r="S149" i="2"/>
  <c r="S162" i="2"/>
  <c r="S175" i="2"/>
  <c r="AK85" i="2"/>
  <c r="AK202" i="2"/>
  <c r="Y21" i="2"/>
  <c r="Y20" i="2" s="1"/>
  <c r="Y8" i="2"/>
  <c r="Y59" i="2"/>
  <c r="Y58" i="2" s="1"/>
  <c r="Y71" i="2"/>
  <c r="Y70" i="2" s="1"/>
  <c r="Y47" i="2"/>
  <c r="Y46" i="2" s="1"/>
  <c r="AV309" i="2"/>
  <c r="AG163" i="2"/>
  <c r="AG150" i="2"/>
  <c r="AG176" i="2"/>
  <c r="AL202" i="2"/>
  <c r="AL85" i="2"/>
  <c r="AL189" i="2"/>
  <c r="AV311" i="2"/>
  <c r="AH174" i="2"/>
  <c r="AH161" i="2"/>
  <c r="AH148" i="2"/>
  <c r="AX247" i="2"/>
  <c r="U252" i="2"/>
  <c r="AQ256" i="2"/>
  <c r="AR259" i="2"/>
  <c r="AW276" i="2"/>
  <c r="U294" i="2"/>
  <c r="Z176" i="2"/>
  <c r="Z163" i="2"/>
  <c r="Z295" i="2" s="1"/>
  <c r="AG245" i="2"/>
  <c r="AG274" i="2"/>
  <c r="AB176" i="2"/>
  <c r="AB163" i="2"/>
  <c r="O175" i="2"/>
  <c r="AX292" i="2"/>
  <c r="AW292" i="2"/>
  <c r="X34" i="2"/>
  <c r="X33" i="2" s="1"/>
  <c r="X8" i="2"/>
  <c r="X21" i="2"/>
  <c r="X47" i="2"/>
  <c r="X46" i="2" s="1"/>
  <c r="X71" i="2"/>
  <c r="X70" i="2" s="1"/>
  <c r="X59" i="2"/>
  <c r="X58" i="2" s="1"/>
  <c r="T149" i="2"/>
  <c r="T162" i="2"/>
  <c r="T175" i="2"/>
  <c r="AE245" i="2"/>
  <c r="AQ259" i="2"/>
  <c r="AQ267" i="2"/>
  <c r="AS288" i="2"/>
  <c r="AS252" i="2"/>
  <c r="AV314" i="2"/>
  <c r="Y36" i="2"/>
  <c r="AW248" i="2"/>
  <c r="AL256" i="2"/>
  <c r="AL278" i="2"/>
  <c r="AW247" i="2"/>
  <c r="AK287" i="2"/>
  <c r="V252" i="2"/>
  <c r="M286" i="2"/>
  <c r="M250" i="2"/>
  <c r="AE288" i="2"/>
  <c r="N149" i="2"/>
  <c r="AV318" i="2"/>
  <c r="AX290" i="2"/>
  <c r="AN288" i="2"/>
  <c r="AN252" i="2"/>
  <c r="AK288" i="2"/>
  <c r="AK252" i="2"/>
  <c r="T97" i="2"/>
  <c r="T280" i="2" s="1"/>
  <c r="AW280" i="2" s="1"/>
  <c r="V36" i="2"/>
  <c r="V61" i="2"/>
  <c r="V49" i="2"/>
  <c r="V23" i="2"/>
  <c r="V10" i="2"/>
  <c r="AT10" i="2"/>
  <c r="AT23" i="2"/>
  <c r="AT36" i="2"/>
  <c r="AT73" i="2"/>
  <c r="AT61" i="2"/>
  <c r="AF281" i="2"/>
  <c r="AE150" i="2"/>
  <c r="AE163" i="2"/>
  <c r="M202" i="2"/>
  <c r="AV307" i="2"/>
  <c r="M189" i="2"/>
  <c r="U162" i="2"/>
  <c r="U175" i="2"/>
  <c r="AN187" i="2"/>
  <c r="AN83" i="2"/>
  <c r="AN200" i="2"/>
  <c r="AN85" i="2"/>
  <c r="AN189" i="2"/>
  <c r="AN202" i="2"/>
  <c r="AV315" i="2"/>
  <c r="Y34" i="2"/>
  <c r="Y33" i="2" s="1"/>
  <c r="O278" i="2"/>
  <c r="O256" i="2"/>
  <c r="W252" i="2"/>
  <c r="AS256" i="2"/>
  <c r="T250" i="2"/>
  <c r="AO175" i="2"/>
  <c r="AO162" i="2"/>
  <c r="AO149" i="2"/>
  <c r="AE281" i="2"/>
  <c r="R149" i="2"/>
  <c r="R175" i="2"/>
  <c r="AQ288" i="2"/>
  <c r="AQ252" i="2"/>
  <c r="AV308" i="2"/>
  <c r="W49" i="2"/>
  <c r="W61" i="2"/>
  <c r="W23" i="2"/>
  <c r="W10" i="2"/>
  <c r="AH279" i="2"/>
  <c r="AH95" i="2"/>
  <c r="AR149" i="2"/>
  <c r="AR162" i="2"/>
  <c r="R7" i="2"/>
  <c r="AH281" i="2"/>
  <c r="Z71" i="2"/>
  <c r="Z70" i="2" s="1"/>
  <c r="Z21" i="2"/>
  <c r="Z20" i="2" s="1"/>
  <c r="Z59" i="2"/>
  <c r="Z58" i="2" s="1"/>
  <c r="Z8" i="2"/>
  <c r="Z47" i="2"/>
  <c r="Z46" i="2" s="1"/>
  <c r="AK48" i="2"/>
  <c r="AK72" i="2"/>
  <c r="AK35" i="2"/>
  <c r="AT288" i="2"/>
  <c r="AT252" i="2"/>
  <c r="AH274" i="2"/>
  <c r="AH245" i="2"/>
  <c r="Y279" i="2"/>
  <c r="Y95" i="2"/>
  <c r="AO287" i="2"/>
  <c r="AR136" i="2"/>
  <c r="AY109" i="2"/>
  <c r="BE109" i="2" s="1"/>
  <c r="AC258" i="2"/>
  <c r="AC266" i="2"/>
  <c r="AS273" i="2"/>
  <c r="AN162" i="2"/>
  <c r="AN149" i="2"/>
  <c r="AN294" i="2" s="1"/>
  <c r="AG20" i="2"/>
  <c r="AG271" i="2" s="1"/>
  <c r="AG243" i="2"/>
  <c r="S286" i="2"/>
  <c r="S250" i="2"/>
  <c r="AP162" i="2"/>
  <c r="AP149" i="2"/>
  <c r="AL288" i="2"/>
  <c r="AL252" i="2"/>
  <c r="AE176" i="2"/>
  <c r="X61" i="2"/>
  <c r="X73" i="2"/>
  <c r="X10" i="2"/>
  <c r="X49" i="2"/>
  <c r="AL48" i="2"/>
  <c r="AL35" i="2"/>
  <c r="AL72" i="2"/>
  <c r="AY96" i="2"/>
  <c r="BE96" i="2" s="1"/>
  <c r="M279" i="2"/>
  <c r="AK256" i="2"/>
  <c r="AK278" i="2"/>
  <c r="AV313" i="2"/>
  <c r="AT259" i="2"/>
  <c r="AT267" i="2"/>
  <c r="W279" i="2"/>
  <c r="W95" i="2"/>
  <c r="AX249" i="2"/>
  <c r="O162" i="2"/>
  <c r="O294" i="2" s="1"/>
  <c r="AP175" i="2"/>
  <c r="AH271" i="2"/>
  <c r="AH242" i="2"/>
  <c r="AK9" i="2"/>
  <c r="AR175" i="2"/>
  <c r="AN7" i="2"/>
  <c r="Y258" i="2"/>
  <c r="U267" i="2"/>
  <c r="U259" i="2"/>
  <c r="AO278" i="2"/>
  <c r="AO256" i="2"/>
  <c r="AZ110" i="2"/>
  <c r="BF110" i="2" s="1"/>
  <c r="M287" i="2"/>
  <c r="U295" i="2"/>
  <c r="AT175" i="2"/>
  <c r="AW269" i="2"/>
  <c r="AA150" i="2"/>
  <c r="AA176" i="2"/>
  <c r="AA163" i="2"/>
  <c r="AF20" i="2"/>
  <c r="O286" i="2"/>
  <c r="AG288" i="2"/>
  <c r="AW241" i="2"/>
  <c r="AQ149" i="2"/>
  <c r="AQ162" i="2"/>
  <c r="AG174" i="2"/>
  <c r="AG161" i="2"/>
  <c r="AG148" i="2"/>
  <c r="X36" i="2"/>
  <c r="AS259" i="2"/>
  <c r="AS267" i="2"/>
  <c r="V279" i="2"/>
  <c r="V95" i="2"/>
  <c r="AO286" i="2"/>
  <c r="AO250" i="2"/>
  <c r="R252" i="2"/>
  <c r="AT49" i="2"/>
  <c r="Z34" i="2"/>
  <c r="Z33" i="2" s="1"/>
  <c r="R267" i="2"/>
  <c r="R259" i="2"/>
  <c r="AS287" i="2"/>
  <c r="X265" i="2"/>
  <c r="M48" i="2"/>
  <c r="V257" i="2"/>
  <c r="Z84" i="2"/>
  <c r="V267" i="2"/>
  <c r="V259" i="2"/>
  <c r="N287" i="2"/>
  <c r="Y176" i="2"/>
  <c r="Y163" i="2"/>
  <c r="AA161" i="2"/>
  <c r="AA174" i="2"/>
  <c r="AB161" i="2"/>
  <c r="AB174" i="2"/>
  <c r="R286" i="2"/>
  <c r="R250" i="2"/>
  <c r="AC161" i="2"/>
  <c r="AC174" i="2"/>
  <c r="AX241" i="2"/>
  <c r="AW283" i="2"/>
  <c r="AE161" i="2"/>
  <c r="AE174" i="2"/>
  <c r="AE148" i="2"/>
  <c r="AE293" i="2" s="1"/>
  <c r="AR288" i="2"/>
  <c r="AR252" i="2"/>
  <c r="AF174" i="2"/>
  <c r="AF161" i="2"/>
  <c r="AF148" i="2"/>
  <c r="AF293" i="2" s="1"/>
  <c r="AF176" i="2"/>
  <c r="AF163" i="2"/>
  <c r="AF252" i="2" s="1"/>
  <c r="AX254" i="2"/>
  <c r="AW254" i="2"/>
  <c r="AG287" i="2"/>
  <c r="AG251" i="2"/>
  <c r="AS149" i="2"/>
  <c r="AS162" i="2"/>
  <c r="AH287" i="2"/>
  <c r="AH251" i="2"/>
  <c r="O83" i="2"/>
  <c r="O200" i="2"/>
  <c r="AV305" i="2"/>
  <c r="O187" i="2"/>
  <c r="AA21" i="2"/>
  <c r="AA20" i="2" s="1"/>
  <c r="AA59" i="2"/>
  <c r="AA58" i="2" s="1"/>
  <c r="AA8" i="2"/>
  <c r="AA47" i="2"/>
  <c r="AA46" i="2" s="1"/>
  <c r="N48" i="2"/>
  <c r="N9" i="2"/>
  <c r="N35" i="2"/>
  <c r="N72" i="2"/>
  <c r="N22" i="2"/>
  <c r="N60" i="2"/>
  <c r="Z73" i="2"/>
  <c r="Z61" i="2"/>
  <c r="Z10" i="2"/>
  <c r="Z49" i="2"/>
  <c r="AB148" i="2"/>
  <c r="AC148" i="2"/>
  <c r="Y288" i="2"/>
  <c r="U273" i="2"/>
  <c r="O85" i="2"/>
  <c r="M95" i="2"/>
  <c r="AR287" i="2"/>
  <c r="R162" i="2"/>
  <c r="AQ175" i="2"/>
  <c r="S267" i="2"/>
  <c r="S259" i="2"/>
  <c r="AL9" i="2"/>
  <c r="Y23" i="2"/>
  <c r="T267" i="2"/>
  <c r="T259" i="2"/>
  <c r="BA98" i="2"/>
  <c r="BG98" i="2" s="1"/>
  <c r="T295" i="2"/>
  <c r="AS175" i="2"/>
  <c r="AS251" i="2" s="1"/>
  <c r="AW263" i="2"/>
  <c r="AX263" i="2"/>
  <c r="T257" i="2"/>
  <c r="AP244" i="2"/>
  <c r="V295" i="2"/>
  <c r="AO7" i="2"/>
  <c r="W257" i="2"/>
  <c r="W267" i="2"/>
  <c r="W259" i="2"/>
  <c r="W295" i="2"/>
  <c r="Y251" i="2"/>
  <c r="AX270" i="2"/>
  <c r="AP273" i="2"/>
  <c r="Z286" i="2"/>
  <c r="AV317" i="2"/>
  <c r="O60" i="2"/>
  <c r="S200" i="2"/>
  <c r="S83" i="2"/>
  <c r="AQ187" i="2"/>
  <c r="AQ200" i="2"/>
  <c r="AE188" i="2"/>
  <c r="AE201" i="2"/>
  <c r="AE84" i="2"/>
  <c r="AO72" i="2"/>
  <c r="AO60" i="2"/>
  <c r="AA250" i="2"/>
  <c r="M293" i="2"/>
  <c r="AV319" i="2"/>
  <c r="V273" i="2"/>
  <c r="AN72" i="2"/>
  <c r="AH258" i="2"/>
  <c r="AF294" i="2"/>
  <c r="AK295" i="2"/>
  <c r="AO189" i="2"/>
  <c r="AH243" i="2"/>
  <c r="AX264" i="2"/>
  <c r="AR187" i="2"/>
  <c r="AR200" i="2"/>
  <c r="AR83" i="2"/>
  <c r="AE34" i="2"/>
  <c r="AE47" i="2"/>
  <c r="AE46" i="2" s="1"/>
  <c r="AE59" i="2"/>
  <c r="AE58" i="2" s="1"/>
  <c r="R35" i="2"/>
  <c r="R9" i="2"/>
  <c r="W273" i="2"/>
  <c r="W244" i="2"/>
  <c r="AK266" i="2"/>
  <c r="AG294" i="2"/>
  <c r="AL295" i="2"/>
  <c r="AP189" i="2"/>
  <c r="AW264" i="2"/>
  <c r="N295" i="2"/>
  <c r="U187" i="2"/>
  <c r="U83" i="2"/>
  <c r="AS83" i="2"/>
  <c r="AS200" i="2"/>
  <c r="AF59" i="2"/>
  <c r="AF58" i="2" s="1"/>
  <c r="AF34" i="2"/>
  <c r="AF33" i="2" s="1"/>
  <c r="AF47" i="2"/>
  <c r="AF46" i="2" s="1"/>
  <c r="S22" i="2"/>
  <c r="S9" i="2"/>
  <c r="S48" i="2"/>
  <c r="AX262" i="2"/>
  <c r="AB47" i="2"/>
  <c r="AB46" i="2" s="1"/>
  <c r="AO295" i="2"/>
  <c r="AC259" i="2"/>
  <c r="T279" i="2"/>
  <c r="T95" i="2"/>
  <c r="T245" i="2"/>
  <c r="M70" i="2"/>
  <c r="O22" i="2"/>
  <c r="AN35" i="2"/>
  <c r="AN148" i="2"/>
  <c r="AN293" i="2" s="1"/>
  <c r="AP295" i="2"/>
  <c r="AO200" i="2"/>
  <c r="Z256" i="2"/>
  <c r="AN278" i="2"/>
  <c r="AV306" i="2"/>
  <c r="X189" i="2"/>
  <c r="X202" i="2"/>
  <c r="X85" i="2"/>
  <c r="AT35" i="2"/>
  <c r="AT9" i="2"/>
  <c r="AF266" i="2"/>
  <c r="AF258" i="2"/>
  <c r="AG266" i="2"/>
  <c r="AA267" i="2"/>
  <c r="AA259" i="2"/>
  <c r="W175" i="2"/>
  <c r="AT83" i="2"/>
  <c r="AT200" i="2"/>
  <c r="AO35" i="2"/>
  <c r="AA49" i="2"/>
  <c r="AB8" i="2"/>
  <c r="AB49" i="2"/>
  <c r="O72" i="2"/>
  <c r="AO83" i="2"/>
  <c r="AO293" i="2"/>
  <c r="AK161" i="2"/>
  <c r="AK293" i="2" s="1"/>
  <c r="AP200" i="2"/>
  <c r="AX255" i="2"/>
  <c r="R200" i="2"/>
  <c r="R83" i="2"/>
  <c r="AC21" i="2"/>
  <c r="AC20" i="2" s="1"/>
  <c r="AC47" i="2"/>
  <c r="AC46" i="2" s="1"/>
  <c r="AC71" i="2"/>
  <c r="AC70" i="2" s="1"/>
  <c r="X162" i="2"/>
  <c r="X175" i="2"/>
  <c r="AC8" i="2"/>
  <c r="AW255" i="2"/>
  <c r="AB256" i="2"/>
  <c r="AH150" i="2"/>
  <c r="AA10" i="2"/>
  <c r="AP83" i="2"/>
  <c r="R187" i="2"/>
  <c r="AO202" i="2"/>
  <c r="AE7" i="2"/>
  <c r="AB10" i="2"/>
  <c r="AQ83" i="2"/>
  <c r="AS295" i="2"/>
  <c r="S187" i="2"/>
  <c r="AP202" i="2"/>
  <c r="AP259" i="2" s="1"/>
  <c r="AB21" i="2"/>
  <c r="AB20" i="2" s="1"/>
  <c r="AB34" i="2"/>
  <c r="AB33" i="2" s="1"/>
  <c r="N279" i="2"/>
  <c r="N95" i="2"/>
  <c r="O9" i="2"/>
  <c r="AN295" i="2"/>
  <c r="AC274" i="2"/>
  <c r="AC59" i="2"/>
  <c r="AC58" i="2" s="1"/>
  <c r="N293" i="2"/>
  <c r="AT295" i="2"/>
  <c r="M252" i="2"/>
  <c r="AK265" i="2"/>
  <c r="AG272" i="2"/>
  <c r="AE274" i="2"/>
  <c r="AD271" i="2"/>
  <c r="AD242" i="2"/>
  <c r="AS293" i="2"/>
  <c r="AG258" i="2"/>
  <c r="AW262" i="2"/>
  <c r="AH272" i="2"/>
  <c r="AA61" i="2"/>
  <c r="AP278" i="2"/>
  <c r="AP256" i="2"/>
  <c r="R293" i="2"/>
  <c r="AT293" i="2"/>
  <c r="AQ293" i="2"/>
  <c r="AK257" i="2"/>
  <c r="AA286" i="2"/>
  <c r="AS279" i="2"/>
  <c r="AX284" i="2"/>
  <c r="AR22" i="2"/>
  <c r="AR273" i="2" s="1"/>
  <c r="T60" i="2"/>
  <c r="AW284" i="2"/>
  <c r="AF73" i="2"/>
  <c r="AF61" i="2"/>
  <c r="M188" i="2"/>
  <c r="M84" i="2"/>
  <c r="U95" i="2"/>
  <c r="W293" i="2"/>
  <c r="N265" i="2"/>
  <c r="AP266" i="2"/>
  <c r="R287" i="2"/>
  <c r="BA111" i="2"/>
  <c r="BG111" i="2" s="1"/>
  <c r="AQ295" i="2"/>
  <c r="R274" i="2" l="1"/>
  <c r="Y259" i="2"/>
  <c r="AO273" i="2"/>
  <c r="S266" i="2"/>
  <c r="AL266" i="2"/>
  <c r="AF245" i="2"/>
  <c r="AR245" i="2"/>
  <c r="AA266" i="2"/>
  <c r="M267" i="2"/>
  <c r="X256" i="2"/>
  <c r="AA244" i="2"/>
  <c r="Y257" i="2"/>
  <c r="AK251" i="2"/>
  <c r="AO258" i="2"/>
  <c r="T242" i="2"/>
  <c r="Y273" i="2"/>
  <c r="M251" i="2"/>
  <c r="M274" i="2"/>
  <c r="AG273" i="2"/>
  <c r="AE259" i="2"/>
  <c r="AN274" i="2"/>
  <c r="AF256" i="2"/>
  <c r="AE252" i="2"/>
  <c r="AW281" i="2"/>
  <c r="AH259" i="2"/>
  <c r="AE244" i="2"/>
  <c r="U242" i="2"/>
  <c r="AS245" i="2"/>
  <c r="W266" i="2"/>
  <c r="AB267" i="2"/>
  <c r="AC252" i="2"/>
  <c r="BA150" i="2"/>
  <c r="BG150" i="2" s="1"/>
  <c r="V272" i="2"/>
  <c r="T251" i="2"/>
  <c r="AR251" i="2"/>
  <c r="O274" i="2"/>
  <c r="AP245" i="2"/>
  <c r="AP251" i="2"/>
  <c r="N274" i="2"/>
  <c r="AK294" i="2"/>
  <c r="AE273" i="2"/>
  <c r="N272" i="2"/>
  <c r="AS242" i="2"/>
  <c r="U251" i="2"/>
  <c r="N294" i="2"/>
  <c r="AP267" i="2"/>
  <c r="AF259" i="2"/>
  <c r="AG244" i="2"/>
  <c r="AA256" i="2"/>
  <c r="AF242" i="2"/>
  <c r="W258" i="2"/>
  <c r="T271" i="2"/>
  <c r="AQ274" i="2"/>
  <c r="R245" i="2"/>
  <c r="O272" i="2"/>
  <c r="U274" i="2"/>
  <c r="AP271" i="2"/>
  <c r="AL274" i="2"/>
  <c r="X244" i="2"/>
  <c r="AR243" i="2"/>
  <c r="BA36" i="2"/>
  <c r="BG36" i="2" s="1"/>
  <c r="O250" i="2"/>
  <c r="O243" i="2"/>
  <c r="AQ271" i="2"/>
  <c r="AK274" i="2"/>
  <c r="AA273" i="2"/>
  <c r="Z257" i="2"/>
  <c r="AO267" i="2"/>
  <c r="R243" i="2"/>
  <c r="Y265" i="2"/>
  <c r="AR256" i="2"/>
  <c r="AG252" i="2"/>
  <c r="U271" i="2"/>
  <c r="V271" i="2"/>
  <c r="X252" i="2"/>
  <c r="AE265" i="2"/>
  <c r="AB259" i="2"/>
  <c r="T274" i="2"/>
  <c r="AT256" i="2"/>
  <c r="M272" i="2"/>
  <c r="AZ175" i="2"/>
  <c r="BF175" i="2" s="1"/>
  <c r="R251" i="2"/>
  <c r="AO274" i="2"/>
  <c r="AH257" i="2"/>
  <c r="AR7" i="2"/>
  <c r="AR271" i="2" s="1"/>
  <c r="AC265" i="2"/>
  <c r="AF273" i="2"/>
  <c r="N245" i="2"/>
  <c r="X250" i="2"/>
  <c r="AB273" i="2"/>
  <c r="M294" i="2"/>
  <c r="AH244" i="2"/>
  <c r="Z293" i="2"/>
  <c r="AA265" i="2"/>
  <c r="U258" i="2"/>
  <c r="AB295" i="2"/>
  <c r="AT294" i="2"/>
  <c r="AL272" i="2"/>
  <c r="Y295" i="2"/>
  <c r="S274" i="2"/>
  <c r="AF250" i="2"/>
  <c r="AC256" i="2"/>
  <c r="T258" i="2"/>
  <c r="R266" i="2"/>
  <c r="AQ243" i="2"/>
  <c r="AT242" i="2"/>
  <c r="Z273" i="2"/>
  <c r="V266" i="2"/>
  <c r="M245" i="2"/>
  <c r="T272" i="2"/>
  <c r="AN244" i="2"/>
  <c r="U272" i="2"/>
  <c r="S272" i="2"/>
  <c r="X266" i="2"/>
  <c r="AS274" i="2"/>
  <c r="Z267" i="2"/>
  <c r="AK258" i="2"/>
  <c r="N271" i="2"/>
  <c r="AY187" i="2"/>
  <c r="BE187" i="2" s="1"/>
  <c r="AA293" i="2"/>
  <c r="AN258" i="2"/>
  <c r="AG265" i="2"/>
  <c r="AF295" i="2"/>
  <c r="O251" i="2"/>
  <c r="AP243" i="2"/>
  <c r="AG295" i="2"/>
  <c r="AF257" i="2"/>
  <c r="AF267" i="2"/>
  <c r="AQ272" i="2"/>
  <c r="AP272" i="2"/>
  <c r="AZ97" i="2"/>
  <c r="BF97" i="2" s="1"/>
  <c r="AB244" i="2"/>
  <c r="AG250" i="2"/>
  <c r="BA49" i="2"/>
  <c r="BG49" i="2" s="1"/>
  <c r="S258" i="2"/>
  <c r="AA257" i="2"/>
  <c r="AE257" i="2"/>
  <c r="AN266" i="2"/>
  <c r="AN273" i="2"/>
  <c r="AO266" i="2"/>
  <c r="AR274" i="2"/>
  <c r="AR258" i="2"/>
  <c r="Z244" i="2"/>
  <c r="AN243" i="2"/>
  <c r="W243" i="2"/>
  <c r="W7" i="2"/>
  <c r="T266" i="2"/>
  <c r="R278" i="2"/>
  <c r="R256" i="2"/>
  <c r="AT251" i="2"/>
  <c r="AN251" i="2"/>
  <c r="M243" i="2"/>
  <c r="AF243" i="2"/>
  <c r="AK243" i="2"/>
  <c r="M273" i="2"/>
  <c r="AQ266" i="2"/>
  <c r="AQ258" i="2"/>
  <c r="AL258" i="2"/>
  <c r="X293" i="2"/>
  <c r="AZ201" i="2"/>
  <c r="BF201" i="2" s="1"/>
  <c r="AO245" i="2"/>
  <c r="AO243" i="2"/>
  <c r="AX279" i="2"/>
  <c r="AB252" i="2"/>
  <c r="S245" i="2"/>
  <c r="AY148" i="2"/>
  <c r="BE148" i="2" s="1"/>
  <c r="AF271" i="2"/>
  <c r="AK272" i="2"/>
  <c r="AO259" i="2"/>
  <c r="N258" i="2"/>
  <c r="N266" i="2"/>
  <c r="AS271" i="2"/>
  <c r="V294" i="2"/>
  <c r="AE256" i="2"/>
  <c r="AE278" i="2"/>
  <c r="X294" i="2"/>
  <c r="Y244" i="2"/>
  <c r="BA73" i="2"/>
  <c r="BG73" i="2" s="1"/>
  <c r="X251" i="2"/>
  <c r="AX287" i="2"/>
  <c r="AZ60" i="2"/>
  <c r="BF60" i="2" s="1"/>
  <c r="S7" i="2"/>
  <c r="S271" i="2" s="1"/>
  <c r="X295" i="2"/>
  <c r="V258" i="2"/>
  <c r="AZ136" i="2"/>
  <c r="BF136" i="2" s="1"/>
  <c r="O245" i="2"/>
  <c r="X273" i="2"/>
  <c r="AZ48" i="2"/>
  <c r="BF48" i="2" s="1"/>
  <c r="AO251" i="2"/>
  <c r="AX288" i="2"/>
  <c r="AL243" i="2"/>
  <c r="AS266" i="2"/>
  <c r="AS258" i="2"/>
  <c r="AQ245" i="2"/>
  <c r="Z259" i="2"/>
  <c r="S243" i="2"/>
  <c r="AK245" i="2"/>
  <c r="AY174" i="2"/>
  <c r="BE174" i="2" s="1"/>
  <c r="AH293" i="2"/>
  <c r="AR272" i="2"/>
  <c r="AG259" i="2"/>
  <c r="AA258" i="2"/>
  <c r="O258" i="2"/>
  <c r="O266" i="2"/>
  <c r="AT266" i="2"/>
  <c r="AT258" i="2"/>
  <c r="AE250" i="2"/>
  <c r="AP274" i="2"/>
  <c r="AN272" i="2"/>
  <c r="AB265" i="2"/>
  <c r="AQ242" i="2"/>
  <c r="Z250" i="2"/>
  <c r="W272" i="2"/>
  <c r="AR266" i="2"/>
  <c r="T243" i="2"/>
  <c r="AS243" i="2"/>
  <c r="X258" i="2"/>
  <c r="AH273" i="2"/>
  <c r="AX280" i="2"/>
  <c r="AP242" i="2"/>
  <c r="AL294" i="2"/>
  <c r="AT271" i="2"/>
  <c r="Y250" i="2"/>
  <c r="W251" i="2"/>
  <c r="AT243" i="2"/>
  <c r="AX281" i="2"/>
  <c r="Z265" i="2"/>
  <c r="M259" i="2"/>
  <c r="AH267" i="2"/>
  <c r="Z252" i="2"/>
  <c r="Y252" i="2"/>
  <c r="AF244" i="2"/>
  <c r="AC244" i="2"/>
  <c r="AT272" i="2"/>
  <c r="AN245" i="2"/>
  <c r="AO272" i="2"/>
  <c r="AL245" i="2"/>
  <c r="V243" i="2"/>
  <c r="AY200" i="2"/>
  <c r="BE200" i="2" s="1"/>
  <c r="AZ149" i="2"/>
  <c r="BF149" i="2" s="1"/>
  <c r="AS272" i="2"/>
  <c r="Y293" i="2"/>
  <c r="U243" i="2"/>
  <c r="BA163" i="2"/>
  <c r="BG163" i="2" s="1"/>
  <c r="N243" i="2"/>
  <c r="BA23" i="2"/>
  <c r="BG23" i="2" s="1"/>
  <c r="AO265" i="2"/>
  <c r="AO257" i="2"/>
  <c r="BA61" i="2"/>
  <c r="BG61" i="2" s="1"/>
  <c r="N267" i="2"/>
  <c r="N259" i="2"/>
  <c r="O273" i="2"/>
  <c r="O244" i="2"/>
  <c r="AW286" i="2"/>
  <c r="AX286" i="2"/>
  <c r="W278" i="2"/>
  <c r="W256" i="2"/>
  <c r="T294" i="2"/>
  <c r="R273" i="2"/>
  <c r="R244" i="2"/>
  <c r="AO244" i="2"/>
  <c r="AE266" i="2"/>
  <c r="AE258" i="2"/>
  <c r="S273" i="2"/>
  <c r="S244" i="2"/>
  <c r="AE33" i="2"/>
  <c r="AX33" i="2" s="1"/>
  <c r="BD33" i="2" s="1"/>
  <c r="AE243" i="2"/>
  <c r="AO271" i="2"/>
  <c r="AO242" i="2"/>
  <c r="V274" i="2"/>
  <c r="V245" i="2"/>
  <c r="Z274" i="2"/>
  <c r="Z245" i="2"/>
  <c r="S294" i="2"/>
  <c r="AT265" i="2"/>
  <c r="AT257" i="2"/>
  <c r="BA10" i="2"/>
  <c r="U278" i="2"/>
  <c r="U256" i="2"/>
  <c r="AH250" i="2"/>
  <c r="Z7" i="2"/>
  <c r="Z272" i="2"/>
  <c r="Z243" i="2"/>
  <c r="AN267" i="2"/>
  <c r="AN259" i="2"/>
  <c r="AX70" i="2"/>
  <c r="BD70" i="2" s="1"/>
  <c r="S257" i="2"/>
  <c r="S265" i="2"/>
  <c r="T273" i="2"/>
  <c r="AL271" i="2"/>
  <c r="AL242" i="2"/>
  <c r="Y274" i="2"/>
  <c r="Y245" i="2"/>
  <c r="AQ257" i="2"/>
  <c r="AQ265" i="2"/>
  <c r="AY71" i="2"/>
  <c r="BE71" i="2" s="1"/>
  <c r="AO294" i="2"/>
  <c r="AN265" i="2"/>
  <c r="AN257" i="2"/>
  <c r="AA295" i="2"/>
  <c r="AA252" i="2"/>
  <c r="R257" i="2"/>
  <c r="R265" i="2"/>
  <c r="U257" i="2"/>
  <c r="U265" i="2"/>
  <c r="BA176" i="2"/>
  <c r="BG176" i="2" s="1"/>
  <c r="V278" i="2"/>
  <c r="V256" i="2"/>
  <c r="AK273" i="2"/>
  <c r="AK244" i="2"/>
  <c r="AK271" i="2"/>
  <c r="AK242" i="2"/>
  <c r="AL267" i="2"/>
  <c r="AL259" i="2"/>
  <c r="AZ22" i="2"/>
  <c r="BF22" i="2" s="1"/>
  <c r="AY161" i="2"/>
  <c r="BE161" i="2" s="1"/>
  <c r="O265" i="2"/>
  <c r="O257" i="2"/>
  <c r="AH252" i="2"/>
  <c r="AH295" i="2"/>
  <c r="AG256" i="2"/>
  <c r="AG278" i="2"/>
  <c r="AR257" i="2"/>
  <c r="AR265" i="2"/>
  <c r="S251" i="2"/>
  <c r="N244" i="2"/>
  <c r="AZ9" i="2"/>
  <c r="N273" i="2"/>
  <c r="X274" i="2"/>
  <c r="X245" i="2"/>
  <c r="AZ72" i="2"/>
  <c r="BF72" i="2" s="1"/>
  <c r="AE295" i="2"/>
  <c r="AY83" i="2"/>
  <c r="BE83" i="2" s="1"/>
  <c r="AC293" i="2"/>
  <c r="AC250" i="2"/>
  <c r="AY34" i="2"/>
  <c r="BE34" i="2" s="1"/>
  <c r="AS257" i="2"/>
  <c r="AS265" i="2"/>
  <c r="AK250" i="2"/>
  <c r="AE272" i="2"/>
  <c r="M256" i="2"/>
  <c r="M278" i="2"/>
  <c r="AX95" i="2"/>
  <c r="BD95" i="2" s="1"/>
  <c r="R271" i="2"/>
  <c r="R242" i="2"/>
  <c r="AZ35" i="2"/>
  <c r="BF35" i="2" s="1"/>
  <c r="AZ162" i="2"/>
  <c r="BF162" i="2" s="1"/>
  <c r="AS294" i="2"/>
  <c r="AX46" i="2"/>
  <c r="BD46" i="2" s="1"/>
  <c r="AN250" i="2"/>
  <c r="AF274" i="2"/>
  <c r="T278" i="2"/>
  <c r="T256" i="2"/>
  <c r="O259" i="2"/>
  <c r="O267" i="2"/>
  <c r="AR294" i="2"/>
  <c r="BA189" i="2"/>
  <c r="BG189" i="2" s="1"/>
  <c r="Y278" i="2"/>
  <c r="Y256" i="2"/>
  <c r="AQ294" i="2"/>
  <c r="AQ251" i="2"/>
  <c r="AL273" i="2"/>
  <c r="AL244" i="2"/>
  <c r="AB293" i="2"/>
  <c r="AB250" i="2"/>
  <c r="AK259" i="2"/>
  <c r="AK267" i="2"/>
  <c r="BA85" i="2"/>
  <c r="BG85" i="2" s="1"/>
  <c r="AT245" i="2"/>
  <c r="AT274" i="2"/>
  <c r="X20" i="2"/>
  <c r="AX20" i="2" s="1"/>
  <c r="BD20" i="2" s="1"/>
  <c r="AY21" i="2"/>
  <c r="BE21" i="2" s="1"/>
  <c r="AW279" i="2"/>
  <c r="AA7" i="2"/>
  <c r="AA272" i="2"/>
  <c r="AA243" i="2"/>
  <c r="AX58" i="2"/>
  <c r="BD58" i="2" s="1"/>
  <c r="M242" i="2"/>
  <c r="AP294" i="2"/>
  <c r="AB7" i="2"/>
  <c r="AB272" i="2"/>
  <c r="AB243" i="2"/>
  <c r="AN271" i="2"/>
  <c r="AN242" i="2"/>
  <c r="R294" i="2"/>
  <c r="AW288" i="2"/>
  <c r="M266" i="2"/>
  <c r="M258" i="2"/>
  <c r="AZ84" i="2"/>
  <c r="BF84" i="2" s="1"/>
  <c r="AT244" i="2"/>
  <c r="AT273" i="2"/>
  <c r="AY59" i="2"/>
  <c r="BE59" i="2" s="1"/>
  <c r="M271" i="2"/>
  <c r="BA202" i="2"/>
  <c r="BG202" i="2" s="1"/>
  <c r="AY47" i="2"/>
  <c r="BE47" i="2" s="1"/>
  <c r="W274" i="2"/>
  <c r="W245" i="2"/>
  <c r="N256" i="2"/>
  <c r="N278" i="2"/>
  <c r="M244" i="2"/>
  <c r="AG242" i="2"/>
  <c r="X7" i="2"/>
  <c r="X272" i="2"/>
  <c r="X243" i="2"/>
  <c r="AY8" i="2"/>
  <c r="AB274" i="2"/>
  <c r="AB245" i="2"/>
  <c r="AZ188" i="2"/>
  <c r="BF188" i="2" s="1"/>
  <c r="AP265" i="2"/>
  <c r="AP257" i="2"/>
  <c r="W294" i="2"/>
  <c r="N242" i="2"/>
  <c r="T244" i="2"/>
  <c r="Y272" i="2"/>
  <c r="Y7" i="2"/>
  <c r="Y243" i="2"/>
  <c r="AR244" i="2"/>
  <c r="AC272" i="2"/>
  <c r="AC7" i="2"/>
  <c r="AC243" i="2"/>
  <c r="AF272" i="2"/>
  <c r="AA274" i="2"/>
  <c r="AA245" i="2"/>
  <c r="X267" i="2"/>
  <c r="X259" i="2"/>
  <c r="Z266" i="2"/>
  <c r="Z258" i="2"/>
  <c r="AG293" i="2"/>
  <c r="AW287" i="2"/>
  <c r="O271" i="2"/>
  <c r="O242" i="2"/>
  <c r="AH256" i="2"/>
  <c r="AH278" i="2"/>
  <c r="AR242" i="2" l="1"/>
  <c r="AX272" i="2"/>
  <c r="AE242" i="2"/>
  <c r="AE271" i="2"/>
  <c r="S242" i="2"/>
  <c r="AX265" i="2"/>
  <c r="AX251" i="2"/>
  <c r="AX274" i="2"/>
  <c r="AW273" i="2"/>
  <c r="AW251" i="2"/>
  <c r="AW265" i="2"/>
  <c r="AX245" i="2"/>
  <c r="AX294" i="2"/>
  <c r="W271" i="2"/>
  <c r="W242" i="2"/>
  <c r="AW252" i="2"/>
  <c r="AX295" i="2"/>
  <c r="AW272" i="2"/>
  <c r="AX250" i="2"/>
  <c r="AW274" i="2"/>
  <c r="AW293" i="2"/>
  <c r="AW243" i="2"/>
  <c r="AB271" i="2"/>
  <c r="AB242" i="2"/>
  <c r="X271" i="2"/>
  <c r="X242" i="2"/>
  <c r="AX267" i="2"/>
  <c r="AW250" i="2"/>
  <c r="AY4" i="2"/>
  <c r="BE8" i="2"/>
  <c r="BE4" i="2" s="1"/>
  <c r="AW257" i="2"/>
  <c r="AX257" i="2"/>
  <c r="AX259" i="2"/>
  <c r="AX252" i="2"/>
  <c r="AX243" i="2"/>
  <c r="Y242" i="2"/>
  <c r="Y271" i="2"/>
  <c r="BF9" i="2"/>
  <c r="BF4" i="2" s="1"/>
  <c r="AZ4" i="2"/>
  <c r="AW295" i="2"/>
  <c r="AW267" i="2"/>
  <c r="AW244" i="2"/>
  <c r="AX244" i="2"/>
  <c r="AW245" i="2"/>
  <c r="AX258" i="2"/>
  <c r="AW258" i="2"/>
  <c r="AW294" i="2"/>
  <c r="AW259" i="2"/>
  <c r="AX293" i="2"/>
  <c r="AC242" i="2"/>
  <c r="AC271" i="2"/>
  <c r="AW266" i="2"/>
  <c r="AX266" i="2"/>
  <c r="AX273" i="2"/>
  <c r="AA271" i="2"/>
  <c r="AA242" i="2"/>
  <c r="AW278" i="2"/>
  <c r="AX278" i="2"/>
  <c r="BG10" i="2"/>
  <c r="BG4" i="2" s="1"/>
  <c r="BA4" i="2"/>
  <c r="AX256" i="2"/>
  <c r="AW256" i="2"/>
  <c r="Z242" i="2"/>
  <c r="Z271" i="2"/>
  <c r="AX7" i="2"/>
  <c r="AX242" i="2" l="1"/>
  <c r="AX271" i="2"/>
  <c r="AW242" i="2"/>
  <c r="AW271" i="2"/>
  <c r="AX4" i="2"/>
  <c r="BD7" i="2"/>
  <c r="BD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ese-veda04</author>
    <author>Kober, T. (Tom)</author>
    <author>Johanna Markkanen</author>
  </authors>
  <commentList>
    <comment ref="C18" authorId="0" shapeId="0" xr:uid="{1F25AF09-8DDF-4F54-895B-8E564362D413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This is the sum of rape_seed and other oil crops
</t>
        </r>
      </text>
    </comment>
    <comment ref="C19" authorId="0" shapeId="0" xr:uid="{815A0C24-A616-4B8E-A4E7-1AB32C8719EE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This is the sum of rape_seed and other oil crops
</t>
        </r>
      </text>
    </comment>
    <comment ref="J31" authorId="1" shapeId="0" xr:uid="{5042E34E-0589-486B-BB6C-40AFD1DE5FA9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starchy crops</t>
        </r>
      </text>
    </comment>
    <comment ref="J32" authorId="1" shapeId="0" xr:uid="{72664CEB-D656-478A-B86B-8119D04978C4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starchy crops</t>
        </r>
      </text>
    </comment>
    <comment ref="J44" authorId="1" shapeId="0" xr:uid="{5FD5A918-2536-4BEB-AB71-6A1FF4FB1EE5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grassy crops</t>
        </r>
      </text>
    </comment>
    <comment ref="L44" authorId="1" shapeId="0" xr:uid="{6FE3C6E6-E322-4BD6-9569-120B6B686912}">
      <text>
        <r>
          <rPr>
            <b/>
            <sz val="14"/>
            <color indexed="81"/>
            <rFont val="Tahoma"/>
            <family val="2"/>
          </rPr>
          <t>Kober, T. (Tom):</t>
        </r>
        <r>
          <rPr>
            <sz val="14"/>
            <color indexed="81"/>
            <rFont val="Tahoma"/>
            <family val="2"/>
          </rPr>
          <t xml:space="preserve">
no dedicated cropping of perennials</t>
        </r>
      </text>
    </comment>
    <comment ref="J45" authorId="1" shapeId="0" xr:uid="{76B3D95A-5907-4CB0-BACD-CA15949FA2D6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grassy crops</t>
        </r>
      </text>
    </comment>
    <comment ref="L45" authorId="1" shapeId="0" xr:uid="{E30783B2-5454-43BF-8D37-E8002AF2F274}">
      <text>
        <r>
          <rPr>
            <b/>
            <sz val="14"/>
            <color indexed="81"/>
            <rFont val="Tahoma"/>
            <family val="2"/>
          </rPr>
          <t>Kober, T. (Tom):</t>
        </r>
        <r>
          <rPr>
            <sz val="14"/>
            <color indexed="81"/>
            <rFont val="Tahoma"/>
            <family val="2"/>
          </rPr>
          <t xml:space="preserve">
no dedicated cropping of perennials</t>
        </r>
      </text>
    </comment>
    <comment ref="L56" authorId="1" shapeId="0" xr:uid="{DAF4D966-ADFB-498C-B994-9D513949E5BF}">
      <text>
        <r>
          <rPr>
            <b/>
            <sz val="14"/>
            <color indexed="81"/>
            <rFont val="Tahoma"/>
            <family val="2"/>
          </rPr>
          <t>Kober, T. (Tom):</t>
        </r>
        <r>
          <rPr>
            <sz val="14"/>
            <color indexed="81"/>
            <rFont val="Tahoma"/>
            <family val="2"/>
          </rPr>
          <t xml:space="preserve">
no dedicated cropping of perennials</t>
        </r>
      </text>
    </comment>
    <comment ref="L57" authorId="1" shapeId="0" xr:uid="{99A78855-4E35-4567-BE30-83D3D9BE00F0}">
      <text>
        <r>
          <rPr>
            <b/>
            <sz val="14"/>
            <color indexed="81"/>
            <rFont val="Tahoma"/>
            <family val="2"/>
          </rPr>
          <t>Kober, T. (Tom):</t>
        </r>
        <r>
          <rPr>
            <sz val="14"/>
            <color indexed="81"/>
            <rFont val="Tahoma"/>
            <family val="2"/>
          </rPr>
          <t xml:space="preserve">
no dedicated cropping of perennials</t>
        </r>
      </text>
    </comment>
    <comment ref="L68" authorId="1" shapeId="0" xr:uid="{1A96CBA2-D0F9-42D1-8924-86E9AE26B3B0}">
      <text>
        <r>
          <rPr>
            <b/>
            <sz val="14"/>
            <color indexed="81"/>
            <rFont val="Tahoma"/>
            <family val="2"/>
          </rPr>
          <t>Kober, T. (Tom):</t>
        </r>
        <r>
          <rPr>
            <sz val="14"/>
            <color indexed="81"/>
            <rFont val="Tahoma"/>
            <family val="2"/>
          </rPr>
          <t xml:space="preserve">
no dedicated cropping of perennials</t>
        </r>
      </text>
    </comment>
    <comment ref="J80" authorId="1" shapeId="0" xr:uid="{8FB46889-39AC-4BF7-9E41-79C862423A23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manure</t>
        </r>
      </text>
    </comment>
    <comment ref="J81" authorId="1" shapeId="0" xr:uid="{C0C6A2A6-636D-430D-8635-B091BFC685C1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manure</t>
        </r>
      </text>
    </comment>
    <comment ref="J93" authorId="1" shapeId="0" xr:uid="{0D1DE664-995D-4813-BF52-03380F365CFB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AGR residues</t>
        </r>
      </text>
    </comment>
    <comment ref="J94" authorId="1" shapeId="0" xr:uid="{420FAB9F-1AAD-4554-885E-36BAB7241DFB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AGR residues</t>
        </r>
      </text>
    </comment>
    <comment ref="J112" authorId="1" shapeId="0" xr:uid="{9610145B-92B8-425E-AD2F-677614C57C2F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used priced of fire wood</t>
        </r>
      </text>
    </comment>
    <comment ref="J113" authorId="1" shapeId="0" xr:uid="{F75FC9D5-01F2-4B53-ADCB-53D86055D83E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used priced of fire wood</t>
        </r>
      </text>
    </comment>
    <comment ref="J125" authorId="1" shapeId="0" xr:uid="{4FC6A5B6-BB08-4819-ABF2-50702D63ED62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used price for wood chips
mark-up costs to produce pellets could be modelled via additional process or FLO_DELIV for process consuming pellets</t>
        </r>
      </text>
    </comment>
    <comment ref="J126" authorId="1" shapeId="0" xr:uid="{98A36AF5-DDE0-4A75-94C8-D15861BA79CD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used price for wood chips
mark-up costs to produce pellets could be modelled via additional process or FLO_DELIV for process consuming pellets</t>
        </r>
      </text>
    </comment>
    <comment ref="J132" authorId="1" shapeId="0" xr:uid="{EC7EF588-C7FE-44D6-B89B-94AC6005006A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now aggregated fuelwoof and chips from residues, however we would recommend to introduce a second process in order to separate both potentials</t>
        </r>
      </text>
    </comment>
    <comment ref="AR132" authorId="2" shapeId="0" xr:uid="{81CE6AF9-3FAE-4946-8A45-9AF61A0CA122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Update by Antti Lehtilä</t>
        </r>
      </text>
    </comment>
    <comment ref="J133" authorId="1" shapeId="0" xr:uid="{5237027D-7E01-4E3D-87A2-C17B4D868528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now aggregated fuelwoof and chips from residues, however we would recommend to introduce a second process in order to separate both potentials</t>
        </r>
      </text>
    </comment>
    <comment ref="J138" authorId="1" shapeId="0" xr:uid="{F43D3197-958C-4929-8C1F-C279FE29417B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used price for wood chips
mark-up costs to produce pellets could be modelled via additional process or FLO_DELIV for process consuming pellets</t>
        </r>
      </text>
    </comment>
    <comment ref="J139" authorId="1" shapeId="0" xr:uid="{1BD77832-136B-4949-85F7-DBF733B56EAF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used price for wood chips
mark-up costs to produce pellets could be modelled via additional process or FLO_DELIV for process consuming pellets</t>
        </r>
      </text>
    </comment>
    <comment ref="L177" authorId="1" shapeId="0" xr:uid="{856A75D9-710F-4A57-A87D-F50864DB6679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costs of industrial woody waste assumed
TO BE CHECKED !!</t>
        </r>
      </text>
    </comment>
    <comment ref="L178" authorId="1" shapeId="0" xr:uid="{8CA4585C-0195-4CC7-9EC1-CB1DE763793D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costs of industrial woody waste assumed
TO BE CHECKED !!</t>
        </r>
      </text>
    </comment>
    <comment ref="X227" authorId="2" shapeId="0" xr:uid="{278FCE4F-4427-42ED-97C9-68D3B32130A6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high number just to ensure this process is not used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Kober, T. (Tom)</author>
  </authors>
  <commentList>
    <comment ref="B2" authorId="0" shapeId="0" xr:uid="{C4D277EC-65EC-4E47-BF5E-1FEF744BC223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here assumption imports refer to all model regions
that have a port!</t>
        </r>
      </text>
    </comment>
    <comment ref="M5" authorId="0" shapeId="0" xr:uid="{7FCFB3B5-B545-463E-9C1A-3357CFE14621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unit = kt</t>
        </r>
      </text>
    </comment>
    <comment ref="M6" authorId="0" shapeId="0" xr:uid="{5D6EA348-CFBC-4A11-ADD8-708A4E523FCE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unit = kt</t>
        </r>
      </text>
    </comment>
  </commentList>
</comments>
</file>

<file path=xl/sharedStrings.xml><?xml version="1.0" encoding="utf-8"?>
<sst xmlns="http://schemas.openxmlformats.org/spreadsheetml/2006/main" count="1998" uniqueCount="157">
  <si>
    <t>bioenergy feedstock country shares</t>
  </si>
  <si>
    <t>EU27 shares</t>
  </si>
  <si>
    <t>AL</t>
  </si>
  <si>
    <t>AT</t>
  </si>
  <si>
    <t>BE</t>
  </si>
  <si>
    <t>BG</t>
  </si>
  <si>
    <t>BA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</si>
  <si>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</si>
  <si>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</si>
  <si>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</si>
  <si>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</si>
  <si>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</si>
  <si>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</si>
  <si>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</si>
  <si>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</si>
  <si>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</si>
  <si>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EL</t>
  </si>
  <si>
    <t>HR</t>
  </si>
  <si>
    <t>HU</t>
  </si>
  <si>
    <t>IE</t>
  </si>
  <si>
    <t>IS</t>
  </si>
  <si>
    <t>IT</t>
  </si>
  <si>
    <t>LT</t>
  </si>
  <si>
    <t>LU</t>
  </si>
  <si>
    <t>LV</t>
  </si>
  <si>
    <t>ME</t>
  </si>
  <si>
    <t>MK</t>
  </si>
  <si>
    <t>MT</t>
  </si>
  <si>
    <t>NL</t>
  </si>
  <si>
    <t>NO</t>
  </si>
  <si>
    <t>PL</t>
  </si>
  <si>
    <t>PT</t>
  </si>
  <si>
    <t>RO</t>
  </si>
  <si>
    <t>RS</t>
  </si>
  <si>
    <t>SE</t>
  </si>
  <si>
    <t>SI</t>
  </si>
  <si>
    <t>SK</t>
  </si>
  <si>
    <t>UK</t>
  </si>
  <si>
    <t>check sum (should be 1)</t>
  </si>
  <si>
    <t>waste</t>
  </si>
  <si>
    <t>crops</t>
  </si>
  <si>
    <t>agriculture residues</t>
  </si>
  <si>
    <t>forest stemwood</t>
  </si>
  <si>
    <t>forest residues</t>
  </si>
  <si>
    <t>crops: subcategories</t>
  </si>
  <si>
    <t>share of all crops</t>
  </si>
  <si>
    <t>MINBIOCRP21</t>
  </si>
  <si>
    <t>MINBIORPS1</t>
  </si>
  <si>
    <t>MINBIOCRP11</t>
  </si>
  <si>
    <t>MINBIOCRP31</t>
  </si>
  <si>
    <t>MINBIOCRP41</t>
  </si>
  <si>
    <t>MINBIOCRP41a</t>
  </si>
  <si>
    <t>forestry residues: subcategories</t>
  </si>
  <si>
    <t>MINBIOFRSR1</t>
  </si>
  <si>
    <t>MINBIOWOOW1</t>
  </si>
  <si>
    <t>MINBIOWOOW1a</t>
  </si>
  <si>
    <t>MINBIOFRSR1a</t>
  </si>
  <si>
    <t>waste: subcategories</t>
  </si>
  <si>
    <t>share of all waste</t>
  </si>
  <si>
    <t>MINBIOGAS1</t>
  </si>
  <si>
    <t>MINBIOMUN1</t>
  </si>
  <si>
    <t>MINBIOSLU1</t>
  </si>
  <si>
    <t>~TFM_INS</t>
  </si>
  <si>
    <t>TimeSlice</t>
  </si>
  <si>
    <t>Curr</t>
  </si>
  <si>
    <t>LimType</t>
  </si>
  <si>
    <t>Attribute</t>
  </si>
  <si>
    <t>Year</t>
  </si>
  <si>
    <t>Pset_PN</t>
  </si>
  <si>
    <t>AllRegions</t>
  </si>
  <si>
    <t>Energy crop feedstock</t>
  </si>
  <si>
    <t>2nd classification</t>
  </si>
  <si>
    <t>Bioethanol_sugarbeet</t>
  </si>
  <si>
    <t>ANNUAL</t>
  </si>
  <si>
    <t>UP</t>
  </si>
  <si>
    <t>ACT_BND</t>
  </si>
  <si>
    <t>sugar from sugarbeet</t>
  </si>
  <si>
    <t>EUR10</t>
  </si>
  <si>
    <t>ACT_COST</t>
  </si>
  <si>
    <t>\I:</t>
  </si>
  <si>
    <t>Biodiesel_oil_crops</t>
  </si>
  <si>
    <t>oil_crops</t>
  </si>
  <si>
    <t>starchy grops</t>
  </si>
  <si>
    <t>grassy crops</t>
  </si>
  <si>
    <t>Willow</t>
  </si>
  <si>
    <t>Poplar</t>
  </si>
  <si>
    <t>All other</t>
  </si>
  <si>
    <t>agricultural biogas from manure etc.</t>
  </si>
  <si>
    <t>Primary AGR residues</t>
  </si>
  <si>
    <t>MINBIOAGRW1</t>
  </si>
  <si>
    <t>Forestry biomass</t>
  </si>
  <si>
    <t>Roundwood</t>
  </si>
  <si>
    <t>MINBIOWOO</t>
  </si>
  <si>
    <t>Roundwood Chips &amp; Pellets</t>
  </si>
  <si>
    <t>MINBIOWOOa</t>
  </si>
  <si>
    <t>EnergyResidue</t>
  </si>
  <si>
    <t>Secondary Forestry residues - woodchips</t>
  </si>
  <si>
    <t>Secondary Forestry residues - sawdust</t>
  </si>
  <si>
    <t>Residues from landscape care</t>
  </si>
  <si>
    <t>municipal waste</t>
  </si>
  <si>
    <t>sludge</t>
  </si>
  <si>
    <t>Wood for paper production</t>
  </si>
  <si>
    <t>MINMPPWOO1</t>
  </si>
  <si>
    <t>Biofuels</t>
  </si>
  <si>
    <t>MINBIOLIQ1</t>
  </si>
  <si>
    <t>Interpolation rule for cost</t>
  </si>
  <si>
    <t>MINBIO*</t>
  </si>
  <si>
    <t>Interpolation rule for act bound</t>
  </si>
  <si>
    <t>EU27</t>
  </si>
  <si>
    <t>ALL</t>
  </si>
  <si>
    <t>CALIBRATION</t>
  </si>
  <si>
    <t>TARGETS EU27</t>
  </si>
  <si>
    <t>year</t>
  </si>
  <si>
    <t>category</t>
  </si>
  <si>
    <t>EU27 total</t>
  </si>
  <si>
    <t>check sum (should be 0)</t>
  </si>
  <si>
    <t>BIOMASS AVAILABILITY as in EU2040 impact assessment S3-scenario</t>
  </si>
  <si>
    <t>reference</t>
  </si>
  <si>
    <t>~UC_SETS: R_S: AT,BE,BG,CH,CY,CZ,DE,DK,EE,ES,FI,FR,EL,HU,IE,IT,IS,LT,LU,LV,MT,NL,NO,PL,PT,RO,SE,SI,SK,HR,UK</t>
  </si>
  <si>
    <t>~UC_T</t>
  </si>
  <si>
    <t>UC_N</t>
  </si>
  <si>
    <t>Pset_CI</t>
  </si>
  <si>
    <t>Cset_CN</t>
  </si>
  <si>
    <t>UC_COMPRD</t>
  </si>
  <si>
    <t>UC_FLO</t>
  </si>
  <si>
    <t>UC_ACT</t>
  </si>
  <si>
    <t>UC_RHST~2005</t>
  </si>
  <si>
    <t>UC_RHST~2020</t>
  </si>
  <si>
    <t>UC_RHST~2030</t>
  </si>
  <si>
    <t>UC_RHST~2040</t>
  </si>
  <si>
    <t>UC_RHST~2050</t>
  </si>
  <si>
    <t>UC_RHST~0</t>
  </si>
  <si>
    <t>UC_Desc</t>
  </si>
  <si>
    <t>AU_EU-IMP_ETH</t>
  </si>
  <si>
    <t>IMPBIOETH*</t>
  </si>
  <si>
    <t>2020,2030,2040,2050</t>
  </si>
  <si>
    <t>AU_EU-IMP_EMHV</t>
  </si>
  <si>
    <t>IMPBIOEMHV*</t>
  </si>
  <si>
    <t>AU_EU-IMP_WOO</t>
  </si>
  <si>
    <t>IMPBIOWOO</t>
  </si>
  <si>
    <t>EUR/GJ</t>
  </si>
  <si>
    <t>2005,2020</t>
  </si>
  <si>
    <t>2030,2040,2050</t>
  </si>
  <si>
    <t>Nordic export limits within EU</t>
  </si>
  <si>
    <t>Pset_Set</t>
  </si>
  <si>
    <t>TB_BIOWOO-G26</t>
  </si>
  <si>
    <t>EU31</t>
  </si>
  <si>
    <t>~TFM_MIG</t>
  </si>
  <si>
    <t>Attribute2</t>
  </si>
  <si>
    <t>Cset_CN2</t>
  </si>
  <si>
    <t>Timeslice2</t>
  </si>
  <si>
    <t>SourceScen</t>
  </si>
  <si>
    <t>FLO_DELIV</t>
  </si>
  <si>
    <t>*-1</t>
  </si>
  <si>
    <t>BIOWOO</t>
  </si>
  <si>
    <t>biopot_biom16_forestbau</t>
  </si>
  <si>
    <t>FLO_COST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</si>
</sst>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0"/>
    <numFmt numFmtId="166" formatCode="0.00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3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b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color indexed="12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8" fillId="0" borderId="0">
      <alignment wrapText="1"/>
    </xf>
    <xf numFmtId="0" fontId="8" fillId="0" borderId="0"/>
  </cellStyleXfs>
  <cellXfs count="90">
    <xf numFmtId="0" fontId="0" fillId="0" borderId="0" xfId="0"/>
    <xf numFmtId="0" fontId="5" fillId="0" borderId="0" xfId="0" applyFont="1"/>
    <xf numFmtId="0" fontId="3" fillId="2" borderId="0" xfId="0" applyFont="1" applyFill="1"/>
    <xf numFmtId="0" fontId="0" fillId="2" borderId="0" xfId="0" applyFill="1"/>
    <xf numFmtId="0" fontId="3" fillId="0" borderId="0" xfId="0" applyFont="1"/>
    <xf numFmtId="0" fontId="4" fillId="3" borderId="0" xfId="0" applyFont="1" applyFill="1"/>
    <xf numFmtId="0" fontId="6" fillId="0" borderId="0" xfId="0" applyFont="1"/>
    <xf numFmtId="0" fontId="7" fillId="4" borderId="1" xfId="0" applyFont="1" applyFill="1" applyBorder="1"/>
    <xf numFmtId="0" fontId="8" fillId="4" borderId="1" xfId="0" applyFont="1" applyFill="1" applyBorder="1"/>
    <xf numFmtId="0" fontId="7" fillId="5" borderId="1" xfId="0" applyFont="1" applyFill="1" applyBorder="1"/>
    <xf numFmtId="0" fontId="7" fillId="5" borderId="0" xfId="0" applyFont="1" applyFill="1"/>
    <xf numFmtId="1" fontId="4" fillId="3" borderId="0" xfId="0" applyNumberFormat="1" applyFont="1" applyFill="1"/>
    <xf numFmtId="0" fontId="0" fillId="6" borderId="0" xfId="0" applyFill="1"/>
    <xf numFmtId="164" fontId="0" fillId="6" borderId="0" xfId="0" applyNumberFormat="1" applyFill="1"/>
    <xf numFmtId="164" fontId="0" fillId="2" borderId="0" xfId="0" applyNumberFormat="1" applyFill="1"/>
    <xf numFmtId="0" fontId="0" fillId="6" borderId="2" xfId="0" applyFill="1" applyBorder="1"/>
    <xf numFmtId="164" fontId="0" fillId="6" borderId="2" xfId="0" applyNumberFormat="1" applyFill="1" applyBorder="1"/>
    <xf numFmtId="164" fontId="0" fillId="2" borderId="2" xfId="0" applyNumberFormat="1" applyFill="1" applyBorder="1"/>
    <xf numFmtId="164" fontId="0" fillId="0" borderId="0" xfId="0" applyNumberFormat="1"/>
    <xf numFmtId="164" fontId="3" fillId="0" borderId="0" xfId="0" applyNumberFormat="1" applyFont="1"/>
    <xf numFmtId="1" fontId="3" fillId="0" borderId="0" xfId="0" applyNumberFormat="1" applyFont="1"/>
    <xf numFmtId="0" fontId="0" fillId="7" borderId="0" xfId="0" applyFill="1"/>
    <xf numFmtId="1" fontId="0" fillId="6" borderId="0" xfId="0" applyNumberFormat="1" applyFill="1"/>
    <xf numFmtId="1" fontId="0" fillId="6" borderId="2" xfId="0" applyNumberFormat="1" applyFill="1" applyBorder="1"/>
    <xf numFmtId="164" fontId="9" fillId="0" borderId="0" xfId="0" applyNumberFormat="1" applyFont="1"/>
    <xf numFmtId="164" fontId="9" fillId="8" borderId="0" xfId="0" applyNumberFormat="1" applyFont="1" applyFill="1"/>
    <xf numFmtId="164" fontId="0" fillId="8" borderId="0" xfId="0" applyNumberFormat="1" applyFill="1"/>
    <xf numFmtId="164" fontId="10" fillId="6" borderId="0" xfId="0" applyNumberFormat="1" applyFont="1" applyFill="1"/>
    <xf numFmtId="0" fontId="11" fillId="2" borderId="0" xfId="0" applyFont="1" applyFill="1"/>
    <xf numFmtId="1" fontId="0" fillId="2" borderId="0" xfId="0" applyNumberFormat="1" applyFill="1"/>
    <xf numFmtId="0" fontId="2" fillId="2" borderId="0" xfId="0" applyFont="1" applyFill="1"/>
    <xf numFmtId="0" fontId="0" fillId="2" borderId="2" xfId="0" applyFill="1" applyBorder="1"/>
    <xf numFmtId="1" fontId="0" fillId="2" borderId="2" xfId="0" applyNumberFormat="1" applyFill="1" applyBorder="1"/>
    <xf numFmtId="0" fontId="11" fillId="0" borderId="0" xfId="0" applyFont="1"/>
    <xf numFmtId="0" fontId="2" fillId="0" borderId="0" xfId="0" applyFont="1"/>
    <xf numFmtId="0" fontId="12" fillId="0" borderId="0" xfId="0" applyFont="1"/>
    <xf numFmtId="164" fontId="10" fillId="0" borderId="0" xfId="0" applyNumberFormat="1" applyFont="1"/>
    <xf numFmtId="164" fontId="0" fillId="9" borderId="0" xfId="0" applyNumberFormat="1" applyFill="1"/>
    <xf numFmtId="2" fontId="0" fillId="0" borderId="0" xfId="0" applyNumberFormat="1"/>
    <xf numFmtId="165" fontId="0" fillId="6" borderId="0" xfId="0" applyNumberFormat="1" applyFill="1"/>
    <xf numFmtId="2" fontId="0" fillId="6" borderId="0" xfId="0" applyNumberFormat="1" applyFill="1"/>
    <xf numFmtId="2" fontId="0" fillId="6" borderId="2" xfId="0" applyNumberFormat="1" applyFill="1" applyBorder="1"/>
    <xf numFmtId="0" fontId="1" fillId="6" borderId="0" xfId="1" applyFill="1"/>
    <xf numFmtId="0" fontId="8" fillId="6" borderId="0" xfId="2" applyFill="1">
      <alignment wrapText="1"/>
    </xf>
    <xf numFmtId="1" fontId="9" fillId="6" borderId="0" xfId="1" applyNumberFormat="1" applyFont="1" applyFill="1"/>
    <xf numFmtId="0" fontId="1" fillId="6" borderId="2" xfId="1" applyFill="1" applyBorder="1"/>
    <xf numFmtId="3" fontId="0" fillId="0" borderId="0" xfId="0" applyNumberFormat="1"/>
    <xf numFmtId="3" fontId="3" fillId="0" borderId="0" xfId="0" applyNumberFormat="1" applyFont="1"/>
    <xf numFmtId="1" fontId="0" fillId="0" borderId="0" xfId="0" applyNumberFormat="1"/>
    <xf numFmtId="0" fontId="0" fillId="10" borderId="0" xfId="0" applyFill="1"/>
    <xf numFmtId="0" fontId="17" fillId="10" borderId="0" xfId="0" applyFont="1" applyFill="1"/>
    <xf numFmtId="0" fontId="18" fillId="10" borderId="0" xfId="0" applyFont="1" applyFill="1"/>
    <xf numFmtId="0" fontId="0" fillId="11" borderId="3" xfId="0" applyFill="1" applyBorder="1"/>
    <xf numFmtId="0" fontId="0" fillId="0" borderId="4" xfId="0" applyBorder="1"/>
    <xf numFmtId="164" fontId="0" fillId="0" borderId="4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6" xfId="0" applyBorder="1" applyAlignment="1">
      <alignment wrapText="1"/>
    </xf>
    <xf numFmtId="0" fontId="7" fillId="4" borderId="1" xfId="0" applyFont="1" applyFill="1" applyBorder="1" applyAlignment="1">
      <alignment horizontal="justify" vertical="center"/>
    </xf>
    <xf numFmtId="0" fontId="0" fillId="0" borderId="0" xfId="0" applyAlignment="1">
      <alignment wrapText="1"/>
    </xf>
    <xf numFmtId="3" fontId="0" fillId="0" borderId="0" xfId="0" quotePrefix="1" applyNumberFormat="1"/>
    <xf numFmtId="0" fontId="0" fillId="0" borderId="8" xfId="0" applyBorder="1"/>
    <xf numFmtId="0" fontId="0" fillId="0" borderId="9" xfId="0" applyBorder="1"/>
    <xf numFmtId="3" fontId="0" fillId="0" borderId="9" xfId="0" quotePrefix="1" applyNumberFormat="1" applyBorder="1"/>
    <xf numFmtId="164" fontId="0" fillId="0" borderId="9" xfId="0" applyNumberFormat="1" applyBorder="1"/>
    <xf numFmtId="0" fontId="0" fillId="0" borderId="10" xfId="0" applyBorder="1"/>
    <xf numFmtId="0" fontId="19" fillId="0" borderId="0" xfId="0" applyFont="1"/>
    <xf numFmtId="0" fontId="0" fillId="0" borderId="0" xfId="0" applyAlignment="1">
      <alignment horizontal="right" vertical="center" wrapText="1"/>
    </xf>
    <xf numFmtId="3" fontId="0" fillId="0" borderId="0" xfId="0" quotePrefix="1" applyNumberFormat="1" applyAlignment="1">
      <alignment horizontal="left"/>
    </xf>
    <xf numFmtId="166" fontId="0" fillId="0" borderId="0" xfId="0" applyNumberFormat="1"/>
    <xf numFmtId="0" fontId="0" fillId="0" borderId="0" xfId="0" quotePrefix="1" applyAlignment="1">
      <alignment horizontal="left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20" fillId="0" borderId="0" xfId="0" applyFont="1"/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21" fillId="0" borderId="0" xfId="3" applyFont="1" applyAlignment="1">
      <alignment horizontal="left"/>
    </xf>
    <xf numFmtId="0" fontId="7" fillId="5" borderId="0" xfId="3" applyFont="1" applyFill="1"/>
    <xf numFmtId="0" fontId="7" fillId="12" borderId="0" xfId="3" applyFont="1" applyFill="1" applyAlignment="1">
      <alignment horizontal="center"/>
    </xf>
    <xf numFmtId="0" fontId="0" fillId="11" borderId="11" xfId="0" applyFill="1" applyBorder="1" applyAlignment="1">
      <alignment horizontal="center"/>
    </xf>
    <xf numFmtId="0" fontId="20" fillId="13" borderId="0" xfId="0" applyFont="1" applyFill="1"/>
    <xf numFmtId="0" fontId="0" fillId="14" borderId="0" xfId="0" applyFill="1"/>
    <xf numFmtId="0" fontId="0" fillId="14" borderId="0" xfId="0" applyFill="1" applyAlignment="1">
      <alignment horizontal="center"/>
    </xf>
    <xf numFmtId="1" fontId="0" fillId="14" borderId="0" xfId="0" applyNumberFormat="1" applyFill="1" applyAlignment="1">
      <alignment horizontal="center"/>
    </xf>
    <xf numFmtId="0" fontId="0" fillId="10" borderId="0" xfId="0" applyFill="1" applyAlignment="1">
      <alignment horizontal="center"/>
    </xf>
    <xf numFmtId="1" fontId="0" fillId="10" borderId="0" xfId="0" applyNumberFormat="1" applyFill="1" applyAlignment="1">
      <alignment horizontal="center"/>
    </xf>
    <xf numFmtId="0" fontId="0" fillId="15" borderId="0" xfId="0" applyFill="1"/>
    <xf numFmtId="0" fontId="0" fillId="15" borderId="0" xfId="0" applyFill="1" applyAlignment="1">
      <alignment horizontal="center"/>
    </xf>
    <xf numFmtId="2" fontId="0" fillId="15" borderId="0" xfId="0" applyNumberFormat="1" applyFill="1" applyAlignment="1">
      <alignment horizontal="center"/>
    </xf>
  </cellXfs>
  <cellStyles count="4">
    <cellStyle name="Normal" xfId="0" builtinId="0"/>
    <cellStyle name="Normal 10 2 2 2 2 2" xfId="3" xr:uid="{AD5311F3-46FB-4561-AED6-080892102FA5}"/>
    <cellStyle name="Normal 31" xfId="2" xr:uid="{9DE6020D-B616-404B-A9A8-9FF7BE5FF47A}"/>
    <cellStyle name="Normal 5 15" xfId="1" xr:uid="{2499CECA-FA9B-4489-868E-616E574B0F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Veda\Veda_models\JRCEU\SuppXLS\Scen_CCUS_CGprojectS3.xlsx" TargetMode="External"/><Relationship Id="rId1" Type="http://schemas.openxmlformats.org/officeDocument/2006/relationships/externalLinkPath" Target="Scen_CCUS_CGprojectS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cen_ZN_Scen1Tec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neralNETS"/>
      <sheetName val="CO2Storage"/>
      <sheetName val="DACCS"/>
      <sheetName val="PyCCs"/>
      <sheetName val="SOC"/>
      <sheetName val="SCS"/>
      <sheetName val="Forestry"/>
      <sheetName val="EW"/>
      <sheetName val="ClimPOLICY"/>
      <sheetName val="GHGassumptions"/>
      <sheetName val="historicalGHG"/>
      <sheetName val="BIO"/>
      <sheetName val="bioshares"/>
      <sheetName val="OtherLi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D6">
            <v>9.9117852151407847E-3</v>
          </cell>
          <cell r="E6">
            <v>5.3763408711211741E-2</v>
          </cell>
          <cell r="F6">
            <v>5.6164153036180305E-3</v>
          </cell>
          <cell r="I6">
            <v>3.765994046215664E-3</v>
          </cell>
          <cell r="J6">
            <v>3.0749463007503565E-2</v>
          </cell>
          <cell r="K6">
            <v>0.14304162016876368</v>
          </cell>
          <cell r="L6">
            <v>4.1862531232744367E-2</v>
          </cell>
          <cell r="M6">
            <v>6.854636349634899E-3</v>
          </cell>
          <cell r="N6">
            <v>8.4477097252870809E-2</v>
          </cell>
          <cell r="O6">
            <v>1.0691039635025315E-2</v>
          </cell>
          <cell r="P6">
            <v>0.21583472631641995</v>
          </cell>
          <cell r="Q6">
            <v>6.4713539038116687E-3</v>
          </cell>
          <cell r="R6">
            <v>2.1341198541608461E-3</v>
          </cell>
          <cell r="S6">
            <v>4.4796972747448975E-2</v>
          </cell>
          <cell r="T6">
            <v>1.269623531374493E-2</v>
          </cell>
          <cell r="V6">
            <v>9.590292412333426E-2</v>
          </cell>
          <cell r="W6">
            <v>9.8226599595695897E-3</v>
          </cell>
          <cell r="X6">
            <v>1.0381560859124451E-3</v>
          </cell>
          <cell r="Y6">
            <v>5.4638224947955024E-3</v>
          </cell>
          <cell r="AB6">
            <v>2.8207422725895432E-3</v>
          </cell>
          <cell r="AC6">
            <v>6.2940526200620586E-2</v>
          </cell>
          <cell r="AE6">
            <v>6.5311908515707187E-2</v>
          </cell>
          <cell r="AF6">
            <v>2.2473911882864735E-2</v>
          </cell>
          <cell r="AG6">
            <v>2.0177276630317865E-2</v>
          </cell>
          <cell r="AI6">
            <v>2.8813276911525503E-2</v>
          </cell>
          <cell r="AJ6">
            <v>1.6175920173602475E-3</v>
          </cell>
          <cell r="AK6">
            <v>1.0949803847087379E-2</v>
          </cell>
        </row>
        <row r="7">
          <cell r="D7">
            <v>1.0404599283479673E-2</v>
          </cell>
          <cell r="E7">
            <v>5.7952204285119935E-2</v>
          </cell>
          <cell r="F7">
            <v>5.4467440020345408E-3</v>
          </cell>
          <cell r="I7">
            <v>3.8849284868751458E-3</v>
          </cell>
          <cell r="J7">
            <v>2.8471570049094085E-2</v>
          </cell>
          <cell r="K7">
            <v>0.14158757585911139</v>
          </cell>
          <cell r="L7">
            <v>4.1155681670733947E-2</v>
          </cell>
          <cell r="M7">
            <v>6.762174636487454E-3</v>
          </cell>
          <cell r="N7">
            <v>8.4427273539745704E-2</v>
          </cell>
          <cell r="O7">
            <v>1.4029329579127447E-2</v>
          </cell>
          <cell r="P7">
            <v>0.21216172890331325</v>
          </cell>
          <cell r="Q7">
            <v>6.558068609694101E-3</v>
          </cell>
          <cell r="R7">
            <v>2.0295823466112517E-3</v>
          </cell>
          <cell r="S7">
            <v>4.3814994057889113E-2</v>
          </cell>
          <cell r="T7">
            <v>1.2227941245630179E-2</v>
          </cell>
          <cell r="V7">
            <v>9.2420018625355135E-2</v>
          </cell>
          <cell r="W7">
            <v>1.0165864384245193E-2</v>
          </cell>
          <cell r="X7">
            <v>9.9278441872666144E-4</v>
          </cell>
          <cell r="Y7">
            <v>5.3647775974038792E-3</v>
          </cell>
          <cell r="AB7">
            <v>3.0227539944636533E-3</v>
          </cell>
          <cell r="AC7">
            <v>6.434891135550723E-2</v>
          </cell>
          <cell r="AE7">
            <v>6.9047794756651945E-2</v>
          </cell>
          <cell r="AF7">
            <v>2.3046115604602749E-2</v>
          </cell>
          <cell r="AG7">
            <v>1.8835381406029601E-2</v>
          </cell>
          <cell r="AI7">
            <v>2.9887860984876596E-2</v>
          </cell>
          <cell r="AJ7">
            <v>1.5877860576189653E-3</v>
          </cell>
          <cell r="AK7">
            <v>1.0365554259571204E-2</v>
          </cell>
        </row>
        <row r="8">
          <cell r="D8">
            <v>1.0944806734968412E-2</v>
          </cell>
          <cell r="E8">
            <v>6.29922680409504E-2</v>
          </cell>
          <cell r="F8">
            <v>5.3004758766027034E-3</v>
          </cell>
          <cell r="I8">
            <v>4.0212654594947595E-3</v>
          </cell>
          <cell r="J8">
            <v>2.6364693203477837E-2</v>
          </cell>
          <cell r="K8">
            <v>0.13983083795099122</v>
          </cell>
          <cell r="L8">
            <v>4.0625241840718765E-2</v>
          </cell>
          <cell r="M8">
            <v>6.6862854077483526E-3</v>
          </cell>
          <cell r="N8">
            <v>8.4277417330041363E-2</v>
          </cell>
          <cell r="O8">
            <v>1.5526634891754636E-2</v>
          </cell>
          <cell r="P8">
            <v>0.20919634050496511</v>
          </cell>
          <cell r="Q8">
            <v>6.6405952387345799E-3</v>
          </cell>
          <cell r="R8">
            <v>1.9298420903685245E-3</v>
          </cell>
          <cell r="S8">
            <v>4.2867574027915814E-2</v>
          </cell>
          <cell r="T8">
            <v>1.181111903608548E-2</v>
          </cell>
          <cell r="V8">
            <v>8.9284705930092231E-2</v>
          </cell>
          <cell r="W8">
            <v>1.0442363716349044E-2</v>
          </cell>
          <cell r="X8">
            <v>9.5009623563749464E-4</v>
          </cell>
          <cell r="Y8">
            <v>5.2571444598234814E-3</v>
          </cell>
          <cell r="AB8">
            <v>3.2391175968759134E-3</v>
          </cell>
          <cell r="AC8">
            <v>6.5991697900688706E-2</v>
          </cell>
          <cell r="AE8">
            <v>7.2408940650916367E-2</v>
          </cell>
          <cell r="AF8">
            <v>2.3672651842193651E-2</v>
          </cell>
          <cell r="AG8">
            <v>1.7608640217013562E-2</v>
          </cell>
          <cell r="AI8">
            <v>3.0731635192787703E-2</v>
          </cell>
          <cell r="AJ8">
            <v>1.5618142320689642E-3</v>
          </cell>
          <cell r="AK8">
            <v>9.8357943907350781E-3</v>
          </cell>
        </row>
        <row r="13">
          <cell r="D13">
            <v>1.3736813598597518E-2</v>
          </cell>
          <cell r="E13">
            <v>2.4621161534470505E-2</v>
          </cell>
          <cell r="F13">
            <v>1.9003696358131563E-2</v>
          </cell>
          <cell r="I13">
            <v>2.5430144731872109E-4</v>
          </cell>
          <cell r="J13">
            <v>2.3401620018498236E-2</v>
          </cell>
          <cell r="K13">
            <v>6.9781838785105341E-2</v>
          </cell>
          <cell r="L13">
            <v>1.2826735037199484E-3</v>
          </cell>
          <cell r="M13">
            <v>3.4710301362627051E-3</v>
          </cell>
          <cell r="N13">
            <v>0.15866862404154558</v>
          </cell>
          <cell r="O13">
            <v>1.1180360298993393E-3</v>
          </cell>
          <cell r="P13">
            <v>0.22465844431492271</v>
          </cell>
          <cell r="Q13">
            <v>1.5955389942223307E-2</v>
          </cell>
          <cell r="R13">
            <v>1.0738590595214891E-2</v>
          </cell>
          <cell r="S13">
            <v>4.1488595318814048E-2</v>
          </cell>
          <cell r="T13">
            <v>4.7440420578594208E-3</v>
          </cell>
          <cell r="V13">
            <v>0.10726562151728671</v>
          </cell>
          <cell r="W13">
            <v>3.3381475971493164E-2</v>
          </cell>
          <cell r="X13">
            <v>9.5677841005106754E-5</v>
          </cell>
          <cell r="Y13">
            <v>3.8244776892325419E-3</v>
          </cell>
          <cell r="AB13">
            <v>0</v>
          </cell>
          <cell r="AC13">
            <v>1.784028421328945E-2</v>
          </cell>
          <cell r="AE13">
            <v>0.10185227011335529</v>
          </cell>
          <cell r="AF13">
            <v>6.1464891343835856E-3</v>
          </cell>
          <cell r="AG13">
            <v>0.10031620983733723</v>
          </cell>
          <cell r="AI13">
            <v>7.5191803331366791E-3</v>
          </cell>
          <cell r="AJ13">
            <v>8.1051283318894806E-4</v>
          </cell>
          <cell r="AK13">
            <v>8.0229428337075699E-3</v>
          </cell>
        </row>
        <row r="14">
          <cell r="D14">
            <v>1.2401894665876923E-2</v>
          </cell>
          <cell r="E14">
            <v>2.2689722827727837E-2</v>
          </cell>
          <cell r="F14">
            <v>2.2345279359282717E-2</v>
          </cell>
          <cell r="I14">
            <v>2.3138485092079862E-4</v>
          </cell>
          <cell r="J14">
            <v>2.5556191998369164E-2</v>
          </cell>
          <cell r="K14">
            <v>6.9094658663683459E-2</v>
          </cell>
          <cell r="L14">
            <v>1.5764404745524767E-3</v>
          </cell>
          <cell r="M14">
            <v>3.9798756752514423E-3</v>
          </cell>
          <cell r="N14">
            <v>0.16745255304568593</v>
          </cell>
          <cell r="O14">
            <v>1.5485646951887162E-3</v>
          </cell>
          <cell r="P14">
            <v>0.20662552561523714</v>
          </cell>
          <cell r="Q14">
            <v>1.7301946253086783E-2</v>
          </cell>
          <cell r="R14">
            <v>1.0569206773859747E-2</v>
          </cell>
          <cell r="S14">
            <v>4.3244140254031033E-2</v>
          </cell>
          <cell r="T14">
            <v>3.3363279030844679E-3</v>
          </cell>
          <cell r="V14">
            <v>0.10503818614665417</v>
          </cell>
          <cell r="W14">
            <v>3.1401887264889697E-2</v>
          </cell>
          <cell r="X14">
            <v>1.0174513794469619E-4</v>
          </cell>
          <cell r="Y14">
            <v>3.3846433405619889E-3</v>
          </cell>
          <cell r="AB14">
            <v>0</v>
          </cell>
          <cell r="AC14">
            <v>1.492053018661231E-2</v>
          </cell>
          <cell r="AE14">
            <v>0.11893979051728436</v>
          </cell>
          <cell r="AF14">
            <v>6.2403856564015028E-3</v>
          </cell>
          <cell r="AG14">
            <v>9.7318690259040191E-2</v>
          </cell>
          <cell r="AI14">
            <v>6.9860067343259762E-3</v>
          </cell>
          <cell r="AJ14">
            <v>6.7410146348680187E-4</v>
          </cell>
          <cell r="AK14">
            <v>7.0403202369595007E-3</v>
          </cell>
        </row>
        <row r="15">
          <cell r="D15">
            <v>1.1200517680459954E-2</v>
          </cell>
          <cell r="E15">
            <v>2.0763590507580906E-2</v>
          </cell>
          <cell r="F15">
            <v>2.4525800069152351E-2</v>
          </cell>
          <cell r="I15">
            <v>2.0939685701410507E-4</v>
          </cell>
          <cell r="J15">
            <v>2.7933198744719775E-2</v>
          </cell>
          <cell r="K15">
            <v>6.9120655130630967E-2</v>
          </cell>
          <cell r="L15">
            <v>1.79879166608449E-3</v>
          </cell>
          <cell r="M15">
            <v>4.3543626092828053E-3</v>
          </cell>
          <cell r="N15">
            <v>0.17624324200256325</v>
          </cell>
          <cell r="O15">
            <v>1.8695402046382738E-3</v>
          </cell>
          <cell r="P15">
            <v>0.19129297274991369</v>
          </cell>
          <cell r="Q15">
            <v>1.852795753915772E-2</v>
          </cell>
          <cell r="R15">
            <v>1.043290434267154E-2</v>
          </cell>
          <cell r="S15">
            <v>4.5385968130081326E-2</v>
          </cell>
          <cell r="T15">
            <v>1.9039642881827569E-3</v>
          </cell>
          <cell r="V15">
            <v>0.10436537666602842</v>
          </cell>
          <cell r="W15">
            <v>2.9347195474970628E-2</v>
          </cell>
          <cell r="X15">
            <v>1.0876639777218801E-4</v>
          </cell>
          <cell r="Y15">
            <v>2.9050247414273045E-3</v>
          </cell>
          <cell r="AB15">
            <v>0</v>
          </cell>
          <cell r="AC15">
            <v>1.2268305447965528E-2</v>
          </cell>
          <cell r="AE15">
            <v>0.13659702637321355</v>
          </cell>
          <cell r="AF15">
            <v>6.4096512034084764E-3</v>
          </cell>
          <cell r="AG15">
            <v>8.9176970162062025E-2</v>
          </cell>
          <cell r="AI15">
            <v>6.5079174505173415E-3</v>
          </cell>
          <cell r="AJ15">
            <v>5.3718910604218684E-4</v>
          </cell>
          <cell r="AK15">
            <v>6.2137144544585866E-3</v>
          </cell>
        </row>
        <row r="20">
          <cell r="D20">
            <v>2.1885397520901417E-2</v>
          </cell>
          <cell r="E20">
            <v>6.7631836348792992E-3</v>
          </cell>
          <cell r="F20">
            <v>2.9672998173920051E-2</v>
          </cell>
          <cell r="I20">
            <v>4.1925994182959164E-4</v>
          </cell>
          <cell r="J20">
            <v>3.7073006000914933E-2</v>
          </cell>
          <cell r="K20">
            <v>0.20371288344419825</v>
          </cell>
          <cell r="L20">
            <v>2.5523163331777992E-2</v>
          </cell>
          <cell r="M20">
            <v>4.444849976644751E-3</v>
          </cell>
          <cell r="N20">
            <v>9.1773611995524418E-2</v>
          </cell>
          <cell r="O20">
            <v>1.7662944482123407E-2</v>
          </cell>
          <cell r="P20">
            <v>0.2128050839252221</v>
          </cell>
          <cell r="Q20">
            <v>2.0197416420406053E-2</v>
          </cell>
          <cell r="R20">
            <v>8.866565756336927E-3</v>
          </cell>
          <cell r="S20">
            <v>4.7171031177251209E-2</v>
          </cell>
          <cell r="T20">
            <v>3.0732977510310904E-4</v>
          </cell>
          <cell r="V20">
            <v>6.2445141127838964E-2</v>
          </cell>
          <cell r="W20">
            <v>1.3327734485671979E-2</v>
          </cell>
          <cell r="X20">
            <v>3.3440057115663983E-4</v>
          </cell>
          <cell r="Y20">
            <v>7.8419690833417075E-3</v>
          </cell>
          <cell r="AB20">
            <v>1.0789650713206137E-5</v>
          </cell>
          <cell r="AC20">
            <v>5.208243304185043E-3</v>
          </cell>
          <cell r="AE20">
            <v>8.7310371805315923E-2</v>
          </cell>
          <cell r="AF20">
            <v>8.1300161542651791E-3</v>
          </cell>
          <cell r="AG20">
            <v>5.6671045082735766E-2</v>
          </cell>
          <cell r="AI20">
            <v>1.616278468445621E-2</v>
          </cell>
          <cell r="AJ20">
            <v>8.5744090081477781E-4</v>
          </cell>
          <cell r="AK20">
            <v>1.342133759247131E-2</v>
          </cell>
        </row>
        <row r="21">
          <cell r="D21">
            <v>2.3150999433548158E-2</v>
          </cell>
          <cell r="E21">
            <v>7.124932618978402E-3</v>
          </cell>
          <cell r="F21">
            <v>2.8305176645572284E-2</v>
          </cell>
          <cell r="I21">
            <v>4.3869713153770563E-4</v>
          </cell>
          <cell r="J21">
            <v>3.7196276318121821E-2</v>
          </cell>
          <cell r="K21">
            <v>0.20495730883021879</v>
          </cell>
          <cell r="L21">
            <v>2.4335965537982781E-2</v>
          </cell>
          <cell r="M21">
            <v>5.4043717950237697E-3</v>
          </cell>
          <cell r="N21">
            <v>9.2710112470081915E-2</v>
          </cell>
          <cell r="O21">
            <v>1.8210725006546483E-2</v>
          </cell>
          <cell r="P21">
            <v>0.20668579721989197</v>
          </cell>
          <cell r="Q21">
            <v>2.0937371060880613E-2</v>
          </cell>
          <cell r="R21">
            <v>8.1178933047027155E-3</v>
          </cell>
          <cell r="S21">
            <v>4.8069583420995134E-2</v>
          </cell>
          <cell r="T21">
            <v>2.5203657028380669E-4</v>
          </cell>
          <cell r="V21">
            <v>6.3164796451798066E-2</v>
          </cell>
          <cell r="W21">
            <v>1.5909498233137403E-2</v>
          </cell>
          <cell r="X21">
            <v>3.8406877530277825E-4</v>
          </cell>
          <cell r="Y21">
            <v>7.5471950802622227E-3</v>
          </cell>
          <cell r="AB21">
            <v>1.1474031528632522E-5</v>
          </cell>
          <cell r="AC21">
            <v>5.820825138743782E-3</v>
          </cell>
          <cell r="AE21">
            <v>8.1204979330244217E-2</v>
          </cell>
          <cell r="AF21">
            <v>8.0138469568287757E-3</v>
          </cell>
          <cell r="AG21">
            <v>6.0682179122895023E-2</v>
          </cell>
          <cell r="AI21">
            <v>1.7017297427862434E-2</v>
          </cell>
          <cell r="AJ21">
            <v>8.9674298265815652E-4</v>
          </cell>
          <cell r="AK21">
            <v>1.3449849104372391E-2</v>
          </cell>
        </row>
        <row r="22">
          <cell r="D22">
            <v>2.4494362695153871E-2</v>
          </cell>
          <cell r="E22">
            <v>7.5082952371684072E-3</v>
          </cell>
          <cell r="F22">
            <v>2.6859183448976261E-2</v>
          </cell>
          <cell r="I22">
            <v>4.5969901420027777E-4</v>
          </cell>
          <cell r="J22">
            <v>3.732627763876261E-2</v>
          </cell>
          <cell r="K22">
            <v>0.20487605438841733</v>
          </cell>
          <cell r="L22">
            <v>2.3111882674254923E-2</v>
          </cell>
          <cell r="M22">
            <v>6.4345602824270546E-3</v>
          </cell>
          <cell r="N22">
            <v>9.3932021388321699E-2</v>
          </cell>
          <cell r="O22">
            <v>1.8800433630397163E-2</v>
          </cell>
          <cell r="P22">
            <v>0.20039193552436677</v>
          </cell>
          <cell r="Q22">
            <v>2.1891425873126934E-2</v>
          </cell>
          <cell r="R22">
            <v>7.8788116215016222E-3</v>
          </cell>
          <cell r="S22">
            <v>4.9043542773703985E-2</v>
          </cell>
          <cell r="T22">
            <v>1.9348076528456383E-4</v>
          </cell>
          <cell r="V22">
            <v>6.3873181908271792E-2</v>
          </cell>
          <cell r="W22">
            <v>1.8663126887069375E-2</v>
          </cell>
          <cell r="X22">
            <v>4.3278000125917626E-4</v>
          </cell>
          <cell r="Y22">
            <v>7.2343141103225249E-3</v>
          </cell>
          <cell r="AB22">
            <v>1.220667699938107E-5</v>
          </cell>
          <cell r="AC22">
            <v>6.4721096057082346E-3</v>
          </cell>
          <cell r="AE22">
            <v>7.4907450318532146E-2</v>
          </cell>
          <cell r="AF22">
            <v>7.8647264219771727E-3</v>
          </cell>
          <cell r="AG22">
            <v>6.4937208943037103E-2</v>
          </cell>
          <cell r="AI22">
            <v>1.7977990115451925E-2</v>
          </cell>
          <cell r="AJ22">
            <v>9.3879498750845409E-4</v>
          </cell>
          <cell r="AK22">
            <v>1.3484143067799418E-2</v>
          </cell>
        </row>
        <row r="27">
          <cell r="D27">
            <v>4.4324608707089312E-2</v>
          </cell>
          <cell r="E27">
            <v>7.8916217282651597E-3</v>
          </cell>
          <cell r="F27">
            <v>1.5783243456530319E-2</v>
          </cell>
          <cell r="I27">
            <v>0</v>
          </cell>
          <cell r="J27">
            <v>1.4467973168486125E-2</v>
          </cell>
          <cell r="K27">
            <v>0.11995265026963042</v>
          </cell>
          <cell r="L27">
            <v>8.4177298434828362E-3</v>
          </cell>
          <cell r="M27">
            <v>1.5520189398921479E-2</v>
          </cell>
          <cell r="N27">
            <v>3.3276338287518088E-2</v>
          </cell>
          <cell r="O27">
            <v>0.10890437985005919</v>
          </cell>
          <cell r="P27">
            <v>0.24621859792187295</v>
          </cell>
          <cell r="Q27">
            <v>7.1024595554386432E-3</v>
          </cell>
          <cell r="R27">
            <v>1.341575693805077E-2</v>
          </cell>
          <cell r="S27">
            <v>2.6173878732079443E-2</v>
          </cell>
          <cell r="T27">
            <v>1.7098513744574512E-3</v>
          </cell>
          <cell r="V27">
            <v>7.8390109167433913E-2</v>
          </cell>
          <cell r="W27">
            <v>1.8808365119031962E-2</v>
          </cell>
          <cell r="X27">
            <v>2.6305405760883863E-4</v>
          </cell>
          <cell r="Y27">
            <v>2.6436932789688283E-2</v>
          </cell>
          <cell r="AB27">
            <v>0</v>
          </cell>
          <cell r="AC27">
            <v>2.6305405760883864E-3</v>
          </cell>
          <cell r="AE27">
            <v>3.0908851769038539E-2</v>
          </cell>
          <cell r="AF27">
            <v>2.0123635407076155E-2</v>
          </cell>
          <cell r="AG27">
            <v>4.0904905958174406E-2</v>
          </cell>
          <cell r="AI27">
            <v>9.6146258056030512E-2</v>
          </cell>
          <cell r="AJ27">
            <v>1.7493094830987769E-2</v>
          </cell>
          <cell r="AK27">
            <v>4.7349730369590955E-3</v>
          </cell>
        </row>
        <row r="28">
          <cell r="D28">
            <v>4.5084700546885424E-2</v>
          </cell>
          <cell r="E28">
            <v>8.26997465652928E-3</v>
          </cell>
          <cell r="F28">
            <v>1.5206082432973191E-2</v>
          </cell>
          <cell r="I28">
            <v>0</v>
          </cell>
          <cell r="J28">
            <v>1.440576230492197E-2</v>
          </cell>
          <cell r="K28">
            <v>0.12311591303187942</v>
          </cell>
          <cell r="L28">
            <v>8.536748032546353E-3</v>
          </cell>
          <cell r="M28">
            <v>1.5206082432973191E-2</v>
          </cell>
          <cell r="N28">
            <v>3.1479258370014675E-2</v>
          </cell>
          <cell r="O28">
            <v>0.10951047085500867</v>
          </cell>
          <cell r="P28">
            <v>0.2416966786714686</v>
          </cell>
          <cell r="Q28">
            <v>7.0694944644524478E-3</v>
          </cell>
          <cell r="R28">
            <v>1.3071895424836603E-2</v>
          </cell>
          <cell r="S28">
            <v>2.587701747365613E-2</v>
          </cell>
          <cell r="T28">
            <v>1.4672535680939046E-3</v>
          </cell>
          <cell r="V28">
            <v>7.8564759237028145E-2</v>
          </cell>
          <cell r="W28">
            <v>1.8674136321195148E-2</v>
          </cell>
          <cell r="X28">
            <v>2.6677337601707353E-4</v>
          </cell>
          <cell r="Y28">
            <v>2.6810724289715891E-2</v>
          </cell>
          <cell r="AB28">
            <v>0</v>
          </cell>
          <cell r="AC28">
            <v>2.5343470721621983E-3</v>
          </cell>
          <cell r="AE28">
            <v>3.1079098305989067E-2</v>
          </cell>
          <cell r="AF28">
            <v>1.974122982526344E-2</v>
          </cell>
          <cell r="AG28">
            <v>4.0549553154595172E-2</v>
          </cell>
          <cell r="AI28">
            <v>9.9906629318394044E-2</v>
          </cell>
          <cell r="AJ28">
            <v>1.7206882753101241E-2</v>
          </cell>
          <cell r="AK28">
            <v>4.6685340802987869E-3</v>
          </cell>
        </row>
        <row r="29">
          <cell r="D29">
            <v>4.5934959349593497E-2</v>
          </cell>
          <cell r="E29">
            <v>8.6720867208672087E-3</v>
          </cell>
          <cell r="F29">
            <v>1.4769647696476965E-2</v>
          </cell>
          <cell r="I29">
            <v>0</v>
          </cell>
          <cell r="J29">
            <v>1.4498644986449864E-2</v>
          </cell>
          <cell r="K29">
            <v>0.12615176151761517</v>
          </cell>
          <cell r="L29">
            <v>8.6720867208672087E-3</v>
          </cell>
          <cell r="M29">
            <v>1.5176151761517613E-2</v>
          </cell>
          <cell r="N29">
            <v>3.0216802168021681E-2</v>
          </cell>
          <cell r="O29">
            <v>0.1092140921409214</v>
          </cell>
          <cell r="P29">
            <v>0.23915989159891599</v>
          </cell>
          <cell r="Q29">
            <v>7.046070460704607E-3</v>
          </cell>
          <cell r="R29">
            <v>1.2737127371273714E-2</v>
          </cell>
          <cell r="S29">
            <v>2.5609756097560974E-2</v>
          </cell>
          <cell r="T29">
            <v>1.0840108401084011E-3</v>
          </cell>
          <cell r="V29">
            <v>7.8861788617886189E-2</v>
          </cell>
          <cell r="W29">
            <v>1.8699186991869919E-2</v>
          </cell>
          <cell r="X29">
            <v>2.7100271002710027E-4</v>
          </cell>
          <cell r="Y29">
            <v>2.7235772357723578E-2</v>
          </cell>
          <cell r="AB29">
            <v>0</v>
          </cell>
          <cell r="AC29">
            <v>2.3035230352303521E-3</v>
          </cell>
          <cell r="AE29">
            <v>3.1165311653116531E-2</v>
          </cell>
          <cell r="AF29">
            <v>1.9647696476964769E-2</v>
          </cell>
          <cell r="AG29">
            <v>4.0379403794037941E-2</v>
          </cell>
          <cell r="AI29">
            <v>0.10176151761517614</v>
          </cell>
          <cell r="AJ29">
            <v>1.5989159891598916E-2</v>
          </cell>
          <cell r="AK29">
            <v>4.7425474254742545E-3</v>
          </cell>
        </row>
        <row r="34">
          <cell r="D34">
            <v>3.435398897628722E-2</v>
          </cell>
          <cell r="E34">
            <v>1.837259654030126E-2</v>
          </cell>
          <cell r="F34">
            <v>1.0361923196618317E-2</v>
          </cell>
          <cell r="I34">
            <v>0</v>
          </cell>
          <cell r="J34">
            <v>1.956895101500368E-2</v>
          </cell>
          <cell r="K34">
            <v>8.9130490471367632E-2</v>
          </cell>
          <cell r="L34">
            <v>6.0306277351918061E-3</v>
          </cell>
          <cell r="M34">
            <v>1.6572237867020691E-2</v>
          </cell>
          <cell r="N34">
            <v>4.9317094457171362E-2</v>
          </cell>
          <cell r="O34">
            <v>0.19490009181554491</v>
          </cell>
          <cell r="P34">
            <v>0.1127810458030596</v>
          </cell>
          <cell r="Q34">
            <v>1.0441213684565199E-2</v>
          </cell>
          <cell r="R34">
            <v>6.1383727459383202E-3</v>
          </cell>
          <cell r="S34">
            <v>9.159782621280671E-3</v>
          </cell>
          <cell r="T34">
            <v>7.4047336357140033E-3</v>
          </cell>
          <cell r="V34">
            <v>3.1896877574785105E-2</v>
          </cell>
          <cell r="W34">
            <v>9.5935826112255197E-3</v>
          </cell>
          <cell r="X34">
            <v>1.4508363460431642E-3</v>
          </cell>
          <cell r="Y34">
            <v>3.0431985084174801E-2</v>
          </cell>
          <cell r="AB34">
            <v>4.2751006656438961E-5</v>
          </cell>
          <cell r="AC34">
            <v>8.1995001082588309E-3</v>
          </cell>
          <cell r="AE34">
            <v>4.8557998392955382E-2</v>
          </cell>
          <cell r="AF34">
            <v>2.2872996316081629E-2</v>
          </cell>
          <cell r="AG34">
            <v>5.2200226363856739E-2</v>
          </cell>
          <cell r="AI34">
            <v>0.20098472218216099</v>
          </cell>
          <cell r="AJ34">
            <v>2.4353679968769837E-3</v>
          </cell>
          <cell r="AK34">
            <v>6.800005451859702E-3</v>
          </cell>
        </row>
        <row r="35">
          <cell r="D35">
            <v>3.4353615071306291E-2</v>
          </cell>
          <cell r="E35">
            <v>1.8261196098909766E-2</v>
          </cell>
          <cell r="F35">
            <v>7.8853098786920879E-3</v>
          </cell>
          <cell r="I35">
            <v>0</v>
          </cell>
          <cell r="J35">
            <v>1.3959287483030236E-2</v>
          </cell>
          <cell r="K35">
            <v>8.3663483864742511E-2</v>
          </cell>
          <cell r="L35">
            <v>5.714034562968426E-3</v>
          </cell>
          <cell r="M35">
            <v>1.1931190896848994E-2</v>
          </cell>
          <cell r="N35">
            <v>5.0417575750048717E-2</v>
          </cell>
          <cell r="O35">
            <v>0.19985138780983516</v>
          </cell>
          <cell r="P35">
            <v>0.11638212771956452</v>
          </cell>
          <cell r="Q35">
            <v>1.042613941099298E-2</v>
          </cell>
          <cell r="R35">
            <v>5.4125950439446119E-3</v>
          </cell>
          <cell r="S35">
            <v>9.2137581149763087E-3</v>
          </cell>
          <cell r="T35">
            <v>7.3823027228660781E-3</v>
          </cell>
          <cell r="V35">
            <v>3.1257095287747054E-2</v>
          </cell>
          <cell r="W35">
            <v>8.8258526399875911E-3</v>
          </cell>
          <cell r="X35">
            <v>1.5596897153418586E-3</v>
          </cell>
          <cell r="Y35">
            <v>2.8821932099984779E-2</v>
          </cell>
          <cell r="AB35">
            <v>4.3076485094266899E-5</v>
          </cell>
          <cell r="AC35">
            <v>6.8118999420118259E-3</v>
          </cell>
          <cell r="AE35">
            <v>5.0314668739967733E-2</v>
          </cell>
          <cell r="AF35">
            <v>2.0746008508486392E-2</v>
          </cell>
          <cell r="AG35">
            <v>5.2680726617899354E-2</v>
          </cell>
          <cell r="AI35">
            <v>0.21539404481019678</v>
          </cell>
          <cell r="AJ35">
            <v>1.9337913441878176E-3</v>
          </cell>
          <cell r="AK35">
            <v>6.7572093803679291E-3</v>
          </cell>
        </row>
        <row r="36">
          <cell r="D36">
            <v>3.6342748346202366E-2</v>
          </cell>
          <cell r="E36">
            <v>1.7918613537007362E-2</v>
          </cell>
          <cell r="F36">
            <v>7.6775494111934158E-3</v>
          </cell>
          <cell r="I36">
            <v>0</v>
          </cell>
          <cell r="J36">
            <v>1.3559300462414547E-2</v>
          </cell>
          <cell r="K36">
            <v>8.6639335280396926E-2</v>
          </cell>
          <cell r="L36">
            <v>5.3684854096004587E-3</v>
          </cell>
          <cell r="M36">
            <v>1.0735746287790272E-2</v>
          </cell>
          <cell r="N36">
            <v>5.0722904575680412E-2</v>
          </cell>
          <cell r="O36">
            <v>0.2003380893878767</v>
          </cell>
          <cell r="P36">
            <v>0.11781370071379421</v>
          </cell>
          <cell r="Q36">
            <v>1.0274887109278767E-2</v>
          </cell>
          <cell r="R36">
            <v>4.6462169140929314E-3</v>
          </cell>
          <cell r="S36">
            <v>9.1353332404043065E-3</v>
          </cell>
          <cell r="T36">
            <v>7.2413316926606477E-3</v>
          </cell>
          <cell r="V36">
            <v>3.0240948019541868E-2</v>
          </cell>
          <cell r="W36">
            <v>8.3582920625411422E-3</v>
          </cell>
          <cell r="X36">
            <v>1.6515177730537364E-3</v>
          </cell>
          <cell r="Y36">
            <v>2.6777964882123726E-2</v>
          </cell>
          <cell r="AB36">
            <v>4.2709830370063813E-5</v>
          </cell>
          <cell r="AC36">
            <v>5.3631163488048628E-3</v>
          </cell>
          <cell r="AE36">
            <v>5.1292834310885028E-2</v>
          </cell>
          <cell r="AF36">
            <v>1.8709811885797751E-2</v>
          </cell>
          <cell r="AG36">
            <v>5.2442939746582345E-2</v>
          </cell>
          <cell r="AI36">
            <v>0.21858866123415488</v>
          </cell>
          <cell r="AJ36">
            <v>1.4954025717911355E-3</v>
          </cell>
          <cell r="AK36">
            <v>6.6215589659600329E-3</v>
          </cell>
        </row>
        <row r="43">
          <cell r="D43">
            <v>0.29685642703488352</v>
          </cell>
          <cell r="E43">
            <v>0.33322829159580031</v>
          </cell>
          <cell r="F43">
            <v>2.1225237388025776E-2</v>
          </cell>
          <cell r="I43">
            <v>0</v>
          </cell>
          <cell r="J43">
            <v>0.28480791897656826</v>
          </cell>
          <cell r="K43">
            <v>0.17458276465912004</v>
          </cell>
          <cell r="L43">
            <v>0.2795638900415352</v>
          </cell>
          <cell r="M43">
            <v>0</v>
          </cell>
          <cell r="N43">
            <v>0.22928442106140792</v>
          </cell>
          <cell r="O43">
            <v>0</v>
          </cell>
          <cell r="P43">
            <v>0.29782986998618122</v>
          </cell>
          <cell r="Q43">
            <v>0.27568234562842936</v>
          </cell>
          <cell r="R43">
            <v>0</v>
          </cell>
          <cell r="S43">
            <v>5.8600770050832147E-2</v>
          </cell>
          <cell r="T43">
            <v>0</v>
          </cell>
          <cell r="V43">
            <v>0.27541038012148333</v>
          </cell>
          <cell r="W43">
            <v>0.26999897881921003</v>
          </cell>
          <cell r="X43">
            <v>0</v>
          </cell>
          <cell r="Y43">
            <v>0</v>
          </cell>
          <cell r="AB43">
            <v>0</v>
          </cell>
          <cell r="AC43">
            <v>0.31242857036764127</v>
          </cell>
          <cell r="AE43">
            <v>0.12458296689710797</v>
          </cell>
          <cell r="AF43">
            <v>2.8054280172428035E-3</v>
          </cell>
          <cell r="AG43">
            <v>1.6261330296457132E-5</v>
          </cell>
          <cell r="AI43">
            <v>0.18058614763021091</v>
          </cell>
          <cell r="AJ43">
            <v>0</v>
          </cell>
          <cell r="AK43">
            <v>0.14013737261834591</v>
          </cell>
        </row>
        <row r="44">
          <cell r="D44">
            <v>0.30855310236320072</v>
          </cell>
          <cell r="E44">
            <v>0.38273370922457239</v>
          </cell>
          <cell r="F44">
            <v>0.10147719008782707</v>
          </cell>
          <cell r="I44">
            <v>0</v>
          </cell>
          <cell r="J44">
            <v>0.29966763268406915</v>
          </cell>
          <cell r="K44">
            <v>0.16656271296829009</v>
          </cell>
          <cell r="L44">
            <v>0.34439957697024237</v>
          </cell>
          <cell r="M44">
            <v>0</v>
          </cell>
          <cell r="N44">
            <v>0.23787598345679764</v>
          </cell>
          <cell r="O44">
            <v>0</v>
          </cell>
          <cell r="P44">
            <v>0.30183294346041278</v>
          </cell>
          <cell r="Q44">
            <v>0.2870277366294961</v>
          </cell>
          <cell r="R44">
            <v>0</v>
          </cell>
          <cell r="S44">
            <v>7.6398489101097727E-2</v>
          </cell>
          <cell r="T44">
            <v>0</v>
          </cell>
          <cell r="V44">
            <v>0.29477454279077292</v>
          </cell>
          <cell r="W44">
            <v>0.3107853210939826</v>
          </cell>
          <cell r="X44">
            <v>0</v>
          </cell>
          <cell r="Y44">
            <v>0</v>
          </cell>
          <cell r="AB44">
            <v>0</v>
          </cell>
          <cell r="AC44">
            <v>0.30421968974242652</v>
          </cell>
          <cell r="AE44">
            <v>0.19393111215457692</v>
          </cell>
          <cell r="AF44">
            <v>9.1971777375390515E-3</v>
          </cell>
          <cell r="AG44">
            <v>2.5411644955819435E-2</v>
          </cell>
          <cell r="AI44">
            <v>0.19472842416900984</v>
          </cell>
          <cell r="AJ44">
            <v>0</v>
          </cell>
          <cell r="AK44">
            <v>0.23108047816375407</v>
          </cell>
        </row>
        <row r="45">
          <cell r="D45">
            <v>0.32334917238279182</v>
          </cell>
          <cell r="E45">
            <v>0.44290650015095917</v>
          </cell>
          <cell r="F45">
            <v>0.12026082298301326</v>
          </cell>
          <cell r="I45">
            <v>0</v>
          </cell>
          <cell r="J45">
            <v>0.31102263686541232</v>
          </cell>
          <cell r="K45">
            <v>0.15904599016837023</v>
          </cell>
          <cell r="L45">
            <v>0.37909532664837259</v>
          </cell>
          <cell r="M45">
            <v>0</v>
          </cell>
          <cell r="N45">
            <v>0.24369789674873868</v>
          </cell>
          <cell r="O45">
            <v>0</v>
          </cell>
          <cell r="P45">
            <v>0.30624572951578782</v>
          </cell>
          <cell r="Q45">
            <v>0.29690391336656941</v>
          </cell>
          <cell r="R45">
            <v>0</v>
          </cell>
          <cell r="S45">
            <v>9.4616352008541404E-2</v>
          </cell>
          <cell r="T45">
            <v>0</v>
          </cell>
          <cell r="V45">
            <v>0.31541664889499066</v>
          </cell>
          <cell r="W45">
            <v>0.3584202021213192</v>
          </cell>
          <cell r="X45">
            <v>0</v>
          </cell>
          <cell r="Y45">
            <v>0</v>
          </cell>
          <cell r="AB45">
            <v>0</v>
          </cell>
          <cell r="AC45">
            <v>0.2956834688777179</v>
          </cell>
          <cell r="AE45">
            <v>0.24605367812368134</v>
          </cell>
          <cell r="AF45">
            <v>1.8788191714487586E-2</v>
          </cell>
          <cell r="AG45">
            <v>2.6551562191831107E-2</v>
          </cell>
          <cell r="AI45">
            <v>0.21109020840755088</v>
          </cell>
          <cell r="AJ45">
            <v>0</v>
          </cell>
          <cell r="AK45">
            <v>0.35746022966272156</v>
          </cell>
        </row>
        <row r="49">
          <cell r="D49">
            <v>0.32632185379040429</v>
          </cell>
          <cell r="E49">
            <v>0.33322829159580031</v>
          </cell>
          <cell r="F49">
            <v>0.10435787679898542</v>
          </cell>
          <cell r="I49">
            <v>0</v>
          </cell>
          <cell r="J49">
            <v>0.29443537951667298</v>
          </cell>
          <cell r="K49">
            <v>0.17458276465912004</v>
          </cell>
          <cell r="L49">
            <v>0.2795638900415352</v>
          </cell>
          <cell r="M49">
            <v>0</v>
          </cell>
          <cell r="N49">
            <v>0.24047170049122482</v>
          </cell>
          <cell r="O49">
            <v>0</v>
          </cell>
          <cell r="P49">
            <v>0.32976616699167199</v>
          </cell>
          <cell r="Q49">
            <v>0.28850859403584711</v>
          </cell>
          <cell r="R49">
            <v>0</v>
          </cell>
          <cell r="S49">
            <v>0.11634974322499034</v>
          </cell>
          <cell r="T49">
            <v>0</v>
          </cell>
          <cell r="V49">
            <v>0.29041201620759988</v>
          </cell>
          <cell r="W49">
            <v>0.26999897881921003</v>
          </cell>
          <cell r="X49">
            <v>0</v>
          </cell>
          <cell r="Y49">
            <v>0</v>
          </cell>
          <cell r="AB49">
            <v>0</v>
          </cell>
          <cell r="AC49">
            <v>0.31422194312999119</v>
          </cell>
          <cell r="AE49">
            <v>0.12595453028619549</v>
          </cell>
          <cell r="AF49">
            <v>3.4427672024311587E-2</v>
          </cell>
          <cell r="AG49">
            <v>1.8781761005303321E-2</v>
          </cell>
          <cell r="AI49">
            <v>0.18058614763021091</v>
          </cell>
          <cell r="AJ49">
            <v>0</v>
          </cell>
          <cell r="AK49">
            <v>0.16473820896580293</v>
          </cell>
        </row>
        <row r="50">
          <cell r="D50">
            <v>0.34045114590423609</v>
          </cell>
          <cell r="E50">
            <v>0.38273370922457239</v>
          </cell>
          <cell r="F50">
            <v>0.16616284480322485</v>
          </cell>
          <cell r="I50">
            <v>0</v>
          </cell>
          <cell r="J50">
            <v>0.30538171511346163</v>
          </cell>
          <cell r="K50">
            <v>0.16656271296829009</v>
          </cell>
          <cell r="L50">
            <v>0.34439957697024237</v>
          </cell>
          <cell r="M50">
            <v>0</v>
          </cell>
          <cell r="N50">
            <v>0.24471899094383279</v>
          </cell>
          <cell r="O50">
            <v>0</v>
          </cell>
          <cell r="P50">
            <v>0.32196564651874759</v>
          </cell>
          <cell r="Q50">
            <v>0.31772460823934845</v>
          </cell>
          <cell r="R50">
            <v>0</v>
          </cell>
          <cell r="S50">
            <v>0.12453162099080793</v>
          </cell>
          <cell r="T50">
            <v>0</v>
          </cell>
          <cell r="V50">
            <v>0.30504365474748801</v>
          </cell>
          <cell r="W50">
            <v>0.3107853210939826</v>
          </cell>
          <cell r="X50">
            <v>0</v>
          </cell>
          <cell r="Y50">
            <v>0</v>
          </cell>
          <cell r="AB50">
            <v>0</v>
          </cell>
          <cell r="AC50">
            <v>0.3051599789506319</v>
          </cell>
          <cell r="AE50">
            <v>0.1946862473299493</v>
          </cell>
          <cell r="AF50">
            <v>3.3514967155138478E-2</v>
          </cell>
          <cell r="AG50">
            <v>4.4842612729101339E-2</v>
          </cell>
          <cell r="AI50">
            <v>0.19472842416900984</v>
          </cell>
          <cell r="AJ50">
            <v>2.9379598915435437E-19</v>
          </cell>
          <cell r="AK50">
            <v>0.24469526098545386</v>
          </cell>
        </row>
        <row r="51">
          <cell r="D51">
            <v>0.35894209777096392</v>
          </cell>
          <cell r="E51">
            <v>0.44290650015095917</v>
          </cell>
          <cell r="F51">
            <v>0.17584212781927908</v>
          </cell>
          <cell r="I51">
            <v>0</v>
          </cell>
          <cell r="J51">
            <v>0.31381215077838936</v>
          </cell>
          <cell r="K51">
            <v>0.15904599016837023</v>
          </cell>
          <cell r="L51">
            <v>0.37909532664837259</v>
          </cell>
          <cell r="M51">
            <v>0</v>
          </cell>
          <cell r="N51">
            <v>0.24744681160730544</v>
          </cell>
          <cell r="O51">
            <v>0</v>
          </cell>
          <cell r="P51">
            <v>0.31642194819214664</v>
          </cell>
          <cell r="Q51">
            <v>0.34196501959044667</v>
          </cell>
          <cell r="R51">
            <v>0</v>
          </cell>
          <cell r="S51">
            <v>0.1345150712439307</v>
          </cell>
          <cell r="T51">
            <v>0</v>
          </cell>
          <cell r="V51">
            <v>0.32159655093267142</v>
          </cell>
          <cell r="W51">
            <v>0.3584202021213192</v>
          </cell>
          <cell r="X51">
            <v>0</v>
          </cell>
          <cell r="Y51">
            <v>0</v>
          </cell>
          <cell r="AB51">
            <v>0</v>
          </cell>
          <cell r="AC51">
            <v>0.29573792782327879</v>
          </cell>
          <cell r="AE51">
            <v>0.24641908663473425</v>
          </cell>
          <cell r="AF51">
            <v>3.3216941905422785E-2</v>
          </cell>
          <cell r="AG51">
            <v>4.6691970331803556E-2</v>
          </cell>
          <cell r="AI51">
            <v>0.21109020840755088</v>
          </cell>
          <cell r="AJ51">
            <v>0</v>
          </cell>
          <cell r="AK51">
            <v>0.36044919390412083</v>
          </cell>
        </row>
        <row r="55">
          <cell r="D55">
            <v>3.4800316952720789E-2</v>
          </cell>
          <cell r="E55">
            <v>5.411260760739485E-2</v>
          </cell>
          <cell r="F55">
            <v>0.15125878508374016</v>
          </cell>
          <cell r="I55">
            <v>0</v>
          </cell>
          <cell r="J55">
            <v>7.3256157671645269E-2</v>
          </cell>
          <cell r="K55">
            <v>1.4068114530941716E-2</v>
          </cell>
          <cell r="L55">
            <v>0.43983279456029495</v>
          </cell>
          <cell r="M55">
            <v>0.34667318149017712</v>
          </cell>
          <cell r="N55">
            <v>5.1258905617810317E-2</v>
          </cell>
          <cell r="O55">
            <v>0</v>
          </cell>
          <cell r="P55">
            <v>4.413670885596508E-2</v>
          </cell>
          <cell r="Q55">
            <v>0.14744296100291343</v>
          </cell>
          <cell r="R55">
            <v>1</v>
          </cell>
          <cell r="S55">
            <v>0.13961667562414393</v>
          </cell>
          <cell r="T55">
            <v>1.4465867849915869E-2</v>
          </cell>
          <cell r="V55">
            <v>4.5861927580302102E-2</v>
          </cell>
          <cell r="W55">
            <v>5.6778295179267309E-2</v>
          </cell>
          <cell r="X55">
            <v>1</v>
          </cell>
          <cell r="Y55">
            <v>0.22290918688919506</v>
          </cell>
          <cell r="AB55">
            <v>0</v>
          </cell>
          <cell r="AC55">
            <v>1.1818281744792493E-2</v>
          </cell>
          <cell r="AE55">
            <v>4.1369254831747589E-2</v>
          </cell>
          <cell r="AF55">
            <v>6.1491285935434039E-3</v>
          </cell>
          <cell r="AG55">
            <v>6.4116131004626695E-2</v>
          </cell>
          <cell r="AH55">
            <v>0</v>
          </cell>
          <cell r="AI55">
            <v>2.257053086096374E-2</v>
          </cell>
          <cell r="AJ55">
            <v>6.2950427270736825E-2</v>
          </cell>
          <cell r="AK55">
            <v>0.17223163877993616</v>
          </cell>
        </row>
        <row r="56">
          <cell r="D56">
            <v>3.8056998608005155E-2</v>
          </cell>
          <cell r="E56">
            <v>6.0222738878534784E-2</v>
          </cell>
          <cell r="F56">
            <v>0.11816944022128711</v>
          </cell>
          <cell r="I56">
            <v>0</v>
          </cell>
          <cell r="J56">
            <v>4.7320604759762692E-2</v>
          </cell>
          <cell r="K56">
            <v>2.1869738941699881E-2</v>
          </cell>
          <cell r="L56">
            <v>0.31077221996408771</v>
          </cell>
          <cell r="M56">
            <v>0.61438862143202777</v>
          </cell>
          <cell r="N56">
            <v>5.0052546297959938E-2</v>
          </cell>
          <cell r="O56">
            <v>0</v>
          </cell>
          <cell r="P56">
            <v>4.0234059260002002E-2</v>
          </cell>
          <cell r="Q56">
            <v>0.12054977363016489</v>
          </cell>
          <cell r="R56">
            <v>1</v>
          </cell>
          <cell r="S56">
            <v>0.13367456803957029</v>
          </cell>
          <cell r="T56">
            <v>1.8466993588015866E-2</v>
          </cell>
          <cell r="V56">
            <v>4.1769817406707946E-2</v>
          </cell>
          <cell r="W56">
            <v>8.0567152853249419E-2</v>
          </cell>
          <cell r="X56">
            <v>1</v>
          </cell>
          <cell r="Y56">
            <v>0.41545441734790184</v>
          </cell>
          <cell r="AB56">
            <v>0</v>
          </cell>
          <cell r="AC56">
            <v>1.5312887262494995E-2</v>
          </cell>
          <cell r="AE56">
            <v>3.7948634031330829E-2</v>
          </cell>
          <cell r="AF56">
            <v>4.3881695478753526E-3</v>
          </cell>
          <cell r="AG56">
            <v>6.8829971945447654E-2</v>
          </cell>
          <cell r="AH56">
            <v>0</v>
          </cell>
          <cell r="AI56">
            <v>1.8975178413940797E-2</v>
          </cell>
          <cell r="AJ56">
            <v>6.4324735826916501E-2</v>
          </cell>
          <cell r="AK56">
            <v>0.14785901830105669</v>
          </cell>
        </row>
        <row r="57">
          <cell r="D57">
            <v>4.4144735634731008E-2</v>
          </cell>
          <cell r="E57">
            <v>6.812027032603038E-2</v>
          </cell>
          <cell r="F57">
            <v>9.9913037538423996E-2</v>
          </cell>
          <cell r="I57">
            <v>0</v>
          </cell>
          <cell r="J57">
            <v>2.685354475275863E-2</v>
          </cell>
          <cell r="K57">
            <v>3.0328986502367164E-2</v>
          </cell>
          <cell r="L57">
            <v>0.2418093467032548</v>
          </cell>
          <cell r="M57">
            <v>0.81919835463278268</v>
          </cell>
          <cell r="N57">
            <v>4.7577112119321238E-2</v>
          </cell>
          <cell r="O57">
            <v>0</v>
          </cell>
          <cell r="P57">
            <v>3.513750621014318E-2</v>
          </cell>
          <cell r="Q57">
            <v>9.419931248485397E-2</v>
          </cell>
          <cell r="R57">
            <v>1</v>
          </cell>
          <cell r="S57">
            <v>0.12442727842736055</v>
          </cell>
          <cell r="T57">
            <v>2.8808257734610161E-2</v>
          </cell>
          <cell r="V57">
            <v>3.9294687975700522E-2</v>
          </cell>
          <cell r="W57">
            <v>0.10693174894987573</v>
          </cell>
          <cell r="X57">
            <v>1</v>
          </cell>
          <cell r="Y57">
            <v>0.66790603292100448</v>
          </cell>
          <cell r="AB57">
            <v>0</v>
          </cell>
          <cell r="AC57">
            <v>2.0441535616983E-2</v>
          </cell>
          <cell r="AE57">
            <v>3.4154022976513897E-2</v>
          </cell>
          <cell r="AF57">
            <v>2.5272109308091496E-3</v>
          </cell>
          <cell r="AG57">
            <v>7.5561644228712879E-2</v>
          </cell>
          <cell r="AH57">
            <v>0</v>
          </cell>
          <cell r="AI57">
            <v>1.7734166751106287E-2</v>
          </cell>
          <cell r="AJ57">
            <v>6.5174622803841342E-2</v>
          </cell>
          <cell r="AK57">
            <v>0.10995329862188692</v>
          </cell>
        </row>
        <row r="61">
          <cell r="D61">
            <v>0.29391736036708327</v>
          </cell>
          <cell r="E61">
            <v>0.22344547050440755</v>
          </cell>
          <cell r="F61">
            <v>0.65595682669149324</v>
          </cell>
          <cell r="I61">
            <v>0.69807067097697828</v>
          </cell>
          <cell r="J61">
            <v>0.28985387258959699</v>
          </cell>
          <cell r="K61">
            <v>0.56515304780724496</v>
          </cell>
          <cell r="L61">
            <v>6.173248805502159E-4</v>
          </cell>
          <cell r="M61">
            <v>0.43027660538885715</v>
          </cell>
          <cell r="N61">
            <v>0.40363078391596513</v>
          </cell>
          <cell r="O61">
            <v>0</v>
          </cell>
          <cell r="P61">
            <v>0.28486423085766743</v>
          </cell>
          <cell r="Q61">
            <v>0.22684518519665073</v>
          </cell>
          <cell r="R61">
            <v>0</v>
          </cell>
          <cell r="S61">
            <v>0.5766672097955019</v>
          </cell>
          <cell r="T61">
            <v>0.6420474958843656</v>
          </cell>
          <cell r="V61">
            <v>0.36068880275116638</v>
          </cell>
          <cell r="W61">
            <v>0.26646014249212752</v>
          </cell>
          <cell r="X61">
            <v>0</v>
          </cell>
          <cell r="Y61">
            <v>0.52108446640039818</v>
          </cell>
          <cell r="AB61">
            <v>0</v>
          </cell>
          <cell r="AC61">
            <v>0.32714295208715394</v>
          </cell>
          <cell r="AE61">
            <v>0.49637961681003778</v>
          </cell>
          <cell r="AF61">
            <v>0.84370853850512806</v>
          </cell>
          <cell r="AG61">
            <v>0.74072486349282174</v>
          </cell>
          <cell r="AH61">
            <v>0.82133680429323819</v>
          </cell>
          <cell r="AI61">
            <v>0.44811656042810366</v>
          </cell>
          <cell r="AJ61">
            <v>0.88557385508103759</v>
          </cell>
          <cell r="AK61">
            <v>0.43711725884078534</v>
          </cell>
        </row>
        <row r="62">
          <cell r="D62">
            <v>0.26844776163359119</v>
          </cell>
          <cell r="E62">
            <v>0.13943431254720712</v>
          </cell>
          <cell r="F62">
            <v>0.54920604748533697</v>
          </cell>
          <cell r="I62">
            <v>0.69807067097697828</v>
          </cell>
          <cell r="J62">
            <v>0.27082293747073544</v>
          </cell>
          <cell r="K62">
            <v>0.57221196950345321</v>
          </cell>
          <cell r="L62">
            <v>2.5456522824999719E-4</v>
          </cell>
          <cell r="M62">
            <v>0.25018200424853765</v>
          </cell>
          <cell r="N62">
            <v>0.39107176908231772</v>
          </cell>
          <cell r="O62">
            <v>0</v>
          </cell>
          <cell r="P62">
            <v>0.29225862338530345</v>
          </cell>
          <cell r="Q62">
            <v>0.21441489524704893</v>
          </cell>
          <cell r="R62">
            <v>0</v>
          </cell>
          <cell r="S62">
            <v>0.55635432400891571</v>
          </cell>
          <cell r="T62">
            <v>0.63917324844946333</v>
          </cell>
          <cell r="V62">
            <v>0.33140151940220447</v>
          </cell>
          <cell r="W62">
            <v>0.19417475744564044</v>
          </cell>
          <cell r="X62">
            <v>0</v>
          </cell>
          <cell r="Y62">
            <v>0.3761391232772896</v>
          </cell>
          <cell r="AB62">
            <v>0</v>
          </cell>
          <cell r="AC62">
            <v>0.3396472798739551</v>
          </cell>
          <cell r="AE62">
            <v>0.40187736853247591</v>
          </cell>
          <cell r="AF62">
            <v>0.79960257842813054</v>
          </cell>
          <cell r="AG62">
            <v>0.69152979828798733</v>
          </cell>
          <cell r="AH62">
            <v>0.82133680429323808</v>
          </cell>
          <cell r="AI62">
            <v>0.42939518519004044</v>
          </cell>
          <cell r="AJ62">
            <v>0.88351701114520476</v>
          </cell>
          <cell r="AK62">
            <v>0.30282344924860322</v>
          </cell>
        </row>
        <row r="63">
          <cell r="D63">
            <v>0.23400855388820849</v>
          </cell>
          <cell r="E63">
            <v>3.6944868220224136E-2</v>
          </cell>
          <cell r="F63">
            <v>0.5369437084888119</v>
          </cell>
          <cell r="I63">
            <v>0.69807067097697828</v>
          </cell>
          <cell r="J63">
            <v>0.254759356438163</v>
          </cell>
          <cell r="K63">
            <v>0.57778313202571563</v>
          </cell>
          <cell r="L63">
            <v>0</v>
          </cell>
          <cell r="M63">
            <v>0.11201865206572044</v>
          </cell>
          <cell r="N63">
            <v>0.38345783258187893</v>
          </cell>
          <cell r="O63">
            <v>0</v>
          </cell>
          <cell r="P63">
            <v>0.2985222729481124</v>
          </cell>
          <cell r="Q63">
            <v>0.20678244532692125</v>
          </cell>
          <cell r="R63">
            <v>0</v>
          </cell>
          <cell r="S63">
            <v>0.53713797951106712</v>
          </cell>
          <cell r="T63">
            <v>0.63174580578801742</v>
          </cell>
          <cell r="V63">
            <v>0.29755603842422862</v>
          </cell>
          <cell r="W63">
            <v>0.11064145918389767</v>
          </cell>
          <cell r="X63">
            <v>0</v>
          </cell>
          <cell r="Y63">
            <v>0.18500456069864896</v>
          </cell>
          <cell r="AB63">
            <v>0</v>
          </cell>
          <cell r="AC63">
            <v>0.35131366701420663</v>
          </cell>
          <cell r="AE63">
            <v>0.33165214921906944</v>
          </cell>
          <cell r="AF63">
            <v>0.75267374376771523</v>
          </cell>
          <cell r="AG63">
            <v>0.67897366828701344</v>
          </cell>
          <cell r="AH63">
            <v>0.82133680429323819</v>
          </cell>
          <cell r="AI63">
            <v>0.40558571131978499</v>
          </cell>
          <cell r="AJ63">
            <v>0.88152861556368223</v>
          </cell>
          <cell r="AK63">
            <v>0.11658105677986243</v>
          </cell>
        </row>
        <row r="67">
          <cell r="D67">
            <v>4.8104041854908186E-2</v>
          </cell>
          <cell r="E67">
            <v>5.5985338696596901E-2</v>
          </cell>
          <cell r="F67">
            <v>6.7201274037755318E-2</v>
          </cell>
          <cell r="I67">
            <v>0</v>
          </cell>
          <cell r="J67">
            <v>5.7646671245516388E-2</v>
          </cell>
          <cell r="K67">
            <v>7.161330834357324E-2</v>
          </cell>
          <cell r="L67">
            <v>4.2210047608437376E-4</v>
          </cell>
          <cell r="M67">
            <v>0.22305021312096579</v>
          </cell>
          <cell r="N67">
            <v>0</v>
          </cell>
          <cell r="O67">
            <v>1</v>
          </cell>
          <cell r="P67">
            <v>3.9720381447598638E-2</v>
          </cell>
          <cell r="Q67">
            <v>0</v>
          </cell>
          <cell r="R67">
            <v>0</v>
          </cell>
          <cell r="S67">
            <v>0.10876560130453153</v>
          </cell>
          <cell r="T67">
            <v>0.34348663626571846</v>
          </cell>
          <cell r="V67">
            <v>0</v>
          </cell>
          <cell r="W67">
            <v>0.13676360469018509</v>
          </cell>
          <cell r="X67">
            <v>0</v>
          </cell>
          <cell r="Y67">
            <v>0.2560063467104069</v>
          </cell>
          <cell r="AB67">
            <v>0</v>
          </cell>
          <cell r="AC67">
            <v>3.4388252670421088E-2</v>
          </cell>
          <cell r="AE67">
            <v>0.21171363117491121</v>
          </cell>
          <cell r="AF67">
            <v>0</v>
          </cell>
          <cell r="AG67">
            <v>0.17636098316695178</v>
          </cell>
          <cell r="AH67">
            <v>0</v>
          </cell>
          <cell r="AI67">
            <v>0.16814061345051082</v>
          </cell>
          <cell r="AJ67">
            <v>0</v>
          </cell>
          <cell r="AK67">
            <v>8.5775520795129581E-2</v>
          </cell>
        </row>
        <row r="68">
          <cell r="D68">
            <v>4.4490991490966934E-2</v>
          </cell>
          <cell r="E68">
            <v>3.4875530125113401E-2</v>
          </cell>
          <cell r="F68">
            <v>6.4984477402323951E-2</v>
          </cell>
          <cell r="I68">
            <v>0</v>
          </cell>
          <cell r="J68">
            <v>7.6807109971971183E-2</v>
          </cell>
          <cell r="K68">
            <v>7.2792865618266825E-2</v>
          </cell>
          <cell r="L68">
            <v>1.7406086717755494E-4</v>
          </cell>
          <cell r="M68">
            <v>0.13542937431943458</v>
          </cell>
          <cell r="N68">
            <v>0</v>
          </cell>
          <cell r="O68">
            <v>1</v>
          </cell>
          <cell r="P68">
            <v>3.9796000091807102E-2</v>
          </cell>
          <cell r="Q68">
            <v>0</v>
          </cell>
          <cell r="R68">
            <v>0</v>
          </cell>
          <cell r="S68">
            <v>0.1090409978596083</v>
          </cell>
          <cell r="T68">
            <v>0.34235975796252083</v>
          </cell>
          <cell r="V68">
            <v>0</v>
          </cell>
          <cell r="W68">
            <v>0.10368744751314493</v>
          </cell>
          <cell r="X68">
            <v>0</v>
          </cell>
          <cell r="Y68">
            <v>0.20840645937480853</v>
          </cell>
          <cell r="AB68">
            <v>0</v>
          </cell>
          <cell r="AC68">
            <v>3.5660164170491504E-2</v>
          </cell>
          <cell r="AE68">
            <v>0.17155663795166698</v>
          </cell>
          <cell r="AF68">
            <v>0</v>
          </cell>
          <cell r="AG68">
            <v>0.16938597208164424</v>
          </cell>
          <cell r="AH68">
            <v>0</v>
          </cell>
          <cell r="AI68">
            <v>0.16217278805799909</v>
          </cell>
          <cell r="AJ68">
            <v>0</v>
          </cell>
          <cell r="AK68">
            <v>7.3541793301132169E-2</v>
          </cell>
        </row>
        <row r="69">
          <cell r="D69">
            <v>3.9555440323304811E-2</v>
          </cell>
          <cell r="E69">
            <v>9.1218611518272472E-3</v>
          </cell>
          <cell r="F69">
            <v>6.7040303170471729E-2</v>
          </cell>
          <cell r="I69">
            <v>0</v>
          </cell>
          <cell r="J69">
            <v>9.3552311165276833E-2</v>
          </cell>
          <cell r="K69">
            <v>7.3795901135176784E-2</v>
          </cell>
          <cell r="L69">
            <v>0</v>
          </cell>
          <cell r="M69">
            <v>6.8782993301496828E-2</v>
          </cell>
          <cell r="N69">
            <v>0</v>
          </cell>
          <cell r="O69">
            <v>1</v>
          </cell>
          <cell r="P69">
            <v>3.9516562302056663E-2</v>
          </cell>
          <cell r="Q69">
            <v>0</v>
          </cell>
          <cell r="R69">
            <v>0</v>
          </cell>
          <cell r="S69">
            <v>0.10930331880910012</v>
          </cell>
          <cell r="T69">
            <v>0.33944593647737242</v>
          </cell>
          <cell r="V69">
            <v>0</v>
          </cell>
          <cell r="W69">
            <v>6.5586387623588246E-2</v>
          </cell>
          <cell r="X69">
            <v>0</v>
          </cell>
          <cell r="Y69">
            <v>0.14708940638034657</v>
          </cell>
          <cell r="AB69">
            <v>0</v>
          </cell>
          <cell r="AC69">
            <v>3.6823400667813609E-2</v>
          </cell>
          <cell r="AE69">
            <v>0.14172106304600127</v>
          </cell>
          <cell r="AF69">
            <v>0</v>
          </cell>
          <cell r="AG69">
            <v>0.17222115496063906</v>
          </cell>
          <cell r="AH69">
            <v>0</v>
          </cell>
          <cell r="AI69">
            <v>0.15449970511400687</v>
          </cell>
          <cell r="AJ69">
            <v>0</v>
          </cell>
          <cell r="AK69">
            <v>5.5556221031408233E-2</v>
          </cell>
        </row>
        <row r="73">
          <cell r="D73">
            <v>0</v>
          </cell>
          <cell r="E73">
            <v>0</v>
          </cell>
          <cell r="F73">
            <v>0</v>
          </cell>
          <cell r="I73">
            <v>0.30192932902302166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7.535418891359183E-2</v>
          </cell>
          <cell r="O73">
            <v>0</v>
          </cell>
          <cell r="P73">
            <v>3.68264186091563E-3</v>
          </cell>
          <cell r="Q73">
            <v>6.1520914136159247E-2</v>
          </cell>
          <cell r="R73">
            <v>0</v>
          </cell>
          <cell r="S73">
            <v>0</v>
          </cell>
          <cell r="T73">
            <v>0</v>
          </cell>
          <cell r="V73">
            <v>2.7626873339448334E-2</v>
          </cell>
          <cell r="W73">
            <v>0</v>
          </cell>
          <cell r="X73">
            <v>0</v>
          </cell>
          <cell r="Y73">
            <v>0</v>
          </cell>
          <cell r="AB73">
            <v>0</v>
          </cell>
          <cell r="AC73">
            <v>0</v>
          </cell>
          <cell r="AE73">
            <v>0</v>
          </cell>
          <cell r="AF73">
            <v>0.11290923285977414</v>
          </cell>
          <cell r="AG73">
            <v>0</v>
          </cell>
          <cell r="AH73">
            <v>0.17866319570676181</v>
          </cell>
          <cell r="AI73">
            <v>0</v>
          </cell>
          <cell r="AJ73">
            <v>5.1475717648225602E-2</v>
          </cell>
          <cell r="AK73">
            <v>0</v>
          </cell>
        </row>
        <row r="74">
          <cell r="D74">
            <v>0</v>
          </cell>
          <cell r="E74">
            <v>0</v>
          </cell>
          <cell r="F74">
            <v>0</v>
          </cell>
          <cell r="I74">
            <v>0.30192932902302166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7.628071021909183E-2</v>
          </cell>
          <cell r="O74">
            <v>0</v>
          </cell>
          <cell r="P74">
            <v>3.9127272837269703E-3</v>
          </cell>
          <cell r="Q74">
            <v>6.0282986253941621E-2</v>
          </cell>
          <cell r="R74">
            <v>0</v>
          </cell>
          <cell r="S74">
            <v>0</v>
          </cell>
          <cell r="T74">
            <v>0</v>
          </cell>
          <cell r="V74">
            <v>2.7010465652826648E-2</v>
          </cell>
          <cell r="W74">
            <v>0</v>
          </cell>
          <cell r="X74">
            <v>0</v>
          </cell>
          <cell r="Y74">
            <v>0</v>
          </cell>
          <cell r="AB74">
            <v>0</v>
          </cell>
          <cell r="AC74">
            <v>0</v>
          </cell>
          <cell r="AE74">
            <v>0</v>
          </cell>
          <cell r="AF74">
            <v>0.15329710713131647</v>
          </cell>
          <cell r="AG74">
            <v>0</v>
          </cell>
          <cell r="AH74">
            <v>0.17866319570676181</v>
          </cell>
          <cell r="AI74">
            <v>0</v>
          </cell>
          <cell r="AJ74">
            <v>5.2158253027878881E-2</v>
          </cell>
          <cell r="AK74">
            <v>0</v>
          </cell>
        </row>
        <row r="75">
          <cell r="D75">
            <v>0</v>
          </cell>
          <cell r="E75">
            <v>0</v>
          </cell>
          <cell r="F75">
            <v>0</v>
          </cell>
          <cell r="I75">
            <v>0.30192932902302178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7.7820346942755692E-2</v>
          </cell>
          <cell r="O75">
            <v>0</v>
          </cell>
          <cell r="P75">
            <v>4.1559808317533182E-3</v>
          </cell>
          <cell r="Q75">
            <v>6.0149309231208856E-2</v>
          </cell>
          <cell r="R75">
            <v>0</v>
          </cell>
          <cell r="S75">
            <v>0</v>
          </cell>
          <cell r="T75">
            <v>0</v>
          </cell>
          <cell r="V75">
            <v>2.613607377240889E-2</v>
          </cell>
          <cell r="W75">
            <v>0</v>
          </cell>
          <cell r="X75">
            <v>0</v>
          </cell>
          <cell r="Y75">
            <v>0</v>
          </cell>
          <cell r="AB75">
            <v>0</v>
          </cell>
          <cell r="AC75">
            <v>0</v>
          </cell>
          <cell r="AE75">
            <v>0</v>
          </cell>
          <cell r="AF75">
            <v>0.19279391168156518</v>
          </cell>
          <cell r="AG75">
            <v>0</v>
          </cell>
          <cell r="AH75">
            <v>0.17866319570676187</v>
          </cell>
          <cell r="AI75">
            <v>0</v>
          </cell>
          <cell r="AJ75">
            <v>5.3296761632476389E-2</v>
          </cell>
          <cell r="AK75">
            <v>0</v>
          </cell>
        </row>
        <row r="82">
          <cell r="O82">
            <v>0.3234349919743178</v>
          </cell>
          <cell r="AI82">
            <v>0.54478983484624899</v>
          </cell>
        </row>
        <row r="83">
          <cell r="O83">
            <v>0.33517350157728709</v>
          </cell>
          <cell r="AI83">
            <v>0.54880174863042774</v>
          </cell>
        </row>
        <row r="84">
          <cell r="O84">
            <v>0.34243369734789392</v>
          </cell>
          <cell r="AI84">
            <v>0.53617817927515821</v>
          </cell>
        </row>
        <row r="88">
          <cell r="D88">
            <v>0.40523489540882801</v>
          </cell>
          <cell r="E88">
            <v>0.47166454113710304</v>
          </cell>
          <cell r="F88">
            <v>6.4911566203116153E-2</v>
          </cell>
          <cell r="I88">
            <v>0</v>
          </cell>
          <cell r="J88">
            <v>2.1581927010276836E-2</v>
          </cell>
          <cell r="K88">
            <v>0.37134994879221095</v>
          </cell>
          <cell r="L88">
            <v>7.5219333090867688E-2</v>
          </cell>
          <cell r="M88">
            <v>0.1453562010527859</v>
          </cell>
          <cell r="N88">
            <v>6.2800298738103083E-2</v>
          </cell>
          <cell r="O88">
            <v>0</v>
          </cell>
          <cell r="P88">
            <v>0.10526879699111717</v>
          </cell>
          <cell r="Q88">
            <v>1.9475399259916849E-2</v>
          </cell>
          <cell r="R88">
            <v>0.16563575859707008</v>
          </cell>
          <cell r="S88">
            <v>1.7076892094711833E-3</v>
          </cell>
          <cell r="T88">
            <v>7.3935430355072246E-2</v>
          </cell>
          <cell r="V88">
            <v>0.19860988186850961</v>
          </cell>
          <cell r="W88">
            <v>5.2175084374122459E-2</v>
          </cell>
          <cell r="X88">
            <v>0.50672628470314951</v>
          </cell>
          <cell r="Y88">
            <v>0.12695817539830548</v>
          </cell>
          <cell r="AB88">
            <v>0</v>
          </cell>
          <cell r="AC88">
            <v>0.42732140119206341</v>
          </cell>
          <cell r="AE88">
            <v>8.9874694729163693E-2</v>
          </cell>
          <cell r="AF88">
            <v>0.56829255316577887</v>
          </cell>
          <cell r="AG88">
            <v>0.25560576585951522</v>
          </cell>
          <cell r="AH88">
            <v>0.32245731340690997</v>
          </cell>
          <cell r="AI88">
            <v>5.2144169906712404E-2</v>
          </cell>
          <cell r="AJ88">
            <v>0.21837771817636106</v>
          </cell>
          <cell r="AK88">
            <v>2.760361659272164E-2</v>
          </cell>
        </row>
        <row r="89">
          <cell r="D89">
            <v>0.46154436230443319</v>
          </cell>
          <cell r="E89">
            <v>0.46175592493826179</v>
          </cell>
          <cell r="F89">
            <v>7.7953165738024591E-2</v>
          </cell>
          <cell r="I89">
            <v>0</v>
          </cell>
          <cell r="J89">
            <v>2.2581597344920525E-2</v>
          </cell>
          <cell r="K89">
            <v>0.43913114803387926</v>
          </cell>
          <cell r="L89">
            <v>4.4133161000695149E-2</v>
          </cell>
          <cell r="M89">
            <v>0.1690885072655218</v>
          </cell>
          <cell r="N89">
            <v>6.5023342485881472E-2</v>
          </cell>
          <cell r="O89">
            <v>0</v>
          </cell>
          <cell r="P89">
            <v>0.11280974655582172</v>
          </cell>
          <cell r="Q89">
            <v>1.51169573289715E-2</v>
          </cell>
          <cell r="R89">
            <v>0.14268504593102141</v>
          </cell>
          <cell r="S89">
            <v>1.7106104003935445E-3</v>
          </cell>
          <cell r="T89">
            <v>6.4049732379722196E-2</v>
          </cell>
          <cell r="V89">
            <v>0.18808238791174625</v>
          </cell>
          <cell r="W89">
            <v>3.5715870411838317E-2</v>
          </cell>
          <cell r="X89">
            <v>0.50526557632440072</v>
          </cell>
          <cell r="Y89">
            <v>0.10936914571523272</v>
          </cell>
          <cell r="AB89">
            <v>0</v>
          </cell>
          <cell r="AC89">
            <v>0.31467233526049471</v>
          </cell>
          <cell r="AE89">
            <v>0.10024051182143748</v>
          </cell>
          <cell r="AF89">
            <v>0.52496628265400813</v>
          </cell>
          <cell r="AG89">
            <v>0.25251001344753016</v>
          </cell>
          <cell r="AH89">
            <v>0.37328486625364637</v>
          </cell>
          <cell r="AI89">
            <v>5.8538853187245631E-2</v>
          </cell>
          <cell r="AJ89">
            <v>0.11410543700996809</v>
          </cell>
          <cell r="AK89">
            <v>2.5657434198174532E-2</v>
          </cell>
        </row>
        <row r="90">
          <cell r="D90">
            <v>0.48330807002359955</v>
          </cell>
          <cell r="E90">
            <v>0.4526249162239932</v>
          </cell>
          <cell r="F90">
            <v>7.1239510490933855E-2</v>
          </cell>
          <cell r="I90">
            <v>0</v>
          </cell>
          <cell r="J90">
            <v>1.4982406300411633E-2</v>
          </cell>
          <cell r="K90">
            <v>0.45687309201824489</v>
          </cell>
          <cell r="L90">
            <v>1.4554380667730533E-2</v>
          </cell>
          <cell r="M90">
            <v>0.1542940320232897</v>
          </cell>
          <cell r="N90">
            <v>6.7162658918203957E-2</v>
          </cell>
          <cell r="O90">
            <v>0</v>
          </cell>
          <cell r="P90">
            <v>0.11964271008881598</v>
          </cell>
          <cell r="Q90">
            <v>1.2167137904987366E-2</v>
          </cell>
          <cell r="R90">
            <v>0.11435494200877355</v>
          </cell>
          <cell r="S90">
            <v>1.7106104003935445E-3</v>
          </cell>
          <cell r="T90">
            <v>5.3950698280866606E-2</v>
          </cell>
          <cell r="V90">
            <v>0.1772450930574461</v>
          </cell>
          <cell r="W90">
            <v>1.8696398660356751E-2</v>
          </cell>
          <cell r="X90">
            <v>0.50149674697697866</v>
          </cell>
          <cell r="Y90">
            <v>9.2788693361161828E-2</v>
          </cell>
          <cell r="AB90">
            <v>0</v>
          </cell>
          <cell r="AC90">
            <v>0.14568951180388662</v>
          </cell>
          <cell r="AE90">
            <v>0.11059243738666273</v>
          </cell>
          <cell r="AF90">
            <v>0.48025724602694703</v>
          </cell>
          <cell r="AG90">
            <v>0.25060196364506054</v>
          </cell>
          <cell r="AH90">
            <v>0.39066768449133482</v>
          </cell>
          <cell r="AI90">
            <v>6.7200998469153159E-2</v>
          </cell>
          <cell r="AJ90">
            <v>0</v>
          </cell>
          <cell r="AK90">
            <v>2.3600176533096501E-2</v>
          </cell>
        </row>
        <row r="94">
          <cell r="D94">
            <v>0.38383485037038423</v>
          </cell>
          <cell r="E94">
            <v>4.0014861793219933E-2</v>
          </cell>
          <cell r="F94">
            <v>0.17058155769656105</v>
          </cell>
          <cell r="I94">
            <v>0</v>
          </cell>
          <cell r="J94">
            <v>0.13668553773175329</v>
          </cell>
          <cell r="K94">
            <v>0.28009192734989069</v>
          </cell>
          <cell r="L94">
            <v>0.15562620639489866</v>
          </cell>
          <cell r="M94">
            <v>0.64749580468968271</v>
          </cell>
          <cell r="N94">
            <v>0.13162688876925649</v>
          </cell>
          <cell r="O94">
            <v>0.6765650080256822</v>
          </cell>
          <cell r="P94">
            <v>0.18709829662848099</v>
          </cell>
          <cell r="Q94">
            <v>4.4943229061346568E-2</v>
          </cell>
          <cell r="R94">
            <v>0.33127151719414016</v>
          </cell>
          <cell r="S94">
            <v>1.5369202885240648E-2</v>
          </cell>
          <cell r="T94">
            <v>0</v>
          </cell>
          <cell r="V94">
            <v>0.13191619314229402</v>
          </cell>
          <cell r="W94">
            <v>0.35381229091201788</v>
          </cell>
          <cell r="X94">
            <v>0.36656795063632097</v>
          </cell>
          <cell r="Y94">
            <v>0.70263897072665416</v>
          </cell>
          <cell r="AB94">
            <v>0</v>
          </cell>
          <cell r="AC94">
            <v>7.0584338589760459E-2</v>
          </cell>
          <cell r="AE94">
            <v>0.26865768962051084</v>
          </cell>
          <cell r="AF94">
            <v>5.0606075733174043E-2</v>
          </cell>
          <cell r="AG94">
            <v>0.11806409349196836</v>
          </cell>
          <cell r="AH94">
            <v>0.2804628725911264</v>
          </cell>
          <cell r="AI94">
            <v>0.18055891669189966</v>
          </cell>
          <cell r="AJ94">
            <v>0.33398945132855218</v>
          </cell>
          <cell r="AK94">
            <v>0.28523737145812361</v>
          </cell>
        </row>
        <row r="95">
          <cell r="D95">
            <v>0.40052507782482127</v>
          </cell>
          <cell r="E95">
            <v>4.3154759340024468E-2</v>
          </cell>
          <cell r="F95">
            <v>0.21187270687770784</v>
          </cell>
          <cell r="I95">
            <v>0</v>
          </cell>
          <cell r="J95">
            <v>0.17613645929038008</v>
          </cell>
          <cell r="K95">
            <v>0.30857864456434758</v>
          </cell>
          <cell r="L95">
            <v>0.13791612812717235</v>
          </cell>
          <cell r="M95">
            <v>0.83091149273447817</v>
          </cell>
          <cell r="N95">
            <v>0.14098811279390644</v>
          </cell>
          <cell r="O95">
            <v>0.66482649842271291</v>
          </cell>
          <cell r="P95">
            <v>0.19623208014332014</v>
          </cell>
          <cell r="Q95">
            <v>4.081578478822305E-2</v>
          </cell>
          <cell r="R95">
            <v>0.28245815214916487</v>
          </cell>
          <cell r="S95">
            <v>1.3684883203148356E-2</v>
          </cell>
          <cell r="T95">
            <v>0</v>
          </cell>
          <cell r="V95">
            <v>0.12353937007607999</v>
          </cell>
          <cell r="W95">
            <v>0.3089422790624014</v>
          </cell>
          <cell r="X95">
            <v>0.38400183800654453</v>
          </cell>
          <cell r="Y95">
            <v>0.69777514966318477</v>
          </cell>
          <cell r="AB95">
            <v>0</v>
          </cell>
          <cell r="AC95">
            <v>7.6354316644090633E-2</v>
          </cell>
          <cell r="AE95">
            <v>0.27597465910839503</v>
          </cell>
          <cell r="AF95">
            <v>5.1660936643230911E-2</v>
          </cell>
          <cell r="AG95">
            <v>0.12206645199833212</v>
          </cell>
          <cell r="AH95">
            <v>0.3162172322504711</v>
          </cell>
          <cell r="AI95">
            <v>0.18366565187498318</v>
          </cell>
          <cell r="AJ95">
            <v>0.31786514595633963</v>
          </cell>
          <cell r="AK95">
            <v>0.27756678814388808</v>
          </cell>
        </row>
        <row r="96">
          <cell r="D96">
            <v>0.38742043691393518</v>
          </cell>
          <cell r="E96">
            <v>4.7093921919259409E-2</v>
          </cell>
          <cell r="F96">
            <v>0.20557687313098055</v>
          </cell>
          <cell r="I96">
            <v>0</v>
          </cell>
          <cell r="J96">
            <v>0.16711145488920667</v>
          </cell>
          <cell r="K96">
            <v>0.30157592177438036</v>
          </cell>
          <cell r="L96">
            <v>0.12225679760893646</v>
          </cell>
          <cell r="M96">
            <v>0.84570596797671038</v>
          </cell>
          <cell r="N96">
            <v>0.15034576858753912</v>
          </cell>
          <cell r="O96">
            <v>0.65756630265210614</v>
          </cell>
          <cell r="P96">
            <v>0.20360483368773008</v>
          </cell>
          <cell r="Q96">
            <v>3.802230595308552E-2</v>
          </cell>
          <cell r="R96">
            <v>0.22198312272291337</v>
          </cell>
          <cell r="S96">
            <v>1.3684883203148356E-2</v>
          </cell>
          <cell r="T96">
            <v>0</v>
          </cell>
          <cell r="V96">
            <v>0.11730214613422817</v>
          </cell>
          <cell r="W96">
            <v>0.25427102178085181</v>
          </cell>
          <cell r="X96">
            <v>0.39741251647232262</v>
          </cell>
          <cell r="Y96">
            <v>0.69854129530384101</v>
          </cell>
          <cell r="AB96">
            <v>0</v>
          </cell>
          <cell r="AC96">
            <v>8.7413707082331968E-2</v>
          </cell>
          <cell r="AE96">
            <v>0.28272667188656475</v>
          </cell>
          <cell r="AF96">
            <v>5.4289949550872275E-2</v>
          </cell>
          <cell r="AG96">
            <v>0.12634391508383552</v>
          </cell>
          <cell r="AH96">
            <v>0.31057892915288021</v>
          </cell>
          <cell r="AI96">
            <v>0.19230924030002339</v>
          </cell>
          <cell r="AJ96">
            <v>0.27170068115360763</v>
          </cell>
          <cell r="AK96">
            <v>0.27140203013060971</v>
          </cell>
        </row>
        <row r="100">
          <cell r="D100">
            <v>0.21093025422078784</v>
          </cell>
          <cell r="E100">
            <v>0.48832059706967695</v>
          </cell>
          <cell r="F100">
            <v>0.76450687610032286</v>
          </cell>
          <cell r="I100">
            <v>0</v>
          </cell>
          <cell r="J100">
            <v>0.84173253525796987</v>
          </cell>
          <cell r="K100">
            <v>0.34855812385789836</v>
          </cell>
          <cell r="L100">
            <v>0.76915446051423364</v>
          </cell>
          <cell r="M100">
            <v>0.20714799425753147</v>
          </cell>
          <cell r="N100">
            <v>0.80557281249264034</v>
          </cell>
          <cell r="O100">
            <v>0</v>
          </cell>
          <cell r="P100">
            <v>0.70763290638040188</v>
          </cell>
          <cell r="Q100">
            <v>0.93558137167873667</v>
          </cell>
          <cell r="R100">
            <v>0.50309272420878981</v>
          </cell>
          <cell r="S100">
            <v>0.98292310790528825</v>
          </cell>
          <cell r="T100">
            <v>0.92606456964492778</v>
          </cell>
          <cell r="V100">
            <v>0.66947392498919644</v>
          </cell>
          <cell r="W100">
            <v>0.59401262471385963</v>
          </cell>
          <cell r="X100">
            <v>0.12670576466052941</v>
          </cell>
          <cell r="Y100">
            <v>0.17040285387504039</v>
          </cell>
          <cell r="AB100">
            <v>1</v>
          </cell>
          <cell r="AC100">
            <v>0.50209426021817616</v>
          </cell>
          <cell r="AE100">
            <v>0.64146761565032551</v>
          </cell>
          <cell r="AF100">
            <v>0.38110137110104708</v>
          </cell>
          <cell r="AG100">
            <v>0.62633014064851644</v>
          </cell>
          <cell r="AH100">
            <v>0.39707981400196363</v>
          </cell>
          <cell r="AI100">
            <v>0.22250707855513902</v>
          </cell>
          <cell r="AJ100">
            <v>0.44763283049508668</v>
          </cell>
          <cell r="AK100">
            <v>0.68715901194915474</v>
          </cell>
        </row>
        <row r="101">
          <cell r="D101">
            <v>0.13793055987074559</v>
          </cell>
          <cell r="E101">
            <v>0.49508931572171383</v>
          </cell>
          <cell r="F101">
            <v>0.71017412738426755</v>
          </cell>
          <cell r="I101">
            <v>0</v>
          </cell>
          <cell r="J101">
            <v>0.80128194336469938</v>
          </cell>
          <cell r="K101">
            <v>0.2522902074017731</v>
          </cell>
          <cell r="L101">
            <v>0.81795071087213245</v>
          </cell>
          <cell r="M101">
            <v>0</v>
          </cell>
          <cell r="N101">
            <v>0.79398854472021207</v>
          </cell>
          <cell r="O101">
            <v>0</v>
          </cell>
          <cell r="P101">
            <v>0.69095817330085807</v>
          </cell>
          <cell r="Q101">
            <v>0.94406725788280543</v>
          </cell>
          <cell r="R101">
            <v>0.5748568019198137</v>
          </cell>
          <cell r="S101">
            <v>0.98460450639645813</v>
          </cell>
          <cell r="T101">
            <v>0.93595026762027789</v>
          </cell>
          <cell r="V101">
            <v>0.68837824201217379</v>
          </cell>
          <cell r="W101">
            <v>0.65534185052576033</v>
          </cell>
          <cell r="X101">
            <v>0.1107325856690547</v>
          </cell>
          <cell r="Y101">
            <v>0.19285570462158244</v>
          </cell>
          <cell r="AB101">
            <v>1</v>
          </cell>
          <cell r="AC101">
            <v>0.6089733480954147</v>
          </cell>
          <cell r="AE101">
            <v>0.62378482907016741</v>
          </cell>
          <cell r="AF101">
            <v>0.42337278070276091</v>
          </cell>
          <cell r="AG101">
            <v>0.62542353455413768</v>
          </cell>
          <cell r="AH101">
            <v>0.31049790149588252</v>
          </cell>
          <cell r="AI101">
            <v>0.20899374630734355</v>
          </cell>
          <cell r="AJ101">
            <v>0.56802941703369225</v>
          </cell>
          <cell r="AK101">
            <v>0.69677577765793741</v>
          </cell>
        </row>
        <row r="102">
          <cell r="D102">
            <v>0.1292714930624653</v>
          </cell>
          <cell r="E102">
            <v>0.50028116185674742</v>
          </cell>
          <cell r="F102">
            <v>0.72318361637808559</v>
          </cell>
          <cell r="I102">
            <v>0</v>
          </cell>
          <cell r="J102">
            <v>0.81790613881038166</v>
          </cell>
          <cell r="K102">
            <v>0.24155098620737481</v>
          </cell>
          <cell r="L102">
            <v>0.86318882172333311</v>
          </cell>
          <cell r="M102">
            <v>0</v>
          </cell>
          <cell r="N102">
            <v>0.78249157249425694</v>
          </cell>
          <cell r="O102">
            <v>0</v>
          </cell>
          <cell r="P102">
            <v>0.67675245622345381</v>
          </cell>
          <cell r="Q102">
            <v>0.94981055614192711</v>
          </cell>
          <cell r="R102">
            <v>0.66366193526831307</v>
          </cell>
          <cell r="S102">
            <v>0.98460450639645813</v>
          </cell>
          <cell r="T102">
            <v>0.94604930171913337</v>
          </cell>
          <cell r="V102">
            <v>0.70545276080832575</v>
          </cell>
          <cell r="W102">
            <v>0.7270325795587913</v>
          </cell>
          <cell r="X102">
            <v>0.10109073655069881</v>
          </cell>
          <cell r="Y102">
            <v>0.20867001133499713</v>
          </cell>
          <cell r="AB102">
            <v>1</v>
          </cell>
          <cell r="AC102">
            <v>0.76689678111378135</v>
          </cell>
          <cell r="AE102">
            <v>0.60668089072677245</v>
          </cell>
          <cell r="AF102">
            <v>0.46545280442218068</v>
          </cell>
          <cell r="AG102">
            <v>0.62305412127110382</v>
          </cell>
          <cell r="AH102">
            <v>0.29875338635578502</v>
          </cell>
          <cell r="AI102">
            <v>0.20431158195566515</v>
          </cell>
          <cell r="AJ102">
            <v>0.72829931884639232</v>
          </cell>
          <cell r="AK102">
            <v>0.70499779333629387</v>
          </cell>
        </row>
        <row r="109">
          <cell r="D109">
            <v>0.30228039582823762</v>
          </cell>
          <cell r="E109">
            <v>0.45378344926160058</v>
          </cell>
          <cell r="F109">
            <v>0.67201396725374174</v>
          </cell>
          <cell r="I109">
            <v>0.69659664004480437</v>
          </cell>
          <cell r="J109">
            <v>0.92786635287804342</v>
          </cell>
          <cell r="K109">
            <v>0.45638585165113904</v>
          </cell>
          <cell r="L109">
            <v>0.65896324854120414</v>
          </cell>
          <cell r="M109">
            <v>0.75405061796083339</v>
          </cell>
          <cell r="N109">
            <v>0.76848249041741234</v>
          </cell>
          <cell r="O109">
            <v>0.12426035502958581</v>
          </cell>
          <cell r="P109">
            <v>0.75798926022874391</v>
          </cell>
          <cell r="Q109">
            <v>0.69019542794681266</v>
          </cell>
          <cell r="R109">
            <v>0.9639535218259474</v>
          </cell>
          <cell r="S109">
            <v>0.86863200273947017</v>
          </cell>
          <cell r="T109">
            <v>0.91472922596261441</v>
          </cell>
          <cell r="V109">
            <v>0.7853062891084146</v>
          </cell>
          <cell r="W109">
            <v>0.92028612846523594</v>
          </cell>
          <cell r="X109">
            <v>0.92739148681121086</v>
          </cell>
          <cell r="Y109">
            <v>0.91923797344133096</v>
          </cell>
          <cell r="AB109">
            <v>9.1281274061655177E-2</v>
          </cell>
          <cell r="AC109">
            <v>0.49120405676974999</v>
          </cell>
          <cell r="AE109">
            <v>0.75526258562698623</v>
          </cell>
          <cell r="AF109">
            <v>0.62327781031192619</v>
          </cell>
          <cell r="AG109">
            <v>0.7413481416385479</v>
          </cell>
          <cell r="AH109">
            <v>0.5299425927329221</v>
          </cell>
          <cell r="AI109">
            <v>0.3723314129288321</v>
          </cell>
          <cell r="AJ109">
            <v>0.60169391812256323</v>
          </cell>
          <cell r="AK109">
            <v>0.77394784615027556</v>
          </cell>
        </row>
        <row r="110">
          <cell r="D110">
            <v>0.27240353605477391</v>
          </cell>
          <cell r="E110">
            <v>0.39784267203652851</v>
          </cell>
          <cell r="F110">
            <v>0.63768192270888624</v>
          </cell>
          <cell r="I110">
            <v>0.66175392893975193</v>
          </cell>
          <cell r="J110">
            <v>0.91473226179993494</v>
          </cell>
          <cell r="K110">
            <v>0.4402209045160772</v>
          </cell>
          <cell r="L110">
            <v>0.63015446323894664</v>
          </cell>
          <cell r="M110">
            <v>0.72804863710607881</v>
          </cell>
          <cell r="N110">
            <v>0.75060387163200415</v>
          </cell>
          <cell r="O110">
            <v>0.22978723404255322</v>
          </cell>
          <cell r="P110">
            <v>0.72739931086436038</v>
          </cell>
          <cell r="Q110">
            <v>0.66979127695837537</v>
          </cell>
          <cell r="R110">
            <v>0.95654200119530675</v>
          </cell>
          <cell r="S110">
            <v>0.85282075652459322</v>
          </cell>
          <cell r="T110">
            <v>0.89610733691403088</v>
          </cell>
          <cell r="V110">
            <v>0.75782119234803658</v>
          </cell>
          <cell r="W110">
            <v>0.91553027411477517</v>
          </cell>
          <cell r="X110">
            <v>0.91518022453728098</v>
          </cell>
          <cell r="Y110">
            <v>0.91337412376140814</v>
          </cell>
          <cell r="AB110">
            <v>8.0385573964650014E-2</v>
          </cell>
          <cell r="AC110">
            <v>0.45317350466300982</v>
          </cell>
          <cell r="AE110">
            <v>0.74503188686824062</v>
          </cell>
          <cell r="AF110">
            <v>0.59248511179753038</v>
          </cell>
          <cell r="AG110">
            <v>0.70938897319555438</v>
          </cell>
          <cell r="AH110">
            <v>0.42782517222910521</v>
          </cell>
          <cell r="AI110">
            <v>0.34434722068771917</v>
          </cell>
          <cell r="AJ110">
            <v>0.56876281836615772</v>
          </cell>
          <cell r="AK110">
            <v>0.74299919546990012</v>
          </cell>
        </row>
        <row r="111">
          <cell r="D111">
            <v>0.24460601547064381</v>
          </cell>
          <cell r="E111">
            <v>0.34538420970705092</v>
          </cell>
          <cell r="F111">
            <v>0.60174270148830344</v>
          </cell>
          <cell r="I111">
            <v>0.62474551741477857</v>
          </cell>
          <cell r="J111">
            <v>0.89935448934548223</v>
          </cell>
          <cell r="K111">
            <v>0.42491204822357936</v>
          </cell>
          <cell r="L111">
            <v>0.59927769948486043</v>
          </cell>
          <cell r="M111">
            <v>0.70024517211161519</v>
          </cell>
          <cell r="N111">
            <v>0.73212627909146755</v>
          </cell>
          <cell r="O111">
            <v>0.23550724637681159</v>
          </cell>
          <cell r="P111">
            <v>0.69487184224200171</v>
          </cell>
          <cell r="Q111">
            <v>0.6485006387432134</v>
          </cell>
          <cell r="R111">
            <v>0.94795593492096342</v>
          </cell>
          <cell r="S111">
            <v>0.83556773607414525</v>
          </cell>
          <cell r="T111">
            <v>0.8740404902747918</v>
          </cell>
          <cell r="V111">
            <v>0.72825929777068399</v>
          </cell>
          <cell r="W111">
            <v>0.90994242034592077</v>
          </cell>
          <cell r="X111">
            <v>0.90114190418119533</v>
          </cell>
          <cell r="Y111">
            <v>0.90703714109532929</v>
          </cell>
          <cell r="AB111">
            <v>7.0689255613386182E-2</v>
          </cell>
          <cell r="AC111">
            <v>0.41619137943080031</v>
          </cell>
          <cell r="AE111">
            <v>0.73313628404928743</v>
          </cell>
          <cell r="AF111">
            <v>0.5608727850809111</v>
          </cell>
          <cell r="AG111">
            <v>0.67465672446288361</v>
          </cell>
          <cell r="AH111">
            <v>0.32867455849906974</v>
          </cell>
          <cell r="AI111">
            <v>0.32071771003534572</v>
          </cell>
          <cell r="AJ111">
            <v>0.53556102607927936</v>
          </cell>
          <cell r="AK111">
            <v>0.70950608091039569</v>
          </cell>
        </row>
        <row r="115">
          <cell r="D115">
            <v>0.4928992473178625</v>
          </cell>
          <cell r="E115">
            <v>0.40784217528461603</v>
          </cell>
          <cell r="F115">
            <v>0.3279678594158032</v>
          </cell>
          <cell r="I115">
            <v>0.30311109069425479</v>
          </cell>
          <cell r="J115">
            <v>6.3096423680919902E-2</v>
          </cell>
          <cell r="K115">
            <v>0.50705000714212223</v>
          </cell>
          <cell r="L115">
            <v>0.33758700253975138</v>
          </cell>
          <cell r="M115">
            <v>0.24593225600248789</v>
          </cell>
          <cell r="N115">
            <v>0.22129684797312568</v>
          </cell>
          <cell r="O115">
            <v>0.69822485207100604</v>
          </cell>
          <cell r="P115">
            <v>0.24198996736968756</v>
          </cell>
          <cell r="Q115">
            <v>0.26219015892759501</v>
          </cell>
          <cell r="R115">
            <v>2.5480075962692778E-2</v>
          </cell>
          <cell r="S115">
            <v>0.12747028205952224</v>
          </cell>
          <cell r="T115">
            <v>8.5179654738244834E-2</v>
          </cell>
          <cell r="V115">
            <v>0.21307261585395595</v>
          </cell>
          <cell r="W115">
            <v>7.9692999027326322E-2</v>
          </cell>
          <cell r="X115">
            <v>7.2574285165590571E-2</v>
          </cell>
          <cell r="Y115">
            <v>8.0665460528869221E-2</v>
          </cell>
          <cell r="AB115">
            <v>0.90871701502761038</v>
          </cell>
          <cell r="AC115">
            <v>0.50517034750728562</v>
          </cell>
          <cell r="AE115">
            <v>0.23488109347755831</v>
          </cell>
          <cell r="AF115">
            <v>0.36091294366432192</v>
          </cell>
          <cell r="AG115">
            <v>0.25796256013005614</v>
          </cell>
          <cell r="AH115">
            <v>0.4698599565286975</v>
          </cell>
          <cell r="AI115">
            <v>0.59497237954772109</v>
          </cell>
          <cell r="AJ115">
            <v>0.37232943912802319</v>
          </cell>
          <cell r="AK115">
            <v>0.22595960718307628</v>
          </cell>
        </row>
        <row r="116">
          <cell r="D116">
            <v>0.51601704380576285</v>
          </cell>
          <cell r="E116">
            <v>0.44573223528644779</v>
          </cell>
          <cell r="F116">
            <v>0.36229649190479413</v>
          </cell>
          <cell r="I116">
            <v>0.33789298596417044</v>
          </cell>
          <cell r="J116">
            <v>7.3802820183910725E-2</v>
          </cell>
          <cell r="K116">
            <v>0.51900242714593536</v>
          </cell>
          <cell r="L116">
            <v>0.36562588822744774</v>
          </cell>
          <cell r="M116">
            <v>0.27193081202323077</v>
          </cell>
          <cell r="N116">
            <v>0.23749939829066677</v>
          </cell>
          <cell r="O116">
            <v>0.61702127659574468</v>
          </cell>
          <cell r="P116">
            <v>0.27257536841911434</v>
          </cell>
          <cell r="Q116">
            <v>0.27624603583376428</v>
          </cell>
          <cell r="R116">
            <v>3.0659992509676989E-2</v>
          </cell>
          <cell r="S116">
            <v>0.14258896467466642</v>
          </cell>
          <cell r="T116">
            <v>0.10377475824553183</v>
          </cell>
          <cell r="V116">
            <v>0.2402219165689044</v>
          </cell>
          <cell r="W116">
            <v>8.4446031966225896E-2</v>
          </cell>
          <cell r="X116">
            <v>8.4776716476750641E-2</v>
          </cell>
          <cell r="Y116">
            <v>8.6514454320943859E-2</v>
          </cell>
          <cell r="AB116">
            <v>0.91961255032648381</v>
          </cell>
          <cell r="AC116">
            <v>0.54270114418585047</v>
          </cell>
          <cell r="AE116">
            <v>0.24476535784865644</v>
          </cell>
          <cell r="AF116">
            <v>0.38940275629260929</v>
          </cell>
          <cell r="AG116">
            <v>0.28977714027522417</v>
          </cell>
          <cell r="AH116">
            <v>0.57191867613586966</v>
          </cell>
          <cell r="AI116">
            <v>0.61762951138418209</v>
          </cell>
          <cell r="AJ116">
            <v>0.40123106458233082</v>
          </cell>
          <cell r="AK116">
            <v>0.2568915826456673</v>
          </cell>
        </row>
        <row r="117">
          <cell r="D117">
            <v>0.5376065202466499</v>
          </cell>
          <cell r="E117">
            <v>0.48073164954092396</v>
          </cell>
          <cell r="F117">
            <v>0.3982319372451355</v>
          </cell>
          <cell r="I117">
            <v>0.37483250899060117</v>
          </cell>
          <cell r="J117">
            <v>8.6208915350911242E-2</v>
          </cell>
          <cell r="K117">
            <v>0.52989299871738338</v>
          </cell>
          <cell r="L117">
            <v>0.39562266551721154</v>
          </cell>
          <cell r="M117">
            <v>0.29973039626516695</v>
          </cell>
          <cell r="N117">
            <v>0.25411184953281563</v>
          </cell>
          <cell r="O117">
            <v>0.61594202898550721</v>
          </cell>
          <cell r="P117">
            <v>0.30509761488264564</v>
          </cell>
          <cell r="Q117">
            <v>0.29080681195766389</v>
          </cell>
          <cell r="R117">
            <v>3.6654858362044178E-2</v>
          </cell>
          <cell r="S117">
            <v>0.15906785438484669</v>
          </cell>
          <cell r="T117">
            <v>0.12580850882522276</v>
          </cell>
          <cell r="V117">
            <v>0.26940168202368059</v>
          </cell>
          <cell r="W117">
            <v>9.0030680053485371E-2</v>
          </cell>
          <cell r="X117">
            <v>9.8804335753735123E-2</v>
          </cell>
          <cell r="Y117">
            <v>9.2834862387044886E-2</v>
          </cell>
          <cell r="AB117">
            <v>0.92930870309544866</v>
          </cell>
          <cell r="AC117">
            <v>0.57916356233234312</v>
          </cell>
          <cell r="AE117">
            <v>0.25624931334142598</v>
          </cell>
          <cell r="AF117">
            <v>0.4185643399874785</v>
          </cell>
          <cell r="AG117">
            <v>0.324343383335222</v>
          </cell>
          <cell r="AH117">
            <v>0.67101108653430241</v>
          </cell>
          <cell r="AI117">
            <v>0.63494164423931143</v>
          </cell>
          <cell r="AJ117">
            <v>0.43008448219461937</v>
          </cell>
          <cell r="AK117">
            <v>0.29036625980816794</v>
          </cell>
        </row>
        <row r="121">
          <cell r="D121">
            <v>0.20482035685389996</v>
          </cell>
          <cell r="E121">
            <v>0.13837437545378345</v>
          </cell>
          <cell r="F121">
            <v>1.8173330455051811E-5</v>
          </cell>
          <cell r="I121">
            <v>2.9226926094088842E-4</v>
          </cell>
          <cell r="J121">
            <v>9.0372234410366625E-3</v>
          </cell>
          <cell r="K121">
            <v>3.6564141206738628E-2</v>
          </cell>
          <cell r="L121">
            <v>3.4497489190444125E-3</v>
          </cell>
          <cell r="M121">
            <v>1.7126036678748612E-5</v>
          </cell>
          <cell r="N121">
            <v>1.0220661609461985E-2</v>
          </cell>
          <cell r="O121">
            <v>0.1775147928994083</v>
          </cell>
          <cell r="P121">
            <v>2.0772401568404018E-5</v>
          </cell>
          <cell r="Q121">
            <v>4.7614413125592253E-2</v>
          </cell>
          <cell r="R121">
            <v>1.0566402211359804E-2</v>
          </cell>
          <cell r="S121">
            <v>3.8977152010076094E-3</v>
          </cell>
          <cell r="T121">
            <v>9.111929914080263E-5</v>
          </cell>
          <cell r="V121">
            <v>1.6210950376292911E-3</v>
          </cell>
          <cell r="W121">
            <v>2.087250743759123E-5</v>
          </cell>
          <cell r="X121">
            <v>3.4228023198590196E-5</v>
          </cell>
          <cell r="Y121">
            <v>9.656602979991595E-5</v>
          </cell>
          <cell r="AB121">
            <v>1.7109107342893043E-6</v>
          </cell>
          <cell r="AC121">
            <v>3.6255957229643712E-3</v>
          </cell>
          <cell r="AE121">
            <v>9.8563208954554841E-3</v>
          </cell>
          <cell r="AF121">
            <v>1.5809246023751874E-2</v>
          </cell>
          <cell r="AG121">
            <v>6.8929823139606092E-4</v>
          </cell>
          <cell r="AH121">
            <v>1.9745073838028126E-4</v>
          </cell>
          <cell r="AI121">
            <v>3.2696207523446909E-2</v>
          </cell>
          <cell r="AJ121">
            <v>2.5976642749413626E-2</v>
          </cell>
          <cell r="AK121">
            <v>9.2546666648175307E-5</v>
          </cell>
        </row>
        <row r="122">
          <cell r="D122">
            <v>0.21157942013946329</v>
          </cell>
          <cell r="E122">
            <v>0.15642509267702359</v>
          </cell>
          <cell r="F122">
            <v>2.1585386319529759E-5</v>
          </cell>
          <cell r="I122">
            <v>3.5308509607762079E-4</v>
          </cell>
          <cell r="J122">
            <v>1.1464918016154417E-2</v>
          </cell>
          <cell r="K122">
            <v>4.0776668337987321E-2</v>
          </cell>
          <cell r="L122">
            <v>4.2196485336055637E-3</v>
          </cell>
          <cell r="M122">
            <v>2.0550870690425793E-5</v>
          </cell>
          <cell r="N122">
            <v>1.189673007732904E-2</v>
          </cell>
          <cell r="O122">
            <v>0.15319148936170213</v>
          </cell>
          <cell r="P122">
            <v>2.5320716525290518E-5</v>
          </cell>
          <cell r="Q122">
            <v>5.3962687207860335E-2</v>
          </cell>
          <cell r="R122">
            <v>1.2798006295016271E-2</v>
          </cell>
          <cell r="S122">
            <v>4.5902788007404155E-3</v>
          </cell>
          <cell r="T122">
            <v>1.1790484043727762E-4</v>
          </cell>
          <cell r="V122">
            <v>1.9568910830589144E-3</v>
          </cell>
          <cell r="W122">
            <v>2.3693918999128683E-5</v>
          </cell>
          <cell r="X122">
            <v>4.3058985968369849E-5</v>
          </cell>
          <cell r="Y122">
            <v>1.1142191764809427E-4</v>
          </cell>
          <cell r="AB122">
            <v>1.8757088660166773E-6</v>
          </cell>
          <cell r="AC122">
            <v>4.1253511511395759E-3</v>
          </cell>
          <cell r="AE122">
            <v>1.0202755283103037E-2</v>
          </cell>
          <cell r="AF122">
            <v>1.811213190986025E-2</v>
          </cell>
          <cell r="AG122">
            <v>8.3388652922142151E-4</v>
          </cell>
          <cell r="AH122">
            <v>2.5615163502507244E-4</v>
          </cell>
          <cell r="AI122">
            <v>3.8023267928098799E-2</v>
          </cell>
          <cell r="AJ122">
            <v>3.0006117051511596E-2</v>
          </cell>
          <cell r="AK122">
            <v>1.0922188443249037E-4</v>
          </cell>
        </row>
        <row r="123">
          <cell r="D123">
            <v>0.21778746428270623</v>
          </cell>
          <cell r="E123">
            <v>0.17388414075202516</v>
          </cell>
          <cell r="F123">
            <v>2.5361266561008485E-5</v>
          </cell>
          <cell r="I123">
            <v>4.2197359462035547E-4</v>
          </cell>
          <cell r="J123">
            <v>1.4436595303606531E-2</v>
          </cell>
          <cell r="K123">
            <v>4.5194953059037195E-2</v>
          </cell>
          <cell r="L123">
            <v>5.0996349979280904E-3</v>
          </cell>
          <cell r="M123">
            <v>2.4431623217926E-5</v>
          </cell>
          <cell r="N123">
            <v>1.3761871375716673E-2</v>
          </cell>
          <cell r="O123">
            <v>0.14855072463768113</v>
          </cell>
          <cell r="P123">
            <v>3.0542875352710178E-5</v>
          </cell>
          <cell r="Q123">
            <v>6.0692549299122787E-2</v>
          </cell>
          <cell r="R123">
            <v>1.5389206716992298E-2</v>
          </cell>
          <cell r="S123">
            <v>5.3644095410080922E-3</v>
          </cell>
          <cell r="T123">
            <v>1.5100089998531984E-4</v>
          </cell>
          <cell r="V123">
            <v>2.3390202056354338E-3</v>
          </cell>
          <cell r="W123">
            <v>2.6899600593958543E-5</v>
          </cell>
          <cell r="X123">
            <v>5.3760065069456083E-5</v>
          </cell>
          <cell r="Y123">
            <v>1.2799651762580196E-4</v>
          </cell>
          <cell r="AB123">
            <v>2.0412911651563418E-6</v>
          </cell>
          <cell r="AC123">
            <v>4.6450582368565904E-3</v>
          </cell>
          <cell r="AE123">
            <v>1.0614402609286607E-2</v>
          </cell>
          <cell r="AF123">
            <v>2.056287493161028E-2</v>
          </cell>
          <cell r="AG123">
            <v>9.9989220189447927E-4</v>
          </cell>
          <cell r="AH123">
            <v>3.1435496662788904E-4</v>
          </cell>
          <cell r="AI123">
            <v>4.4340645725342812E-2</v>
          </cell>
          <cell r="AJ123">
            <v>3.4354491726101333E-2</v>
          </cell>
          <cell r="AK123">
            <v>1.2765928143641288E-4</v>
          </cell>
        </row>
      </sheetData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oCrops"/>
      <sheetName val="PyCCs"/>
      <sheetName val="DACCS"/>
      <sheetName val="SoCS"/>
      <sheetName val="EnWe"/>
      <sheetName val="AREFOR"/>
      <sheetName val="STORE"/>
      <sheetName val="POLICY"/>
      <sheetName val="TECH"/>
    </sheetNames>
    <sheetDataSet>
      <sheetData sheetId="0">
        <row r="1">
          <cell r="G1" t="str">
            <v>ec1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81678-777B-4D97-A247-EC13552B0E10}">
  <sheetPr>
    <tabColor rgb="FF00B0F0"/>
  </sheetPr>
  <dimension ref="A1:BG319"/>
  <sheetViews>
    <sheetView tabSelected="1" zoomScale="80" zoomScaleNormal="80" workbookViewId="0">
      <pane ySplit="5" topLeftCell="A6" activePane="bottomLeft" state="frozen"/>
      <selection pane="bottomLeft"/>
    </sheetView>
  </sheetViews>
  <sheetFormatPr defaultRowHeight="14.4" x14ac:dyDescent="0.3"/>
  <cols>
    <col min="3" max="3" width="25.6640625" customWidth="1"/>
    <col min="4" max="4" width="5.6640625" customWidth="1"/>
    <col min="5" max="5" width="10.109375" bestFit="1" customWidth="1"/>
    <col min="7" max="7" width="8.88671875" bestFit="1" customWidth="1"/>
    <col min="8" max="8" width="12.44140625" bestFit="1" customWidth="1"/>
    <col min="9" max="9" width="6.44140625" bestFit="1" customWidth="1"/>
    <col min="10" max="10" width="16.5546875" bestFit="1" customWidth="1"/>
    <col min="11" max="11" width="8.6640625" customWidth="1"/>
    <col min="12" max="12" width="7.33203125" customWidth="1"/>
    <col min="13" max="20" width="6.44140625" customWidth="1"/>
    <col min="21" max="21" width="9.33203125" customWidth="1"/>
    <col min="22" max="23" width="6.44140625" customWidth="1"/>
    <col min="24" max="24" width="8.6640625" customWidth="1"/>
    <col min="25" max="48" width="6.44140625" customWidth="1"/>
    <col min="50" max="50" width="9.109375" customWidth="1"/>
  </cols>
  <sheetData>
    <row r="1" spans="1:59" s="50" customFormat="1" ht="18" x14ac:dyDescent="0.35">
      <c r="A1" s="50" t="s">
        <v>116</v>
      </c>
      <c r="AX1" s="51"/>
      <c r="AY1" s="51"/>
      <c r="AZ1" s="51"/>
      <c r="BA1" s="51"/>
      <c r="BD1" s="51"/>
      <c r="BE1" s="51"/>
      <c r="BF1" s="51"/>
      <c r="BG1" s="51"/>
    </row>
    <row r="2" spans="1:59" x14ac:dyDescent="0.3">
      <c r="AX2" s="5"/>
      <c r="AY2" s="5"/>
      <c r="AZ2" s="5"/>
      <c r="BA2" s="5"/>
      <c r="BD2" s="5"/>
      <c r="BE2" s="5"/>
      <c r="BF2" s="5"/>
      <c r="BG2" s="5"/>
    </row>
    <row r="3" spans="1:59" ht="18" x14ac:dyDescent="0.35">
      <c r="E3" s="6" t="s">
        <v>62</v>
      </c>
      <c r="AW3" s="5">
        <v>2010</v>
      </c>
      <c r="AX3" s="5">
        <v>2020</v>
      </c>
      <c r="AY3" s="5">
        <v>2030</v>
      </c>
      <c r="AZ3" s="5">
        <v>2040</v>
      </c>
      <c r="BA3" s="5">
        <v>2050</v>
      </c>
      <c r="BC3" s="5">
        <v>2010</v>
      </c>
      <c r="BD3" s="5">
        <v>2020</v>
      </c>
      <c r="BE3" s="5">
        <v>2030</v>
      </c>
      <c r="BF3" s="5">
        <v>2040</v>
      </c>
      <c r="BG3" s="5">
        <v>2050</v>
      </c>
    </row>
    <row r="4" spans="1:59" ht="15" thickBot="1" x14ac:dyDescent="0.35">
      <c r="E4" s="7" t="s">
        <v>63</v>
      </c>
      <c r="F4" s="7" t="s">
        <v>64</v>
      </c>
      <c r="G4" s="7" t="s">
        <v>65</v>
      </c>
      <c r="H4" s="7" t="s">
        <v>66</v>
      </c>
      <c r="I4" s="7" t="s">
        <v>67</v>
      </c>
      <c r="J4" s="8" t="s">
        <v>68</v>
      </c>
      <c r="K4" s="9" t="s">
        <v>69</v>
      </c>
      <c r="L4" s="9" t="s">
        <v>2</v>
      </c>
      <c r="M4" s="9" t="s">
        <v>3</v>
      </c>
      <c r="N4" s="9" t="s">
        <v>4</v>
      </c>
      <c r="O4" s="9" t="s">
        <v>5</v>
      </c>
      <c r="P4" s="9" t="s">
        <v>6</v>
      </c>
      <c r="Q4" s="9" t="s">
        <v>7</v>
      </c>
      <c r="R4" s="9" t="s">
        <v>8</v>
      </c>
      <c r="S4" s="9" t="s">
        <v>9</v>
      </c>
      <c r="T4" s="9" t="s">
        <v>10</v>
      </c>
      <c r="U4" s="9" t="s">
        <v>11</v>
      </c>
      <c r="V4" s="9" t="s">
        <v>12</v>
      </c>
      <c r="W4" s="9" t="s">
        <v>13</v>
      </c>
      <c r="X4" s="9" t="s">
        <v>14</v>
      </c>
      <c r="Y4" s="9" t="s">
        <v>15</v>
      </c>
      <c r="Z4" s="9" t="s">
        <v>16</v>
      </c>
      <c r="AA4" s="9" t="s">
        <v>17</v>
      </c>
      <c r="AB4" s="9" t="s">
        <v>18</v>
      </c>
      <c r="AC4" s="9" t="s">
        <v>19</v>
      </c>
      <c r="AD4" s="9" t="s">
        <v>20</v>
      </c>
      <c r="AE4" s="9" t="s">
        <v>21</v>
      </c>
      <c r="AF4" s="9" t="s">
        <v>22</v>
      </c>
      <c r="AG4" s="9" t="s">
        <v>23</v>
      </c>
      <c r="AH4" s="9" t="s">
        <v>24</v>
      </c>
      <c r="AI4" s="9" t="s">
        <v>25</v>
      </c>
      <c r="AJ4" s="9" t="s">
        <v>26</v>
      </c>
      <c r="AK4" s="9" t="s">
        <v>27</v>
      </c>
      <c r="AL4" s="9" t="s">
        <v>28</v>
      </c>
      <c r="AM4" s="9" t="s">
        <v>29</v>
      </c>
      <c r="AN4" s="9" t="s">
        <v>30</v>
      </c>
      <c r="AO4" s="9" t="s">
        <v>31</v>
      </c>
      <c r="AP4" s="9" t="s">
        <v>32</v>
      </c>
      <c r="AQ4" s="9" t="s">
        <v>33</v>
      </c>
      <c r="AR4" s="9" t="s">
        <v>34</v>
      </c>
      <c r="AS4" s="9" t="s">
        <v>35</v>
      </c>
      <c r="AT4" s="9" t="s">
        <v>36</v>
      </c>
      <c r="AU4" s="9" t="s">
        <v>37</v>
      </c>
      <c r="AV4" s="10"/>
      <c r="AW4" s="11">
        <f>SUM(AW6:AW208)</f>
        <v>5100.7378914350493</v>
      </c>
      <c r="AX4" s="11">
        <f t="shared" ref="AX4:AZ4" si="0">SUM(AX6:AX208)</f>
        <v>4678.4110026123653</v>
      </c>
      <c r="AY4" s="11">
        <f t="shared" si="0"/>
        <v>6792.7631177932972</v>
      </c>
      <c r="AZ4" s="11">
        <f t="shared" si="0"/>
        <v>9695.3087156842339</v>
      </c>
      <c r="BA4" s="11">
        <f>SUM(BA6:BA208)</f>
        <v>8434.2248820311615</v>
      </c>
      <c r="BC4" s="11">
        <f>SUM(BC6:BC208)</f>
        <v>4799.4808272820956</v>
      </c>
      <c r="BD4" s="11">
        <f t="shared" ref="BD4:BF4" si="1">SUM(BD6:BD208)</f>
        <v>4306.1456349054843</v>
      </c>
      <c r="BE4" s="11">
        <f t="shared" si="1"/>
        <v>6158.3641199999993</v>
      </c>
      <c r="BF4" s="11">
        <f t="shared" si="1"/>
        <v>9133.0855200000024</v>
      </c>
      <c r="BG4" s="11">
        <f>SUM(BG6:BG208)</f>
        <v>7943.196960000002</v>
      </c>
    </row>
    <row r="5" spans="1:59" s="12" customFormat="1" x14ac:dyDescent="0.3">
      <c r="A5" s="12" t="s">
        <v>70</v>
      </c>
      <c r="B5" s="12" t="s">
        <v>71</v>
      </c>
      <c r="C5" s="12" t="s">
        <v>72</v>
      </c>
      <c r="E5" s="12" t="s">
        <v>73</v>
      </c>
      <c r="G5" s="12" t="s">
        <v>74</v>
      </c>
      <c r="H5" s="12" t="s">
        <v>75</v>
      </c>
      <c r="I5" s="12">
        <v>2005</v>
      </c>
      <c r="J5" s="12" t="s">
        <v>46</v>
      </c>
      <c r="L5" s="13">
        <v>0</v>
      </c>
      <c r="M5" s="13">
        <v>13.88028360145829</v>
      </c>
      <c r="N5" s="13">
        <v>4.5870892324240868</v>
      </c>
      <c r="O5" s="13">
        <v>0</v>
      </c>
      <c r="P5" s="13">
        <v>0</v>
      </c>
      <c r="Q5" s="13">
        <v>0</v>
      </c>
      <c r="R5" s="13">
        <v>0</v>
      </c>
      <c r="S5" s="13">
        <v>9.6852713325215678</v>
      </c>
      <c r="T5" s="13">
        <v>72.382004438548279</v>
      </c>
      <c r="U5" s="13">
        <v>1.4394638787425129</v>
      </c>
      <c r="V5" s="13">
        <v>0</v>
      </c>
      <c r="W5" s="13">
        <v>0</v>
      </c>
      <c r="X5" s="13">
        <v>0</v>
      </c>
      <c r="Y5" s="13">
        <v>230.31117172256856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1.6270660098606533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1.5812101831283181</v>
      </c>
      <c r="AM5" s="13">
        <v>0</v>
      </c>
      <c r="AN5" s="13">
        <v>1.7885305999732002</v>
      </c>
      <c r="AO5" s="13">
        <v>0</v>
      </c>
      <c r="AP5" s="13">
        <v>0</v>
      </c>
      <c r="AQ5" s="13">
        <v>0</v>
      </c>
      <c r="AR5" s="13">
        <v>4.8568285335089296</v>
      </c>
      <c r="AS5" s="13">
        <v>0</v>
      </c>
      <c r="AT5" s="13">
        <v>1.4679579775908658</v>
      </c>
      <c r="AU5" s="13">
        <v>3.0246297206634032</v>
      </c>
      <c r="AV5" s="13"/>
      <c r="AX5" s="13"/>
    </row>
    <row r="6" spans="1:59" s="12" customFormat="1" x14ac:dyDescent="0.3">
      <c r="A6" s="12" t="s">
        <v>70</v>
      </c>
      <c r="B6" s="12" t="s">
        <v>40</v>
      </c>
      <c r="C6" s="12" t="s">
        <v>72</v>
      </c>
      <c r="E6" s="12" t="s">
        <v>73</v>
      </c>
      <c r="G6" s="12" t="s">
        <v>74</v>
      </c>
      <c r="H6" s="12" t="s">
        <v>75</v>
      </c>
      <c r="I6" s="12">
        <v>2010</v>
      </c>
      <c r="J6" s="12" t="s">
        <v>46</v>
      </c>
      <c r="L6" s="13">
        <v>0</v>
      </c>
      <c r="M6" s="13">
        <v>13.88028360145829</v>
      </c>
      <c r="N6" s="13">
        <v>4.5870892324240868</v>
      </c>
      <c r="O6" s="13">
        <v>0</v>
      </c>
      <c r="P6" s="13">
        <v>0</v>
      </c>
      <c r="Q6" s="13">
        <v>0</v>
      </c>
      <c r="R6" s="13">
        <v>0</v>
      </c>
      <c r="S6" s="13">
        <v>9.6852713325215678</v>
      </c>
      <c r="T6" s="13">
        <v>72.382004438548279</v>
      </c>
      <c r="U6" s="13">
        <v>1.4394638787425129</v>
      </c>
      <c r="V6" s="13">
        <v>0</v>
      </c>
      <c r="W6" s="13">
        <v>0</v>
      </c>
      <c r="X6" s="13">
        <v>0</v>
      </c>
      <c r="Y6" s="13">
        <v>230.31117172256856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1.6270660098606533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1.5812101831283181</v>
      </c>
      <c r="AM6" s="13">
        <v>0</v>
      </c>
      <c r="AN6" s="13">
        <v>1.7885305999732002</v>
      </c>
      <c r="AO6" s="13">
        <v>0</v>
      </c>
      <c r="AP6" s="13">
        <v>0</v>
      </c>
      <c r="AQ6" s="13">
        <v>0</v>
      </c>
      <c r="AR6" s="13">
        <v>4.8568285335089296</v>
      </c>
      <c r="AS6" s="13">
        <v>0</v>
      </c>
      <c r="AT6" s="13">
        <v>1.4679579775908658</v>
      </c>
      <c r="AU6" s="13">
        <v>3.0246297206634032</v>
      </c>
      <c r="AV6" s="13"/>
      <c r="AW6" s="13">
        <f>SUM(M6:O6,R6:AC6,AE6:AH6,AK6:AL6,AN6:AP6,AR6:AU6)</f>
        <v>346.63150723098869</v>
      </c>
      <c r="BC6" s="13">
        <f>AW6-AU6</f>
        <v>343.60687751032526</v>
      </c>
      <c r="BD6" s="13"/>
      <c r="BE6" s="13"/>
      <c r="BF6" s="13"/>
      <c r="BG6" s="13"/>
    </row>
    <row r="7" spans="1:59" s="12" customFormat="1" x14ac:dyDescent="0.3">
      <c r="A7" s="12" t="s">
        <v>70</v>
      </c>
      <c r="B7" s="12" t="s">
        <v>40</v>
      </c>
      <c r="C7" s="12" t="s">
        <v>72</v>
      </c>
      <c r="E7" s="12" t="s">
        <v>73</v>
      </c>
      <c r="G7" s="12" t="s">
        <v>74</v>
      </c>
      <c r="H7" s="12" t="s">
        <v>75</v>
      </c>
      <c r="I7" s="12">
        <v>2020</v>
      </c>
      <c r="J7" s="12" t="s">
        <v>46</v>
      </c>
      <c r="L7" s="13">
        <v>0</v>
      </c>
      <c r="M7" s="13">
        <f>M8</f>
        <v>2.8853691311437673</v>
      </c>
      <c r="N7" s="13">
        <f t="shared" ref="N7:O7" si="2">N8</f>
        <v>5.8052285727869446</v>
      </c>
      <c r="O7" s="13">
        <f t="shared" si="2"/>
        <v>0.28540367363557539</v>
      </c>
      <c r="P7" s="13">
        <v>0</v>
      </c>
      <c r="Q7" s="13">
        <v>0</v>
      </c>
      <c r="R7" s="13">
        <f t="shared" ref="R7:AC7" si="3">R8</f>
        <v>0</v>
      </c>
      <c r="S7" s="13">
        <f t="shared" si="3"/>
        <v>4.7159251546358449</v>
      </c>
      <c r="T7" s="13">
        <f t="shared" si="3"/>
        <v>8.6201077774848383</v>
      </c>
      <c r="U7" s="13">
        <f t="shared" si="3"/>
        <v>0.25372666937710581</v>
      </c>
      <c r="V7" s="13">
        <f t="shared" si="3"/>
        <v>0</v>
      </c>
      <c r="W7" s="13">
        <f t="shared" si="3"/>
        <v>25.741539862670379</v>
      </c>
      <c r="X7" s="13">
        <f t="shared" si="3"/>
        <v>0</v>
      </c>
      <c r="Y7" s="13">
        <f t="shared" si="3"/>
        <v>47.343451819261986</v>
      </c>
      <c r="Z7" s="13">
        <f t="shared" si="3"/>
        <v>3.1123275566742894</v>
      </c>
      <c r="AA7" s="13">
        <f t="shared" si="3"/>
        <v>0</v>
      </c>
      <c r="AB7" s="13">
        <f t="shared" si="3"/>
        <v>1.7202872645054437</v>
      </c>
      <c r="AC7" s="13">
        <f t="shared" si="3"/>
        <v>0</v>
      </c>
      <c r="AD7" s="13">
        <v>0</v>
      </c>
      <c r="AE7" s="13">
        <f t="shared" ref="AE7:AH7" si="4">AE8</f>
        <v>20.903055720139722</v>
      </c>
      <c r="AF7" s="13">
        <f t="shared" si="4"/>
        <v>6.3772960269632879</v>
      </c>
      <c r="AG7" s="13">
        <f t="shared" si="4"/>
        <v>0</v>
      </c>
      <c r="AH7" s="13">
        <f t="shared" si="4"/>
        <v>0</v>
      </c>
      <c r="AI7" s="13">
        <v>0</v>
      </c>
      <c r="AJ7" s="13">
        <v>0</v>
      </c>
      <c r="AK7" s="13">
        <f t="shared" ref="AK7:AL7" si="5">AK8</f>
        <v>0</v>
      </c>
      <c r="AL7" s="13">
        <f t="shared" si="5"/>
        <v>3.9438594608479485</v>
      </c>
      <c r="AM7" s="13">
        <v>0</v>
      </c>
      <c r="AN7" s="13">
        <f t="shared" ref="AN7:AP7" si="6">AN8</f>
        <v>8.9783866149319795</v>
      </c>
      <c r="AO7" s="13">
        <f t="shared" si="6"/>
        <v>1.2200992726355815E-2</v>
      </c>
      <c r="AP7" s="13">
        <f t="shared" si="6"/>
        <v>1.1542399624759917E-3</v>
      </c>
      <c r="AQ7" s="13">
        <v>0</v>
      </c>
      <c r="AR7" s="13">
        <f t="shared" ref="AR7:AT7" si="7">AR8</f>
        <v>0.96077977926016478</v>
      </c>
      <c r="AS7" s="13">
        <f t="shared" si="7"/>
        <v>0</v>
      </c>
      <c r="AT7" s="13">
        <f t="shared" si="7"/>
        <v>0.79553004907620128</v>
      </c>
      <c r="AU7" s="13">
        <v>18.16654429965606</v>
      </c>
      <c r="AV7" s="13"/>
      <c r="AX7" s="13">
        <f>SUM(M7:O7,R7:AC7,AE7:AH7,AK7:AL7,AN7:AP7,AR7:AU7)</f>
        <v>160.62217466574043</v>
      </c>
      <c r="BC7" s="13"/>
      <c r="BD7" s="13">
        <f>AX7-AU7</f>
        <v>142.45563036608436</v>
      </c>
      <c r="BE7" s="13"/>
      <c r="BF7" s="13"/>
      <c r="BG7" s="13"/>
    </row>
    <row r="8" spans="1:59" s="12" customFormat="1" x14ac:dyDescent="0.3">
      <c r="A8" s="12" t="s">
        <v>70</v>
      </c>
      <c r="B8" s="12" t="s">
        <v>40</v>
      </c>
      <c r="C8" s="12" t="s">
        <v>72</v>
      </c>
      <c r="E8" s="12" t="s">
        <v>73</v>
      </c>
      <c r="G8" s="12" t="s">
        <v>74</v>
      </c>
      <c r="H8" s="12" t="s">
        <v>75</v>
      </c>
      <c r="I8" s="12">
        <v>2030</v>
      </c>
      <c r="J8" s="12" t="s">
        <v>46</v>
      </c>
      <c r="L8" s="13">
        <v>0</v>
      </c>
      <c r="M8" s="14">
        <f>M308*[1]bioshares!D43</f>
        <v>2.8853691311437673</v>
      </c>
      <c r="N8" s="14">
        <f>N308*[1]bioshares!E43</f>
        <v>5.8052285727869446</v>
      </c>
      <c r="O8" s="14">
        <f>O308*[1]bioshares!F43</f>
        <v>0.28540367363557539</v>
      </c>
      <c r="P8" s="13">
        <v>0</v>
      </c>
      <c r="Q8" s="13">
        <v>0</v>
      </c>
      <c r="R8" s="14">
        <f>R308*[1]bioshares!I43</f>
        <v>0</v>
      </c>
      <c r="S8" s="14">
        <f>S308*[1]bioshares!J43</f>
        <v>4.7159251546358449</v>
      </c>
      <c r="T8" s="14">
        <f>T308*[1]bioshares!K43</f>
        <v>8.6201077774848383</v>
      </c>
      <c r="U8" s="14">
        <f>U308*[1]bioshares!L43</f>
        <v>0.25372666937710581</v>
      </c>
      <c r="V8" s="14">
        <f>V308*[1]bioshares!M43</f>
        <v>0</v>
      </c>
      <c r="W8" s="14">
        <f>W308*[1]bioshares!N43</f>
        <v>25.741539862670379</v>
      </c>
      <c r="X8" s="14">
        <f>X308*[1]bioshares!O43</f>
        <v>0</v>
      </c>
      <c r="Y8" s="14">
        <f>Y308*[1]bioshares!P43</f>
        <v>47.343451819261986</v>
      </c>
      <c r="Z8" s="14">
        <f>Z308*[1]bioshares!Q43</f>
        <v>3.1123275566742894</v>
      </c>
      <c r="AA8" s="14">
        <f>AA308*[1]bioshares!R43</f>
        <v>0</v>
      </c>
      <c r="AB8" s="14">
        <f>AB308*[1]bioshares!S43</f>
        <v>1.7202872645054437</v>
      </c>
      <c r="AC8" s="14">
        <f>AC308*[1]bioshares!T43</f>
        <v>0</v>
      </c>
      <c r="AD8" s="13">
        <v>0</v>
      </c>
      <c r="AE8" s="14">
        <f>AE308*[1]bioshares!V43</f>
        <v>20.903055720139722</v>
      </c>
      <c r="AF8" s="14">
        <f>AF308*[1]bioshares!W43</f>
        <v>6.3772960269632879</v>
      </c>
      <c r="AG8" s="14">
        <f>AG308*[1]bioshares!X43</f>
        <v>0</v>
      </c>
      <c r="AH8" s="14">
        <f>AH308*[1]bioshares!Y43</f>
        <v>0</v>
      </c>
      <c r="AI8" s="13">
        <v>0</v>
      </c>
      <c r="AJ8" s="13">
        <v>0</v>
      </c>
      <c r="AK8" s="14">
        <f>AK308*[1]bioshares!AB43</f>
        <v>0</v>
      </c>
      <c r="AL8" s="14">
        <f>AL308*[1]bioshares!AC43</f>
        <v>3.9438594608479485</v>
      </c>
      <c r="AM8" s="13">
        <v>0</v>
      </c>
      <c r="AN8" s="14">
        <f>AN308*[1]bioshares!AE43</f>
        <v>8.9783866149319795</v>
      </c>
      <c r="AO8" s="14">
        <f>AO308*[1]bioshares!AF43</f>
        <v>1.2200992726355815E-2</v>
      </c>
      <c r="AP8" s="14">
        <f>AP308*[1]bioshares!AG43</f>
        <v>1.1542399624759917E-3</v>
      </c>
      <c r="AQ8" s="13">
        <v>0</v>
      </c>
      <c r="AR8" s="14">
        <f>AR308*[1]bioshares!AI43</f>
        <v>0.96077977926016478</v>
      </c>
      <c r="AS8" s="14">
        <f>AS308*[1]bioshares!AJ43</f>
        <v>0</v>
      </c>
      <c r="AT8" s="14">
        <f>AT308*[1]bioshares!AK43</f>
        <v>0.79553004907620128</v>
      </c>
      <c r="AU8" s="13">
        <v>126.16931880941168</v>
      </c>
      <c r="AV8" s="13"/>
      <c r="AY8" s="13">
        <f>SUM(M8:O8,R8:AC8,AE8:AH8,AK8:AL8,AN8:AP8,AR8:AU8)</f>
        <v>268.62494917549606</v>
      </c>
      <c r="BC8" s="13"/>
      <c r="BD8" s="13"/>
      <c r="BE8" s="13">
        <f>AY8-AU8</f>
        <v>142.45563036608439</v>
      </c>
      <c r="BF8" s="13"/>
      <c r="BG8" s="13"/>
    </row>
    <row r="9" spans="1:59" s="12" customFormat="1" x14ac:dyDescent="0.3">
      <c r="A9" s="12" t="s">
        <v>70</v>
      </c>
      <c r="B9" s="12" t="s">
        <v>40</v>
      </c>
      <c r="C9" s="12" t="s">
        <v>72</v>
      </c>
      <c r="E9" s="12" t="s">
        <v>73</v>
      </c>
      <c r="G9" s="12" t="s">
        <v>74</v>
      </c>
      <c r="H9" s="12" t="s">
        <v>75</v>
      </c>
      <c r="I9" s="12">
        <v>2040</v>
      </c>
      <c r="J9" s="12" t="s">
        <v>46</v>
      </c>
      <c r="L9" s="13">
        <v>0</v>
      </c>
      <c r="M9" s="14">
        <f>M309*[1]bioshares!D44</f>
        <v>10.767975697207198</v>
      </c>
      <c r="N9" s="14">
        <f>N309*[1]bioshares!E44</f>
        <v>24.436669543703889</v>
      </c>
      <c r="O9" s="14">
        <f>O309*[1]bioshares!F44</f>
        <v>6.3807294803863384</v>
      </c>
      <c r="P9" s="13">
        <v>0</v>
      </c>
      <c r="Q9" s="13">
        <v>0</v>
      </c>
      <c r="R9" s="14">
        <f>R309*[1]bioshares!I44</f>
        <v>0</v>
      </c>
      <c r="S9" s="14">
        <f>S309*[1]bioshares!J44</f>
        <v>21.550238957627183</v>
      </c>
      <c r="T9" s="14">
        <f>T309*[1]bioshares!K44</f>
        <v>32.38458772490474</v>
      </c>
      <c r="U9" s="14">
        <f>U309*[1]bioshares!L44</f>
        <v>1.5277640871053877</v>
      </c>
      <c r="V9" s="14">
        <f>V309*[1]bioshares!M44</f>
        <v>0</v>
      </c>
      <c r="W9" s="14">
        <f>W309*[1]bioshares!N44</f>
        <v>112.08783507730183</v>
      </c>
      <c r="X9" s="14">
        <f>X309*[1]bioshares!O44</f>
        <v>0</v>
      </c>
      <c r="Y9" s="14">
        <f>Y309*[1]bioshares!P44</f>
        <v>175.49579753195107</v>
      </c>
      <c r="Z9" s="14">
        <f>Z309*[1]bioshares!Q44</f>
        <v>13.974456812394861</v>
      </c>
      <c r="AA9" s="14">
        <f>AA309*[1]bioshares!R44</f>
        <v>0</v>
      </c>
      <c r="AB9" s="14">
        <f>AB309*[1]bioshares!S44</f>
        <v>9.2966856839028846</v>
      </c>
      <c r="AC9" s="14">
        <f>AC309*[1]bioshares!T44</f>
        <v>0</v>
      </c>
      <c r="AD9" s="13">
        <v>0</v>
      </c>
      <c r="AE9" s="14">
        <f>AE309*[1]bioshares!V44</f>
        <v>87.127108012815015</v>
      </c>
      <c r="AF9" s="14">
        <f>AF309*[1]bioshares!W44</f>
        <v>27.462012416860969</v>
      </c>
      <c r="AG9" s="14">
        <f>AG309*[1]bioshares!X44</f>
        <v>0</v>
      </c>
      <c r="AH9" s="14">
        <f>AH309*[1]bioshares!Y44</f>
        <v>0</v>
      </c>
      <c r="AI9" s="13">
        <v>0</v>
      </c>
      <c r="AJ9" s="13">
        <v>0</v>
      </c>
      <c r="AK9" s="14">
        <f>AK309*[1]bioshares!AB44</f>
        <v>0</v>
      </c>
      <c r="AL9" s="14">
        <f>AL309*[1]bioshares!AC44</f>
        <v>12.772846283318668</v>
      </c>
      <c r="AM9" s="13">
        <v>0</v>
      </c>
      <c r="AN9" s="14">
        <f>AN309*[1]bioshares!AE44</f>
        <v>64.906885174391277</v>
      </c>
      <c r="AO9" s="14">
        <f>AO309*[1]bioshares!AF44</f>
        <v>0.16150356758168533</v>
      </c>
      <c r="AP9" s="14">
        <f>AP309*[1]bioshares!AG44</f>
        <v>6.9589728994522613</v>
      </c>
      <c r="AQ9" s="13">
        <v>0</v>
      </c>
      <c r="AR9" s="14">
        <f>AR309*[1]bioshares!AI44</f>
        <v>3.8280223099152639</v>
      </c>
      <c r="AS9" s="14">
        <f>AS309*[1]bioshares!AJ44</f>
        <v>0</v>
      </c>
      <c r="AT9" s="14">
        <f>AT309*[1]bioshares!AK44</f>
        <v>4.577957772663197</v>
      </c>
      <c r="AU9" s="13">
        <v>96.761883173129391</v>
      </c>
      <c r="AV9" s="13"/>
      <c r="AY9" s="13"/>
      <c r="AZ9" s="13">
        <f>SUM(M9:O9,R9:AC9,AE9:AH9,AK9:AL9,AN9:AP9,AR9:AU9)</f>
        <v>712.45993220661319</v>
      </c>
      <c r="BC9" s="13"/>
      <c r="BD9" s="13"/>
      <c r="BE9" s="13"/>
      <c r="BF9" s="13">
        <f>AZ9-AU9</f>
        <v>615.69804903348381</v>
      </c>
      <c r="BG9" s="13"/>
    </row>
    <row r="10" spans="1:59" s="15" customFormat="1" x14ac:dyDescent="0.3">
      <c r="A10" s="15" t="s">
        <v>70</v>
      </c>
      <c r="B10" s="15" t="s">
        <v>40</v>
      </c>
      <c r="C10" s="15" t="s">
        <v>72</v>
      </c>
      <c r="E10" s="15" t="s">
        <v>73</v>
      </c>
      <c r="G10" s="15" t="s">
        <v>74</v>
      </c>
      <c r="H10" s="15" t="s">
        <v>75</v>
      </c>
      <c r="I10" s="15">
        <v>2050</v>
      </c>
      <c r="J10" s="15" t="s">
        <v>46</v>
      </c>
      <c r="L10" s="16">
        <v>0</v>
      </c>
      <c r="M10" s="17">
        <f>M310*[1]bioshares!D45</f>
        <v>8.9690576206269927</v>
      </c>
      <c r="N10" s="17">
        <f>N310*[1]bioshares!E45</f>
        <v>22.774637538079475</v>
      </c>
      <c r="O10" s="17">
        <f>O310*[1]bioshares!F45</f>
        <v>7.3043961623732594</v>
      </c>
      <c r="P10" s="16">
        <v>0</v>
      </c>
      <c r="Q10" s="16">
        <v>0</v>
      </c>
      <c r="R10" s="17">
        <f>R310*[1]bioshares!I45</f>
        <v>0</v>
      </c>
      <c r="S10" s="17">
        <f>S310*[1]bioshares!J45</f>
        <v>21.515410416338103</v>
      </c>
      <c r="T10" s="17">
        <f>T310*[1]bioshares!K45</f>
        <v>27.224977811258483</v>
      </c>
      <c r="U10" s="17">
        <f>U310*[1]bioshares!L45</f>
        <v>1.6887534990569375</v>
      </c>
      <c r="V10" s="17">
        <f>V310*[1]bioshares!M45</f>
        <v>0</v>
      </c>
      <c r="W10" s="17">
        <f>W310*[1]bioshares!N45</f>
        <v>106.3656059459546</v>
      </c>
      <c r="X10" s="17">
        <f>X310*[1]bioshares!O45</f>
        <v>0</v>
      </c>
      <c r="Y10" s="17">
        <f>Y310*[1]bioshares!P45</f>
        <v>145.07949061709638</v>
      </c>
      <c r="Z10" s="17">
        <f>Z310*[1]bioshares!Q45</f>
        <v>13.623240799332178</v>
      </c>
      <c r="AA10" s="17">
        <f>AA310*[1]bioshares!R45</f>
        <v>0</v>
      </c>
      <c r="AB10" s="17">
        <f>AB310*[1]bioshares!S45</f>
        <v>10.634688360607754</v>
      </c>
      <c r="AC10" s="17">
        <f>AC310*[1]bioshares!T45</f>
        <v>0</v>
      </c>
      <c r="AD10" s="16">
        <v>0</v>
      </c>
      <c r="AE10" s="17">
        <f>AE310*[1]bioshares!V45</f>
        <v>81.522600088588291</v>
      </c>
      <c r="AF10" s="17">
        <f>AF310*[1]bioshares!W45</f>
        <v>26.049299537540694</v>
      </c>
      <c r="AG10" s="17">
        <f>AG310*[1]bioshares!X45</f>
        <v>0</v>
      </c>
      <c r="AH10" s="17">
        <f>AH310*[1]bioshares!Y45</f>
        <v>0</v>
      </c>
      <c r="AI10" s="16">
        <v>0</v>
      </c>
      <c r="AJ10" s="16">
        <v>0</v>
      </c>
      <c r="AK10" s="17">
        <f>AK310*[1]bioshares!AB45</f>
        <v>0</v>
      </c>
      <c r="AL10" s="17">
        <f>AL310*[1]bioshares!AC45</f>
        <v>8.9835624103562672</v>
      </c>
      <c r="AM10" s="16">
        <v>0</v>
      </c>
      <c r="AN10" s="17">
        <f>AN310*[1]bioshares!AE45</f>
        <v>83.235400022293462</v>
      </c>
      <c r="AO10" s="17">
        <f>AO310*[1]bioshares!AF45</f>
        <v>0.2982334445033254</v>
      </c>
      <c r="AP10" s="17">
        <f>AP310*[1]bioshares!AG45</f>
        <v>5.8638081896678393</v>
      </c>
      <c r="AQ10" s="16">
        <v>0</v>
      </c>
      <c r="AR10" s="17">
        <f>AR310*[1]bioshares!AI45</f>
        <v>3.4021001072156012</v>
      </c>
      <c r="AS10" s="17">
        <f>AS310*[1]bioshares!AJ45</f>
        <v>0</v>
      </c>
      <c r="AT10" s="17">
        <f>AT310*[1]bioshares!AK45</f>
        <v>5.5006750036533285</v>
      </c>
      <c r="AU10" s="16">
        <v>67.979602559701917</v>
      </c>
      <c r="AV10" s="16"/>
      <c r="AY10" s="16"/>
      <c r="AZ10" s="16"/>
      <c r="BA10" s="16">
        <f>SUM(M10:O10,R10:AC10,AE10:AH10,AK10:AL10,AN10:AP10,AR10:AU10)</f>
        <v>648.01554013424482</v>
      </c>
      <c r="BC10" s="16"/>
      <c r="BD10" s="16"/>
      <c r="BE10" s="16"/>
      <c r="BF10" s="16"/>
      <c r="BG10" s="16">
        <f>BA10-AU10</f>
        <v>580.03593757454291</v>
      </c>
    </row>
    <row r="11" spans="1:59" x14ac:dyDescent="0.3">
      <c r="A11" t="s">
        <v>70</v>
      </c>
      <c r="B11" t="s">
        <v>40</v>
      </c>
      <c r="C11" t="s">
        <v>76</v>
      </c>
      <c r="F11" t="s">
        <v>77</v>
      </c>
      <c r="H11" t="s">
        <v>78</v>
      </c>
      <c r="I11">
        <v>2005</v>
      </c>
      <c r="J11" t="s">
        <v>46</v>
      </c>
      <c r="L11" s="18">
        <v>4.322700563148743</v>
      </c>
      <c r="M11" s="18">
        <v>3.7313424360020333</v>
      </c>
      <c r="N11" s="18">
        <v>3.7483714471093954</v>
      </c>
      <c r="O11" s="18">
        <v>7.6957777433695558</v>
      </c>
      <c r="P11" s="18">
        <v>5.0657973172360489</v>
      </c>
      <c r="Q11" s="18"/>
      <c r="R11" s="18">
        <v>7.7652205544134114</v>
      </c>
      <c r="S11" s="18">
        <v>3.6633593917936813</v>
      </c>
      <c r="T11" s="18">
        <v>3.7304316623830958</v>
      </c>
      <c r="U11" s="18">
        <v>5.2892617675841684</v>
      </c>
      <c r="V11" s="18">
        <v>7.7257092217077661</v>
      </c>
      <c r="W11" s="18">
        <v>3.710426995169771</v>
      </c>
      <c r="X11" s="18">
        <v>3.7604921982181829</v>
      </c>
      <c r="Y11" s="18">
        <v>3.7404681786675629</v>
      </c>
      <c r="Z11" s="18">
        <v>3.6960761704180403</v>
      </c>
      <c r="AA11" s="18">
        <v>4.3014237125880168</v>
      </c>
      <c r="AB11" s="18">
        <v>3.6519030006241908</v>
      </c>
      <c r="AC11" s="18">
        <v>7.807495029643011</v>
      </c>
      <c r="AD11" s="18"/>
      <c r="AE11" s="18">
        <v>3.7535259583020384</v>
      </c>
      <c r="AF11" s="18">
        <v>3.6398196400059577</v>
      </c>
      <c r="AG11" s="18">
        <v>3.7483714471093954</v>
      </c>
      <c r="AH11" s="18">
        <v>3.6513503151431945</v>
      </c>
      <c r="AI11" s="18">
        <v>0</v>
      </c>
      <c r="AJ11" s="18">
        <v>4.98886290942324</v>
      </c>
      <c r="AK11" s="18">
        <v>7.7381441196977025</v>
      </c>
      <c r="AL11" s="18">
        <v>3.7587972242545775</v>
      </c>
      <c r="AM11" s="18">
        <v>3.8991766045141847</v>
      </c>
      <c r="AN11" s="18">
        <v>3.649621437352617</v>
      </c>
      <c r="AO11" s="18">
        <v>3.6698931683302765</v>
      </c>
      <c r="AP11" s="18">
        <v>3.6253669122302443</v>
      </c>
      <c r="AQ11" s="18">
        <v>4.322700563148743</v>
      </c>
      <c r="AR11" s="18">
        <v>3.7850474161029064</v>
      </c>
      <c r="AS11" s="18">
        <v>7.7449267105062232</v>
      </c>
      <c r="AT11" s="18">
        <v>3.6623611582834279</v>
      </c>
      <c r="AU11" s="18">
        <v>3.7657060192813172</v>
      </c>
      <c r="AV11" s="18"/>
      <c r="AY11" s="18"/>
      <c r="AZ11" s="18"/>
      <c r="BA11" s="18"/>
    </row>
    <row r="12" spans="1:59" x14ac:dyDescent="0.3">
      <c r="A12" t="s">
        <v>70</v>
      </c>
      <c r="B12" t="s">
        <v>40</v>
      </c>
      <c r="C12" t="s">
        <v>76</v>
      </c>
      <c r="F12" t="s">
        <v>77</v>
      </c>
      <c r="H12" t="s">
        <v>78</v>
      </c>
      <c r="I12">
        <v>2010</v>
      </c>
      <c r="J12" t="s">
        <v>46</v>
      </c>
      <c r="L12" s="18">
        <v>4.322700563148743</v>
      </c>
      <c r="M12" s="18">
        <v>3.7313424360020333</v>
      </c>
      <c r="N12" s="18">
        <v>3.7483714471093954</v>
      </c>
      <c r="O12" s="18">
        <v>7.6957777433695558</v>
      </c>
      <c r="P12" s="18">
        <v>5.0657973172360489</v>
      </c>
      <c r="Q12" s="18"/>
      <c r="R12" s="18">
        <v>7.7652205544134114</v>
      </c>
      <c r="S12" s="18">
        <v>3.6633593917936813</v>
      </c>
      <c r="T12" s="18">
        <v>3.7304316623830958</v>
      </c>
      <c r="U12" s="18">
        <v>5.2892617675841684</v>
      </c>
      <c r="V12" s="18">
        <v>7.7257092217077661</v>
      </c>
      <c r="W12" s="18">
        <v>3.710426995169771</v>
      </c>
      <c r="X12" s="18">
        <v>3.7604921982181829</v>
      </c>
      <c r="Y12" s="18">
        <v>3.7404681786675629</v>
      </c>
      <c r="Z12" s="18">
        <v>3.6960761704180403</v>
      </c>
      <c r="AA12" s="18">
        <v>4.3014237125880168</v>
      </c>
      <c r="AB12" s="18">
        <v>3.6519030006241908</v>
      </c>
      <c r="AC12" s="18">
        <v>7.807495029643011</v>
      </c>
      <c r="AD12" s="18"/>
      <c r="AE12" s="18">
        <v>3.7535259583020384</v>
      </c>
      <c r="AF12" s="18">
        <v>3.6398196400059577</v>
      </c>
      <c r="AG12" s="19">
        <v>3.7483714471093954</v>
      </c>
      <c r="AH12" s="18">
        <v>3.6513503151431945</v>
      </c>
      <c r="AI12" s="18">
        <v>0</v>
      </c>
      <c r="AJ12" s="18">
        <v>4.98886290942324</v>
      </c>
      <c r="AK12" s="18">
        <v>7.7381441196977025</v>
      </c>
      <c r="AL12" s="18">
        <v>3.7587972242545775</v>
      </c>
      <c r="AM12" s="18">
        <v>3.8991766045141847</v>
      </c>
      <c r="AN12" s="18">
        <v>3.649621437352617</v>
      </c>
      <c r="AO12" s="18">
        <v>3.6698931683302765</v>
      </c>
      <c r="AP12" s="18">
        <v>3.6253669122302443</v>
      </c>
      <c r="AQ12" s="18">
        <v>4.322700563148743</v>
      </c>
      <c r="AR12" s="18">
        <v>3.7850474161029064</v>
      </c>
      <c r="AS12" s="18">
        <v>7.7449267105062232</v>
      </c>
      <c r="AT12" s="18">
        <v>3.6623611582834279</v>
      </c>
      <c r="AU12" s="18">
        <v>3.7657060192813172</v>
      </c>
      <c r="AV12" s="18"/>
      <c r="AX12" s="18"/>
      <c r="AY12" s="18"/>
      <c r="AZ12" s="18"/>
      <c r="BA12" s="18"/>
    </row>
    <row r="13" spans="1:59" x14ac:dyDescent="0.3">
      <c r="A13" t="s">
        <v>70</v>
      </c>
      <c r="B13" t="s">
        <v>40</v>
      </c>
      <c r="C13" t="s">
        <v>76</v>
      </c>
      <c r="F13" t="s">
        <v>77</v>
      </c>
      <c r="H13" t="s">
        <v>78</v>
      </c>
      <c r="I13">
        <v>2020</v>
      </c>
      <c r="J13" t="s">
        <v>46</v>
      </c>
      <c r="L13" s="18">
        <v>4.5255391517082293</v>
      </c>
      <c r="M13" s="18">
        <v>3.7764228064853191</v>
      </c>
      <c r="N13" s="18">
        <v>3.7934518175926821</v>
      </c>
      <c r="O13" s="18">
        <v>3.6715363678854609</v>
      </c>
      <c r="P13" s="18">
        <v>4.5255391517082293</v>
      </c>
      <c r="Q13" s="18"/>
      <c r="R13" s="18">
        <v>6.9156303549158293</v>
      </c>
      <c r="S13" s="18">
        <v>3.7041531669491223</v>
      </c>
      <c r="T13" s="18">
        <v>3.7755120328663847</v>
      </c>
      <c r="U13" s="18">
        <v>5.3552420628327058</v>
      </c>
      <c r="V13" s="18">
        <v>6.876119022210184</v>
      </c>
      <c r="W13" s="18">
        <v>3.7555073656530591</v>
      </c>
      <c r="X13" s="18">
        <v>3.8055725687014688</v>
      </c>
      <c r="Y13" s="18">
        <v>3.785548549150846</v>
      </c>
      <c r="Z13" s="18">
        <v>3.741156540901327</v>
      </c>
      <c r="AA13" s="18">
        <v>4.5042623011475023</v>
      </c>
      <c r="AB13" s="18">
        <v>3.6926967757796323</v>
      </c>
      <c r="AC13" s="18">
        <v>6.9579048301454289</v>
      </c>
      <c r="AD13" s="18"/>
      <c r="AE13" s="18">
        <v>3.7986063287853229</v>
      </c>
      <c r="AF13" s="18">
        <v>3.6806134151613992</v>
      </c>
      <c r="AG13" s="19">
        <v>3.7934518175926821</v>
      </c>
      <c r="AH13" s="18">
        <v>3.6921440902986356</v>
      </c>
      <c r="AI13" s="18">
        <v>0</v>
      </c>
      <c r="AJ13" s="18">
        <v>4.3617963370871422</v>
      </c>
      <c r="AK13" s="18">
        <v>6.8885539202001214</v>
      </c>
      <c r="AL13" s="18">
        <v>3.8038775947378642</v>
      </c>
      <c r="AM13" s="18">
        <v>3.5166582372358364</v>
      </c>
      <c r="AN13" s="18">
        <v>3.6904152125080594</v>
      </c>
      <c r="AO13" s="18">
        <v>3.7149735388135632</v>
      </c>
      <c r="AP13" s="18">
        <v>3.6637654647095816</v>
      </c>
      <c r="AQ13" s="18">
        <v>4.5255391517082293</v>
      </c>
      <c r="AR13" s="18">
        <v>3.8301277865861927</v>
      </c>
      <c r="AS13" s="18">
        <v>6.8953365110086411</v>
      </c>
      <c r="AT13" s="18">
        <v>3.7031549334388689</v>
      </c>
      <c r="AU13" s="18">
        <v>3.8107863897646004</v>
      </c>
      <c r="AV13" s="18"/>
      <c r="AX13" s="18"/>
      <c r="AY13" s="18"/>
      <c r="AZ13" s="18"/>
      <c r="BA13" s="18"/>
    </row>
    <row r="14" spans="1:59" x14ac:dyDescent="0.3">
      <c r="A14" t="s">
        <v>70</v>
      </c>
      <c r="B14" t="s">
        <v>40</v>
      </c>
      <c r="C14" t="s">
        <v>76</v>
      </c>
      <c r="F14" t="s">
        <v>77</v>
      </c>
      <c r="H14" t="s">
        <v>78</v>
      </c>
      <c r="I14">
        <v>2030</v>
      </c>
      <c r="J14" t="s">
        <v>46</v>
      </c>
      <c r="L14" s="18">
        <v>4.3253392985740806</v>
      </c>
      <c r="M14" s="18">
        <v>4.0289004682390468</v>
      </c>
      <c r="N14" s="18">
        <v>4.0459294793464089</v>
      </c>
      <c r="O14" s="18">
        <v>3.9233864655297506</v>
      </c>
      <c r="P14" s="18">
        <v>4.6588269006323868</v>
      </c>
      <c r="Q14" s="18"/>
      <c r="R14" s="18">
        <v>7.4208289311344551</v>
      </c>
      <c r="S14" s="18">
        <v>3.9575424473782106</v>
      </c>
      <c r="T14" s="18">
        <v>4.0279896946201097</v>
      </c>
      <c r="U14" s="18">
        <v>5.7247720930339305</v>
      </c>
      <c r="V14" s="18">
        <v>7.3813175984288089</v>
      </c>
      <c r="W14" s="18">
        <v>4.007985027406785</v>
      </c>
      <c r="X14" s="18">
        <v>4.058050230455196</v>
      </c>
      <c r="Y14" s="18">
        <v>4.0380262109045741</v>
      </c>
      <c r="Z14" s="18">
        <v>3.9936342026550546</v>
      </c>
      <c r="AA14" s="18">
        <v>4.3040624480133536</v>
      </c>
      <c r="AB14" s="18">
        <v>3.9460860562087201</v>
      </c>
      <c r="AC14" s="18">
        <v>7.4631034063640538</v>
      </c>
      <c r="AD14" s="18"/>
      <c r="AE14" s="18">
        <v>4.0510839905390492</v>
      </c>
      <c r="AF14" s="18">
        <v>3.934002695590487</v>
      </c>
      <c r="AG14" s="19">
        <v>4.0459294793464089</v>
      </c>
      <c r="AH14" s="18">
        <v>3.9455333707277234</v>
      </c>
      <c r="AI14" s="18">
        <v>0</v>
      </c>
      <c r="AJ14" s="18">
        <v>4.2484048907612717</v>
      </c>
      <c r="AK14" s="18">
        <v>7.3937524964187462</v>
      </c>
      <c r="AL14" s="18">
        <v>4.0563552564915923</v>
      </c>
      <c r="AM14" s="18">
        <v>3.7441181757341564</v>
      </c>
      <c r="AN14" s="18">
        <v>3.9438044929371467</v>
      </c>
      <c r="AO14" s="18">
        <v>3.9674512005672904</v>
      </c>
      <c r="AP14" s="18">
        <v>3.9156155623538718</v>
      </c>
      <c r="AQ14" s="18">
        <v>4.3253392985740806</v>
      </c>
      <c r="AR14" s="18">
        <v>4.0826054483399181</v>
      </c>
      <c r="AS14" s="18">
        <v>7.4005350872272659</v>
      </c>
      <c r="AT14" s="18">
        <v>3.9565442138679567</v>
      </c>
      <c r="AU14" s="18">
        <v>4.063264051518332</v>
      </c>
      <c r="AV14" s="18"/>
      <c r="AX14" s="18"/>
      <c r="AY14" s="18"/>
      <c r="AZ14" s="18"/>
      <c r="BA14" s="18"/>
    </row>
    <row r="15" spans="1:59" x14ac:dyDescent="0.3">
      <c r="A15" t="s">
        <v>70</v>
      </c>
      <c r="B15" t="s">
        <v>40</v>
      </c>
      <c r="C15" t="s">
        <v>76</v>
      </c>
      <c r="F15" t="s">
        <v>77</v>
      </c>
      <c r="H15" t="s">
        <v>78</v>
      </c>
      <c r="I15">
        <v>2040</v>
      </c>
      <c r="J15" t="s">
        <v>46</v>
      </c>
      <c r="L15" s="18">
        <v>4.3249491757329093</v>
      </c>
      <c r="M15" s="18">
        <v>4.0540558824750308</v>
      </c>
      <c r="N15" s="18">
        <v>4.0710848935823938</v>
      </c>
      <c r="O15" s="18">
        <v>3.9483099653480336</v>
      </c>
      <c r="P15" s="18">
        <v>5.3327967006748924</v>
      </c>
      <c r="Q15" s="18"/>
      <c r="R15" s="18">
        <v>8.3407475641750306</v>
      </c>
      <c r="S15" s="18">
        <v>3.9820771894121347</v>
      </c>
      <c r="T15" s="18">
        <v>4.0531451088560919</v>
      </c>
      <c r="U15" s="18">
        <v>5.7615899283932226</v>
      </c>
      <c r="V15" s="18">
        <v>8.3012362314693853</v>
      </c>
      <c r="W15" s="18">
        <v>4.0331404416427707</v>
      </c>
      <c r="X15" s="18">
        <v>4.0832056446911809</v>
      </c>
      <c r="Y15" s="18">
        <v>4.0631816251405626</v>
      </c>
      <c r="Z15" s="18">
        <v>4.0187896168910378</v>
      </c>
      <c r="AA15" s="18">
        <v>4.3036723251721822</v>
      </c>
      <c r="AB15" s="18">
        <v>3.9706207982426442</v>
      </c>
      <c r="AC15" s="18">
        <v>8.3830220394046293</v>
      </c>
      <c r="AD15" s="18"/>
      <c r="AE15" s="18">
        <v>4.076239404775035</v>
      </c>
      <c r="AF15" s="18">
        <v>3.9585374376244116</v>
      </c>
      <c r="AG15" s="19">
        <v>4.0710848935823938</v>
      </c>
      <c r="AH15" s="18">
        <v>3.9700681127616479</v>
      </c>
      <c r="AI15" s="18">
        <v>0</v>
      </c>
      <c r="AJ15" s="18">
        <v>4.2480147679200995</v>
      </c>
      <c r="AK15" s="18">
        <v>8.3136711294593226</v>
      </c>
      <c r="AL15" s="18">
        <v>4.0815106707275755</v>
      </c>
      <c r="AM15" s="18">
        <v>4.1583011238751588</v>
      </c>
      <c r="AN15" s="18">
        <v>3.9683392349710704</v>
      </c>
      <c r="AO15" s="18">
        <v>3.9926066148032744</v>
      </c>
      <c r="AP15" s="18">
        <v>3.9405390621721548</v>
      </c>
      <c r="AQ15" s="18">
        <v>4.3249491757329093</v>
      </c>
      <c r="AR15" s="18">
        <v>4.1077608625759039</v>
      </c>
      <c r="AS15" s="18">
        <v>8.3204537202678424</v>
      </c>
      <c r="AT15" s="18">
        <v>3.9810789559018818</v>
      </c>
      <c r="AU15" s="18">
        <v>4.0884194657543151</v>
      </c>
      <c r="AV15" s="18"/>
      <c r="AX15" s="18"/>
      <c r="AY15" s="18"/>
      <c r="AZ15" s="18"/>
      <c r="BA15" s="18"/>
    </row>
    <row r="16" spans="1:59" x14ac:dyDescent="0.3">
      <c r="A16" t="s">
        <v>70</v>
      </c>
      <c r="B16" t="s">
        <v>40</v>
      </c>
      <c r="C16" t="s">
        <v>76</v>
      </c>
      <c r="F16" t="s">
        <v>77</v>
      </c>
      <c r="H16" t="s">
        <v>78</v>
      </c>
      <c r="I16">
        <v>2050</v>
      </c>
      <c r="J16" t="s">
        <v>46</v>
      </c>
      <c r="L16" s="18">
        <v>4.324559052891737</v>
      </c>
      <c r="M16" s="18">
        <v>4.0792112967110148</v>
      </c>
      <c r="N16" s="18">
        <v>4.0962403078183787</v>
      </c>
      <c r="O16" s="18">
        <v>3.9732334651663161</v>
      </c>
      <c r="P16" s="18">
        <v>6.006766500717398</v>
      </c>
      <c r="Q16" s="18"/>
      <c r="R16" s="18">
        <v>9.2606661972156079</v>
      </c>
      <c r="S16" s="18">
        <v>4.0066119314460611</v>
      </c>
      <c r="T16" s="18">
        <v>4.078300523092083</v>
      </c>
      <c r="U16" s="18">
        <v>5.7984077637525155</v>
      </c>
      <c r="V16" s="18">
        <v>9.2211548645099626</v>
      </c>
      <c r="W16" s="18">
        <v>4.058295855878753</v>
      </c>
      <c r="X16" s="18">
        <v>4.1083610589271657</v>
      </c>
      <c r="Y16" s="18">
        <v>4.0883370393765439</v>
      </c>
      <c r="Z16" s="18">
        <v>4.0439450311270235</v>
      </c>
      <c r="AA16" s="18">
        <v>4.3032822023310109</v>
      </c>
      <c r="AB16" s="18">
        <v>3.9951555402765702</v>
      </c>
      <c r="AC16" s="18">
        <v>9.3029406724452066</v>
      </c>
      <c r="AD16" s="18"/>
      <c r="AE16" s="18">
        <v>4.1013948190110217</v>
      </c>
      <c r="AF16" s="18">
        <v>3.983072179658337</v>
      </c>
      <c r="AG16" s="19">
        <v>4.0962403078183787</v>
      </c>
      <c r="AH16" s="18">
        <v>3.9946028547955734</v>
      </c>
      <c r="AI16" s="18">
        <v>0</v>
      </c>
      <c r="AJ16" s="18">
        <v>4.247624645078929</v>
      </c>
      <c r="AK16" s="18">
        <v>9.2335897624998999</v>
      </c>
      <c r="AL16" s="18">
        <v>4.1066660849635621</v>
      </c>
      <c r="AM16" s="18">
        <v>4.572484072016163</v>
      </c>
      <c r="AN16" s="18">
        <v>3.992873977004995</v>
      </c>
      <c r="AO16" s="18">
        <v>4.0177620290392584</v>
      </c>
      <c r="AP16" s="18">
        <v>3.9654625619904382</v>
      </c>
      <c r="AQ16" s="18">
        <v>4.324559052891737</v>
      </c>
      <c r="AR16" s="18">
        <v>4.1329162768118888</v>
      </c>
      <c r="AS16" s="18">
        <v>9.2403723533084214</v>
      </c>
      <c r="AT16" s="18">
        <v>4.0056136979358072</v>
      </c>
      <c r="AU16" s="18">
        <v>4.1135748799902956</v>
      </c>
      <c r="AV16" s="18"/>
      <c r="AX16" s="18"/>
      <c r="AY16" s="18"/>
      <c r="AZ16" s="18"/>
      <c r="BA16" s="18"/>
    </row>
    <row r="17" spans="1:59" x14ac:dyDescent="0.3">
      <c r="E17" t="s">
        <v>79</v>
      </c>
      <c r="AX17" s="18"/>
      <c r="AY17" s="18"/>
      <c r="AZ17" s="18"/>
      <c r="BA17" s="18"/>
    </row>
    <row r="18" spans="1:59" s="12" customFormat="1" x14ac:dyDescent="0.3">
      <c r="A18" s="12" t="s">
        <v>70</v>
      </c>
      <c r="B18" s="12" t="s">
        <v>40</v>
      </c>
      <c r="C18" s="12" t="s">
        <v>80</v>
      </c>
      <c r="E18" s="12" t="s">
        <v>73</v>
      </c>
      <c r="G18" s="12" t="s">
        <v>74</v>
      </c>
      <c r="H18" s="12" t="s">
        <v>75</v>
      </c>
      <c r="I18" s="12">
        <v>2005</v>
      </c>
      <c r="J18" s="12" t="s">
        <v>47</v>
      </c>
      <c r="L18" s="13">
        <v>0</v>
      </c>
      <c r="M18" s="13">
        <v>14.800632084987067</v>
      </c>
      <c r="N18" s="13">
        <v>4.5870892324240868</v>
      </c>
      <c r="O18" s="13">
        <v>0.8831789472176963</v>
      </c>
      <c r="P18" s="13">
        <v>0</v>
      </c>
      <c r="Q18" s="13">
        <v>0</v>
      </c>
      <c r="R18" s="13">
        <v>0</v>
      </c>
      <c r="S18" s="13">
        <v>9.842328918287329</v>
      </c>
      <c r="T18" s="13">
        <v>72.382004438548279</v>
      </c>
      <c r="U18" s="13">
        <v>1.4394638787425129</v>
      </c>
      <c r="V18" s="13">
        <v>0</v>
      </c>
      <c r="W18" s="13">
        <v>6.9529850488308895</v>
      </c>
      <c r="X18" s="13">
        <v>0</v>
      </c>
      <c r="Y18" s="13">
        <v>238.35575720062224</v>
      </c>
      <c r="Z18" s="13">
        <v>0.21723041441646687</v>
      </c>
      <c r="AA18" s="13">
        <v>0</v>
      </c>
      <c r="AB18" s="13">
        <v>5.239984625018149</v>
      </c>
      <c r="AC18" s="13">
        <v>0</v>
      </c>
      <c r="AD18" s="13">
        <v>0</v>
      </c>
      <c r="AE18" s="13">
        <v>3.1492649808079971</v>
      </c>
      <c r="AF18" s="13">
        <v>1.6270660098606533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1.5947528550535097</v>
      </c>
      <c r="AM18" s="13">
        <v>0</v>
      </c>
      <c r="AN18" s="13">
        <v>1.815766164838567</v>
      </c>
      <c r="AO18" s="13">
        <v>9.8478790830838769E-2</v>
      </c>
      <c r="AP18" s="13">
        <v>0.85279282692021596</v>
      </c>
      <c r="AQ18" s="13">
        <v>0</v>
      </c>
      <c r="AR18" s="13">
        <v>4.8568285335089296</v>
      </c>
      <c r="AS18" s="13">
        <v>3.600783082005115E-4</v>
      </c>
      <c r="AT18" s="13">
        <v>1.845100633394031</v>
      </c>
      <c r="AU18" s="13">
        <v>3.0246297206634032</v>
      </c>
      <c r="AV18" s="13"/>
      <c r="AX18" s="13"/>
    </row>
    <row r="19" spans="1:59" s="12" customFormat="1" x14ac:dyDescent="0.3">
      <c r="A19" s="12" t="s">
        <v>70</v>
      </c>
      <c r="B19" s="12" t="s">
        <v>40</v>
      </c>
      <c r="C19" s="12" t="s">
        <v>80</v>
      </c>
      <c r="E19" s="12" t="s">
        <v>73</v>
      </c>
      <c r="G19" s="12" t="s">
        <v>74</v>
      </c>
      <c r="H19" s="12" t="s">
        <v>75</v>
      </c>
      <c r="I19" s="12">
        <v>2010</v>
      </c>
      <c r="J19" s="12" t="s">
        <v>47</v>
      </c>
      <c r="L19" s="13">
        <v>0</v>
      </c>
      <c r="M19" s="13">
        <v>14.800632084987067</v>
      </c>
      <c r="N19" s="13">
        <v>4.5870892324240868</v>
      </c>
      <c r="O19" s="13">
        <v>0.8831789472176963</v>
      </c>
      <c r="P19" s="13">
        <v>0</v>
      </c>
      <c r="Q19" s="13">
        <v>0</v>
      </c>
      <c r="R19" s="13">
        <v>0</v>
      </c>
      <c r="S19" s="13">
        <v>9.842328918287329</v>
      </c>
      <c r="T19" s="13">
        <v>72.382004438548279</v>
      </c>
      <c r="U19" s="13">
        <v>1.4394638787425129</v>
      </c>
      <c r="V19" s="13">
        <v>0</v>
      </c>
      <c r="W19" s="13">
        <v>6.9529850488308895</v>
      </c>
      <c r="X19" s="13">
        <v>0</v>
      </c>
      <c r="Y19" s="13">
        <v>238.35575720062224</v>
      </c>
      <c r="Z19" s="13">
        <v>0.21723041441646687</v>
      </c>
      <c r="AA19" s="13">
        <v>0</v>
      </c>
      <c r="AB19" s="13">
        <v>5.239984625018149</v>
      </c>
      <c r="AC19" s="13">
        <v>0</v>
      </c>
      <c r="AD19" s="13">
        <v>0</v>
      </c>
      <c r="AE19" s="13">
        <v>3.1492649808079971</v>
      </c>
      <c r="AF19" s="13">
        <v>1.6270660098606533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1.5947528550535097</v>
      </c>
      <c r="AM19" s="13">
        <v>0</v>
      </c>
      <c r="AN19" s="13">
        <v>1.815766164838567</v>
      </c>
      <c r="AO19" s="13">
        <v>9.8478790830838769E-2</v>
      </c>
      <c r="AP19" s="13">
        <v>0.85279282692021596</v>
      </c>
      <c r="AQ19" s="13">
        <v>0</v>
      </c>
      <c r="AR19" s="13">
        <v>4.8568285335089296</v>
      </c>
      <c r="AS19" s="13">
        <v>3.600783082005115E-4</v>
      </c>
      <c r="AT19" s="13">
        <v>1.845100633394031</v>
      </c>
      <c r="AU19" s="13">
        <v>3.0246297206634032</v>
      </c>
      <c r="AV19" s="13"/>
      <c r="AW19" s="13">
        <f>SUM(M19:O19,R19:AC19,AE19:AH19,AK19:AL19,AN19:AP19,AR19:AU19)</f>
        <v>373.56569538328102</v>
      </c>
      <c r="BC19" s="13">
        <f>AW19-AU19</f>
        <v>370.5410656626176</v>
      </c>
    </row>
    <row r="20" spans="1:59" s="12" customFormat="1" x14ac:dyDescent="0.3">
      <c r="A20" s="12" t="s">
        <v>70</v>
      </c>
      <c r="B20" s="12" t="s">
        <v>40</v>
      </c>
      <c r="C20" s="12" t="str">
        <f>C19</f>
        <v>Biodiesel_oil_crops</v>
      </c>
      <c r="E20" s="12" t="s">
        <v>73</v>
      </c>
      <c r="G20" s="12" t="s">
        <v>74</v>
      </c>
      <c r="H20" s="12" t="s">
        <v>75</v>
      </c>
      <c r="I20" s="12">
        <v>2020</v>
      </c>
      <c r="J20" s="12" t="s">
        <v>47</v>
      </c>
      <c r="L20" s="13">
        <v>0</v>
      </c>
      <c r="M20" s="13">
        <f>M21</f>
        <v>3.171765601132833</v>
      </c>
      <c r="N20" s="13">
        <f t="shared" ref="N20:O20" si="8">N21</f>
        <v>5.8052285727869446</v>
      </c>
      <c r="O20" s="13">
        <f t="shared" si="8"/>
        <v>1.4032409092414648</v>
      </c>
      <c r="P20" s="13">
        <v>0</v>
      </c>
      <c r="Q20" s="13">
        <v>0</v>
      </c>
      <c r="R20" s="13">
        <f t="shared" ref="R20:AC20" si="9">R21</f>
        <v>0</v>
      </c>
      <c r="S20" s="13">
        <f t="shared" si="9"/>
        <v>4.8753392028810385</v>
      </c>
      <c r="T20" s="13">
        <f t="shared" si="9"/>
        <v>8.6201077774848383</v>
      </c>
      <c r="U20" s="13">
        <f t="shared" si="9"/>
        <v>0.25372666937710581</v>
      </c>
      <c r="V20" s="13">
        <f t="shared" si="9"/>
        <v>0</v>
      </c>
      <c r="W20" s="13">
        <f t="shared" si="9"/>
        <v>26.997524888012929</v>
      </c>
      <c r="X20" s="13">
        <f t="shared" si="9"/>
        <v>0</v>
      </c>
      <c r="Y20" s="13">
        <f t="shared" si="9"/>
        <v>52.420090165292372</v>
      </c>
      <c r="Z20" s="13">
        <f t="shared" si="9"/>
        <v>3.2571300331482829</v>
      </c>
      <c r="AA20" s="13">
        <f t="shared" si="9"/>
        <v>0</v>
      </c>
      <c r="AB20" s="13">
        <f t="shared" si="9"/>
        <v>3.4155691354364235</v>
      </c>
      <c r="AC20" s="13">
        <f t="shared" si="9"/>
        <v>0</v>
      </c>
      <c r="AD20" s="13">
        <v>0</v>
      </c>
      <c r="AE20" s="13">
        <f t="shared" ref="AE20:AH20" si="10">AE21</f>
        <v>22.04164764562573</v>
      </c>
      <c r="AF20" s="13">
        <f t="shared" si="10"/>
        <v>6.3772960269632879</v>
      </c>
      <c r="AG20" s="13">
        <f t="shared" si="10"/>
        <v>0</v>
      </c>
      <c r="AH20" s="13">
        <f t="shared" si="10"/>
        <v>0</v>
      </c>
      <c r="AI20" s="13">
        <v>0</v>
      </c>
      <c r="AJ20" s="13">
        <v>0</v>
      </c>
      <c r="AK20" s="13">
        <f t="shared" ref="AK20:AL20" si="11">AK21</f>
        <v>0</v>
      </c>
      <c r="AL20" s="13">
        <f t="shared" si="11"/>
        <v>3.9664976277969504</v>
      </c>
      <c r="AM20" s="13">
        <v>0</v>
      </c>
      <c r="AN20" s="13">
        <f t="shared" ref="AN20:AP20" si="12">AN21</f>
        <v>9.0772317996375627</v>
      </c>
      <c r="AO20" s="13">
        <f t="shared" si="12"/>
        <v>0.14972823161822538</v>
      </c>
      <c r="AP20" s="13">
        <f t="shared" si="12"/>
        <v>1.3331417985352341</v>
      </c>
      <c r="AQ20" s="13">
        <v>0</v>
      </c>
      <c r="AR20" s="13">
        <f t="shared" ref="AR20:AT20" si="13">AR21</f>
        <v>0.96077977926016478</v>
      </c>
      <c r="AS20" s="13">
        <f t="shared" si="13"/>
        <v>0</v>
      </c>
      <c r="AT20" s="13">
        <f t="shared" si="13"/>
        <v>0.93518376300808359</v>
      </c>
      <c r="AU20" s="13">
        <v>18.16654429965606</v>
      </c>
      <c r="AV20" s="13"/>
      <c r="AX20" s="13">
        <f>SUM(M20:O20,R20:AC20,AE20:AH20,AK20:AL20,AN20:AP20,AR20:AU20)</f>
        <v>173.22777392689551</v>
      </c>
      <c r="BD20" s="13">
        <f>AX20-AU20</f>
        <v>155.06122962723944</v>
      </c>
    </row>
    <row r="21" spans="1:59" s="12" customFormat="1" x14ac:dyDescent="0.3">
      <c r="A21" s="12" t="s">
        <v>70</v>
      </c>
      <c r="B21" s="12" t="s">
        <v>40</v>
      </c>
      <c r="C21" s="12" t="str">
        <f t="shared" ref="C21:C23" si="14">C20</f>
        <v>Biodiesel_oil_crops</v>
      </c>
      <c r="E21" s="12" t="s">
        <v>73</v>
      </c>
      <c r="G21" s="12" t="s">
        <v>74</v>
      </c>
      <c r="H21" s="12" t="s">
        <v>75</v>
      </c>
      <c r="I21" s="12">
        <v>2030</v>
      </c>
      <c r="J21" s="12" t="s">
        <v>47</v>
      </c>
      <c r="L21" s="13">
        <v>0</v>
      </c>
      <c r="M21" s="14">
        <f>M308*[1]bioshares!D49</f>
        <v>3.171765601132833</v>
      </c>
      <c r="N21" s="14">
        <f>N308*[1]bioshares!E49</f>
        <v>5.8052285727869446</v>
      </c>
      <c r="O21" s="14">
        <f>O308*[1]bioshares!F49</f>
        <v>1.4032409092414648</v>
      </c>
      <c r="P21" s="13">
        <v>0</v>
      </c>
      <c r="Q21" s="13">
        <v>0</v>
      </c>
      <c r="R21" s="14">
        <f>R308*[1]bioshares!I49</f>
        <v>0</v>
      </c>
      <c r="S21" s="14">
        <f>S308*[1]bioshares!J49</f>
        <v>4.8753392028810385</v>
      </c>
      <c r="T21" s="14">
        <f>T308*[1]bioshares!K49</f>
        <v>8.6201077774848383</v>
      </c>
      <c r="U21" s="14">
        <f>U308*[1]bioshares!L49</f>
        <v>0.25372666937710581</v>
      </c>
      <c r="V21" s="14">
        <f>V308*[1]bioshares!M49</f>
        <v>0</v>
      </c>
      <c r="W21" s="14">
        <f>W308*[1]bioshares!N49</f>
        <v>26.997524888012929</v>
      </c>
      <c r="X21" s="14">
        <f>X308*[1]bioshares!O49</f>
        <v>0</v>
      </c>
      <c r="Y21" s="14">
        <f>Y308*[1]bioshares!P49</f>
        <v>52.420090165292372</v>
      </c>
      <c r="Z21" s="14">
        <f>Z308*[1]bioshares!Q49</f>
        <v>3.2571300331482829</v>
      </c>
      <c r="AA21" s="14">
        <f>AA308*[1]bioshares!R49</f>
        <v>0</v>
      </c>
      <c r="AB21" s="14">
        <f>AB308*[1]bioshares!S49</f>
        <v>3.4155691354364235</v>
      </c>
      <c r="AC21" s="14">
        <f>AC308*[1]bioshares!T49</f>
        <v>0</v>
      </c>
      <c r="AD21" s="13">
        <v>0</v>
      </c>
      <c r="AE21" s="14">
        <f>AE308*[1]bioshares!V49</f>
        <v>22.04164764562573</v>
      </c>
      <c r="AF21" s="14">
        <f>AF308*[1]bioshares!W49</f>
        <v>6.3772960269632879</v>
      </c>
      <c r="AG21" s="14">
        <f>AG308*[1]bioshares!X49</f>
        <v>0</v>
      </c>
      <c r="AH21" s="14">
        <f>AH308*[1]bioshares!Y49</f>
        <v>0</v>
      </c>
      <c r="AI21" s="13">
        <v>0</v>
      </c>
      <c r="AJ21" s="13">
        <v>0</v>
      </c>
      <c r="AK21" s="14">
        <f>AK308*[1]bioshares!AB49</f>
        <v>0</v>
      </c>
      <c r="AL21" s="14">
        <f>AL308*[1]bioshares!AC49</f>
        <v>3.9664976277969504</v>
      </c>
      <c r="AM21" s="13">
        <v>0</v>
      </c>
      <c r="AN21" s="14">
        <f>AN308*[1]bioshares!AE49</f>
        <v>9.0772317996375627</v>
      </c>
      <c r="AO21" s="14">
        <f>AO308*[1]bioshares!AF49</f>
        <v>0.14972823161822538</v>
      </c>
      <c r="AP21" s="14">
        <f>AP308*[1]bioshares!AG49</f>
        <v>1.3331417985352341</v>
      </c>
      <c r="AQ21" s="13">
        <v>0</v>
      </c>
      <c r="AR21" s="14">
        <f>AR308*[1]bioshares!AI49</f>
        <v>0.96077977926016478</v>
      </c>
      <c r="AS21" s="14">
        <f>AS308*[1]bioshares!AJ49</f>
        <v>0</v>
      </c>
      <c r="AT21" s="14">
        <f>AT308*[1]bioshares!AK49</f>
        <v>0.93518376300808359</v>
      </c>
      <c r="AU21" s="13">
        <v>126.16931880941168</v>
      </c>
      <c r="AV21" s="13"/>
      <c r="AY21" s="13">
        <f>SUM(M21:O21,R21:AC21,AE21:AH21,AK21:AL21,AN21:AP21,AR21:AU21)</f>
        <v>281.23054843665113</v>
      </c>
      <c r="BE21" s="13">
        <f>AY21-AU21</f>
        <v>155.06122962723947</v>
      </c>
    </row>
    <row r="22" spans="1:59" s="12" customFormat="1" x14ac:dyDescent="0.3">
      <c r="A22" s="12" t="s">
        <v>70</v>
      </c>
      <c r="B22" s="12" t="s">
        <v>40</v>
      </c>
      <c r="C22" s="12" t="str">
        <f t="shared" si="14"/>
        <v>Biodiesel_oil_crops</v>
      </c>
      <c r="E22" s="12" t="s">
        <v>73</v>
      </c>
      <c r="G22" s="12" t="s">
        <v>74</v>
      </c>
      <c r="H22" s="12" t="s">
        <v>75</v>
      </c>
      <c r="I22" s="12">
        <v>2040</v>
      </c>
      <c r="J22" s="12" t="s">
        <v>47</v>
      </c>
      <c r="L22" s="13">
        <v>0</v>
      </c>
      <c r="M22" s="14">
        <f>M309*[1]bioshares!D50</f>
        <v>11.881162876359316</v>
      </c>
      <c r="N22" s="14">
        <f>N309*[1]bioshares!E50</f>
        <v>24.436669543703889</v>
      </c>
      <c r="O22" s="14">
        <f>O309*[1]bioshares!F50</f>
        <v>10.448063860096774</v>
      </c>
      <c r="P22" s="13">
        <v>0</v>
      </c>
      <c r="Q22" s="13">
        <v>0</v>
      </c>
      <c r="R22" s="14">
        <f>R309*[1]bioshares!I50</f>
        <v>0</v>
      </c>
      <c r="S22" s="14">
        <f>S309*[1]bioshares!J50</f>
        <v>21.961160353021292</v>
      </c>
      <c r="T22" s="14">
        <f>T309*[1]bioshares!K50</f>
        <v>32.38458772490474</v>
      </c>
      <c r="U22" s="14">
        <f>U309*[1]bioshares!L50</f>
        <v>1.5277640871053877</v>
      </c>
      <c r="V22" s="14">
        <f>V309*[1]bioshares!M50</f>
        <v>0</v>
      </c>
      <c r="W22" s="14">
        <f>W309*[1]bioshares!N50</f>
        <v>115.3122795272765</v>
      </c>
      <c r="X22" s="14">
        <f>X309*[1]bioshares!O50</f>
        <v>0</v>
      </c>
      <c r="Y22" s="14">
        <f>Y309*[1]bioshares!P50</f>
        <v>187.20162638942904</v>
      </c>
      <c r="Z22" s="14">
        <f>Z309*[1]bioshares!Q50</f>
        <v>15.468988705461493</v>
      </c>
      <c r="AA22" s="14">
        <f>AA309*[1]bioshares!R50</f>
        <v>0</v>
      </c>
      <c r="AB22" s="14">
        <f>AB309*[1]bioshares!S50</f>
        <v>15.153851230309595</v>
      </c>
      <c r="AC22" s="14">
        <f>AC309*[1]bioshares!T50</f>
        <v>0</v>
      </c>
      <c r="AD22" s="13">
        <v>0</v>
      </c>
      <c r="AE22" s="14">
        <f>AE309*[1]bioshares!V50</f>
        <v>90.162370210756805</v>
      </c>
      <c r="AF22" s="14">
        <f>AF309*[1]bioshares!W50</f>
        <v>27.462012416860969</v>
      </c>
      <c r="AG22" s="14">
        <f>AG309*[1]bioshares!X50</f>
        <v>0</v>
      </c>
      <c r="AH22" s="14">
        <f>AH309*[1]bioshares!Y50</f>
        <v>0</v>
      </c>
      <c r="AI22" s="13">
        <v>0</v>
      </c>
      <c r="AJ22" s="13">
        <v>0</v>
      </c>
      <c r="AK22" s="14">
        <f>AK309*[1]bioshares!AB50</f>
        <v>0</v>
      </c>
      <c r="AL22" s="14">
        <f>AL309*[1]bioshares!AC50</f>
        <v>12.812324890138756</v>
      </c>
      <c r="AM22" s="13">
        <v>0</v>
      </c>
      <c r="AN22" s="14">
        <f>AN309*[1]bioshares!AE50</f>
        <v>65.159621682600289</v>
      </c>
      <c r="AO22" s="14">
        <f>AO309*[1]bioshares!AF50</f>
        <v>0.58852692830379127</v>
      </c>
      <c r="AP22" s="14">
        <f>AP309*[1]bioshares!AG50</f>
        <v>12.280138781452074</v>
      </c>
      <c r="AQ22" s="13">
        <v>0</v>
      </c>
      <c r="AR22" s="14">
        <f>AR309*[1]bioshares!AI50</f>
        <v>3.8280223099152639</v>
      </c>
      <c r="AS22" s="14">
        <f>AS309*[1]bioshares!AJ50</f>
        <v>5.5729769074458537E-19</v>
      </c>
      <c r="AT22" s="14">
        <f>AT309*[1]bioshares!AK50</f>
        <v>4.8476815560697446</v>
      </c>
      <c r="AU22" s="13">
        <v>96.761883173129391</v>
      </c>
      <c r="AV22" s="13"/>
      <c r="AY22" s="13"/>
      <c r="AZ22" s="13">
        <f>SUM(M22:O22,R22:AC22,AE22:AH22,AK22:AL22,AN22:AP22,AR22:AU22)</f>
        <v>749.67873624689503</v>
      </c>
      <c r="BF22" s="13">
        <f>AZ22-AU22</f>
        <v>652.91685307376565</v>
      </c>
    </row>
    <row r="23" spans="1:59" s="15" customFormat="1" x14ac:dyDescent="0.3">
      <c r="A23" s="15" t="s">
        <v>70</v>
      </c>
      <c r="B23" s="15" t="s">
        <v>40</v>
      </c>
      <c r="C23" s="15" t="str">
        <f t="shared" si="14"/>
        <v>Biodiesel_oil_crops</v>
      </c>
      <c r="E23" s="15" t="s">
        <v>73</v>
      </c>
      <c r="G23" s="15" t="s">
        <v>74</v>
      </c>
      <c r="H23" s="15" t="s">
        <v>75</v>
      </c>
      <c r="I23" s="15">
        <v>2050</v>
      </c>
      <c r="J23" s="15" t="s">
        <v>47</v>
      </c>
      <c r="L23" s="16">
        <v>0</v>
      </c>
      <c r="M23" s="17">
        <f>M310*[1]bioshares!D51</f>
        <v>9.9563339953915211</v>
      </c>
      <c r="N23" s="17">
        <f>N310*[1]bioshares!E51</f>
        <v>22.774637538079475</v>
      </c>
      <c r="O23" s="17">
        <f>O310*[1]bioshares!F51</f>
        <v>10.680290819297932</v>
      </c>
      <c r="P23" s="16">
        <v>0</v>
      </c>
      <c r="Q23" s="16">
        <v>0</v>
      </c>
      <c r="R23" s="17">
        <f>R310*[1]bioshares!I51</f>
        <v>0</v>
      </c>
      <c r="S23" s="17">
        <f>S310*[1]bioshares!J51</f>
        <v>21.708378803799103</v>
      </c>
      <c r="T23" s="17">
        <f>T310*[1]bioshares!K51</f>
        <v>27.224977811258483</v>
      </c>
      <c r="U23" s="17">
        <f>U310*[1]bioshares!L51</f>
        <v>1.6887534990569375</v>
      </c>
      <c r="V23" s="17">
        <f>V310*[1]bioshares!M51</f>
        <v>0</v>
      </c>
      <c r="W23" s="17">
        <f>W310*[1]bioshares!N51</f>
        <v>108.00187612264135</v>
      </c>
      <c r="X23" s="17">
        <f>X310*[1]bioshares!O51</f>
        <v>0</v>
      </c>
      <c r="Y23" s="17">
        <f>Y310*[1]bioshares!P51</f>
        <v>149.90032721883</v>
      </c>
      <c r="Z23" s="17">
        <f>Z310*[1]bioshares!Q51</f>
        <v>15.6908400229714</v>
      </c>
      <c r="AA23" s="17">
        <f>AA310*[1]bioshares!R51</f>
        <v>0</v>
      </c>
      <c r="AB23" s="17">
        <f>AB310*[1]bioshares!S51</f>
        <v>15.11922444816952</v>
      </c>
      <c r="AC23" s="17">
        <f>AC310*[1]bioshares!T51</f>
        <v>0</v>
      </c>
      <c r="AD23" s="16">
        <v>0</v>
      </c>
      <c r="AE23" s="17">
        <f>AE310*[1]bioshares!V51</f>
        <v>83.11985782425154</v>
      </c>
      <c r="AF23" s="17">
        <f>AF310*[1]bioshares!W51</f>
        <v>26.049299537540694</v>
      </c>
      <c r="AG23" s="17">
        <f>AG310*[1]bioshares!X51</f>
        <v>0</v>
      </c>
      <c r="AH23" s="17">
        <f>AH310*[1]bioshares!Y51</f>
        <v>0</v>
      </c>
      <c r="AI23" s="16">
        <v>0</v>
      </c>
      <c r="AJ23" s="16">
        <v>0</v>
      </c>
      <c r="AK23" s="17">
        <f>AK310*[1]bioshares!AB51</f>
        <v>0</v>
      </c>
      <c r="AL23" s="17">
        <f>AL310*[1]bioshares!AC51</f>
        <v>8.9852170017952329</v>
      </c>
      <c r="AM23" s="16">
        <v>0</v>
      </c>
      <c r="AN23" s="17">
        <f>AN310*[1]bioshares!AE51</f>
        <v>83.359010950693204</v>
      </c>
      <c r="AO23" s="17">
        <f>AO310*[1]bioshares!AF51</f>
        <v>0.52726750667986089</v>
      </c>
      <c r="AP23" s="17">
        <f>AP310*[1]bioshares!AG51</f>
        <v>10.311738196240407</v>
      </c>
      <c r="AQ23" s="16">
        <v>0</v>
      </c>
      <c r="AR23" s="17">
        <f>AR310*[1]bioshares!AI51</f>
        <v>3.4021001072156012</v>
      </c>
      <c r="AS23" s="17">
        <f>AS310*[1]bioshares!AJ51</f>
        <v>0</v>
      </c>
      <c r="AT23" s="17">
        <f>AT310*[1]bioshares!AK51</f>
        <v>5.5466698291615861</v>
      </c>
      <c r="AU23" s="16">
        <v>67.979602559701917</v>
      </c>
      <c r="AV23" s="16"/>
      <c r="AY23" s="16"/>
      <c r="AZ23" s="16"/>
      <c r="BA23" s="16">
        <f>SUM(M23:O23,R23:AC23,AE23:AH23,AK23:AL23,AN23:AP23,AR23:AU23)</f>
        <v>672.0264037927758</v>
      </c>
      <c r="BG23" s="16">
        <f>BA23-AU23</f>
        <v>604.04680123307389</v>
      </c>
    </row>
    <row r="24" spans="1:59" x14ac:dyDescent="0.3">
      <c r="A24" t="s">
        <v>70</v>
      </c>
      <c r="B24" t="s">
        <v>40</v>
      </c>
      <c r="C24" t="s">
        <v>81</v>
      </c>
      <c r="F24" t="s">
        <v>77</v>
      </c>
      <c r="H24" t="s">
        <v>78</v>
      </c>
      <c r="I24">
        <v>2005</v>
      </c>
      <c r="J24" t="s">
        <v>47</v>
      </c>
      <c r="L24" s="18">
        <v>0</v>
      </c>
      <c r="M24" s="18">
        <v>20.462753558783213</v>
      </c>
      <c r="N24" s="18">
        <v>20.553174190219472</v>
      </c>
      <c r="O24" s="18">
        <v>15.845067834063615</v>
      </c>
      <c r="P24" s="18">
        <v>0</v>
      </c>
      <c r="Q24" s="18">
        <v>0</v>
      </c>
      <c r="R24" s="18">
        <v>0</v>
      </c>
      <c r="S24" s="18">
        <v>18.769236654285013</v>
      </c>
      <c r="T24" s="18">
        <v>20.459094318337069</v>
      </c>
      <c r="U24" s="18">
        <v>21.034384971038044</v>
      </c>
      <c r="V24" s="18">
        <v>0</v>
      </c>
      <c r="W24" s="18">
        <v>20.859637220170161</v>
      </c>
      <c r="X24" s="18">
        <v>0</v>
      </c>
      <c r="Y24" s="18">
        <v>20.516978765414319</v>
      </c>
      <c r="Z24" s="18">
        <v>20.551231072584006</v>
      </c>
      <c r="AA24" s="18">
        <v>0</v>
      </c>
      <c r="AB24" s="18">
        <v>19.859443641289019</v>
      </c>
      <c r="AC24" s="18">
        <v>0</v>
      </c>
      <c r="AD24" s="18">
        <v>0</v>
      </c>
      <c r="AE24" s="18">
        <v>19.849471278336466</v>
      </c>
      <c r="AF24" s="18">
        <v>18.63234495721327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20.612187471734433</v>
      </c>
      <c r="AM24" s="18">
        <v>0</v>
      </c>
      <c r="AN24" s="18">
        <v>18.703483670047422</v>
      </c>
      <c r="AO24" s="18">
        <v>20.647690196287176</v>
      </c>
      <c r="AP24" s="18">
        <v>17.980433020003112</v>
      </c>
      <c r="AQ24" s="18">
        <v>0</v>
      </c>
      <c r="AR24" s="18">
        <v>20.745510414801604</v>
      </c>
      <c r="AS24" s="18">
        <v>19.102448169829501</v>
      </c>
      <c r="AT24" s="18">
        <v>18.942189407710174</v>
      </c>
      <c r="AU24" s="18">
        <v>20.644080204642254</v>
      </c>
      <c r="AV24" s="18"/>
      <c r="AX24" s="18"/>
      <c r="AY24" s="18"/>
      <c r="AZ24" s="18"/>
      <c r="BA24" s="18"/>
    </row>
    <row r="25" spans="1:59" x14ac:dyDescent="0.3">
      <c r="A25" t="s">
        <v>70</v>
      </c>
      <c r="B25" t="s">
        <v>40</v>
      </c>
      <c r="C25" t="s">
        <v>81</v>
      </c>
      <c r="F25" t="s">
        <v>77</v>
      </c>
      <c r="H25" t="s">
        <v>78</v>
      </c>
      <c r="I25">
        <v>2010</v>
      </c>
      <c r="J25" t="s">
        <v>47</v>
      </c>
      <c r="L25" s="18">
        <v>0</v>
      </c>
      <c r="M25" s="18">
        <v>20.462753558783213</v>
      </c>
      <c r="N25" s="18">
        <v>20.553174190219472</v>
      </c>
      <c r="O25" s="18">
        <v>15.845067834063615</v>
      </c>
      <c r="P25" s="18">
        <v>0</v>
      </c>
      <c r="Q25" s="18">
        <v>0</v>
      </c>
      <c r="R25" s="18">
        <v>0</v>
      </c>
      <c r="S25" s="18">
        <v>18.769236654285013</v>
      </c>
      <c r="T25" s="18">
        <v>20.459094318337069</v>
      </c>
      <c r="U25" s="18">
        <v>21.034384971038044</v>
      </c>
      <c r="V25" s="18">
        <v>0</v>
      </c>
      <c r="W25" s="18">
        <v>20.859637220170161</v>
      </c>
      <c r="X25" s="18">
        <v>0</v>
      </c>
      <c r="Y25" s="18">
        <v>20.516978765414319</v>
      </c>
      <c r="Z25" s="18">
        <v>20.551231072584006</v>
      </c>
      <c r="AA25" s="18">
        <v>0</v>
      </c>
      <c r="AB25" s="18">
        <v>19.859443641289019</v>
      </c>
      <c r="AC25" s="18">
        <v>0</v>
      </c>
      <c r="AD25" s="18">
        <v>0</v>
      </c>
      <c r="AE25" s="18">
        <v>19.849471278336466</v>
      </c>
      <c r="AF25" s="18">
        <v>18.63234495721327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20.612187471734433</v>
      </c>
      <c r="AM25" s="18">
        <v>0</v>
      </c>
      <c r="AN25" s="18">
        <v>18.703483670047422</v>
      </c>
      <c r="AO25" s="18">
        <v>20.647690196287176</v>
      </c>
      <c r="AP25" s="18">
        <v>17.980433020003112</v>
      </c>
      <c r="AQ25" s="18">
        <v>0</v>
      </c>
      <c r="AR25" s="18">
        <v>20.745510414801604</v>
      </c>
      <c r="AS25" s="18">
        <v>19.102448169829501</v>
      </c>
      <c r="AT25" s="18">
        <v>18.942189407710174</v>
      </c>
      <c r="AU25" s="18">
        <v>20.644080204642254</v>
      </c>
      <c r="AV25" s="18"/>
      <c r="AX25" s="18"/>
      <c r="AY25" s="18"/>
      <c r="AZ25" s="18"/>
      <c r="BA25" s="18"/>
    </row>
    <row r="26" spans="1:59" x14ac:dyDescent="0.3">
      <c r="A26" t="s">
        <v>70</v>
      </c>
      <c r="B26" t="s">
        <v>40</v>
      </c>
      <c r="C26" t="s">
        <v>81</v>
      </c>
      <c r="F26" t="s">
        <v>77</v>
      </c>
      <c r="H26" t="s">
        <v>78</v>
      </c>
      <c r="I26">
        <v>2020</v>
      </c>
      <c r="J26" t="s">
        <v>47</v>
      </c>
      <c r="L26" s="18">
        <v>0</v>
      </c>
      <c r="M26" s="18">
        <v>23.384451406787765</v>
      </c>
      <c r="N26" s="18">
        <v>23.495837992582526</v>
      </c>
      <c r="O26" s="18">
        <v>13.77483441601216</v>
      </c>
      <c r="P26" s="18">
        <v>0</v>
      </c>
      <c r="Q26" s="18">
        <v>0</v>
      </c>
      <c r="R26" s="18">
        <v>0</v>
      </c>
      <c r="S26" s="18">
        <v>21.723244555076594</v>
      </c>
      <c r="T26" s="18">
        <v>23.401758120700144</v>
      </c>
      <c r="U26" s="18">
        <v>23.977048773401094</v>
      </c>
      <c r="V26" s="18">
        <v>0</v>
      </c>
      <c r="W26" s="18">
        <v>23.277908629403179</v>
      </c>
      <c r="X26" s="18">
        <v>0</v>
      </c>
      <c r="Y26" s="18">
        <v>23.309001291698213</v>
      </c>
      <c r="Z26" s="18">
        <v>23.173512174596887</v>
      </c>
      <c r="AA26" s="18">
        <v>0</v>
      </c>
      <c r="AB26" s="18">
        <v>22.286490280352382</v>
      </c>
      <c r="AC26" s="18">
        <v>0</v>
      </c>
      <c r="AD26" s="18">
        <v>0</v>
      </c>
      <c r="AE26" s="18">
        <v>23.459173383920316</v>
      </c>
      <c r="AF26" s="18">
        <v>21.62769941478577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23.551277093781589</v>
      </c>
      <c r="AM26" s="18">
        <v>0</v>
      </c>
      <c r="AN26" s="18">
        <v>21.684458101643145</v>
      </c>
      <c r="AO26" s="18">
        <v>23.628331827147793</v>
      </c>
      <c r="AP26" s="18">
        <v>13.555535272344098</v>
      </c>
      <c r="AQ26" s="18">
        <v>0</v>
      </c>
      <c r="AR26" s="18">
        <v>23.688174217164654</v>
      </c>
      <c r="AS26" s="18">
        <v>0</v>
      </c>
      <c r="AT26" s="18">
        <v>22.024119545951962</v>
      </c>
      <c r="AU26" s="18">
        <v>23.586744007005326</v>
      </c>
      <c r="AV26" s="18"/>
      <c r="AX26" s="18"/>
      <c r="AY26" s="18"/>
      <c r="AZ26" s="18"/>
      <c r="BA26" s="18"/>
    </row>
    <row r="27" spans="1:59" x14ac:dyDescent="0.3">
      <c r="A27" t="s">
        <v>70</v>
      </c>
      <c r="B27" t="s">
        <v>40</v>
      </c>
      <c r="C27" t="s">
        <v>81</v>
      </c>
      <c r="F27" t="s">
        <v>77</v>
      </c>
      <c r="H27" t="s">
        <v>78</v>
      </c>
      <c r="I27">
        <v>2030</v>
      </c>
      <c r="J27" t="s">
        <v>47</v>
      </c>
      <c r="L27" s="18">
        <v>0</v>
      </c>
      <c r="M27" s="18">
        <v>33.524576433761354</v>
      </c>
      <c r="N27" s="18">
        <v>33.711144115031509</v>
      </c>
      <c r="O27" s="18">
        <v>26.150041089753319</v>
      </c>
      <c r="P27" s="18">
        <v>0</v>
      </c>
      <c r="Q27" s="18">
        <v>0</v>
      </c>
      <c r="R27" s="18">
        <v>0</v>
      </c>
      <c r="S27" s="18">
        <v>31.354824651368091</v>
      </c>
      <c r="T27" s="18">
        <v>33.617064243149109</v>
      </c>
      <c r="U27" s="18">
        <v>34.192354895850073</v>
      </c>
      <c r="V27" s="18">
        <v>0</v>
      </c>
      <c r="W27" s="18">
        <v>33.537939194295511</v>
      </c>
      <c r="X27" s="18">
        <v>0</v>
      </c>
      <c r="Y27" s="18">
        <v>33.554016226671152</v>
      </c>
      <c r="Z27" s="18">
        <v>33.352127370388594</v>
      </c>
      <c r="AA27" s="18">
        <v>0</v>
      </c>
      <c r="AB27" s="18">
        <v>31.531774069100301</v>
      </c>
      <c r="AC27" s="18">
        <v>0</v>
      </c>
      <c r="AD27" s="18">
        <v>0</v>
      </c>
      <c r="AE27" s="18">
        <v>33.618586266300547</v>
      </c>
      <c r="AF27" s="18">
        <v>31.313934645720259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33.769050640616534</v>
      </c>
      <c r="AM27" s="18">
        <v>0</v>
      </c>
      <c r="AN27" s="18">
        <v>31.36193578307256</v>
      </c>
      <c r="AO27" s="18">
        <v>33.81525689651825</v>
      </c>
      <c r="AP27" s="18">
        <v>27.385492224161887</v>
      </c>
      <c r="AQ27" s="18">
        <v>0</v>
      </c>
      <c r="AR27" s="18">
        <v>33.90348033961363</v>
      </c>
      <c r="AS27" s="18">
        <v>0</v>
      </c>
      <c r="AT27" s="18">
        <v>31.318176077907992</v>
      </c>
      <c r="AU27" s="18">
        <v>33.802050129454294</v>
      </c>
      <c r="AV27" s="18"/>
      <c r="AX27" s="18"/>
      <c r="AY27" s="18"/>
      <c r="AZ27" s="18"/>
      <c r="BA27" s="18"/>
    </row>
    <row r="28" spans="1:59" x14ac:dyDescent="0.3">
      <c r="A28" t="s">
        <v>70</v>
      </c>
      <c r="B28" t="s">
        <v>40</v>
      </c>
      <c r="C28" t="s">
        <v>81</v>
      </c>
      <c r="F28" t="s">
        <v>77</v>
      </c>
      <c r="H28" t="s">
        <v>78</v>
      </c>
      <c r="I28">
        <v>2040</v>
      </c>
      <c r="J28" t="s">
        <v>47</v>
      </c>
      <c r="L28" s="18">
        <v>0</v>
      </c>
      <c r="M28" s="18">
        <v>33.590663278293626</v>
      </c>
      <c r="N28" s="18">
        <v>33.668456145106695</v>
      </c>
      <c r="O28" s="18">
        <v>26.314095376710583</v>
      </c>
      <c r="P28" s="18">
        <v>0</v>
      </c>
      <c r="Q28" s="18">
        <v>0</v>
      </c>
      <c r="R28" s="18">
        <v>0</v>
      </c>
      <c r="S28" s="18">
        <v>31.086182487410476</v>
      </c>
      <c r="T28" s="18">
        <v>33.574376273224296</v>
      </c>
      <c r="U28" s="18">
        <v>34.14966692592526</v>
      </c>
      <c r="V28" s="18">
        <v>0</v>
      </c>
      <c r="W28" s="18">
        <v>33.48913658679232</v>
      </c>
      <c r="X28" s="18">
        <v>0</v>
      </c>
      <c r="Y28" s="18">
        <v>33.61118659857312</v>
      </c>
      <c r="Z28" s="18">
        <v>33.197065612452924</v>
      </c>
      <c r="AA28" s="18">
        <v>0</v>
      </c>
      <c r="AB28" s="18">
        <v>31.500817572783564</v>
      </c>
      <c r="AC28" s="18">
        <v>0</v>
      </c>
      <c r="AD28" s="18">
        <v>0</v>
      </c>
      <c r="AE28" s="18">
        <v>33.644078670195981</v>
      </c>
      <c r="AF28" s="18">
        <v>30.970521648942597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33.725319510260604</v>
      </c>
      <c r="AM28" s="18">
        <v>0</v>
      </c>
      <c r="AN28" s="18">
        <v>31.02430384406783</v>
      </c>
      <c r="AO28" s="18">
        <v>33.768751373498503</v>
      </c>
      <c r="AP28" s="18">
        <v>27.466196235661311</v>
      </c>
      <c r="AQ28" s="18">
        <v>0</v>
      </c>
      <c r="AR28" s="18">
        <v>33.860792369688824</v>
      </c>
      <c r="AS28" s="18">
        <v>29.801631843298885</v>
      </c>
      <c r="AT28" s="18">
        <v>31.103926887351307</v>
      </c>
      <c r="AU28" s="18">
        <v>33.759362159529474</v>
      </c>
      <c r="AV28" s="18"/>
      <c r="AX28" s="18"/>
      <c r="AY28" s="18"/>
      <c r="AZ28" s="18"/>
      <c r="BA28" s="18"/>
    </row>
    <row r="29" spans="1:59" x14ac:dyDescent="0.3">
      <c r="A29" t="s">
        <v>70</v>
      </c>
      <c r="B29" t="s">
        <v>40</v>
      </c>
      <c r="C29" t="s">
        <v>81</v>
      </c>
      <c r="F29" t="s">
        <v>77</v>
      </c>
      <c r="H29" t="s">
        <v>78</v>
      </c>
      <c r="I29">
        <v>2050</v>
      </c>
      <c r="J29" t="s">
        <v>47</v>
      </c>
      <c r="L29" s="18">
        <v>0</v>
      </c>
      <c r="M29" s="18">
        <v>33.607335782181558</v>
      </c>
      <c r="N29" s="18">
        <v>33.625768175181882</v>
      </c>
      <c r="O29" s="18">
        <v>26.144815564279398</v>
      </c>
      <c r="P29" s="18">
        <v>0</v>
      </c>
      <c r="Q29" s="18">
        <v>0</v>
      </c>
      <c r="R29" s="18">
        <v>0</v>
      </c>
      <c r="S29" s="18">
        <v>30.763825916437046</v>
      </c>
      <c r="T29" s="18">
        <v>33.531688303299468</v>
      </c>
      <c r="U29" s="18">
        <v>34.106978956000454</v>
      </c>
      <c r="V29" s="18">
        <v>0</v>
      </c>
      <c r="W29" s="18">
        <v>33.43968257780022</v>
      </c>
      <c r="X29" s="18">
        <v>0</v>
      </c>
      <c r="Y29" s="18">
        <v>33.604162465476684</v>
      </c>
      <c r="Z29" s="18">
        <v>33.177167386099718</v>
      </c>
      <c r="AA29" s="18">
        <v>0</v>
      </c>
      <c r="AB29" s="18">
        <v>31.292520323112591</v>
      </c>
      <c r="AC29" s="18">
        <v>0</v>
      </c>
      <c r="AD29" s="18">
        <v>0</v>
      </c>
      <c r="AE29" s="18">
        <v>33.638349410261135</v>
      </c>
      <c r="AF29" s="18">
        <v>30.627108652164942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33.680600375637347</v>
      </c>
      <c r="AM29" s="18">
        <v>0</v>
      </c>
      <c r="AN29" s="18">
        <v>30.681057955767649</v>
      </c>
      <c r="AO29" s="18">
        <v>33.583198829833194</v>
      </c>
      <c r="AP29" s="18">
        <v>27.928763321482087</v>
      </c>
      <c r="AQ29" s="18">
        <v>0</v>
      </c>
      <c r="AR29" s="18">
        <v>33.818104399764017</v>
      </c>
      <c r="AS29" s="18">
        <v>0</v>
      </c>
      <c r="AT29" s="18">
        <v>30.754556164747278</v>
      </c>
      <c r="AU29" s="18">
        <v>33.716674189604653</v>
      </c>
      <c r="AV29" s="18"/>
      <c r="AX29" s="18"/>
    </row>
    <row r="30" spans="1:59" x14ac:dyDescent="0.3">
      <c r="E30" t="s">
        <v>79</v>
      </c>
    </row>
    <row r="31" spans="1:59" s="12" customFormat="1" x14ac:dyDescent="0.3">
      <c r="A31" s="12" t="s">
        <v>70</v>
      </c>
      <c r="B31" s="12" t="s">
        <v>40</v>
      </c>
      <c r="C31" s="12" t="s">
        <v>82</v>
      </c>
      <c r="E31" s="12" t="s">
        <v>73</v>
      </c>
      <c r="G31" s="12" t="s">
        <v>74</v>
      </c>
      <c r="H31" s="12" t="s">
        <v>75</v>
      </c>
      <c r="I31" s="12">
        <v>2005</v>
      </c>
      <c r="J31" s="12" t="s">
        <v>48</v>
      </c>
      <c r="L31" s="13">
        <v>0</v>
      </c>
      <c r="M31" s="13">
        <v>3.3394367412154486</v>
      </c>
      <c r="N31" s="13">
        <v>4.8592859753590885</v>
      </c>
      <c r="O31" s="13">
        <v>2.9695706520229157</v>
      </c>
      <c r="P31" s="13">
        <v>0</v>
      </c>
      <c r="Q31" s="13">
        <v>0</v>
      </c>
      <c r="R31" s="13">
        <v>0</v>
      </c>
      <c r="S31" s="13">
        <v>3.7135344065224256</v>
      </c>
      <c r="T31" s="13">
        <v>12.469522915636034</v>
      </c>
      <c r="U31" s="13">
        <v>0.44349020267619632</v>
      </c>
      <c r="V31" s="13">
        <v>1.0223422008552478E-2</v>
      </c>
      <c r="W31" s="13">
        <v>13.440987289165255</v>
      </c>
      <c r="X31" s="13">
        <v>0</v>
      </c>
      <c r="Y31" s="13">
        <v>34.164009216694005</v>
      </c>
      <c r="Z31" s="13">
        <v>9.0321378822514724</v>
      </c>
      <c r="AA31" s="13">
        <v>30.150918793453421</v>
      </c>
      <c r="AB31" s="13">
        <v>9.9642599169925816</v>
      </c>
      <c r="AC31" s="13">
        <v>4.6531844293736059E-2</v>
      </c>
      <c r="AD31" s="13">
        <v>0</v>
      </c>
      <c r="AE31" s="13">
        <v>4.4976957175784129</v>
      </c>
      <c r="AF31" s="13">
        <v>1.4906609424875858</v>
      </c>
      <c r="AG31" s="13">
        <v>0.41430963394092846</v>
      </c>
      <c r="AH31" s="13">
        <v>0.82834959704083222</v>
      </c>
      <c r="AI31" s="13">
        <v>0</v>
      </c>
      <c r="AJ31" s="13">
        <v>0</v>
      </c>
      <c r="AK31" s="13">
        <v>0</v>
      </c>
      <c r="AL31" s="13">
        <v>0.58981918002424849</v>
      </c>
      <c r="AM31" s="13">
        <v>0</v>
      </c>
      <c r="AN31" s="13">
        <v>7.8814979048346085</v>
      </c>
      <c r="AO31" s="13">
        <v>0</v>
      </c>
      <c r="AP31" s="13">
        <v>3.4996210999902102</v>
      </c>
      <c r="AQ31" s="13">
        <v>0</v>
      </c>
      <c r="AR31" s="13">
        <v>8.7534768226428454</v>
      </c>
      <c r="AS31" s="13">
        <v>0</v>
      </c>
      <c r="AT31" s="13">
        <v>5.8044894435369487</v>
      </c>
      <c r="AU31" s="13">
        <v>13.937596118883679</v>
      </c>
      <c r="AV31" s="13"/>
      <c r="AX31" s="13"/>
    </row>
    <row r="32" spans="1:59" s="12" customFormat="1" x14ac:dyDescent="0.3">
      <c r="A32" s="12" t="s">
        <v>70</v>
      </c>
      <c r="B32" s="12" t="s">
        <v>40</v>
      </c>
      <c r="C32" s="12" t="s">
        <v>82</v>
      </c>
      <c r="E32" s="12" t="s">
        <v>73</v>
      </c>
      <c r="G32" s="12" t="s">
        <v>74</v>
      </c>
      <c r="H32" s="12" t="s">
        <v>75</v>
      </c>
      <c r="I32" s="12">
        <v>2010</v>
      </c>
      <c r="J32" s="12" t="s">
        <v>48</v>
      </c>
      <c r="L32" s="13">
        <v>0</v>
      </c>
      <c r="M32" s="13">
        <v>3.3394367412154486</v>
      </c>
      <c r="N32" s="13">
        <v>4.8592859753590885</v>
      </c>
      <c r="O32" s="13">
        <v>2.9695706520229157</v>
      </c>
      <c r="P32" s="13">
        <v>0</v>
      </c>
      <c r="Q32" s="13">
        <v>0</v>
      </c>
      <c r="R32" s="13">
        <v>0</v>
      </c>
      <c r="S32" s="13">
        <v>3.7135344065224256</v>
      </c>
      <c r="T32" s="13">
        <v>12.469522915636034</v>
      </c>
      <c r="U32" s="13">
        <v>0.44349020267619632</v>
      </c>
      <c r="V32" s="13">
        <v>1.0223422008552478E-2</v>
      </c>
      <c r="W32" s="13">
        <v>13.440987289165255</v>
      </c>
      <c r="X32" s="13">
        <v>0</v>
      </c>
      <c r="Y32" s="13">
        <v>34.164009216694005</v>
      </c>
      <c r="Z32" s="13">
        <v>9.0321378822514724</v>
      </c>
      <c r="AA32" s="13">
        <v>30.150918793453421</v>
      </c>
      <c r="AB32" s="13">
        <v>9.9642599169925816</v>
      </c>
      <c r="AC32" s="13">
        <v>4.6531844293736059E-2</v>
      </c>
      <c r="AD32" s="13">
        <v>0</v>
      </c>
      <c r="AE32" s="13">
        <v>4.4976957175784129</v>
      </c>
      <c r="AF32" s="13">
        <v>1.4906609424875858</v>
      </c>
      <c r="AG32" s="13">
        <v>0.41430963394092846</v>
      </c>
      <c r="AH32" s="13">
        <v>0.82834959704083222</v>
      </c>
      <c r="AI32" s="13">
        <v>0</v>
      </c>
      <c r="AJ32" s="13">
        <v>0</v>
      </c>
      <c r="AK32" s="13">
        <v>0</v>
      </c>
      <c r="AL32" s="13">
        <v>0.58981918002424849</v>
      </c>
      <c r="AM32" s="13">
        <v>0</v>
      </c>
      <c r="AN32" s="13">
        <v>7.8814979048346085</v>
      </c>
      <c r="AO32" s="13">
        <v>0</v>
      </c>
      <c r="AP32" s="13">
        <v>3.4996210999902102</v>
      </c>
      <c r="AQ32" s="13">
        <v>0</v>
      </c>
      <c r="AR32" s="13">
        <v>8.7534768226428454</v>
      </c>
      <c r="AS32" s="13">
        <v>0</v>
      </c>
      <c r="AT32" s="13">
        <v>5.8044894435369487</v>
      </c>
      <c r="AU32" s="13">
        <v>13.937596118883679</v>
      </c>
      <c r="AV32" s="13"/>
      <c r="AW32" s="13">
        <f>SUM(M32:O32,R32:AC32,AE32:AH32,AK32:AL32,AN32:AP32,AR32:AU32)</f>
        <v>172.30142571925143</v>
      </c>
      <c r="BC32" s="13">
        <f>AW32-AU32</f>
        <v>158.36382960036775</v>
      </c>
    </row>
    <row r="33" spans="1:59" s="12" customFormat="1" x14ac:dyDescent="0.3">
      <c r="A33" s="12" t="s">
        <v>70</v>
      </c>
      <c r="B33" s="12" t="s">
        <v>40</v>
      </c>
      <c r="C33" s="12" t="s">
        <v>82</v>
      </c>
      <c r="E33" s="12" t="s">
        <v>73</v>
      </c>
      <c r="G33" s="12" t="s">
        <v>74</v>
      </c>
      <c r="H33" s="12" t="s">
        <v>75</v>
      </c>
      <c r="I33" s="12">
        <v>2020</v>
      </c>
      <c r="J33" s="12" t="s">
        <v>48</v>
      </c>
      <c r="L33" s="13">
        <v>0</v>
      </c>
      <c r="M33" s="13">
        <f t="shared" ref="M33:O33" si="15">M34</f>
        <v>0.33825024875611109</v>
      </c>
      <c r="N33" s="13">
        <f t="shared" si="15"/>
        <v>0.9427052376798124</v>
      </c>
      <c r="O33" s="13">
        <f t="shared" si="15"/>
        <v>2.0338907001769355</v>
      </c>
      <c r="P33" s="13">
        <v>0</v>
      </c>
      <c r="Q33" s="13">
        <v>0</v>
      </c>
      <c r="R33" s="13">
        <f t="shared" ref="R33:AC33" si="16">R34</f>
        <v>0</v>
      </c>
      <c r="S33" s="13">
        <f t="shared" si="16"/>
        <v>1.2129949122801749</v>
      </c>
      <c r="T33" s="13">
        <f t="shared" si="16"/>
        <v>0.69461990546145924</v>
      </c>
      <c r="U33" s="13">
        <f t="shared" si="16"/>
        <v>0.39918356419360274</v>
      </c>
      <c r="V33" s="13">
        <f t="shared" si="16"/>
        <v>0.85142725948720932</v>
      </c>
      <c r="W33" s="13">
        <f t="shared" si="16"/>
        <v>5.754787683216966</v>
      </c>
      <c r="X33" s="13">
        <f t="shared" si="16"/>
        <v>0</v>
      </c>
      <c r="Y33" s="13">
        <f t="shared" si="16"/>
        <v>7.0160328421058962</v>
      </c>
      <c r="Z33" s="13">
        <f t="shared" si="16"/>
        <v>1.6645635741416793</v>
      </c>
      <c r="AA33" s="13">
        <f t="shared" si="16"/>
        <v>7.5982959565837209</v>
      </c>
      <c r="AB33" s="13">
        <f t="shared" si="16"/>
        <v>4.0985944174532527</v>
      </c>
      <c r="AC33" s="13">
        <f t="shared" si="16"/>
        <v>4.8558128946167331E-2</v>
      </c>
      <c r="AD33" s="13">
        <v>0</v>
      </c>
      <c r="AE33" s="13">
        <f t="shared" ref="AE33:AH33" si="17">AE34</f>
        <v>3.4808217004065196</v>
      </c>
      <c r="AF33" s="13">
        <f t="shared" si="17"/>
        <v>1.3410865398381568</v>
      </c>
      <c r="AG33" s="13">
        <f t="shared" si="17"/>
        <v>6.7698693417710551E-2</v>
      </c>
      <c r="AH33" s="13">
        <f t="shared" si="17"/>
        <v>0.60321067625362457</v>
      </c>
      <c r="AI33" s="13">
        <v>0</v>
      </c>
      <c r="AJ33" s="13">
        <v>0</v>
      </c>
      <c r="AK33" s="13">
        <f t="shared" ref="AK33:AL33" si="18">AK34</f>
        <v>0</v>
      </c>
      <c r="AL33" s="13">
        <f t="shared" si="18"/>
        <v>0.14918495518934113</v>
      </c>
      <c r="AM33" s="13">
        <v>0</v>
      </c>
      <c r="AN33" s="13">
        <f t="shared" ref="AN33:AT33" si="19">AN34</f>
        <v>2.9813799839735147</v>
      </c>
      <c r="AO33" s="13">
        <f t="shared" si="19"/>
        <v>2.6742968553149782E-2</v>
      </c>
      <c r="AP33" s="13">
        <f t="shared" si="19"/>
        <v>4.5510053172592961</v>
      </c>
      <c r="AQ33" s="13">
        <f t="shared" si="19"/>
        <v>0</v>
      </c>
      <c r="AR33" s="13">
        <f t="shared" si="19"/>
        <v>0.12008290748184533</v>
      </c>
      <c r="AS33" s="13">
        <f t="shared" si="19"/>
        <v>3.6101687110381947E-2</v>
      </c>
      <c r="AT33" s="13">
        <f t="shared" si="19"/>
        <v>0.97772236977946581</v>
      </c>
      <c r="AU33" s="13">
        <v>18.084441237828557</v>
      </c>
      <c r="AV33" s="13"/>
      <c r="AX33" s="13">
        <f>SUM(M33:O33,R33:AC33,AE33:AH33,AK33:AL33,AN33:AP33,AR33:AU33)</f>
        <v>65.073383467574544</v>
      </c>
      <c r="BD33" s="13">
        <f>AX33-AU33</f>
        <v>46.988942229745987</v>
      </c>
    </row>
    <row r="34" spans="1:59" s="12" customFormat="1" x14ac:dyDescent="0.3">
      <c r="A34" s="12" t="s">
        <v>70</v>
      </c>
      <c r="B34" s="12" t="s">
        <v>40</v>
      </c>
      <c r="C34" s="12" t="s">
        <v>82</v>
      </c>
      <c r="E34" s="12" t="s">
        <v>73</v>
      </c>
      <c r="G34" s="12" t="s">
        <v>74</v>
      </c>
      <c r="H34" s="12" t="s">
        <v>75</v>
      </c>
      <c r="I34" s="12">
        <v>2030</v>
      </c>
      <c r="J34" s="12" t="s">
        <v>48</v>
      </c>
      <c r="L34" s="13">
        <v>0</v>
      </c>
      <c r="M34" s="14">
        <f>M308*[1]bioshares!D55</f>
        <v>0.33825024875611109</v>
      </c>
      <c r="N34" s="14">
        <f>N308*[1]bioshares!E55</f>
        <v>0.9427052376798124</v>
      </c>
      <c r="O34" s="14">
        <f>O308*[1]bioshares!F55</f>
        <v>2.0338907001769355</v>
      </c>
      <c r="P34" s="13">
        <v>0</v>
      </c>
      <c r="Q34" s="13">
        <v>0</v>
      </c>
      <c r="R34" s="14">
        <f>R308*[1]bioshares!I55</f>
        <v>0</v>
      </c>
      <c r="S34" s="14">
        <f>S308*[1]bioshares!J55</f>
        <v>1.2129949122801749</v>
      </c>
      <c r="T34" s="14">
        <f>T308*[1]bioshares!K55</f>
        <v>0.69461990546145924</v>
      </c>
      <c r="U34" s="14">
        <f>U308*[1]bioshares!L55</f>
        <v>0.39918356419360274</v>
      </c>
      <c r="V34" s="14">
        <f>V308*[1]bioshares!M55</f>
        <v>0.85142725948720932</v>
      </c>
      <c r="W34" s="14">
        <f>W308*[1]bioshares!N55</f>
        <v>5.754787683216966</v>
      </c>
      <c r="X34" s="14">
        <f>X308*[1]bioshares!O55</f>
        <v>0</v>
      </c>
      <c r="Y34" s="14">
        <f>Y308*[1]bioshares!P55</f>
        <v>7.0160328421058962</v>
      </c>
      <c r="Z34" s="14">
        <f>Z308*[1]bioshares!Q55</f>
        <v>1.6645635741416793</v>
      </c>
      <c r="AA34" s="14">
        <f>AA308*[1]bioshares!R55</f>
        <v>7.5982959565837209</v>
      </c>
      <c r="AB34" s="14">
        <f>AB308*[1]bioshares!S55</f>
        <v>4.0985944174532527</v>
      </c>
      <c r="AC34" s="14">
        <f>AC308*[1]bioshares!T55</f>
        <v>4.8558128946167331E-2</v>
      </c>
      <c r="AD34" s="13">
        <v>0</v>
      </c>
      <c r="AE34" s="14">
        <f>AE308*[1]bioshares!V55</f>
        <v>3.4808217004065196</v>
      </c>
      <c r="AF34" s="14">
        <f>AF308*[1]bioshares!W55</f>
        <v>1.3410865398381568</v>
      </c>
      <c r="AG34" s="14">
        <f>AG308*[1]bioshares!X55</f>
        <v>6.7698693417710551E-2</v>
      </c>
      <c r="AH34" s="14">
        <f>AH308*[1]bioshares!Y55</f>
        <v>0.60321067625362457</v>
      </c>
      <c r="AI34" s="13">
        <v>0</v>
      </c>
      <c r="AJ34" s="13">
        <v>0</v>
      </c>
      <c r="AK34" s="14">
        <f>AK308*[1]bioshares!AB55</f>
        <v>0</v>
      </c>
      <c r="AL34" s="14">
        <f>AL308*[1]bioshares!AC55</f>
        <v>0.14918495518934113</v>
      </c>
      <c r="AM34" s="13">
        <v>0</v>
      </c>
      <c r="AN34" s="14">
        <f>AN308*[1]bioshares!AE55</f>
        <v>2.9813799839735147</v>
      </c>
      <c r="AO34" s="14">
        <f>AO308*[1]bioshares!AF55</f>
        <v>2.6742968553149782E-2</v>
      </c>
      <c r="AP34" s="14">
        <f>AP308*[1]bioshares!AG55</f>
        <v>4.5510053172592961</v>
      </c>
      <c r="AQ34" s="14">
        <f>AQ308*[1]bioshares!AH55</f>
        <v>0</v>
      </c>
      <c r="AR34" s="14">
        <f>AR308*[1]bioshares!AI55</f>
        <v>0.12008290748184533</v>
      </c>
      <c r="AS34" s="14">
        <f>AS308*[1]bioshares!AJ55</f>
        <v>3.6101687110381947E-2</v>
      </c>
      <c r="AT34" s="14">
        <f>AT308*[1]bioshares!AK55</f>
        <v>0.97772236977946581</v>
      </c>
      <c r="AU34" s="13">
        <v>37.680508387994408</v>
      </c>
      <c r="AV34" s="13"/>
      <c r="AY34" s="13">
        <f>SUM(M34:O34,R34:AC34,AE34:AH34,AK34:AL34,AN34:AP34,AR34:AU34)</f>
        <v>84.669450617740395</v>
      </c>
      <c r="BE34" s="13">
        <f>AY34-AU34</f>
        <v>46.988942229745987</v>
      </c>
    </row>
    <row r="35" spans="1:59" s="12" customFormat="1" x14ac:dyDescent="0.3">
      <c r="A35" s="12" t="s">
        <v>70</v>
      </c>
      <c r="B35" s="12" t="s">
        <v>40</v>
      </c>
      <c r="C35" s="12" t="s">
        <v>82</v>
      </c>
      <c r="E35" s="12" t="s">
        <v>73</v>
      </c>
      <c r="G35" s="12" t="s">
        <v>74</v>
      </c>
      <c r="H35" s="12" t="s">
        <v>75</v>
      </c>
      <c r="I35" s="12">
        <v>2040</v>
      </c>
      <c r="J35" s="12" t="s">
        <v>48</v>
      </c>
      <c r="L35" s="13">
        <v>0</v>
      </c>
      <c r="M35" s="14">
        <f>M309*[1]bioshares!D56</f>
        <v>1.3281241801849459</v>
      </c>
      <c r="N35" s="14">
        <f>N309*[1]bioshares!E56</f>
        <v>3.8450837580340314</v>
      </c>
      <c r="O35" s="14">
        <f>O309*[1]bioshares!F56</f>
        <v>7.4303124697100422</v>
      </c>
      <c r="P35" s="13">
        <v>0</v>
      </c>
      <c r="Q35" s="13">
        <v>0</v>
      </c>
      <c r="R35" s="14">
        <f>R309*[1]bioshares!I56</f>
        <v>0</v>
      </c>
      <c r="S35" s="14">
        <f>S309*[1]bioshares!J56</f>
        <v>3.4030046256861866</v>
      </c>
      <c r="T35" s="14">
        <f>T309*[1]bioshares!K56</f>
        <v>4.2521070091664459</v>
      </c>
      <c r="U35" s="14">
        <f>U309*[1]bioshares!L56</f>
        <v>1.3785923929057928</v>
      </c>
      <c r="V35" s="14">
        <f>V309*[1]bioshares!M56</f>
        <v>6.8806391222184562</v>
      </c>
      <c r="W35" s="14">
        <f>W309*[1]bioshares!N56</f>
        <v>23.584901145195566</v>
      </c>
      <c r="X35" s="14">
        <f>X309*[1]bioshares!O56</f>
        <v>0</v>
      </c>
      <c r="Y35" s="14">
        <f>Y309*[1]bioshares!P56</f>
        <v>23.393431601040305</v>
      </c>
      <c r="Z35" s="14">
        <f>Z309*[1]bioshares!Q56</f>
        <v>5.8691805367690666</v>
      </c>
      <c r="AA35" s="14">
        <f>AA309*[1]bioshares!R56</f>
        <v>29.741201222266973</v>
      </c>
      <c r="AB35" s="14">
        <f>AB309*[1]bioshares!S56</f>
        <v>16.266426962330058</v>
      </c>
      <c r="AC35" s="14">
        <f>AC309*[1]bioshares!T56</f>
        <v>0.17337282945664809</v>
      </c>
      <c r="AD35" s="13">
        <v>0</v>
      </c>
      <c r="AE35" s="14">
        <f>AE309*[1]bioshares!V56</f>
        <v>12.345989441336931</v>
      </c>
      <c r="AF35" s="14">
        <f>AF309*[1]bioshares!W56</f>
        <v>7.1191784227736816</v>
      </c>
      <c r="AG35" s="14">
        <f>AG309*[1]bioshares!X56</f>
        <v>0.28630555591784052</v>
      </c>
      <c r="AH35" s="14">
        <f>AH309*[1]bioshares!Y56</f>
        <v>3.9568756590767582</v>
      </c>
      <c r="AI35" s="13">
        <v>0</v>
      </c>
      <c r="AJ35" s="13">
        <v>0</v>
      </c>
      <c r="AK35" s="14">
        <f>AK309*[1]bioshares!AB56</f>
        <v>0</v>
      </c>
      <c r="AL35" s="14">
        <f>AL309*[1]bioshares!AC56</f>
        <v>0.64292076335767845</v>
      </c>
      <c r="AM35" s="13">
        <v>0</v>
      </c>
      <c r="AN35" s="14">
        <f>AN309*[1]bioshares!AE56</f>
        <v>12.701044222513914</v>
      </c>
      <c r="AO35" s="14">
        <f>AO309*[1]bioshares!AF56</f>
        <v>7.7056794742863519E-2</v>
      </c>
      <c r="AP35" s="14">
        <f>AP309*[1]bioshares!AG56</f>
        <v>18.849071371459512</v>
      </c>
      <c r="AQ35" s="14">
        <f>AQ309*[1]bioshares!AH56</f>
        <v>0</v>
      </c>
      <c r="AR35" s="14">
        <f>AR309*[1]bioshares!AI56</f>
        <v>0.37301902181544905</v>
      </c>
      <c r="AS35" s="14">
        <f>AS309*[1]bioshares!AJ56</f>
        <v>0.12201673289441077</v>
      </c>
      <c r="AT35" s="14">
        <f>AT309*[1]bioshares!AK56</f>
        <v>2.9292493570573095</v>
      </c>
      <c r="AU35" s="13">
        <v>29.942134168673469</v>
      </c>
      <c r="AV35" s="13"/>
      <c r="AY35" s="13"/>
      <c r="AZ35" s="13">
        <f>SUM(M35:O35,R35:AC35,AE35:AH35,AK35:AL35,AN35:AP35,AR35:AU35)</f>
        <v>216.89123936658433</v>
      </c>
      <c r="BF35" s="13">
        <f>AZ35-AU35</f>
        <v>186.94910519791085</v>
      </c>
    </row>
    <row r="36" spans="1:59" s="15" customFormat="1" x14ac:dyDescent="0.3">
      <c r="A36" s="15" t="s">
        <v>70</v>
      </c>
      <c r="B36" s="15" t="s">
        <v>40</v>
      </c>
      <c r="C36" s="15" t="s">
        <v>82</v>
      </c>
      <c r="E36" s="15" t="s">
        <v>73</v>
      </c>
      <c r="G36" s="15" t="s">
        <v>74</v>
      </c>
      <c r="H36" s="15" t="s">
        <v>75</v>
      </c>
      <c r="I36" s="15">
        <v>2050</v>
      </c>
      <c r="J36" s="15" t="s">
        <v>48</v>
      </c>
      <c r="L36" s="16">
        <v>0</v>
      </c>
      <c r="M36" s="17">
        <f>M310*[1]bioshares!D57</f>
        <v>1.2244864418162937</v>
      </c>
      <c r="N36" s="17">
        <f>N310*[1]bioshares!E57</f>
        <v>3.5028035604412047</v>
      </c>
      <c r="O36" s="17">
        <f>O310*[1]bioshares!F57</f>
        <v>6.0685133351349503</v>
      </c>
      <c r="P36" s="16">
        <v>0</v>
      </c>
      <c r="Q36" s="16">
        <v>0</v>
      </c>
      <c r="R36" s="17">
        <f>R310*[1]bioshares!I57</f>
        <v>0</v>
      </c>
      <c r="S36" s="17">
        <f>S310*[1]bioshares!J57</f>
        <v>1.8576301786648366</v>
      </c>
      <c r="T36" s="17">
        <f>T310*[1]bioshares!K57</f>
        <v>5.1916177433382016</v>
      </c>
      <c r="U36" s="17">
        <f>U310*[1]bioshares!L57</f>
        <v>1.0771865323693688</v>
      </c>
      <c r="V36" s="17">
        <f>V310*[1]bioshares!M57</f>
        <v>8.8338623521238411</v>
      </c>
      <c r="W36" s="17">
        <f>W310*[1]bioshares!N57</f>
        <v>20.765744913046387</v>
      </c>
      <c r="X36" s="17">
        <f>X310*[1]bioshares!O57</f>
        <v>0</v>
      </c>
      <c r="Y36" s="17">
        <f>Y310*[1]bioshares!P57</f>
        <v>16.645886003317578</v>
      </c>
      <c r="Z36" s="17">
        <f>Z310*[1]bioshares!Q57</f>
        <v>4.3222735010848119</v>
      </c>
      <c r="AA36" s="17">
        <f>AA310*[1]bioshares!R57</f>
        <v>25.837006227972193</v>
      </c>
      <c r="AB36" s="17">
        <f>AB310*[1]bioshares!S57</f>
        <v>13.985376750882308</v>
      </c>
      <c r="AC36" s="17">
        <f>AC310*[1]bioshares!T57</f>
        <v>0.13583533449209406</v>
      </c>
      <c r="AD36" s="16">
        <v>0</v>
      </c>
      <c r="AE36" s="17">
        <f>AE310*[1]bioshares!V57</f>
        <v>10.156106675635181</v>
      </c>
      <c r="AF36" s="17">
        <f>AF310*[1]bioshares!W57</f>
        <v>7.7715964166706524</v>
      </c>
      <c r="AG36" s="17">
        <f>AG310*[1]bioshares!X57</f>
        <v>0.26935913570492098</v>
      </c>
      <c r="AH36" s="17">
        <f>AH310*[1]bioshares!Y57</f>
        <v>4.8050970788097738</v>
      </c>
      <c r="AI36" s="16">
        <v>0</v>
      </c>
      <c r="AJ36" s="16">
        <v>0</v>
      </c>
      <c r="AK36" s="17">
        <f>AK310*[1]bioshares!AB57</f>
        <v>0</v>
      </c>
      <c r="AL36" s="17">
        <f>AL310*[1]bioshares!AC57</f>
        <v>0.62106215026390965</v>
      </c>
      <c r="AM36" s="16">
        <v>0</v>
      </c>
      <c r="AN36" s="17">
        <f>AN310*[1]bioshares!AE57</f>
        <v>11.553673111083357</v>
      </c>
      <c r="AO36" s="17">
        <f>AO310*[1]bioshares!AF57</f>
        <v>4.0115559407480933E-2</v>
      </c>
      <c r="AP36" s="17">
        <f>AP310*[1]bioshares!AG57</f>
        <v>16.687492248174106</v>
      </c>
      <c r="AQ36" s="17">
        <f>AQ310*[1]bioshares!AH57</f>
        <v>0</v>
      </c>
      <c r="AR36" s="17">
        <f>AR310*[1]bioshares!AI57</f>
        <v>0.28581813936548217</v>
      </c>
      <c r="AS36" s="17">
        <f>AS310*[1]bioshares!AJ57</f>
        <v>8.6704709527046356E-2</v>
      </c>
      <c r="AT36" s="17">
        <f>AT310*[1]bioshares!AK57</f>
        <v>1.6919850408794104</v>
      </c>
      <c r="AU36" s="16">
        <v>22.261168788487694</v>
      </c>
      <c r="AV36" s="16"/>
      <c r="AY36" s="16"/>
      <c r="AZ36" s="16"/>
      <c r="BA36" s="16">
        <f>SUM(M36:O36,R36:AC36,AE36:AH36,AK36:AL36,AN36:AP36,AR36:AU36)</f>
        <v>185.67840192869306</v>
      </c>
      <c r="BG36" s="16">
        <f>BA36-AU36</f>
        <v>163.41723314020538</v>
      </c>
    </row>
    <row r="37" spans="1:59" x14ac:dyDescent="0.3">
      <c r="A37" t="s">
        <v>70</v>
      </c>
      <c r="B37" t="s">
        <v>40</v>
      </c>
      <c r="C37" t="s">
        <v>82</v>
      </c>
      <c r="F37" t="s">
        <v>77</v>
      </c>
      <c r="H37" t="s">
        <v>78</v>
      </c>
      <c r="I37">
        <v>2005</v>
      </c>
      <c r="J37" t="s">
        <v>48</v>
      </c>
      <c r="L37" s="18">
        <v>15.678711084742195</v>
      </c>
      <c r="M37" s="18">
        <v>12.504854631527223</v>
      </c>
      <c r="N37" s="18">
        <v>12.146387591143542</v>
      </c>
      <c r="O37" s="18">
        <v>11.431297005142612</v>
      </c>
      <c r="P37" s="18">
        <v>15.442557852547214</v>
      </c>
      <c r="Q37" s="18"/>
      <c r="R37" s="18">
        <v>33.613647513439822</v>
      </c>
      <c r="S37" s="18">
        <v>11.281820279460439</v>
      </c>
      <c r="T37" s="18">
        <v>13.568641424721324</v>
      </c>
      <c r="U37" s="18">
        <v>13.304464260613118</v>
      </c>
      <c r="V37" s="18">
        <v>11.645169816927478</v>
      </c>
      <c r="W37" s="18">
        <v>14.162825463030124</v>
      </c>
      <c r="X37" s="18">
        <v>12.533128721906653</v>
      </c>
      <c r="Y37" s="18">
        <v>13.47618937875845</v>
      </c>
      <c r="Z37" s="18">
        <v>19.353079705594293</v>
      </c>
      <c r="AA37" s="18">
        <v>13.32185044503681</v>
      </c>
      <c r="AB37" s="18">
        <v>11.720201011699798</v>
      </c>
      <c r="AC37" s="18">
        <v>10.964759235371609</v>
      </c>
      <c r="AD37" s="18"/>
      <c r="AE37" s="18">
        <v>17.21983701180006</v>
      </c>
      <c r="AF37" s="18">
        <v>10.493758047080741</v>
      </c>
      <c r="AG37" s="18">
        <v>12.146387591143542</v>
      </c>
      <c r="AH37" s="18">
        <v>11.052242784632407</v>
      </c>
      <c r="AI37" s="18"/>
      <c r="AJ37" s="18">
        <v>14.748120303713868</v>
      </c>
      <c r="AK37" s="18">
        <v>16.80173586308258</v>
      </c>
      <c r="AL37" s="18">
        <v>12.909545570489604</v>
      </c>
      <c r="AM37" s="18">
        <v>22.266461567332239</v>
      </c>
      <c r="AN37" s="18">
        <v>10.80696641682702</v>
      </c>
      <c r="AO37" s="18">
        <v>14.49182719903612</v>
      </c>
      <c r="AP37" s="18">
        <v>16.912350534495992</v>
      </c>
      <c r="AQ37" s="18">
        <v>14.155103779508719</v>
      </c>
      <c r="AR37" s="18">
        <v>13.28199310440638</v>
      </c>
      <c r="AS37" s="18">
        <v>13.258653976865816</v>
      </c>
      <c r="AT37" s="18">
        <v>11.266041007020887</v>
      </c>
      <c r="AU37" s="18">
        <v>13.357131246203926</v>
      </c>
      <c r="AV37" s="18"/>
      <c r="AX37" s="18"/>
      <c r="AY37" s="18"/>
      <c r="AZ37" s="18"/>
      <c r="BA37" s="18"/>
    </row>
    <row r="38" spans="1:59" x14ac:dyDescent="0.3">
      <c r="A38" t="s">
        <v>70</v>
      </c>
      <c r="B38" t="s">
        <v>40</v>
      </c>
      <c r="C38" t="s">
        <v>82</v>
      </c>
      <c r="F38" t="s">
        <v>77</v>
      </c>
      <c r="H38" t="s">
        <v>78</v>
      </c>
      <c r="I38">
        <v>2010</v>
      </c>
      <c r="J38" t="s">
        <v>48</v>
      </c>
      <c r="L38" s="18">
        <v>15.678711084742195</v>
      </c>
      <c r="M38" s="18">
        <v>12.504854631527223</v>
      </c>
      <c r="N38" s="18">
        <v>12.146387591143542</v>
      </c>
      <c r="O38" s="18">
        <v>11.431297005142612</v>
      </c>
      <c r="P38" s="18">
        <v>15.442557852547214</v>
      </c>
      <c r="Q38" s="18"/>
      <c r="R38" s="18">
        <v>33.613647513439822</v>
      </c>
      <c r="S38" s="18">
        <v>11.281820279460439</v>
      </c>
      <c r="T38" s="18">
        <v>13.568641424721324</v>
      </c>
      <c r="U38" s="18">
        <v>13.304464260613118</v>
      </c>
      <c r="V38" s="18">
        <v>11.645169816927478</v>
      </c>
      <c r="W38" s="18">
        <v>14.162825463030124</v>
      </c>
      <c r="X38" s="18">
        <v>12.533128721906653</v>
      </c>
      <c r="Y38" s="18">
        <v>13.47618937875845</v>
      </c>
      <c r="Z38" s="18">
        <v>19.353079705594293</v>
      </c>
      <c r="AA38" s="18">
        <v>13.32185044503681</v>
      </c>
      <c r="AB38" s="18">
        <v>11.720201011699798</v>
      </c>
      <c r="AC38" s="18">
        <v>10.964759235371609</v>
      </c>
      <c r="AD38" s="18"/>
      <c r="AE38" s="18">
        <v>17.21983701180006</v>
      </c>
      <c r="AF38" s="18">
        <v>10.493758047080741</v>
      </c>
      <c r="AG38" s="20">
        <v>12.146387591143542</v>
      </c>
      <c r="AH38" s="18">
        <v>11.052242784632407</v>
      </c>
      <c r="AI38" s="18"/>
      <c r="AJ38" s="18">
        <v>14.748120303713868</v>
      </c>
      <c r="AK38" s="18">
        <v>16.80173586308258</v>
      </c>
      <c r="AL38" s="18">
        <v>12.909545570489604</v>
      </c>
      <c r="AM38" s="18">
        <v>22.266461567332239</v>
      </c>
      <c r="AN38" s="18">
        <v>10.80696641682702</v>
      </c>
      <c r="AO38" s="18">
        <v>14.49182719903612</v>
      </c>
      <c r="AP38" s="18">
        <v>16.912350534495992</v>
      </c>
      <c r="AQ38" s="18">
        <v>14.155103779508719</v>
      </c>
      <c r="AR38" s="18">
        <v>13.28199310440638</v>
      </c>
      <c r="AS38" s="18">
        <v>13.258653976865816</v>
      </c>
      <c r="AT38" s="18">
        <v>11.266041007020887</v>
      </c>
      <c r="AU38" s="18">
        <v>13.357131246203926</v>
      </c>
      <c r="AV38" s="18"/>
      <c r="AX38" s="18"/>
      <c r="AY38" s="18"/>
      <c r="AZ38" s="18"/>
      <c r="BA38" s="18"/>
    </row>
    <row r="39" spans="1:59" x14ac:dyDescent="0.3">
      <c r="A39" t="s">
        <v>70</v>
      </c>
      <c r="B39" t="s">
        <v>40</v>
      </c>
      <c r="C39" t="s">
        <v>82</v>
      </c>
      <c r="F39" t="s">
        <v>77</v>
      </c>
      <c r="H39" t="s">
        <v>78</v>
      </c>
      <c r="I39">
        <v>2020</v>
      </c>
      <c r="J39" t="s">
        <v>48</v>
      </c>
      <c r="L39" s="18">
        <v>15.161186278663141</v>
      </c>
      <c r="M39" s="18">
        <v>13.56073687643816</v>
      </c>
      <c r="N39" s="18">
        <v>12.804879004556177</v>
      </c>
      <c r="O39" s="18">
        <v>12.628009387834634</v>
      </c>
      <c r="P39" s="18">
        <v>14.934985758203711</v>
      </c>
      <c r="Q39" s="18"/>
      <c r="R39" s="18">
        <v>41.548327218531604</v>
      </c>
      <c r="S39" s="18">
        <v>12.553541671476077</v>
      </c>
      <c r="T39" s="18">
        <v>14.844192873083035</v>
      </c>
      <c r="U39" s="18">
        <v>14.699490213753133</v>
      </c>
      <c r="V39" s="18">
        <v>12.051497005633555</v>
      </c>
      <c r="W39" s="18">
        <v>15.320955410262263</v>
      </c>
      <c r="X39" s="18">
        <v>13.689422225042748</v>
      </c>
      <c r="Y39" s="18">
        <v>14.743839422076375</v>
      </c>
      <c r="Z39" s="18">
        <v>20.038380076343842</v>
      </c>
      <c r="AA39" s="18">
        <v>14.662880157132316</v>
      </c>
      <c r="AB39" s="18">
        <v>12.846581143189786</v>
      </c>
      <c r="AC39" s="18">
        <v>12.287634269792317</v>
      </c>
      <c r="AD39" s="18"/>
      <c r="AE39" s="18">
        <v>18.271550394617755</v>
      </c>
      <c r="AF39" s="18">
        <v>11.833139819054507</v>
      </c>
      <c r="AG39" s="20">
        <v>12.804879004556177</v>
      </c>
      <c r="AH39" s="18">
        <v>12.31165212549964</v>
      </c>
      <c r="AI39" s="18"/>
      <c r="AJ39" s="18">
        <v>14.176839088579914</v>
      </c>
      <c r="AK39" s="18">
        <v>15.773568992995967</v>
      </c>
      <c r="AL39" s="18">
        <v>14.080741356740122</v>
      </c>
      <c r="AM39" s="18">
        <v>21.178182043872628</v>
      </c>
      <c r="AN39" s="18">
        <v>11.938580291846977</v>
      </c>
      <c r="AO39" s="18">
        <v>15.051480355497393</v>
      </c>
      <c r="AP39" s="18">
        <v>18.193502758552636</v>
      </c>
      <c r="AQ39" s="18">
        <v>13.641247954277647</v>
      </c>
      <c r="AR39" s="18">
        <v>13.977327507237643</v>
      </c>
      <c r="AS39" s="18">
        <v>12.013896766289843</v>
      </c>
      <c r="AT39" s="18">
        <v>12.476418442528637</v>
      </c>
      <c r="AU39" s="18">
        <v>14.798379443647773</v>
      </c>
      <c r="AV39" s="18"/>
      <c r="AX39" s="18"/>
      <c r="AY39" s="18"/>
      <c r="AZ39" s="18"/>
      <c r="BA39" s="18"/>
    </row>
    <row r="40" spans="1:59" x14ac:dyDescent="0.3">
      <c r="A40" t="s">
        <v>70</v>
      </c>
      <c r="B40" t="s">
        <v>40</v>
      </c>
      <c r="C40" t="s">
        <v>82</v>
      </c>
      <c r="F40" t="s">
        <v>77</v>
      </c>
      <c r="H40" t="s">
        <v>78</v>
      </c>
      <c r="I40">
        <v>2030</v>
      </c>
      <c r="J40" t="s">
        <v>48</v>
      </c>
      <c r="L40" s="18">
        <v>16.897685844627421</v>
      </c>
      <c r="M40" s="18">
        <v>18.316323098679501</v>
      </c>
      <c r="N40" s="18">
        <v>17.550508186216504</v>
      </c>
      <c r="O40" s="18">
        <v>17.272364145695981</v>
      </c>
      <c r="P40" s="18">
        <v>16.638090056142314</v>
      </c>
      <c r="Q40" s="18"/>
      <c r="R40" s="18">
        <v>65.237098629295062</v>
      </c>
      <c r="S40" s="18">
        <v>16.923709258743273</v>
      </c>
      <c r="T40" s="18">
        <v>19.667552828111141</v>
      </c>
      <c r="U40" s="18">
        <v>19.930218132397872</v>
      </c>
      <c r="V40" s="18">
        <v>16.312233987037338</v>
      </c>
      <c r="W40" s="18">
        <v>21.297161205554023</v>
      </c>
      <c r="X40" s="18">
        <v>18.360748030312493</v>
      </c>
      <c r="Y40" s="18">
        <v>20.169026549071869</v>
      </c>
      <c r="Z40" s="18">
        <v>28.817440044066554</v>
      </c>
      <c r="AA40" s="18">
        <v>13.373514778569964</v>
      </c>
      <c r="AB40" s="18">
        <v>17.442310905755583</v>
      </c>
      <c r="AC40" s="18">
        <v>16.703974404605173</v>
      </c>
      <c r="AD40" s="18"/>
      <c r="AE40" s="18">
        <v>25.174999776736435</v>
      </c>
      <c r="AF40" s="18">
        <v>16.18447774489707</v>
      </c>
      <c r="AG40" s="20">
        <v>17.550508186216504</v>
      </c>
      <c r="AH40" s="18">
        <v>16.826892547834493</v>
      </c>
      <c r="AI40" s="18"/>
      <c r="AJ40" s="18">
        <v>16.126871286894808</v>
      </c>
      <c r="AK40" s="18">
        <v>21.473176602580079</v>
      </c>
      <c r="AL40" s="18">
        <v>18.867916835302875</v>
      </c>
      <c r="AM40" s="18">
        <v>22.671699779870075</v>
      </c>
      <c r="AN40" s="18">
        <v>16.168020385403622</v>
      </c>
      <c r="AO40" s="18">
        <v>20.629202037525488</v>
      </c>
      <c r="AP40" s="18">
        <v>25.605734795866063</v>
      </c>
      <c r="AQ40" s="18">
        <v>14.616678643121695</v>
      </c>
      <c r="AR40" s="18">
        <v>18.389000997673772</v>
      </c>
      <c r="AS40" s="18">
        <v>16.002543303941628</v>
      </c>
      <c r="AT40" s="18">
        <v>16.886650216819536</v>
      </c>
      <c r="AU40" s="18">
        <v>20.294269855309544</v>
      </c>
      <c r="AV40" s="18"/>
      <c r="AX40" s="18"/>
      <c r="AY40" s="18"/>
      <c r="AZ40" s="18"/>
      <c r="BA40" s="18"/>
    </row>
    <row r="41" spans="1:59" x14ac:dyDescent="0.3">
      <c r="A41" t="s">
        <v>70</v>
      </c>
      <c r="B41" t="s">
        <v>40</v>
      </c>
      <c r="C41" t="s">
        <v>82</v>
      </c>
      <c r="F41" t="s">
        <v>77</v>
      </c>
      <c r="H41" t="s">
        <v>78</v>
      </c>
      <c r="I41">
        <v>2040</v>
      </c>
      <c r="J41" t="s">
        <v>48</v>
      </c>
      <c r="L41" s="18">
        <v>19.916062325556531</v>
      </c>
      <c r="M41" s="18">
        <v>18.681666117814736</v>
      </c>
      <c r="N41" s="18">
        <v>17.964256540071766</v>
      </c>
      <c r="O41" s="18">
        <v>17.600602319211053</v>
      </c>
      <c r="P41" s="18">
        <v>19.598419018051704</v>
      </c>
      <c r="Q41" s="18"/>
      <c r="R41" s="18">
        <v>68.550911833399056</v>
      </c>
      <c r="S41" s="18">
        <v>17.252649783400781</v>
      </c>
      <c r="T41" s="18">
        <v>19.73648414053017</v>
      </c>
      <c r="U41" s="18">
        <v>20.386148656218243</v>
      </c>
      <c r="V41" s="18">
        <v>16.600028823501642</v>
      </c>
      <c r="W41" s="18">
        <v>22.104933499989642</v>
      </c>
      <c r="X41" s="18">
        <v>18.787291958071147</v>
      </c>
      <c r="Y41" s="18">
        <v>20.482301314818876</v>
      </c>
      <c r="Z41" s="18">
        <v>29.832963197579929</v>
      </c>
      <c r="AA41" s="18">
        <v>13.686655571013748</v>
      </c>
      <c r="AB41" s="18">
        <v>17.871698864558805</v>
      </c>
      <c r="AC41" s="18">
        <v>17.338437100265384</v>
      </c>
      <c r="AD41" s="18"/>
      <c r="AE41" s="18">
        <v>26.275921544944559</v>
      </c>
      <c r="AF41" s="18">
        <v>16.405236850079749</v>
      </c>
      <c r="AG41" s="20">
        <v>17.964256540071766</v>
      </c>
      <c r="AH41" s="18">
        <v>17.005709059064916</v>
      </c>
      <c r="AI41" s="18"/>
      <c r="AJ41" s="18">
        <v>18.961336059062639</v>
      </c>
      <c r="AK41" s="18">
        <v>21.628063427866945</v>
      </c>
      <c r="AL41" s="18">
        <v>19.109504036524427</v>
      </c>
      <c r="AM41" s="18">
        <v>25.847231791750424</v>
      </c>
      <c r="AN41" s="18">
        <v>16.231051634983981</v>
      </c>
      <c r="AO41" s="18">
        <v>21.282839775021536</v>
      </c>
      <c r="AP41" s="18">
        <v>26.394820813505461</v>
      </c>
      <c r="AQ41" s="18">
        <v>17.125005212662892</v>
      </c>
      <c r="AR41" s="18">
        <v>19.034650852983045</v>
      </c>
      <c r="AS41" s="18">
        <v>16.423213139361188</v>
      </c>
      <c r="AT41" s="18">
        <v>17.196926007453008</v>
      </c>
      <c r="AU41" s="18">
        <v>20.803207022275821</v>
      </c>
      <c r="AV41" s="18"/>
      <c r="AX41" s="18"/>
      <c r="AY41" s="18"/>
      <c r="AZ41" s="18"/>
      <c r="BA41" s="18"/>
    </row>
    <row r="42" spans="1:59" x14ac:dyDescent="0.3">
      <c r="A42" t="s">
        <v>70</v>
      </c>
      <c r="B42" t="s">
        <v>40</v>
      </c>
      <c r="C42" t="s">
        <v>82</v>
      </c>
      <c r="F42" t="s">
        <v>77</v>
      </c>
      <c r="H42" t="s">
        <v>78</v>
      </c>
      <c r="I42">
        <v>2050</v>
      </c>
      <c r="J42" t="s">
        <v>48</v>
      </c>
      <c r="L42" s="18">
        <v>22.934438806485641</v>
      </c>
      <c r="M42" s="18">
        <v>18.996743914268613</v>
      </c>
      <c r="N42" s="18">
        <v>18.375806304242154</v>
      </c>
      <c r="O42" s="18">
        <v>17.91277814890676</v>
      </c>
      <c r="P42" s="18">
        <v>22.558747979961101</v>
      </c>
      <c r="Q42" s="18"/>
      <c r="R42" s="18">
        <v>71.864725037503064</v>
      </c>
      <c r="S42" s="18">
        <v>17.58412382953793</v>
      </c>
      <c r="T42" s="18">
        <v>19.926372910983439</v>
      </c>
      <c r="U42" s="18">
        <v>20.910054269981394</v>
      </c>
      <c r="V42" s="18">
        <v>16.86466871069959</v>
      </c>
      <c r="W42" s="18">
        <v>22.813226491311397</v>
      </c>
      <c r="X42" s="18">
        <v>19.187513737219543</v>
      </c>
      <c r="Y42" s="18">
        <v>20.807165432735321</v>
      </c>
      <c r="Z42" s="18">
        <v>31.005623059349233</v>
      </c>
      <c r="AA42" s="18">
        <v>13.999443093983151</v>
      </c>
      <c r="AB42" s="18">
        <v>18.300398595496752</v>
      </c>
      <c r="AC42" s="18">
        <v>17.99017557530194</v>
      </c>
      <c r="AD42" s="18"/>
      <c r="AE42" s="18">
        <v>27.57650023231739</v>
      </c>
      <c r="AF42" s="18">
        <v>16.657964014759052</v>
      </c>
      <c r="AG42" s="20">
        <v>18.375806304242154</v>
      </c>
      <c r="AH42" s="18">
        <v>17.160313543636544</v>
      </c>
      <c r="AI42" s="18"/>
      <c r="AJ42" s="18">
        <v>21.795800831230469</v>
      </c>
      <c r="AK42" s="18">
        <v>21.782950253153814</v>
      </c>
      <c r="AL42" s="18">
        <v>19.388689127168814</v>
      </c>
      <c r="AM42" s="18">
        <v>29.022763803630763</v>
      </c>
      <c r="AN42" s="18">
        <v>16.273095698541475</v>
      </c>
      <c r="AO42" s="18">
        <v>21.943734127253663</v>
      </c>
      <c r="AP42" s="18">
        <v>27.141874233242369</v>
      </c>
      <c r="AQ42" s="18">
        <v>19.633331782204092</v>
      </c>
      <c r="AR42" s="18">
        <v>19.67158663175994</v>
      </c>
      <c r="AS42" s="18">
        <v>16.854752728896347</v>
      </c>
      <c r="AT42" s="18">
        <v>17.502106568509326</v>
      </c>
      <c r="AU42" s="18">
        <v>21.312520759284176</v>
      </c>
      <c r="AV42" s="18"/>
      <c r="AX42" s="18"/>
      <c r="AY42" s="18"/>
      <c r="AZ42" s="18"/>
      <c r="BA42" s="18"/>
    </row>
    <row r="43" spans="1:59" x14ac:dyDescent="0.3">
      <c r="E43" t="s">
        <v>79</v>
      </c>
      <c r="AX43" s="18"/>
    </row>
    <row r="44" spans="1:59" s="12" customFormat="1" x14ac:dyDescent="0.3">
      <c r="A44" s="12" t="s">
        <v>70</v>
      </c>
      <c r="B44" s="12" t="s">
        <v>40</v>
      </c>
      <c r="C44" s="12" t="s">
        <v>83</v>
      </c>
      <c r="E44" s="12" t="s">
        <v>73</v>
      </c>
      <c r="G44" s="12" t="s">
        <v>74</v>
      </c>
      <c r="H44" s="12" t="s">
        <v>75</v>
      </c>
      <c r="I44" s="12">
        <v>2005</v>
      </c>
      <c r="J44" s="12" t="s">
        <v>49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/>
      <c r="AX44" s="13"/>
    </row>
    <row r="45" spans="1:59" s="12" customFormat="1" x14ac:dyDescent="0.3">
      <c r="A45" s="12" t="s">
        <v>70</v>
      </c>
      <c r="B45" s="12" t="s">
        <v>40</v>
      </c>
      <c r="C45" s="12" t="s">
        <v>83</v>
      </c>
      <c r="E45" s="12" t="s">
        <v>73</v>
      </c>
      <c r="G45" s="12" t="s">
        <v>74</v>
      </c>
      <c r="H45" s="12" t="s">
        <v>75</v>
      </c>
      <c r="I45" s="12">
        <v>2010</v>
      </c>
      <c r="J45" s="12" t="s">
        <v>49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/>
      <c r="AW45" s="13">
        <f>SUM(M45:O45,R45:AC45,AE45:AH45,AK45:AL45,AN45:AP45,AR45:AU45)</f>
        <v>0</v>
      </c>
      <c r="BC45" s="13">
        <f>AW45-AU45</f>
        <v>0</v>
      </c>
    </row>
    <row r="46" spans="1:59" s="12" customFormat="1" x14ac:dyDescent="0.3">
      <c r="A46" s="12" t="s">
        <v>70</v>
      </c>
      <c r="B46" s="12" t="s">
        <v>40</v>
      </c>
      <c r="C46" s="12" t="s">
        <v>83</v>
      </c>
      <c r="E46" s="12" t="s">
        <v>73</v>
      </c>
      <c r="G46" s="12" t="s">
        <v>74</v>
      </c>
      <c r="H46" s="12" t="s">
        <v>75</v>
      </c>
      <c r="I46" s="12">
        <v>2020</v>
      </c>
      <c r="J46" s="12" t="s">
        <v>49</v>
      </c>
      <c r="L46" s="13">
        <v>24.711762125793769</v>
      </c>
      <c r="M46" s="13">
        <f t="shared" ref="M46:O46" si="20">M47</f>
        <v>2.8568021490428612</v>
      </c>
      <c r="N46" s="13">
        <f t="shared" si="20"/>
        <v>3.8926827719821291</v>
      </c>
      <c r="O46" s="13">
        <f t="shared" si="20"/>
        <v>8.8202777034523354</v>
      </c>
      <c r="P46" s="13">
        <v>60.649739596988333</v>
      </c>
      <c r="Q46" s="13">
        <v>0</v>
      </c>
      <c r="R46" s="13">
        <f t="shared" ref="R46:AC46" si="21">R47</f>
        <v>0.12560795464727051</v>
      </c>
      <c r="S46" s="13">
        <f t="shared" si="21"/>
        <v>4.7994773945395597</v>
      </c>
      <c r="T46" s="13">
        <f t="shared" si="21"/>
        <v>27.904702920615598</v>
      </c>
      <c r="U46" s="13">
        <f t="shared" si="21"/>
        <v>5.6027187861191574E-4</v>
      </c>
      <c r="V46" s="13">
        <f t="shared" si="21"/>
        <v>1.0567567683572732</v>
      </c>
      <c r="W46" s="13">
        <f t="shared" si="21"/>
        <v>45.315237144659719</v>
      </c>
      <c r="X46" s="13">
        <f t="shared" si="21"/>
        <v>0</v>
      </c>
      <c r="Y46" s="13">
        <f t="shared" si="21"/>
        <v>45.282415727028486</v>
      </c>
      <c r="Z46" s="13">
        <f t="shared" si="21"/>
        <v>2.5609783585416928</v>
      </c>
      <c r="AA46" s="13">
        <f t="shared" si="21"/>
        <v>0</v>
      </c>
      <c r="AB46" s="13">
        <f t="shared" si="21"/>
        <v>16.928672712125966</v>
      </c>
      <c r="AC46" s="13">
        <f t="shared" si="21"/>
        <v>2.1551852552626616</v>
      </c>
      <c r="AD46" s="13">
        <v>0</v>
      </c>
      <c r="AE46" s="13">
        <f t="shared" ref="AE46:AH46" si="22">AE47</f>
        <v>27.375504649506855</v>
      </c>
      <c r="AF46" s="13">
        <f t="shared" si="22"/>
        <v>6.2937097595356306</v>
      </c>
      <c r="AG46" s="13">
        <f t="shared" si="22"/>
        <v>0</v>
      </c>
      <c r="AH46" s="13">
        <f t="shared" si="22"/>
        <v>1.4100976175508151</v>
      </c>
      <c r="AI46" s="13">
        <v>2.2984647632901938</v>
      </c>
      <c r="AJ46" s="13">
        <v>14.921656140690381</v>
      </c>
      <c r="AK46" s="13">
        <f t="shared" ref="AK46:AL46" si="23">AK47</f>
        <v>0</v>
      </c>
      <c r="AL46" s="13">
        <f t="shared" si="23"/>
        <v>4.1296025684220776</v>
      </c>
      <c r="AM46" s="13">
        <v>3.8390528620409343</v>
      </c>
      <c r="AN46" s="13">
        <f t="shared" ref="AN46:AT46" si="24">AN47</f>
        <v>35.772852569589624</v>
      </c>
      <c r="AO46" s="13">
        <f t="shared" si="24"/>
        <v>3.669344455888933</v>
      </c>
      <c r="AP46" s="13">
        <f t="shared" si="24"/>
        <v>52.57713994218927</v>
      </c>
      <c r="AQ46" s="13">
        <f t="shared" si="24"/>
        <v>0</v>
      </c>
      <c r="AR46" s="13">
        <f t="shared" si="24"/>
        <v>2.3841326461682097</v>
      </c>
      <c r="AS46" s="13">
        <f t="shared" si="24"/>
        <v>0.50787121891597176</v>
      </c>
      <c r="AT46" s="13">
        <f t="shared" si="24"/>
        <v>2.4814216784605292</v>
      </c>
      <c r="AU46" s="13">
        <v>28.044398213387709</v>
      </c>
      <c r="AV46" s="13"/>
      <c r="AX46" s="13">
        <f>SUM(M46:O46,R46:AC46,AE46:AH46,AK46:AL46,AN46:AP46,AR46:AU46)</f>
        <v>326.34543245174979</v>
      </c>
      <c r="BD46" s="13">
        <f>AX46-AU46</f>
        <v>298.30103423836209</v>
      </c>
    </row>
    <row r="47" spans="1:59" s="12" customFormat="1" x14ac:dyDescent="0.3">
      <c r="A47" s="12" t="s">
        <v>70</v>
      </c>
      <c r="B47" s="12" t="s">
        <v>40</v>
      </c>
      <c r="C47" s="12" t="s">
        <v>83</v>
      </c>
      <c r="E47" s="12" t="s">
        <v>73</v>
      </c>
      <c r="G47" s="12" t="s">
        <v>74</v>
      </c>
      <c r="H47" s="12" t="s">
        <v>75</v>
      </c>
      <c r="I47" s="12">
        <v>2030</v>
      </c>
      <c r="J47" s="12" t="s">
        <v>49</v>
      </c>
      <c r="L47" s="13">
        <v>25.896293931612988</v>
      </c>
      <c r="M47" s="14">
        <f>M308*[1]bioshares!D61</f>
        <v>2.8568021490428612</v>
      </c>
      <c r="N47" s="14">
        <f>N308*[1]bioshares!E61</f>
        <v>3.8926827719821291</v>
      </c>
      <c r="O47" s="14">
        <f>O308*[1]bioshares!F61</f>
        <v>8.8202777034523354</v>
      </c>
      <c r="P47" s="13">
        <v>62.614201695353081</v>
      </c>
      <c r="Q47" s="13">
        <v>0</v>
      </c>
      <c r="R47" s="14">
        <f>R308*[1]bioshares!I61</f>
        <v>0.12560795464727051</v>
      </c>
      <c r="S47" s="14">
        <f>S308*[1]bioshares!J61</f>
        <v>4.7994773945395597</v>
      </c>
      <c r="T47" s="14">
        <f>T308*[1]bioshares!K61</f>
        <v>27.904702920615598</v>
      </c>
      <c r="U47" s="14">
        <f>U308*[1]bioshares!L61</f>
        <v>5.6027187861191574E-4</v>
      </c>
      <c r="V47" s="14">
        <f>V308*[1]bioshares!M61</f>
        <v>1.0567567683572732</v>
      </c>
      <c r="W47" s="14">
        <f>W308*[1]bioshares!N61</f>
        <v>45.315237144659719</v>
      </c>
      <c r="X47" s="14">
        <f>X308*[1]bioshares!O61</f>
        <v>0</v>
      </c>
      <c r="Y47" s="14">
        <f>Y308*[1]bioshares!P61</f>
        <v>45.282415727028486</v>
      </c>
      <c r="Z47" s="14">
        <f>Z308*[1]bioshares!Q61</f>
        <v>2.5609783585416928</v>
      </c>
      <c r="AA47" s="14">
        <f>AA308*[1]bioshares!R61</f>
        <v>0</v>
      </c>
      <c r="AB47" s="14">
        <f>AB308*[1]bioshares!S61</f>
        <v>16.928672712125966</v>
      </c>
      <c r="AC47" s="14">
        <f>AC308*[1]bioshares!T61</f>
        <v>2.1551852552626616</v>
      </c>
      <c r="AD47" s="13">
        <v>0</v>
      </c>
      <c r="AE47" s="14">
        <f>AE308*[1]bioshares!V61</f>
        <v>27.375504649506855</v>
      </c>
      <c r="AF47" s="14">
        <f>AF308*[1]bioshares!W61</f>
        <v>6.2937097595356306</v>
      </c>
      <c r="AG47" s="14">
        <f>AG308*[1]bioshares!X61</f>
        <v>0</v>
      </c>
      <c r="AH47" s="14">
        <f>AH308*[1]bioshares!Y61</f>
        <v>1.4100976175508151</v>
      </c>
      <c r="AI47" s="13">
        <v>2.3529767333033496</v>
      </c>
      <c r="AJ47" s="13">
        <v>15.605471941933331</v>
      </c>
      <c r="AK47" s="14">
        <f>AK308*[1]bioshares!AB61</f>
        <v>0</v>
      </c>
      <c r="AL47" s="14">
        <f>AL308*[1]bioshares!AC61</f>
        <v>4.1296025684220776</v>
      </c>
      <c r="AM47" s="13">
        <v>4.0060885561046602</v>
      </c>
      <c r="AN47" s="14">
        <f>AN308*[1]bioshares!AE61</f>
        <v>35.772852569589624</v>
      </c>
      <c r="AO47" s="14">
        <f>AO308*[1]bioshares!AF61</f>
        <v>3.669344455888933</v>
      </c>
      <c r="AP47" s="14">
        <f>AP308*[1]bioshares!AG61</f>
        <v>52.57713994218927</v>
      </c>
      <c r="AQ47" s="14">
        <f>AQ308*[1]bioshares!AH61</f>
        <v>0</v>
      </c>
      <c r="AR47" s="14">
        <f>AR308*[1]bioshares!AI61</f>
        <v>2.3841326461682097</v>
      </c>
      <c r="AS47" s="14">
        <f>AS308*[1]bioshares!AJ61</f>
        <v>0.50787121891597176</v>
      </c>
      <c r="AT47" s="14">
        <f>AT308*[1]bioshares!AK61</f>
        <v>2.4814216784605292</v>
      </c>
      <c r="AU47" s="13">
        <v>36.027302261572721</v>
      </c>
      <c r="AV47" s="13"/>
      <c r="AY47" s="13">
        <f>SUM(M47:O47,R47:AC47,AE47:AH47,AK47:AL47,AN47:AP47,AR47:AU47)</f>
        <v>334.32833649993484</v>
      </c>
      <c r="BE47" s="13">
        <f>AY47-AU47</f>
        <v>298.30103423836209</v>
      </c>
    </row>
    <row r="48" spans="1:59" s="12" customFormat="1" x14ac:dyDescent="0.3">
      <c r="A48" s="12" t="s">
        <v>70</v>
      </c>
      <c r="B48" s="12" t="s">
        <v>40</v>
      </c>
      <c r="C48" s="12" t="s">
        <v>83</v>
      </c>
      <c r="E48" s="12" t="s">
        <v>73</v>
      </c>
      <c r="G48" s="12" t="s">
        <v>74</v>
      </c>
      <c r="H48" s="12" t="s">
        <v>75</v>
      </c>
      <c r="I48" s="12">
        <v>2040</v>
      </c>
      <c r="J48" s="12" t="s">
        <v>49</v>
      </c>
      <c r="L48" s="13">
        <v>27.251041881923111</v>
      </c>
      <c r="M48" s="14">
        <f>M309*[1]bioshares!D62</f>
        <v>9.3683678793077991</v>
      </c>
      <c r="N48" s="14">
        <f>N309*[1]bioshares!E62</f>
        <v>8.9025610669959452</v>
      </c>
      <c r="O48" s="14">
        <f>O309*[1]bioshares!F62</f>
        <v>34.533230718777254</v>
      </c>
      <c r="P48" s="13">
        <v>63.194590918354123</v>
      </c>
      <c r="Q48" s="13">
        <v>0</v>
      </c>
      <c r="R48" s="14">
        <f>R309*[1]bioshares!I62</f>
        <v>0.45451730650680922</v>
      </c>
      <c r="S48" s="14">
        <f>S309*[1]bioshares!J62</f>
        <v>19.475907242387816</v>
      </c>
      <c r="T48" s="14">
        <f>T309*[1]bioshares!K62</f>
        <v>111.25448423233216</v>
      </c>
      <c r="U48" s="14">
        <f>U309*[1]bioshares!L62</f>
        <v>1.129256943250356E-3</v>
      </c>
      <c r="V48" s="14">
        <f>V309*[1]bioshares!M62</f>
        <v>2.8018293732315791</v>
      </c>
      <c r="W48" s="14">
        <f>W309*[1]bioshares!N62</f>
        <v>184.27412183142303</v>
      </c>
      <c r="X48" s="14">
        <f>X309*[1]bioshares!O62</f>
        <v>0</v>
      </c>
      <c r="Y48" s="14">
        <f>Y309*[1]bioshares!P62</f>
        <v>169.92896669452176</v>
      </c>
      <c r="Z48" s="14">
        <f>Z309*[1]bioshares!Q62</f>
        <v>10.439171240902782</v>
      </c>
      <c r="AA48" s="14">
        <f>AA309*[1]bioshares!R62</f>
        <v>0</v>
      </c>
      <c r="AB48" s="14">
        <f>AB309*[1]bioshares!S62</f>
        <v>67.700962938504446</v>
      </c>
      <c r="AC48" s="14">
        <f>AC309*[1]bioshares!T62</f>
        <v>6.0007209115290969</v>
      </c>
      <c r="AD48" s="13">
        <v>0</v>
      </c>
      <c r="AE48" s="14">
        <f>AE309*[1]bioshares!V62</f>
        <v>97.953017595082159</v>
      </c>
      <c r="AF48" s="14">
        <f>AF309*[1]bioshares!W62</f>
        <v>17.157919753876016</v>
      </c>
      <c r="AG48" s="14">
        <f>AG309*[1]bioshares!X62</f>
        <v>0</v>
      </c>
      <c r="AH48" s="14">
        <f>AH309*[1]bioshares!Y62</f>
        <v>3.5824284907676067</v>
      </c>
      <c r="AI48" s="13">
        <v>2.4285852269935413</v>
      </c>
      <c r="AJ48" s="13">
        <v>16.756281933477212</v>
      </c>
      <c r="AK48" s="14">
        <f>AK309*[1]bioshares!AB62</f>
        <v>0</v>
      </c>
      <c r="AL48" s="14">
        <f>AL309*[1]bioshares!AC62</f>
        <v>14.260294920589841</v>
      </c>
      <c r="AM48" s="13">
        <v>4.1393513574294678</v>
      </c>
      <c r="AN48" s="14">
        <f>AN309*[1]bioshares!AE62</f>
        <v>134.50450484052629</v>
      </c>
      <c r="AO48" s="14">
        <f>AO309*[1]bioshares!AF62</f>
        <v>14.041119216014183</v>
      </c>
      <c r="AP48" s="14">
        <f>AP309*[1]bioshares!AG62</f>
        <v>189.37527003137731</v>
      </c>
      <c r="AQ48" s="14">
        <f>AQ309*[1]bioshares!AH62</f>
        <v>0</v>
      </c>
      <c r="AR48" s="14">
        <f>AR309*[1]bioshares!AI62</f>
        <v>8.4411628948993673</v>
      </c>
      <c r="AS48" s="14">
        <f>AS309*[1]bioshares!AJ62</f>
        <v>1.6759316267796063</v>
      </c>
      <c r="AT48" s="14">
        <f>AT309*[1]bioshares!AK62</f>
        <v>5.9992647334316063</v>
      </c>
      <c r="AU48" s="13">
        <v>32.068332327702493</v>
      </c>
      <c r="AV48" s="13"/>
      <c r="AY48" s="13"/>
      <c r="AZ48" s="13">
        <f>SUM(M48:O48,R48:AC48,AE48:AH48,AK48:AL48,AN48:AP48,AR48:AU48)</f>
        <v>1144.1952171244102</v>
      </c>
      <c r="BF48" s="13">
        <f>AZ48-AU48</f>
        <v>1112.1268847967076</v>
      </c>
    </row>
    <row r="49" spans="1:59" s="15" customFormat="1" x14ac:dyDescent="0.3">
      <c r="A49" s="15" t="s">
        <v>70</v>
      </c>
      <c r="B49" s="15" t="s">
        <v>40</v>
      </c>
      <c r="C49" s="15" t="s">
        <v>83</v>
      </c>
      <c r="E49" s="15" t="s">
        <v>73</v>
      </c>
      <c r="G49" s="15" t="s">
        <v>74</v>
      </c>
      <c r="H49" s="15" t="s">
        <v>75</v>
      </c>
      <c r="I49" s="15">
        <v>2050</v>
      </c>
      <c r="J49" s="15" t="s">
        <v>49</v>
      </c>
      <c r="L49" s="16">
        <v>28.622659969558541</v>
      </c>
      <c r="M49" s="17">
        <f>M310*[1]bioshares!D63</f>
        <v>6.4909280208649012</v>
      </c>
      <c r="N49" s="17">
        <f>N310*[1]bioshares!E63</f>
        <v>1.8997372635554757</v>
      </c>
      <c r="O49" s="17">
        <f>O310*[1]bioshares!F63</f>
        <v>32.61286149896155</v>
      </c>
      <c r="P49" s="16">
        <v>63.580179614060789</v>
      </c>
      <c r="Q49" s="16">
        <v>0</v>
      </c>
      <c r="R49" s="17">
        <f>R310*[1]bioshares!I63</f>
        <v>0.36199828662989864</v>
      </c>
      <c r="S49" s="17">
        <f>S310*[1]bioshares!J63</f>
        <v>17.623322104175735</v>
      </c>
      <c r="T49" s="17">
        <f>T310*[1]bioshares!K63</f>
        <v>98.903046423661536</v>
      </c>
      <c r="U49" s="17">
        <f>U310*[1]bioshares!L63</f>
        <v>0</v>
      </c>
      <c r="V49" s="17">
        <f>V310*[1]bioshares!M63</f>
        <v>1.207958179631123</v>
      </c>
      <c r="W49" s="17">
        <f>W310*[1]bioshares!N63</f>
        <v>167.36592831306439</v>
      </c>
      <c r="X49" s="17">
        <f>X310*[1]bioshares!O63</f>
        <v>0</v>
      </c>
      <c r="Y49" s="17">
        <f>Y310*[1]bioshares!P63</f>
        <v>141.42061463403112</v>
      </c>
      <c r="Z49" s="17">
        <f>Z310*[1]bioshares!Q63</f>
        <v>9.4880765087301171</v>
      </c>
      <c r="AA49" s="17">
        <f>AA310*[1]bioshares!R63</f>
        <v>0</v>
      </c>
      <c r="AB49" s="17">
        <f>AB310*[1]bioshares!S63</f>
        <v>60.373232506692283</v>
      </c>
      <c r="AC49" s="17">
        <f>AC310*[1]bioshares!T63</f>
        <v>2.9787779474111287</v>
      </c>
      <c r="AD49" s="16">
        <v>0</v>
      </c>
      <c r="AE49" s="17">
        <f>AE310*[1]bioshares!V63</f>
        <v>76.906345969324164</v>
      </c>
      <c r="AF49" s="17">
        <f>AF310*[1]bioshares!W63</f>
        <v>8.0412111105734478</v>
      </c>
      <c r="AG49" s="17">
        <f>AG310*[1]bioshares!X63</f>
        <v>0</v>
      </c>
      <c r="AH49" s="17">
        <f>AH310*[1]bioshares!Y63</f>
        <v>1.3309729667986161</v>
      </c>
      <c r="AI49" s="16">
        <v>2.5014680690152771</v>
      </c>
      <c r="AJ49" s="16">
        <v>17.945480651788024</v>
      </c>
      <c r="AK49" s="17">
        <f>AK310*[1]bioshares!AB63</f>
        <v>0</v>
      </c>
      <c r="AL49" s="17">
        <f>AL310*[1]bioshares!AC63</f>
        <v>10.673739269943605</v>
      </c>
      <c r="AM49" s="16">
        <v>4.3165918895153208</v>
      </c>
      <c r="AN49" s="17">
        <f>AN310*[1]bioshares!AE63</f>
        <v>112.19177668470608</v>
      </c>
      <c r="AO49" s="17">
        <f>AO310*[1]bioshares!AF63</f>
        <v>11.947529948716044</v>
      </c>
      <c r="AP49" s="17">
        <f>AP310*[1]bioshares!AG63</f>
        <v>149.9486669712835</v>
      </c>
      <c r="AQ49" s="17">
        <f>AQ310*[1]bioshares!AH63</f>
        <v>0</v>
      </c>
      <c r="AR49" s="17">
        <f>AR310*[1]bioshares!AI63</f>
        <v>6.5367465519864361</v>
      </c>
      <c r="AS49" s="17">
        <f>AS310*[1]bioshares!AJ63</f>
        <v>1.1727368608219011</v>
      </c>
      <c r="AT49" s="17">
        <f>AT310*[1]bioshares!AK63</f>
        <v>1.7939744108975355</v>
      </c>
      <c r="AU49" s="16">
        <v>27.622703734517174</v>
      </c>
      <c r="AV49" s="16"/>
      <c r="AY49" s="16"/>
      <c r="AZ49" s="16"/>
      <c r="BA49" s="16">
        <f>SUM(M49:O49,R49:AC49,AE49:AH49,AK49:AL49,AN49:AP49,AR49:AU49)</f>
        <v>948.89288616697786</v>
      </c>
      <c r="BG49" s="16">
        <f>BA49-AU49</f>
        <v>921.27018243246073</v>
      </c>
    </row>
    <row r="50" spans="1:59" x14ac:dyDescent="0.3">
      <c r="A50" t="s">
        <v>70</v>
      </c>
      <c r="B50" t="s">
        <v>40</v>
      </c>
      <c r="C50" t="s">
        <v>83</v>
      </c>
      <c r="F50" t="s">
        <v>77</v>
      </c>
      <c r="H50" t="s">
        <v>78</v>
      </c>
      <c r="I50">
        <v>2010</v>
      </c>
      <c r="J50" t="s">
        <v>49</v>
      </c>
      <c r="L50" s="18">
        <v>3.0421130203489799</v>
      </c>
      <c r="M50" s="18">
        <v>4.8609490842130647</v>
      </c>
      <c r="N50" s="18">
        <v>5.6647622412934453</v>
      </c>
      <c r="O50" s="18">
        <v>2.9393384906844053</v>
      </c>
      <c r="P50" s="18">
        <v>3.5803335733679527</v>
      </c>
      <c r="Q50" s="18">
        <v>0</v>
      </c>
      <c r="R50" s="18">
        <v>5.5103616165420313</v>
      </c>
      <c r="S50" s="18">
        <v>3.1969607065536616</v>
      </c>
      <c r="T50" s="18">
        <v>5.9699045378662294</v>
      </c>
      <c r="U50" s="18">
        <v>9.7380292253558327</v>
      </c>
      <c r="V50" s="18">
        <v>2.9785766370494953</v>
      </c>
      <c r="W50" s="18">
        <v>7.3520383485205718</v>
      </c>
      <c r="X50" s="18">
        <v>5.3692204861266983</v>
      </c>
      <c r="Y50" s="18">
        <v>5.6422821178562463</v>
      </c>
      <c r="Z50" s="18">
        <v>7.4360101978336726</v>
      </c>
      <c r="AA50" s="18">
        <v>0</v>
      </c>
      <c r="AB50" s="18">
        <v>2.9351843019199624</v>
      </c>
      <c r="AC50" s="18">
        <v>4.9286228756440122</v>
      </c>
      <c r="AD50" s="18">
        <v>0</v>
      </c>
      <c r="AE50" s="18">
        <v>7.4555700881958282</v>
      </c>
      <c r="AF50" s="18">
        <v>2.3773811031826559</v>
      </c>
      <c r="AG50" s="18">
        <v>7.0933704970401932</v>
      </c>
      <c r="AH50" s="18">
        <v>2.5131877457373912</v>
      </c>
      <c r="AI50" s="18">
        <v>3.5803335733679527</v>
      </c>
      <c r="AJ50" s="18">
        <v>3.5803335733679527</v>
      </c>
      <c r="AK50" s="18">
        <v>0</v>
      </c>
      <c r="AL50" s="18">
        <v>8.4304415733171094</v>
      </c>
      <c r="AM50" s="18">
        <v>6</v>
      </c>
      <c r="AN50" s="18">
        <v>4.1563416472950685</v>
      </c>
      <c r="AO50" s="18">
        <v>4.5926348075789738</v>
      </c>
      <c r="AP50" s="18">
        <v>2.6171499012603796</v>
      </c>
      <c r="AQ50" s="18">
        <v>3.5805779833192952</v>
      </c>
      <c r="AR50" s="18">
        <v>7.9921600745329844</v>
      </c>
      <c r="AS50" s="18">
        <v>3.5122985514951282</v>
      </c>
      <c r="AT50" s="18">
        <v>3.046397390079906</v>
      </c>
      <c r="AU50" s="18">
        <v>7.3998768797562526</v>
      </c>
      <c r="AV50" s="18"/>
      <c r="AX50" s="18"/>
      <c r="AY50" s="18"/>
      <c r="AZ50" s="18"/>
      <c r="BA50" s="18"/>
    </row>
    <row r="51" spans="1:59" x14ac:dyDescent="0.3">
      <c r="A51" t="s">
        <v>70</v>
      </c>
      <c r="B51" t="s">
        <v>40</v>
      </c>
      <c r="C51" t="s">
        <v>83</v>
      </c>
      <c r="F51" t="s">
        <v>77</v>
      </c>
      <c r="H51" t="s">
        <v>78</v>
      </c>
      <c r="I51">
        <v>2020</v>
      </c>
      <c r="J51" t="s">
        <v>49</v>
      </c>
      <c r="L51" s="18">
        <v>3.0421130203489799</v>
      </c>
      <c r="M51" s="18">
        <v>4.8609490842130647</v>
      </c>
      <c r="N51" s="18">
        <v>5.6647622412934453</v>
      </c>
      <c r="O51" s="18">
        <v>2.9393384906844053</v>
      </c>
      <c r="P51" s="18">
        <v>3.5803335733679527</v>
      </c>
      <c r="Q51" s="18"/>
      <c r="R51" s="18">
        <v>5.5103616165420313</v>
      </c>
      <c r="S51" s="18">
        <v>3.1969607065536616</v>
      </c>
      <c r="T51" s="18">
        <v>5.9699045378662294</v>
      </c>
      <c r="U51" s="18">
        <v>9.7380292253558327</v>
      </c>
      <c r="V51" s="18">
        <v>2.9785766370494953</v>
      </c>
      <c r="W51" s="18">
        <v>7.3520383485205718</v>
      </c>
      <c r="X51" s="18">
        <v>5.3692204861266983</v>
      </c>
      <c r="Y51" s="18">
        <v>5.6422821178562463</v>
      </c>
      <c r="Z51" s="18">
        <v>7.4360101978336726</v>
      </c>
      <c r="AA51" s="18">
        <v>0</v>
      </c>
      <c r="AB51" s="18">
        <v>2.9351843019199624</v>
      </c>
      <c r="AC51" s="18">
        <v>4.9286228756440122</v>
      </c>
      <c r="AD51" s="18"/>
      <c r="AE51" s="18">
        <v>7.4555700881958282</v>
      </c>
      <c r="AF51" s="18">
        <v>2.3773811031826559</v>
      </c>
      <c r="AG51" s="18">
        <v>7.0933704970401932</v>
      </c>
      <c r="AH51" s="18">
        <v>2.5131877457373912</v>
      </c>
      <c r="AI51" s="18">
        <v>3.5803335733679527</v>
      </c>
      <c r="AJ51" s="18">
        <v>3.5803335733679527</v>
      </c>
      <c r="AK51" s="18">
        <v>0</v>
      </c>
      <c r="AL51" s="18">
        <v>8.4304415733171094</v>
      </c>
      <c r="AM51" s="18">
        <v>6</v>
      </c>
      <c r="AN51" s="18">
        <v>4.1563416472950685</v>
      </c>
      <c r="AO51" s="18">
        <v>4.5926348075789738</v>
      </c>
      <c r="AP51" s="18">
        <v>2.6171499012603796</v>
      </c>
      <c r="AQ51" s="18">
        <v>3.5805779833192952</v>
      </c>
      <c r="AR51" s="18">
        <v>7.9921600745329844</v>
      </c>
      <c r="AS51" s="18">
        <v>3.5122985514951282</v>
      </c>
      <c r="AT51" s="18">
        <v>3.046397390079906</v>
      </c>
      <c r="AU51" s="18">
        <v>7.3998768797562526</v>
      </c>
      <c r="AV51" s="18"/>
      <c r="AX51" s="18"/>
      <c r="AY51" s="18"/>
      <c r="AZ51" s="18"/>
      <c r="BA51" s="18"/>
    </row>
    <row r="52" spans="1:59" x14ac:dyDescent="0.3">
      <c r="A52" t="s">
        <v>70</v>
      </c>
      <c r="B52" t="s">
        <v>40</v>
      </c>
      <c r="C52" t="s">
        <v>83</v>
      </c>
      <c r="F52" t="s">
        <v>77</v>
      </c>
      <c r="H52" t="s">
        <v>78</v>
      </c>
      <c r="I52">
        <v>2030</v>
      </c>
      <c r="J52" t="s">
        <v>49</v>
      </c>
      <c r="L52" s="18">
        <v>2.828220821671513</v>
      </c>
      <c r="M52" s="18">
        <v>4.6498671105684135</v>
      </c>
      <c r="N52" s="18">
        <v>5.0455631255100197</v>
      </c>
      <c r="O52" s="18">
        <v>3.0424490347720541</v>
      </c>
      <c r="P52" s="18">
        <v>2.8282208216715135</v>
      </c>
      <c r="Q52" s="18"/>
      <c r="R52" s="18">
        <v>5.2081196833335088</v>
      </c>
      <c r="S52" s="18">
        <v>2.9131686490636444</v>
      </c>
      <c r="T52" s="18">
        <v>5.3681284804480676</v>
      </c>
      <c r="U52" s="18">
        <v>10.033954364426076</v>
      </c>
      <c r="V52" s="18">
        <v>2.9803603266139649</v>
      </c>
      <c r="W52" s="18">
        <v>6.7308551692339895</v>
      </c>
      <c r="X52" s="18">
        <v>4.9508486260310898</v>
      </c>
      <c r="Y52" s="18">
        <v>4.9931850077963773</v>
      </c>
      <c r="Z52" s="18">
        <v>8.1500740968500409</v>
      </c>
      <c r="AA52" s="18">
        <v>3.5710352591767838</v>
      </c>
      <c r="AB52" s="18">
        <v>2.8384206966995218</v>
      </c>
      <c r="AC52" s="18">
        <v>4.9756486374676774</v>
      </c>
      <c r="AD52" s="18"/>
      <c r="AE52" s="18">
        <v>7.4583099243507709</v>
      </c>
      <c r="AF52" s="18">
        <v>2.1419180094268069</v>
      </c>
      <c r="AG52" s="18">
        <v>6.9206350568576962</v>
      </c>
      <c r="AH52" s="18">
        <v>2.1295170511469155</v>
      </c>
      <c r="AI52" s="18">
        <v>3.3750643012216308</v>
      </c>
      <c r="AJ52" s="18">
        <v>3.3750643012216308</v>
      </c>
      <c r="AK52" s="18">
        <v>0</v>
      </c>
      <c r="AL52" s="18">
        <v>7.6870581740106783</v>
      </c>
      <c r="AM52" s="18">
        <v>6.8894208795101068</v>
      </c>
      <c r="AN52" s="18">
        <v>3.7405980973348769</v>
      </c>
      <c r="AO52" s="18">
        <v>4.3123203748505361</v>
      </c>
      <c r="AP52" s="18">
        <v>2.5057889365003843</v>
      </c>
      <c r="AQ52" s="18">
        <v>2.8282208216715139</v>
      </c>
      <c r="AR52" s="18">
        <v>7.4005877351813432</v>
      </c>
      <c r="AS52" s="18">
        <v>3.0632174811156978</v>
      </c>
      <c r="AT52" s="18">
        <v>2.6566274500021132</v>
      </c>
      <c r="AU52" s="18">
        <v>6.685104016753094</v>
      </c>
      <c r="AV52" s="18"/>
      <c r="AX52" s="18"/>
      <c r="AY52" s="18"/>
      <c r="AZ52" s="18"/>
      <c r="BA52" s="18"/>
    </row>
    <row r="53" spans="1:59" x14ac:dyDescent="0.3">
      <c r="A53" t="s">
        <v>70</v>
      </c>
      <c r="B53" t="s">
        <v>40</v>
      </c>
      <c r="C53" t="s">
        <v>83</v>
      </c>
      <c r="F53" t="s">
        <v>77</v>
      </c>
      <c r="H53" t="s">
        <v>78</v>
      </c>
      <c r="I53">
        <v>2040</v>
      </c>
      <c r="J53" t="s">
        <v>49</v>
      </c>
      <c r="L53" s="18">
        <v>3.2617525172516197</v>
      </c>
      <c r="M53" s="18">
        <v>4.9112344878467358</v>
      </c>
      <c r="N53" s="18">
        <v>5.7049722224635255</v>
      </c>
      <c r="O53" s="18">
        <v>2.9786437911175208</v>
      </c>
      <c r="P53" s="18">
        <v>3.2617525172516197</v>
      </c>
      <c r="Q53" s="18"/>
      <c r="R53" s="18">
        <v>5.2243273131081853</v>
      </c>
      <c r="S53" s="18">
        <v>2.8742533876245333</v>
      </c>
      <c r="T53" s="18">
        <v>5.2305327620882638</v>
      </c>
      <c r="U53" s="18">
        <v>9.7651024304281329</v>
      </c>
      <c r="V53" s="18">
        <v>3.2624923571004061</v>
      </c>
      <c r="W53" s="18">
        <v>6.604443715019146</v>
      </c>
      <c r="X53" s="18">
        <v>4.7296338899028791</v>
      </c>
      <c r="Y53" s="18">
        <v>4.8654655443027632</v>
      </c>
      <c r="Z53" s="18">
        <v>7.9658939596721972</v>
      </c>
      <c r="AA53" s="18">
        <v>4.0110899175013515</v>
      </c>
      <c r="AB53" s="18">
        <v>2.7644907860766672</v>
      </c>
      <c r="AC53" s="18">
        <v>5.167714213792383</v>
      </c>
      <c r="AD53" s="18"/>
      <c r="AE53" s="18">
        <v>7.4619482912068449</v>
      </c>
      <c r="AF53" s="18">
        <v>2.6542011098139229</v>
      </c>
      <c r="AG53" s="18">
        <v>6.7691298457991174</v>
      </c>
      <c r="AH53" s="18">
        <v>2.7047178287636786</v>
      </c>
      <c r="AI53" s="18">
        <v>3.8172189233328844</v>
      </c>
      <c r="AJ53" s="18">
        <v>3.8172189233328853</v>
      </c>
      <c r="AK53" s="18">
        <v>0</v>
      </c>
      <c r="AL53" s="18">
        <v>7.4549710650816676</v>
      </c>
      <c r="AM53" s="18">
        <v>7.3275907592416489</v>
      </c>
      <c r="AN53" s="18">
        <v>3.6826255101366629</v>
      </c>
      <c r="AO53" s="18">
        <v>4.2793997105238111</v>
      </c>
      <c r="AP53" s="18">
        <v>2.5783211410602536</v>
      </c>
      <c r="AQ53" s="18">
        <v>3.2617525172516197</v>
      </c>
      <c r="AR53" s="18">
        <v>7.2946930366496217</v>
      </c>
      <c r="AS53" s="18">
        <v>3.0142875099035988</v>
      </c>
      <c r="AT53" s="18">
        <v>3.2399671325462309</v>
      </c>
      <c r="AU53" s="18">
        <v>6.6126225606968294</v>
      </c>
      <c r="AV53" s="18"/>
      <c r="AX53" s="18"/>
      <c r="AY53" s="18"/>
      <c r="AZ53" s="18"/>
      <c r="BA53" s="18"/>
    </row>
    <row r="54" spans="1:59" x14ac:dyDescent="0.3">
      <c r="A54" t="s">
        <v>70</v>
      </c>
      <c r="B54" t="s">
        <v>40</v>
      </c>
      <c r="C54" t="s">
        <v>83</v>
      </c>
      <c r="F54" t="s">
        <v>77</v>
      </c>
      <c r="H54" t="s">
        <v>78</v>
      </c>
      <c r="I54">
        <v>2050</v>
      </c>
      <c r="J54" t="s">
        <v>49</v>
      </c>
      <c r="L54" s="18">
        <v>3.3583445554085989</v>
      </c>
      <c r="M54" s="18">
        <v>5.0480631368737576</v>
      </c>
      <c r="N54" s="18">
        <v>5.7306627305349789</v>
      </c>
      <c r="O54" s="18">
        <v>2.8154784625477731</v>
      </c>
      <c r="P54" s="18">
        <v>3.9224338880210081</v>
      </c>
      <c r="Q54" s="18"/>
      <c r="R54" s="18">
        <v>5.2710050120853706</v>
      </c>
      <c r="S54" s="18">
        <v>2.8708608855412772</v>
      </c>
      <c r="T54" s="18">
        <v>5.1044761875109455</v>
      </c>
      <c r="U54" s="18">
        <v>0</v>
      </c>
      <c r="V54" s="18">
        <v>3.2630199915689313</v>
      </c>
      <c r="W54" s="18">
        <v>6.5324149142639278</v>
      </c>
      <c r="X54" s="18">
        <v>4.6417188450755242</v>
      </c>
      <c r="Y54" s="18">
        <v>4.752318838665043</v>
      </c>
      <c r="Z54" s="18">
        <v>7.8250505969835258</v>
      </c>
      <c r="AA54" s="18">
        <v>4.1142049184027911</v>
      </c>
      <c r="AB54" s="18">
        <v>2.7577701646097212</v>
      </c>
      <c r="AC54" s="18">
        <v>5.0784871227585757</v>
      </c>
      <c r="AD54" s="18"/>
      <c r="AE54" s="18">
        <v>7.3858571477042352</v>
      </c>
      <c r="AF54" s="18">
        <v>2.6698513028845197</v>
      </c>
      <c r="AG54" s="18">
        <v>6.6284650602132684</v>
      </c>
      <c r="AH54" s="18">
        <v>3.0957435523053451</v>
      </c>
      <c r="AI54" s="18">
        <v>3.9224338880210086</v>
      </c>
      <c r="AJ54" s="18">
        <v>3.9224338880210086</v>
      </c>
      <c r="AK54" s="18">
        <v>0</v>
      </c>
      <c r="AL54" s="18">
        <v>7.2434478856557192</v>
      </c>
      <c r="AM54" s="18">
        <v>7.4288209815500608</v>
      </c>
      <c r="AN54" s="18">
        <v>3.6593412266100973</v>
      </c>
      <c r="AO54" s="18">
        <v>4.3373090337856182</v>
      </c>
      <c r="AP54" s="18">
        <v>2.6372951847513657</v>
      </c>
      <c r="AQ54" s="18">
        <v>3.9177071705679909</v>
      </c>
      <c r="AR54" s="18">
        <v>7.2860751798100321</v>
      </c>
      <c r="AS54" s="18">
        <v>2.9705860063583183</v>
      </c>
      <c r="AT54" s="18">
        <v>3.478904856310792</v>
      </c>
      <c r="AU54" s="18">
        <v>6.7863625908016481</v>
      </c>
      <c r="AV54" s="18"/>
      <c r="AX54" s="18"/>
      <c r="AY54" s="18"/>
      <c r="AZ54" s="18"/>
      <c r="BA54" s="18"/>
    </row>
    <row r="55" spans="1:59" x14ac:dyDescent="0.3">
      <c r="E55" t="s">
        <v>79</v>
      </c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X55" s="18"/>
    </row>
    <row r="56" spans="1:59" s="12" customFormat="1" x14ac:dyDescent="0.3">
      <c r="A56" s="12" t="s">
        <v>70</v>
      </c>
      <c r="B56" s="12" t="s">
        <v>40</v>
      </c>
      <c r="C56" s="12" t="s">
        <v>84</v>
      </c>
      <c r="E56" s="12" t="s">
        <v>73</v>
      </c>
      <c r="G56" s="12" t="s">
        <v>74</v>
      </c>
      <c r="H56" s="12" t="s">
        <v>75</v>
      </c>
      <c r="I56" s="12">
        <v>2005</v>
      </c>
      <c r="J56" s="12" t="s">
        <v>50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/>
      <c r="AX56" s="13"/>
    </row>
    <row r="57" spans="1:59" s="12" customFormat="1" x14ac:dyDescent="0.3">
      <c r="A57" s="12" t="s">
        <v>70</v>
      </c>
      <c r="B57" s="12" t="s">
        <v>40</v>
      </c>
      <c r="C57" s="12" t="s">
        <v>84</v>
      </c>
      <c r="E57" s="12" t="s">
        <v>73</v>
      </c>
      <c r="G57" s="12" t="s">
        <v>74</v>
      </c>
      <c r="H57" s="12" t="s">
        <v>75</v>
      </c>
      <c r="I57" s="12">
        <v>2010</v>
      </c>
      <c r="J57" s="12" t="s">
        <v>50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/>
      <c r="AW57" s="13">
        <f>SUM(M57:O57,R57:AC57,AE57:AH57,AK57:AL57,AN57:AP57,AR57:AU57)</f>
        <v>0</v>
      </c>
      <c r="BC57" s="13">
        <f>AW57-AU57</f>
        <v>0</v>
      </c>
    </row>
    <row r="58" spans="1:59" s="12" customFormat="1" x14ac:dyDescent="0.3">
      <c r="A58" s="12" t="s">
        <v>70</v>
      </c>
      <c r="B58" s="12" t="s">
        <v>40</v>
      </c>
      <c r="C58" s="12" t="s">
        <v>84</v>
      </c>
      <c r="E58" s="12" t="s">
        <v>73</v>
      </c>
      <c r="G58" s="12" t="s">
        <v>74</v>
      </c>
      <c r="H58" s="12" t="s">
        <v>75</v>
      </c>
      <c r="I58" s="12">
        <v>2020</v>
      </c>
      <c r="J58" s="12" t="s">
        <v>50</v>
      </c>
      <c r="L58" s="13">
        <v>0</v>
      </c>
      <c r="M58" s="13">
        <f t="shared" ref="M58:O58" si="25">M59</f>
        <v>0.46755907843319067</v>
      </c>
      <c r="N58" s="13">
        <f t="shared" si="25"/>
        <v>0.97533041478022875</v>
      </c>
      <c r="O58" s="13">
        <f t="shared" si="25"/>
        <v>0.9036172426597453</v>
      </c>
      <c r="P58" s="13">
        <v>0</v>
      </c>
      <c r="Q58" s="13">
        <v>0</v>
      </c>
      <c r="R58" s="13">
        <f t="shared" ref="R58:AH58" si="26">R59</f>
        <v>0</v>
      </c>
      <c r="S58" s="13">
        <f t="shared" si="26"/>
        <v>0.95452889085615589</v>
      </c>
      <c r="T58" s="13">
        <f t="shared" si="26"/>
        <v>3.5359414626591983</v>
      </c>
      <c r="U58" s="13">
        <f t="shared" si="26"/>
        <v>3.8309006189414209E-4</v>
      </c>
      <c r="V58" s="13">
        <f t="shared" si="26"/>
        <v>0.54780998884680943</v>
      </c>
      <c r="W58" s="13">
        <f t="shared" si="26"/>
        <v>0</v>
      </c>
      <c r="X58" s="13">
        <f t="shared" si="26"/>
        <v>0.79108785924705127</v>
      </c>
      <c r="Y58" s="13">
        <f t="shared" si="26"/>
        <v>6.314007273328043</v>
      </c>
      <c r="Z58" s="13">
        <f t="shared" si="26"/>
        <v>0</v>
      </c>
      <c r="AA58" s="13">
        <f t="shared" si="26"/>
        <v>0</v>
      </c>
      <c r="AB58" s="13">
        <f t="shared" si="26"/>
        <v>3.1929286693358949</v>
      </c>
      <c r="AC58" s="13">
        <f t="shared" si="26"/>
        <v>1.1529946594371132</v>
      </c>
      <c r="AD58" s="13">
        <f t="shared" si="26"/>
        <v>0</v>
      </c>
      <c r="AE58" s="13">
        <f t="shared" si="26"/>
        <v>0</v>
      </c>
      <c r="AF58" s="13">
        <f t="shared" si="26"/>
        <v>3.2303158946682671</v>
      </c>
      <c r="AG58" s="13">
        <f t="shared" si="26"/>
        <v>0</v>
      </c>
      <c r="AH58" s="13">
        <f t="shared" si="26"/>
        <v>0.69277432518367787</v>
      </c>
      <c r="AI58" s="13">
        <v>0</v>
      </c>
      <c r="AJ58" s="13">
        <v>0</v>
      </c>
      <c r="AK58" s="13">
        <f t="shared" ref="AK58:AL58" si="27">AK59</f>
        <v>0</v>
      </c>
      <c r="AL58" s="13">
        <f t="shared" si="27"/>
        <v>0.43409101631352137</v>
      </c>
      <c r="AM58" s="13">
        <v>3.5910159831246222</v>
      </c>
      <c r="AN58" s="13">
        <f t="shared" ref="AN58:AT58" si="28">AN59</f>
        <v>15.257678314158003</v>
      </c>
      <c r="AO58" s="13">
        <f t="shared" si="28"/>
        <v>0</v>
      </c>
      <c r="AP58" s="13">
        <f t="shared" si="28"/>
        <v>12.518219043690531</v>
      </c>
      <c r="AQ58" s="13">
        <f t="shared" si="28"/>
        <v>0</v>
      </c>
      <c r="AR58" s="13">
        <f t="shared" si="28"/>
        <v>0.89456530080286645</v>
      </c>
      <c r="AS58" s="13">
        <f t="shared" si="28"/>
        <v>0</v>
      </c>
      <c r="AT58" s="13">
        <f t="shared" si="28"/>
        <v>0.4869293821679157</v>
      </c>
      <c r="AU58" s="13">
        <v>27.599106643701809</v>
      </c>
      <c r="AV58" s="13"/>
      <c r="AX58" s="13">
        <f>SUM(M58:O58,R58:AC58,AE58:AH58,AK58:AL58,AN58:AP58,AR58:AU58)</f>
        <v>79.949868550331914</v>
      </c>
      <c r="BD58" s="13">
        <f>AX58-AU58</f>
        <v>52.350761906630105</v>
      </c>
    </row>
    <row r="59" spans="1:59" s="12" customFormat="1" x14ac:dyDescent="0.3">
      <c r="A59" s="12" t="s">
        <v>70</v>
      </c>
      <c r="B59" s="12" t="s">
        <v>40</v>
      </c>
      <c r="C59" s="12" t="s">
        <v>84</v>
      </c>
      <c r="E59" s="12" t="s">
        <v>73</v>
      </c>
      <c r="G59" s="12" t="s">
        <v>74</v>
      </c>
      <c r="H59" s="12" t="s">
        <v>75</v>
      </c>
      <c r="I59" s="12">
        <v>2030</v>
      </c>
      <c r="J59" s="12" t="s">
        <v>50</v>
      </c>
      <c r="L59" s="13">
        <v>0</v>
      </c>
      <c r="M59" s="14">
        <f>M308*[1]bioshares!D67</f>
        <v>0.46755907843319067</v>
      </c>
      <c r="N59" s="14">
        <f>N308*[1]bioshares!E67</f>
        <v>0.97533041478022875</v>
      </c>
      <c r="O59" s="14">
        <f>O308*[1]bioshares!F67</f>
        <v>0.9036172426597453</v>
      </c>
      <c r="P59" s="13">
        <v>0</v>
      </c>
      <c r="Q59" s="13">
        <v>0</v>
      </c>
      <c r="R59" s="14">
        <f>R308*[1]bioshares!I67</f>
        <v>0</v>
      </c>
      <c r="S59" s="14">
        <f>S308*[1]bioshares!J67</f>
        <v>0.95452889085615589</v>
      </c>
      <c r="T59" s="14">
        <f>T308*[1]bioshares!K67</f>
        <v>3.5359414626591983</v>
      </c>
      <c r="U59" s="14">
        <f>U308*[1]bioshares!L67</f>
        <v>3.8309006189414209E-4</v>
      </c>
      <c r="V59" s="14">
        <f>V308*[1]bioshares!M67</f>
        <v>0.54780998884680943</v>
      </c>
      <c r="W59" s="14">
        <f>W308*[1]bioshares!N67</f>
        <v>0</v>
      </c>
      <c r="X59" s="14">
        <f>X308*[1]bioshares!O67</f>
        <v>0.79108785924705127</v>
      </c>
      <c r="Y59" s="14">
        <f>Y308*[1]bioshares!P67</f>
        <v>6.314007273328043</v>
      </c>
      <c r="Z59" s="14">
        <f>Z308*[1]bioshares!Q67</f>
        <v>0</v>
      </c>
      <c r="AA59" s="14">
        <f>AA308*[1]bioshares!R67</f>
        <v>0</v>
      </c>
      <c r="AB59" s="14">
        <f>AB308*[1]bioshares!S67</f>
        <v>3.1929286693358949</v>
      </c>
      <c r="AC59" s="14">
        <f>AC308*[1]bioshares!T67</f>
        <v>1.1529946594371132</v>
      </c>
      <c r="AD59" s="13">
        <v>0</v>
      </c>
      <c r="AE59" s="14">
        <f>AE308*[1]bioshares!V67</f>
        <v>0</v>
      </c>
      <c r="AF59" s="14">
        <f>AF308*[1]bioshares!W67</f>
        <v>3.2303158946682671</v>
      </c>
      <c r="AG59" s="14">
        <f>AG308*[1]bioshares!X67</f>
        <v>0</v>
      </c>
      <c r="AH59" s="14">
        <f>AH308*[1]bioshares!Y67</f>
        <v>0.69277432518367787</v>
      </c>
      <c r="AI59" s="13">
        <v>0</v>
      </c>
      <c r="AJ59" s="13">
        <v>0</v>
      </c>
      <c r="AK59" s="14">
        <f>AK308*[1]bioshares!AB67</f>
        <v>0</v>
      </c>
      <c r="AL59" s="14">
        <f>AL308*[1]bioshares!AC67</f>
        <v>0.43409101631352137</v>
      </c>
      <c r="AM59" s="13">
        <v>3.7472596892392267</v>
      </c>
      <c r="AN59" s="14">
        <f>AN308*[1]bioshares!AE67</f>
        <v>15.257678314158003</v>
      </c>
      <c r="AO59" s="14">
        <f>AO308*[1]bioshares!AF67</f>
        <v>0</v>
      </c>
      <c r="AP59" s="14">
        <f>AP308*[1]bioshares!AG67</f>
        <v>12.518219043690531</v>
      </c>
      <c r="AQ59" s="14">
        <f>AQ308*[1]bioshares!AH67</f>
        <v>0</v>
      </c>
      <c r="AR59" s="14">
        <f>AR308*[1]bioshares!AI67</f>
        <v>0.89456530080286645</v>
      </c>
      <c r="AS59" s="14">
        <f>AS308*[1]bioshares!AJ67</f>
        <v>0</v>
      </c>
      <c r="AT59" s="14">
        <f>AT308*[1]bioshares!AK67</f>
        <v>0.4869293821679157</v>
      </c>
      <c r="AU59" s="13">
        <v>35.909256598780807</v>
      </c>
      <c r="AV59" s="13"/>
      <c r="AY59" s="13">
        <f>SUM(M59:O59,R59:AC59,AE59:AH59,AK59:AL59,AN59:AP59,AR59:AU59)</f>
        <v>88.260018505410912</v>
      </c>
      <c r="BE59" s="13">
        <f>AY59-AU59</f>
        <v>52.350761906630105</v>
      </c>
    </row>
    <row r="60" spans="1:59" s="12" customFormat="1" x14ac:dyDescent="0.3">
      <c r="A60" s="12" t="s">
        <v>70</v>
      </c>
      <c r="B60" s="12" t="s">
        <v>40</v>
      </c>
      <c r="C60" s="12" t="s">
        <v>84</v>
      </c>
      <c r="E60" s="12" t="s">
        <v>73</v>
      </c>
      <c r="G60" s="12" t="s">
        <v>74</v>
      </c>
      <c r="H60" s="12" t="s">
        <v>75</v>
      </c>
      <c r="I60" s="12">
        <v>2040</v>
      </c>
      <c r="J60" s="12" t="s">
        <v>50</v>
      </c>
      <c r="L60" s="13">
        <v>0</v>
      </c>
      <c r="M60" s="14">
        <f>M309*[1]bioshares!D68</f>
        <v>1.5526595307262772</v>
      </c>
      <c r="N60" s="14">
        <f>N309*[1]bioshares!E68</f>
        <v>2.226722612323718</v>
      </c>
      <c r="O60" s="14">
        <f>O309*[1]bioshares!F68</f>
        <v>4.0861238902026749</v>
      </c>
      <c r="P60" s="13">
        <v>0</v>
      </c>
      <c r="Q60" s="13">
        <v>0</v>
      </c>
      <c r="R60" s="14">
        <f>R309*[1]bioshares!I68</f>
        <v>0</v>
      </c>
      <c r="S60" s="14">
        <f>S309*[1]bioshares!J68</f>
        <v>5.5234913384381761</v>
      </c>
      <c r="T60" s="14">
        <f>T309*[1]bioshares!K68</f>
        <v>14.153029212551044</v>
      </c>
      <c r="U60" s="14">
        <f>U309*[1]bioshares!L68</f>
        <v>7.7213782950513428E-4</v>
      </c>
      <c r="V60" s="14">
        <f>V309*[1]bioshares!M68</f>
        <v>1.5166958155375967</v>
      </c>
      <c r="W60" s="14">
        <f>W309*[1]bioshares!N68</f>
        <v>0</v>
      </c>
      <c r="X60" s="14">
        <f>X309*[1]bioshares!O68</f>
        <v>4.3575809604950111</v>
      </c>
      <c r="Y60" s="14">
        <f>Y309*[1]bioshares!P68</f>
        <v>23.138729307091964</v>
      </c>
      <c r="Z60" s="14">
        <f>Z309*[1]bioshares!Q68</f>
        <v>0</v>
      </c>
      <c r="AA60" s="14">
        <f>AA309*[1]bioshares!R68</f>
        <v>0</v>
      </c>
      <c r="AB60" s="14">
        <f>AB309*[1]bioshares!S68</f>
        <v>13.268847272862363</v>
      </c>
      <c r="AC60" s="14">
        <f>AC309*[1]bioshares!T68</f>
        <v>3.214160423414798</v>
      </c>
      <c r="AD60" s="13">
        <v>0</v>
      </c>
      <c r="AE60" s="14">
        <f>AE309*[1]bioshares!V68</f>
        <v>0</v>
      </c>
      <c r="AF60" s="14">
        <f>AF309*[1]bioshares!W68</f>
        <v>9.1621636474186054</v>
      </c>
      <c r="AG60" s="14">
        <f>AG309*[1]bioshares!X68</f>
        <v>0</v>
      </c>
      <c r="AH60" s="14">
        <f>AH309*[1]bioshares!Y68</f>
        <v>1.984907156743495</v>
      </c>
      <c r="AI60" s="13">
        <v>0</v>
      </c>
      <c r="AJ60" s="13">
        <v>0</v>
      </c>
      <c r="AK60" s="14">
        <f>AK309*[1]bioshares!AB68</f>
        <v>0</v>
      </c>
      <c r="AL60" s="14">
        <f>AL309*[1]bioshares!AC68</f>
        <v>1.497213397900834</v>
      </c>
      <c r="AM60" s="13">
        <v>3.8719125311537135</v>
      </c>
      <c r="AN60" s="14">
        <f>AN309*[1]bioshares!AE68</f>
        <v>57.418363029640709</v>
      </c>
      <c r="AO60" s="14">
        <f>AO309*[1]bioshares!AF68</f>
        <v>0</v>
      </c>
      <c r="AP60" s="14">
        <f>AP309*[1]bioshares!AG68</f>
        <v>46.386307982537645</v>
      </c>
      <c r="AQ60" s="14">
        <f>AQ309*[1]bioshares!AH68</f>
        <v>0</v>
      </c>
      <c r="AR60" s="14">
        <f>AR309*[1]bioshares!AI68</f>
        <v>3.1880350975796468</v>
      </c>
      <c r="AS60" s="14">
        <f>AS309*[1]bioshares!AJ68</f>
        <v>0</v>
      </c>
      <c r="AT60" s="14">
        <f>AT309*[1]bioshares!AK68</f>
        <v>1.4569436022195166</v>
      </c>
      <c r="AU60" s="13">
        <v>32.079736022502075</v>
      </c>
      <c r="AV60" s="13"/>
      <c r="AY60" s="13"/>
      <c r="AZ60" s="13">
        <f>SUM(M60:O60,R60:AC60,AE60:AH60,AK60:AL60,AN60:AP60,AR60:AU60)</f>
        <v>226.21248243801568</v>
      </c>
      <c r="BF60" s="13">
        <f>AZ60-AU60</f>
        <v>194.13274641551362</v>
      </c>
    </row>
    <row r="61" spans="1:59" s="15" customFormat="1" x14ac:dyDescent="0.3">
      <c r="A61" s="15" t="s">
        <v>70</v>
      </c>
      <c r="B61" s="15" t="s">
        <v>40</v>
      </c>
      <c r="C61" s="15" t="s">
        <v>84</v>
      </c>
      <c r="E61" s="15" t="s">
        <v>73</v>
      </c>
      <c r="G61" s="15" t="s">
        <v>74</v>
      </c>
      <c r="H61" s="15" t="s">
        <v>75</v>
      </c>
      <c r="I61" s="15">
        <v>2050</v>
      </c>
      <c r="J61" s="15" t="s">
        <v>50</v>
      </c>
      <c r="L61" s="16">
        <v>0</v>
      </c>
      <c r="M61" s="17">
        <f>M310*[1]bioshares!D69</f>
        <v>1.0971885929214578</v>
      </c>
      <c r="N61" s="17">
        <f>N310*[1]bioshares!E69</f>
        <v>0.46905403586252559</v>
      </c>
      <c r="O61" s="17">
        <f>O310*[1]bioshares!F69</f>
        <v>4.0718907542475549</v>
      </c>
      <c r="P61" s="16">
        <v>0</v>
      </c>
      <c r="Q61" s="16">
        <v>0</v>
      </c>
      <c r="R61" s="17">
        <f>R310*[1]bioshares!I69</f>
        <v>0</v>
      </c>
      <c r="S61" s="17">
        <f>S310*[1]bioshares!J69</f>
        <v>6.4716073093705377</v>
      </c>
      <c r="T61" s="17">
        <f>T310*[1]bioshares!K69</f>
        <v>12.632143500380836</v>
      </c>
      <c r="U61" s="17">
        <f>U310*[1]bioshares!L69</f>
        <v>0</v>
      </c>
      <c r="V61" s="17">
        <f>V310*[1]bioshares!M69</f>
        <v>0.74172450610554908</v>
      </c>
      <c r="W61" s="17">
        <f>W310*[1]bioshares!N69</f>
        <v>0</v>
      </c>
      <c r="X61" s="17">
        <f>X310*[1]bioshares!O69</f>
        <v>4.6299017343730879</v>
      </c>
      <c r="Y61" s="17">
        <f>Y310*[1]bioshares!P69</f>
        <v>18.720400571089694</v>
      </c>
      <c r="Z61" s="17">
        <f>Z310*[1]bioshares!Q69</f>
        <v>0</v>
      </c>
      <c r="AA61" s="17">
        <f>AA310*[1]bioshares!R69</f>
        <v>0</v>
      </c>
      <c r="AB61" s="17">
        <f>AB310*[1]bioshares!S69</f>
        <v>12.285473997243102</v>
      </c>
      <c r="AC61" s="17">
        <f>AC310*[1]bioshares!T69</f>
        <v>1.6005394268599265</v>
      </c>
      <c r="AD61" s="16">
        <v>0</v>
      </c>
      <c r="AE61" s="17">
        <f>AE310*[1]bioshares!V69</f>
        <v>0</v>
      </c>
      <c r="AF61" s="17">
        <f>AF310*[1]bioshares!W69</f>
        <v>4.7666940833145626</v>
      </c>
      <c r="AG61" s="17">
        <f>AG310*[1]bioshares!X69</f>
        <v>0</v>
      </c>
      <c r="AH61" s="17">
        <f>AH310*[1]bioshares!Y69</f>
        <v>1.058201067343346</v>
      </c>
      <c r="AI61" s="16">
        <v>0</v>
      </c>
      <c r="AJ61" s="16">
        <v>0</v>
      </c>
      <c r="AK61" s="17">
        <f>AK310*[1]bioshares!AB69</f>
        <v>0</v>
      </c>
      <c r="AL61" s="17">
        <f>AL310*[1]bioshares!AC69</f>
        <v>1.1187819167451165</v>
      </c>
      <c r="AM61" s="16">
        <v>4.0377017522063889</v>
      </c>
      <c r="AN61" s="17">
        <f>AN310*[1]bioshares!AE69</f>
        <v>47.941609587681533</v>
      </c>
      <c r="AO61" s="17">
        <f>AO310*[1]bioshares!AF69</f>
        <v>0</v>
      </c>
      <c r="AP61" s="17">
        <f>AP310*[1]bioshares!AG69</f>
        <v>38.034365420613483</v>
      </c>
      <c r="AQ61" s="17">
        <f>AQ310*[1]bioshares!AH69</f>
        <v>0</v>
      </c>
      <c r="AR61" s="17">
        <f>AR310*[1]bioshares!AI69</f>
        <v>2.4900418986669566</v>
      </c>
      <c r="AS61" s="17">
        <f>AS310*[1]bioshares!AJ69</f>
        <v>0</v>
      </c>
      <c r="AT61" s="17">
        <f>AT310*[1]bioshares!AK69</f>
        <v>0.85491109490208095</v>
      </c>
      <c r="AU61" s="16">
        <v>27.77527983643316</v>
      </c>
      <c r="AV61" s="16"/>
      <c r="AY61" s="16"/>
      <c r="AZ61" s="16"/>
      <c r="BA61" s="16">
        <f>SUM(M61:O61,R61:AC61,AE61:AH61,AK61:AL61,AN61:AP61,AR61:AU61)</f>
        <v>186.75980933415454</v>
      </c>
      <c r="BG61" s="16">
        <f>BA61-AU61</f>
        <v>158.98452949772138</v>
      </c>
    </row>
    <row r="62" spans="1:59" x14ac:dyDescent="0.3">
      <c r="A62" t="s">
        <v>70</v>
      </c>
      <c r="B62" t="s">
        <v>40</v>
      </c>
      <c r="C62" t="s">
        <v>84</v>
      </c>
      <c r="F62" t="s">
        <v>77</v>
      </c>
      <c r="H62" t="s">
        <v>78</v>
      </c>
      <c r="I62">
        <v>2005</v>
      </c>
      <c r="J62" t="s">
        <v>50</v>
      </c>
      <c r="L62" s="18">
        <v>6.912306827095354</v>
      </c>
      <c r="M62" s="18">
        <v>9.7576928017184965</v>
      </c>
      <c r="N62" s="18">
        <v>9.7499269048710033</v>
      </c>
      <c r="O62" s="18">
        <v>7.6086883869706003</v>
      </c>
      <c r="P62" s="18">
        <v>7.4112730685322461</v>
      </c>
      <c r="Q62" s="18">
        <v>11.103336344128369</v>
      </c>
      <c r="R62" s="18">
        <v>0</v>
      </c>
      <c r="S62" s="18">
        <v>7.62487832895963</v>
      </c>
      <c r="T62" s="18">
        <v>11.802830154932328</v>
      </c>
      <c r="U62" s="18">
        <v>17.819199589568392</v>
      </c>
      <c r="V62" s="18">
        <v>7.8885431875159577</v>
      </c>
      <c r="W62" s="18">
        <v>0</v>
      </c>
      <c r="X62" s="18">
        <v>13.483013979369167</v>
      </c>
      <c r="Y62" s="18">
        <v>10.561002428001631</v>
      </c>
      <c r="Z62" s="18">
        <v>0</v>
      </c>
      <c r="AA62" s="18">
        <v>0</v>
      </c>
      <c r="AB62" s="18">
        <v>7.513179423358272</v>
      </c>
      <c r="AC62" s="18">
        <v>9.9307697078986799</v>
      </c>
      <c r="AD62" s="18">
        <v>0</v>
      </c>
      <c r="AE62" s="18">
        <v>0</v>
      </c>
      <c r="AF62" s="18">
        <v>6.9169100876930267</v>
      </c>
      <c r="AG62" s="18">
        <v>10.926785728192844</v>
      </c>
      <c r="AH62" s="18">
        <v>7.1025369123224724</v>
      </c>
      <c r="AI62" s="18">
        <v>7.4112730685322461</v>
      </c>
      <c r="AJ62" s="18">
        <v>7.4112730685322461</v>
      </c>
      <c r="AK62" s="18">
        <v>0</v>
      </c>
      <c r="AL62" s="18">
        <v>15.099704924324879</v>
      </c>
      <c r="AM62" s="18">
        <v>0</v>
      </c>
      <c r="AN62" s="18">
        <v>8.9250544691469802</v>
      </c>
      <c r="AO62" s="18">
        <v>9.3722726197944493</v>
      </c>
      <c r="AP62" s="18">
        <v>6.824712886195627</v>
      </c>
      <c r="AQ62" s="18">
        <v>7.4105851537698966</v>
      </c>
      <c r="AR62" s="18">
        <v>14.031054061471906</v>
      </c>
      <c r="AS62" s="18">
        <v>0</v>
      </c>
      <c r="AT62" s="18">
        <v>7.1245961763032088</v>
      </c>
      <c r="AU62" s="18">
        <v>10.393549407418153</v>
      </c>
      <c r="AV62" s="18"/>
      <c r="AY62" s="18"/>
      <c r="AZ62" s="18"/>
      <c r="BA62" s="18"/>
    </row>
    <row r="63" spans="1:59" x14ac:dyDescent="0.3">
      <c r="A63" t="s">
        <v>70</v>
      </c>
      <c r="B63" t="s">
        <v>40</v>
      </c>
      <c r="C63" t="s">
        <v>84</v>
      </c>
      <c r="F63" t="s">
        <v>77</v>
      </c>
      <c r="H63" t="s">
        <v>78</v>
      </c>
      <c r="I63">
        <v>2020</v>
      </c>
      <c r="J63" t="s">
        <v>50</v>
      </c>
      <c r="L63" s="18">
        <v>6.912306827095354</v>
      </c>
      <c r="M63" s="18">
        <v>9.7576928017184965</v>
      </c>
      <c r="N63" s="18">
        <v>9.7499269048710033</v>
      </c>
      <c r="O63" s="18">
        <v>7.6086883869706003</v>
      </c>
      <c r="P63" s="18">
        <v>7.4112730685322461</v>
      </c>
      <c r="Q63" s="18">
        <v>11.103336344128369</v>
      </c>
      <c r="R63" s="18">
        <v>0</v>
      </c>
      <c r="S63" s="18">
        <v>7.62487832895963</v>
      </c>
      <c r="T63" s="18">
        <v>11.802830154932328</v>
      </c>
      <c r="U63" s="18">
        <v>17.819199589568392</v>
      </c>
      <c r="V63" s="18">
        <v>7.8885431875159577</v>
      </c>
      <c r="W63" s="18">
        <v>0</v>
      </c>
      <c r="X63" s="18">
        <v>13.483013979369167</v>
      </c>
      <c r="Y63" s="18">
        <v>10.561002428001631</v>
      </c>
      <c r="Z63" s="18">
        <v>0</v>
      </c>
      <c r="AA63" s="18">
        <v>0</v>
      </c>
      <c r="AB63" s="18">
        <v>7.513179423358272</v>
      </c>
      <c r="AC63" s="18">
        <v>9.9307697078986799</v>
      </c>
      <c r="AD63" s="18">
        <v>0</v>
      </c>
      <c r="AE63" s="18">
        <v>0</v>
      </c>
      <c r="AF63" s="18">
        <v>6.9169100876930267</v>
      </c>
      <c r="AG63" s="18">
        <v>10.926785728192844</v>
      </c>
      <c r="AH63" s="18">
        <v>7.1025369123224724</v>
      </c>
      <c r="AI63" s="18">
        <v>7.4112730685322461</v>
      </c>
      <c r="AJ63" s="18">
        <v>7.4112730685322461</v>
      </c>
      <c r="AK63" s="18">
        <v>0</v>
      </c>
      <c r="AL63" s="18">
        <v>15.099704924324879</v>
      </c>
      <c r="AM63" s="18">
        <v>0</v>
      </c>
      <c r="AN63" s="18">
        <v>8.9250544691469802</v>
      </c>
      <c r="AO63" s="18">
        <v>9.3722726197944493</v>
      </c>
      <c r="AP63" s="18">
        <v>6.824712886195627</v>
      </c>
      <c r="AQ63" s="18">
        <v>7.4105851537698966</v>
      </c>
      <c r="AR63" s="18">
        <v>14.031054061471906</v>
      </c>
      <c r="AS63" s="18">
        <v>0</v>
      </c>
      <c r="AT63" s="18">
        <v>7.1245961763032088</v>
      </c>
      <c r="AU63" s="18">
        <v>10.393549407418153</v>
      </c>
      <c r="AV63" s="18"/>
      <c r="AW63" s="21"/>
    </row>
    <row r="64" spans="1:59" x14ac:dyDescent="0.3">
      <c r="A64" t="s">
        <v>70</v>
      </c>
      <c r="B64" t="s">
        <v>40</v>
      </c>
      <c r="C64" t="s">
        <v>84</v>
      </c>
      <c r="F64" t="s">
        <v>77</v>
      </c>
      <c r="H64" t="s">
        <v>78</v>
      </c>
      <c r="I64">
        <v>2030</v>
      </c>
      <c r="J64" t="s">
        <v>50</v>
      </c>
      <c r="L64" s="18">
        <v>6.4385073811207327</v>
      </c>
      <c r="M64" s="18">
        <v>9.3148852661315953</v>
      </c>
      <c r="N64" s="18">
        <v>8.3349275992435068</v>
      </c>
      <c r="O64" s="18">
        <v>8.13318330088482</v>
      </c>
      <c r="P64" s="18">
        <v>6.4385073811207327</v>
      </c>
      <c r="Q64" s="18">
        <v>8.9109787191956151</v>
      </c>
      <c r="R64" s="18">
        <v>0</v>
      </c>
      <c r="S64" s="18">
        <v>6.7395160965684227</v>
      </c>
      <c r="T64" s="18">
        <v>10.339291985234764</v>
      </c>
      <c r="U64" s="18">
        <v>18.757171389932761</v>
      </c>
      <c r="V64" s="18">
        <v>7.9656812562562349</v>
      </c>
      <c r="W64" s="18">
        <v>0</v>
      </c>
      <c r="X64" s="18">
        <v>12.386997257405211</v>
      </c>
      <c r="Y64" s="18">
        <v>9.1160740795650561</v>
      </c>
      <c r="Z64" s="18">
        <v>0</v>
      </c>
      <c r="AA64" s="18">
        <v>7.6896037083973443</v>
      </c>
      <c r="AB64" s="18">
        <v>7.1857882013541587</v>
      </c>
      <c r="AC64" s="18">
        <v>10.224660956669162</v>
      </c>
      <c r="AD64" s="18">
        <v>0</v>
      </c>
      <c r="AE64" s="18">
        <v>0</v>
      </c>
      <c r="AF64" s="18">
        <v>6.1772507174737319</v>
      </c>
      <c r="AG64" s="18">
        <v>10.760904218449451</v>
      </c>
      <c r="AH64" s="18">
        <v>5.9080948005994518</v>
      </c>
      <c r="AI64" s="18">
        <v>6.9474404561531538</v>
      </c>
      <c r="AJ64" s="18">
        <v>6.9474404561531538</v>
      </c>
      <c r="AK64" s="18">
        <v>0</v>
      </c>
      <c r="AL64" s="18">
        <v>13.479091453784926</v>
      </c>
      <c r="AM64" s="18">
        <v>11.546414327697367</v>
      </c>
      <c r="AN64" s="18">
        <v>7.7732803318807182</v>
      </c>
      <c r="AO64" s="18">
        <v>0</v>
      </c>
      <c r="AP64" s="18">
        <v>6.4748217148135758</v>
      </c>
      <c r="AQ64" s="18">
        <v>6.4385073811207327</v>
      </c>
      <c r="AR64" s="18">
        <v>12.955991968329457</v>
      </c>
      <c r="AS64" s="18">
        <v>0</v>
      </c>
      <c r="AT64" s="18">
        <v>5.9949224431686847</v>
      </c>
      <c r="AU64" s="18">
        <v>8.9276896402839601</v>
      </c>
      <c r="AV64" s="18"/>
      <c r="AW64" s="21"/>
      <c r="AX64" s="18"/>
      <c r="AY64" s="18"/>
      <c r="AZ64" s="18"/>
      <c r="BA64" s="18"/>
    </row>
    <row r="65" spans="1:59" x14ac:dyDescent="0.3">
      <c r="A65" t="s">
        <v>70</v>
      </c>
      <c r="B65" t="s">
        <v>40</v>
      </c>
      <c r="C65" t="s">
        <v>84</v>
      </c>
      <c r="F65" t="s">
        <v>77</v>
      </c>
      <c r="H65" t="s">
        <v>78</v>
      </c>
      <c r="I65">
        <v>2040</v>
      </c>
      <c r="J65" t="s">
        <v>50</v>
      </c>
      <c r="L65" s="18">
        <v>7.5891187433844198</v>
      </c>
      <c r="M65" s="18">
        <v>10.201619923109414</v>
      </c>
      <c r="N65" s="18">
        <v>10.384059401670049</v>
      </c>
      <c r="O65" s="18">
        <v>7.8921502649268067</v>
      </c>
      <c r="P65" s="18">
        <v>7.5891187433844198</v>
      </c>
      <c r="Q65" s="18">
        <v>9.9281440457163992</v>
      </c>
      <c r="R65" s="18">
        <v>0</v>
      </c>
      <c r="S65" s="18">
        <v>6.4984538042015485</v>
      </c>
      <c r="T65" s="18">
        <v>10.136957512496837</v>
      </c>
      <c r="U65" s="18">
        <v>18.343656092382705</v>
      </c>
      <c r="V65" s="18">
        <v>8.9188238325815625</v>
      </c>
      <c r="W65" s="18">
        <v>0</v>
      </c>
      <c r="X65" s="18">
        <v>11.937257511273996</v>
      </c>
      <c r="Y65" s="18">
        <v>8.9607010487056584</v>
      </c>
      <c r="Z65" s="18">
        <v>0</v>
      </c>
      <c r="AA65" s="18">
        <v>8.8590201082403315</v>
      </c>
      <c r="AB65" s="18">
        <v>6.9701960664502369</v>
      </c>
      <c r="AC65" s="18">
        <v>10.902394822482847</v>
      </c>
      <c r="AD65" s="18">
        <v>0</v>
      </c>
      <c r="AE65" s="18">
        <v>0</v>
      </c>
      <c r="AF65" s="18">
        <v>7.9219591909410241</v>
      </c>
      <c r="AG65" s="18">
        <v>10.621539372259939</v>
      </c>
      <c r="AH65" s="18">
        <v>7.798698791073825</v>
      </c>
      <c r="AI65" s="18">
        <v>8.1080186520123689</v>
      </c>
      <c r="AJ65" s="18">
        <v>8.1080186520123689</v>
      </c>
      <c r="AK65" s="18">
        <v>0</v>
      </c>
      <c r="AL65" s="18">
        <v>13.158727386638828</v>
      </c>
      <c r="AM65" s="18">
        <v>12.719648115727438</v>
      </c>
      <c r="AN65" s="18">
        <v>7.7923926028796684</v>
      </c>
      <c r="AO65" s="18">
        <v>0</v>
      </c>
      <c r="AP65" s="18">
        <v>6.7399092591470549</v>
      </c>
      <c r="AQ65" s="18">
        <v>7.5891187433844198</v>
      </c>
      <c r="AR65" s="18">
        <v>13.04230883009561</v>
      </c>
      <c r="AS65" s="18">
        <v>0</v>
      </c>
      <c r="AT65" s="18">
        <v>7.677468878156942</v>
      </c>
      <c r="AU65" s="18">
        <v>9.064352361342312</v>
      </c>
      <c r="AV65" s="18"/>
      <c r="AX65" s="18"/>
      <c r="AY65" s="18"/>
      <c r="AZ65" s="18"/>
      <c r="BA65" s="18"/>
    </row>
    <row r="66" spans="1:59" x14ac:dyDescent="0.3">
      <c r="A66" t="s">
        <v>70</v>
      </c>
      <c r="B66" t="s">
        <v>40</v>
      </c>
      <c r="C66" t="s">
        <v>84</v>
      </c>
      <c r="F66" t="s">
        <v>77</v>
      </c>
      <c r="H66" t="s">
        <v>78</v>
      </c>
      <c r="I66">
        <v>2050</v>
      </c>
      <c r="J66" t="s">
        <v>50</v>
      </c>
      <c r="L66" s="18">
        <v>7.8165953409711788</v>
      </c>
      <c r="M66" s="18">
        <v>10.678457062155218</v>
      </c>
      <c r="N66" s="18">
        <v>10.590759884399393</v>
      </c>
      <c r="O66" s="18">
        <v>7.5246052418426252</v>
      </c>
      <c r="P66" s="18">
        <v>8.3454620831946595</v>
      </c>
      <c r="Q66" s="18">
        <v>10.03235507958618</v>
      </c>
      <c r="R66" s="18">
        <v>0</v>
      </c>
      <c r="S66" s="18">
        <v>6.3856847387594708</v>
      </c>
      <c r="T66" s="18">
        <v>9.9515699307768042</v>
      </c>
      <c r="U66" s="18">
        <v>0</v>
      </c>
      <c r="V66" s="18">
        <v>8.9305406715675719</v>
      </c>
      <c r="W66" s="18">
        <v>0</v>
      </c>
      <c r="X66" s="18">
        <v>11.778089401653293</v>
      </c>
      <c r="Y66" s="18">
        <v>8.8321011731405488</v>
      </c>
      <c r="Z66" s="18">
        <v>0</v>
      </c>
      <c r="AA66" s="18">
        <v>9.1053017434063914</v>
      </c>
      <c r="AB66" s="18">
        <v>6.9538999283115777</v>
      </c>
      <c r="AC66" s="18">
        <v>10.787808030123522</v>
      </c>
      <c r="AD66" s="18">
        <v>0</v>
      </c>
      <c r="AE66" s="18">
        <v>0</v>
      </c>
      <c r="AF66" s="18">
        <v>7.9702637644569565</v>
      </c>
      <c r="AG66" s="18">
        <v>10.488479616821065</v>
      </c>
      <c r="AH66" s="18">
        <v>8.6205357831547946</v>
      </c>
      <c r="AI66" s="18">
        <v>8.3454620831946595</v>
      </c>
      <c r="AJ66" s="18">
        <v>8.3454620831946595</v>
      </c>
      <c r="AK66" s="18">
        <v>0</v>
      </c>
      <c r="AL66" s="18">
        <v>12.870685589066161</v>
      </c>
      <c r="AM66" s="18">
        <v>12.969747139080583</v>
      </c>
      <c r="AN66" s="18">
        <v>7.9101391396849721</v>
      </c>
      <c r="AO66" s="18">
        <v>0</v>
      </c>
      <c r="AP66" s="18">
        <v>6.9618456747409621</v>
      </c>
      <c r="AQ66" s="18">
        <v>8.3260548575428022</v>
      </c>
      <c r="AR66" s="18">
        <v>13.205062021753143</v>
      </c>
      <c r="AS66" s="18">
        <v>0</v>
      </c>
      <c r="AT66" s="18">
        <v>8.1311063633613418</v>
      </c>
      <c r="AU66" s="18">
        <v>9.8996366012277619</v>
      </c>
      <c r="AV66" s="18"/>
      <c r="AX66" s="18"/>
      <c r="AY66" s="18"/>
      <c r="AZ66" s="18"/>
      <c r="BA66" s="18"/>
    </row>
    <row r="67" spans="1:59" x14ac:dyDescent="0.3">
      <c r="E67" t="s">
        <v>79</v>
      </c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X67" s="18"/>
      <c r="AY67" s="18"/>
      <c r="AZ67" s="18"/>
      <c r="BA67" s="18"/>
    </row>
    <row r="68" spans="1:59" s="12" customFormat="1" x14ac:dyDescent="0.3">
      <c r="A68" s="12" t="s">
        <v>70</v>
      </c>
      <c r="B68" s="12" t="s">
        <v>40</v>
      </c>
      <c r="C68" s="12" t="s">
        <v>85</v>
      </c>
      <c r="E68" s="12" t="s">
        <v>73</v>
      </c>
      <c r="G68" s="12" t="s">
        <v>74</v>
      </c>
      <c r="H68" s="12" t="s">
        <v>75</v>
      </c>
      <c r="I68" s="12">
        <v>2005</v>
      </c>
      <c r="J68" s="12" t="s">
        <v>51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  <c r="AJ68" s="13">
        <v>0</v>
      </c>
      <c r="AK68" s="13">
        <v>0</v>
      </c>
      <c r="AL68" s="13">
        <v>0</v>
      </c>
      <c r="AM68" s="13">
        <v>0</v>
      </c>
      <c r="AN68" s="13">
        <v>0</v>
      </c>
      <c r="AO68" s="13">
        <v>0</v>
      </c>
      <c r="AP68" s="13">
        <v>0</v>
      </c>
      <c r="AQ68" s="13">
        <v>0</v>
      </c>
      <c r="AR68" s="13">
        <v>0</v>
      </c>
      <c r="AS68" s="13">
        <v>0</v>
      </c>
      <c r="AT68" s="13">
        <v>0</v>
      </c>
      <c r="AU68" s="13">
        <v>0</v>
      </c>
      <c r="AV68" s="13"/>
      <c r="AX68" s="13"/>
    </row>
    <row r="69" spans="1:59" s="12" customFormat="1" x14ac:dyDescent="0.3">
      <c r="A69" s="12" t="s">
        <v>70</v>
      </c>
      <c r="B69" s="12" t="s">
        <v>40</v>
      </c>
      <c r="C69" s="12" t="s">
        <v>85</v>
      </c>
      <c r="E69" s="12" t="s">
        <v>73</v>
      </c>
      <c r="G69" s="12" t="s">
        <v>74</v>
      </c>
      <c r="H69" s="12" t="s">
        <v>75</v>
      </c>
      <c r="I69" s="12">
        <v>2010</v>
      </c>
      <c r="J69" s="12" t="s">
        <v>51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3">
        <v>0</v>
      </c>
      <c r="AJ69" s="13">
        <v>0</v>
      </c>
      <c r="AK69" s="13">
        <v>0</v>
      </c>
      <c r="AL69" s="13">
        <v>0</v>
      </c>
      <c r="AM69" s="13">
        <v>0</v>
      </c>
      <c r="AN69" s="13">
        <v>0</v>
      </c>
      <c r="AO69" s="13">
        <v>0</v>
      </c>
      <c r="AP69" s="13">
        <v>0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/>
      <c r="AW69" s="13">
        <f>SUM(M69:O69,R69:AC69,AE69:AH69,AK69:AL69,AN69:AP69,AR69:AU69)</f>
        <v>0</v>
      </c>
      <c r="BC69" s="13">
        <f>AW69-AU69</f>
        <v>0</v>
      </c>
    </row>
    <row r="70" spans="1:59" s="12" customFormat="1" x14ac:dyDescent="0.3">
      <c r="A70" s="12" t="s">
        <v>70</v>
      </c>
      <c r="B70" s="12" t="s">
        <v>40</v>
      </c>
      <c r="C70" s="12" t="s">
        <v>85</v>
      </c>
      <c r="E70" s="12" t="s">
        <v>73</v>
      </c>
      <c r="G70" s="12" t="s">
        <v>74</v>
      </c>
      <c r="H70" s="12" t="s">
        <v>75</v>
      </c>
      <c r="I70" s="12">
        <v>2020</v>
      </c>
      <c r="J70" s="12" t="s">
        <v>51</v>
      </c>
      <c r="L70" s="13">
        <v>5.3754834434076306</v>
      </c>
      <c r="M70" s="13">
        <f t="shared" ref="M70:O70" si="29">M71</f>
        <v>0</v>
      </c>
      <c r="N70" s="13">
        <f t="shared" si="29"/>
        <v>0</v>
      </c>
      <c r="O70" s="13">
        <f t="shared" si="29"/>
        <v>0</v>
      </c>
      <c r="P70" s="13">
        <v>13.192975449949744</v>
      </c>
      <c r="Q70" s="13">
        <v>0</v>
      </c>
      <c r="R70" s="13">
        <f t="shared" ref="R70:AC70" si="30">R71</f>
        <v>5.4327916990879049E-2</v>
      </c>
      <c r="S70" s="13">
        <f t="shared" si="30"/>
        <v>0</v>
      </c>
      <c r="T70" s="13">
        <f t="shared" si="30"/>
        <v>0</v>
      </c>
      <c r="U70" s="13">
        <f t="shared" si="30"/>
        <v>0</v>
      </c>
      <c r="V70" s="13">
        <f t="shared" si="30"/>
        <v>0</v>
      </c>
      <c r="W70" s="13">
        <f t="shared" si="30"/>
        <v>8.4599417996171269</v>
      </c>
      <c r="X70" s="13">
        <f t="shared" si="30"/>
        <v>0</v>
      </c>
      <c r="Y70" s="13">
        <f t="shared" si="30"/>
        <v>0.58539789013756716</v>
      </c>
      <c r="Z70" s="13">
        <f t="shared" si="30"/>
        <v>0.69454297460103975</v>
      </c>
      <c r="AA70" s="13">
        <f t="shared" si="30"/>
        <v>0</v>
      </c>
      <c r="AB70" s="13">
        <f t="shared" si="30"/>
        <v>0</v>
      </c>
      <c r="AC70" s="13">
        <f t="shared" si="30"/>
        <v>0</v>
      </c>
      <c r="AD70" s="13">
        <v>0</v>
      </c>
      <c r="AE70" s="13">
        <f t="shared" ref="AE70:AH70" si="31">AE71</f>
        <v>2.0968202888104739</v>
      </c>
      <c r="AF70" s="13">
        <f t="shared" si="31"/>
        <v>0</v>
      </c>
      <c r="AG70" s="13">
        <f t="shared" si="31"/>
        <v>0</v>
      </c>
      <c r="AH70" s="13">
        <f t="shared" si="31"/>
        <v>0</v>
      </c>
      <c r="AI70" s="13">
        <v>0.49997888525423856</v>
      </c>
      <c r="AJ70" s="13">
        <v>3.245867903882897</v>
      </c>
      <c r="AK70" s="13">
        <v>0</v>
      </c>
      <c r="AL70" s="13">
        <v>0</v>
      </c>
      <c r="AM70" s="13">
        <v>0</v>
      </c>
      <c r="AN70" s="13">
        <f t="shared" ref="AN70:AT70" si="32">AN71</f>
        <v>0</v>
      </c>
      <c r="AO70" s="13">
        <f t="shared" si="32"/>
        <v>0.49104975083782043</v>
      </c>
      <c r="AP70" s="13">
        <f t="shared" si="32"/>
        <v>0</v>
      </c>
      <c r="AQ70" s="13">
        <f t="shared" si="32"/>
        <v>0</v>
      </c>
      <c r="AR70" s="13">
        <f t="shared" si="32"/>
        <v>0</v>
      </c>
      <c r="AS70" s="13">
        <f t="shared" si="32"/>
        <v>2.9521010942883386E-2</v>
      </c>
      <c r="AT70" s="13">
        <f t="shared" si="32"/>
        <v>0</v>
      </c>
      <c r="AU70" s="13">
        <v>0</v>
      </c>
      <c r="AV70" s="13"/>
      <c r="AX70" s="13">
        <f>SUM(M70:O70,R70:AC70,AE70:AH70,AK70:AL70,AN70:AP70,AR70:AU70)</f>
        <v>12.41160163193779</v>
      </c>
      <c r="BD70" s="13">
        <f>AX70-AU70</f>
        <v>12.41160163193779</v>
      </c>
    </row>
    <row r="71" spans="1:59" s="12" customFormat="1" x14ac:dyDescent="0.3">
      <c r="A71" s="12" t="s">
        <v>70</v>
      </c>
      <c r="B71" s="12" t="s">
        <v>40</v>
      </c>
      <c r="C71" s="12" t="s">
        <v>85</v>
      </c>
      <c r="E71" s="12" t="s">
        <v>73</v>
      </c>
      <c r="G71" s="12" t="s">
        <v>74</v>
      </c>
      <c r="H71" s="12" t="s">
        <v>75</v>
      </c>
      <c r="I71" s="12">
        <v>2030</v>
      </c>
      <c r="J71" s="12" t="s">
        <v>51</v>
      </c>
      <c r="L71" s="13">
        <v>5.6331514752524647</v>
      </c>
      <c r="M71" s="14">
        <f>M308*[1]bioshares!D73</f>
        <v>0</v>
      </c>
      <c r="N71" s="14">
        <f>N308*[1]bioshares!E73</f>
        <v>0</v>
      </c>
      <c r="O71" s="14">
        <f>O308*[1]bioshares!F73</f>
        <v>0</v>
      </c>
      <c r="P71" s="13">
        <v>13.620299629876971</v>
      </c>
      <c r="Q71" s="13">
        <v>0</v>
      </c>
      <c r="R71" s="14">
        <f>R308*[1]bioshares!I73</f>
        <v>5.4327916990879049E-2</v>
      </c>
      <c r="S71" s="14">
        <f>S308*[1]bioshares!J73</f>
        <v>0</v>
      </c>
      <c r="T71" s="14">
        <f>T308*[1]bioshares!K73</f>
        <v>0</v>
      </c>
      <c r="U71" s="14">
        <f>U308*[1]bioshares!L73</f>
        <v>0</v>
      </c>
      <c r="V71" s="14">
        <f>V308*[1]bioshares!M73</f>
        <v>0</v>
      </c>
      <c r="W71" s="14">
        <f>W308*[1]bioshares!N73</f>
        <v>8.4599417996171269</v>
      </c>
      <c r="X71" s="14">
        <f>X308*[1]bioshares!O73</f>
        <v>0</v>
      </c>
      <c r="Y71" s="14">
        <f>Y308*[1]bioshares!P73</f>
        <v>0.58539789013756716</v>
      </c>
      <c r="Z71" s="14">
        <f>Z308*[1]bioshares!Q73</f>
        <v>0.69454297460103975</v>
      </c>
      <c r="AA71" s="14">
        <f>AA308*[1]bioshares!R73</f>
        <v>0</v>
      </c>
      <c r="AB71" s="14">
        <f>AB308*[1]bioshares!S73</f>
        <v>0</v>
      </c>
      <c r="AC71" s="14">
        <f>AC308*[1]bioshares!T73</f>
        <v>0</v>
      </c>
      <c r="AD71" s="13">
        <v>0</v>
      </c>
      <c r="AE71" s="14">
        <f>AE308*[1]bioshares!V73</f>
        <v>2.0968202888104739</v>
      </c>
      <c r="AF71" s="14">
        <f>AF308*[1]bioshares!W73</f>
        <v>0</v>
      </c>
      <c r="AG71" s="14">
        <f>AG308*[1]bioshares!X73</f>
        <v>0</v>
      </c>
      <c r="AH71" s="14">
        <f>AH308*[1]bioshares!Y73</f>
        <v>0</v>
      </c>
      <c r="AI71" s="13">
        <v>0.51183672812200365</v>
      </c>
      <c r="AJ71" s="13">
        <v>3.3946165240424127</v>
      </c>
      <c r="AK71" s="14">
        <f>AK308*[1]bioshares!AB73</f>
        <v>0</v>
      </c>
      <c r="AL71" s="14">
        <f>AL308*[1]bioshares!AC73</f>
        <v>0</v>
      </c>
      <c r="AM71" s="13">
        <v>0</v>
      </c>
      <c r="AN71" s="14">
        <f>AN308*[1]bioshares!AE73</f>
        <v>0</v>
      </c>
      <c r="AO71" s="14">
        <f>AO308*[1]bioshares!AF73</f>
        <v>0.49104975083782043</v>
      </c>
      <c r="AP71" s="14">
        <f>AP308*[1]bioshares!AG73</f>
        <v>0</v>
      </c>
      <c r="AQ71" s="14">
        <f>AQ308*[1]bioshares!AH73</f>
        <v>0</v>
      </c>
      <c r="AR71" s="14">
        <f>AR308*[1]bioshares!AI73</f>
        <v>0</v>
      </c>
      <c r="AS71" s="14">
        <f>AS308*[1]bioshares!AJ73</f>
        <v>2.9521010942883386E-2</v>
      </c>
      <c r="AT71" s="14">
        <f>AT308*[1]bioshares!AK73</f>
        <v>0</v>
      </c>
      <c r="AU71" s="13">
        <v>0</v>
      </c>
      <c r="AV71" s="13"/>
      <c r="AY71" s="13">
        <f>SUM(M71:O71,R71:AC71,AE71:AH71,AK71:AL71,AN71:AP71,AR71:AU71)</f>
        <v>12.41160163193779</v>
      </c>
      <c r="BE71" s="13">
        <f>AY71-AU71</f>
        <v>12.41160163193779</v>
      </c>
    </row>
    <row r="72" spans="1:59" s="12" customFormat="1" x14ac:dyDescent="0.3">
      <c r="A72" s="12" t="s">
        <v>70</v>
      </c>
      <c r="B72" s="12" t="s">
        <v>40</v>
      </c>
      <c r="C72" s="12" t="s">
        <v>85</v>
      </c>
      <c r="E72" s="12" t="s">
        <v>73</v>
      </c>
      <c r="G72" s="12" t="s">
        <v>74</v>
      </c>
      <c r="H72" s="12" t="s">
        <v>75</v>
      </c>
      <c r="I72" s="12">
        <v>2040</v>
      </c>
      <c r="J72" s="12" t="s">
        <v>51</v>
      </c>
      <c r="L72" s="13">
        <v>5.9278461692128444</v>
      </c>
      <c r="M72" s="14">
        <f>M309*[1]bioshares!D74</f>
        <v>0</v>
      </c>
      <c r="N72" s="14">
        <f>N309*[1]bioshares!E74</f>
        <v>0</v>
      </c>
      <c r="O72" s="14">
        <f>O309*[1]bioshares!F74</f>
        <v>0</v>
      </c>
      <c r="P72" s="13">
        <v>13.746550143421604</v>
      </c>
      <c r="Q72" s="13">
        <v>0</v>
      </c>
      <c r="R72" s="14">
        <f>R309*[1]bioshares!I74</f>
        <v>0.19658769675982818</v>
      </c>
      <c r="S72" s="14">
        <f>S309*[1]bioshares!J74</f>
        <v>0</v>
      </c>
      <c r="T72" s="14">
        <f>T309*[1]bioshares!K74</f>
        <v>0</v>
      </c>
      <c r="U72" s="14">
        <f>U309*[1]bioshares!L74</f>
        <v>0</v>
      </c>
      <c r="V72" s="14">
        <f>V309*[1]bioshares!M74</f>
        <v>0</v>
      </c>
      <c r="W72" s="14">
        <f>W309*[1]bioshares!N74</f>
        <v>35.943686043319587</v>
      </c>
      <c r="X72" s="14">
        <f>X309*[1]bioshares!O74</f>
        <v>0</v>
      </c>
      <c r="Y72" s="14">
        <f>Y309*[1]bioshares!P74</f>
        <v>2.2749908850580778</v>
      </c>
      <c r="Z72" s="14">
        <f>Z309*[1]bioshares!Q74</f>
        <v>2.9349846039977785</v>
      </c>
      <c r="AA72" s="14">
        <f>AA309*[1]bioshares!R74</f>
        <v>0</v>
      </c>
      <c r="AB72" s="14">
        <f>AB309*[1]bioshares!S74</f>
        <v>0</v>
      </c>
      <c r="AC72" s="14">
        <f>AC309*[1]bioshares!T74</f>
        <v>0</v>
      </c>
      <c r="AD72" s="13">
        <v>0</v>
      </c>
      <c r="AE72" s="14">
        <f>AE309*[1]bioshares!V74</f>
        <v>7.983537981706343</v>
      </c>
      <c r="AF72" s="14">
        <f>AF309*[1]bioshares!W74</f>
        <v>0</v>
      </c>
      <c r="AG72" s="14">
        <f>AG309*[1]bioshares!X74</f>
        <v>0</v>
      </c>
      <c r="AH72" s="14">
        <f>AH309*[1]bioshares!Y74</f>
        <v>0</v>
      </c>
      <c r="AI72" s="13">
        <v>0.52828364129410743</v>
      </c>
      <c r="AJ72" s="13">
        <v>3.6449491399263767</v>
      </c>
      <c r="AK72" s="14">
        <f>AK309*[1]bioshares!AB74</f>
        <v>0</v>
      </c>
      <c r="AL72" s="14">
        <f>AL309*[1]bioshares!AC74</f>
        <v>0</v>
      </c>
      <c r="AM72" s="13">
        <v>0</v>
      </c>
      <c r="AN72" s="14">
        <f>AN309*[1]bioshares!AE74</f>
        <v>0</v>
      </c>
      <c r="AO72" s="14">
        <f>AO309*[1]bioshares!AF74</f>
        <v>2.6919159777251505</v>
      </c>
      <c r="AP72" s="14">
        <f>AP309*[1]bioshares!AG74</f>
        <v>0</v>
      </c>
      <c r="AQ72" s="14">
        <f>AQ309*[1]bioshares!AH74</f>
        <v>0</v>
      </c>
      <c r="AR72" s="14">
        <f>AR309*[1]bioshares!AI74</f>
        <v>0</v>
      </c>
      <c r="AS72" s="14">
        <f>AS309*[1]bioshares!AJ74</f>
        <v>9.8938294050151643E-2</v>
      </c>
      <c r="AT72" s="14">
        <f>AT309*[1]bioshares!AK74</f>
        <v>0</v>
      </c>
      <c r="AU72" s="13">
        <v>0</v>
      </c>
      <c r="AV72" s="13"/>
      <c r="AY72" s="13"/>
      <c r="AZ72" s="13">
        <f>SUM(M72:O72,R72:AC72,AE72:AH72,AK72:AL72,AN72:AP72,AR72:AU72)</f>
        <v>52.124641482616916</v>
      </c>
      <c r="BF72" s="13">
        <f>AZ72-AU72</f>
        <v>52.124641482616916</v>
      </c>
    </row>
    <row r="73" spans="1:59" s="15" customFormat="1" x14ac:dyDescent="0.3">
      <c r="A73" s="15" t="s">
        <v>70</v>
      </c>
      <c r="B73" s="15" t="s">
        <v>40</v>
      </c>
      <c r="C73" s="15" t="s">
        <v>85</v>
      </c>
      <c r="E73" s="15" t="s">
        <v>73</v>
      </c>
      <c r="G73" s="15" t="s">
        <v>74</v>
      </c>
      <c r="H73" s="15" t="s">
        <v>75</v>
      </c>
      <c r="I73" s="15">
        <v>2050</v>
      </c>
      <c r="J73" s="15" t="s">
        <v>51</v>
      </c>
      <c r="L73" s="16">
        <v>6.2262105789716609</v>
      </c>
      <c r="M73" s="17">
        <f>M310*[1]bioshares!D75</f>
        <v>0</v>
      </c>
      <c r="N73" s="17">
        <f>N310*[1]bioshares!E75</f>
        <v>0</v>
      </c>
      <c r="O73" s="17">
        <f>O310*[1]bioshares!F75</f>
        <v>0</v>
      </c>
      <c r="P73" s="16">
        <v>13.830426219890182</v>
      </c>
      <c r="Q73" s="16">
        <v>0</v>
      </c>
      <c r="R73" s="17">
        <f>R310*[1]bioshares!I75</f>
        <v>0.15657139647004786</v>
      </c>
      <c r="S73" s="17">
        <f>S310*[1]bioshares!J75</f>
        <v>0</v>
      </c>
      <c r="T73" s="17">
        <f>T310*[1]bioshares!K75</f>
        <v>0</v>
      </c>
      <c r="U73" s="17">
        <f>U310*[1]bioshares!L75</f>
        <v>0</v>
      </c>
      <c r="V73" s="17">
        <f>V310*[1]bioshares!M75</f>
        <v>0</v>
      </c>
      <c r="W73" s="17">
        <f>W310*[1]bioshares!N75</f>
        <v>33.965858827353486</v>
      </c>
      <c r="X73" s="17">
        <f>X310*[1]bioshares!O75</f>
        <v>0</v>
      </c>
      <c r="Y73" s="17">
        <f>Y310*[1]bioshares!P75</f>
        <v>1.9688358856089923</v>
      </c>
      <c r="Z73" s="17">
        <f>Z310*[1]bioshares!Q75</f>
        <v>2.7599114955367829</v>
      </c>
      <c r="AA73" s="17">
        <f>AA310*[1]bioshares!R75</f>
        <v>0</v>
      </c>
      <c r="AB73" s="17">
        <f>AB310*[1]bioshares!S75</f>
        <v>0</v>
      </c>
      <c r="AC73" s="17">
        <f>AC310*[1]bioshares!T75</f>
        <v>0</v>
      </c>
      <c r="AD73" s="16">
        <v>0</v>
      </c>
      <c r="AE73" s="17">
        <f>AE310*[1]bioshares!V75</f>
        <v>6.7551307056821939</v>
      </c>
      <c r="AF73" s="17">
        <f>AF310*[1]bioshares!W75</f>
        <v>0</v>
      </c>
      <c r="AG73" s="17">
        <f>AG310*[1]bioshares!X75</f>
        <v>0</v>
      </c>
      <c r="AH73" s="17">
        <f>AH310*[1]bioshares!Y75</f>
        <v>0</v>
      </c>
      <c r="AI73" s="16">
        <v>0.5441376507573743</v>
      </c>
      <c r="AJ73" s="16">
        <v>3.9036323527486991</v>
      </c>
      <c r="AK73" s="17">
        <f>AK310*[1]bioshares!AB75</f>
        <v>0</v>
      </c>
      <c r="AL73" s="17">
        <f>AL310*[1]bioshares!AC75</f>
        <v>0</v>
      </c>
      <c r="AM73" s="16">
        <v>0</v>
      </c>
      <c r="AN73" s="17">
        <f>AN310*[1]bioshares!AE75</f>
        <v>0</v>
      </c>
      <c r="AO73" s="17">
        <f>AO310*[1]bioshares!AF75</f>
        <v>3.0603047506549905</v>
      </c>
      <c r="AP73" s="17">
        <f>AP310*[1]bioshares!AG75</f>
        <v>0</v>
      </c>
      <c r="AQ73" s="17">
        <f>AQ310*[1]bioshares!AH75</f>
        <v>0</v>
      </c>
      <c r="AR73" s="17">
        <f>AR310*[1]bioshares!AI75</f>
        <v>0</v>
      </c>
      <c r="AS73" s="17">
        <f>AS310*[1]bioshares!AJ75</f>
        <v>7.0903060689500932E-2</v>
      </c>
      <c r="AT73" s="17">
        <f>AT310*[1]bioshares!AK75</f>
        <v>0</v>
      </c>
      <c r="AU73" s="16">
        <v>0</v>
      </c>
      <c r="AV73" s="16"/>
      <c r="AY73" s="16"/>
      <c r="AZ73" s="16"/>
      <c r="BA73" s="16">
        <f>SUM(M73:O73,R73:AC73,AE73:AH73,AK73:AL73,AN73:AP73,AR73:AU73)</f>
        <v>48.737516121995995</v>
      </c>
      <c r="BG73" s="16">
        <f>BA73-AU73</f>
        <v>48.737516121995995</v>
      </c>
    </row>
    <row r="74" spans="1:59" x14ac:dyDescent="0.3">
      <c r="A74" t="s">
        <v>70</v>
      </c>
      <c r="B74" t="s">
        <v>40</v>
      </c>
      <c r="C74" t="s">
        <v>85</v>
      </c>
      <c r="F74" t="s">
        <v>77</v>
      </c>
      <c r="H74" t="s">
        <v>78</v>
      </c>
      <c r="I74">
        <v>2005</v>
      </c>
      <c r="J74" t="s">
        <v>51</v>
      </c>
      <c r="L74" s="18">
        <v>7.9149018955560813</v>
      </c>
      <c r="M74" s="18">
        <v>0</v>
      </c>
      <c r="N74" s="18">
        <v>0</v>
      </c>
      <c r="O74" s="18">
        <v>0</v>
      </c>
      <c r="P74" s="18">
        <v>9.0822648493001239</v>
      </c>
      <c r="Q74" s="18">
        <v>0</v>
      </c>
      <c r="R74" s="18">
        <v>13.012708473757229</v>
      </c>
      <c r="S74" s="18">
        <v>0</v>
      </c>
      <c r="T74" s="18">
        <v>0</v>
      </c>
      <c r="U74" s="18">
        <v>0</v>
      </c>
      <c r="V74" s="18">
        <v>0</v>
      </c>
      <c r="W74" s="18">
        <v>16.746124735854536</v>
      </c>
      <c r="X74" s="18">
        <v>0</v>
      </c>
      <c r="Y74" s="18">
        <v>13.1570829814923</v>
      </c>
      <c r="Z74" s="18">
        <v>16.91394575250078</v>
      </c>
      <c r="AA74" s="18">
        <v>0</v>
      </c>
      <c r="AB74" s="18">
        <v>0</v>
      </c>
      <c r="AC74" s="18">
        <v>0</v>
      </c>
      <c r="AD74" s="18">
        <v>0</v>
      </c>
      <c r="AE74" s="18">
        <v>18.258214710920093</v>
      </c>
      <c r="AF74" s="18">
        <v>0</v>
      </c>
      <c r="AG74" s="18">
        <v>0</v>
      </c>
      <c r="AH74" s="18">
        <v>0</v>
      </c>
      <c r="AI74" s="18">
        <v>9.0822648493001239</v>
      </c>
      <c r="AJ74" s="18">
        <v>9.0822648493001239</v>
      </c>
      <c r="AK74" s="18">
        <v>0</v>
      </c>
      <c r="AL74" s="18">
        <v>0</v>
      </c>
      <c r="AM74" s="18">
        <v>0</v>
      </c>
      <c r="AN74" s="18">
        <v>0</v>
      </c>
      <c r="AO74" s="18">
        <v>11.437740259813033</v>
      </c>
      <c r="AP74" s="18">
        <v>0</v>
      </c>
      <c r="AQ74" s="18">
        <v>9.0815769345377753</v>
      </c>
      <c r="AR74" s="18">
        <v>0</v>
      </c>
      <c r="AS74" s="18">
        <v>10.22939364325501</v>
      </c>
      <c r="AT74" s="18">
        <v>0</v>
      </c>
      <c r="AU74" s="18">
        <v>0</v>
      </c>
      <c r="AV74" s="18"/>
      <c r="AX74" s="18"/>
      <c r="AY74" s="18"/>
      <c r="AZ74" s="18"/>
      <c r="BA74" s="18"/>
    </row>
    <row r="75" spans="1:59" x14ac:dyDescent="0.3">
      <c r="A75" t="s">
        <v>70</v>
      </c>
      <c r="B75" t="s">
        <v>40</v>
      </c>
      <c r="C75" t="s">
        <v>85</v>
      </c>
      <c r="F75" t="s">
        <v>77</v>
      </c>
      <c r="H75" t="s">
        <v>78</v>
      </c>
      <c r="I75">
        <v>2020</v>
      </c>
      <c r="J75" t="s">
        <v>51</v>
      </c>
      <c r="L75" s="18">
        <v>7.9149018955560813</v>
      </c>
      <c r="M75" s="18">
        <v>0</v>
      </c>
      <c r="N75" s="18">
        <v>0</v>
      </c>
      <c r="O75" s="18">
        <v>0</v>
      </c>
      <c r="P75" s="18">
        <v>9.0822648493001239</v>
      </c>
      <c r="Q75" s="18">
        <v>0</v>
      </c>
      <c r="R75" s="18">
        <v>13.012708473757229</v>
      </c>
      <c r="S75" s="18">
        <v>0</v>
      </c>
      <c r="T75" s="18">
        <v>0</v>
      </c>
      <c r="U75" s="18">
        <v>0</v>
      </c>
      <c r="V75" s="18">
        <v>0</v>
      </c>
      <c r="W75" s="18">
        <v>16.746124735854536</v>
      </c>
      <c r="X75" s="18">
        <v>0</v>
      </c>
      <c r="Y75" s="18">
        <v>13.1570829814923</v>
      </c>
      <c r="Z75" s="18">
        <v>16.91394575250078</v>
      </c>
      <c r="AA75" s="18">
        <v>0</v>
      </c>
      <c r="AB75" s="18">
        <v>0</v>
      </c>
      <c r="AC75" s="18">
        <v>0</v>
      </c>
      <c r="AD75" s="18">
        <v>0</v>
      </c>
      <c r="AE75" s="18">
        <v>18.258214710920093</v>
      </c>
      <c r="AF75" s="18">
        <v>0</v>
      </c>
      <c r="AG75" s="18">
        <v>0</v>
      </c>
      <c r="AH75" s="18">
        <v>0</v>
      </c>
      <c r="AI75" s="18">
        <v>9.0822648493001239</v>
      </c>
      <c r="AJ75" s="18">
        <v>9.0822648493001239</v>
      </c>
      <c r="AK75" s="18">
        <v>0</v>
      </c>
      <c r="AL75" s="18">
        <v>0</v>
      </c>
      <c r="AM75" s="18">
        <v>0</v>
      </c>
      <c r="AN75" s="18">
        <v>0</v>
      </c>
      <c r="AO75" s="18">
        <v>11.437740259813033</v>
      </c>
      <c r="AP75" s="18">
        <v>0</v>
      </c>
      <c r="AQ75" s="18">
        <v>9.0815769345377753</v>
      </c>
      <c r="AR75" s="18">
        <v>0</v>
      </c>
      <c r="AS75" s="18">
        <v>10.22939364325501</v>
      </c>
      <c r="AT75" s="18">
        <v>0</v>
      </c>
      <c r="AU75" s="18">
        <v>0</v>
      </c>
      <c r="AV75" s="18"/>
      <c r="AX75" s="18"/>
      <c r="AY75" s="18"/>
      <c r="AZ75" s="18"/>
      <c r="BA75" s="18"/>
    </row>
    <row r="76" spans="1:59" x14ac:dyDescent="0.3">
      <c r="A76" t="s">
        <v>70</v>
      </c>
      <c r="B76" t="s">
        <v>40</v>
      </c>
      <c r="C76" t="s">
        <v>85</v>
      </c>
      <c r="F76" t="s">
        <v>77</v>
      </c>
      <c r="H76" t="s">
        <v>78</v>
      </c>
      <c r="I76">
        <v>2030</v>
      </c>
      <c r="J76" t="s">
        <v>51</v>
      </c>
      <c r="L76" s="18">
        <v>7.46112925176004</v>
      </c>
      <c r="M76" s="18">
        <v>0</v>
      </c>
      <c r="N76" s="18">
        <v>0</v>
      </c>
      <c r="O76" s="18">
        <v>0</v>
      </c>
      <c r="P76" s="18">
        <v>7.46112925176004</v>
      </c>
      <c r="Q76" s="18">
        <v>0</v>
      </c>
      <c r="R76" s="18">
        <v>12.25983621519199</v>
      </c>
      <c r="S76" s="18">
        <v>0</v>
      </c>
      <c r="T76" s="18">
        <v>0</v>
      </c>
      <c r="U76" s="18">
        <v>0</v>
      </c>
      <c r="V76" s="18">
        <v>0</v>
      </c>
      <c r="W76" s="18">
        <v>15.299167807695538</v>
      </c>
      <c r="X76" s="18">
        <v>0</v>
      </c>
      <c r="Y76" s="18">
        <v>11.48120458076386</v>
      </c>
      <c r="Z76" s="18">
        <v>16.50563346116023</v>
      </c>
      <c r="AA76" s="18">
        <v>8.0085993490448963</v>
      </c>
      <c r="AB76" s="18">
        <v>0</v>
      </c>
      <c r="AC76" s="18">
        <v>0</v>
      </c>
      <c r="AD76" s="18">
        <v>0</v>
      </c>
      <c r="AE76" s="18">
        <v>18.237241180594133</v>
      </c>
      <c r="AF76" s="18">
        <v>0</v>
      </c>
      <c r="AG76" s="18">
        <v>0</v>
      </c>
      <c r="AH76" s="18">
        <v>0</v>
      </c>
      <c r="AI76" s="18">
        <v>8.651810240551999</v>
      </c>
      <c r="AJ76" s="18">
        <v>8.651810240551999</v>
      </c>
      <c r="AK76" s="18">
        <v>0</v>
      </c>
      <c r="AL76" s="18">
        <v>0</v>
      </c>
      <c r="AM76" s="18">
        <v>0</v>
      </c>
      <c r="AN76" s="18">
        <v>0</v>
      </c>
      <c r="AO76" s="18">
        <v>10.946496256738062</v>
      </c>
      <c r="AP76" s="18">
        <v>0</v>
      </c>
      <c r="AQ76" s="18">
        <v>7.46112925176004</v>
      </c>
      <c r="AR76" s="18">
        <v>0</v>
      </c>
      <c r="AS76" s="18">
        <v>8.9167478550195955</v>
      </c>
      <c r="AT76" s="18">
        <v>0</v>
      </c>
      <c r="AU76" s="18">
        <v>0</v>
      </c>
      <c r="AV76" s="18"/>
      <c r="AX76" s="18"/>
    </row>
    <row r="77" spans="1:59" x14ac:dyDescent="0.3">
      <c r="A77" t="s">
        <v>70</v>
      </c>
      <c r="B77" t="s">
        <v>40</v>
      </c>
      <c r="C77" t="s">
        <v>85</v>
      </c>
      <c r="F77" t="s">
        <v>77</v>
      </c>
      <c r="H77" t="s">
        <v>78</v>
      </c>
      <c r="I77">
        <v>2040</v>
      </c>
      <c r="J77" t="s">
        <v>51</v>
      </c>
      <c r="L77" s="18">
        <v>8.6317674162023064</v>
      </c>
      <c r="M77" s="18">
        <v>0</v>
      </c>
      <c r="N77" s="18">
        <v>0</v>
      </c>
      <c r="O77" s="18">
        <v>0</v>
      </c>
      <c r="P77" s="18">
        <v>8.6317674162023064</v>
      </c>
      <c r="Q77" s="18">
        <v>0</v>
      </c>
      <c r="R77" s="18">
        <v>12.428040731174901</v>
      </c>
      <c r="S77" s="18">
        <v>0</v>
      </c>
      <c r="T77" s="18">
        <v>0</v>
      </c>
      <c r="U77" s="18">
        <v>0</v>
      </c>
      <c r="V77" s="18">
        <v>0</v>
      </c>
      <c r="W77" s="18">
        <v>14.991299451734369</v>
      </c>
      <c r="X77" s="18">
        <v>0</v>
      </c>
      <c r="Y77" s="18">
        <v>11.291707776746767</v>
      </c>
      <c r="Z77" s="18">
        <v>15.956897601375012</v>
      </c>
      <c r="AA77" s="18">
        <v>9.1833609022332876</v>
      </c>
      <c r="AB77" s="18">
        <v>0</v>
      </c>
      <c r="AC77" s="18">
        <v>0</v>
      </c>
      <c r="AD77" s="18">
        <v>0</v>
      </c>
      <c r="AE77" s="18">
        <v>18.079944864270594</v>
      </c>
      <c r="AF77" s="18">
        <v>0</v>
      </c>
      <c r="AG77" s="18">
        <v>0</v>
      </c>
      <c r="AH77" s="18">
        <v>0</v>
      </c>
      <c r="AI77" s="18">
        <v>9.8457664400421834</v>
      </c>
      <c r="AJ77" s="18">
        <v>9.8457664400421834</v>
      </c>
      <c r="AK77" s="18">
        <v>0</v>
      </c>
      <c r="AL77" s="18">
        <v>0</v>
      </c>
      <c r="AM77" s="18">
        <v>0</v>
      </c>
      <c r="AN77" s="18">
        <v>0</v>
      </c>
      <c r="AO77" s="18">
        <v>10.386699834060389</v>
      </c>
      <c r="AP77" s="18">
        <v>0</v>
      </c>
      <c r="AQ77" s="18">
        <v>8.6317674162023064</v>
      </c>
      <c r="AR77" s="18">
        <v>0</v>
      </c>
      <c r="AS77" s="18">
        <v>8.7824618110437562</v>
      </c>
      <c r="AT77" s="18">
        <v>0</v>
      </c>
      <c r="AU77" s="18">
        <v>0</v>
      </c>
      <c r="AV77" s="18"/>
    </row>
    <row r="78" spans="1:59" x14ac:dyDescent="0.3">
      <c r="A78" t="s">
        <v>70</v>
      </c>
      <c r="B78" t="s">
        <v>40</v>
      </c>
      <c r="C78" t="s">
        <v>85</v>
      </c>
      <c r="F78" t="s">
        <v>77</v>
      </c>
      <c r="H78" t="s">
        <v>78</v>
      </c>
      <c r="I78">
        <v>2050</v>
      </c>
      <c r="J78" t="s">
        <v>51</v>
      </c>
      <c r="L78" s="18">
        <v>8.8792708159676472</v>
      </c>
      <c r="M78" s="18">
        <v>0</v>
      </c>
      <c r="N78" s="18">
        <v>0</v>
      </c>
      <c r="O78" s="18">
        <v>0</v>
      </c>
      <c r="P78" s="18">
        <v>10.116587874855437</v>
      </c>
      <c r="Q78" s="18">
        <v>0</v>
      </c>
      <c r="R78" s="18">
        <v>12.675414773048802</v>
      </c>
      <c r="S78" s="18">
        <v>0</v>
      </c>
      <c r="T78" s="18">
        <v>0</v>
      </c>
      <c r="U78" s="18">
        <v>0</v>
      </c>
      <c r="V78" s="18">
        <v>0</v>
      </c>
      <c r="W78" s="18">
        <v>14.779530930973372</v>
      </c>
      <c r="X78" s="18">
        <v>0</v>
      </c>
      <c r="Y78" s="18">
        <v>11.122623555418762</v>
      </c>
      <c r="Z78" s="18">
        <v>15.536934119464057</v>
      </c>
      <c r="AA78" s="18">
        <v>9.4349876907447534</v>
      </c>
      <c r="AB78" s="18">
        <v>0</v>
      </c>
      <c r="AC78" s="18">
        <v>0</v>
      </c>
      <c r="AD78" s="18">
        <v>0</v>
      </c>
      <c r="AE78" s="18">
        <v>17.695672990466775</v>
      </c>
      <c r="AF78" s="18">
        <v>0</v>
      </c>
      <c r="AG78" s="18">
        <v>0</v>
      </c>
      <c r="AH78" s="18">
        <v>8.9356878640750317</v>
      </c>
      <c r="AI78" s="18">
        <v>10.116587874855437</v>
      </c>
      <c r="AJ78" s="18">
        <v>10.116587874855437</v>
      </c>
      <c r="AK78" s="18">
        <v>0</v>
      </c>
      <c r="AL78" s="18">
        <v>0</v>
      </c>
      <c r="AM78" s="18">
        <v>0</v>
      </c>
      <c r="AN78" s="18">
        <v>0</v>
      </c>
      <c r="AO78" s="18">
        <v>10.220744127426729</v>
      </c>
      <c r="AP78" s="18">
        <v>0</v>
      </c>
      <c r="AQ78" s="18">
        <v>10.097180649203581</v>
      </c>
      <c r="AR78" s="18">
        <v>0</v>
      </c>
      <c r="AS78" s="18">
        <v>8.6593462725950658</v>
      </c>
      <c r="AT78" s="18">
        <v>0</v>
      </c>
      <c r="AU78" s="18">
        <v>0</v>
      </c>
      <c r="AV78" s="18"/>
    </row>
    <row r="79" spans="1:59" x14ac:dyDescent="0.3">
      <c r="E79" t="s">
        <v>79</v>
      </c>
    </row>
    <row r="80" spans="1:59" s="12" customFormat="1" x14ac:dyDescent="0.3">
      <c r="A80" s="12" t="s">
        <v>86</v>
      </c>
      <c r="B80" s="12" t="s">
        <v>39</v>
      </c>
      <c r="C80" s="12" t="s">
        <v>87</v>
      </c>
      <c r="E80" s="12" t="s">
        <v>73</v>
      </c>
      <c r="G80" s="12" t="s">
        <v>74</v>
      </c>
      <c r="H80" s="12" t="s">
        <v>75</v>
      </c>
      <c r="I80" s="12">
        <v>2005</v>
      </c>
      <c r="J80" s="12" t="s">
        <v>59</v>
      </c>
      <c r="L80" s="13">
        <v>1.811120960599125</v>
      </c>
      <c r="M80" s="13">
        <v>4.7410587559724338</v>
      </c>
      <c r="N80" s="13">
        <v>38.783815830261567</v>
      </c>
      <c r="O80" s="13">
        <v>6.6545178901731683</v>
      </c>
      <c r="P80" s="13">
        <v>1.6140905284960574</v>
      </c>
      <c r="Q80" s="13">
        <v>4.4775205313785333</v>
      </c>
      <c r="R80" s="13">
        <v>3.940475013651104</v>
      </c>
      <c r="S80" s="13">
        <v>56.250129595085752</v>
      </c>
      <c r="T80" s="13">
        <v>103.9668708899014</v>
      </c>
      <c r="U80" s="13">
        <v>43.655092675074414</v>
      </c>
      <c r="V80" s="13">
        <v>8.9301983502646411</v>
      </c>
      <c r="W80" s="13">
        <v>89.558098226637298</v>
      </c>
      <c r="X80" s="13">
        <v>0.9</v>
      </c>
      <c r="Y80" s="13">
        <v>259.81735666638275</v>
      </c>
      <c r="Z80" s="13">
        <v>7.0574856808669875</v>
      </c>
      <c r="AA80" s="13">
        <v>3.2519335716657265</v>
      </c>
      <c r="AB80" s="13">
        <v>72.16192256805256</v>
      </c>
      <c r="AC80" s="13">
        <v>18.077271420782274</v>
      </c>
      <c r="AD80" s="13">
        <v>0</v>
      </c>
      <c r="AE80" s="13">
        <v>118.2398446235004</v>
      </c>
      <c r="AF80" s="13">
        <v>10.943544126816452</v>
      </c>
      <c r="AG80" s="13">
        <v>1.5219224525225949</v>
      </c>
      <c r="AH80" s="13">
        <v>7.3039899847457397</v>
      </c>
      <c r="AI80" s="13">
        <v>0.24923990453185182</v>
      </c>
      <c r="AJ80" s="13">
        <v>0.78644194996021377</v>
      </c>
      <c r="AK80" s="13">
        <v>7.3039899847457397</v>
      </c>
      <c r="AL80" s="13">
        <v>49.264473085666609</v>
      </c>
      <c r="AM80" s="13">
        <v>5.9239423025760765</v>
      </c>
      <c r="AN80" s="13">
        <v>66.249669096102309</v>
      </c>
      <c r="AO80" s="13">
        <v>21.712043752380172</v>
      </c>
      <c r="AP80" s="13">
        <v>21.917103317150413</v>
      </c>
      <c r="AQ80" s="13">
        <v>10.456540444338358</v>
      </c>
      <c r="AR80" s="13">
        <v>17.602548615887358</v>
      </c>
      <c r="AS80" s="13">
        <v>1.5467677422777864</v>
      </c>
      <c r="AT80" s="13">
        <v>16.473736369504316</v>
      </c>
      <c r="AU80" s="13">
        <v>159.99713884530243</v>
      </c>
      <c r="AV80" s="13"/>
      <c r="AX80" s="13"/>
    </row>
    <row r="81" spans="1:59" s="12" customFormat="1" x14ac:dyDescent="0.3">
      <c r="A81" s="12" t="s">
        <v>86</v>
      </c>
      <c r="B81" s="12" t="s">
        <v>39</v>
      </c>
      <c r="C81" s="12" t="s">
        <v>87</v>
      </c>
      <c r="E81" s="12" t="s">
        <v>73</v>
      </c>
      <c r="G81" s="12" t="s">
        <v>74</v>
      </c>
      <c r="H81" s="12" t="s">
        <v>75</v>
      </c>
      <c r="I81" s="12">
        <v>2010</v>
      </c>
      <c r="J81" s="12" t="s">
        <v>59</v>
      </c>
      <c r="L81" s="13">
        <v>1.811120960599125</v>
      </c>
      <c r="M81" s="13">
        <v>4.7410587559724338</v>
      </c>
      <c r="N81" s="13">
        <v>38.783815830261567</v>
      </c>
      <c r="O81" s="13">
        <v>6.6545178901731683</v>
      </c>
      <c r="P81" s="13">
        <v>1.6140905284960574</v>
      </c>
      <c r="Q81" s="13">
        <v>4.4775205313785333</v>
      </c>
      <c r="R81" s="13">
        <v>3.940475013651104</v>
      </c>
      <c r="S81" s="13">
        <v>56.250129595085752</v>
      </c>
      <c r="T81" s="13">
        <v>103.9668708899014</v>
      </c>
      <c r="U81" s="13">
        <v>43.655092675074414</v>
      </c>
      <c r="V81" s="13">
        <v>8.9301983502646411</v>
      </c>
      <c r="W81" s="13">
        <v>89.558098226637298</v>
      </c>
      <c r="X81" s="13">
        <v>0.9</v>
      </c>
      <c r="Y81" s="13">
        <v>259.81735666638275</v>
      </c>
      <c r="Z81" s="13">
        <v>7.0574856808669875</v>
      </c>
      <c r="AA81" s="13">
        <v>3.2519335716657265</v>
      </c>
      <c r="AB81" s="13">
        <v>72.16192256805256</v>
      </c>
      <c r="AC81" s="13">
        <v>18.077271420782274</v>
      </c>
      <c r="AD81" s="13">
        <v>0</v>
      </c>
      <c r="AE81" s="13">
        <v>118.2398446235004</v>
      </c>
      <c r="AF81" s="13">
        <v>10.943544126816452</v>
      </c>
      <c r="AG81" s="13">
        <v>1.5219224525225949</v>
      </c>
      <c r="AH81" s="13">
        <v>7.3039899847457397</v>
      </c>
      <c r="AI81" s="13">
        <v>0.24923990453185182</v>
      </c>
      <c r="AJ81" s="13">
        <v>0.78644194996021377</v>
      </c>
      <c r="AK81" s="13">
        <v>7.3039899847457397</v>
      </c>
      <c r="AL81" s="13">
        <v>49.264473085666609</v>
      </c>
      <c r="AM81" s="13">
        <v>5.9239423025760765</v>
      </c>
      <c r="AN81" s="13">
        <v>66.249669096102309</v>
      </c>
      <c r="AO81" s="13">
        <v>21.712043752380172</v>
      </c>
      <c r="AP81" s="13">
        <v>21.917103317150413</v>
      </c>
      <c r="AQ81" s="13">
        <v>10.456540444338358</v>
      </c>
      <c r="AR81" s="13">
        <v>17.602548615887358</v>
      </c>
      <c r="AS81" s="13">
        <v>1.5467677422777864</v>
      </c>
      <c r="AT81" s="13">
        <v>16.473736369504316</v>
      </c>
      <c r="AU81" s="13">
        <v>159.99713884530243</v>
      </c>
      <c r="AV81" s="13"/>
      <c r="AW81" s="13">
        <f>SUM(M81:O81,R81:AC81,AE81:AH81,AK81:AL81,AN81:AP81,AR81:AU81)</f>
        <v>1217.8229991313744</v>
      </c>
      <c r="BC81" s="13">
        <f>AW81-AU81</f>
        <v>1057.8258602860719</v>
      </c>
    </row>
    <row r="82" spans="1:59" s="12" customFormat="1" x14ac:dyDescent="0.3">
      <c r="A82" s="12" t="s">
        <v>86</v>
      </c>
      <c r="B82" s="12" t="s">
        <v>39</v>
      </c>
      <c r="C82" s="12" t="s">
        <v>87</v>
      </c>
      <c r="E82" s="12" t="s">
        <v>73</v>
      </c>
      <c r="G82" s="12" t="s">
        <v>74</v>
      </c>
      <c r="H82" s="12" t="s">
        <v>75</v>
      </c>
      <c r="I82" s="12">
        <v>2020</v>
      </c>
      <c r="J82" s="12" t="s">
        <v>59</v>
      </c>
      <c r="L82" s="13">
        <v>1.811120960599125</v>
      </c>
      <c r="M82" s="13">
        <v>4.7367235244476751</v>
      </c>
      <c r="N82" s="13">
        <v>38.514311829063338</v>
      </c>
      <c r="O82" s="13">
        <v>5.5243008646130018</v>
      </c>
      <c r="P82" s="13">
        <v>1.6140905284960574</v>
      </c>
      <c r="Q82" s="13">
        <v>4.3005835380778752</v>
      </c>
      <c r="R82" s="13">
        <v>4.0338295081986457</v>
      </c>
      <c r="S82" s="13">
        <v>49.284196480212387</v>
      </c>
      <c r="T82" s="13">
        <v>102.37584090704729</v>
      </c>
      <c r="U82" s="13">
        <v>43.287338471938568</v>
      </c>
      <c r="V82" s="13">
        <v>8.0637935659238114</v>
      </c>
      <c r="W82" s="13">
        <v>99.773713107477079</v>
      </c>
      <c r="X82" s="13">
        <v>0.9</v>
      </c>
      <c r="Y82" s="13">
        <v>258.69155174880882</v>
      </c>
      <c r="Z82" s="13">
        <v>6.9688807792956418</v>
      </c>
      <c r="AA82" s="13">
        <v>3.2519335716657265</v>
      </c>
      <c r="AB82" s="13">
        <v>62.595227557190348</v>
      </c>
      <c r="AC82" s="13">
        <v>18.208976282607427</v>
      </c>
      <c r="AD82" s="13">
        <v>0</v>
      </c>
      <c r="AE82" s="13">
        <v>120.01805146106759</v>
      </c>
      <c r="AF82" s="13">
        <v>12.675790407001214</v>
      </c>
      <c r="AG82" s="13">
        <v>1.5219224525225949</v>
      </c>
      <c r="AH82" s="13">
        <v>7.3974312721353712</v>
      </c>
      <c r="AI82" s="13">
        <v>0.24923990453185182</v>
      </c>
      <c r="AJ82" s="13">
        <v>0.78644194996021377</v>
      </c>
      <c r="AK82" s="13">
        <v>0.40701635923284629</v>
      </c>
      <c r="AL82" s="13">
        <v>48.736480210166022</v>
      </c>
      <c r="AM82" s="13">
        <v>5.0970237705900603</v>
      </c>
      <c r="AN82" s="13">
        <v>70.260774996632719</v>
      </c>
      <c r="AO82" s="13">
        <v>21.599858520481639</v>
      </c>
      <c r="AP82" s="13">
        <v>22.785920601466582</v>
      </c>
      <c r="AQ82" s="13">
        <v>10.456540444338358</v>
      </c>
      <c r="AR82" s="13">
        <v>17.190221989658408</v>
      </c>
      <c r="AS82" s="13">
        <v>1.5272373551072829</v>
      </c>
      <c r="AT82" s="13">
        <v>13.629927180195603</v>
      </c>
      <c r="AU82" s="13">
        <v>157.13273518110947</v>
      </c>
      <c r="AV82" s="13"/>
      <c r="AX82" s="13">
        <f>SUM(M82:O82,R82:AC82,AE82:AH82,AK82:AL82,AN82:AP82,AR82:AU82)</f>
        <v>1201.0939861852671</v>
      </c>
      <c r="BD82" s="13">
        <f>AX82-AU82</f>
        <v>1043.9612510041577</v>
      </c>
    </row>
    <row r="83" spans="1:59" s="12" customFormat="1" x14ac:dyDescent="0.3">
      <c r="A83" s="12" t="s">
        <v>86</v>
      </c>
      <c r="B83" s="12" t="s">
        <v>39</v>
      </c>
      <c r="C83" s="12" t="s">
        <v>87</v>
      </c>
      <c r="E83" s="12" t="s">
        <v>73</v>
      </c>
      <c r="G83" s="12" t="s">
        <v>74</v>
      </c>
      <c r="H83" s="12" t="s">
        <v>75</v>
      </c>
      <c r="I83" s="12">
        <v>2030</v>
      </c>
      <c r="J83" s="12" t="s">
        <v>59</v>
      </c>
      <c r="L83" s="13">
        <v>1.811120960599125</v>
      </c>
      <c r="M83" s="14">
        <f>M305*[1]bioshares!D109</f>
        <v>9.8760739150882593</v>
      </c>
      <c r="N83" s="14">
        <f>N305*[1]bioshares!E109</f>
        <v>80.418860479991793</v>
      </c>
      <c r="O83" s="14">
        <f>O305*[1]bioshares!F109</f>
        <v>12.441134366848514</v>
      </c>
      <c r="P83" s="13">
        <v>1.6140905284960574</v>
      </c>
      <c r="Q83" s="13">
        <v>4.1602523912352369</v>
      </c>
      <c r="R83" s="14">
        <f>R305*[1]bioshares!I109</f>
        <v>8.6473586426801603</v>
      </c>
      <c r="S83" s="14">
        <f>S305*[1]bioshares!J109</f>
        <v>94.047104482716179</v>
      </c>
      <c r="T83" s="14">
        <f>T305*[1]bioshares!K109</f>
        <v>215.18750985337311</v>
      </c>
      <c r="U83" s="14">
        <f>U305*[1]bioshares!L109</f>
        <v>90.930409195686053</v>
      </c>
      <c r="V83" s="14">
        <f>V305*[1]bioshares!M109</f>
        <v>17.037559549833695</v>
      </c>
      <c r="W83" s="14">
        <f>W305*[1]bioshares!N109</f>
        <v>213.99095955075614</v>
      </c>
      <c r="X83" s="14">
        <f>X305*[1]bioshares!O109</f>
        <v>4.3790005190811749</v>
      </c>
      <c r="Y83" s="14">
        <f>Y305*[1]bioshares!P109</f>
        <v>539.27071935058666</v>
      </c>
      <c r="Z83" s="14">
        <f>Z305*[1]bioshares!Q109</f>
        <v>14.722775712471991</v>
      </c>
      <c r="AA83" s="14">
        <f>AA305*[1]bioshares!R109</f>
        <v>6.7810565706389134</v>
      </c>
      <c r="AB83" s="14">
        <f>AB305*[1]bioshares!S109</f>
        <v>128.26464380271679</v>
      </c>
      <c r="AC83" s="14">
        <f>AC305*[1]bioshares!T109</f>
        <v>38.281591552480961</v>
      </c>
      <c r="AD83" s="13">
        <v>0</v>
      </c>
      <c r="AE83" s="14">
        <f>AE305*[1]bioshares!V109</f>
        <v>248.25236335004888</v>
      </c>
      <c r="AF83" s="14">
        <f>AF305*[1]bioshares!W109</f>
        <v>29.797131171061796</v>
      </c>
      <c r="AG83" s="14">
        <f>AG305*[1]bioshares!X109</f>
        <v>3.1735710521893994</v>
      </c>
      <c r="AH83" s="14">
        <f>AH305*[1]bioshares!Y109</f>
        <v>16.555679310931513</v>
      </c>
      <c r="AI83" s="13">
        <v>0.24923990453185182</v>
      </c>
      <c r="AJ83" s="13">
        <v>0.78644194996021377</v>
      </c>
      <c r="AK83" s="14">
        <f>AK305*[1]bioshares!AB109</f>
        <v>0.84872611826436395</v>
      </c>
      <c r="AL83" s="14">
        <f>AL305*[1]bioshares!AC109</f>
        <v>101.90952591918581</v>
      </c>
      <c r="AM83" s="13">
        <v>4.7372232442009876</v>
      </c>
      <c r="AN83" s="14">
        <f>AN305*[1]bioshares!AE109</f>
        <v>162.59710644897913</v>
      </c>
      <c r="AO83" s="14">
        <f>AO305*[1]bioshares!AF109</f>
        <v>46.172437941164731</v>
      </c>
      <c r="AP83" s="14">
        <f>AP305*[1]bioshares!AG109</f>
        <v>49.306845476041971</v>
      </c>
      <c r="AQ83" s="14">
        <f>AQ305*[1]bioshares!AH109</f>
        <v>0</v>
      </c>
      <c r="AR83" s="14">
        <f>AR305*[1]bioshares!AI109</f>
        <v>35.36264965489309</v>
      </c>
      <c r="AS83" s="14">
        <f>AS305*[1]bioshares!AJ109</f>
        <v>3.2082417318356211</v>
      </c>
      <c r="AT83" s="14">
        <f>AT305*[1]bioshares!AK109</f>
        <v>27.934474268033245</v>
      </c>
      <c r="AU83" s="13">
        <v>158.7923544252985</v>
      </c>
      <c r="AV83" s="13"/>
      <c r="AY83" s="13">
        <f>SUM(M83:O83,R83:AC83,AE83:AH83,AK83:AL83,AN83:AP83,AR83:AU83)</f>
        <v>2358.1878644128783</v>
      </c>
      <c r="BE83" s="13">
        <f>AY83-AU83</f>
        <v>2199.3955099875798</v>
      </c>
    </row>
    <row r="84" spans="1:59" s="12" customFormat="1" x14ac:dyDescent="0.3">
      <c r="A84" s="12" t="s">
        <v>86</v>
      </c>
      <c r="B84" s="12" t="s">
        <v>39</v>
      </c>
      <c r="C84" s="12" t="s">
        <v>87</v>
      </c>
      <c r="E84" s="12" t="s">
        <v>73</v>
      </c>
      <c r="G84" s="12" t="s">
        <v>74</v>
      </c>
      <c r="H84" s="12" t="s">
        <v>75</v>
      </c>
      <c r="I84" s="12">
        <v>2040</v>
      </c>
      <c r="J84" s="12" t="s">
        <v>59</v>
      </c>
      <c r="L84" s="13">
        <v>1.811120960599125</v>
      </c>
      <c r="M84" s="14">
        <f>M306*[1]bioshares!D110</f>
        <v>8.476195503538225</v>
      </c>
      <c r="N84" s="14">
        <f>N306*[1]bioshares!E110</f>
        <v>68.951574592506816</v>
      </c>
      <c r="O84" s="14">
        <f>O306*[1]bioshares!F110</f>
        <v>10.387330140982334</v>
      </c>
      <c r="P84" s="13">
        <v>1.6140905284960574</v>
      </c>
      <c r="Q84" s="13">
        <v>4.3091896811260684</v>
      </c>
      <c r="R84" s="14">
        <f>R306*[1]bioshares!I110</f>
        <v>7.6885142365096799</v>
      </c>
      <c r="S84" s="14">
        <f>S306*[1]bioshares!J110</f>
        <v>77.887592295831126</v>
      </c>
      <c r="T84" s="14">
        <f>T306*[1]bioshares!K110</f>
        <v>186.40547910139523</v>
      </c>
      <c r="U84" s="14">
        <f>U306*[1]bioshares!L110</f>
        <v>77.560335966129884</v>
      </c>
      <c r="V84" s="14">
        <f>V306*[1]bioshares!M110</f>
        <v>14.723451879360011</v>
      </c>
      <c r="W84" s="14">
        <f>W306*[1]bioshares!N110</f>
        <v>189.52060337366899</v>
      </c>
      <c r="X84" s="14">
        <f>X306*[1]bioshares!O110</f>
        <v>9.6410798767749313</v>
      </c>
      <c r="Y84" s="14">
        <f>Y306*[1]bioshares!P110</f>
        <v>461.53304016492922</v>
      </c>
      <c r="Z84" s="14">
        <f>Z306*[1]bioshares!Q110</f>
        <v>13.136458819067874</v>
      </c>
      <c r="AA84" s="14">
        <f>AA306*[1]bioshares!R110</f>
        <v>5.8059539478509743</v>
      </c>
      <c r="AB84" s="14">
        <f>AB306*[1]bioshares!S110</f>
        <v>111.7489329010892</v>
      </c>
      <c r="AC84" s="14">
        <f>AC306*[1]bioshares!T110</f>
        <v>32.769984960547724</v>
      </c>
      <c r="AD84" s="13">
        <v>0</v>
      </c>
      <c r="AE84" s="14">
        <f>AE306*[1]bioshares!V110</f>
        <v>209.45737833898889</v>
      </c>
      <c r="AF84" s="14">
        <f>AF306*[1]bioshares!W110</f>
        <v>27.834273302437861</v>
      </c>
      <c r="AG84" s="14">
        <f>AG306*[1]bioshares!X110</f>
        <v>2.7172177650050999</v>
      </c>
      <c r="AH84" s="14">
        <f>AH306*[1]bioshares!Y110</f>
        <v>14.654239728193014</v>
      </c>
      <c r="AI84" s="13">
        <v>0.24923990453185182</v>
      </c>
      <c r="AJ84" s="13">
        <v>0.78644194996021377</v>
      </c>
      <c r="AK84" s="14">
        <f>AK306*[1]bioshares!AB110</f>
        <v>0.72668096861444276</v>
      </c>
      <c r="AL84" s="14">
        <f>AL306*[1]bioshares!AC110</f>
        <v>87.210460553444875</v>
      </c>
      <c r="AM84" s="13">
        <v>4.8120323942997461</v>
      </c>
      <c r="AN84" s="14">
        <f>AN306*[1]bioshares!AE110</f>
        <v>153.84647110543614</v>
      </c>
      <c r="AO84" s="14">
        <f>AO306*[1]bioshares!AF110</f>
        <v>40.835515591866077</v>
      </c>
      <c r="AP84" s="14">
        <f>AP306*[1]bioshares!AG110</f>
        <v>39.959653891236442</v>
      </c>
      <c r="AQ84" s="14">
        <f>AQ306*[1]bioshares!AH110</f>
        <v>0</v>
      </c>
      <c r="AR84" s="14">
        <f>AR306*[1]bioshares!AI110</f>
        <v>30.778984165712743</v>
      </c>
      <c r="AS84" s="14">
        <f>AS306*[1]bioshares!AJ110</f>
        <v>2.7007603387760253</v>
      </c>
      <c r="AT84" s="14">
        <f>AT306*[1]bioshares!AK110</f>
        <v>23.032640998650045</v>
      </c>
      <c r="AU84" s="13">
        <v>160.30126009521976</v>
      </c>
      <c r="AV84" s="13"/>
      <c r="AY84" s="13"/>
      <c r="AZ84" s="13">
        <f>SUM(M84:O84,R84:AC84,AE84:AH84,AK84:AL84,AN84:AP84,AR84:AU84)</f>
        <v>2070.2920646037637</v>
      </c>
      <c r="BF84" s="13">
        <f>AZ84-AU84</f>
        <v>1909.990804508544</v>
      </c>
    </row>
    <row r="85" spans="1:59" s="15" customFormat="1" x14ac:dyDescent="0.3">
      <c r="A85" s="15" t="s">
        <v>86</v>
      </c>
      <c r="B85" s="15" t="s">
        <v>39</v>
      </c>
      <c r="C85" s="15" t="s">
        <v>87</v>
      </c>
      <c r="E85" s="15" t="s">
        <v>73</v>
      </c>
      <c r="G85" s="15" t="s">
        <v>74</v>
      </c>
      <c r="H85" s="15" t="s">
        <v>75</v>
      </c>
      <c r="I85" s="15">
        <v>2050</v>
      </c>
      <c r="J85" s="15" t="s">
        <v>59</v>
      </c>
      <c r="L85" s="16">
        <v>1.811120960599125</v>
      </c>
      <c r="M85" s="17">
        <f>M307*[1]bioshares!D111</f>
        <v>8.4368312356748216</v>
      </c>
      <c r="N85" s="17">
        <f>N307*[1]bioshares!E111</f>
        <v>68.563638359274208</v>
      </c>
      <c r="O85" s="17">
        <f>O307*[1]bioshares!F111</f>
        <v>10.051475658516836</v>
      </c>
      <c r="P85" s="16">
        <v>1.6140905284960574</v>
      </c>
      <c r="Q85" s="16">
        <v>4.4581269710169007</v>
      </c>
      <c r="R85" s="17">
        <f>R307*[1]bioshares!I111</f>
        <v>7.9171709740706495</v>
      </c>
      <c r="S85" s="17">
        <f>S307*[1]bioshares!J111</f>
        <v>74.723595425331482</v>
      </c>
      <c r="T85" s="17">
        <f>T307*[1]bioshares!K111</f>
        <v>187.24323562329536</v>
      </c>
      <c r="U85" s="17">
        <f>U307*[1]bioshares!L111</f>
        <v>76.723464904418677</v>
      </c>
      <c r="V85" s="17">
        <f>V307*[1]bioshares!M111</f>
        <v>14.754998358225761</v>
      </c>
      <c r="W85" s="17">
        <f>W307*[1]bioshares!N111</f>
        <v>194.44704409424807</v>
      </c>
      <c r="X85" s="17">
        <f>X307*[1]bioshares!O111</f>
        <v>11.523535572863187</v>
      </c>
      <c r="Y85" s="17">
        <f>Y307*[1]bioshares!P111</f>
        <v>458.10278082343859</v>
      </c>
      <c r="Z85" s="17">
        <f>Z307*[1]bioshares!Q111</f>
        <v>13.571303078348171</v>
      </c>
      <c r="AA85" s="17">
        <f>AA307*[1]bioshares!R111</f>
        <v>5.7651957221043126</v>
      </c>
      <c r="AB85" s="17">
        <f>AB307*[1]bioshares!S111</f>
        <v>112.87940204800925</v>
      </c>
      <c r="AC85" s="17">
        <f>AC307*[1]bioshares!T111</f>
        <v>32.533196024721292</v>
      </c>
      <c r="AD85" s="16">
        <v>0</v>
      </c>
      <c r="AE85" s="17">
        <f>AE307*[1]bioshares!V111</f>
        <v>204.91192919515802</v>
      </c>
      <c r="AF85" s="17">
        <f>AF307*[1]bioshares!W111</f>
        <v>29.944485757789899</v>
      </c>
      <c r="AG85" s="17">
        <f>AG307*[1]bioshares!X111</f>
        <v>2.698142695505124</v>
      </c>
      <c r="AH85" s="17">
        <f>AH307*[1]bioshares!Y111</f>
        <v>15.027236221392691</v>
      </c>
      <c r="AI85" s="16">
        <v>0.24923990453185182</v>
      </c>
      <c r="AJ85" s="16">
        <v>0.78644194996021377</v>
      </c>
      <c r="AK85" s="17">
        <f>AK307*[1]bioshares!AB111</f>
        <v>0.72157961451645625</v>
      </c>
      <c r="AL85" s="17">
        <f>AL307*[1]bioshares!AC111</f>
        <v>86.553874702103869</v>
      </c>
      <c r="AM85" s="16">
        <v>4.9005629166544837</v>
      </c>
      <c r="AN85" s="17">
        <f>AN307*[1]bioshares!AE111</f>
        <v>167.29425961805197</v>
      </c>
      <c r="AO85" s="17">
        <f>AO307*[1]bioshares!AF111</f>
        <v>41.8422866061589</v>
      </c>
      <c r="AP85" s="17">
        <f>AP307*[1]bioshares!AG111</f>
        <v>37.438014221242788</v>
      </c>
      <c r="AQ85" s="17">
        <f>AQ307*[1]bioshares!AH111</f>
        <v>0</v>
      </c>
      <c r="AR85" s="17">
        <f>AR307*[1]bioshares!AI111</f>
        <v>31.060807568192292</v>
      </c>
      <c r="AS85" s="17">
        <f>AS307*[1]bioshares!AJ111</f>
        <v>2.6359821953909717</v>
      </c>
      <c r="AT85" s="17">
        <f>AT307*[1]bioshares!AK111</f>
        <v>21.992251586861322</v>
      </c>
      <c r="AU85" s="16">
        <v>161.81016576514105</v>
      </c>
      <c r="AV85" s="16"/>
      <c r="AY85" s="16"/>
      <c r="AZ85" s="16"/>
      <c r="BA85" s="16">
        <f>SUM(M85:O85,R85:AC85,AE85:AH85,AK85:AL85,AN85:AP85,AR85:AU85)</f>
        <v>2081.1678836500464</v>
      </c>
      <c r="BG85" s="16">
        <f>BA85-AU85</f>
        <v>1919.3577178849055</v>
      </c>
    </row>
    <row r="86" spans="1:59" x14ac:dyDescent="0.3">
      <c r="A86" t="s">
        <v>86</v>
      </c>
      <c r="B86" t="s">
        <v>39</v>
      </c>
      <c r="C86" t="s">
        <v>87</v>
      </c>
      <c r="F86" t="s">
        <v>77</v>
      </c>
      <c r="H86" t="s">
        <v>78</v>
      </c>
      <c r="I86">
        <v>2005</v>
      </c>
      <c r="J86" t="s">
        <v>59</v>
      </c>
      <c r="L86" s="18">
        <v>3.8799748647008969</v>
      </c>
      <c r="M86" s="18">
        <v>6.0805788535832166</v>
      </c>
      <c r="N86" s="18">
        <v>6.1771321429928676</v>
      </c>
      <c r="O86" s="18">
        <v>3.4026473080721957</v>
      </c>
      <c r="P86" s="18">
        <v>3.9434188883503829</v>
      </c>
      <c r="Q86" s="18">
        <v>6.0805788535832166</v>
      </c>
      <c r="R86" s="18">
        <v>4.2513435632173477</v>
      </c>
      <c r="S86" s="18">
        <v>3.7313001701868229</v>
      </c>
      <c r="T86" s="18">
        <v>5.8884459493416657</v>
      </c>
      <c r="U86" s="18">
        <v>6.9958093430515529</v>
      </c>
      <c r="V86" s="18">
        <v>3.7685307731339597</v>
      </c>
      <c r="W86" s="18">
        <v>4.5576852663586465</v>
      </c>
      <c r="X86" s="18">
        <v>6.1770044739691139</v>
      </c>
      <c r="Y86" s="18">
        <v>6.3011424781430421</v>
      </c>
      <c r="Z86" s="18">
        <v>4.2724389804084453</v>
      </c>
      <c r="AA86" s="18">
        <v>3.9682157342097413</v>
      </c>
      <c r="AB86" s="18">
        <v>3.5608086624156048</v>
      </c>
      <c r="AC86" s="18">
        <v>5.9817027788297663</v>
      </c>
      <c r="AD86" s="18">
        <v>6.5133351451588695</v>
      </c>
      <c r="AE86" s="18">
        <v>4.9931228690598122</v>
      </c>
      <c r="AF86" s="18">
        <v>3.5813063590542651</v>
      </c>
      <c r="AG86" s="18">
        <v>6.0319113581884967</v>
      </c>
      <c r="AH86" s="18">
        <v>3.5579344212160482</v>
      </c>
      <c r="AI86" s="18">
        <v>3.8823944017846621</v>
      </c>
      <c r="AJ86" s="18">
        <v>3.800074825100495</v>
      </c>
      <c r="AK86" s="18">
        <v>3.4529255260637912</v>
      </c>
      <c r="AL86" s="18">
        <v>6.1281818232395278</v>
      </c>
      <c r="AM86" s="18">
        <v>6.5133351451588695</v>
      </c>
      <c r="AN86" s="18">
        <v>3.5967000297339338</v>
      </c>
      <c r="AO86" s="18">
        <v>3.9016881283826734</v>
      </c>
      <c r="AP86" s="18">
        <v>3.4882101388150355</v>
      </c>
      <c r="AQ86" s="18">
        <v>4.3280779352030692</v>
      </c>
      <c r="AR86" s="18">
        <v>6.5133351451588695</v>
      </c>
      <c r="AS86" s="18">
        <v>4.1742409929725026</v>
      </c>
      <c r="AT86" s="18">
        <v>3.8299482119893344</v>
      </c>
      <c r="AU86" s="18">
        <v>6.4487502871554998</v>
      </c>
      <c r="AV86" s="18"/>
    </row>
    <row r="87" spans="1:59" x14ac:dyDescent="0.3">
      <c r="A87" t="s">
        <v>86</v>
      </c>
      <c r="B87" t="s">
        <v>39</v>
      </c>
      <c r="C87" t="s">
        <v>87</v>
      </c>
      <c r="F87" t="s">
        <v>77</v>
      </c>
      <c r="H87" t="s">
        <v>78</v>
      </c>
      <c r="I87">
        <v>2010</v>
      </c>
      <c r="J87" t="s">
        <v>59</v>
      </c>
      <c r="L87" s="18">
        <v>3.8799748647008969</v>
      </c>
      <c r="M87" s="18">
        <v>6.0805788535832166</v>
      </c>
      <c r="N87" s="18">
        <v>6.1771321429928676</v>
      </c>
      <c r="O87" s="18">
        <v>3.4026473080721957</v>
      </c>
      <c r="P87" s="18">
        <v>3.9434188883503829</v>
      </c>
      <c r="Q87" s="18">
        <v>6.0805788535832166</v>
      </c>
      <c r="R87" s="18">
        <v>4.2513435632173477</v>
      </c>
      <c r="S87" s="18">
        <v>3.7313001701868229</v>
      </c>
      <c r="T87" s="18">
        <v>5.8884459493416657</v>
      </c>
      <c r="U87" s="18">
        <v>6.9958093430515529</v>
      </c>
      <c r="V87" s="18">
        <v>3.7685307731339597</v>
      </c>
      <c r="W87" s="18">
        <v>4.5576852663586465</v>
      </c>
      <c r="X87" s="18">
        <v>6.1770044739691139</v>
      </c>
      <c r="Y87" s="18">
        <v>6.3011424781430421</v>
      </c>
      <c r="Z87" s="18">
        <v>4.2724389804084453</v>
      </c>
      <c r="AA87" s="18">
        <v>3.9682157342097413</v>
      </c>
      <c r="AB87" s="18">
        <v>3.5608086624156048</v>
      </c>
      <c r="AC87" s="18">
        <v>5.9817027788297663</v>
      </c>
      <c r="AD87" s="18">
        <v>6.5133351451588695</v>
      </c>
      <c r="AE87" s="18">
        <v>4.9931228690598122</v>
      </c>
      <c r="AF87" s="18">
        <v>3.5813063590542651</v>
      </c>
      <c r="AG87" s="18">
        <v>6.0319113581884967</v>
      </c>
      <c r="AH87" s="18">
        <v>3.5579344212160482</v>
      </c>
      <c r="AI87" s="18">
        <v>3.8823944017846621</v>
      </c>
      <c r="AJ87" s="18">
        <v>3.800074825100495</v>
      </c>
      <c r="AK87" s="18">
        <v>3.4529255260637912</v>
      </c>
      <c r="AL87" s="18">
        <v>6.1281818232395278</v>
      </c>
      <c r="AM87" s="18">
        <v>6.5133351451588695</v>
      </c>
      <c r="AN87" s="18">
        <v>3.5967000297339338</v>
      </c>
      <c r="AO87" s="18">
        <v>3.9016881283826734</v>
      </c>
      <c r="AP87" s="18">
        <v>3.4882101388150355</v>
      </c>
      <c r="AQ87" s="18">
        <v>4.3280779352030692</v>
      </c>
      <c r="AR87" s="18">
        <v>6.5133351451588695</v>
      </c>
      <c r="AS87" s="18">
        <v>4.1742409929725026</v>
      </c>
      <c r="AT87" s="18">
        <v>3.8299482119893344</v>
      </c>
      <c r="AU87" s="18">
        <v>6.4487502871554998</v>
      </c>
      <c r="AV87" s="18"/>
    </row>
    <row r="88" spans="1:59" x14ac:dyDescent="0.3">
      <c r="A88" t="s">
        <v>86</v>
      </c>
      <c r="B88" t="s">
        <v>39</v>
      </c>
      <c r="C88" t="s">
        <v>87</v>
      </c>
      <c r="F88" t="s">
        <v>77</v>
      </c>
      <c r="H88" t="s">
        <v>78</v>
      </c>
      <c r="I88">
        <v>2020</v>
      </c>
      <c r="J88" t="s">
        <v>59</v>
      </c>
      <c r="L88" s="18">
        <v>3.8799748647008969</v>
      </c>
      <c r="M88" s="18">
        <v>6.0811134407789007</v>
      </c>
      <c r="N88" s="18">
        <v>6.1798010081917987</v>
      </c>
      <c r="O88" s="18">
        <v>3.3836989522212964</v>
      </c>
      <c r="P88" s="18">
        <v>3.9434188883503829</v>
      </c>
      <c r="Q88" s="18">
        <v>6.0811134407789007</v>
      </c>
      <c r="R88" s="18">
        <v>4.2529293904044918</v>
      </c>
      <c r="S88" s="18">
        <v>3.7401908422989218</v>
      </c>
      <c r="T88" s="18">
        <v>5.888932988298774</v>
      </c>
      <c r="U88" s="18">
        <v>6.9996032124856118</v>
      </c>
      <c r="V88" s="18">
        <v>3.7792858979054138</v>
      </c>
      <c r="W88" s="18">
        <v>4.5553473312709398</v>
      </c>
      <c r="X88" s="18">
        <v>6.1761994850778166</v>
      </c>
      <c r="Y88" s="18">
        <v>6.2996937041103536</v>
      </c>
      <c r="Z88" s="18">
        <v>4.2552554227837076</v>
      </c>
      <c r="AA88" s="18">
        <v>3.9682157342097413</v>
      </c>
      <c r="AB88" s="18">
        <v>3.5549704710615551</v>
      </c>
      <c r="AC88" s="18">
        <v>5.9825197179114458</v>
      </c>
      <c r="AD88" s="18">
        <v>6.5190613233241992</v>
      </c>
      <c r="AE88" s="18">
        <v>4.9991254250678718</v>
      </c>
      <c r="AF88" s="18">
        <v>3.5871742450751904</v>
      </c>
      <c r="AG88" s="18">
        <v>6.0319113581884967</v>
      </c>
      <c r="AH88" s="18">
        <v>3.5603880643761903</v>
      </c>
      <c r="AI88" s="18">
        <v>3.8823944017846621</v>
      </c>
      <c r="AJ88" s="18">
        <v>3.800074825100495</v>
      </c>
      <c r="AK88" s="18">
        <v>3.4239943424971075</v>
      </c>
      <c r="AL88" s="18">
        <v>6.1316986667250291</v>
      </c>
      <c r="AM88" s="18">
        <v>6.5190613233241992</v>
      </c>
      <c r="AN88" s="18">
        <v>3.589049426020682</v>
      </c>
      <c r="AO88" s="18">
        <v>3.9018400160169859</v>
      </c>
      <c r="AP88" s="18">
        <v>3.4921664194335662</v>
      </c>
      <c r="AQ88" s="18">
        <v>4.3280779352030692</v>
      </c>
      <c r="AR88" s="18">
        <v>6.5190613233241992</v>
      </c>
      <c r="AS88" s="18">
        <v>4.16640432005675</v>
      </c>
      <c r="AT88" s="18">
        <v>3.8032607971777495</v>
      </c>
      <c r="AU88" s="18">
        <v>6.4488991499642152</v>
      </c>
      <c r="AV88" s="18"/>
    </row>
    <row r="89" spans="1:59" x14ac:dyDescent="0.3">
      <c r="A89" t="s">
        <v>86</v>
      </c>
      <c r="B89" t="s">
        <v>39</v>
      </c>
      <c r="C89" t="s">
        <v>87</v>
      </c>
      <c r="F89" t="s">
        <v>77</v>
      </c>
      <c r="H89" t="s">
        <v>78</v>
      </c>
      <c r="I89">
        <v>2030</v>
      </c>
      <c r="J89" t="s">
        <v>59</v>
      </c>
      <c r="L89" s="18">
        <v>3.8799748647008969</v>
      </c>
      <c r="M89" s="18">
        <v>6.0814906508981172</v>
      </c>
      <c r="N89" s="18">
        <v>6.1939203630470132</v>
      </c>
      <c r="O89" s="18">
        <v>3.5418490033962717</v>
      </c>
      <c r="P89" s="18">
        <v>3.9434188883503829</v>
      </c>
      <c r="Q89" s="18">
        <v>6.0814906508981172</v>
      </c>
      <c r="R89" s="18">
        <v>4.3130014293274037</v>
      </c>
      <c r="S89" s="18">
        <v>3.5592017358158934</v>
      </c>
      <c r="T89" s="18">
        <v>5.9287208672892167</v>
      </c>
      <c r="U89" s="18">
        <v>7.02575600382937</v>
      </c>
      <c r="V89" s="18">
        <v>3.8020711151123976</v>
      </c>
      <c r="W89" s="18">
        <v>4.6267806803155782</v>
      </c>
      <c r="X89" s="18">
        <v>6.1643278133929247</v>
      </c>
      <c r="Y89" s="18">
        <v>6.2947846012064188</v>
      </c>
      <c r="Z89" s="18">
        <v>4.2896681684451199</v>
      </c>
      <c r="AA89" s="18">
        <v>3.9682157342097413</v>
      </c>
      <c r="AB89" s="18">
        <v>3.5203298751739638</v>
      </c>
      <c r="AC89" s="18">
        <v>6.0018691394198731</v>
      </c>
      <c r="AD89" s="18">
        <v>6.5073765670784622</v>
      </c>
      <c r="AE89" s="18">
        <v>4.9752024606874317</v>
      </c>
      <c r="AF89" s="18">
        <v>3.8220892337844359</v>
      </c>
      <c r="AG89" s="18">
        <v>6.0319113581884967</v>
      </c>
      <c r="AH89" s="18">
        <v>3.7164495282304344</v>
      </c>
      <c r="AI89" s="18">
        <v>3.8823944017846621</v>
      </c>
      <c r="AJ89" s="18">
        <v>3.800074825100495</v>
      </c>
      <c r="AK89" s="18">
        <v>3.4239943424971075</v>
      </c>
      <c r="AL89" s="18">
        <v>6.1727177372339304</v>
      </c>
      <c r="AM89" s="18">
        <v>6.5073765670784622</v>
      </c>
      <c r="AN89" s="18">
        <v>3.833297258232383</v>
      </c>
      <c r="AO89" s="18">
        <v>3.9566420292984326</v>
      </c>
      <c r="AP89" s="18">
        <v>3.5683307727418025</v>
      </c>
      <c r="AQ89" s="18">
        <v>4.3280779352030692</v>
      </c>
      <c r="AR89" s="18">
        <v>6.5073765670784622</v>
      </c>
      <c r="AS89" s="18">
        <v>4.1721618354324184</v>
      </c>
      <c r="AT89" s="18">
        <v>3.7606501009484465</v>
      </c>
      <c r="AU89" s="18">
        <v>6.4915604482099969</v>
      </c>
      <c r="AV89" s="18"/>
    </row>
    <row r="90" spans="1:59" x14ac:dyDescent="0.3">
      <c r="A90" t="s">
        <v>86</v>
      </c>
      <c r="B90" t="s">
        <v>39</v>
      </c>
      <c r="C90" t="s">
        <v>87</v>
      </c>
      <c r="F90" t="s">
        <v>77</v>
      </c>
      <c r="H90" t="s">
        <v>78</v>
      </c>
      <c r="I90">
        <v>2040</v>
      </c>
      <c r="J90" t="s">
        <v>59</v>
      </c>
      <c r="L90" s="18">
        <v>3.8799748647008969</v>
      </c>
      <c r="M90" s="18">
        <v>6.0884989606762439</v>
      </c>
      <c r="N90" s="18">
        <v>6.2033377404134828</v>
      </c>
      <c r="O90" s="18">
        <v>3.4873476227915359</v>
      </c>
      <c r="P90" s="18">
        <v>3.9434188883503829</v>
      </c>
      <c r="Q90" s="18">
        <v>6.0884989606762439</v>
      </c>
      <c r="R90" s="18">
        <v>4.4006931475455193</v>
      </c>
      <c r="S90" s="18">
        <v>3.4934558249707024</v>
      </c>
      <c r="T90" s="18">
        <v>5.9817255999880645</v>
      </c>
      <c r="U90" s="18">
        <v>7.0107172694426794</v>
      </c>
      <c r="V90" s="18">
        <v>3.8196006699113347</v>
      </c>
      <c r="W90" s="18">
        <v>4.6565419244636912</v>
      </c>
      <c r="X90" s="18">
        <v>6.2948180797947328</v>
      </c>
      <c r="Y90" s="18">
        <v>6.2916784983848935</v>
      </c>
      <c r="Z90" s="18">
        <v>4.4117744414067825</v>
      </c>
      <c r="AA90" s="18">
        <v>3.9682157342097413</v>
      </c>
      <c r="AB90" s="18">
        <v>3.5592562248172959</v>
      </c>
      <c r="AC90" s="18">
        <v>6.0067638231047926</v>
      </c>
      <c r="AD90" s="18">
        <v>6.5387017397051217</v>
      </c>
      <c r="AE90" s="18">
        <v>4.916852898880089</v>
      </c>
      <c r="AF90" s="18">
        <v>3.9492603753873263</v>
      </c>
      <c r="AG90" s="18">
        <v>6.0319113581884967</v>
      </c>
      <c r="AH90" s="18">
        <v>3.7961370693444993</v>
      </c>
      <c r="AI90" s="18">
        <v>3.8823944017846621</v>
      </c>
      <c r="AJ90" s="18">
        <v>3.800074825100495</v>
      </c>
      <c r="AK90" s="18">
        <v>3.4239943424971075</v>
      </c>
      <c r="AL90" s="18">
        <v>6.2048378210434487</v>
      </c>
      <c r="AM90" s="18">
        <v>6.5387017397051217</v>
      </c>
      <c r="AN90" s="18">
        <v>3.8733456207655301</v>
      </c>
      <c r="AO90" s="18">
        <v>4.0310891166670073</v>
      </c>
      <c r="AP90" s="18">
        <v>2.9480403534453874</v>
      </c>
      <c r="AQ90" s="18">
        <v>4.3280779352030692</v>
      </c>
      <c r="AR90" s="18">
        <v>6.5387017397051217</v>
      </c>
      <c r="AS90" s="18">
        <v>4.1405113140597507</v>
      </c>
      <c r="AT90" s="18">
        <v>3.6856555087554486</v>
      </c>
      <c r="AU90" s="18">
        <v>6.5532212336673883</v>
      </c>
      <c r="AV90" s="18"/>
      <c r="AX90" s="18"/>
    </row>
    <row r="91" spans="1:59" x14ac:dyDescent="0.3">
      <c r="A91" t="s">
        <v>86</v>
      </c>
      <c r="B91" t="s">
        <v>39</v>
      </c>
      <c r="C91" t="s">
        <v>87</v>
      </c>
      <c r="F91" t="s">
        <v>77</v>
      </c>
      <c r="H91" t="s">
        <v>78</v>
      </c>
      <c r="I91">
        <v>2050</v>
      </c>
      <c r="J91" t="s">
        <v>59</v>
      </c>
      <c r="L91" s="18">
        <v>3.8799748647008969</v>
      </c>
      <c r="M91" s="18">
        <v>6.0955372063237725</v>
      </c>
      <c r="N91" s="18">
        <v>6.2128583657694367</v>
      </c>
      <c r="O91" s="18">
        <v>3.4343053809981896</v>
      </c>
      <c r="P91" s="18">
        <v>3.9434188883503829</v>
      </c>
      <c r="Q91" s="18">
        <v>6.0955372063237725</v>
      </c>
      <c r="R91" s="18">
        <v>4.4876052360271963</v>
      </c>
      <c r="S91" s="18">
        <v>3.6545962618716645</v>
      </c>
      <c r="T91" s="18">
        <v>6.0263468589248674</v>
      </c>
      <c r="U91" s="18">
        <v>6.9957253207200907</v>
      </c>
      <c r="V91" s="18">
        <v>3.8370035222378096</v>
      </c>
      <c r="W91" s="18">
        <v>4.6791562309782426</v>
      </c>
      <c r="X91" s="18">
        <v>6.4345283465494694</v>
      </c>
      <c r="Y91" s="18">
        <v>6.2888829977645759</v>
      </c>
      <c r="Z91" s="18">
        <v>4.5166377649859539</v>
      </c>
      <c r="AA91" s="18">
        <v>3.9682157342097413</v>
      </c>
      <c r="AB91" s="18">
        <v>3.6003152113511216</v>
      </c>
      <c r="AC91" s="18">
        <v>6.0117445039124284</v>
      </c>
      <c r="AD91" s="18">
        <v>6.572571644785083</v>
      </c>
      <c r="AE91" s="18">
        <v>4.8729640238756318</v>
      </c>
      <c r="AF91" s="18">
        <v>3.9446586408812871</v>
      </c>
      <c r="AG91" s="18">
        <v>6.0319113581884967</v>
      </c>
      <c r="AH91" s="18">
        <v>3.8762632183181851</v>
      </c>
      <c r="AI91" s="18">
        <v>3.8823944017846621</v>
      </c>
      <c r="AJ91" s="18">
        <v>3.800074825100495</v>
      </c>
      <c r="AK91" s="18">
        <v>3.4239943424971075</v>
      </c>
      <c r="AL91" s="18">
        <v>6.2207946856162089</v>
      </c>
      <c r="AM91" s="18">
        <v>6.572571644785083</v>
      </c>
      <c r="AN91" s="18">
        <v>3.8814246876036647</v>
      </c>
      <c r="AO91" s="18">
        <v>4.0935264478143409</v>
      </c>
      <c r="AP91" s="18">
        <v>2.8666251222316825</v>
      </c>
      <c r="AQ91" s="18">
        <v>4.3280779352030692</v>
      </c>
      <c r="AR91" s="18">
        <v>6.572571644785083</v>
      </c>
      <c r="AS91" s="18">
        <v>4.1086978271694594</v>
      </c>
      <c r="AT91" s="18">
        <v>3.6155517638840751</v>
      </c>
      <c r="AU91" s="18">
        <v>6.5773136967282477</v>
      </c>
      <c r="AV91" s="18"/>
    </row>
    <row r="92" spans="1:59" x14ac:dyDescent="0.3">
      <c r="E92" t="s">
        <v>79</v>
      </c>
    </row>
    <row r="93" spans="1:59" s="12" customFormat="1" x14ac:dyDescent="0.3">
      <c r="A93" s="12" t="s">
        <v>86</v>
      </c>
      <c r="B93" s="12" t="s">
        <v>41</v>
      </c>
      <c r="C93" s="12" t="s">
        <v>88</v>
      </c>
      <c r="E93" s="12" t="s">
        <v>73</v>
      </c>
      <c r="G93" s="12" t="s">
        <v>74</v>
      </c>
      <c r="H93" s="12" t="s">
        <v>75</v>
      </c>
      <c r="I93" s="12">
        <v>2005</v>
      </c>
      <c r="J93" s="12" t="s">
        <v>89</v>
      </c>
      <c r="L93" s="22">
        <v>1.1925515823203809</v>
      </c>
      <c r="M93" s="22">
        <v>21.842206499485151</v>
      </c>
      <c r="N93" s="22">
        <v>7.3584884997227222</v>
      </c>
      <c r="O93" s="22">
        <v>27.292196580685811</v>
      </c>
      <c r="P93" s="22">
        <v>2.3030580379548704</v>
      </c>
      <c r="Q93" s="22">
        <v>4.4137200141332453</v>
      </c>
      <c r="R93" s="22">
        <v>0.29145516164410301</v>
      </c>
      <c r="S93" s="22">
        <v>36.763474462459719</v>
      </c>
      <c r="T93" s="22">
        <v>202.26683742209121</v>
      </c>
      <c r="U93" s="22">
        <v>29.037391660934173</v>
      </c>
      <c r="V93" s="22">
        <v>3.3979434747043471</v>
      </c>
      <c r="W93" s="22">
        <v>79.609176587432927</v>
      </c>
      <c r="X93" s="22">
        <v>14.5</v>
      </c>
      <c r="Y93" s="22">
        <v>211.78668882920024</v>
      </c>
      <c r="Z93" s="22">
        <v>14.023650064272198</v>
      </c>
      <c r="AA93" s="22">
        <v>9.8780267216928124</v>
      </c>
      <c r="AB93" s="22">
        <v>48.242339985030576</v>
      </c>
      <c r="AC93" s="22">
        <v>0.24211709519764227</v>
      </c>
      <c r="AD93" s="22">
        <v>0</v>
      </c>
      <c r="AE93" s="22">
        <v>61.673813098158334</v>
      </c>
      <c r="AF93" s="22">
        <v>14.773808020891783</v>
      </c>
      <c r="AG93" s="22">
        <v>0.3728407819459077</v>
      </c>
      <c r="AH93" s="22">
        <v>6.985258873816198</v>
      </c>
      <c r="AI93" s="22">
        <v>8.2496338818426218E-2</v>
      </c>
      <c r="AJ93" s="22">
        <v>1.4983805155853804</v>
      </c>
      <c r="AK93" s="22">
        <v>6.8864715951724103</v>
      </c>
      <c r="AL93" s="22">
        <v>5.7287598929844128</v>
      </c>
      <c r="AM93" s="22">
        <v>5.9239423025760765</v>
      </c>
      <c r="AN93" s="22">
        <v>103.20006410404739</v>
      </c>
      <c r="AO93" s="22">
        <v>5.837455278035903</v>
      </c>
      <c r="AP93" s="22">
        <v>57.010872291735097</v>
      </c>
      <c r="AQ93" s="22">
        <v>19.873055410837697</v>
      </c>
      <c r="AR93" s="22">
        <v>20.078427147911459</v>
      </c>
      <c r="AS93" s="22">
        <v>0.79721359561956562</v>
      </c>
      <c r="AT93" s="22">
        <v>13.357184390360672</v>
      </c>
      <c r="AU93" s="22">
        <v>71.334409631407198</v>
      </c>
      <c r="AV93" s="22"/>
      <c r="AX93" s="13"/>
    </row>
    <row r="94" spans="1:59" s="12" customFormat="1" x14ac:dyDescent="0.3">
      <c r="A94" s="12" t="s">
        <v>86</v>
      </c>
      <c r="B94" s="12" t="s">
        <v>41</v>
      </c>
      <c r="C94" s="12" t="s">
        <v>88</v>
      </c>
      <c r="E94" s="12" t="s">
        <v>73</v>
      </c>
      <c r="G94" s="12" t="s">
        <v>74</v>
      </c>
      <c r="H94" s="12" t="s">
        <v>75</v>
      </c>
      <c r="I94" s="12">
        <v>2010</v>
      </c>
      <c r="J94" s="12" t="s">
        <v>89</v>
      </c>
      <c r="L94" s="22">
        <v>1.1925515823203809</v>
      </c>
      <c r="M94" s="22">
        <v>21.842206499485151</v>
      </c>
      <c r="N94" s="22">
        <v>7.3584884997227222</v>
      </c>
      <c r="O94" s="22">
        <v>27.292196580685811</v>
      </c>
      <c r="P94" s="22">
        <v>2.3030580379548704</v>
      </c>
      <c r="Q94" s="22">
        <v>4.4137200141332453</v>
      </c>
      <c r="R94" s="22">
        <v>0.29145516164410301</v>
      </c>
      <c r="S94" s="22">
        <v>36.763474462459719</v>
      </c>
      <c r="T94" s="22">
        <v>202.26683742209121</v>
      </c>
      <c r="U94" s="22">
        <v>29.037391660934173</v>
      </c>
      <c r="V94" s="22">
        <v>3.3979434747043471</v>
      </c>
      <c r="W94" s="22">
        <v>79.609176587432927</v>
      </c>
      <c r="X94" s="22">
        <v>14.5</v>
      </c>
      <c r="Y94" s="22">
        <v>211.78668882920024</v>
      </c>
      <c r="Z94" s="22">
        <v>14.023650064272198</v>
      </c>
      <c r="AA94" s="22">
        <v>9.8780267216928124</v>
      </c>
      <c r="AB94" s="22">
        <v>48.242339985030576</v>
      </c>
      <c r="AC94" s="22">
        <v>0.24211709519764227</v>
      </c>
      <c r="AD94" s="22">
        <v>0</v>
      </c>
      <c r="AE94" s="22">
        <v>61.673813098158334</v>
      </c>
      <c r="AF94" s="22">
        <v>14.773808020891783</v>
      </c>
      <c r="AG94" s="22">
        <v>0.3728407819459077</v>
      </c>
      <c r="AH94" s="22">
        <v>6.985258873816198</v>
      </c>
      <c r="AI94" s="22">
        <v>8.2496338818426218E-2</v>
      </c>
      <c r="AJ94" s="22">
        <v>1.4983805155853804</v>
      </c>
      <c r="AK94" s="22">
        <v>6.8864715951724103</v>
      </c>
      <c r="AL94" s="22">
        <v>5.7287598929844128</v>
      </c>
      <c r="AM94" s="22">
        <v>5.9239423025760765</v>
      </c>
      <c r="AN94" s="22">
        <v>103.20006410404739</v>
      </c>
      <c r="AO94" s="22">
        <v>5.837455278035903</v>
      </c>
      <c r="AP94" s="22">
        <v>57.010872291735097</v>
      </c>
      <c r="AQ94" s="22">
        <v>19.873055410837697</v>
      </c>
      <c r="AR94" s="22">
        <v>20.078427147911459</v>
      </c>
      <c r="AS94" s="22">
        <v>0.79721359561956562</v>
      </c>
      <c r="AT94" s="22">
        <v>13.357184390360672</v>
      </c>
      <c r="AU94" s="22">
        <v>71.334409631407198</v>
      </c>
      <c r="AV94" s="22"/>
      <c r="AW94" s="13">
        <f>SUM(M94:O94,R94:AC94,AE94:AH94,AK94:AL94,AN94:AP94,AR94:AU94)</f>
        <v>1074.5685717466399</v>
      </c>
      <c r="BC94" s="13">
        <f>AW94-AU94</f>
        <v>1003.2341621152327</v>
      </c>
    </row>
    <row r="95" spans="1:59" s="12" customFormat="1" x14ac:dyDescent="0.3">
      <c r="A95" s="12" t="s">
        <v>86</v>
      </c>
      <c r="B95" s="12" t="s">
        <v>41</v>
      </c>
      <c r="C95" s="12" t="s">
        <v>88</v>
      </c>
      <c r="E95" s="12" t="s">
        <v>73</v>
      </c>
      <c r="G95" s="12" t="s">
        <v>74</v>
      </c>
      <c r="H95" s="12" t="s">
        <v>75</v>
      </c>
      <c r="I95" s="12">
        <v>2020</v>
      </c>
      <c r="J95" s="12" t="s">
        <v>89</v>
      </c>
      <c r="L95" s="13">
        <v>1.3969915910433135</v>
      </c>
      <c r="M95" s="13">
        <f t="shared" ref="M95:O95" si="33">M96</f>
        <v>17.235562058249943</v>
      </c>
      <c r="N95" s="13">
        <f t="shared" si="33"/>
        <v>5.3262578913166303</v>
      </c>
      <c r="O95" s="13">
        <f t="shared" si="33"/>
        <v>23.368586336734335</v>
      </c>
      <c r="P95" s="13">
        <v>2.7594911941692093</v>
      </c>
      <c r="Q95" s="13">
        <v>3.8017740306993604</v>
      </c>
      <c r="R95" s="13">
        <f t="shared" ref="R95:AC95" si="34">R96</f>
        <v>0.33018275034944655</v>
      </c>
      <c r="S95" s="13">
        <f t="shared" si="34"/>
        <v>29.196366892783029</v>
      </c>
      <c r="T95" s="13">
        <f t="shared" si="34"/>
        <v>160.43144938602427</v>
      </c>
      <c r="U95" s="13">
        <f t="shared" si="34"/>
        <v>20.100437522671516</v>
      </c>
      <c r="V95" s="13">
        <f t="shared" si="34"/>
        <v>3.5004841716448762</v>
      </c>
      <c r="W95" s="13">
        <f t="shared" si="34"/>
        <v>72.275122412008287</v>
      </c>
      <c r="X95" s="13">
        <f t="shared" si="34"/>
        <v>13.910223721653583</v>
      </c>
      <c r="Y95" s="13">
        <f t="shared" si="34"/>
        <v>167.59189440362439</v>
      </c>
      <c r="Z95" s="13">
        <f t="shared" si="34"/>
        <v>15.90621435127064</v>
      </c>
      <c r="AA95" s="13">
        <f t="shared" si="34"/>
        <v>6.9827493053735763</v>
      </c>
      <c r="AB95" s="13">
        <f t="shared" si="34"/>
        <v>37.14893615392139</v>
      </c>
      <c r="AC95" s="13">
        <f t="shared" si="34"/>
        <v>0.24203359368175925</v>
      </c>
      <c r="AD95" s="13">
        <v>0</v>
      </c>
      <c r="AE95" s="13">
        <f t="shared" ref="AE95:AH95" si="35">AE96</f>
        <v>49.177864104006218</v>
      </c>
      <c r="AF95" s="13">
        <f t="shared" si="35"/>
        <v>10.496085099861414</v>
      </c>
      <c r="AG95" s="13">
        <f t="shared" si="35"/>
        <v>0.26335284935903241</v>
      </c>
      <c r="AH95" s="13">
        <f t="shared" si="35"/>
        <v>6.1758414333452061</v>
      </c>
      <c r="AI95" s="13">
        <v>0.12978770873978049</v>
      </c>
      <c r="AJ95" s="13">
        <v>1.4390825659866513</v>
      </c>
      <c r="AK95" s="13">
        <f t="shared" ref="AK95:AL95" si="36">AK96</f>
        <v>8.497250016898281E-3</v>
      </c>
      <c r="AL95" s="13">
        <f t="shared" si="36"/>
        <v>4.1016847237074412</v>
      </c>
      <c r="AM95" s="13">
        <v>5.0970237705900603</v>
      </c>
      <c r="AN95" s="13">
        <f t="shared" ref="AN95:AT95" si="37">AN96</f>
        <v>68.760155265272843</v>
      </c>
      <c r="AO95" s="13">
        <f t="shared" si="37"/>
        <v>6.4026891824828303</v>
      </c>
      <c r="AP95" s="13">
        <f t="shared" si="37"/>
        <v>44.630549365006097</v>
      </c>
      <c r="AQ95" s="13">
        <f t="shared" si="37"/>
        <v>23.425092646329979</v>
      </c>
      <c r="AR95" s="13">
        <f t="shared" si="37"/>
        <v>12.728792255065368</v>
      </c>
      <c r="AS95" s="13">
        <f t="shared" si="37"/>
        <v>0.67526650330023985</v>
      </c>
      <c r="AT95" s="13">
        <f t="shared" si="37"/>
        <v>10.569801017269087</v>
      </c>
      <c r="AU95" s="13">
        <v>64.125585284769826</v>
      </c>
      <c r="AV95" s="13"/>
      <c r="AX95" s="13">
        <f>SUM(M95:O95,R95:AC95,AE95:AH95,AK95:AL95,AN95:AP95,AR95:AU95)</f>
        <v>851.66266528477013</v>
      </c>
      <c r="BD95" s="13">
        <f>AX95-AU95</f>
        <v>787.53708000000029</v>
      </c>
    </row>
    <row r="96" spans="1:59" s="12" customFormat="1" x14ac:dyDescent="0.3">
      <c r="A96" s="12" t="s">
        <v>86</v>
      </c>
      <c r="B96" s="12" t="s">
        <v>41</v>
      </c>
      <c r="C96" s="12" t="s">
        <v>88</v>
      </c>
      <c r="E96" s="12" t="s">
        <v>73</v>
      </c>
      <c r="G96" s="12" t="s">
        <v>74</v>
      </c>
      <c r="H96" s="12" t="s">
        <v>75</v>
      </c>
      <c r="I96" s="12">
        <v>2030</v>
      </c>
      <c r="J96" s="12" t="s">
        <v>89</v>
      </c>
      <c r="L96" s="13">
        <v>1.517660259813649</v>
      </c>
      <c r="M96" s="14">
        <f>M311</f>
        <v>17.235562058249943</v>
      </c>
      <c r="N96" s="14">
        <f>N311</f>
        <v>5.3262578913166303</v>
      </c>
      <c r="O96" s="14">
        <f>O311</f>
        <v>23.368586336734335</v>
      </c>
      <c r="P96" s="13">
        <v>2.7698171592746772</v>
      </c>
      <c r="Q96" s="13">
        <v>3.5660898575930298</v>
      </c>
      <c r="R96" s="14">
        <f>R311</f>
        <v>0.33018275034944655</v>
      </c>
      <c r="S96" s="14">
        <f>S311</f>
        <v>29.196366892783029</v>
      </c>
      <c r="T96" s="14">
        <f>T311</f>
        <v>160.43144938602427</v>
      </c>
      <c r="U96" s="14">
        <f t="shared" ref="U96:AC98" si="38">U311</f>
        <v>20.100437522671516</v>
      </c>
      <c r="V96" s="14">
        <f t="shared" si="38"/>
        <v>3.5004841716448762</v>
      </c>
      <c r="W96" s="14">
        <f t="shared" si="38"/>
        <v>72.275122412008287</v>
      </c>
      <c r="X96" s="14">
        <f t="shared" si="38"/>
        <v>13.910223721653583</v>
      </c>
      <c r="Y96" s="14">
        <f t="shared" si="38"/>
        <v>167.59189440362439</v>
      </c>
      <c r="Z96" s="14">
        <f t="shared" si="38"/>
        <v>15.90621435127064</v>
      </c>
      <c r="AA96" s="14">
        <f t="shared" si="38"/>
        <v>6.9827493053735763</v>
      </c>
      <c r="AB96" s="14">
        <f t="shared" si="38"/>
        <v>37.14893615392139</v>
      </c>
      <c r="AC96" s="14">
        <f t="shared" si="38"/>
        <v>0.24203359368175925</v>
      </c>
      <c r="AD96" s="13">
        <v>0</v>
      </c>
      <c r="AE96" s="14">
        <f t="shared" ref="AE96:AH98" si="39">AE311</f>
        <v>49.177864104006218</v>
      </c>
      <c r="AF96" s="14">
        <f t="shared" si="39"/>
        <v>10.496085099861414</v>
      </c>
      <c r="AG96" s="14">
        <f t="shared" si="39"/>
        <v>0.26335284935903241</v>
      </c>
      <c r="AH96" s="14">
        <f t="shared" si="39"/>
        <v>6.1758414333452061</v>
      </c>
      <c r="AI96" s="13">
        <v>0.13182530704452253</v>
      </c>
      <c r="AJ96" s="13">
        <v>1.4941274535410551</v>
      </c>
      <c r="AK96" s="14">
        <f t="shared" ref="AK96:AL98" si="40">AK311</f>
        <v>8.497250016898281E-3</v>
      </c>
      <c r="AL96" s="14">
        <f t="shared" si="40"/>
        <v>4.1016847237074412</v>
      </c>
      <c r="AM96" s="13">
        <v>4.7372232442009876</v>
      </c>
      <c r="AN96" s="14">
        <f t="shared" ref="AN96:AP98" si="41">AN311</f>
        <v>68.760155265272843</v>
      </c>
      <c r="AO96" s="14">
        <f t="shared" si="41"/>
        <v>6.4026891824828303</v>
      </c>
      <c r="AP96" s="14">
        <f t="shared" si="41"/>
        <v>44.630549365006097</v>
      </c>
      <c r="AQ96" s="14">
        <v>23.425092646329979</v>
      </c>
      <c r="AR96" s="14">
        <f t="shared" ref="AR96:AT98" si="42">AR311</f>
        <v>12.728792255065368</v>
      </c>
      <c r="AS96" s="14">
        <f t="shared" si="42"/>
        <v>0.67526650330023985</v>
      </c>
      <c r="AT96" s="14">
        <f t="shared" si="42"/>
        <v>10.569801017269087</v>
      </c>
      <c r="AU96" s="13">
        <v>69.486622197546126</v>
      </c>
      <c r="AV96" s="13"/>
      <c r="AY96" s="13">
        <f>SUM(M96:O96,R96:AC96,AE96:AH96,AK96:AL96,AN96:AP96,AR96:AU96)</f>
        <v>857.02370219754641</v>
      </c>
      <c r="BE96" s="13">
        <f>AY96-AU96</f>
        <v>787.53708000000029</v>
      </c>
    </row>
    <row r="97" spans="1:59" s="12" customFormat="1" x14ac:dyDescent="0.3">
      <c r="A97" s="12" t="s">
        <v>86</v>
      </c>
      <c r="B97" s="12" t="s">
        <v>41</v>
      </c>
      <c r="C97" s="12" t="s">
        <v>88</v>
      </c>
      <c r="E97" s="12" t="s">
        <v>73</v>
      </c>
      <c r="G97" s="12" t="s">
        <v>74</v>
      </c>
      <c r="H97" s="12" t="s">
        <v>75</v>
      </c>
      <c r="I97" s="12">
        <v>2040</v>
      </c>
      <c r="J97" s="12" t="s">
        <v>89</v>
      </c>
      <c r="L97" s="13">
        <v>1.598184246490755</v>
      </c>
      <c r="M97" s="14">
        <f t="shared" ref="M97:O98" si="43">M312</f>
        <v>34.613204641374303</v>
      </c>
      <c r="N97" s="14">
        <f t="shared" si="43"/>
        <v>10.65253150321146</v>
      </c>
      <c r="O97" s="14">
        <f t="shared" si="43"/>
        <v>42.31924735930447</v>
      </c>
      <c r="P97" s="13">
        <v>2.9256805505224168</v>
      </c>
      <c r="Q97" s="13">
        <v>3.6597564015003536</v>
      </c>
      <c r="R97" s="14">
        <f t="shared" ref="R97:T98" si="44">R312</f>
        <v>0.6558988363800099</v>
      </c>
      <c r="S97" s="14">
        <f t="shared" si="44"/>
        <v>55.612386315839231</v>
      </c>
      <c r="T97" s="14">
        <f t="shared" si="44"/>
        <v>306.43295956395963</v>
      </c>
      <c r="U97" s="14">
        <f t="shared" si="38"/>
        <v>36.384854905701644</v>
      </c>
      <c r="V97" s="14">
        <f t="shared" si="38"/>
        <v>8.0801102101949134</v>
      </c>
      <c r="W97" s="14">
        <f t="shared" si="38"/>
        <v>138.61147137352583</v>
      </c>
      <c r="X97" s="14">
        <f t="shared" si="38"/>
        <v>27.226969320640695</v>
      </c>
      <c r="Y97" s="14">
        <f t="shared" si="38"/>
        <v>309.01723341026712</v>
      </c>
      <c r="Z97" s="14">
        <f t="shared" si="38"/>
        <v>31.303594959812877</v>
      </c>
      <c r="AA97" s="14">
        <f t="shared" si="38"/>
        <v>12.137113260230986</v>
      </c>
      <c r="AB97" s="14">
        <f t="shared" si="38"/>
        <v>71.869136049713731</v>
      </c>
      <c r="AC97" s="14">
        <f t="shared" si="38"/>
        <v>0.37682145902098085</v>
      </c>
      <c r="AD97" s="13">
        <v>0</v>
      </c>
      <c r="AE97" s="14">
        <f t="shared" si="39"/>
        <v>94.438083850005029</v>
      </c>
      <c r="AF97" s="14">
        <f t="shared" si="39"/>
        <v>23.786390720012641</v>
      </c>
      <c r="AG97" s="14">
        <f t="shared" si="39"/>
        <v>0.57422363790709285</v>
      </c>
      <c r="AH97" s="14">
        <f t="shared" si="39"/>
        <v>11.283858760885156</v>
      </c>
      <c r="AI97" s="13">
        <v>0.14032084786677712</v>
      </c>
      <c r="AJ97" s="13">
        <v>1.6018538529268278</v>
      </c>
      <c r="AK97" s="14">
        <f t="shared" si="40"/>
        <v>1.7154896595376491E-2</v>
      </c>
      <c r="AL97" s="14">
        <f t="shared" si="40"/>
        <v>8.7027522197177021</v>
      </c>
      <c r="AM97" s="13">
        <v>4.8120323942997461</v>
      </c>
      <c r="AN97" s="14">
        <f t="shared" si="41"/>
        <v>121.41007456391836</v>
      </c>
      <c r="AO97" s="14">
        <f t="shared" si="41"/>
        <v>11.981552912113594</v>
      </c>
      <c r="AP97" s="14">
        <f t="shared" si="41"/>
        <v>90.726307090725271</v>
      </c>
      <c r="AQ97" s="14">
        <v>27.730291168406492</v>
      </c>
      <c r="AR97" s="14">
        <f t="shared" si="42"/>
        <v>25.44266825302498</v>
      </c>
      <c r="AS97" s="14">
        <f t="shared" si="42"/>
        <v>1.3407260649181414</v>
      </c>
      <c r="AT97" s="14">
        <f t="shared" si="42"/>
        <v>20.108953860999542</v>
      </c>
      <c r="AU97" s="13">
        <v>67.1743997750131</v>
      </c>
      <c r="AV97" s="13"/>
      <c r="AY97" s="13"/>
      <c r="AZ97" s="13">
        <f>SUM(M97:O97,R97:AC97,AE97:AH97,AK97:AL97,AN97:AP97,AR97:AU97)</f>
        <v>1562.2806797750138</v>
      </c>
      <c r="BF97" s="13">
        <f>AZ97-AU97</f>
        <v>1495.1062800000007</v>
      </c>
    </row>
    <row r="98" spans="1:59" s="15" customFormat="1" x14ac:dyDescent="0.3">
      <c r="A98" s="15" t="s">
        <v>86</v>
      </c>
      <c r="B98" s="15" t="s">
        <v>41</v>
      </c>
      <c r="C98" s="15" t="s">
        <v>88</v>
      </c>
      <c r="E98" s="15" t="s">
        <v>73</v>
      </c>
      <c r="G98" s="15" t="s">
        <v>74</v>
      </c>
      <c r="H98" s="15" t="s">
        <v>75</v>
      </c>
      <c r="I98" s="15">
        <v>2050</v>
      </c>
      <c r="J98" s="15" t="s">
        <v>89</v>
      </c>
      <c r="L98" s="16">
        <v>1.6787082331678609</v>
      </c>
      <c r="M98" s="17">
        <f t="shared" si="43"/>
        <v>29.135306655681177</v>
      </c>
      <c r="N98" s="17">
        <f t="shared" si="43"/>
        <v>8.9308910347592843</v>
      </c>
      <c r="O98" s="17">
        <f t="shared" si="43"/>
        <v>31.948189713951805</v>
      </c>
      <c r="P98" s="16">
        <v>3.0815439417701564</v>
      </c>
      <c r="Q98" s="16">
        <v>3.7633136890504013</v>
      </c>
      <c r="R98" s="17">
        <f t="shared" si="44"/>
        <v>0.54679813125692311</v>
      </c>
      <c r="S98" s="17">
        <f t="shared" si="44"/>
        <v>44.39848298382568</v>
      </c>
      <c r="T98" s="17">
        <f t="shared" si="44"/>
        <v>243.69389582826443</v>
      </c>
      <c r="U98" s="17">
        <f t="shared" si="38"/>
        <v>27.490888311120106</v>
      </c>
      <c r="V98" s="17">
        <f t="shared" si="38"/>
        <v>7.653715646991281</v>
      </c>
      <c r="W98" s="17">
        <f t="shared" si="38"/>
        <v>111.72931020892455</v>
      </c>
      <c r="X98" s="17">
        <f t="shared" si="38"/>
        <v>22.362549534296498</v>
      </c>
      <c r="Y98" s="17">
        <f t="shared" si="38"/>
        <v>238.36017150113648</v>
      </c>
      <c r="Z98" s="17">
        <f t="shared" si="38"/>
        <v>26.039191706337213</v>
      </c>
      <c r="AA98" s="17">
        <f t="shared" si="38"/>
        <v>9.3716091139701483</v>
      </c>
      <c r="AB98" s="17">
        <f t="shared" si="38"/>
        <v>58.335816937812595</v>
      </c>
      <c r="AC98" s="17">
        <f t="shared" si="38"/>
        <v>0.23013954266533851</v>
      </c>
      <c r="AD98" s="16">
        <v>0</v>
      </c>
      <c r="AE98" s="17">
        <f t="shared" si="39"/>
        <v>75.975226019650279</v>
      </c>
      <c r="AF98" s="17">
        <f t="shared" si="39"/>
        <v>22.199227298787203</v>
      </c>
      <c r="AG98" s="17">
        <f t="shared" si="39"/>
        <v>0.51477877616415268</v>
      </c>
      <c r="AH98" s="17">
        <f t="shared" si="39"/>
        <v>8.6049987366876479</v>
      </c>
      <c r="AI98" s="16">
        <v>0.1488163886890318</v>
      </c>
      <c r="AJ98" s="16">
        <v>1.7095802523126011</v>
      </c>
      <c r="AK98" s="17">
        <f t="shared" si="40"/>
        <v>1.4519474625652574E-2</v>
      </c>
      <c r="AL98" s="17">
        <f t="shared" si="40"/>
        <v>7.6983794360486275</v>
      </c>
      <c r="AM98" s="16">
        <v>4.9005629166544837</v>
      </c>
      <c r="AN98" s="17">
        <f t="shared" si="41"/>
        <v>89.10015594149047</v>
      </c>
      <c r="AO98" s="17">
        <f t="shared" si="41"/>
        <v>9.3548551933820256</v>
      </c>
      <c r="AP98" s="17">
        <f t="shared" si="41"/>
        <v>77.240854129009335</v>
      </c>
      <c r="AQ98" s="17">
        <v>32.035489690483011</v>
      </c>
      <c r="AR98" s="17">
        <f t="shared" si="42"/>
        <v>21.384277745267806</v>
      </c>
      <c r="AS98" s="17">
        <f t="shared" si="42"/>
        <v>1.1166683611362833</v>
      </c>
      <c r="AT98" s="17">
        <f t="shared" si="42"/>
        <v>16.03898203675822</v>
      </c>
      <c r="AU98" s="16">
        <v>64.683531339437934</v>
      </c>
      <c r="AV98" s="16"/>
      <c r="AY98" s="16"/>
      <c r="AZ98" s="16"/>
      <c r="BA98" s="16">
        <f>SUM(M98:O98,R98:AC98,AE98:AH98,AK98:AL98,AN98:AP98,AR98:AU98)</f>
        <v>1254.1534113394393</v>
      </c>
      <c r="BG98" s="16">
        <f>BA98-AU98</f>
        <v>1189.4698800000015</v>
      </c>
    </row>
    <row r="99" spans="1:59" x14ac:dyDescent="0.3">
      <c r="A99" t="s">
        <v>86</v>
      </c>
      <c r="B99" t="s">
        <v>41</v>
      </c>
      <c r="C99" t="s">
        <v>88</v>
      </c>
      <c r="F99" t="s">
        <v>77</v>
      </c>
      <c r="H99" t="s">
        <v>78</v>
      </c>
      <c r="I99">
        <v>2005</v>
      </c>
      <c r="J99" t="s">
        <v>89</v>
      </c>
      <c r="L99" s="18">
        <v>2.6202709288365633</v>
      </c>
      <c r="M99" s="18">
        <v>7.5441090694895934</v>
      </c>
      <c r="N99" s="18">
        <v>4.6597193188901169</v>
      </c>
      <c r="O99" s="18">
        <v>3.0424348209236651</v>
      </c>
      <c r="P99" s="18">
        <v>2.9474278814162043</v>
      </c>
      <c r="Q99" s="18">
        <v>7.5441090694895934</v>
      </c>
      <c r="R99" s="18">
        <v>4.0711789520424873</v>
      </c>
      <c r="S99" s="18">
        <v>4.8518539276639654</v>
      </c>
      <c r="T99" s="18">
        <v>4.6637277357956899</v>
      </c>
      <c r="U99" s="18">
        <v>5.3819743902980708</v>
      </c>
      <c r="V99" s="18">
        <v>3.092032971495406</v>
      </c>
      <c r="W99" s="18">
        <v>3.7972787028351238</v>
      </c>
      <c r="X99" s="18">
        <v>5.399178637511123</v>
      </c>
      <c r="Y99" s="18">
        <v>2.9951844833335768</v>
      </c>
      <c r="Z99" s="18">
        <v>4.783402528992144</v>
      </c>
      <c r="AA99" s="18">
        <v>3.0712494226672566</v>
      </c>
      <c r="AB99" s="18">
        <v>3.799079717558834</v>
      </c>
      <c r="AC99" s="18">
        <v>2.1313703049384181</v>
      </c>
      <c r="AD99" s="18">
        <v>2.9286474973375931</v>
      </c>
      <c r="AE99" s="18">
        <v>3.8168857125822773</v>
      </c>
      <c r="AF99" s="18">
        <v>3.1629962938824825</v>
      </c>
      <c r="AG99" s="18">
        <v>5.4509516352730838</v>
      </c>
      <c r="AH99" s="18">
        <v>3.1800474462984871</v>
      </c>
      <c r="AI99" s="18">
        <v>3.6401943562911727</v>
      </c>
      <c r="AJ99" s="18">
        <v>3.2432785665078701</v>
      </c>
      <c r="AK99" s="18">
        <v>2.2788133539341651</v>
      </c>
      <c r="AL99" s="18">
        <v>4.4352368148908035</v>
      </c>
      <c r="AM99" s="18">
        <v>5.102114907063231</v>
      </c>
      <c r="AN99" s="18">
        <v>3.120380071867956</v>
      </c>
      <c r="AO99" s="18">
        <v>3.5567744431569044</v>
      </c>
      <c r="AP99" s="18">
        <v>3.0843403308716359</v>
      </c>
      <c r="AQ99" s="18">
        <v>3.5955448560777441</v>
      </c>
      <c r="AR99" s="18">
        <v>5.102114907063231</v>
      </c>
      <c r="AS99" s="18">
        <v>3.1184478023192024</v>
      </c>
      <c r="AT99" s="18">
        <v>5.181694432392618</v>
      </c>
      <c r="AU99" s="18">
        <v>5.3858829014970881</v>
      </c>
      <c r="AV99" s="18"/>
      <c r="AX99" s="18"/>
      <c r="AY99" s="18"/>
      <c r="AZ99" s="18"/>
      <c r="BA99" s="18"/>
    </row>
    <row r="100" spans="1:59" x14ac:dyDescent="0.3">
      <c r="A100" t="s">
        <v>86</v>
      </c>
      <c r="B100" t="s">
        <v>41</v>
      </c>
      <c r="C100" t="s">
        <v>88</v>
      </c>
      <c r="F100" t="s">
        <v>77</v>
      </c>
      <c r="H100" t="s">
        <v>78</v>
      </c>
      <c r="I100">
        <v>2010</v>
      </c>
      <c r="J100" t="s">
        <v>89</v>
      </c>
      <c r="L100" s="18">
        <v>2.6202709288365633</v>
      </c>
      <c r="M100" s="18">
        <v>7.5441090694895934</v>
      </c>
      <c r="N100" s="18">
        <v>4.6597193188901169</v>
      </c>
      <c r="O100" s="18">
        <v>3.0424348209236651</v>
      </c>
      <c r="P100" s="18">
        <v>2.9474278814162043</v>
      </c>
      <c r="Q100" s="18">
        <v>7.5441090694895934</v>
      </c>
      <c r="R100" s="18">
        <v>4.0711789520424873</v>
      </c>
      <c r="S100" s="18">
        <v>4.8518539276639654</v>
      </c>
      <c r="T100" s="18">
        <v>4.6637277357956899</v>
      </c>
      <c r="U100" s="18">
        <v>5.3819743902980708</v>
      </c>
      <c r="V100" s="18">
        <v>3.092032971495406</v>
      </c>
      <c r="W100" s="18">
        <v>3.7972787028351238</v>
      </c>
      <c r="X100" s="18">
        <v>5.399178637511123</v>
      </c>
      <c r="Y100" s="18">
        <v>2.9951844833335768</v>
      </c>
      <c r="Z100" s="18">
        <v>4.783402528992144</v>
      </c>
      <c r="AA100" s="18">
        <v>3.0712494226672566</v>
      </c>
      <c r="AB100" s="18">
        <v>3.799079717558834</v>
      </c>
      <c r="AC100" s="18">
        <v>2.1313703049384181</v>
      </c>
      <c r="AD100" s="18">
        <v>2.9286474973375931</v>
      </c>
      <c r="AE100" s="18">
        <v>3.8168857125822773</v>
      </c>
      <c r="AF100" s="18">
        <v>3.1629962938824825</v>
      </c>
      <c r="AG100" s="18">
        <v>5.4509516352730838</v>
      </c>
      <c r="AH100" s="18">
        <v>3.1800474462984871</v>
      </c>
      <c r="AI100" s="18">
        <v>3.6401943562911727</v>
      </c>
      <c r="AJ100" s="18">
        <v>3.2432785665078701</v>
      </c>
      <c r="AK100" s="18">
        <v>2.2788133539341651</v>
      </c>
      <c r="AL100" s="18">
        <v>4.4352368148908035</v>
      </c>
      <c r="AM100" s="18">
        <v>5.102114907063231</v>
      </c>
      <c r="AN100" s="18">
        <v>3.120380071867956</v>
      </c>
      <c r="AO100" s="18">
        <v>3.5567744431569044</v>
      </c>
      <c r="AP100" s="18">
        <v>3.0843403308716359</v>
      </c>
      <c r="AQ100" s="18">
        <v>3.5955448560777441</v>
      </c>
      <c r="AR100" s="18">
        <v>5.102114907063231</v>
      </c>
      <c r="AS100" s="18">
        <v>3.1184478023192024</v>
      </c>
      <c r="AT100" s="18">
        <v>5.181694432392618</v>
      </c>
      <c r="AU100" s="18">
        <v>5.3858829014970881</v>
      </c>
      <c r="AV100" s="18"/>
      <c r="AX100" s="18"/>
      <c r="AY100" s="18"/>
      <c r="AZ100" s="18"/>
      <c r="BA100" s="18"/>
    </row>
    <row r="101" spans="1:59" x14ac:dyDescent="0.3">
      <c r="A101" t="s">
        <v>86</v>
      </c>
      <c r="B101" t="s">
        <v>41</v>
      </c>
      <c r="C101" t="s">
        <v>88</v>
      </c>
      <c r="F101" t="s">
        <v>77</v>
      </c>
      <c r="H101" t="s">
        <v>78</v>
      </c>
      <c r="I101">
        <v>2020</v>
      </c>
      <c r="J101" t="s">
        <v>89</v>
      </c>
      <c r="L101" s="18">
        <v>3.4004230479892383</v>
      </c>
      <c r="M101" s="18">
        <v>6.84728583006022</v>
      </c>
      <c r="N101" s="18">
        <v>4.2549108032971921</v>
      </c>
      <c r="O101" s="18">
        <v>2.8673272577424038</v>
      </c>
      <c r="P101" s="18">
        <v>3.3979173601175501</v>
      </c>
      <c r="Q101" s="18">
        <v>6.84728583006022</v>
      </c>
      <c r="R101" s="18">
        <v>4.6051294460027439</v>
      </c>
      <c r="S101" s="18">
        <v>4.4957520207154307</v>
      </c>
      <c r="T101" s="18">
        <v>4.4461706125275109</v>
      </c>
      <c r="U101" s="18">
        <v>4.8951189491539919</v>
      </c>
      <c r="V101" s="18">
        <v>2.8578845773798776</v>
      </c>
      <c r="W101" s="18">
        <v>4.0972790486407735</v>
      </c>
      <c r="X101" s="18">
        <v>4.9755387191816682</v>
      </c>
      <c r="Y101" s="18">
        <v>2.8421122403593486</v>
      </c>
      <c r="Z101" s="18">
        <v>5.0378807201199045</v>
      </c>
      <c r="AA101" s="18">
        <v>3.1473766086800121</v>
      </c>
      <c r="AB101" s="18">
        <v>3.6481128383764974</v>
      </c>
      <c r="AC101" s="18">
        <v>2.0835530591564764</v>
      </c>
      <c r="AD101" s="18">
        <v>2.9286474973375931</v>
      </c>
      <c r="AE101" s="18">
        <v>4.1056537180764918</v>
      </c>
      <c r="AF101" s="18">
        <v>2.8667404889918293</v>
      </c>
      <c r="AG101" s="18">
        <v>4.6920113228363078</v>
      </c>
      <c r="AH101" s="18">
        <v>2.9043776436326914</v>
      </c>
      <c r="AI101" s="18">
        <v>4.0409034838981466</v>
      </c>
      <c r="AJ101" s="18">
        <v>3.4732026811272716</v>
      </c>
      <c r="AK101" s="18">
        <v>4.1202483200051097</v>
      </c>
      <c r="AL101" s="18">
        <v>4.0032934632604951</v>
      </c>
      <c r="AM101" s="18">
        <v>4.6579223990387071</v>
      </c>
      <c r="AN101" s="18">
        <v>2.9151881207560768</v>
      </c>
      <c r="AO101" s="18">
        <v>3.7430812175427026</v>
      </c>
      <c r="AP101" s="18">
        <v>2.9841238933141381</v>
      </c>
      <c r="AQ101" s="18">
        <v>3.763143420613849</v>
      </c>
      <c r="AR101" s="18">
        <v>4.6579223990387071</v>
      </c>
      <c r="AS101" s="18">
        <v>3.4783747505093481</v>
      </c>
      <c r="AT101" s="18">
        <v>4.8517735986294994</v>
      </c>
      <c r="AU101" s="18">
        <v>4.8455687136308567</v>
      </c>
      <c r="AV101" s="18"/>
      <c r="AX101" s="18"/>
      <c r="AY101" s="18"/>
      <c r="AZ101" s="18"/>
      <c r="BA101" s="18"/>
    </row>
    <row r="102" spans="1:59" x14ac:dyDescent="0.3">
      <c r="A102" t="s">
        <v>86</v>
      </c>
      <c r="B102" t="s">
        <v>41</v>
      </c>
      <c r="C102" t="s">
        <v>88</v>
      </c>
      <c r="F102" t="s">
        <v>77</v>
      </c>
      <c r="H102" t="s">
        <v>78</v>
      </c>
      <c r="I102">
        <v>2030</v>
      </c>
      <c r="J102" t="s">
        <v>89</v>
      </c>
      <c r="L102" s="18">
        <v>3.4102325645761162</v>
      </c>
      <c r="M102" s="18">
        <v>6.1063553513331437</v>
      </c>
      <c r="N102" s="18">
        <v>3.933497225991085</v>
      </c>
      <c r="O102" s="18">
        <v>2.5572290006778089</v>
      </c>
      <c r="P102" s="18">
        <v>3.2916707140577444</v>
      </c>
      <c r="Q102" s="18">
        <v>6.1063553513331437</v>
      </c>
      <c r="R102" s="18">
        <v>4.2082522191150433</v>
      </c>
      <c r="S102" s="18">
        <v>3.9976067247005607</v>
      </c>
      <c r="T102" s="18">
        <v>4.1958618908292129</v>
      </c>
      <c r="U102" s="18">
        <v>4.3898058724316913</v>
      </c>
      <c r="V102" s="18">
        <v>2.6259295666652074</v>
      </c>
      <c r="W102" s="18">
        <v>3.7111627967417893</v>
      </c>
      <c r="X102" s="18">
        <v>4.403495497657909</v>
      </c>
      <c r="Y102" s="18">
        <v>2.5782212706285108</v>
      </c>
      <c r="Z102" s="18">
        <v>4.493242016133256</v>
      </c>
      <c r="AA102" s="18">
        <v>2.9381131873467115</v>
      </c>
      <c r="AB102" s="18">
        <v>3.2796184549828125</v>
      </c>
      <c r="AC102" s="18">
        <v>2.1298045736472231</v>
      </c>
      <c r="AD102" s="18">
        <v>2.9286474973375931</v>
      </c>
      <c r="AE102" s="18">
        <v>3.7799939187836875</v>
      </c>
      <c r="AF102" s="18">
        <v>2.5592310649248056</v>
      </c>
      <c r="AG102" s="18">
        <v>5.3040310858332003</v>
      </c>
      <c r="AH102" s="18">
        <v>2.605538445038774</v>
      </c>
      <c r="AI102" s="18">
        <v>4.1686162117989767</v>
      </c>
      <c r="AJ102" s="18">
        <v>3.2841950175519514</v>
      </c>
      <c r="AK102" s="18">
        <v>3.6702984081552188</v>
      </c>
      <c r="AL102" s="18">
        <v>3.6992159287297821</v>
      </c>
      <c r="AM102" s="18">
        <v>4.1456816815752262</v>
      </c>
      <c r="AN102" s="18">
        <v>2.6147063735018867</v>
      </c>
      <c r="AO102" s="18">
        <v>3.3270472212510867</v>
      </c>
      <c r="AP102" s="18">
        <v>2.7078993615740976</v>
      </c>
      <c r="AQ102" s="18">
        <v>3.4978220063396681</v>
      </c>
      <c r="AR102" s="18">
        <v>4.1456816815752262</v>
      </c>
      <c r="AS102" s="18">
        <v>3.451289080307093</v>
      </c>
      <c r="AT102" s="18">
        <v>4.3344033376635274</v>
      </c>
      <c r="AU102" s="18">
        <v>4.2557966956308295</v>
      </c>
      <c r="AV102" s="18"/>
      <c r="AX102" s="18"/>
      <c r="AY102" s="18"/>
      <c r="AZ102" s="18"/>
      <c r="BA102" s="18"/>
    </row>
    <row r="103" spans="1:59" x14ac:dyDescent="0.3">
      <c r="A103" t="s">
        <v>86</v>
      </c>
      <c r="B103" t="s">
        <v>41</v>
      </c>
      <c r="C103" t="s">
        <v>88</v>
      </c>
      <c r="F103" t="s">
        <v>77</v>
      </c>
      <c r="H103" t="s">
        <v>78</v>
      </c>
      <c r="I103">
        <v>2040</v>
      </c>
      <c r="J103" t="s">
        <v>89</v>
      </c>
      <c r="L103" s="18">
        <v>3.4665927424467911</v>
      </c>
      <c r="M103" s="18">
        <v>5.5739124569173093</v>
      </c>
      <c r="N103" s="18">
        <v>3.7007446663608299</v>
      </c>
      <c r="O103" s="18">
        <v>2.3162579190527239</v>
      </c>
      <c r="P103" s="18">
        <v>3.1819768172313405</v>
      </c>
      <c r="Q103" s="18">
        <v>5.5739124569173093</v>
      </c>
      <c r="R103" s="18">
        <v>3.996799493306511</v>
      </c>
      <c r="S103" s="18">
        <v>3.6314145591169713</v>
      </c>
      <c r="T103" s="18">
        <v>4.1131396952807977</v>
      </c>
      <c r="U103" s="18">
        <v>4.099928565525242</v>
      </c>
      <c r="V103" s="18">
        <v>2.5083568366540003</v>
      </c>
      <c r="W103" s="18">
        <v>3.4815510369049822</v>
      </c>
      <c r="X103" s="18">
        <v>4.0041644467217976</v>
      </c>
      <c r="Y103" s="18">
        <v>2.4117573726363433</v>
      </c>
      <c r="Z103" s="18">
        <v>4.2126892645723242</v>
      </c>
      <c r="AA103" s="18">
        <v>2.7987735923782111</v>
      </c>
      <c r="AB103" s="18">
        <v>2.9880661883015378</v>
      </c>
      <c r="AC103" s="18">
        <v>2.3718236435769486</v>
      </c>
      <c r="AD103" s="18">
        <v>2.9286474973375931</v>
      </c>
      <c r="AE103" s="18">
        <v>3.5481076732646262</v>
      </c>
      <c r="AF103" s="18">
        <v>2.3269158030086952</v>
      </c>
      <c r="AG103" s="18">
        <v>5.2533025689599393</v>
      </c>
      <c r="AH103" s="18">
        <v>2.4043560714109105</v>
      </c>
      <c r="AI103" s="18">
        <v>4.0550041874440677</v>
      </c>
      <c r="AJ103" s="18">
        <v>3.168176725276072</v>
      </c>
      <c r="AK103" s="18">
        <v>3.319853646159741</v>
      </c>
      <c r="AL103" s="18">
        <v>3.6121611510055884</v>
      </c>
      <c r="AM103" s="18">
        <v>3.7833415239853192</v>
      </c>
      <c r="AN103" s="18">
        <v>2.4126568037615757</v>
      </c>
      <c r="AO103" s="18">
        <v>3.2982559875791524</v>
      </c>
      <c r="AP103" s="18">
        <v>2.5142920424939983</v>
      </c>
      <c r="AQ103" s="18">
        <v>3.2572882010372868</v>
      </c>
      <c r="AR103" s="18">
        <v>3.7833415239853192</v>
      </c>
      <c r="AS103" s="18">
        <v>3.3457956501357375</v>
      </c>
      <c r="AT103" s="18">
        <v>3.9378926857191572</v>
      </c>
      <c r="AU103" s="18">
        <v>3.8813253284046478</v>
      </c>
      <c r="AV103" s="18"/>
      <c r="AX103" s="18"/>
      <c r="AY103" s="18"/>
      <c r="AZ103" s="18"/>
      <c r="BA103" s="18"/>
    </row>
    <row r="104" spans="1:59" x14ac:dyDescent="0.3">
      <c r="A104" t="s">
        <v>86</v>
      </c>
      <c r="B104" t="s">
        <v>41</v>
      </c>
      <c r="C104" t="s">
        <v>88</v>
      </c>
      <c r="F104" t="s">
        <v>77</v>
      </c>
      <c r="H104" t="s">
        <v>78</v>
      </c>
      <c r="I104">
        <v>2050</v>
      </c>
      <c r="J104" t="s">
        <v>89</v>
      </c>
      <c r="L104" s="18">
        <v>3.5266340501719968</v>
      </c>
      <c r="M104" s="18">
        <v>5.1275994882507261</v>
      </c>
      <c r="N104" s="18">
        <v>3.5107465532699607</v>
      </c>
      <c r="O104" s="18">
        <v>2.1053020181080817</v>
      </c>
      <c r="P104" s="18">
        <v>3.0913840023938182</v>
      </c>
      <c r="Q104" s="18">
        <v>5.1275994882507261</v>
      </c>
      <c r="R104" s="18">
        <v>4.0119860475136466</v>
      </c>
      <c r="S104" s="18">
        <v>3.2982653716145554</v>
      </c>
      <c r="T104" s="18">
        <v>4.1034199655870287</v>
      </c>
      <c r="U104" s="18">
        <v>3.8803935367564271</v>
      </c>
      <c r="V104" s="18">
        <v>2.4074501082105155</v>
      </c>
      <c r="W104" s="18">
        <v>3.3275894603819345</v>
      </c>
      <c r="X104" s="18">
        <v>3.648581573445481</v>
      </c>
      <c r="Y104" s="18">
        <v>2.2671089974252761</v>
      </c>
      <c r="Z104" s="18">
        <v>3.9758205586794619</v>
      </c>
      <c r="AA104" s="18">
        <v>2.7294871680709356</v>
      </c>
      <c r="AB104" s="18">
        <v>2.7306856335962006</v>
      </c>
      <c r="AC104" s="18">
        <v>2.5921625195107567</v>
      </c>
      <c r="AD104" s="18">
        <v>2.9286474973375931</v>
      </c>
      <c r="AE104" s="18">
        <v>3.3490615809699458</v>
      </c>
      <c r="AF104" s="18">
        <v>2.1289897431545164</v>
      </c>
      <c r="AG104" s="18">
        <v>4.9264336408169251</v>
      </c>
      <c r="AH104" s="18">
        <v>2.2212393175221394</v>
      </c>
      <c r="AI104" s="18">
        <v>3.9491325305511946</v>
      </c>
      <c r="AJ104" s="18">
        <v>3.0685896197079661</v>
      </c>
      <c r="AK104" s="18">
        <v>3.2394888454316413</v>
      </c>
      <c r="AL104" s="18">
        <v>3.5267287245971755</v>
      </c>
      <c r="AM104" s="18">
        <v>3.4546383868107062</v>
      </c>
      <c r="AN104" s="18">
        <v>2.2382740404263406</v>
      </c>
      <c r="AO104" s="18">
        <v>3.3247943815970555</v>
      </c>
      <c r="AP104" s="18">
        <v>2.3476746560826967</v>
      </c>
      <c r="AQ104" s="18">
        <v>3.0188953517639932</v>
      </c>
      <c r="AR104" s="18">
        <v>3.4546383868107062</v>
      </c>
      <c r="AS104" s="18">
        <v>3.2546901989762751</v>
      </c>
      <c r="AT104" s="18">
        <v>3.5759816224988725</v>
      </c>
      <c r="AU104" s="18">
        <v>3.5484559697920557</v>
      </c>
      <c r="AV104" s="18"/>
      <c r="AX104" s="18"/>
      <c r="AY104" s="18"/>
      <c r="AZ104" s="18"/>
      <c r="BA104" s="18"/>
    </row>
    <row r="105" spans="1:59" x14ac:dyDescent="0.3">
      <c r="E105" t="s">
        <v>79</v>
      </c>
      <c r="AX105" s="18"/>
    </row>
    <row r="106" spans="1:59" s="12" customFormat="1" x14ac:dyDescent="0.3">
      <c r="A106" s="12" t="s">
        <v>90</v>
      </c>
      <c r="B106" s="12" t="s">
        <v>42</v>
      </c>
      <c r="C106" s="12" t="s">
        <v>91</v>
      </c>
      <c r="E106" s="12" t="s">
        <v>73</v>
      </c>
      <c r="G106" s="12" t="s">
        <v>74</v>
      </c>
      <c r="H106" s="12" t="s">
        <v>75</v>
      </c>
      <c r="I106" s="12">
        <v>2005</v>
      </c>
      <c r="J106" s="12" t="s">
        <v>92</v>
      </c>
      <c r="L106" s="22">
        <v>6.6</v>
      </c>
      <c r="M106" s="22">
        <v>33.1</v>
      </c>
      <c r="N106" s="22">
        <v>5.5</v>
      </c>
      <c r="O106" s="22">
        <v>13.2</v>
      </c>
      <c r="P106" s="22">
        <v>25.8</v>
      </c>
      <c r="Q106" s="22">
        <v>14.3</v>
      </c>
      <c r="R106" s="22">
        <v>0</v>
      </c>
      <c r="S106" s="22">
        <v>11.2</v>
      </c>
      <c r="T106" s="22">
        <v>89.5</v>
      </c>
      <c r="U106" s="22">
        <v>6.4</v>
      </c>
      <c r="V106" s="22">
        <v>12.3</v>
      </c>
      <c r="W106" s="22">
        <v>28.2</v>
      </c>
      <c r="X106" s="22">
        <v>56</v>
      </c>
      <c r="Y106" s="22">
        <v>197.6</v>
      </c>
      <c r="Z106" s="22">
        <v>5.7</v>
      </c>
      <c r="AA106" s="22">
        <v>11</v>
      </c>
      <c r="AB106" s="22">
        <v>20.9</v>
      </c>
      <c r="AC106" s="22">
        <v>1.9</v>
      </c>
      <c r="AD106" s="22">
        <v>0</v>
      </c>
      <c r="AE106" s="22">
        <v>61.1</v>
      </c>
      <c r="AF106" s="22">
        <v>14.7</v>
      </c>
      <c r="AG106" s="22">
        <v>0.2</v>
      </c>
      <c r="AH106" s="22">
        <v>20.100000000000001</v>
      </c>
      <c r="AI106" s="22">
        <v>4.0999999999999996</v>
      </c>
      <c r="AJ106" s="22">
        <v>20.399999999999999</v>
      </c>
      <c r="AK106" s="22">
        <v>0</v>
      </c>
      <c r="AL106" s="22">
        <v>2.4</v>
      </c>
      <c r="AM106" s="22">
        <v>26.9</v>
      </c>
      <c r="AN106" s="22">
        <v>24</v>
      </c>
      <c r="AO106" s="22">
        <v>16</v>
      </c>
      <c r="AP106" s="22">
        <v>32.5</v>
      </c>
      <c r="AQ106" s="22">
        <v>140.5</v>
      </c>
      <c r="AR106" s="22">
        <v>72.2</v>
      </c>
      <c r="AS106" s="22">
        <v>13.4</v>
      </c>
      <c r="AT106" s="22">
        <v>3.7</v>
      </c>
      <c r="AU106" s="22">
        <v>8.8000000000000007</v>
      </c>
      <c r="AV106" s="22"/>
      <c r="AX106" s="13"/>
    </row>
    <row r="107" spans="1:59" s="12" customFormat="1" x14ac:dyDescent="0.3">
      <c r="A107" s="12" t="s">
        <v>90</v>
      </c>
      <c r="B107" s="12" t="s">
        <v>42</v>
      </c>
      <c r="C107" s="12" t="s">
        <v>91</v>
      </c>
      <c r="E107" s="12" t="s">
        <v>73</v>
      </c>
      <c r="G107" s="12" t="s">
        <v>74</v>
      </c>
      <c r="H107" s="12" t="s">
        <v>75</v>
      </c>
      <c r="I107" s="12">
        <v>2010</v>
      </c>
      <c r="J107" s="12" t="s">
        <v>92</v>
      </c>
      <c r="L107" s="22">
        <v>6.7</v>
      </c>
      <c r="M107" s="22">
        <v>33.200000000000003</v>
      </c>
      <c r="N107" s="22">
        <v>5.6</v>
      </c>
      <c r="O107" s="22">
        <v>12.9</v>
      </c>
      <c r="P107" s="22">
        <v>25.9</v>
      </c>
      <c r="Q107" s="22">
        <v>14.4</v>
      </c>
      <c r="R107" s="22">
        <v>0</v>
      </c>
      <c r="S107" s="22">
        <v>11.1</v>
      </c>
      <c r="T107" s="22">
        <v>89.9</v>
      </c>
      <c r="U107" s="22">
        <v>6.4</v>
      </c>
      <c r="V107" s="22">
        <v>12.2</v>
      </c>
      <c r="W107" s="22">
        <v>27.6</v>
      </c>
      <c r="X107" s="22">
        <v>55.7</v>
      </c>
      <c r="Y107" s="22">
        <v>195.2</v>
      </c>
      <c r="Z107" s="22">
        <v>5.6</v>
      </c>
      <c r="AA107" s="22">
        <v>10.8</v>
      </c>
      <c r="AB107" s="22">
        <v>20.7</v>
      </c>
      <c r="AC107" s="22">
        <v>1.8</v>
      </c>
      <c r="AD107" s="22">
        <v>0</v>
      </c>
      <c r="AE107" s="22">
        <v>60.8</v>
      </c>
      <c r="AF107" s="22">
        <v>14.6</v>
      </c>
      <c r="AG107" s="22">
        <v>0.2</v>
      </c>
      <c r="AH107" s="22">
        <v>20.100000000000001</v>
      </c>
      <c r="AI107" s="22">
        <v>4.0999999999999996</v>
      </c>
      <c r="AJ107" s="22">
        <v>20.5</v>
      </c>
      <c r="AK107" s="22">
        <v>0</v>
      </c>
      <c r="AL107" s="22">
        <v>2.2999999999999998</v>
      </c>
      <c r="AM107" s="22">
        <v>27</v>
      </c>
      <c r="AN107" s="22">
        <v>23.9</v>
      </c>
      <c r="AO107" s="22">
        <v>15.8</v>
      </c>
      <c r="AP107" s="22">
        <v>32.200000000000003</v>
      </c>
      <c r="AQ107" s="22">
        <v>141.1</v>
      </c>
      <c r="AR107" s="22">
        <v>72.5</v>
      </c>
      <c r="AS107" s="22">
        <v>13.4</v>
      </c>
      <c r="AT107" s="22">
        <v>3.6</v>
      </c>
      <c r="AU107" s="22">
        <v>8.6999999999999993</v>
      </c>
      <c r="AV107" s="22"/>
      <c r="AW107" s="13">
        <f>SUM(M107:O107,R107:AC107,AE107:AH107,AK107:AL107,AN107:AP107,AR107:AU107)</f>
        <v>756.80000000000007</v>
      </c>
      <c r="BC107" s="13">
        <f>AW107-AU107</f>
        <v>748.1</v>
      </c>
    </row>
    <row r="108" spans="1:59" s="12" customFormat="1" x14ac:dyDescent="0.3">
      <c r="A108" s="12" t="s">
        <v>90</v>
      </c>
      <c r="B108" s="12" t="s">
        <v>42</v>
      </c>
      <c r="C108" s="12" t="s">
        <v>91</v>
      </c>
      <c r="E108" s="12" t="s">
        <v>73</v>
      </c>
      <c r="G108" s="12" t="s">
        <v>74</v>
      </c>
      <c r="H108" s="12" t="s">
        <v>75</v>
      </c>
      <c r="I108" s="12">
        <v>2020</v>
      </c>
      <c r="J108" s="12" t="s">
        <v>92</v>
      </c>
      <c r="L108" s="13">
        <v>6.3</v>
      </c>
      <c r="M108" s="13">
        <v>33</v>
      </c>
      <c r="N108" s="13">
        <v>6</v>
      </c>
      <c r="O108" s="13">
        <v>12.2</v>
      </c>
      <c r="P108" s="13">
        <v>26.2</v>
      </c>
      <c r="Q108" s="13">
        <v>13.1</v>
      </c>
      <c r="R108" s="13">
        <v>0</v>
      </c>
      <c r="S108" s="13">
        <v>10.8</v>
      </c>
      <c r="T108" s="13">
        <v>91.5</v>
      </c>
      <c r="U108" s="13">
        <v>6.3</v>
      </c>
      <c r="V108" s="13">
        <v>11.8</v>
      </c>
      <c r="W108" s="13">
        <v>25.2</v>
      </c>
      <c r="X108" s="13">
        <v>74.2</v>
      </c>
      <c r="Y108" s="13">
        <v>186.7</v>
      </c>
      <c r="Z108" s="13">
        <v>5.4</v>
      </c>
      <c r="AA108" s="13">
        <v>10.199999999999999</v>
      </c>
      <c r="AB108" s="13">
        <v>19.899999999999999</v>
      </c>
      <c r="AC108" s="13">
        <v>1.5</v>
      </c>
      <c r="AD108" s="22">
        <v>0</v>
      </c>
      <c r="AE108" s="13">
        <v>59.8</v>
      </c>
      <c r="AF108" s="13">
        <v>14.1</v>
      </c>
      <c r="AG108" s="13">
        <v>0.2</v>
      </c>
      <c r="AH108" s="13">
        <v>19.899999999999999</v>
      </c>
      <c r="AI108" s="13">
        <v>4.0999999999999996</v>
      </c>
      <c r="AJ108" s="13">
        <v>20.7</v>
      </c>
      <c r="AK108" s="13">
        <v>0</v>
      </c>
      <c r="AL108" s="13">
        <v>2.1</v>
      </c>
      <c r="AM108" s="13">
        <v>26.7</v>
      </c>
      <c r="AN108" s="13">
        <v>23.5</v>
      </c>
      <c r="AO108" s="13">
        <v>15</v>
      </c>
      <c r="AP108" s="13">
        <v>31.2</v>
      </c>
      <c r="AQ108" s="13">
        <v>116.1</v>
      </c>
      <c r="AR108" s="13">
        <v>72.2</v>
      </c>
      <c r="AS108" s="13">
        <v>13.3</v>
      </c>
      <c r="AT108" s="13">
        <v>3.5</v>
      </c>
      <c r="AU108" s="13">
        <v>8.5</v>
      </c>
      <c r="AV108" s="13"/>
      <c r="AX108" s="13">
        <f>SUM(M108:O108,R108:AC108,AE108:AH108,AK108:AL108,AN108:AP108,AR108:AU108)</f>
        <v>758</v>
      </c>
      <c r="BD108" s="13">
        <f>AX108-AU108</f>
        <v>749.5</v>
      </c>
    </row>
    <row r="109" spans="1:59" s="12" customFormat="1" x14ac:dyDescent="0.3">
      <c r="A109" s="12" t="s">
        <v>90</v>
      </c>
      <c r="B109" s="12" t="s">
        <v>42</v>
      </c>
      <c r="C109" s="12" t="s">
        <v>91</v>
      </c>
      <c r="E109" s="12" t="s">
        <v>73</v>
      </c>
      <c r="G109" s="12" t="s">
        <v>74</v>
      </c>
      <c r="H109" s="12" t="s">
        <v>75</v>
      </c>
      <c r="I109" s="12">
        <v>2030</v>
      </c>
      <c r="J109" s="12" t="s">
        <v>92</v>
      </c>
      <c r="L109" s="13">
        <v>5.8</v>
      </c>
      <c r="M109" s="14">
        <f>M314</f>
        <v>37.078538692621322</v>
      </c>
      <c r="N109" s="14">
        <f t="shared" ref="N109:O111" si="45">N314</f>
        <v>6.6015202420097303</v>
      </c>
      <c r="O109" s="14">
        <f t="shared" si="45"/>
        <v>13.203040484019461</v>
      </c>
      <c r="P109" s="13">
        <v>27</v>
      </c>
      <c r="Q109" s="13">
        <v>13.4</v>
      </c>
      <c r="R109" s="14">
        <f t="shared" ref="R109:AC111" si="46">R314</f>
        <v>0</v>
      </c>
      <c r="S109" s="14">
        <f t="shared" si="46"/>
        <v>12.102787110351171</v>
      </c>
      <c r="T109" s="14">
        <f t="shared" si="46"/>
        <v>100.3431076785479</v>
      </c>
      <c r="U109" s="14">
        <f t="shared" si="46"/>
        <v>7.0416215914770452</v>
      </c>
      <c r="V109" s="14">
        <f t="shared" si="46"/>
        <v>12.982989809285803</v>
      </c>
      <c r="W109" s="14">
        <f t="shared" si="46"/>
        <v>27.836410353807697</v>
      </c>
      <c r="X109" s="14">
        <f t="shared" si="46"/>
        <v>91.100979339734266</v>
      </c>
      <c r="Y109" s="14">
        <f t="shared" si="46"/>
        <v>205.96743155070357</v>
      </c>
      <c r="Z109" s="14">
        <f t="shared" si="46"/>
        <v>5.9413682178087575</v>
      </c>
      <c r="AA109" s="14">
        <f t="shared" si="46"/>
        <v>11.222584411416541</v>
      </c>
      <c r="AB109" s="14">
        <f t="shared" si="46"/>
        <v>21.895042135998938</v>
      </c>
      <c r="AC109" s="14">
        <f t="shared" si="46"/>
        <v>1.4303293857687749</v>
      </c>
      <c r="AD109" s="22">
        <v>0</v>
      </c>
      <c r="AE109" s="14">
        <f t="shared" ref="AE109:AH111" si="47">AE314</f>
        <v>65.575101070629984</v>
      </c>
      <c r="AF109" s="14">
        <f t="shared" si="47"/>
        <v>15.733623243456522</v>
      </c>
      <c r="AG109" s="14">
        <f t="shared" si="47"/>
        <v>0.22005067473365766</v>
      </c>
      <c r="AH109" s="14">
        <f t="shared" si="47"/>
        <v>22.115092810732595</v>
      </c>
      <c r="AI109" s="13">
        <v>12.5</v>
      </c>
      <c r="AJ109" s="13">
        <v>21.3</v>
      </c>
      <c r="AK109" s="14">
        <f t="shared" ref="AK109:AL111" si="48">AK314</f>
        <v>0</v>
      </c>
      <c r="AL109" s="14">
        <f t="shared" si="48"/>
        <v>2.2005067473365769</v>
      </c>
      <c r="AM109" s="13">
        <v>27.6</v>
      </c>
      <c r="AN109" s="14">
        <f t="shared" ref="AN109:AT111" si="49">AN314</f>
        <v>25.855954281204774</v>
      </c>
      <c r="AO109" s="14">
        <f t="shared" si="49"/>
        <v>16.833876617124812</v>
      </c>
      <c r="AP109" s="14">
        <f t="shared" si="49"/>
        <v>34.217879921083764</v>
      </c>
      <c r="AQ109" s="14">
        <f t="shared" si="49"/>
        <v>0</v>
      </c>
      <c r="AR109" s="14">
        <f t="shared" si="49"/>
        <v>80.428521615151865</v>
      </c>
      <c r="AS109" s="14">
        <f t="shared" si="49"/>
        <v>14.633369869788234</v>
      </c>
      <c r="AT109" s="14">
        <f t="shared" si="49"/>
        <v>3.960912145205838</v>
      </c>
      <c r="AU109" s="13">
        <v>8.4</v>
      </c>
      <c r="AV109" s="13"/>
      <c r="AY109" s="13">
        <f>SUM(M109:O109,R109:AC109,AE109:AH109,AK109:AL109,AN109:AP109,AR109:AU109)</f>
        <v>844.92263999999955</v>
      </c>
      <c r="BE109" s="13">
        <f>AY109-AU109</f>
        <v>836.52263999999957</v>
      </c>
    </row>
    <row r="110" spans="1:59" s="12" customFormat="1" x14ac:dyDescent="0.3">
      <c r="A110" s="12" t="s">
        <v>90</v>
      </c>
      <c r="B110" s="12" t="s">
        <v>42</v>
      </c>
      <c r="C110" s="12" t="s">
        <v>91</v>
      </c>
      <c r="E110" s="12" t="s">
        <v>73</v>
      </c>
      <c r="G110" s="12" t="s">
        <v>74</v>
      </c>
      <c r="H110" s="12" t="s">
        <v>75</v>
      </c>
      <c r="I110" s="12">
        <v>2040</v>
      </c>
      <c r="J110" s="12" t="s">
        <v>92</v>
      </c>
      <c r="L110" s="13">
        <v>5.9</v>
      </c>
      <c r="M110" s="14">
        <f>M315</f>
        <v>45.680071068427409</v>
      </c>
      <c r="N110" s="14">
        <f t="shared" si="45"/>
        <v>8.3791846338535496</v>
      </c>
      <c r="O110" s="14">
        <f t="shared" si="45"/>
        <v>15.406887875150074</v>
      </c>
      <c r="P110" s="13">
        <v>27.8</v>
      </c>
      <c r="Q110" s="13">
        <v>14.3</v>
      </c>
      <c r="R110" s="14">
        <f t="shared" si="46"/>
        <v>0</v>
      </c>
      <c r="S110" s="14">
        <f t="shared" si="46"/>
        <v>14.59599903961586</v>
      </c>
      <c r="T110" s="14">
        <f t="shared" si="46"/>
        <v>124.74173253301331</v>
      </c>
      <c r="U110" s="14">
        <f t="shared" si="46"/>
        <v>8.6494809123649539</v>
      </c>
      <c r="V110" s="14">
        <f t="shared" si="46"/>
        <v>15.406887875150074</v>
      </c>
      <c r="W110" s="14">
        <f t="shared" si="46"/>
        <v>31.894960864345766</v>
      </c>
      <c r="X110" s="14">
        <f t="shared" si="46"/>
        <v>110.95662232893166</v>
      </c>
      <c r="Y110" s="14">
        <f t="shared" si="46"/>
        <v>244.88842833133273</v>
      </c>
      <c r="Z110" s="14">
        <f t="shared" si="46"/>
        <v>7.1628513805522269</v>
      </c>
      <c r="AA110" s="14">
        <f t="shared" si="46"/>
        <v>13.244517647058837</v>
      </c>
      <c r="AB110" s="14">
        <f t="shared" si="46"/>
        <v>26.218739015606264</v>
      </c>
      <c r="AC110" s="14">
        <f t="shared" si="46"/>
        <v>1.4866295318127265</v>
      </c>
      <c r="AD110" s="22">
        <v>0</v>
      </c>
      <c r="AE110" s="14">
        <f t="shared" si="47"/>
        <v>79.602254021608701</v>
      </c>
      <c r="AF110" s="14">
        <f t="shared" si="47"/>
        <v>18.920739495798337</v>
      </c>
      <c r="AG110" s="14">
        <f t="shared" si="47"/>
        <v>0.27029627851140481</v>
      </c>
      <c r="AH110" s="14">
        <f t="shared" si="47"/>
        <v>27.164775990396183</v>
      </c>
      <c r="AI110" s="13">
        <v>13.2</v>
      </c>
      <c r="AJ110" s="13">
        <v>21.9</v>
      </c>
      <c r="AK110" s="14">
        <f t="shared" si="48"/>
        <v>0</v>
      </c>
      <c r="AL110" s="14">
        <f t="shared" si="48"/>
        <v>2.5678146458583453</v>
      </c>
      <c r="AM110" s="13">
        <v>28</v>
      </c>
      <c r="AN110" s="14">
        <f t="shared" si="49"/>
        <v>31.489516446578662</v>
      </c>
      <c r="AO110" s="14">
        <f t="shared" si="49"/>
        <v>20.001924609843954</v>
      </c>
      <c r="AP110" s="14">
        <f t="shared" si="49"/>
        <v>41.085034333733525</v>
      </c>
      <c r="AQ110" s="14">
        <f t="shared" si="49"/>
        <v>0</v>
      </c>
      <c r="AR110" s="14">
        <f t="shared" si="49"/>
        <v>101.22595630252111</v>
      </c>
      <c r="AS110" s="14">
        <f t="shared" si="49"/>
        <v>17.434109963985609</v>
      </c>
      <c r="AT110" s="14">
        <f t="shared" si="49"/>
        <v>4.7301848739495842</v>
      </c>
      <c r="AU110" s="13">
        <v>8.1999999999999993</v>
      </c>
      <c r="AV110" s="13"/>
      <c r="AY110" s="13"/>
      <c r="AZ110" s="13">
        <f>SUM(M110:O110,R110:AC110,AE110:AH110,AK110:AL110,AN110:AP110,AR110:AU110)</f>
        <v>1021.405600000001</v>
      </c>
      <c r="BF110" s="13">
        <f>AZ110-AU110</f>
        <v>1013.2056000000009</v>
      </c>
    </row>
    <row r="111" spans="1:59" s="15" customFormat="1" x14ac:dyDescent="0.3">
      <c r="A111" s="15" t="s">
        <v>90</v>
      </c>
      <c r="B111" s="15" t="s">
        <v>42</v>
      </c>
      <c r="C111" s="15" t="s">
        <v>91</v>
      </c>
      <c r="E111" s="15" t="s">
        <v>73</v>
      </c>
      <c r="G111" s="15" t="s">
        <v>74</v>
      </c>
      <c r="H111" s="15" t="s">
        <v>75</v>
      </c>
      <c r="I111" s="15">
        <v>2050</v>
      </c>
      <c r="J111" s="15" t="s">
        <v>92</v>
      </c>
      <c r="L111" s="16">
        <v>5.4</v>
      </c>
      <c r="M111" s="17">
        <f>M316</f>
        <v>28.07879121951219</v>
      </c>
      <c r="N111" s="17">
        <f t="shared" si="45"/>
        <v>5.3010107317073158</v>
      </c>
      <c r="O111" s="17">
        <f t="shared" si="45"/>
        <v>9.0282839024390231</v>
      </c>
      <c r="P111" s="16">
        <v>25.3</v>
      </c>
      <c r="Q111" s="16">
        <v>14.1</v>
      </c>
      <c r="R111" s="17">
        <f t="shared" si="46"/>
        <v>0</v>
      </c>
      <c r="S111" s="17">
        <f t="shared" si="46"/>
        <v>8.8626273170731675</v>
      </c>
      <c r="T111" s="17">
        <f t="shared" si="46"/>
        <v>77.113140487804856</v>
      </c>
      <c r="U111" s="17">
        <f t="shared" si="46"/>
        <v>5.3010107317073158</v>
      </c>
      <c r="V111" s="17">
        <f t="shared" si="46"/>
        <v>9.2767687804878012</v>
      </c>
      <c r="W111" s="17">
        <f t="shared" si="46"/>
        <v>18.47070926829268</v>
      </c>
      <c r="X111" s="17">
        <f t="shared" si="46"/>
        <v>66.759603902438997</v>
      </c>
      <c r="Y111" s="17">
        <f t="shared" si="46"/>
        <v>146.19193658536582</v>
      </c>
      <c r="Z111" s="17">
        <f t="shared" si="46"/>
        <v>4.3070712195121938</v>
      </c>
      <c r="AA111" s="17">
        <f t="shared" si="46"/>
        <v>7.7858595121951204</v>
      </c>
      <c r="AB111" s="17">
        <f t="shared" si="46"/>
        <v>15.654547317073165</v>
      </c>
      <c r="AC111" s="17">
        <f t="shared" si="46"/>
        <v>0.66262634146341448</v>
      </c>
      <c r="AD111" s="23">
        <v>0</v>
      </c>
      <c r="AE111" s="17">
        <f t="shared" si="47"/>
        <v>48.206066341463412</v>
      </c>
      <c r="AF111" s="17">
        <f t="shared" si="47"/>
        <v>11.430304390243899</v>
      </c>
      <c r="AG111" s="17">
        <f t="shared" si="47"/>
        <v>0.16565658536585362</v>
      </c>
      <c r="AH111" s="17">
        <f t="shared" si="47"/>
        <v>16.64848682926829</v>
      </c>
      <c r="AI111" s="16">
        <v>11.7</v>
      </c>
      <c r="AJ111" s="16">
        <v>19.899999999999999</v>
      </c>
      <c r="AK111" s="17">
        <f t="shared" si="48"/>
        <v>0</v>
      </c>
      <c r="AL111" s="17">
        <f t="shared" si="48"/>
        <v>1.4080809756097556</v>
      </c>
      <c r="AM111" s="16">
        <v>25.1</v>
      </c>
      <c r="AN111" s="17">
        <f t="shared" si="49"/>
        <v>19.050507317073166</v>
      </c>
      <c r="AO111" s="17">
        <f t="shared" si="49"/>
        <v>12.010102439024386</v>
      </c>
      <c r="AP111" s="17">
        <f t="shared" si="49"/>
        <v>24.682831219512188</v>
      </c>
      <c r="AQ111" s="17">
        <f t="shared" si="49"/>
        <v>0</v>
      </c>
      <c r="AR111" s="17">
        <f t="shared" si="49"/>
        <v>62.20404780487803</v>
      </c>
      <c r="AS111" s="17">
        <f t="shared" si="49"/>
        <v>9.7737385365853626</v>
      </c>
      <c r="AT111" s="17">
        <f t="shared" si="49"/>
        <v>2.8989902439024382</v>
      </c>
      <c r="AU111" s="16">
        <v>8.1</v>
      </c>
      <c r="AV111" s="16"/>
      <c r="AY111" s="16"/>
      <c r="AZ111" s="16"/>
      <c r="BA111" s="16">
        <f>SUM(M111:O111,R111:AC111,AE111:AH111,AK111:AL111,AN111:AP111,AR111:AU111)</f>
        <v>619.37279999999987</v>
      </c>
      <c r="BG111" s="16">
        <f>BA111-AU111</f>
        <v>611.27279999999985</v>
      </c>
    </row>
    <row r="112" spans="1:59" x14ac:dyDescent="0.3">
      <c r="A112" t="s">
        <v>90</v>
      </c>
      <c r="B112" t="s">
        <v>42</v>
      </c>
      <c r="C112" t="s">
        <v>91</v>
      </c>
      <c r="F112" t="s">
        <v>77</v>
      </c>
      <c r="H112" t="s">
        <v>78</v>
      </c>
      <c r="I112">
        <v>2005</v>
      </c>
      <c r="J112" t="s">
        <v>92</v>
      </c>
      <c r="L112" s="24">
        <v>1.878322019713595</v>
      </c>
      <c r="M112" s="24">
        <v>4.9578779983789287</v>
      </c>
      <c r="N112" s="24">
        <v>5.0594733289895206</v>
      </c>
      <c r="O112" s="24">
        <v>4.1863895281218175</v>
      </c>
      <c r="P112" s="24">
        <v>1.878322019713595</v>
      </c>
      <c r="Q112" s="24">
        <v>4.9578779983789287</v>
      </c>
      <c r="R112" s="24">
        <v>0</v>
      </c>
      <c r="S112" s="24">
        <v>4.747487666603762</v>
      </c>
      <c r="T112" s="24">
        <v>5.0326371633100129</v>
      </c>
      <c r="U112" s="24">
        <v>4.2968702163043764</v>
      </c>
      <c r="V112" s="24">
        <v>4.3198341983712814</v>
      </c>
      <c r="W112" s="24">
        <v>5.2831474115133634</v>
      </c>
      <c r="X112" s="25">
        <v>5.7</v>
      </c>
      <c r="Y112" s="24">
        <v>4.7299783841223864</v>
      </c>
      <c r="Z112" s="24">
        <v>4.6023678746944636</v>
      </c>
      <c r="AA112" s="24">
        <v>2.1594406219527871</v>
      </c>
      <c r="AB112" s="24">
        <v>3.599355393789577</v>
      </c>
      <c r="AC112" s="24">
        <v>4.5880793222254601</v>
      </c>
      <c r="AD112" s="24">
        <v>0</v>
      </c>
      <c r="AE112" s="24">
        <v>4.726728259603826</v>
      </c>
      <c r="AF112" s="24">
        <v>4.5964418923481301</v>
      </c>
      <c r="AG112" s="24">
        <v>5.047264709698208</v>
      </c>
      <c r="AH112" s="24">
        <v>4.3178974374899104</v>
      </c>
      <c r="AI112" s="24">
        <v>1.878322019713595</v>
      </c>
      <c r="AJ112" s="24">
        <v>1.878322019713595</v>
      </c>
      <c r="AK112" s="24">
        <v>4.2770017680778523</v>
      </c>
      <c r="AL112" s="24">
        <v>5.7364418899450103</v>
      </c>
      <c r="AM112" s="24">
        <v>4.6159834817425516</v>
      </c>
      <c r="AN112" s="24">
        <v>4.7472060313136035</v>
      </c>
      <c r="AO112" s="24">
        <v>5.2696993168737478</v>
      </c>
      <c r="AP112" s="24">
        <v>3.7903594395339875</v>
      </c>
      <c r="AQ112" s="24">
        <v>1.878322019713595</v>
      </c>
      <c r="AR112" s="24">
        <v>5.9644417346981182</v>
      </c>
      <c r="AS112" s="24">
        <v>4.2005374268811932</v>
      </c>
      <c r="AT112" s="24">
        <v>4.0038930843298539</v>
      </c>
      <c r="AU112" s="24">
        <v>6.4270822677411603</v>
      </c>
      <c r="AV112" s="24"/>
      <c r="AX112" s="18"/>
      <c r="AY112" s="18"/>
      <c r="AZ112" s="18"/>
      <c r="BA112" s="18"/>
    </row>
    <row r="113" spans="1:59" x14ac:dyDescent="0.3">
      <c r="A113" t="s">
        <v>90</v>
      </c>
      <c r="B113" t="s">
        <v>42</v>
      </c>
      <c r="C113" t="s">
        <v>91</v>
      </c>
      <c r="F113" t="s">
        <v>77</v>
      </c>
      <c r="H113" t="s">
        <v>78</v>
      </c>
      <c r="I113">
        <v>2010</v>
      </c>
      <c r="J113" t="s">
        <v>92</v>
      </c>
      <c r="L113" s="24">
        <v>1.878322019713595</v>
      </c>
      <c r="M113" s="18">
        <v>4.9578779983789287</v>
      </c>
      <c r="N113" s="18">
        <v>5.0594733289895206</v>
      </c>
      <c r="O113" s="18">
        <v>4.1863895281218175</v>
      </c>
      <c r="P113" s="24">
        <v>1.878322019713595</v>
      </c>
      <c r="Q113" s="24">
        <v>4.9578779983789287</v>
      </c>
      <c r="R113" s="18">
        <v>0</v>
      </c>
      <c r="S113" s="18">
        <v>4.747487666603762</v>
      </c>
      <c r="T113" s="18">
        <v>5.0326371633100129</v>
      </c>
      <c r="U113" s="18">
        <v>4.2968702163043764</v>
      </c>
      <c r="V113" s="18">
        <v>4.3198341983712814</v>
      </c>
      <c r="W113" s="18">
        <v>5.2831474115133634</v>
      </c>
      <c r="X113" s="26">
        <v>7.6</v>
      </c>
      <c r="Y113" s="18">
        <v>4.7299783841223864</v>
      </c>
      <c r="Z113" s="18">
        <v>4.6023678746944636</v>
      </c>
      <c r="AA113" s="18">
        <v>2.1594406219527871</v>
      </c>
      <c r="AB113" s="18">
        <v>3.599355393789577</v>
      </c>
      <c r="AC113" s="18">
        <v>4.5880793222254601</v>
      </c>
      <c r="AD113" s="18">
        <v>0</v>
      </c>
      <c r="AE113" s="18">
        <v>4.726728259603826</v>
      </c>
      <c r="AF113" s="18">
        <v>4.5964418923481301</v>
      </c>
      <c r="AG113" s="18">
        <v>5.047264709698208</v>
      </c>
      <c r="AH113" s="18">
        <v>4.3178974374899104</v>
      </c>
      <c r="AI113" s="18">
        <v>1.878322019713595</v>
      </c>
      <c r="AJ113" s="24">
        <v>1.878322019713595</v>
      </c>
      <c r="AK113" s="18">
        <v>4.2770017680778523</v>
      </c>
      <c r="AL113" s="18">
        <v>5.7364418899450103</v>
      </c>
      <c r="AM113" s="18">
        <v>4.6159834817425516</v>
      </c>
      <c r="AN113" s="18">
        <v>4.7472060313136035</v>
      </c>
      <c r="AO113" s="18">
        <v>5.2696993168737478</v>
      </c>
      <c r="AP113" s="18">
        <v>3.7903594395339875</v>
      </c>
      <c r="AQ113" s="24">
        <v>1.878322019713595</v>
      </c>
      <c r="AR113" s="18">
        <v>5.9644417346981182</v>
      </c>
      <c r="AS113" s="18">
        <v>4.2005374268811932</v>
      </c>
      <c r="AT113" s="18">
        <v>4.0038930843298539</v>
      </c>
      <c r="AU113" s="18">
        <v>6.4270822677411603</v>
      </c>
      <c r="AV113" s="18"/>
      <c r="AX113" s="18"/>
      <c r="AY113" s="18"/>
      <c r="AZ113" s="18"/>
      <c r="BA113" s="18"/>
    </row>
    <row r="114" spans="1:59" x14ac:dyDescent="0.3">
      <c r="A114" t="s">
        <v>90</v>
      </c>
      <c r="B114" t="s">
        <v>42</v>
      </c>
      <c r="C114" t="s">
        <v>91</v>
      </c>
      <c r="F114" t="s">
        <v>77</v>
      </c>
      <c r="H114" t="s">
        <v>78</v>
      </c>
      <c r="I114">
        <v>2020</v>
      </c>
      <c r="J114" t="s">
        <v>92</v>
      </c>
      <c r="L114" s="24">
        <v>1.7302864050585829</v>
      </c>
      <c r="M114" s="18">
        <v>4.5981701110673319</v>
      </c>
      <c r="N114" s="18">
        <v>4.6931222591514201</v>
      </c>
      <c r="O114" s="18">
        <v>3.8782243095738731</v>
      </c>
      <c r="P114" s="24">
        <v>1.7302864050585829</v>
      </c>
      <c r="Q114" s="24">
        <v>4.5981701110673319</v>
      </c>
      <c r="R114" s="18">
        <v>0</v>
      </c>
      <c r="S114" s="18">
        <v>4.3968019895691626</v>
      </c>
      <c r="T114" s="18">
        <v>4.666786413866185</v>
      </c>
      <c r="U114" s="18">
        <v>4.0008870013177988</v>
      </c>
      <c r="V114" s="18">
        <v>4.0027775095418887</v>
      </c>
      <c r="W114" s="18">
        <v>4.8961286528765884</v>
      </c>
      <c r="X114" s="26">
        <v>7</v>
      </c>
      <c r="Y114" s="18">
        <v>4.3885394760814558</v>
      </c>
      <c r="Z114" s="18">
        <v>4.2675177241174671</v>
      </c>
      <c r="AA114" s="18">
        <v>2.0114045217173762</v>
      </c>
      <c r="AB114" s="18">
        <v>3.3386419356264683</v>
      </c>
      <c r="AC114" s="18">
        <v>4.2576129473669031</v>
      </c>
      <c r="AD114" s="18">
        <v>0</v>
      </c>
      <c r="AE114" s="18">
        <v>4.3891602492662898</v>
      </c>
      <c r="AF114" s="18">
        <v>4.2554276310548387</v>
      </c>
      <c r="AG114" s="18">
        <v>4.68118210250383</v>
      </c>
      <c r="AH114" s="18">
        <v>3.9997996126679194</v>
      </c>
      <c r="AI114" s="18">
        <v>1.7302864050585829</v>
      </c>
      <c r="AJ114" s="24">
        <v>1.7302864050585829</v>
      </c>
      <c r="AK114" s="18">
        <v>3.9399197454146027</v>
      </c>
      <c r="AL114" s="18">
        <v>5.3184929906402019</v>
      </c>
      <c r="AM114" s="18">
        <v>4.2882831607553085</v>
      </c>
      <c r="AN114" s="18">
        <v>4.3958487734922098</v>
      </c>
      <c r="AO114" s="18">
        <v>4.8788551907772444</v>
      </c>
      <c r="AP114" s="18">
        <v>3.5120244244084309</v>
      </c>
      <c r="AQ114" s="24">
        <v>1.7302864050585829</v>
      </c>
      <c r="AR114" s="18">
        <v>5.5296691941816434</v>
      </c>
      <c r="AS114" s="18">
        <v>3.8951943892016812</v>
      </c>
      <c r="AT114" s="18">
        <v>3.7119967077228755</v>
      </c>
      <c r="AU114" s="18">
        <v>4.0816479448502427</v>
      </c>
      <c r="AV114" s="18"/>
      <c r="AX114" s="18"/>
      <c r="AY114" s="18"/>
      <c r="AZ114" s="18"/>
      <c r="BA114" s="18"/>
    </row>
    <row r="115" spans="1:59" x14ac:dyDescent="0.3">
      <c r="A115" t="s">
        <v>90</v>
      </c>
      <c r="B115" t="s">
        <v>42</v>
      </c>
      <c r="C115" t="s">
        <v>91</v>
      </c>
      <c r="F115" t="s">
        <v>77</v>
      </c>
      <c r="H115" t="s">
        <v>78</v>
      </c>
      <c r="I115">
        <v>2030</v>
      </c>
      <c r="J115" t="s">
        <v>92</v>
      </c>
      <c r="L115" s="27">
        <f>L114</f>
        <v>1.7302864050585829</v>
      </c>
      <c r="M115" s="27">
        <f t="shared" ref="M115:W117" si="50">M114</f>
        <v>4.5981701110673319</v>
      </c>
      <c r="N115" s="27">
        <f t="shared" si="50"/>
        <v>4.6931222591514201</v>
      </c>
      <c r="O115" s="27">
        <f t="shared" si="50"/>
        <v>3.8782243095738731</v>
      </c>
      <c r="P115" s="27">
        <f t="shared" si="50"/>
        <v>1.7302864050585829</v>
      </c>
      <c r="Q115" s="27">
        <f t="shared" si="50"/>
        <v>4.5981701110673319</v>
      </c>
      <c r="R115" s="27">
        <f t="shared" si="50"/>
        <v>0</v>
      </c>
      <c r="S115" s="27">
        <f t="shared" si="50"/>
        <v>4.3968019895691626</v>
      </c>
      <c r="T115" s="27">
        <f t="shared" si="50"/>
        <v>4.666786413866185</v>
      </c>
      <c r="U115" s="27">
        <f t="shared" si="50"/>
        <v>4.0008870013177988</v>
      </c>
      <c r="V115" s="27">
        <f t="shared" si="50"/>
        <v>4.0027775095418887</v>
      </c>
      <c r="W115" s="27">
        <f t="shared" si="50"/>
        <v>4.8961286528765884</v>
      </c>
      <c r="X115" s="26">
        <v>7.7</v>
      </c>
      <c r="Y115" s="27">
        <f t="shared" ref="Y115:AU117" si="51">Y114</f>
        <v>4.3885394760814558</v>
      </c>
      <c r="Z115" s="27">
        <f t="shared" si="51"/>
        <v>4.2675177241174671</v>
      </c>
      <c r="AA115" s="27">
        <f t="shared" si="51"/>
        <v>2.0114045217173762</v>
      </c>
      <c r="AB115" s="27">
        <f t="shared" si="51"/>
        <v>3.3386419356264683</v>
      </c>
      <c r="AC115" s="27">
        <f t="shared" si="51"/>
        <v>4.2576129473669031</v>
      </c>
      <c r="AD115" s="27">
        <f t="shared" si="51"/>
        <v>0</v>
      </c>
      <c r="AE115" s="27">
        <f t="shared" si="51"/>
        <v>4.3891602492662898</v>
      </c>
      <c r="AF115" s="27">
        <f t="shared" si="51"/>
        <v>4.2554276310548387</v>
      </c>
      <c r="AG115" s="27">
        <f t="shared" si="51"/>
        <v>4.68118210250383</v>
      </c>
      <c r="AH115" s="27">
        <f t="shared" si="51"/>
        <v>3.9997996126679194</v>
      </c>
      <c r="AI115" s="27">
        <f t="shared" si="51"/>
        <v>1.7302864050585829</v>
      </c>
      <c r="AJ115" s="27">
        <f t="shared" si="51"/>
        <v>1.7302864050585829</v>
      </c>
      <c r="AK115" s="27">
        <f t="shared" si="51"/>
        <v>3.9399197454146027</v>
      </c>
      <c r="AL115" s="27">
        <f t="shared" si="51"/>
        <v>5.3184929906402019</v>
      </c>
      <c r="AM115" s="27">
        <f t="shared" si="51"/>
        <v>4.2882831607553085</v>
      </c>
      <c r="AN115" s="27">
        <f t="shared" si="51"/>
        <v>4.3958487734922098</v>
      </c>
      <c r="AO115" s="27">
        <f t="shared" si="51"/>
        <v>4.8788551907772444</v>
      </c>
      <c r="AP115" s="27">
        <f t="shared" si="51"/>
        <v>3.5120244244084309</v>
      </c>
      <c r="AQ115" s="27">
        <f t="shared" si="51"/>
        <v>1.7302864050585829</v>
      </c>
      <c r="AR115" s="27">
        <f t="shared" si="51"/>
        <v>5.5296691941816434</v>
      </c>
      <c r="AS115" s="27">
        <f t="shared" si="51"/>
        <v>3.8951943892016812</v>
      </c>
      <c r="AT115" s="27">
        <f t="shared" si="51"/>
        <v>3.7119967077228755</v>
      </c>
      <c r="AU115" s="27">
        <f t="shared" si="51"/>
        <v>4.0816479448502427</v>
      </c>
      <c r="AV115" s="18"/>
      <c r="AX115" s="18"/>
      <c r="AY115" s="18"/>
      <c r="AZ115" s="18"/>
      <c r="BA115" s="18"/>
    </row>
    <row r="116" spans="1:59" x14ac:dyDescent="0.3">
      <c r="A116" t="s">
        <v>90</v>
      </c>
      <c r="B116" t="s">
        <v>42</v>
      </c>
      <c r="C116" t="s">
        <v>91</v>
      </c>
      <c r="F116" t="s">
        <v>77</v>
      </c>
      <c r="H116" t="s">
        <v>78</v>
      </c>
      <c r="I116">
        <v>2040</v>
      </c>
      <c r="J116" t="s">
        <v>92</v>
      </c>
      <c r="L116" s="27">
        <f>L115</f>
        <v>1.7302864050585829</v>
      </c>
      <c r="M116" s="27">
        <f t="shared" si="50"/>
        <v>4.5981701110673319</v>
      </c>
      <c r="N116" s="27">
        <f t="shared" si="50"/>
        <v>4.6931222591514201</v>
      </c>
      <c r="O116" s="27">
        <f t="shared" si="50"/>
        <v>3.8782243095738731</v>
      </c>
      <c r="P116" s="27">
        <f t="shared" si="50"/>
        <v>1.7302864050585829</v>
      </c>
      <c r="Q116" s="27">
        <f t="shared" si="50"/>
        <v>4.5981701110673319</v>
      </c>
      <c r="R116" s="27">
        <f t="shared" si="50"/>
        <v>0</v>
      </c>
      <c r="S116" s="27">
        <f t="shared" si="50"/>
        <v>4.3968019895691626</v>
      </c>
      <c r="T116" s="27">
        <f t="shared" si="50"/>
        <v>4.666786413866185</v>
      </c>
      <c r="U116" s="27">
        <f t="shared" si="50"/>
        <v>4.0008870013177988</v>
      </c>
      <c r="V116" s="27">
        <f t="shared" si="50"/>
        <v>4.0027775095418887</v>
      </c>
      <c r="W116" s="27">
        <f t="shared" si="50"/>
        <v>4.8961286528765884</v>
      </c>
      <c r="X116" s="26">
        <v>7.7</v>
      </c>
      <c r="Y116" s="27">
        <f t="shared" si="51"/>
        <v>4.3885394760814558</v>
      </c>
      <c r="Z116" s="27">
        <f t="shared" si="51"/>
        <v>4.2675177241174671</v>
      </c>
      <c r="AA116" s="27">
        <f t="shared" si="51"/>
        <v>2.0114045217173762</v>
      </c>
      <c r="AB116" s="27">
        <f t="shared" si="51"/>
        <v>3.3386419356264683</v>
      </c>
      <c r="AC116" s="27">
        <f t="shared" si="51"/>
        <v>4.2576129473669031</v>
      </c>
      <c r="AD116" s="27">
        <f t="shared" si="51"/>
        <v>0</v>
      </c>
      <c r="AE116" s="27">
        <f t="shared" si="51"/>
        <v>4.3891602492662898</v>
      </c>
      <c r="AF116" s="27">
        <f t="shared" si="51"/>
        <v>4.2554276310548387</v>
      </c>
      <c r="AG116" s="27">
        <f t="shared" si="51"/>
        <v>4.68118210250383</v>
      </c>
      <c r="AH116" s="27">
        <f t="shared" si="51"/>
        <v>3.9997996126679194</v>
      </c>
      <c r="AI116" s="27">
        <f t="shared" si="51"/>
        <v>1.7302864050585829</v>
      </c>
      <c r="AJ116" s="27">
        <f t="shared" si="51"/>
        <v>1.7302864050585829</v>
      </c>
      <c r="AK116" s="27">
        <f t="shared" si="51"/>
        <v>3.9399197454146027</v>
      </c>
      <c r="AL116" s="27">
        <f t="shared" si="51"/>
        <v>5.3184929906402019</v>
      </c>
      <c r="AM116" s="27">
        <f t="shared" si="51"/>
        <v>4.2882831607553085</v>
      </c>
      <c r="AN116" s="27">
        <f t="shared" si="51"/>
        <v>4.3958487734922098</v>
      </c>
      <c r="AO116" s="27">
        <f t="shared" si="51"/>
        <v>4.8788551907772444</v>
      </c>
      <c r="AP116" s="27">
        <f t="shared" si="51"/>
        <v>3.5120244244084309</v>
      </c>
      <c r="AQ116" s="27">
        <f t="shared" si="51"/>
        <v>1.7302864050585829</v>
      </c>
      <c r="AR116" s="27">
        <f t="shared" si="51"/>
        <v>5.5296691941816434</v>
      </c>
      <c r="AS116" s="27">
        <f t="shared" si="51"/>
        <v>3.8951943892016812</v>
      </c>
      <c r="AT116" s="27">
        <f t="shared" si="51"/>
        <v>3.7119967077228755</v>
      </c>
      <c r="AU116" s="27">
        <f t="shared" si="51"/>
        <v>4.0816479448502427</v>
      </c>
      <c r="AV116" s="18"/>
      <c r="AX116" s="18"/>
    </row>
    <row r="117" spans="1:59" x14ac:dyDescent="0.3">
      <c r="A117" t="s">
        <v>90</v>
      </c>
      <c r="B117" t="s">
        <v>42</v>
      </c>
      <c r="C117" t="s">
        <v>91</v>
      </c>
      <c r="F117" t="s">
        <v>77</v>
      </c>
      <c r="H117" t="s">
        <v>78</v>
      </c>
      <c r="I117">
        <v>2050</v>
      </c>
      <c r="J117" t="s">
        <v>92</v>
      </c>
      <c r="L117" s="27">
        <f>L116</f>
        <v>1.7302864050585829</v>
      </c>
      <c r="M117" s="27">
        <f t="shared" si="50"/>
        <v>4.5981701110673319</v>
      </c>
      <c r="N117" s="27">
        <f t="shared" si="50"/>
        <v>4.6931222591514201</v>
      </c>
      <c r="O117" s="27">
        <f t="shared" si="50"/>
        <v>3.8782243095738731</v>
      </c>
      <c r="P117" s="27">
        <f t="shared" si="50"/>
        <v>1.7302864050585829</v>
      </c>
      <c r="Q117" s="27">
        <f t="shared" si="50"/>
        <v>4.5981701110673319</v>
      </c>
      <c r="R117" s="27">
        <f t="shared" si="50"/>
        <v>0</v>
      </c>
      <c r="S117" s="27">
        <f t="shared" si="50"/>
        <v>4.3968019895691626</v>
      </c>
      <c r="T117" s="27">
        <f t="shared" si="50"/>
        <v>4.666786413866185</v>
      </c>
      <c r="U117" s="27">
        <f t="shared" si="50"/>
        <v>4.0008870013177988</v>
      </c>
      <c r="V117" s="27">
        <f t="shared" si="50"/>
        <v>4.0027775095418887</v>
      </c>
      <c r="W117" s="27">
        <f t="shared" si="50"/>
        <v>4.8961286528765884</v>
      </c>
      <c r="X117" s="26">
        <v>7.7</v>
      </c>
      <c r="Y117" s="27">
        <f t="shared" si="51"/>
        <v>4.3885394760814558</v>
      </c>
      <c r="Z117" s="27">
        <f t="shared" si="51"/>
        <v>4.2675177241174671</v>
      </c>
      <c r="AA117" s="27">
        <f t="shared" si="51"/>
        <v>2.0114045217173762</v>
      </c>
      <c r="AB117" s="27">
        <f t="shared" si="51"/>
        <v>3.3386419356264683</v>
      </c>
      <c r="AC117" s="27">
        <f t="shared" si="51"/>
        <v>4.2576129473669031</v>
      </c>
      <c r="AD117" s="27">
        <f t="shared" si="51"/>
        <v>0</v>
      </c>
      <c r="AE117" s="27">
        <f t="shared" si="51"/>
        <v>4.3891602492662898</v>
      </c>
      <c r="AF117" s="27">
        <f t="shared" si="51"/>
        <v>4.2554276310548387</v>
      </c>
      <c r="AG117" s="27">
        <f t="shared" si="51"/>
        <v>4.68118210250383</v>
      </c>
      <c r="AH117" s="27">
        <f t="shared" si="51"/>
        <v>3.9997996126679194</v>
      </c>
      <c r="AI117" s="27">
        <f t="shared" si="51"/>
        <v>1.7302864050585829</v>
      </c>
      <c r="AJ117" s="27">
        <f t="shared" si="51"/>
        <v>1.7302864050585829</v>
      </c>
      <c r="AK117" s="27">
        <f t="shared" si="51"/>
        <v>3.9399197454146027</v>
      </c>
      <c r="AL117" s="27">
        <f t="shared" si="51"/>
        <v>5.3184929906402019</v>
      </c>
      <c r="AM117" s="27">
        <f t="shared" si="51"/>
        <v>4.2882831607553085</v>
      </c>
      <c r="AN117" s="27">
        <f t="shared" si="51"/>
        <v>4.3958487734922098</v>
      </c>
      <c r="AO117" s="27">
        <f t="shared" si="51"/>
        <v>4.8788551907772444</v>
      </c>
      <c r="AP117" s="27">
        <f t="shared" si="51"/>
        <v>3.5120244244084309</v>
      </c>
      <c r="AQ117" s="27">
        <f t="shared" si="51"/>
        <v>1.7302864050585829</v>
      </c>
      <c r="AR117" s="27">
        <f t="shared" si="51"/>
        <v>5.5296691941816434</v>
      </c>
      <c r="AS117" s="27">
        <f t="shared" si="51"/>
        <v>3.8951943892016812</v>
      </c>
      <c r="AT117" s="27">
        <f t="shared" si="51"/>
        <v>3.7119967077228755</v>
      </c>
      <c r="AU117" s="27">
        <f t="shared" si="51"/>
        <v>4.0816479448502427</v>
      </c>
      <c r="AV117" s="18"/>
    </row>
    <row r="118" spans="1:59" x14ac:dyDescent="0.3">
      <c r="E118" t="s">
        <v>79</v>
      </c>
    </row>
    <row r="119" spans="1:59" s="3" customFormat="1" x14ac:dyDescent="0.3">
      <c r="A119" s="3" t="s">
        <v>90</v>
      </c>
      <c r="B119" s="3" t="s">
        <v>42</v>
      </c>
      <c r="C119" s="28" t="s">
        <v>93</v>
      </c>
      <c r="D119" s="28"/>
      <c r="E119" s="3" t="s">
        <v>73</v>
      </c>
      <c r="G119" s="3" t="s">
        <v>74</v>
      </c>
      <c r="H119" s="3" t="s">
        <v>75</v>
      </c>
      <c r="I119" s="3">
        <v>2005</v>
      </c>
      <c r="J119" s="3" t="s">
        <v>94</v>
      </c>
      <c r="L119" s="29">
        <v>0</v>
      </c>
      <c r="M119" s="29">
        <v>0</v>
      </c>
      <c r="N119" s="29">
        <v>0</v>
      </c>
      <c r="O119" s="29">
        <v>0</v>
      </c>
      <c r="P119" s="29">
        <v>0</v>
      </c>
      <c r="Q119" s="29">
        <v>0</v>
      </c>
      <c r="R119" s="29">
        <v>0</v>
      </c>
      <c r="S119" s="29">
        <v>0</v>
      </c>
      <c r="T119" s="29">
        <v>0</v>
      </c>
      <c r="U119" s="29">
        <v>0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>
        <v>0</v>
      </c>
      <c r="AC119" s="29">
        <v>0</v>
      </c>
      <c r="AD119" s="29">
        <v>0</v>
      </c>
      <c r="AE119" s="29">
        <v>0</v>
      </c>
      <c r="AF119" s="29">
        <v>0</v>
      </c>
      <c r="AG119" s="29">
        <v>0</v>
      </c>
      <c r="AH119" s="29">
        <v>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R119" s="29">
        <v>0</v>
      </c>
      <c r="AS119" s="29">
        <v>0</v>
      </c>
      <c r="AT119" s="29">
        <v>0</v>
      </c>
      <c r="AU119" s="29">
        <v>0</v>
      </c>
      <c r="AV119" s="29"/>
      <c r="AX119" s="14"/>
    </row>
    <row r="120" spans="1:59" s="3" customFormat="1" x14ac:dyDescent="0.3">
      <c r="A120" s="3" t="s">
        <v>90</v>
      </c>
      <c r="B120" s="3" t="s">
        <v>42</v>
      </c>
      <c r="C120" s="28" t="s">
        <v>93</v>
      </c>
      <c r="D120" s="28"/>
      <c r="E120" s="3" t="s">
        <v>73</v>
      </c>
      <c r="G120" s="3" t="s">
        <v>74</v>
      </c>
      <c r="H120" s="3" t="s">
        <v>75</v>
      </c>
      <c r="I120" s="3">
        <v>2010</v>
      </c>
      <c r="J120" s="3" t="s">
        <v>94</v>
      </c>
      <c r="L120" s="29">
        <v>0</v>
      </c>
      <c r="M120" s="29">
        <v>0</v>
      </c>
      <c r="N120" s="29">
        <v>0</v>
      </c>
      <c r="O120" s="29">
        <v>0</v>
      </c>
      <c r="P120" s="29">
        <v>0</v>
      </c>
      <c r="Q120" s="29">
        <v>0</v>
      </c>
      <c r="R120" s="29">
        <v>0</v>
      </c>
      <c r="S120" s="29">
        <v>0</v>
      </c>
      <c r="T120" s="29">
        <v>0</v>
      </c>
      <c r="U120" s="29">
        <v>0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>
        <v>0</v>
      </c>
      <c r="AC120" s="29">
        <v>0</v>
      </c>
      <c r="AD120" s="29">
        <v>0</v>
      </c>
      <c r="AE120" s="29">
        <v>0</v>
      </c>
      <c r="AF120" s="29">
        <v>0</v>
      </c>
      <c r="AG120" s="29">
        <v>0</v>
      </c>
      <c r="AH120" s="29">
        <v>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R120" s="29">
        <v>0</v>
      </c>
      <c r="AS120" s="29">
        <v>0</v>
      </c>
      <c r="AT120" s="29">
        <v>0</v>
      </c>
      <c r="AU120" s="29">
        <v>0</v>
      </c>
      <c r="AV120" s="29"/>
      <c r="AW120" s="14">
        <f>SUM(M120:O120,R120:AC120,AE120:AH120,AK120:AL120,AN120:AP120,AR120:AU120)</f>
        <v>0</v>
      </c>
      <c r="BC120" s="14">
        <f>AW120-AU120</f>
        <v>0</v>
      </c>
    </row>
    <row r="121" spans="1:59" s="3" customFormat="1" x14ac:dyDescent="0.3">
      <c r="A121" s="3" t="s">
        <v>90</v>
      </c>
      <c r="B121" s="3" t="s">
        <v>42</v>
      </c>
      <c r="C121" s="28" t="s">
        <v>93</v>
      </c>
      <c r="D121" s="30"/>
      <c r="E121" s="3" t="s">
        <v>73</v>
      </c>
      <c r="G121" s="3" t="s">
        <v>74</v>
      </c>
      <c r="H121" s="3" t="s">
        <v>75</v>
      </c>
      <c r="I121" s="3">
        <v>2020</v>
      </c>
      <c r="J121" s="3" t="s">
        <v>94</v>
      </c>
      <c r="L121" s="29">
        <v>0</v>
      </c>
      <c r="M121" s="29">
        <v>0</v>
      </c>
      <c r="N121" s="29">
        <v>0</v>
      </c>
      <c r="O121" s="29">
        <v>0</v>
      </c>
      <c r="P121" s="29">
        <v>0</v>
      </c>
      <c r="Q121" s="29">
        <v>0</v>
      </c>
      <c r="R121" s="29">
        <v>0</v>
      </c>
      <c r="S121" s="29">
        <v>0</v>
      </c>
      <c r="T121" s="29">
        <v>0</v>
      </c>
      <c r="U121" s="29">
        <v>0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>
        <v>0</v>
      </c>
      <c r="AC121" s="29">
        <v>0</v>
      </c>
      <c r="AD121" s="29">
        <v>0</v>
      </c>
      <c r="AE121" s="29">
        <v>0</v>
      </c>
      <c r="AF121" s="29">
        <v>0</v>
      </c>
      <c r="AG121" s="29">
        <v>0</v>
      </c>
      <c r="AH121" s="29">
        <v>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R121" s="29">
        <v>0</v>
      </c>
      <c r="AS121" s="29">
        <v>0</v>
      </c>
      <c r="AT121" s="29">
        <v>0</v>
      </c>
      <c r="AU121" s="29">
        <v>0</v>
      </c>
      <c r="AV121" s="29"/>
      <c r="AX121" s="14">
        <f>SUM(M121:O121,R121:AC121,AE121:AH121,AK121:AL121,AN121:AP121,AR121:AU121)</f>
        <v>0</v>
      </c>
      <c r="BD121" s="14">
        <f>AX121-AU121</f>
        <v>0</v>
      </c>
    </row>
    <row r="122" spans="1:59" s="3" customFormat="1" x14ac:dyDescent="0.3">
      <c r="A122" s="3" t="s">
        <v>90</v>
      </c>
      <c r="B122" s="3" t="s">
        <v>42</v>
      </c>
      <c r="C122" s="28" t="s">
        <v>93</v>
      </c>
      <c r="D122" s="30"/>
      <c r="E122" s="3" t="s">
        <v>73</v>
      </c>
      <c r="G122" s="3" t="s">
        <v>74</v>
      </c>
      <c r="H122" s="3" t="s">
        <v>75</v>
      </c>
      <c r="I122" s="3">
        <v>2030</v>
      </c>
      <c r="J122" s="3" t="s">
        <v>94</v>
      </c>
      <c r="L122" s="29">
        <v>0</v>
      </c>
      <c r="M122" s="29">
        <v>0</v>
      </c>
      <c r="N122" s="29">
        <v>0</v>
      </c>
      <c r="O122" s="29">
        <v>0</v>
      </c>
      <c r="P122" s="29">
        <v>0</v>
      </c>
      <c r="Q122" s="29">
        <v>0</v>
      </c>
      <c r="R122" s="29">
        <v>0</v>
      </c>
      <c r="S122" s="29">
        <v>0</v>
      </c>
      <c r="T122" s="29">
        <v>0</v>
      </c>
      <c r="U122" s="29">
        <v>0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>
        <v>0</v>
      </c>
      <c r="AC122" s="29">
        <v>0</v>
      </c>
      <c r="AD122" s="29">
        <v>0</v>
      </c>
      <c r="AE122" s="29">
        <v>0</v>
      </c>
      <c r="AF122" s="29">
        <v>0</v>
      </c>
      <c r="AG122" s="29">
        <v>0</v>
      </c>
      <c r="AH122" s="29">
        <v>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R122" s="29">
        <v>0</v>
      </c>
      <c r="AS122" s="29">
        <v>0</v>
      </c>
      <c r="AT122" s="29">
        <v>0</v>
      </c>
      <c r="AU122" s="29">
        <v>0</v>
      </c>
      <c r="AV122" s="29"/>
      <c r="AY122" s="14">
        <f>SUM(M122:O122,R122:AC122,AE122:AH122,AK122:AL122,AN122:AP122,AR122:AU122)</f>
        <v>0</v>
      </c>
      <c r="BE122" s="14">
        <f>AY122-AU122</f>
        <v>0</v>
      </c>
    </row>
    <row r="123" spans="1:59" s="3" customFormat="1" x14ac:dyDescent="0.3">
      <c r="A123" s="3" t="s">
        <v>90</v>
      </c>
      <c r="B123" s="3" t="s">
        <v>42</v>
      </c>
      <c r="C123" s="28" t="s">
        <v>93</v>
      </c>
      <c r="D123" s="30"/>
      <c r="E123" s="3" t="s">
        <v>73</v>
      </c>
      <c r="G123" s="3" t="s">
        <v>74</v>
      </c>
      <c r="H123" s="3" t="s">
        <v>75</v>
      </c>
      <c r="I123" s="3">
        <v>2040</v>
      </c>
      <c r="J123" s="3" t="s">
        <v>94</v>
      </c>
      <c r="L123" s="29">
        <v>0</v>
      </c>
      <c r="M123" s="29">
        <v>0</v>
      </c>
      <c r="N123" s="29">
        <v>0</v>
      </c>
      <c r="O123" s="29">
        <v>0</v>
      </c>
      <c r="P123" s="29">
        <v>0</v>
      </c>
      <c r="Q123" s="29">
        <v>0</v>
      </c>
      <c r="R123" s="29">
        <v>0</v>
      </c>
      <c r="S123" s="29">
        <v>0</v>
      </c>
      <c r="T123" s="29">
        <v>0</v>
      </c>
      <c r="U123" s="29">
        <v>0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>
        <v>0</v>
      </c>
      <c r="AC123" s="29">
        <v>0</v>
      </c>
      <c r="AD123" s="29">
        <v>0</v>
      </c>
      <c r="AE123" s="29">
        <v>0</v>
      </c>
      <c r="AF123" s="29">
        <v>0</v>
      </c>
      <c r="AG123" s="29">
        <v>0</v>
      </c>
      <c r="AH123" s="29">
        <v>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R123" s="29">
        <v>0</v>
      </c>
      <c r="AS123" s="29">
        <v>0</v>
      </c>
      <c r="AT123" s="29">
        <v>0</v>
      </c>
      <c r="AU123" s="29">
        <v>0</v>
      </c>
      <c r="AV123" s="29"/>
      <c r="AY123" s="14"/>
      <c r="AZ123" s="14">
        <f>SUM(M123:O123,R123:AC123,AE123:AH123,AK123:AL123,AN123:AP123,AR123:AU123)</f>
        <v>0</v>
      </c>
      <c r="BF123" s="14">
        <f>AZ123-AU123</f>
        <v>0</v>
      </c>
    </row>
    <row r="124" spans="1:59" s="3" customFormat="1" x14ac:dyDescent="0.3">
      <c r="A124" s="3" t="s">
        <v>90</v>
      </c>
      <c r="B124" s="3" t="s">
        <v>42</v>
      </c>
      <c r="C124" s="28" t="s">
        <v>93</v>
      </c>
      <c r="D124" s="30"/>
      <c r="E124" s="3" t="s">
        <v>73</v>
      </c>
      <c r="G124" s="3" t="s">
        <v>74</v>
      </c>
      <c r="H124" s="31" t="s">
        <v>75</v>
      </c>
      <c r="I124" s="31">
        <v>2050</v>
      </c>
      <c r="J124" s="31" t="s">
        <v>94</v>
      </c>
      <c r="K124" s="31"/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2">
        <v>0</v>
      </c>
      <c r="X124" s="32">
        <v>0</v>
      </c>
      <c r="Y124" s="32">
        <v>0</v>
      </c>
      <c r="Z124" s="32">
        <v>0</v>
      </c>
      <c r="AA124" s="32">
        <v>0</v>
      </c>
      <c r="AB124" s="32">
        <v>0</v>
      </c>
      <c r="AC124" s="32">
        <v>0</v>
      </c>
      <c r="AD124" s="29">
        <v>0</v>
      </c>
      <c r="AE124" s="32">
        <v>0</v>
      </c>
      <c r="AF124" s="32">
        <v>0</v>
      </c>
      <c r="AG124" s="32">
        <v>0</v>
      </c>
      <c r="AH124" s="32">
        <v>0</v>
      </c>
      <c r="AI124" s="32">
        <v>0</v>
      </c>
      <c r="AJ124" s="32">
        <v>0</v>
      </c>
      <c r="AK124" s="32">
        <v>0</v>
      </c>
      <c r="AL124" s="32">
        <v>0</v>
      </c>
      <c r="AM124" s="32">
        <v>0</v>
      </c>
      <c r="AN124" s="32">
        <v>0</v>
      </c>
      <c r="AO124" s="32">
        <v>0</v>
      </c>
      <c r="AP124" s="32">
        <v>0</v>
      </c>
      <c r="AQ124" s="32">
        <v>0</v>
      </c>
      <c r="AR124" s="32">
        <v>0</v>
      </c>
      <c r="AS124" s="32">
        <v>0</v>
      </c>
      <c r="AT124" s="32">
        <v>0</v>
      </c>
      <c r="AU124" s="32">
        <v>0</v>
      </c>
      <c r="AV124" s="29"/>
      <c r="AY124" s="14"/>
      <c r="AZ124" s="14"/>
      <c r="BA124" s="14">
        <f>SUM(M124:O124,R124:AC124,AE124:AH124,AK124:AL124,AN124:AP124,AR124:AU124)</f>
        <v>0</v>
      </c>
      <c r="BG124" s="14">
        <f>BA124-AU124</f>
        <v>0</v>
      </c>
    </row>
    <row r="125" spans="1:59" x14ac:dyDescent="0.3">
      <c r="A125" t="s">
        <v>90</v>
      </c>
      <c r="B125" t="s">
        <v>42</v>
      </c>
      <c r="C125" s="33" t="s">
        <v>93</v>
      </c>
      <c r="D125" s="34"/>
      <c r="F125" t="s">
        <v>77</v>
      </c>
      <c r="H125" t="s">
        <v>78</v>
      </c>
      <c r="I125">
        <v>2005</v>
      </c>
      <c r="J125" t="s">
        <v>94</v>
      </c>
      <c r="L125" s="24">
        <v>3.6249116607773848</v>
      </c>
      <c r="M125" s="24">
        <v>10.385697296161824</v>
      </c>
      <c r="N125" s="24">
        <v>10.59594284471396</v>
      </c>
      <c r="O125" s="24">
        <v>4.1072774250386086</v>
      </c>
      <c r="P125" s="24">
        <v>3.6249116607773848</v>
      </c>
      <c r="Q125" s="24">
        <v>10.385697296161824</v>
      </c>
      <c r="R125" s="24">
        <v>0</v>
      </c>
      <c r="S125" s="24">
        <v>10.019825139763794</v>
      </c>
      <c r="T125" s="24">
        <v>9.9396048859080413</v>
      </c>
      <c r="U125" s="24">
        <v>8.3096663523610719</v>
      </c>
      <c r="V125" s="24">
        <v>4.2620537075602485</v>
      </c>
      <c r="W125" s="24">
        <v>11.111373568556937</v>
      </c>
      <c r="X125" s="24">
        <v>12.093587635025496</v>
      </c>
      <c r="Y125" s="24">
        <v>9.8944287307585803</v>
      </c>
      <c r="Z125" s="24">
        <v>9.6577889024300401</v>
      </c>
      <c r="AA125" s="24">
        <v>3.9644927649719612</v>
      </c>
      <c r="AB125" s="24">
        <v>3.5504826944998276</v>
      </c>
      <c r="AC125" s="24">
        <v>9.8809618528610272</v>
      </c>
      <c r="AD125" s="24">
        <v>0</v>
      </c>
      <c r="AE125" s="24">
        <v>9.8256497668132976</v>
      </c>
      <c r="AF125" s="24">
        <v>4.519717925564481</v>
      </c>
      <c r="AG125" s="24">
        <v>10.572445591284835</v>
      </c>
      <c r="AH125" s="24">
        <v>4.2557248455007715</v>
      </c>
      <c r="AI125" s="24">
        <v>3.6249116607773848</v>
      </c>
      <c r="AJ125" s="24">
        <v>3.6249116607773848</v>
      </c>
      <c r="AK125" s="24">
        <v>9.2853821689481872</v>
      </c>
      <c r="AL125" s="24">
        <v>12.047638050406231</v>
      </c>
      <c r="AM125" s="24">
        <v>9.6044631887219918</v>
      </c>
      <c r="AN125" s="24">
        <v>4.6623787995582964</v>
      </c>
      <c r="AO125" s="24">
        <v>11.150145262718389</v>
      </c>
      <c r="AP125" s="24">
        <v>3.7265714500540668</v>
      </c>
      <c r="AQ125" s="24">
        <v>3.6249116607773848</v>
      </c>
      <c r="AR125" s="24">
        <v>12.540856360003271</v>
      </c>
      <c r="AS125" s="24">
        <v>4.1566034160185534</v>
      </c>
      <c r="AT125" s="24">
        <v>3.9525371566267613</v>
      </c>
      <c r="AU125" s="24">
        <v>13.42053618606043</v>
      </c>
      <c r="AV125" s="24"/>
      <c r="AX125" s="18"/>
      <c r="AY125" s="18"/>
      <c r="AZ125" s="18"/>
      <c r="BA125" s="18"/>
    </row>
    <row r="126" spans="1:59" x14ac:dyDescent="0.3">
      <c r="A126" t="s">
        <v>90</v>
      </c>
      <c r="B126" t="s">
        <v>42</v>
      </c>
      <c r="C126" s="33" t="s">
        <v>93</v>
      </c>
      <c r="D126" s="34"/>
      <c r="F126" t="s">
        <v>77</v>
      </c>
      <c r="H126" t="s">
        <v>78</v>
      </c>
      <c r="I126">
        <v>2010</v>
      </c>
      <c r="J126" t="s">
        <v>94</v>
      </c>
      <c r="L126" s="24">
        <v>3.6249116607773848</v>
      </c>
      <c r="M126" s="18">
        <v>10.385697296161824</v>
      </c>
      <c r="N126" s="18">
        <v>10.59594284471396</v>
      </c>
      <c r="O126" s="18">
        <v>4.1072774250386086</v>
      </c>
      <c r="P126" s="24">
        <v>3.6249116607773848</v>
      </c>
      <c r="Q126" s="24">
        <v>10.385697296161824</v>
      </c>
      <c r="R126" s="18">
        <v>0</v>
      </c>
      <c r="S126" s="18">
        <v>10.019825139763794</v>
      </c>
      <c r="T126" s="18">
        <v>9.9396048859080413</v>
      </c>
      <c r="U126" s="18">
        <v>8.3096663523610719</v>
      </c>
      <c r="V126" s="18">
        <v>4.2620537075602485</v>
      </c>
      <c r="W126" s="18">
        <v>11.111373568556937</v>
      </c>
      <c r="X126" s="18">
        <v>12.093587635025496</v>
      </c>
      <c r="Y126" s="18">
        <v>9.8944287307585803</v>
      </c>
      <c r="Z126" s="18">
        <v>9.6577889024300401</v>
      </c>
      <c r="AA126" s="18">
        <v>3.9644927649719612</v>
      </c>
      <c r="AB126" s="18">
        <v>3.5504826944998276</v>
      </c>
      <c r="AC126" s="18">
        <v>9.8809618528610272</v>
      </c>
      <c r="AD126" s="18">
        <v>0</v>
      </c>
      <c r="AE126" s="18">
        <v>9.8256497668132976</v>
      </c>
      <c r="AF126" s="18">
        <v>4.519717925564481</v>
      </c>
      <c r="AG126" s="18">
        <v>10.572445591284835</v>
      </c>
      <c r="AH126" s="18">
        <v>4.2557248455007715</v>
      </c>
      <c r="AI126" s="18">
        <v>3.6249116607773848</v>
      </c>
      <c r="AJ126" s="24">
        <v>3.6249116607773848</v>
      </c>
      <c r="AK126" s="18">
        <v>9.2853821689481872</v>
      </c>
      <c r="AL126" s="18">
        <v>12.047638050406231</v>
      </c>
      <c r="AM126" s="18">
        <v>9.6044631887219918</v>
      </c>
      <c r="AN126" s="18">
        <v>4.6623787995582964</v>
      </c>
      <c r="AO126" s="18">
        <v>11.150145262718389</v>
      </c>
      <c r="AP126" s="18">
        <v>3.7265714500540668</v>
      </c>
      <c r="AQ126" s="24">
        <v>3.6249116607773848</v>
      </c>
      <c r="AR126" s="18">
        <v>12.540856360003271</v>
      </c>
      <c r="AS126" s="18">
        <v>4.1566034160185534</v>
      </c>
      <c r="AT126" s="18">
        <v>3.9525371566267613</v>
      </c>
      <c r="AU126" s="18">
        <v>13.42053618606043</v>
      </c>
      <c r="AV126" s="18"/>
      <c r="AX126" s="18"/>
    </row>
    <row r="127" spans="1:59" x14ac:dyDescent="0.3">
      <c r="A127" t="s">
        <v>90</v>
      </c>
      <c r="B127" t="s">
        <v>42</v>
      </c>
      <c r="C127" s="33" t="s">
        <v>93</v>
      </c>
      <c r="F127" t="s">
        <v>77</v>
      </c>
      <c r="H127" t="s">
        <v>78</v>
      </c>
      <c r="I127">
        <v>2020</v>
      </c>
      <c r="J127" t="s">
        <v>94</v>
      </c>
      <c r="L127" s="24">
        <v>3.3392226148409891</v>
      </c>
      <c r="M127" s="18">
        <v>9.6059209518477537</v>
      </c>
      <c r="N127" s="18">
        <v>9.800837996724546</v>
      </c>
      <c r="O127" s="18">
        <v>3.8084389687676836</v>
      </c>
      <c r="P127" s="24">
        <v>3.3392226148409891</v>
      </c>
      <c r="Q127" s="24">
        <v>9.6059209518477537</v>
      </c>
      <c r="R127" s="18">
        <v>0</v>
      </c>
      <c r="S127" s="18">
        <v>9.2585107656056156</v>
      </c>
      <c r="T127" s="18">
        <v>9.1940487259502568</v>
      </c>
      <c r="U127" s="18">
        <v>7.7063302611387439</v>
      </c>
      <c r="V127" s="18">
        <v>3.9545925024377451</v>
      </c>
      <c r="W127" s="18">
        <v>10.271223405632353</v>
      </c>
      <c r="X127" s="18">
        <v>11.182087224223983</v>
      </c>
      <c r="Y127" s="18">
        <v>9.1535858190554631</v>
      </c>
      <c r="Z127" s="18">
        <v>8.9308283384566032</v>
      </c>
      <c r="AA127" s="18">
        <v>3.6788031973875253</v>
      </c>
      <c r="AB127" s="18">
        <v>3.2976675411292451</v>
      </c>
      <c r="AC127" s="18">
        <v>9.1408947630548045</v>
      </c>
      <c r="AD127" s="18">
        <v>0</v>
      </c>
      <c r="AE127" s="18">
        <v>9.0932591947063202</v>
      </c>
      <c r="AF127" s="18">
        <v>4.1890242060018767</v>
      </c>
      <c r="AG127" s="18">
        <v>9.7776792812553683</v>
      </c>
      <c r="AH127" s="18">
        <v>3.9472540135883007</v>
      </c>
      <c r="AI127" s="18">
        <v>3.3392226148409891</v>
      </c>
      <c r="AJ127" s="24">
        <v>3.3392226148409891</v>
      </c>
      <c r="AK127" s="18">
        <v>8.5535762047629138</v>
      </c>
      <c r="AL127" s="18">
        <v>11.140242806349939</v>
      </c>
      <c r="AM127" s="18">
        <v>8.8930181120896439</v>
      </c>
      <c r="AN127" s="18">
        <v>4.3216560789642804</v>
      </c>
      <c r="AO127" s="18">
        <v>10.301618213965961</v>
      </c>
      <c r="AP127" s="18">
        <v>3.45665953281474</v>
      </c>
      <c r="AQ127" s="24">
        <v>3.3392226148409891</v>
      </c>
      <c r="AR127" s="18">
        <v>11.596986197497653</v>
      </c>
      <c r="AS127" s="18">
        <v>3.8604987419727697</v>
      </c>
      <c r="AT127" s="18">
        <v>3.6694744635846019</v>
      </c>
      <c r="AU127" s="18">
        <v>8.4489052686395762</v>
      </c>
      <c r="AV127" s="18"/>
    </row>
    <row r="128" spans="1:59" x14ac:dyDescent="0.3">
      <c r="A128" t="s">
        <v>90</v>
      </c>
      <c r="B128" t="s">
        <v>42</v>
      </c>
      <c r="C128" s="33" t="s">
        <v>93</v>
      </c>
      <c r="D128" s="35"/>
      <c r="F128" t="s">
        <v>77</v>
      </c>
      <c r="H128" t="s">
        <v>78</v>
      </c>
      <c r="I128">
        <v>2030</v>
      </c>
      <c r="J128" t="s">
        <v>94</v>
      </c>
      <c r="L128" s="24">
        <v>3.0053003533568905</v>
      </c>
      <c r="M128" s="18">
        <v>8.6948960963550874</v>
      </c>
      <c r="N128" s="18">
        <v>8.8717926935657427</v>
      </c>
      <c r="O128" s="18">
        <v>3.4591456195318884</v>
      </c>
      <c r="P128" s="24">
        <v>3.0053003533568905</v>
      </c>
      <c r="Q128" s="24">
        <v>8.6948960963550874</v>
      </c>
      <c r="R128" s="18">
        <v>0</v>
      </c>
      <c r="S128" s="18">
        <v>8.3686591374504555</v>
      </c>
      <c r="T128" s="18">
        <v>8.322642631584408</v>
      </c>
      <c r="U128" s="18">
        <v>7.0008801371294744</v>
      </c>
      <c r="V128" s="18">
        <v>3.5952222626841719</v>
      </c>
      <c r="W128" s="18">
        <v>9.2892925092768674</v>
      </c>
      <c r="X128" s="18">
        <v>10.116689183375204</v>
      </c>
      <c r="Y128" s="18">
        <v>8.2879490416261259</v>
      </c>
      <c r="Z128" s="18">
        <v>8.0811290977635153</v>
      </c>
      <c r="AA128" s="18">
        <v>3.3448809349896576</v>
      </c>
      <c r="AB128" s="18">
        <v>3.0021512357238325</v>
      </c>
      <c r="AC128" s="18">
        <v>8.2758770078501236</v>
      </c>
      <c r="AD128" s="18">
        <v>0</v>
      </c>
      <c r="AE128" s="18">
        <v>8.2378389774537233</v>
      </c>
      <c r="AF128" s="18">
        <v>3.8024990792403908</v>
      </c>
      <c r="AG128" s="18">
        <v>8.8487316461559899</v>
      </c>
      <c r="AH128" s="18">
        <v>3.586703690573724</v>
      </c>
      <c r="AI128" s="18">
        <v>3.0053003533568905</v>
      </c>
      <c r="AJ128" s="24">
        <v>3.0053003533568905</v>
      </c>
      <c r="AK128" s="18">
        <v>7.6982185842866224</v>
      </c>
      <c r="AL128" s="18">
        <v>10.079465631701622</v>
      </c>
      <c r="AM128" s="18">
        <v>8.0616292956320716</v>
      </c>
      <c r="AN128" s="18">
        <v>3.9234133529695527</v>
      </c>
      <c r="AO128" s="18">
        <v>9.3098305655412616</v>
      </c>
      <c r="AP128" s="18">
        <v>3.1411839036618403</v>
      </c>
      <c r="AQ128" s="24">
        <v>3.0053003533568905</v>
      </c>
      <c r="AR128" s="18">
        <v>10.493768532845511</v>
      </c>
      <c r="AS128" s="18">
        <v>3.5144118846385477</v>
      </c>
      <c r="AT128" s="18">
        <v>3.338630509086546</v>
      </c>
      <c r="AU128" s="18">
        <v>7.6575677787158742</v>
      </c>
      <c r="AV128" s="18"/>
    </row>
    <row r="129" spans="1:59" x14ac:dyDescent="0.3">
      <c r="A129" t="s">
        <v>90</v>
      </c>
      <c r="B129" t="s">
        <v>42</v>
      </c>
      <c r="C129" s="33" t="s">
        <v>93</v>
      </c>
      <c r="D129" s="35"/>
      <c r="F129" t="s">
        <v>77</v>
      </c>
      <c r="H129" t="s">
        <v>78</v>
      </c>
      <c r="I129">
        <v>2040</v>
      </c>
      <c r="J129" t="s">
        <v>94</v>
      </c>
      <c r="L129" s="24">
        <v>2.7047703180212013</v>
      </c>
      <c r="M129" s="18">
        <v>7.8752643469407619</v>
      </c>
      <c r="N129" s="18">
        <v>8.0356489735250349</v>
      </c>
      <c r="O129" s="18">
        <v>3.1448058350441981</v>
      </c>
      <c r="P129" s="24">
        <v>2.7047703180212013</v>
      </c>
      <c r="Q129" s="24">
        <v>7.8752643469407619</v>
      </c>
      <c r="R129" s="18">
        <v>0</v>
      </c>
      <c r="S129" s="18">
        <v>7.5678301542539463</v>
      </c>
      <c r="T129" s="18">
        <v>7.5384070920573532</v>
      </c>
      <c r="U129" s="18">
        <v>6.3660846654923171</v>
      </c>
      <c r="V129" s="18">
        <v>3.2717890469059547</v>
      </c>
      <c r="W129" s="18">
        <v>8.4055092640020881</v>
      </c>
      <c r="X129" s="18">
        <v>9.1577541750798819</v>
      </c>
      <c r="Y129" s="18">
        <v>7.5096715995231733</v>
      </c>
      <c r="Z129" s="18">
        <v>7.3164014979765009</v>
      </c>
      <c r="AA129" s="18">
        <v>3.0443508914369208</v>
      </c>
      <c r="AB129" s="18">
        <v>2.7361379737872844</v>
      </c>
      <c r="AC129" s="18">
        <v>7.497361787895608</v>
      </c>
      <c r="AD129" s="18">
        <v>0</v>
      </c>
      <c r="AE129" s="18">
        <v>7.4686818590346578</v>
      </c>
      <c r="AF129" s="18">
        <v>3.4546264651550538</v>
      </c>
      <c r="AG129" s="18">
        <v>8.0126787745665489</v>
      </c>
      <c r="AH129" s="18">
        <v>3.2622083998606057</v>
      </c>
      <c r="AI129" s="18">
        <v>2.7047703180212013</v>
      </c>
      <c r="AJ129" s="24">
        <v>2.7047703180212013</v>
      </c>
      <c r="AK129" s="18">
        <v>6.9283967258579606</v>
      </c>
      <c r="AL129" s="18">
        <v>9.1242971341180947</v>
      </c>
      <c r="AM129" s="18">
        <v>7.3134606018896591</v>
      </c>
      <c r="AN129" s="18">
        <v>3.5649913974900396</v>
      </c>
      <c r="AO129" s="18">
        <v>8.4172277798430066</v>
      </c>
      <c r="AP129" s="18">
        <v>2.8572548426286803</v>
      </c>
      <c r="AQ129" s="24">
        <v>2.7047703180212013</v>
      </c>
      <c r="AR129" s="18">
        <v>9.5007549413742822</v>
      </c>
      <c r="AS129" s="18">
        <v>3.2029293509097276</v>
      </c>
      <c r="AT129" s="18">
        <v>3.0408689803480655</v>
      </c>
      <c r="AU129" s="18">
        <v>6.9453291481892636</v>
      </c>
      <c r="AV129" s="18"/>
    </row>
    <row r="130" spans="1:59" x14ac:dyDescent="0.3">
      <c r="A130" t="s">
        <v>90</v>
      </c>
      <c r="B130" t="s">
        <v>42</v>
      </c>
      <c r="C130" s="33" t="s">
        <v>93</v>
      </c>
      <c r="F130" t="s">
        <v>77</v>
      </c>
      <c r="H130" t="s">
        <v>78</v>
      </c>
      <c r="I130">
        <v>2050</v>
      </c>
      <c r="J130" t="s">
        <v>94</v>
      </c>
      <c r="L130" s="24">
        <v>2.4342932862190811</v>
      </c>
      <c r="M130" s="18">
        <v>7.1386447850935069</v>
      </c>
      <c r="N130" s="18">
        <v>7.2832218670306688</v>
      </c>
      <c r="O130" s="18">
        <v>2.8618726288314011</v>
      </c>
      <c r="P130" s="24">
        <v>2.4342932862190811</v>
      </c>
      <c r="Q130" s="24">
        <v>7.1386447850935069</v>
      </c>
      <c r="R130" s="18">
        <v>0</v>
      </c>
      <c r="S130" s="18">
        <v>6.8470997689931092</v>
      </c>
      <c r="T130" s="18">
        <v>6.832590964274738</v>
      </c>
      <c r="U130" s="18">
        <v>5.7948096419303017</v>
      </c>
      <c r="V130" s="18">
        <v>2.9806991527055597</v>
      </c>
      <c r="W130" s="18">
        <v>7.610097235294714</v>
      </c>
      <c r="X130" s="18">
        <v>8.2947345277568925</v>
      </c>
      <c r="Y130" s="18">
        <v>6.8091524595275672</v>
      </c>
      <c r="Z130" s="18">
        <v>6.6281488820723977</v>
      </c>
      <c r="AA130" s="18">
        <v>2.773873803130273</v>
      </c>
      <c r="AB130" s="18">
        <v>2.4967481957006465</v>
      </c>
      <c r="AC130" s="18">
        <v>6.7966967284743003</v>
      </c>
      <c r="AD130" s="18">
        <v>0</v>
      </c>
      <c r="AE130" s="18">
        <v>6.7750109401088396</v>
      </c>
      <c r="AF130" s="18">
        <v>3.1415411124782504</v>
      </c>
      <c r="AG130" s="18">
        <v>7.2602311901360519</v>
      </c>
      <c r="AH130" s="18">
        <v>2.9701626382187989</v>
      </c>
      <c r="AI130" s="18">
        <v>2.4342932862190811</v>
      </c>
      <c r="AJ130" s="24">
        <v>2.4342932862190811</v>
      </c>
      <c r="AK130" s="18">
        <v>6.2355570532721645</v>
      </c>
      <c r="AL130" s="18">
        <v>8.2647577683216014</v>
      </c>
      <c r="AM130" s="18">
        <v>6.6401724801579318</v>
      </c>
      <c r="AN130" s="18">
        <v>3.242407019393736</v>
      </c>
      <c r="AO130" s="18">
        <v>7.6138824291738612</v>
      </c>
      <c r="AP130" s="18">
        <v>2.6017171142568514</v>
      </c>
      <c r="AQ130" s="24">
        <v>2.4342932862190811</v>
      </c>
      <c r="AR130" s="18">
        <v>8.6072530239428264</v>
      </c>
      <c r="AS130" s="18">
        <v>2.9226115024438091</v>
      </c>
      <c r="AT130" s="18">
        <v>2.7728801823188021</v>
      </c>
      <c r="AU130" s="18">
        <v>6.3043393159811627</v>
      </c>
      <c r="AV130" s="18"/>
    </row>
    <row r="131" spans="1:59" x14ac:dyDescent="0.3">
      <c r="E131" t="s">
        <v>79</v>
      </c>
    </row>
    <row r="132" spans="1:59" s="12" customFormat="1" x14ac:dyDescent="0.3">
      <c r="A132" s="12" t="s">
        <v>90</v>
      </c>
      <c r="B132" s="12" t="s">
        <v>43</v>
      </c>
      <c r="C132" s="12" t="s">
        <v>95</v>
      </c>
      <c r="E132" s="12" t="s">
        <v>73</v>
      </c>
      <c r="G132" s="12" t="s">
        <v>74</v>
      </c>
      <c r="H132" s="12" t="s">
        <v>75</v>
      </c>
      <c r="I132" s="12">
        <v>2005</v>
      </c>
      <c r="J132" s="12" t="s">
        <v>53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  <c r="T132" s="22">
        <v>0</v>
      </c>
      <c r="U132" s="22">
        <v>0</v>
      </c>
      <c r="V132" s="22">
        <v>0</v>
      </c>
      <c r="W132" s="22">
        <v>0</v>
      </c>
      <c r="X132" s="22">
        <v>19</v>
      </c>
      <c r="Y132" s="22">
        <v>0</v>
      </c>
      <c r="Z132" s="22">
        <v>0</v>
      </c>
      <c r="AA132" s="22">
        <v>0</v>
      </c>
      <c r="AB132" s="22">
        <v>0</v>
      </c>
      <c r="AC132" s="22">
        <v>0</v>
      </c>
      <c r="AD132" s="22">
        <v>0</v>
      </c>
      <c r="AE132" s="22">
        <v>0</v>
      </c>
      <c r="AF132" s="22">
        <v>0</v>
      </c>
      <c r="AG132" s="22">
        <v>0</v>
      </c>
      <c r="AH132" s="22">
        <v>0</v>
      </c>
      <c r="AI132" s="22">
        <v>0</v>
      </c>
      <c r="AJ132" s="22">
        <v>0</v>
      </c>
      <c r="AK132" s="22">
        <v>0</v>
      </c>
      <c r="AL132" s="22">
        <v>0</v>
      </c>
      <c r="AM132" s="22">
        <v>0</v>
      </c>
      <c r="AN132" s="22">
        <v>0</v>
      </c>
      <c r="AO132" s="22">
        <v>0</v>
      </c>
      <c r="AP132" s="22">
        <v>0</v>
      </c>
      <c r="AQ132" s="22">
        <v>0</v>
      </c>
      <c r="AR132" s="22">
        <v>0</v>
      </c>
      <c r="AS132" s="22">
        <v>0</v>
      </c>
      <c r="AT132" s="22">
        <v>0</v>
      </c>
      <c r="AU132" s="22">
        <v>0</v>
      </c>
      <c r="AV132" s="22"/>
      <c r="AX132" s="13"/>
    </row>
    <row r="133" spans="1:59" s="12" customFormat="1" x14ac:dyDescent="0.3">
      <c r="A133" s="12" t="s">
        <v>90</v>
      </c>
      <c r="B133" s="12" t="s">
        <v>43</v>
      </c>
      <c r="C133" s="12" t="s">
        <v>95</v>
      </c>
      <c r="E133" s="12" t="s">
        <v>73</v>
      </c>
      <c r="G133" s="12" t="s">
        <v>74</v>
      </c>
      <c r="H133" s="12" t="s">
        <v>75</v>
      </c>
      <c r="I133" s="12">
        <v>2010</v>
      </c>
      <c r="J133" s="12" t="s">
        <v>53</v>
      </c>
      <c r="L133" s="22">
        <v>0</v>
      </c>
      <c r="M133" s="22">
        <v>0</v>
      </c>
      <c r="N133" s="22">
        <v>0</v>
      </c>
      <c r="O133" s="22">
        <v>0</v>
      </c>
      <c r="P133" s="22">
        <v>0</v>
      </c>
      <c r="Q133" s="22">
        <v>0</v>
      </c>
      <c r="R133" s="22">
        <v>0</v>
      </c>
      <c r="S133" s="22">
        <v>0</v>
      </c>
      <c r="T133" s="22">
        <v>0</v>
      </c>
      <c r="U133" s="22">
        <v>0</v>
      </c>
      <c r="V133" s="22">
        <v>0</v>
      </c>
      <c r="W133" s="22">
        <v>0</v>
      </c>
      <c r="X133" s="22">
        <v>18.7</v>
      </c>
      <c r="Y133" s="22">
        <v>0</v>
      </c>
      <c r="Z133" s="22">
        <v>0</v>
      </c>
      <c r="AA133" s="22">
        <v>0</v>
      </c>
      <c r="AB133" s="22">
        <v>0</v>
      </c>
      <c r="AC133" s="22">
        <v>0</v>
      </c>
      <c r="AD133" s="22">
        <v>0</v>
      </c>
      <c r="AE133" s="22">
        <v>0</v>
      </c>
      <c r="AF133" s="22">
        <v>0</v>
      </c>
      <c r="AG133" s="22">
        <v>0</v>
      </c>
      <c r="AH133" s="22">
        <v>0</v>
      </c>
      <c r="AI133" s="22">
        <v>0</v>
      </c>
      <c r="AJ133" s="22">
        <v>0</v>
      </c>
      <c r="AK133" s="22">
        <v>0</v>
      </c>
      <c r="AL133" s="22">
        <v>0</v>
      </c>
      <c r="AM133" s="22">
        <v>0</v>
      </c>
      <c r="AN133" s="22">
        <v>0</v>
      </c>
      <c r="AO133" s="22">
        <v>0</v>
      </c>
      <c r="AP133" s="22">
        <v>0</v>
      </c>
      <c r="AQ133" s="22">
        <v>0</v>
      </c>
      <c r="AR133" s="22">
        <v>45</v>
      </c>
      <c r="AS133" s="22">
        <v>0</v>
      </c>
      <c r="AT133" s="22">
        <v>0</v>
      </c>
      <c r="AU133" s="22">
        <v>0</v>
      </c>
      <c r="AV133" s="22"/>
      <c r="AW133" s="13">
        <f>SUM(M133:O133,R133:AC133,AE133:AH133,AK133:AL133,AN133:AP133,AR133:AU133)</f>
        <v>63.7</v>
      </c>
      <c r="BC133" s="13">
        <f>AW133-AU133</f>
        <v>63.7</v>
      </c>
    </row>
    <row r="134" spans="1:59" s="12" customFormat="1" x14ac:dyDescent="0.3">
      <c r="A134" s="12" t="s">
        <v>90</v>
      </c>
      <c r="B134" s="12" t="s">
        <v>43</v>
      </c>
      <c r="C134" s="12" t="s">
        <v>95</v>
      </c>
      <c r="E134" s="12" t="s">
        <v>73</v>
      </c>
      <c r="G134" s="12" t="s">
        <v>74</v>
      </c>
      <c r="H134" s="12" t="s">
        <v>75</v>
      </c>
      <c r="I134" s="12">
        <v>2020</v>
      </c>
      <c r="J134" s="12" t="s">
        <v>53</v>
      </c>
      <c r="L134" s="22">
        <v>0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0</v>
      </c>
      <c r="T134" s="22">
        <v>0</v>
      </c>
      <c r="U134" s="22">
        <v>0</v>
      </c>
      <c r="V134" s="22">
        <v>0</v>
      </c>
      <c r="W134" s="22">
        <v>0</v>
      </c>
      <c r="X134" s="22">
        <v>18.7</v>
      </c>
      <c r="Y134" s="22">
        <v>0</v>
      </c>
      <c r="Z134" s="22">
        <v>0</v>
      </c>
      <c r="AA134" s="22">
        <v>0</v>
      </c>
      <c r="AB134" s="22">
        <v>0</v>
      </c>
      <c r="AC134" s="22">
        <v>0</v>
      </c>
      <c r="AD134" s="22">
        <v>0</v>
      </c>
      <c r="AE134" s="22">
        <v>0</v>
      </c>
      <c r="AF134" s="22">
        <v>0</v>
      </c>
      <c r="AG134" s="22">
        <v>0</v>
      </c>
      <c r="AH134" s="22">
        <v>0</v>
      </c>
      <c r="AI134" s="22">
        <v>0</v>
      </c>
      <c r="AJ134" s="22">
        <v>0</v>
      </c>
      <c r="AK134" s="22">
        <v>0</v>
      </c>
      <c r="AL134" s="22">
        <v>0</v>
      </c>
      <c r="AM134" s="22">
        <v>0</v>
      </c>
      <c r="AN134" s="22">
        <v>0</v>
      </c>
      <c r="AO134" s="22">
        <v>0</v>
      </c>
      <c r="AP134" s="22">
        <v>0</v>
      </c>
      <c r="AQ134" s="22">
        <v>0</v>
      </c>
      <c r="AR134" s="22">
        <v>65</v>
      </c>
      <c r="AS134" s="22">
        <v>0</v>
      </c>
      <c r="AT134" s="22">
        <v>0</v>
      </c>
      <c r="AU134" s="22">
        <v>0</v>
      </c>
      <c r="AV134" s="22"/>
      <c r="AX134" s="13">
        <f>SUM(M134:O134,R134:AC134,AE134:AH134,AK134:AL134,AN134:AP134,AR134:AU134)</f>
        <v>83.7</v>
      </c>
      <c r="BD134" s="13">
        <f>AX134-AU134</f>
        <v>83.7</v>
      </c>
    </row>
    <row r="135" spans="1:59" s="12" customFormat="1" x14ac:dyDescent="0.3">
      <c r="A135" s="12" t="s">
        <v>90</v>
      </c>
      <c r="B135" s="12" t="s">
        <v>43</v>
      </c>
      <c r="C135" s="12" t="s">
        <v>95</v>
      </c>
      <c r="E135" s="12" t="s">
        <v>73</v>
      </c>
      <c r="G135" s="12" t="s">
        <v>74</v>
      </c>
      <c r="H135" s="12" t="s">
        <v>75</v>
      </c>
      <c r="I135" s="12">
        <v>2030</v>
      </c>
      <c r="J135" s="12" t="s">
        <v>53</v>
      </c>
      <c r="L135" s="22">
        <v>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  <c r="S135" s="22">
        <v>0</v>
      </c>
      <c r="T135" s="22">
        <v>0</v>
      </c>
      <c r="U135" s="22">
        <v>0</v>
      </c>
      <c r="V135" s="22">
        <v>0</v>
      </c>
      <c r="W135" s="22">
        <v>0</v>
      </c>
      <c r="X135" s="29">
        <f>[1]bioshares!O82*X317</f>
        <v>33.43935392304558</v>
      </c>
      <c r="Y135" s="22">
        <v>0</v>
      </c>
      <c r="Z135" s="22">
        <v>0</v>
      </c>
      <c r="AA135" s="22">
        <v>0</v>
      </c>
      <c r="AB135" s="22">
        <v>0</v>
      </c>
      <c r="AC135" s="22">
        <v>0</v>
      </c>
      <c r="AD135" s="22">
        <v>0</v>
      </c>
      <c r="AE135" s="22">
        <v>0</v>
      </c>
      <c r="AF135" s="22">
        <v>0</v>
      </c>
      <c r="AG135" s="22">
        <v>0</v>
      </c>
      <c r="AH135" s="22">
        <v>0</v>
      </c>
      <c r="AI135" s="22">
        <v>0</v>
      </c>
      <c r="AJ135" s="22">
        <v>0</v>
      </c>
      <c r="AK135" s="22">
        <v>0</v>
      </c>
      <c r="AL135" s="22">
        <v>0</v>
      </c>
      <c r="AM135" s="22">
        <v>0</v>
      </c>
      <c r="AN135" s="22">
        <v>0</v>
      </c>
      <c r="AO135" s="22">
        <v>0</v>
      </c>
      <c r="AP135" s="22">
        <v>0</v>
      </c>
      <c r="AQ135" s="22">
        <v>0</v>
      </c>
      <c r="AR135" s="29">
        <f>[1]bioshares!AI82*AR317</f>
        <v>58.083245027622603</v>
      </c>
      <c r="AS135" s="22">
        <v>0</v>
      </c>
      <c r="AT135" s="22">
        <v>0</v>
      </c>
      <c r="AU135" s="22">
        <v>0</v>
      </c>
      <c r="AV135" s="22"/>
      <c r="AY135" s="13">
        <f>SUM(M135:O135,R135:AC135,AE135:AH135,AK135:AL135,AN135:AP135,AR135:AU135)</f>
        <v>91.522598950668183</v>
      </c>
      <c r="BE135" s="13">
        <f>AY135-AU135</f>
        <v>91.522598950668183</v>
      </c>
    </row>
    <row r="136" spans="1:59" s="12" customFormat="1" x14ac:dyDescent="0.3">
      <c r="A136" s="12" t="s">
        <v>90</v>
      </c>
      <c r="B136" s="12" t="s">
        <v>43</v>
      </c>
      <c r="C136" s="12" t="s">
        <v>95</v>
      </c>
      <c r="E136" s="12" t="s">
        <v>73</v>
      </c>
      <c r="G136" s="12" t="s">
        <v>74</v>
      </c>
      <c r="H136" s="12" t="s">
        <v>75</v>
      </c>
      <c r="I136" s="12">
        <v>2040</v>
      </c>
      <c r="J136" s="12" t="s">
        <v>53</v>
      </c>
      <c r="L136" s="22">
        <v>0</v>
      </c>
      <c r="M136" s="22">
        <v>0</v>
      </c>
      <c r="N136" s="22">
        <v>0</v>
      </c>
      <c r="O136" s="22">
        <v>0</v>
      </c>
      <c r="P136" s="22">
        <v>0</v>
      </c>
      <c r="Q136" s="22">
        <v>0</v>
      </c>
      <c r="R136" s="22">
        <v>0</v>
      </c>
      <c r="S136" s="22">
        <v>0</v>
      </c>
      <c r="T136" s="22">
        <v>0</v>
      </c>
      <c r="U136" s="22">
        <v>0</v>
      </c>
      <c r="V136" s="22">
        <v>0</v>
      </c>
      <c r="W136" s="22">
        <v>0</v>
      </c>
      <c r="X136" s="29">
        <f>[1]bioshares!O83*X318</f>
        <v>54.940612453527734</v>
      </c>
      <c r="Y136" s="22">
        <v>0</v>
      </c>
      <c r="Z136" s="22">
        <v>0</v>
      </c>
      <c r="AA136" s="22">
        <v>0</v>
      </c>
      <c r="AB136" s="22">
        <v>0</v>
      </c>
      <c r="AC136" s="22">
        <v>0</v>
      </c>
      <c r="AD136" s="22">
        <v>0</v>
      </c>
      <c r="AE136" s="22">
        <v>0</v>
      </c>
      <c r="AF136" s="22">
        <v>0</v>
      </c>
      <c r="AG136" s="22">
        <v>0</v>
      </c>
      <c r="AH136" s="22">
        <v>0</v>
      </c>
      <c r="AI136" s="22">
        <v>0</v>
      </c>
      <c r="AJ136" s="22">
        <v>0</v>
      </c>
      <c r="AK136" s="22">
        <v>0</v>
      </c>
      <c r="AL136" s="22">
        <v>0</v>
      </c>
      <c r="AM136" s="22">
        <v>0</v>
      </c>
      <c r="AN136" s="22">
        <v>0</v>
      </c>
      <c r="AO136" s="22">
        <v>0</v>
      </c>
      <c r="AP136" s="22">
        <v>0</v>
      </c>
      <c r="AQ136" s="22">
        <v>0</v>
      </c>
      <c r="AR136" s="29">
        <f>[1]bioshares!AI83*AR318</f>
        <v>96.95402197681365</v>
      </c>
      <c r="AS136" s="22">
        <v>0</v>
      </c>
      <c r="AT136" s="22">
        <v>0</v>
      </c>
      <c r="AU136" s="22">
        <v>0</v>
      </c>
      <c r="AV136" s="22"/>
      <c r="AY136" s="13"/>
      <c r="AZ136" s="13">
        <f>SUM(M136:O136,R136:AC136,AE136:AH136,AK136:AL136,AN136:AP136,AR136:AU136)</f>
        <v>151.8946344303414</v>
      </c>
      <c r="BF136" s="13">
        <f>AZ136-AU136</f>
        <v>151.8946344303414</v>
      </c>
    </row>
    <row r="137" spans="1:59" s="15" customFormat="1" x14ac:dyDescent="0.3">
      <c r="A137" s="15" t="s">
        <v>90</v>
      </c>
      <c r="B137" s="15" t="s">
        <v>43</v>
      </c>
      <c r="C137" s="15" t="s">
        <v>95</v>
      </c>
      <c r="E137" s="15" t="s">
        <v>73</v>
      </c>
      <c r="G137" s="15" t="s">
        <v>74</v>
      </c>
      <c r="H137" s="15" t="s">
        <v>75</v>
      </c>
      <c r="I137" s="15">
        <v>2050</v>
      </c>
      <c r="J137" s="15" t="s">
        <v>53</v>
      </c>
      <c r="L137" s="23">
        <v>0</v>
      </c>
      <c r="M137" s="23">
        <v>0</v>
      </c>
      <c r="N137" s="23">
        <v>0</v>
      </c>
      <c r="O137" s="23">
        <v>0</v>
      </c>
      <c r="P137" s="23">
        <v>0</v>
      </c>
      <c r="Q137" s="23">
        <v>0</v>
      </c>
      <c r="R137" s="23">
        <v>0</v>
      </c>
      <c r="S137" s="23">
        <v>0</v>
      </c>
      <c r="T137" s="23">
        <v>0</v>
      </c>
      <c r="U137" s="23">
        <v>0</v>
      </c>
      <c r="V137" s="23">
        <v>0</v>
      </c>
      <c r="W137" s="23">
        <v>0</v>
      </c>
      <c r="X137" s="32">
        <f>[1]bioshares!O84*X319</f>
        <v>35.299952505079162</v>
      </c>
      <c r="Y137" s="23">
        <v>0</v>
      </c>
      <c r="Z137" s="23">
        <v>0</v>
      </c>
      <c r="AA137" s="23">
        <v>0</v>
      </c>
      <c r="AB137" s="23">
        <v>0</v>
      </c>
      <c r="AC137" s="23">
        <v>0</v>
      </c>
      <c r="AD137" s="23">
        <v>0</v>
      </c>
      <c r="AE137" s="23">
        <v>0</v>
      </c>
      <c r="AF137" s="23">
        <v>0</v>
      </c>
      <c r="AG137" s="23">
        <v>0</v>
      </c>
      <c r="AH137" s="23">
        <v>0</v>
      </c>
      <c r="AI137" s="23">
        <v>0</v>
      </c>
      <c r="AJ137" s="23">
        <v>0</v>
      </c>
      <c r="AK137" s="23">
        <v>0</v>
      </c>
      <c r="AL137" s="23">
        <v>0</v>
      </c>
      <c r="AM137" s="23">
        <v>0</v>
      </c>
      <c r="AN137" s="23">
        <v>0</v>
      </c>
      <c r="AO137" s="23">
        <v>0</v>
      </c>
      <c r="AP137" s="23">
        <v>0</v>
      </c>
      <c r="AQ137" s="23">
        <v>0</v>
      </c>
      <c r="AR137" s="32">
        <f>[1]bioshares!AI84*AR319</f>
        <v>60.307435942618163</v>
      </c>
      <c r="AS137" s="23">
        <v>0</v>
      </c>
      <c r="AT137" s="23">
        <v>0</v>
      </c>
      <c r="AU137" s="23">
        <v>0</v>
      </c>
      <c r="AV137" s="23"/>
      <c r="AY137" s="16"/>
      <c r="AZ137" s="16"/>
      <c r="BA137" s="16">
        <f>SUM(M137:O137,R137:AC137,AE137:AH137,AK137:AL137,AN137:AP137,AR137:AU137)</f>
        <v>95.607388447697332</v>
      </c>
      <c r="BG137" s="16">
        <f>BA137-AU137</f>
        <v>95.607388447697332</v>
      </c>
    </row>
    <row r="138" spans="1:59" x14ac:dyDescent="0.3">
      <c r="A138" t="s">
        <v>90</v>
      </c>
      <c r="B138" t="s">
        <v>43</v>
      </c>
      <c r="C138" t="s">
        <v>95</v>
      </c>
      <c r="F138" t="s">
        <v>77</v>
      </c>
      <c r="H138" t="s">
        <v>78</v>
      </c>
      <c r="I138">
        <v>2005</v>
      </c>
      <c r="J138" t="s">
        <v>53</v>
      </c>
      <c r="L138" s="18">
        <v>2.6253618057136916</v>
      </c>
      <c r="M138" s="18">
        <v>6.064973235147038</v>
      </c>
      <c r="N138" s="18">
        <v>6.1963849207333643</v>
      </c>
      <c r="O138" s="18">
        <v>3.1898679591101784</v>
      </c>
      <c r="P138" s="18">
        <v>2.5541853792980103</v>
      </c>
      <c r="Q138" s="18">
        <v>6.1034894528193293</v>
      </c>
      <c r="R138" s="18">
        <v>0</v>
      </c>
      <c r="S138" s="18">
        <v>5.8447939700419029</v>
      </c>
      <c r="T138" s="18">
        <v>6.2054552488793568</v>
      </c>
      <c r="U138" s="18">
        <v>5.1322243080485945</v>
      </c>
      <c r="V138" s="18">
        <v>3.2970322482627457</v>
      </c>
      <c r="W138" s="18">
        <v>6.4475759620193394</v>
      </c>
      <c r="X138" s="18">
        <v>7.0947394813588431</v>
      </c>
      <c r="Y138" s="18">
        <v>5.5912227198155096</v>
      </c>
      <c r="Z138" s="18">
        <v>5.5255809409253205</v>
      </c>
      <c r="AA138" s="18">
        <v>3.0155704829427696</v>
      </c>
      <c r="AB138" s="18">
        <v>2.8374112994532705</v>
      </c>
      <c r="AC138" s="18">
        <v>5.6860047618722067</v>
      </c>
      <c r="AD138" s="18">
        <v>0</v>
      </c>
      <c r="AE138" s="18">
        <v>5.7159345331220415</v>
      </c>
      <c r="AF138" s="18">
        <v>3.515363376778768</v>
      </c>
      <c r="AG138" s="18">
        <v>6.2757855301621088</v>
      </c>
      <c r="AH138" s="18">
        <v>3.2789775822110299</v>
      </c>
      <c r="AI138" s="18">
        <v>1.878322019713595</v>
      </c>
      <c r="AJ138" s="18">
        <v>2.2508825446420162</v>
      </c>
      <c r="AK138" s="18">
        <v>5.3441554770318032</v>
      </c>
      <c r="AL138" s="18">
        <v>4.2356597030748144</v>
      </c>
      <c r="AM138" s="18">
        <v>5.680289175224428</v>
      </c>
      <c r="AN138" s="18">
        <v>3.5173549288866823</v>
      </c>
      <c r="AO138" s="18">
        <v>6.5468992639100945</v>
      </c>
      <c r="AP138" s="18">
        <v>2.83090476377886</v>
      </c>
      <c r="AQ138" s="18">
        <v>1.878322019713595</v>
      </c>
      <c r="AR138" s="18">
        <v>7.3846869000241719</v>
      </c>
      <c r="AS138" s="18">
        <v>3.1938584830820371</v>
      </c>
      <c r="AT138" s="18">
        <v>2.9812823824011812</v>
      </c>
      <c r="AU138" s="18">
        <v>7.4316933323671677</v>
      </c>
      <c r="AV138" s="18"/>
    </row>
    <row r="139" spans="1:59" x14ac:dyDescent="0.3">
      <c r="A139" t="s">
        <v>90</v>
      </c>
      <c r="B139" t="s">
        <v>43</v>
      </c>
      <c r="C139" t="s">
        <v>95</v>
      </c>
      <c r="F139" t="s">
        <v>77</v>
      </c>
      <c r="H139" t="s">
        <v>78</v>
      </c>
      <c r="I139">
        <v>2010</v>
      </c>
      <c r="J139" t="s">
        <v>53</v>
      </c>
      <c r="L139" s="18">
        <v>2.6253618057136916</v>
      </c>
      <c r="M139" s="18">
        <v>6.064973235147038</v>
      </c>
      <c r="N139" s="18">
        <v>6.1963849207333643</v>
      </c>
      <c r="O139" s="18">
        <v>3.1898679591101784</v>
      </c>
      <c r="P139" s="18">
        <v>2.5541853792980103</v>
      </c>
      <c r="Q139" s="18">
        <v>6.1034894528193293</v>
      </c>
      <c r="R139" s="18">
        <v>0</v>
      </c>
      <c r="S139" s="18">
        <v>5.8447939700419029</v>
      </c>
      <c r="T139" s="18">
        <v>6.2054552488793568</v>
      </c>
      <c r="U139" s="18">
        <v>5.1322243080485945</v>
      </c>
      <c r="V139" s="18">
        <v>3.2970322482627457</v>
      </c>
      <c r="W139" s="18">
        <v>6.4475759620193394</v>
      </c>
      <c r="X139" s="18">
        <v>7.0947394813588431</v>
      </c>
      <c r="Y139" s="18">
        <v>5.5912227198155096</v>
      </c>
      <c r="Z139" s="18">
        <v>5.5255809409253205</v>
      </c>
      <c r="AA139" s="18">
        <v>3.0155704829427696</v>
      </c>
      <c r="AB139" s="18">
        <v>2.8374112994532705</v>
      </c>
      <c r="AC139" s="18">
        <v>5.6860047618722067</v>
      </c>
      <c r="AD139" s="18">
        <v>0</v>
      </c>
      <c r="AE139" s="18">
        <v>5.7159345331220415</v>
      </c>
      <c r="AF139" s="18">
        <v>3.515363376778768</v>
      </c>
      <c r="AG139" s="18">
        <v>6.2757855301621088</v>
      </c>
      <c r="AH139" s="18">
        <v>3.2789775822110299</v>
      </c>
      <c r="AI139" s="36">
        <v>1.878322019713595</v>
      </c>
      <c r="AJ139" s="18">
        <v>2.2508825446420162</v>
      </c>
      <c r="AK139" s="18">
        <v>5.3441554770318032</v>
      </c>
      <c r="AL139" s="18">
        <v>4.2356597030748144</v>
      </c>
      <c r="AM139" s="18">
        <v>5.680289175224428</v>
      </c>
      <c r="AN139" s="18">
        <v>3.5173549288866823</v>
      </c>
      <c r="AO139" s="18">
        <v>6.5468992639100945</v>
      </c>
      <c r="AP139" s="18">
        <v>2.83090476377886</v>
      </c>
      <c r="AQ139" s="36">
        <v>1.878322019713595</v>
      </c>
      <c r="AR139" s="18">
        <v>7.3846869000241719</v>
      </c>
      <c r="AS139" s="18">
        <v>3.1938584830820371</v>
      </c>
      <c r="AT139" s="18">
        <v>2.9812823824011812</v>
      </c>
      <c r="AU139" s="18">
        <v>7.4316933323671677</v>
      </c>
      <c r="AV139" s="18"/>
    </row>
    <row r="140" spans="1:59" x14ac:dyDescent="0.3">
      <c r="A140" t="s">
        <v>90</v>
      </c>
      <c r="B140" t="s">
        <v>43</v>
      </c>
      <c r="C140" t="s">
        <v>95</v>
      </c>
      <c r="F140" t="s">
        <v>77</v>
      </c>
      <c r="H140" t="s">
        <v>78</v>
      </c>
      <c r="I140">
        <v>2020</v>
      </c>
      <c r="J140" t="s">
        <v>53</v>
      </c>
      <c r="L140" s="18">
        <v>2.4184499745571362</v>
      </c>
      <c r="M140" s="18">
        <v>5.6246778687038841</v>
      </c>
      <c r="N140" s="18">
        <v>5.7473094257309132</v>
      </c>
      <c r="O140" s="18">
        <v>2.9629588385138788</v>
      </c>
      <c r="P140" s="18">
        <v>2.3528831539080954</v>
      </c>
      <c r="Q140" s="18">
        <v>5.6603969985195546</v>
      </c>
      <c r="R140" s="18">
        <v>0</v>
      </c>
      <c r="S140" s="18">
        <v>5.4122842266200681</v>
      </c>
      <c r="T140" s="18">
        <v>5.7537438922281776</v>
      </c>
      <c r="U140" s="18">
        <v>4.7774370004583666</v>
      </c>
      <c r="V140" s="18">
        <v>3.0650878352323323</v>
      </c>
      <c r="W140" s="18">
        <v>5.9743595048504137</v>
      </c>
      <c r="X140" s="18">
        <v>6.576652346168661</v>
      </c>
      <c r="Y140" s="18">
        <v>5.1874754414968196</v>
      </c>
      <c r="Z140" s="18">
        <v>5.123052704856442</v>
      </c>
      <c r="AA140" s="18">
        <v>2.8039625917205258</v>
      </c>
      <c r="AB140" s="18">
        <v>2.6399399478145864</v>
      </c>
      <c r="AC140" s="18">
        <v>5.2762620608512938</v>
      </c>
      <c r="AD140" s="18">
        <v>0</v>
      </c>
      <c r="AE140" s="18">
        <v>5.3060612933137827</v>
      </c>
      <c r="AF140" s="18">
        <v>3.2632592588044784</v>
      </c>
      <c r="AG140" s="18">
        <v>5.8196353776983116</v>
      </c>
      <c r="AH140" s="18">
        <v>3.0470194461804017</v>
      </c>
      <c r="AI140" s="36">
        <v>1.7302864050585829</v>
      </c>
      <c r="AJ140" s="18">
        <v>2.0734844321164929</v>
      </c>
      <c r="AK140" s="18">
        <v>4.9229681978798592</v>
      </c>
      <c r="AL140" s="18">
        <v>3.9428063838457521</v>
      </c>
      <c r="AM140" s="18">
        <v>5.2774276328910297</v>
      </c>
      <c r="AN140" s="18">
        <v>3.2666912115652638</v>
      </c>
      <c r="AO140" s="18">
        <v>6.0610128511997248</v>
      </c>
      <c r="AP140" s="18">
        <v>2.6313865969810966</v>
      </c>
      <c r="AQ140" s="36">
        <v>1.7302864050585829</v>
      </c>
      <c r="AR140" s="18">
        <v>6.8467766722358929</v>
      </c>
      <c r="AS140" s="18">
        <v>2.9732268404131741</v>
      </c>
      <c r="AT140" s="18">
        <v>2.7746250423783181</v>
      </c>
      <c r="AU140" s="18">
        <v>7.5705540231324537</v>
      </c>
      <c r="AV140" s="18"/>
    </row>
    <row r="141" spans="1:59" x14ac:dyDescent="0.3">
      <c r="A141" t="s">
        <v>90</v>
      </c>
      <c r="B141" t="s">
        <v>43</v>
      </c>
      <c r="C141" t="s">
        <v>95</v>
      </c>
      <c r="F141" t="s">
        <v>77</v>
      </c>
      <c r="H141" t="s">
        <v>78</v>
      </c>
      <c r="I141">
        <v>2030</v>
      </c>
      <c r="J141" t="s">
        <v>53</v>
      </c>
      <c r="L141" s="18">
        <v>2.1766049771014226</v>
      </c>
      <c r="M141" s="18">
        <v>5.1105954975055274</v>
      </c>
      <c r="N141" s="18">
        <v>5.2226630869737356</v>
      </c>
      <c r="O141" s="18">
        <v>2.6977591706446731</v>
      </c>
      <c r="P141" s="18">
        <v>2.1175948385172862</v>
      </c>
      <c r="Q141" s="18">
        <v>5.1430486073877431</v>
      </c>
      <c r="R141" s="18">
        <v>0</v>
      </c>
      <c r="S141" s="18">
        <v>4.9066569023352677</v>
      </c>
      <c r="T141" s="18">
        <v>5.2258106304423277</v>
      </c>
      <c r="U141" s="18">
        <v>4.3625434822061031</v>
      </c>
      <c r="V141" s="18">
        <v>2.7939839758461353</v>
      </c>
      <c r="W141" s="18">
        <v>5.4212574322397398</v>
      </c>
      <c r="X141" s="18">
        <v>5.9711442193720119</v>
      </c>
      <c r="Y141" s="18">
        <v>4.7158202825198448</v>
      </c>
      <c r="Z141" s="18">
        <v>4.6525834121757734</v>
      </c>
      <c r="AA141" s="18">
        <v>2.5566288482182817</v>
      </c>
      <c r="AB141" s="18">
        <v>2.4092200030093927</v>
      </c>
      <c r="AC141" s="18">
        <v>4.7973390018729329</v>
      </c>
      <c r="AD141" s="18">
        <v>0</v>
      </c>
      <c r="AE141" s="18">
        <v>4.8280850012917433</v>
      </c>
      <c r="AF141" s="18">
        <v>2.9685921079254389</v>
      </c>
      <c r="AG141" s="18">
        <v>5.2864728618315366</v>
      </c>
      <c r="AH141" s="18">
        <v>2.7758995469238248</v>
      </c>
      <c r="AI141" s="36">
        <v>1.5572577645527246</v>
      </c>
      <c r="AJ141" s="18">
        <v>1.8661359889048439</v>
      </c>
      <c r="AK141" s="18">
        <v>4.4306713780918736</v>
      </c>
      <c r="AL141" s="18">
        <v>3.6010034479245192</v>
      </c>
      <c r="AM141" s="18">
        <v>4.8065954113527471</v>
      </c>
      <c r="AN141" s="18">
        <v>2.9737106889554203</v>
      </c>
      <c r="AO141" s="18">
        <v>5.4930907554596775</v>
      </c>
      <c r="AP141" s="18">
        <v>2.3981889031824006</v>
      </c>
      <c r="AQ141" s="36">
        <v>1.5572577645527248</v>
      </c>
      <c r="AR141" s="18">
        <v>6.2179682835046961</v>
      </c>
      <c r="AS141" s="18">
        <v>2.7153262571993766</v>
      </c>
      <c r="AT141" s="18">
        <v>2.5330899409022791</v>
      </c>
      <c r="AU141" s="18">
        <v>7.4321459833755297</v>
      </c>
      <c r="AV141" s="18"/>
      <c r="AX141" s="18"/>
      <c r="AY141" s="18"/>
      <c r="AZ141" s="18"/>
      <c r="BA141" s="18"/>
    </row>
    <row r="142" spans="1:59" x14ac:dyDescent="0.3">
      <c r="A142" t="s">
        <v>90</v>
      </c>
      <c r="B142" t="s">
        <v>43</v>
      </c>
      <c r="C142" t="s">
        <v>95</v>
      </c>
      <c r="F142" t="s">
        <v>77</v>
      </c>
      <c r="H142" t="s">
        <v>78</v>
      </c>
      <c r="I142">
        <v>2040</v>
      </c>
      <c r="J142" t="s">
        <v>53</v>
      </c>
      <c r="L142" s="36">
        <v>1.9589444793912802</v>
      </c>
      <c r="M142" s="18">
        <v>4.6481322627037533</v>
      </c>
      <c r="N142" s="18">
        <v>4.7504525147740893</v>
      </c>
      <c r="O142" s="18">
        <v>2.4590771747636877</v>
      </c>
      <c r="P142" s="18">
        <v>1.9058353546655569</v>
      </c>
      <c r="Q142" s="18">
        <v>4.6776469021198803</v>
      </c>
      <c r="R142" s="18">
        <v>0</v>
      </c>
      <c r="S142" s="18">
        <v>4.4516170731136349</v>
      </c>
      <c r="T142" s="18">
        <v>4.7507073264584649</v>
      </c>
      <c r="U142" s="18">
        <v>3.98924771870159</v>
      </c>
      <c r="V142" s="18">
        <v>2.5499905023985572</v>
      </c>
      <c r="W142" s="18">
        <v>4.9234153171520623</v>
      </c>
      <c r="X142" s="18">
        <v>5.4261198071151444</v>
      </c>
      <c r="Y142" s="18">
        <v>4.2922919609212711</v>
      </c>
      <c r="Z142" s="18">
        <v>4.2291467222754191</v>
      </c>
      <c r="AA142" s="18">
        <v>2.3340284261304149</v>
      </c>
      <c r="AB142" s="18">
        <v>2.2015246808939839</v>
      </c>
      <c r="AC142" s="18">
        <v>4.3663090192304592</v>
      </c>
      <c r="AD142" s="18">
        <v>0</v>
      </c>
      <c r="AE142" s="18">
        <v>4.3981945477238673</v>
      </c>
      <c r="AF142" s="18">
        <v>2.7033916721343028</v>
      </c>
      <c r="AG142" s="18">
        <v>4.8066265975514391</v>
      </c>
      <c r="AH142" s="18">
        <v>2.5318916375929041</v>
      </c>
      <c r="AI142" s="36">
        <v>1.4015319880974522</v>
      </c>
      <c r="AJ142" s="18">
        <v>1.6795223900143592</v>
      </c>
      <c r="AK142" s="18">
        <v>3.9876042402826863</v>
      </c>
      <c r="AL142" s="18">
        <v>3.2926377794324959</v>
      </c>
      <c r="AM142" s="18">
        <v>4.3828916333797565</v>
      </c>
      <c r="AN142" s="18">
        <v>2.710025923826171</v>
      </c>
      <c r="AO142" s="18">
        <v>4.9819713560881098</v>
      </c>
      <c r="AP142" s="18">
        <v>2.1883113899498898</v>
      </c>
      <c r="AQ142" s="36">
        <v>1.4015319880974522</v>
      </c>
      <c r="AR142" s="18">
        <v>5.6519288833589032</v>
      </c>
      <c r="AS142" s="18">
        <v>2.4832120860358047</v>
      </c>
      <c r="AT142" s="18">
        <v>2.3157041906760933</v>
      </c>
      <c r="AU142" s="18">
        <v>6.9070301841537614</v>
      </c>
      <c r="AV142" s="18"/>
      <c r="AX142" s="18"/>
      <c r="AY142" s="18"/>
      <c r="AZ142" s="18"/>
      <c r="BA142" s="18"/>
    </row>
    <row r="143" spans="1:59" x14ac:dyDescent="0.3">
      <c r="A143" t="s">
        <v>90</v>
      </c>
      <c r="B143" t="s">
        <v>43</v>
      </c>
      <c r="C143" t="s">
        <v>95</v>
      </c>
      <c r="F143" t="s">
        <v>77</v>
      </c>
      <c r="H143" t="s">
        <v>78</v>
      </c>
      <c r="I143">
        <v>2050</v>
      </c>
      <c r="J143" t="s">
        <v>53</v>
      </c>
      <c r="L143" s="18">
        <v>1.7630500314521524</v>
      </c>
      <c r="M143" s="18">
        <v>4.2330346915421586</v>
      </c>
      <c r="N143" s="18">
        <v>4.3254778722783298</v>
      </c>
      <c r="O143" s="18">
        <v>2.2442229588876321</v>
      </c>
      <c r="P143" s="18">
        <v>1.7152518191990014</v>
      </c>
      <c r="Q143" s="18">
        <v>4.2599122553228916</v>
      </c>
      <c r="R143" s="18">
        <v>0</v>
      </c>
      <c r="S143" s="18">
        <v>4.0421009529945362</v>
      </c>
      <c r="T143" s="18">
        <v>4.3231124999512094</v>
      </c>
      <c r="U143" s="18">
        <v>3.653346472587903</v>
      </c>
      <c r="V143" s="18">
        <v>2.330396376295738</v>
      </c>
      <c r="W143" s="18">
        <v>4.4753463133065132</v>
      </c>
      <c r="X143" s="18">
        <v>4.935598693513839</v>
      </c>
      <c r="Y143" s="18">
        <v>3.9109580219343738</v>
      </c>
      <c r="Z143" s="18">
        <v>3.8480537953064053</v>
      </c>
      <c r="AA143" s="18">
        <v>2.1336881526109557</v>
      </c>
      <c r="AB143" s="18">
        <v>2.0146030501835619</v>
      </c>
      <c r="AC143" s="18">
        <v>3.9783805742858873</v>
      </c>
      <c r="AD143" s="18">
        <v>0</v>
      </c>
      <c r="AE143" s="18">
        <v>4.0095384326766483</v>
      </c>
      <c r="AF143" s="18">
        <v>2.4647112799222817</v>
      </c>
      <c r="AG143" s="18">
        <v>4.374764959699351</v>
      </c>
      <c r="AH143" s="18">
        <v>2.3122845191950772</v>
      </c>
      <c r="AI143" s="36">
        <v>1.2613787892877071</v>
      </c>
      <c r="AJ143" s="18">
        <v>1.5115701510129236</v>
      </c>
      <c r="AK143" s="18">
        <v>3.5888438162544176</v>
      </c>
      <c r="AL143" s="18">
        <v>3.0151815932156945</v>
      </c>
      <c r="AM143" s="18">
        <v>4.0015990781036894</v>
      </c>
      <c r="AN143" s="18">
        <v>2.4727039252864942</v>
      </c>
      <c r="AO143" s="18">
        <v>4.5219599575165166</v>
      </c>
      <c r="AP143" s="18">
        <v>1.9994192246892426</v>
      </c>
      <c r="AQ143" s="36">
        <v>1.2613787892877071</v>
      </c>
      <c r="AR143" s="18">
        <v>5.1426614581553896</v>
      </c>
      <c r="AS143" s="18">
        <v>2.2743073926012976</v>
      </c>
      <c r="AT143" s="18">
        <v>2.1200529709031137</v>
      </c>
      <c r="AU143" s="18">
        <v>5.9774531193753822</v>
      </c>
      <c r="AV143" s="18"/>
      <c r="AX143" s="18"/>
      <c r="AY143" s="18"/>
      <c r="AZ143" s="18"/>
      <c r="BA143" s="18"/>
    </row>
    <row r="144" spans="1:59" x14ac:dyDescent="0.3">
      <c r="E144" t="s">
        <v>79</v>
      </c>
      <c r="AX144" s="18"/>
      <c r="AY144" s="18"/>
      <c r="AZ144" s="18"/>
      <c r="BA144" s="18"/>
    </row>
    <row r="145" spans="1:59" s="12" customFormat="1" x14ac:dyDescent="0.3">
      <c r="A145" s="12" t="s">
        <v>90</v>
      </c>
      <c r="B145" s="12" t="s">
        <v>43</v>
      </c>
      <c r="C145" s="12" t="s">
        <v>96</v>
      </c>
      <c r="E145" s="12" t="s">
        <v>73</v>
      </c>
      <c r="G145" s="12" t="s">
        <v>74</v>
      </c>
      <c r="H145" s="12" t="s">
        <v>75</v>
      </c>
      <c r="I145" s="12">
        <v>2005</v>
      </c>
      <c r="J145" s="12" t="s">
        <v>54</v>
      </c>
      <c r="L145" s="22">
        <v>0.67</v>
      </c>
      <c r="M145" s="22">
        <v>5.91</v>
      </c>
      <c r="N145" s="22">
        <v>5.94</v>
      </c>
      <c r="O145" s="22">
        <v>0.53</v>
      </c>
      <c r="P145" s="22">
        <v>1.79</v>
      </c>
      <c r="Q145" s="22">
        <v>5.36</v>
      </c>
      <c r="R145" s="22">
        <v>0</v>
      </c>
      <c r="S145" s="22">
        <v>0.41</v>
      </c>
      <c r="T145" s="22">
        <v>16.23</v>
      </c>
      <c r="U145" s="22">
        <v>0.56999999999999995</v>
      </c>
      <c r="V145" s="22">
        <v>2.02</v>
      </c>
      <c r="W145" s="22">
        <v>1.73</v>
      </c>
      <c r="X145" s="22">
        <v>0</v>
      </c>
      <c r="Y145" s="22">
        <v>5.92</v>
      </c>
      <c r="Z145" s="22">
        <v>0.19</v>
      </c>
      <c r="AA145" s="13">
        <v>1.03</v>
      </c>
      <c r="AB145" s="22">
        <v>0.01</v>
      </c>
      <c r="AC145" s="22">
        <v>0.45</v>
      </c>
      <c r="AD145" s="22">
        <v>0</v>
      </c>
      <c r="AE145" s="22">
        <v>4.7699999999999996</v>
      </c>
      <c r="AF145" s="22">
        <v>0.57999999999999996</v>
      </c>
      <c r="AG145" s="22">
        <v>0.39</v>
      </c>
      <c r="AH145" s="22">
        <v>3.43</v>
      </c>
      <c r="AI145" s="22">
        <v>4.46</v>
      </c>
      <c r="AJ145" s="22">
        <v>0.78</v>
      </c>
      <c r="AK145" s="22">
        <v>0</v>
      </c>
      <c r="AL145" s="22">
        <v>4.34</v>
      </c>
      <c r="AM145" s="22">
        <v>10.08</v>
      </c>
      <c r="AN145" s="22">
        <v>1.7</v>
      </c>
      <c r="AO145" s="22">
        <v>10.96</v>
      </c>
      <c r="AP145" s="22">
        <v>8.56</v>
      </c>
      <c r="AQ145" s="22">
        <v>4.24</v>
      </c>
      <c r="AR145" s="22">
        <v>3.1</v>
      </c>
      <c r="AS145" s="22">
        <v>0.85</v>
      </c>
      <c r="AT145" s="22">
        <v>0.15</v>
      </c>
      <c r="AU145" s="22">
        <v>0.61</v>
      </c>
      <c r="AV145" s="22"/>
      <c r="AX145" s="13"/>
    </row>
    <row r="146" spans="1:59" s="12" customFormat="1" x14ac:dyDescent="0.3">
      <c r="A146" s="12" t="s">
        <v>90</v>
      </c>
      <c r="B146" s="12" t="s">
        <v>43</v>
      </c>
      <c r="C146" s="12" t="s">
        <v>96</v>
      </c>
      <c r="E146" s="12" t="s">
        <v>73</v>
      </c>
      <c r="G146" s="12" t="s">
        <v>74</v>
      </c>
      <c r="H146" s="12" t="s">
        <v>75</v>
      </c>
      <c r="I146" s="12">
        <v>2010</v>
      </c>
      <c r="J146" s="12" t="s">
        <v>54</v>
      </c>
      <c r="L146" s="22">
        <v>0.71</v>
      </c>
      <c r="M146" s="22">
        <v>6.5</v>
      </c>
      <c r="N146" s="22">
        <v>5.85</v>
      </c>
      <c r="O146" s="22">
        <v>0.51</v>
      </c>
      <c r="P146" s="22">
        <v>1.9</v>
      </c>
      <c r="Q146" s="22">
        <v>5.69</v>
      </c>
      <c r="R146" s="22">
        <v>0</v>
      </c>
      <c r="S146" s="22">
        <v>0.38</v>
      </c>
      <c r="T146" s="22">
        <v>17.239999999999998</v>
      </c>
      <c r="U146" s="22">
        <v>0.51</v>
      </c>
      <c r="V146" s="22">
        <v>1.92</v>
      </c>
      <c r="W146" s="22">
        <v>1.78</v>
      </c>
      <c r="X146" s="22">
        <v>0</v>
      </c>
      <c r="Y146" s="22">
        <v>6.26</v>
      </c>
      <c r="Z146" s="22">
        <v>0.17</v>
      </c>
      <c r="AA146" s="13">
        <v>0.95</v>
      </c>
      <c r="AB146" s="22">
        <v>0.01</v>
      </c>
      <c r="AC146" s="22">
        <v>0.43</v>
      </c>
      <c r="AD146" s="22">
        <v>0</v>
      </c>
      <c r="AE146" s="22">
        <v>4.62</v>
      </c>
      <c r="AF146" s="22">
        <v>0.52</v>
      </c>
      <c r="AG146" s="22">
        <v>0.41</v>
      </c>
      <c r="AH146" s="22">
        <v>3.23</v>
      </c>
      <c r="AI146" s="22">
        <v>4.74</v>
      </c>
      <c r="AJ146" s="22">
        <v>0.83</v>
      </c>
      <c r="AK146" s="22">
        <v>0</v>
      </c>
      <c r="AL146" s="22">
        <v>3.92</v>
      </c>
      <c r="AM146" s="22">
        <v>10.7</v>
      </c>
      <c r="AN146" s="22">
        <v>1.92</v>
      </c>
      <c r="AO146" s="22">
        <v>10.38</v>
      </c>
      <c r="AP146" s="22">
        <v>8.5399999999999991</v>
      </c>
      <c r="AQ146" s="22">
        <v>4.51</v>
      </c>
      <c r="AR146" s="22">
        <v>3.8</v>
      </c>
      <c r="AS146" s="22">
        <v>0.75</v>
      </c>
      <c r="AT146" s="22">
        <v>0.14000000000000001</v>
      </c>
      <c r="AU146" s="22">
        <v>0.59</v>
      </c>
      <c r="AV146" s="22"/>
      <c r="AW146" s="13">
        <f>SUM(M146:O146,R146:AC146,AE146:AH146,AK146:AL146,AN146:AP146,AR146:AU146)</f>
        <v>81.329999999999984</v>
      </c>
      <c r="BC146" s="13">
        <f>AW146-AU146</f>
        <v>80.739999999999981</v>
      </c>
    </row>
    <row r="147" spans="1:59" s="12" customFormat="1" x14ac:dyDescent="0.3">
      <c r="A147" s="12" t="s">
        <v>90</v>
      </c>
      <c r="B147" s="12" t="s">
        <v>43</v>
      </c>
      <c r="C147" s="12" t="s">
        <v>96</v>
      </c>
      <c r="E147" s="12" t="s">
        <v>73</v>
      </c>
      <c r="G147" s="12" t="s">
        <v>74</v>
      </c>
      <c r="H147" s="12" t="s">
        <v>75</v>
      </c>
      <c r="I147" s="12">
        <v>2020</v>
      </c>
      <c r="J147" s="12" t="s">
        <v>54</v>
      </c>
      <c r="L147" s="22">
        <v>0.86</v>
      </c>
      <c r="M147" s="22">
        <v>7.61</v>
      </c>
      <c r="N147" s="22">
        <v>5.65</v>
      </c>
      <c r="O147" s="22">
        <v>0.46</v>
      </c>
      <c r="P147" s="22">
        <v>2.31</v>
      </c>
      <c r="Q147" s="22">
        <v>5.32</v>
      </c>
      <c r="R147" s="22">
        <v>0</v>
      </c>
      <c r="S147" s="22">
        <v>0.3</v>
      </c>
      <c r="T147" s="22">
        <v>19.29</v>
      </c>
      <c r="U147" s="22">
        <v>0.38</v>
      </c>
      <c r="V147" s="22">
        <v>1.63</v>
      </c>
      <c r="W147" s="22">
        <v>1.88</v>
      </c>
      <c r="X147" s="22">
        <v>0</v>
      </c>
      <c r="Y147" s="22">
        <v>7.02</v>
      </c>
      <c r="Z147" s="22">
        <v>0.15</v>
      </c>
      <c r="AA147" s="13">
        <v>0.8</v>
      </c>
      <c r="AB147" s="22">
        <v>0.01</v>
      </c>
      <c r="AC147" s="22">
        <v>0.35</v>
      </c>
      <c r="AD147" s="22">
        <v>0</v>
      </c>
      <c r="AE147" s="22">
        <v>4.2699999999999996</v>
      </c>
      <c r="AF147" s="22">
        <v>0.41</v>
      </c>
      <c r="AG147" s="22">
        <v>0.43</v>
      </c>
      <c r="AH147" s="22">
        <v>2.73</v>
      </c>
      <c r="AI147" s="22">
        <v>5.76</v>
      </c>
      <c r="AJ147" s="22">
        <v>1.01</v>
      </c>
      <c r="AK147" s="22">
        <v>0</v>
      </c>
      <c r="AL147" s="22">
        <v>3.04</v>
      </c>
      <c r="AM147" s="22">
        <v>10.8</v>
      </c>
      <c r="AN147" s="22">
        <v>2.33</v>
      </c>
      <c r="AO147" s="22">
        <v>8.83</v>
      </c>
      <c r="AP147" s="22">
        <v>8.43</v>
      </c>
      <c r="AQ147" s="22">
        <v>5.47</v>
      </c>
      <c r="AR147" s="22">
        <v>4.9000000000000004</v>
      </c>
      <c r="AS147" s="22">
        <v>0.55000000000000004</v>
      </c>
      <c r="AT147" s="22">
        <v>0.14000000000000001</v>
      </c>
      <c r="AU147" s="22">
        <v>0.55000000000000004</v>
      </c>
      <c r="AV147" s="22"/>
      <c r="AX147" s="13">
        <f>SUM(M147:O147,R147:AC147,AE147:AH147,AK147:AL147,AN147:AP147,AR147:AU147)</f>
        <v>82.14</v>
      </c>
      <c r="BD147" s="13">
        <f>AX147-AU147</f>
        <v>81.59</v>
      </c>
    </row>
    <row r="148" spans="1:59" s="12" customFormat="1" x14ac:dyDescent="0.3">
      <c r="A148" s="12" t="s">
        <v>90</v>
      </c>
      <c r="B148" s="12" t="s">
        <v>43</v>
      </c>
      <c r="C148" s="12" t="s">
        <v>96</v>
      </c>
      <c r="E148" s="12" t="s">
        <v>73</v>
      </c>
      <c r="G148" s="12" t="s">
        <v>74</v>
      </c>
      <c r="H148" s="12" t="s">
        <v>75</v>
      </c>
      <c r="I148" s="12">
        <v>2030</v>
      </c>
      <c r="J148" s="12" t="s">
        <v>54</v>
      </c>
      <c r="L148" s="22">
        <v>1.02</v>
      </c>
      <c r="M148" s="29">
        <f>M317*[1]bioshares!D88</f>
        <v>7.3848697249405877</v>
      </c>
      <c r="N148" s="29">
        <f>N317*[1]bioshares!E88</f>
        <v>4.5968739636147031</v>
      </c>
      <c r="O148" s="29">
        <f>O317*[1]bioshares!F88</f>
        <v>0.35679707659825305</v>
      </c>
      <c r="P148" s="22">
        <v>2.71</v>
      </c>
      <c r="Q148" s="22">
        <v>4.99</v>
      </c>
      <c r="R148" s="29">
        <f>R317*[1]bioshares!I88</f>
        <v>0</v>
      </c>
      <c r="S148" s="29">
        <f>S317*[1]bioshares!J88</f>
        <v>0.22403537367797291</v>
      </c>
      <c r="T148" s="29">
        <f>T317*[1]bioshares!K88</f>
        <v>17.55773521120706</v>
      </c>
      <c r="U148" s="29">
        <f>U317*[1]bioshares!L88</f>
        <v>0.24063058654300787</v>
      </c>
      <c r="V148" s="29">
        <f>V317*[1]bioshares!M88</f>
        <v>1.277831390607697</v>
      </c>
      <c r="W148" s="29">
        <f>W317*[1]bioshares!N88</f>
        <v>1.6429260736384677</v>
      </c>
      <c r="X148" s="29">
        <f>X317*[1]bioshares!O88</f>
        <v>0</v>
      </c>
      <c r="Y148" s="29">
        <f>Y317*[1]bioshares!P88</f>
        <v>6.2978832822807922</v>
      </c>
      <c r="Z148" s="29">
        <f>Z317*[1]bioshares!Q88</f>
        <v>0.10786888362272767</v>
      </c>
      <c r="AA148" s="14">
        <f>AA317*[1]bioshares!R88</f>
        <v>0.53934441811363842</v>
      </c>
      <c r="AB148" s="29">
        <f>AB317*[1]bioshares!S88</f>
        <v>8.2976064325175139E-3</v>
      </c>
      <c r="AC148" s="29">
        <f>AC317*[1]bioshares!T88</f>
        <v>0.29041622513811299</v>
      </c>
      <c r="AD148" s="22">
        <v>0</v>
      </c>
      <c r="AE148" s="29">
        <f>AE317*[1]bioshares!V88</f>
        <v>3.3605306051695933</v>
      </c>
      <c r="AF148" s="29">
        <f>AF317*[1]bioshares!W88</f>
        <v>0.26552340584056044</v>
      </c>
      <c r="AG148" s="29">
        <f>AG317*[1]bioshares!X88</f>
        <v>0.38998750232832313</v>
      </c>
      <c r="AH148" s="29">
        <f>AH317*[1]bioshares!Y88</f>
        <v>2.049508788831826</v>
      </c>
      <c r="AI148" s="22">
        <v>6.79</v>
      </c>
      <c r="AJ148" s="22">
        <v>1.19</v>
      </c>
      <c r="AK148" s="29">
        <f>AK317*[1]bioshares!AB88</f>
        <v>0</v>
      </c>
      <c r="AL148" s="29">
        <f>AL317*[1]bioshares!AC88</f>
        <v>1.8586638408839233</v>
      </c>
      <c r="AM148" s="22">
        <v>10.3</v>
      </c>
      <c r="AN148" s="29">
        <f>AN317*[1]bioshares!AE88</f>
        <v>2.3150321946723866</v>
      </c>
      <c r="AO148" s="29">
        <f>AO317*[1]bioshares!AF88</f>
        <v>6.8953109454220556</v>
      </c>
      <c r="AP148" s="29">
        <f>AP317*[1]bioshares!AG88</f>
        <v>7.0778582869374382</v>
      </c>
      <c r="AQ148" s="29">
        <f>AQ317*[1]bioshares!AH88</f>
        <v>0</v>
      </c>
      <c r="AR148" s="29">
        <f>AR317*[1]bioshares!AI88</f>
        <v>5.5593963097867345</v>
      </c>
      <c r="AS148" s="29">
        <f>AS317*[1]bioshares!AJ88</f>
        <v>0.28211861870559546</v>
      </c>
      <c r="AT148" s="29">
        <f>AT317*[1]bioshares!AK88</f>
        <v>9.9571277190210167E-2</v>
      </c>
      <c r="AU148" s="22">
        <v>0.55000000000000004</v>
      </c>
      <c r="AV148" s="22"/>
      <c r="AY148" s="13">
        <f>SUM(M148:O148,R148:AC148,AE148:AH148,AK148:AL148,AN148:AP148,AR148:AU148)</f>
        <v>71.229011592184179</v>
      </c>
      <c r="BE148" s="13">
        <f>AY148-AU148</f>
        <v>70.679011592184182</v>
      </c>
    </row>
    <row r="149" spans="1:59" s="12" customFormat="1" x14ac:dyDescent="0.3">
      <c r="A149" s="12" t="s">
        <v>90</v>
      </c>
      <c r="B149" s="12" t="s">
        <v>43</v>
      </c>
      <c r="C149" s="12" t="s">
        <v>96</v>
      </c>
      <c r="E149" s="12" t="s">
        <v>73</v>
      </c>
      <c r="G149" s="12" t="s">
        <v>74</v>
      </c>
      <c r="H149" s="12" t="s">
        <v>75</v>
      </c>
      <c r="I149" s="12">
        <v>2040</v>
      </c>
      <c r="J149" s="12" t="s">
        <v>54</v>
      </c>
      <c r="L149" s="22">
        <v>1.51</v>
      </c>
      <c r="M149" s="29">
        <f>M318*[1]bioshares!D89</f>
        <v>13.004766147823272</v>
      </c>
      <c r="N149" s="29">
        <f>N318*[1]bioshares!E89</f>
        <v>6.9160535676793726</v>
      </c>
      <c r="O149" s="29">
        <f>O318*[1]bioshares!F89</f>
        <v>0.50416091427943099</v>
      </c>
      <c r="P149" s="22">
        <v>4.0199999999999996</v>
      </c>
      <c r="Q149" s="22">
        <v>7.35</v>
      </c>
      <c r="R149" s="29">
        <f>R318*[1]bioshares!I89</f>
        <v>0</v>
      </c>
      <c r="S149" s="29">
        <f>S318*[1]bioshares!J89</f>
        <v>0.25854405860483642</v>
      </c>
      <c r="T149" s="29">
        <f>T318*[1]bioshares!K89</f>
        <v>30.133310030393684</v>
      </c>
      <c r="U149" s="29">
        <f>U318*[1]bioshares!L89</f>
        <v>0.20683524688386912</v>
      </c>
      <c r="V149" s="29">
        <f>V318*[1]bioshares!M89</f>
        <v>1.6546819750709534</v>
      </c>
      <c r="W149" s="29">
        <f>W318*[1]bioshares!N89</f>
        <v>2.6888582094902986</v>
      </c>
      <c r="X149" s="29">
        <f>X318*[1]bioshares!O89</f>
        <v>0</v>
      </c>
      <c r="Y149" s="29">
        <f>Y318*[1]bioshares!P89</f>
        <v>10.768360040891436</v>
      </c>
      <c r="Z149" s="29">
        <f>Z318*[1]bioshares!Q89</f>
        <v>0.12927202930241818</v>
      </c>
      <c r="AA149" s="14">
        <f>AA318*[1]bioshares!R89</f>
        <v>0.63343294358184921</v>
      </c>
      <c r="AB149" s="29">
        <f>AB318*[1]bioshares!S89</f>
        <v>1.292720293024182E-2</v>
      </c>
      <c r="AC149" s="29">
        <f>AC318*[1]bioshares!T89</f>
        <v>0.38781608790725458</v>
      </c>
      <c r="AD149" s="22">
        <v>0</v>
      </c>
      <c r="AE149" s="29">
        <f>AE318*[1]bioshares!V89</f>
        <v>4.8218466929801993</v>
      </c>
      <c r="AF149" s="29">
        <f>AF318*[1]bioshares!W89</f>
        <v>0.25854405860483642</v>
      </c>
      <c r="AG149" s="29">
        <f>AG318*[1]bioshares!X89</f>
        <v>0.64636014651209106</v>
      </c>
      <c r="AH149" s="29">
        <f>AH318*[1]bioshares!Y89</f>
        <v>2.5854405860483642</v>
      </c>
      <c r="AI149" s="22">
        <v>10.06</v>
      </c>
      <c r="AJ149" s="22">
        <v>1.76</v>
      </c>
      <c r="AK149" s="29">
        <f>AK318*[1]bioshares!AB89</f>
        <v>0</v>
      </c>
      <c r="AL149" s="29">
        <f>AL318*[1]bioshares!AC89</f>
        <v>1.7580995985128876</v>
      </c>
      <c r="AM149" s="22">
        <v>14.4</v>
      </c>
      <c r="AN149" s="29">
        <f>AN318*[1]bioshares!AE89</f>
        <v>4.1367049376773828</v>
      </c>
      <c r="AO149" s="29">
        <f>AO318*[1]bioshares!AF89</f>
        <v>8.9326972247970975</v>
      </c>
      <c r="AP149" s="29">
        <f>AP318*[1]bioshares!AG89</f>
        <v>10.910559273124095</v>
      </c>
      <c r="AQ149" s="29">
        <f>AQ318*[1]bioshares!AH89</f>
        <v>0</v>
      </c>
      <c r="AR149" s="29">
        <f>AR318*[1]bioshares!AI89</f>
        <v>10.341762344193457</v>
      </c>
      <c r="AS149" s="29">
        <f>AS318*[1]bioshares!AJ89</f>
        <v>0.18098084102338552</v>
      </c>
      <c r="AT149" s="29">
        <f>AT318*[1]bioshares!AK89</f>
        <v>0.14219923223266004</v>
      </c>
      <c r="AU149" s="22">
        <v>0.52</v>
      </c>
      <c r="AV149" s="22"/>
      <c r="AY149" s="13"/>
      <c r="AZ149" s="13">
        <f>SUM(M149:O149,R149:AC149,AE149:AH149,AK149:AL149,AN149:AP149,AR149:AU149)</f>
        <v>112.53421339054536</v>
      </c>
      <c r="BF149" s="13">
        <f>AZ149-AU149</f>
        <v>112.01421339054536</v>
      </c>
    </row>
    <row r="150" spans="1:59" s="15" customFormat="1" x14ac:dyDescent="0.3">
      <c r="A150" s="15" t="s">
        <v>90</v>
      </c>
      <c r="B150" s="15" t="s">
        <v>43</v>
      </c>
      <c r="C150" s="15" t="s">
        <v>96</v>
      </c>
      <c r="E150" s="15" t="s">
        <v>73</v>
      </c>
      <c r="G150" s="15" t="s">
        <v>74</v>
      </c>
      <c r="H150" s="15" t="s">
        <v>75</v>
      </c>
      <c r="I150" s="15">
        <v>2050</v>
      </c>
      <c r="J150" s="15" t="s">
        <v>54</v>
      </c>
      <c r="L150" s="23">
        <v>1.64</v>
      </c>
      <c r="M150" s="32">
        <f>M319*[1]bioshares!D90</f>
        <v>9.0380743999337092</v>
      </c>
      <c r="N150" s="32">
        <f>N319*[1]bioshares!E90</f>
        <v>4.1732745672291776</v>
      </c>
      <c r="O150" s="32">
        <f>O319*[1]bioshares!F90</f>
        <v>0.28143470106555141</v>
      </c>
      <c r="P150" s="23">
        <v>4.37</v>
      </c>
      <c r="Q150" s="23">
        <v>8.84</v>
      </c>
      <c r="R150" s="32">
        <f>R319*[1]bioshares!I90</f>
        <v>0</v>
      </c>
      <c r="S150" s="32">
        <f>S319*[1]bioshares!J90</f>
        <v>0.10453288896720482</v>
      </c>
      <c r="T150" s="32">
        <f>T319*[1]bioshares!K90</f>
        <v>20.367831365686907</v>
      </c>
      <c r="U150" s="32">
        <f>U319*[1]bioshares!L90</f>
        <v>4.020495729507878E-2</v>
      </c>
      <c r="V150" s="32">
        <f>V319*[1]bioshares!M90</f>
        <v>0.85234509465566999</v>
      </c>
      <c r="W150" s="32">
        <f>W319*[1]bioshares!N90</f>
        <v>1.7529361380654347</v>
      </c>
      <c r="X150" s="32">
        <f>X319*[1]bioshares!O90</f>
        <v>0</v>
      </c>
      <c r="Y150" s="32">
        <f>Y319*[1]bioshares!P90</f>
        <v>7.2529742960322103</v>
      </c>
      <c r="Z150" s="32">
        <f>Z319*[1]bioshares!Q90</f>
        <v>6.432793167212604E-2</v>
      </c>
      <c r="AA150" s="17">
        <f>AA319*[1]bioshares!R90</f>
        <v>0.2733937096065357</v>
      </c>
      <c r="AB150" s="32">
        <f>AB319*[1]bioshares!S90</f>
        <v>8.0409914590157533E-3</v>
      </c>
      <c r="AC150" s="32">
        <f>AC319*[1]bioshares!T90</f>
        <v>0.20102478647539385</v>
      </c>
      <c r="AD150" s="23">
        <v>0</v>
      </c>
      <c r="AE150" s="32">
        <f>AE319*[1]bioshares!V90</f>
        <v>2.7580600704424039</v>
      </c>
      <c r="AF150" s="32">
        <f>AF319*[1]bioshares!W90</f>
        <v>8.0409914590157561E-2</v>
      </c>
      <c r="AG150" s="32">
        <f>AG319*[1]bioshares!X90</f>
        <v>0.42617254732783505</v>
      </c>
      <c r="AH150" s="32">
        <f>AH319*[1]bioshares!Y90</f>
        <v>1.2785176419835049</v>
      </c>
      <c r="AI150" s="23">
        <v>10.93</v>
      </c>
      <c r="AJ150" s="23">
        <v>1.91</v>
      </c>
      <c r="AK150" s="32">
        <f>AK319*[1]bioshares!AB90</f>
        <v>0</v>
      </c>
      <c r="AL150" s="32">
        <f>AL319*[1]bioshares!AC90</f>
        <v>0.40204957295078775</v>
      </c>
      <c r="AM150" s="23">
        <v>15.7</v>
      </c>
      <c r="AN150" s="32">
        <f>AN319*[1]bioshares!AE90</f>
        <v>2.9188798996227194</v>
      </c>
      <c r="AO150" s="32">
        <f>AO319*[1]bioshares!AF90</f>
        <v>4.6235700889340583</v>
      </c>
      <c r="AP150" s="32">
        <f>AP319*[1]bioshares!AG90</f>
        <v>6.7624738170322498</v>
      </c>
      <c r="AQ150" s="32">
        <f>AQ319*[1]bioshares!AH90</f>
        <v>0</v>
      </c>
      <c r="AR150" s="32">
        <f>AR319*[1]bioshares!AI90</f>
        <v>7.5585319714748094</v>
      </c>
      <c r="AS150" s="32">
        <f>AS319*[1]bioshares!AJ90</f>
        <v>0</v>
      </c>
      <c r="AT150" s="32">
        <f>AT319*[1]bioshares!AK90</f>
        <v>8.0409914590157561E-2</v>
      </c>
      <c r="AU150" s="23">
        <v>0.49</v>
      </c>
      <c r="AV150" s="23"/>
      <c r="AY150" s="16"/>
      <c r="AZ150" s="16"/>
      <c r="BA150" s="16">
        <f>SUM(M150:O150,R150:AC150,AE150:AH150,AK150:AL150,AN150:AP150,AR150:AU150)</f>
        <v>71.789471267092708</v>
      </c>
      <c r="BG150" s="16">
        <f>BA150-AU150</f>
        <v>71.299471267092713</v>
      </c>
    </row>
    <row r="151" spans="1:59" x14ac:dyDescent="0.3">
      <c r="A151" t="s">
        <v>90</v>
      </c>
      <c r="B151" t="s">
        <v>43</v>
      </c>
      <c r="C151" t="s">
        <v>96</v>
      </c>
      <c r="F151" t="s">
        <v>77</v>
      </c>
      <c r="H151" t="s">
        <v>78</v>
      </c>
      <c r="I151">
        <v>2005</v>
      </c>
      <c r="J151" t="s">
        <v>54</v>
      </c>
      <c r="L151" s="18">
        <v>1.9463607719129685</v>
      </c>
      <c r="M151" s="18">
        <v>2.8214183464343474</v>
      </c>
      <c r="N151" s="18">
        <v>2.276818161325612</v>
      </c>
      <c r="O151" s="18">
        <v>2.7062903459492413</v>
      </c>
      <c r="P151" s="18">
        <v>1.9463607719129685</v>
      </c>
      <c r="Q151" s="18">
        <v>2.8214183464343474</v>
      </c>
      <c r="R151" s="18">
        <v>2.7816238287557935</v>
      </c>
      <c r="S151" s="18">
        <v>3.0093899780443483</v>
      </c>
      <c r="T151" s="18">
        <v>3.4906586236515906</v>
      </c>
      <c r="U151" s="18">
        <v>3.0029067011031878</v>
      </c>
      <c r="V151" s="18">
        <v>2.1147980477924158</v>
      </c>
      <c r="W151" s="18">
        <v>3.0302685694822413</v>
      </c>
      <c r="X151" s="18">
        <v>2.5812043442644308</v>
      </c>
      <c r="Y151" s="18">
        <v>3.1317038432821001</v>
      </c>
      <c r="Z151" s="18">
        <v>2.7816238287557935</v>
      </c>
      <c r="AA151" s="18">
        <v>1.9984924975121034</v>
      </c>
      <c r="AB151" s="18">
        <v>3.0566119163467698</v>
      </c>
      <c r="AC151" s="18">
        <v>4.1709585782895822</v>
      </c>
      <c r="AD151" s="18">
        <v>0</v>
      </c>
      <c r="AE151" s="18">
        <v>3.2820001715452638</v>
      </c>
      <c r="AF151" s="18">
        <v>2.0239815864000219</v>
      </c>
      <c r="AG151" s="18">
        <v>2.8589633191402815</v>
      </c>
      <c r="AH151" s="18">
        <v>1.8075019407970463</v>
      </c>
      <c r="AI151" s="18">
        <v>1.9463607719129685</v>
      </c>
      <c r="AJ151" s="18">
        <v>1.9463607719129685</v>
      </c>
      <c r="AK151" s="18">
        <v>0</v>
      </c>
      <c r="AL151" s="18">
        <v>2.9839592815966705</v>
      </c>
      <c r="AM151" s="18">
        <v>2.8898552802351656</v>
      </c>
      <c r="AN151" s="18">
        <v>3.0031622662300994</v>
      </c>
      <c r="AO151" s="18">
        <v>2.8535445048662407</v>
      </c>
      <c r="AP151" s="18">
        <v>1.9463607719129685</v>
      </c>
      <c r="AQ151" s="18">
        <v>1.9463607719129685</v>
      </c>
      <c r="AR151" s="18">
        <v>2.8458065359927405</v>
      </c>
      <c r="AS151" s="18">
        <v>2.489119308602918</v>
      </c>
      <c r="AT151" s="18">
        <v>2.455043714993236</v>
      </c>
      <c r="AU151" s="18">
        <v>2.2670373991448289</v>
      </c>
      <c r="AV151" s="18"/>
    </row>
    <row r="152" spans="1:59" x14ac:dyDescent="0.3">
      <c r="A152" t="s">
        <v>90</v>
      </c>
      <c r="B152" t="s">
        <v>43</v>
      </c>
      <c r="C152" t="s">
        <v>96</v>
      </c>
      <c r="F152" t="s">
        <v>77</v>
      </c>
      <c r="H152" t="s">
        <v>78</v>
      </c>
      <c r="I152">
        <v>2010</v>
      </c>
      <c r="J152" t="s">
        <v>54</v>
      </c>
      <c r="L152" s="37">
        <v>1.9463607719129685</v>
      </c>
      <c r="M152" s="18">
        <v>2.8214183464343474</v>
      </c>
      <c r="N152" s="18">
        <v>2.276818161325612</v>
      </c>
      <c r="O152" s="18">
        <v>2.7062903459492413</v>
      </c>
      <c r="P152" s="37">
        <v>1.9463607719129685</v>
      </c>
      <c r="Q152" s="18">
        <v>2.8214183464343474</v>
      </c>
      <c r="R152" s="18">
        <v>2.7816238287557935</v>
      </c>
      <c r="S152" s="18">
        <v>3.0093899780443483</v>
      </c>
      <c r="T152" s="18">
        <v>3.4906586236515906</v>
      </c>
      <c r="U152" s="18">
        <v>3.0029067011031878</v>
      </c>
      <c r="V152" s="18">
        <v>2.1147980477924158</v>
      </c>
      <c r="W152" s="18">
        <v>3.0302685694822413</v>
      </c>
      <c r="X152" s="18">
        <v>2.5812043442644308</v>
      </c>
      <c r="Y152" s="18">
        <v>3.1317038432821001</v>
      </c>
      <c r="Z152" s="18">
        <v>2.7816238287557935</v>
      </c>
      <c r="AA152" s="18">
        <v>1.9984924975121034</v>
      </c>
      <c r="AB152" s="18">
        <v>3.0566119163467698</v>
      </c>
      <c r="AC152" s="18">
        <v>4.1709585782895822</v>
      </c>
      <c r="AD152" s="18">
        <v>0</v>
      </c>
      <c r="AE152" s="18">
        <v>3.2820001715452638</v>
      </c>
      <c r="AF152" s="18">
        <v>2.0239815864000219</v>
      </c>
      <c r="AG152" s="18">
        <v>2.8589633191402815</v>
      </c>
      <c r="AH152" s="18">
        <v>1.8075019407970463</v>
      </c>
      <c r="AI152" s="37">
        <v>1.9463607719129685</v>
      </c>
      <c r="AJ152" s="37">
        <v>1.9463607719129685</v>
      </c>
      <c r="AK152" s="18">
        <v>0</v>
      </c>
      <c r="AL152" s="18">
        <v>2.9839592815966705</v>
      </c>
      <c r="AM152" s="18">
        <v>2.8898552802351656</v>
      </c>
      <c r="AN152" s="18">
        <v>3.0031622662300994</v>
      </c>
      <c r="AO152" s="18">
        <v>2.8535445048662407</v>
      </c>
      <c r="AP152" s="18">
        <v>1.9463607719129685</v>
      </c>
      <c r="AQ152" s="37">
        <v>1.9463607719129685</v>
      </c>
      <c r="AR152" s="18">
        <v>2.8458065359927405</v>
      </c>
      <c r="AS152" s="18">
        <v>2.489119308602918</v>
      </c>
      <c r="AT152" s="18">
        <v>2.455043714993236</v>
      </c>
      <c r="AU152" s="18">
        <v>2.2670373991448289</v>
      </c>
      <c r="AV152" s="18"/>
      <c r="AX152" s="18"/>
      <c r="AY152" s="18"/>
      <c r="AZ152" s="18"/>
      <c r="BA152" s="18"/>
    </row>
    <row r="153" spans="1:59" x14ac:dyDescent="0.3">
      <c r="A153" t="s">
        <v>90</v>
      </c>
      <c r="B153" t="s">
        <v>43</v>
      </c>
      <c r="C153" t="s">
        <v>96</v>
      </c>
      <c r="F153" t="s">
        <v>77</v>
      </c>
      <c r="H153" t="s">
        <v>78</v>
      </c>
      <c r="I153">
        <v>2020</v>
      </c>
      <c r="J153" t="s">
        <v>54</v>
      </c>
      <c r="L153" s="37">
        <v>1.81392980052436</v>
      </c>
      <c r="M153" s="18">
        <v>2.6332505586303441</v>
      </c>
      <c r="N153" s="18">
        <v>2.1329049398352842</v>
      </c>
      <c r="O153" s="18">
        <v>2.5149367723061911</v>
      </c>
      <c r="P153" s="37">
        <v>1.81392980052436</v>
      </c>
      <c r="Q153" s="18">
        <v>2.6332505586303441</v>
      </c>
      <c r="R153" s="18">
        <v>0</v>
      </c>
      <c r="S153" s="18">
        <v>2.7968241692448879</v>
      </c>
      <c r="T153" s="18">
        <v>3.2487622797597164</v>
      </c>
      <c r="U153" s="18">
        <v>2.811734338689722</v>
      </c>
      <c r="V153" s="18">
        <v>1.9732163005049816</v>
      </c>
      <c r="W153" s="18">
        <v>2.8228208271336808</v>
      </c>
      <c r="X153" s="18">
        <v>2.4144956773917445</v>
      </c>
      <c r="Y153" s="18">
        <v>2.919257806817984</v>
      </c>
      <c r="Z153" s="18">
        <v>2.592564621272694</v>
      </c>
      <c r="AA153" s="18">
        <v>1.8409859240131965</v>
      </c>
      <c r="AB153" s="18">
        <v>2.8395397009014145</v>
      </c>
      <c r="AC153" s="18">
        <v>3.8763539723277032</v>
      </c>
      <c r="AD153" s="18">
        <v>0</v>
      </c>
      <c r="AE153" s="18">
        <v>3.0603825043648905</v>
      </c>
      <c r="AF153" s="18">
        <v>1.8869774584722425</v>
      </c>
      <c r="AG153" s="18">
        <v>2.6676153019773552</v>
      </c>
      <c r="AH153" s="18">
        <v>1.6888082903078843</v>
      </c>
      <c r="AI153" s="37">
        <v>1.81392980052436</v>
      </c>
      <c r="AJ153" s="37">
        <v>1.81392980052436</v>
      </c>
      <c r="AK153" s="18">
        <v>0</v>
      </c>
      <c r="AL153" s="18">
        <v>2.7867295753265893</v>
      </c>
      <c r="AM153" s="18">
        <v>2.9211007179709316</v>
      </c>
      <c r="AN153" s="18">
        <v>2.7900565716966788</v>
      </c>
      <c r="AO153" s="18">
        <v>2.6553310795271869</v>
      </c>
      <c r="AP153" s="18">
        <v>1.81392980052436</v>
      </c>
      <c r="AQ153" s="37">
        <v>1.81392980052436</v>
      </c>
      <c r="AR153" s="18">
        <v>2.6607631022366882</v>
      </c>
      <c r="AS153" s="18">
        <v>2.3207233129233833</v>
      </c>
      <c r="AT153" s="18">
        <v>2.2866520932974987</v>
      </c>
      <c r="AU153" s="18">
        <v>2.0392767205662903</v>
      </c>
      <c r="AV153" s="18"/>
      <c r="AX153" s="18"/>
      <c r="AY153" s="18"/>
      <c r="AZ153" s="18"/>
      <c r="BA153" s="18"/>
    </row>
    <row r="154" spans="1:59" x14ac:dyDescent="0.3">
      <c r="A154" t="s">
        <v>90</v>
      </c>
      <c r="B154" t="s">
        <v>43</v>
      </c>
      <c r="C154" t="s">
        <v>96</v>
      </c>
      <c r="F154" t="s">
        <v>77</v>
      </c>
      <c r="H154" t="s">
        <v>78</v>
      </c>
      <c r="I154">
        <v>2030</v>
      </c>
      <c r="J154" t="s">
        <v>54</v>
      </c>
      <c r="L154" s="37">
        <v>1.6591455388232039</v>
      </c>
      <c r="M154" s="18">
        <v>2.413630179287515</v>
      </c>
      <c r="N154" s="18">
        <v>1.964734936497823</v>
      </c>
      <c r="O154" s="18">
        <v>2.2912752037224577</v>
      </c>
      <c r="P154" s="37">
        <v>1.6591455388232039</v>
      </c>
      <c r="Q154" s="18">
        <v>2.413630179287515</v>
      </c>
      <c r="R154" s="18">
        <v>0</v>
      </c>
      <c r="S154" s="18">
        <v>2.5483625386976492</v>
      </c>
      <c r="T154" s="18">
        <v>2.966228877656643</v>
      </c>
      <c r="U154" s="18">
        <v>2.5880637834508673</v>
      </c>
      <c r="V154" s="18">
        <v>1.8077311413378507</v>
      </c>
      <c r="W154" s="18">
        <v>2.5804047952165745</v>
      </c>
      <c r="X154" s="18">
        <v>2.2196343764919666</v>
      </c>
      <c r="Y154" s="18">
        <v>2.6711945787143834</v>
      </c>
      <c r="Z154" s="18">
        <v>2.3715818641704578</v>
      </c>
      <c r="AA154" s="18">
        <v>1.6568873316118771</v>
      </c>
      <c r="AB154" s="18">
        <v>2.585801751184591</v>
      </c>
      <c r="AC154" s="18">
        <v>3.5320074218885846</v>
      </c>
      <c r="AD154" s="18">
        <v>0</v>
      </c>
      <c r="AE154" s="18">
        <v>2.8018955583892966</v>
      </c>
      <c r="AF154" s="18">
        <v>1.7268427634917209</v>
      </c>
      <c r="AG154" s="18">
        <v>2.4439617754232854</v>
      </c>
      <c r="AH154" s="18">
        <v>1.5500754520737996</v>
      </c>
      <c r="AI154" s="37">
        <v>1.6591455388232039</v>
      </c>
      <c r="AJ154" s="37">
        <v>1.6591455388232039</v>
      </c>
      <c r="AK154" s="18">
        <v>0</v>
      </c>
      <c r="AL154" s="18">
        <v>2.5558461805321016</v>
      </c>
      <c r="AM154" s="18">
        <v>2.6831546921370211</v>
      </c>
      <c r="AN154" s="18">
        <v>2.5409761932167338</v>
      </c>
      <c r="AO154" s="18">
        <v>2.4236506365830888</v>
      </c>
      <c r="AP154" s="18">
        <v>1.6591455388232039</v>
      </c>
      <c r="AQ154" s="37">
        <v>1.6591455388232039</v>
      </c>
      <c r="AR154" s="18">
        <v>2.4444446681863532</v>
      </c>
      <c r="AS154" s="18">
        <v>2.1239052145709887</v>
      </c>
      <c r="AT154" s="18">
        <v>2.0898384422843499</v>
      </c>
      <c r="AU154" s="18">
        <v>1.829071759683043</v>
      </c>
      <c r="AV154" s="18"/>
      <c r="AX154" s="18"/>
      <c r="AY154" s="18"/>
      <c r="AZ154" s="18"/>
      <c r="BA154" s="18"/>
    </row>
    <row r="155" spans="1:59" x14ac:dyDescent="0.3">
      <c r="A155" t="s">
        <v>90</v>
      </c>
      <c r="B155" t="s">
        <v>43</v>
      </c>
      <c r="C155" t="s">
        <v>96</v>
      </c>
      <c r="F155" t="s">
        <v>77</v>
      </c>
      <c r="H155" t="s">
        <v>78</v>
      </c>
      <c r="I155">
        <v>2040</v>
      </c>
      <c r="J155" t="s">
        <v>54</v>
      </c>
      <c r="L155" s="37">
        <v>1.5198378805329151</v>
      </c>
      <c r="M155" s="18">
        <v>2.2162218475370894</v>
      </c>
      <c r="N155" s="18">
        <v>1.8133836722718772</v>
      </c>
      <c r="O155" s="18">
        <v>2.0900012167132522</v>
      </c>
      <c r="P155" s="37">
        <v>1.5198378805329151</v>
      </c>
      <c r="Q155" s="18">
        <v>2.2162218475370894</v>
      </c>
      <c r="R155" s="18">
        <v>0</v>
      </c>
      <c r="S155" s="18">
        <v>2.3248542807027945</v>
      </c>
      <c r="T155" s="18">
        <v>2.71197517105192</v>
      </c>
      <c r="U155" s="18">
        <v>2.3868570777110527</v>
      </c>
      <c r="V155" s="18">
        <v>1.658794498087433</v>
      </c>
      <c r="W155" s="18">
        <v>2.3621904091153807</v>
      </c>
      <c r="X155" s="18">
        <v>2.0441916829466424</v>
      </c>
      <c r="Y155" s="18">
        <v>2.448640159286839</v>
      </c>
      <c r="Z155" s="18">
        <v>2.1726988836876013</v>
      </c>
      <c r="AA155" s="18">
        <v>1.4911985984506892</v>
      </c>
      <c r="AB155" s="18">
        <v>2.3573938877315697</v>
      </c>
      <c r="AC155" s="18">
        <v>3.2220961494978608</v>
      </c>
      <c r="AD155" s="18">
        <v>0</v>
      </c>
      <c r="AE155" s="18">
        <v>2.5698911289338402</v>
      </c>
      <c r="AF155" s="18">
        <v>1.5827215380092512</v>
      </c>
      <c r="AG155" s="18">
        <v>2.2426736015246229</v>
      </c>
      <c r="AH155" s="18">
        <v>1.4252158976631228</v>
      </c>
      <c r="AI155" s="37">
        <v>1.5198378805329151</v>
      </c>
      <c r="AJ155" s="37">
        <v>1.5198378805329151</v>
      </c>
      <c r="AK155" s="18">
        <v>0</v>
      </c>
      <c r="AL155" s="18">
        <v>2.3472959470528956</v>
      </c>
      <c r="AM155" s="18">
        <v>2.4690032688865022</v>
      </c>
      <c r="AN155" s="18">
        <v>2.3168007203663437</v>
      </c>
      <c r="AO155" s="18">
        <v>2.215143441104241</v>
      </c>
      <c r="AP155" s="18">
        <v>1.5198378805329151</v>
      </c>
      <c r="AQ155" s="37">
        <v>1.5198378805329151</v>
      </c>
      <c r="AR155" s="18">
        <v>2.2496269261992712</v>
      </c>
      <c r="AS155" s="18">
        <v>1.9467650796020104</v>
      </c>
      <c r="AT155" s="18">
        <v>1.9127046583120031</v>
      </c>
      <c r="AU155" s="18">
        <v>1.6717773019837545</v>
      </c>
      <c r="AV155" s="18"/>
      <c r="AX155" s="18"/>
      <c r="AY155" s="18"/>
      <c r="AZ155" s="18"/>
      <c r="BA155" s="18"/>
    </row>
    <row r="156" spans="1:59" x14ac:dyDescent="0.3">
      <c r="A156" t="s">
        <v>90</v>
      </c>
      <c r="B156" t="s">
        <v>43</v>
      </c>
      <c r="C156" t="s">
        <v>96</v>
      </c>
      <c r="F156" t="s">
        <v>77</v>
      </c>
      <c r="H156" t="s">
        <v>78</v>
      </c>
      <c r="I156">
        <v>2050</v>
      </c>
      <c r="J156" t="s">
        <v>54</v>
      </c>
      <c r="L156" s="37">
        <v>1.3944614561766711</v>
      </c>
      <c r="M156" s="18">
        <v>2.0394839778452387</v>
      </c>
      <c r="N156" s="18">
        <v>1.6771708503713079</v>
      </c>
      <c r="O156" s="18">
        <v>1.9088303361801016</v>
      </c>
      <c r="P156" s="37">
        <v>1.3944614561766711</v>
      </c>
      <c r="Q156" s="18">
        <v>2.0394839778452387</v>
      </c>
      <c r="R156" s="18">
        <v>0</v>
      </c>
      <c r="S156" s="18">
        <v>2.1236962970511453</v>
      </c>
      <c r="T156" s="18">
        <v>2.4831432860769262</v>
      </c>
      <c r="U156" s="18">
        <v>2.2058063733988567</v>
      </c>
      <c r="V156" s="18">
        <v>1.5247515191620569</v>
      </c>
      <c r="W156" s="18">
        <v>2.1657912199651346</v>
      </c>
      <c r="X156" s="18">
        <v>1.886312293366349</v>
      </c>
      <c r="Y156" s="18">
        <v>2.2482801602028526</v>
      </c>
      <c r="Z156" s="18">
        <v>1.993706163708008</v>
      </c>
      <c r="AA156" s="18">
        <v>1.3420787386056203</v>
      </c>
      <c r="AB156" s="18">
        <v>2.1518462087668513</v>
      </c>
      <c r="AC156" s="18">
        <v>2.9431748879003408</v>
      </c>
      <c r="AD156" s="18">
        <v>0</v>
      </c>
      <c r="AE156" s="18">
        <v>2.3598262835251504</v>
      </c>
      <c r="AF156" s="18">
        <v>1.4530124350750286</v>
      </c>
      <c r="AG156" s="18">
        <v>2.0615142450158266</v>
      </c>
      <c r="AH156" s="18">
        <v>1.3128422986935138</v>
      </c>
      <c r="AI156" s="37">
        <v>1.3944614561766711</v>
      </c>
      <c r="AJ156" s="37">
        <v>1.3944614561766711</v>
      </c>
      <c r="AK156" s="18">
        <v>0</v>
      </c>
      <c r="AL156" s="18">
        <v>2.1597282906461031</v>
      </c>
      <c r="AM156" s="18">
        <v>2.2762669879610358</v>
      </c>
      <c r="AN156" s="18">
        <v>2.11503871404854</v>
      </c>
      <c r="AO156" s="18">
        <v>2.0274845214489217</v>
      </c>
      <c r="AP156" s="18">
        <v>1.3944614561766711</v>
      </c>
      <c r="AQ156" s="37">
        <v>1.3944614561766711</v>
      </c>
      <c r="AR156" s="18">
        <v>2.0743066900199896</v>
      </c>
      <c r="AS156" s="18">
        <v>1.787353447496828</v>
      </c>
      <c r="AT156" s="18">
        <v>1.7532815234061441</v>
      </c>
      <c r="AU156" s="18">
        <v>1.5820604962714846</v>
      </c>
      <c r="AV156" s="18"/>
      <c r="AX156" s="18"/>
      <c r="AY156" s="18"/>
      <c r="AZ156" s="18"/>
      <c r="BA156" s="18"/>
    </row>
    <row r="157" spans="1:59" x14ac:dyDescent="0.3">
      <c r="E157" t="s">
        <v>79</v>
      </c>
      <c r="AX157" s="18"/>
      <c r="AY157" s="18"/>
      <c r="AZ157" s="18"/>
      <c r="BA157" s="18"/>
    </row>
    <row r="158" spans="1:59" s="12" customFormat="1" x14ac:dyDescent="0.3">
      <c r="A158" s="12" t="s">
        <v>90</v>
      </c>
      <c r="B158" s="12" t="s">
        <v>43</v>
      </c>
      <c r="C158" s="12" t="s">
        <v>97</v>
      </c>
      <c r="E158" s="12" t="s">
        <v>73</v>
      </c>
      <c r="G158" s="12" t="s">
        <v>74</v>
      </c>
      <c r="H158" s="12" t="s">
        <v>75</v>
      </c>
      <c r="I158" s="12">
        <v>2005</v>
      </c>
      <c r="J158" s="12" t="s">
        <v>55</v>
      </c>
      <c r="L158" s="22">
        <v>0.79</v>
      </c>
      <c r="M158" s="22">
        <v>7.78</v>
      </c>
      <c r="N158" s="22">
        <v>0.38</v>
      </c>
      <c r="O158" s="22">
        <v>1.24</v>
      </c>
      <c r="P158" s="22">
        <v>2.12</v>
      </c>
      <c r="Q158" s="22">
        <v>8.6199999999999992</v>
      </c>
      <c r="R158" s="22">
        <v>0</v>
      </c>
      <c r="S158" s="22">
        <v>1.96</v>
      </c>
      <c r="T158" s="22">
        <v>15.22</v>
      </c>
      <c r="U158" s="22">
        <v>0.78</v>
      </c>
      <c r="V158" s="22">
        <v>7.97</v>
      </c>
      <c r="W158" s="22">
        <v>3.2</v>
      </c>
      <c r="X158" s="22">
        <v>55</v>
      </c>
      <c r="Y158" s="22">
        <v>11.48</v>
      </c>
      <c r="Z158" s="22">
        <v>0.35</v>
      </c>
      <c r="AA158" s="22">
        <v>2.0299999999999998</v>
      </c>
      <c r="AB158" s="22">
        <v>0.1</v>
      </c>
      <c r="AC158" s="22">
        <v>0</v>
      </c>
      <c r="AD158" s="22">
        <v>0</v>
      </c>
      <c r="AE158" s="22">
        <v>3.06</v>
      </c>
      <c r="AF158" s="22">
        <v>3.03</v>
      </c>
      <c r="AG158" s="22">
        <v>0.25</v>
      </c>
      <c r="AH158" s="22">
        <v>15.53</v>
      </c>
      <c r="AI158" s="22">
        <v>5.3</v>
      </c>
      <c r="AJ158" s="22">
        <v>0.93</v>
      </c>
      <c r="AK158" s="22">
        <v>0</v>
      </c>
      <c r="AL158" s="22">
        <v>0.44</v>
      </c>
      <c r="AM158" s="22">
        <v>16.21</v>
      </c>
      <c r="AN158" s="22">
        <v>7.15</v>
      </c>
      <c r="AO158" s="22">
        <v>0.8</v>
      </c>
      <c r="AP158" s="22">
        <v>3.52</v>
      </c>
      <c r="AQ158" s="22">
        <v>5.03</v>
      </c>
      <c r="AR158" s="22">
        <v>18.48</v>
      </c>
      <c r="AS158" s="22">
        <v>0.84</v>
      </c>
      <c r="AT158" s="22">
        <v>1.34</v>
      </c>
      <c r="AU158" s="22">
        <v>4.57</v>
      </c>
      <c r="AV158" s="22"/>
      <c r="AX158" s="13"/>
    </row>
    <row r="159" spans="1:59" s="12" customFormat="1" x14ac:dyDescent="0.3">
      <c r="A159" s="12" t="s">
        <v>90</v>
      </c>
      <c r="B159" s="12" t="s">
        <v>43</v>
      </c>
      <c r="C159" s="12" t="s">
        <v>97</v>
      </c>
      <c r="E159" s="12" t="s">
        <v>73</v>
      </c>
      <c r="G159" s="12" t="s">
        <v>74</v>
      </c>
      <c r="H159" s="12" t="s">
        <v>75</v>
      </c>
      <c r="I159" s="12">
        <v>2010</v>
      </c>
      <c r="J159" s="12" t="s">
        <v>55</v>
      </c>
      <c r="L159" s="22">
        <v>0.8</v>
      </c>
      <c r="M159" s="22">
        <v>7.91</v>
      </c>
      <c r="N159" s="22">
        <v>0.4</v>
      </c>
      <c r="O159" s="22">
        <v>1.21</v>
      </c>
      <c r="P159" s="22">
        <v>2.14</v>
      </c>
      <c r="Q159" s="22">
        <v>8.7100000000000009</v>
      </c>
      <c r="R159" s="22">
        <v>0</v>
      </c>
      <c r="S159" s="22">
        <v>1.9</v>
      </c>
      <c r="T159" s="22">
        <v>15.38</v>
      </c>
      <c r="U159" s="22">
        <v>0.74</v>
      </c>
      <c r="V159" s="22">
        <v>7.73</v>
      </c>
      <c r="W159" s="22">
        <v>3.39</v>
      </c>
      <c r="X159" s="22">
        <v>55.1</v>
      </c>
      <c r="Y159" s="22">
        <v>11.91</v>
      </c>
      <c r="Z159" s="22">
        <v>0.34</v>
      </c>
      <c r="AA159" s="22">
        <v>1.88</v>
      </c>
      <c r="AB159" s="22">
        <v>0.1</v>
      </c>
      <c r="AC159" s="22">
        <v>0</v>
      </c>
      <c r="AD159" s="22">
        <v>0</v>
      </c>
      <c r="AE159" s="22">
        <v>2.98</v>
      </c>
      <c r="AF159" s="22">
        <v>2.85</v>
      </c>
      <c r="AG159" s="22">
        <v>0.27</v>
      </c>
      <c r="AH159" s="22">
        <v>15.14</v>
      </c>
      <c r="AI159" s="22">
        <v>5.35</v>
      </c>
      <c r="AJ159" s="22">
        <v>0.94</v>
      </c>
      <c r="AK159" s="22">
        <v>0</v>
      </c>
      <c r="AL159" s="22">
        <v>0.43</v>
      </c>
      <c r="AM159" s="22">
        <v>16.399999999999999</v>
      </c>
      <c r="AN159" s="22">
        <v>7.39</v>
      </c>
      <c r="AO159" s="22">
        <v>0.78</v>
      </c>
      <c r="AP159" s="22">
        <v>3.6</v>
      </c>
      <c r="AQ159" s="22">
        <v>5.09</v>
      </c>
      <c r="AR159" s="22">
        <v>19.399999999999999</v>
      </c>
      <c r="AS159" s="22">
        <v>0.78</v>
      </c>
      <c r="AT159" s="22">
        <v>1.32</v>
      </c>
      <c r="AU159" s="22">
        <v>4.4800000000000004</v>
      </c>
      <c r="AV159" s="22"/>
      <c r="AW159" s="13">
        <f>SUM(M159:O159,R159:AC159,AE159:AH159,AK159:AL159,AN159:AP159,AR159:AU159)</f>
        <v>167.40999999999994</v>
      </c>
      <c r="BC159" s="13">
        <f>AW159-AU159</f>
        <v>162.92999999999995</v>
      </c>
    </row>
    <row r="160" spans="1:59" s="12" customFormat="1" x14ac:dyDescent="0.3">
      <c r="A160" s="12" t="s">
        <v>90</v>
      </c>
      <c r="B160" s="12" t="s">
        <v>43</v>
      </c>
      <c r="C160" s="12" t="s">
        <v>97</v>
      </c>
      <c r="E160" s="12" t="s">
        <v>73</v>
      </c>
      <c r="G160" s="12" t="s">
        <v>74</v>
      </c>
      <c r="H160" s="12" t="s">
        <v>75</v>
      </c>
      <c r="I160" s="12">
        <v>2020</v>
      </c>
      <c r="J160" s="12" t="s">
        <v>55</v>
      </c>
      <c r="L160" s="22">
        <v>0.86</v>
      </c>
      <c r="M160" s="22">
        <v>8.25</v>
      </c>
      <c r="N160" s="22">
        <v>0.43</v>
      </c>
      <c r="O160" s="22">
        <v>1.1499999999999999</v>
      </c>
      <c r="P160" s="22">
        <v>2.29</v>
      </c>
      <c r="Q160" s="22">
        <v>7.28</v>
      </c>
      <c r="R160" s="22">
        <v>0</v>
      </c>
      <c r="S160" s="22">
        <v>1.73</v>
      </c>
      <c r="T160" s="22">
        <v>15.93</v>
      </c>
      <c r="U160" s="22">
        <v>0.64</v>
      </c>
      <c r="V160" s="22">
        <v>7.11</v>
      </c>
      <c r="W160" s="22">
        <v>3.73</v>
      </c>
      <c r="X160" s="22">
        <v>63</v>
      </c>
      <c r="Y160" s="22">
        <v>12.98</v>
      </c>
      <c r="Z160" s="22">
        <v>0.31</v>
      </c>
      <c r="AA160" s="22">
        <v>1.53</v>
      </c>
      <c r="AB160" s="22">
        <v>0.09</v>
      </c>
      <c r="AC160" s="22">
        <v>0</v>
      </c>
      <c r="AD160" s="22">
        <v>0</v>
      </c>
      <c r="AE160" s="22">
        <v>2.68</v>
      </c>
      <c r="AF160" s="22">
        <v>2.36</v>
      </c>
      <c r="AG160" s="22">
        <v>0.3</v>
      </c>
      <c r="AH160" s="22">
        <v>14.15</v>
      </c>
      <c r="AI160" s="22">
        <v>5.73</v>
      </c>
      <c r="AJ160" s="22">
        <v>1</v>
      </c>
      <c r="AK160" s="22">
        <v>0</v>
      </c>
      <c r="AL160" s="22">
        <v>0.38</v>
      </c>
      <c r="AM160" s="22">
        <v>14.8</v>
      </c>
      <c r="AN160" s="22">
        <v>7.85</v>
      </c>
      <c r="AO160" s="22">
        <v>0.7</v>
      </c>
      <c r="AP160" s="22">
        <v>3.72</v>
      </c>
      <c r="AQ160" s="22">
        <v>5.45</v>
      </c>
      <c r="AR160" s="22">
        <v>21.2</v>
      </c>
      <c r="AS160" s="22">
        <v>0.64</v>
      </c>
      <c r="AT160" s="22">
        <v>1.27</v>
      </c>
      <c r="AU160" s="22">
        <v>4.2699999999999996</v>
      </c>
      <c r="AV160" s="22"/>
      <c r="AX160" s="13">
        <f>SUM(M160:O160,R160:AC160,AE160:AH160,AK160:AL160,AN160:AP160,AR160:AU160)</f>
        <v>176.39999999999998</v>
      </c>
      <c r="BD160" s="13">
        <f>AX160-AU160</f>
        <v>172.12999999999997</v>
      </c>
    </row>
    <row r="161" spans="1:59" s="12" customFormat="1" x14ac:dyDescent="0.3">
      <c r="A161" s="12" t="s">
        <v>90</v>
      </c>
      <c r="B161" s="12" t="s">
        <v>43</v>
      </c>
      <c r="C161" s="12" t="s">
        <v>97</v>
      </c>
      <c r="E161" s="12" t="s">
        <v>73</v>
      </c>
      <c r="G161" s="12" t="s">
        <v>74</v>
      </c>
      <c r="H161" s="12" t="s">
        <v>75</v>
      </c>
      <c r="I161" s="12">
        <v>2030</v>
      </c>
      <c r="J161" s="12" t="s">
        <v>55</v>
      </c>
      <c r="L161" s="22">
        <v>0.89</v>
      </c>
      <c r="M161" s="29">
        <f>M317*[1]bioshares!D94</f>
        <v>6.9948822226122633</v>
      </c>
      <c r="N161" s="29">
        <f>N317*[1]bioshares!E94</f>
        <v>0.38998750232832313</v>
      </c>
      <c r="O161" s="29">
        <f>O317*[1]bioshares!F94</f>
        <v>0.93762952687447898</v>
      </c>
      <c r="P161" s="22">
        <v>2.36</v>
      </c>
      <c r="Q161" s="22">
        <v>6.11</v>
      </c>
      <c r="R161" s="29">
        <f>R317*[1]bioshares!I94</f>
        <v>0</v>
      </c>
      <c r="S161" s="29">
        <f>S317*[1]bioshares!J94</f>
        <v>1.4188906999604951</v>
      </c>
      <c r="T161" s="29">
        <f>T317*[1]bioshares!K94</f>
        <v>13.242979866297953</v>
      </c>
      <c r="U161" s="29">
        <f>U317*[1]bioshares!L94</f>
        <v>0.49785638595105075</v>
      </c>
      <c r="V161" s="29">
        <f>V317*[1]bioshares!M94</f>
        <v>5.692158012707015</v>
      </c>
      <c r="W161" s="29">
        <f>W317*[1]bioshares!N94</f>
        <v>3.4435066694947691</v>
      </c>
      <c r="X161" s="29">
        <f>X317*[1]bioshares!O94</f>
        <v>69.948822226122644</v>
      </c>
      <c r="Y161" s="29">
        <f>Y317*[1]bioshares!P94</f>
        <v>11.193471077466127</v>
      </c>
      <c r="Z161" s="29">
        <f>Z317*[1]bioshares!Q94</f>
        <v>0.24892819297552538</v>
      </c>
      <c r="AA161" s="29">
        <f>AA317*[1]bioshares!R94</f>
        <v>1.0786888362272768</v>
      </c>
      <c r="AB161" s="29">
        <f>AB317*[1]bioshares!S94</f>
        <v>7.4678457892657618E-2</v>
      </c>
      <c r="AC161" s="29">
        <f>AC317*[1]bioshares!T94</f>
        <v>0</v>
      </c>
      <c r="AD161" s="22">
        <v>0</v>
      </c>
      <c r="AE161" s="29">
        <f>AE317*[1]bioshares!V94</f>
        <v>2.2320561303472108</v>
      </c>
      <c r="AF161" s="29">
        <f>AF317*[1]bioshares!W94</f>
        <v>1.8005805958563001</v>
      </c>
      <c r="AG161" s="29">
        <f>AG317*[1]bioshares!X94</f>
        <v>0.28211861870559551</v>
      </c>
      <c r="AH161" s="29">
        <f>AH317*[1]bioshares!Y94</f>
        <v>11.342827993251442</v>
      </c>
      <c r="AI161" s="22">
        <v>5.9</v>
      </c>
      <c r="AJ161" s="22">
        <v>1.03</v>
      </c>
      <c r="AK161" s="29">
        <f>AK317*[1]bioshares!AB94</f>
        <v>0</v>
      </c>
      <c r="AL161" s="29">
        <f>AL317*[1]bioshares!AC94</f>
        <v>0.30701143800314801</v>
      </c>
      <c r="AM161" s="22">
        <v>12.6</v>
      </c>
      <c r="AN161" s="29">
        <f>AN317*[1]bioshares!AE94</f>
        <v>6.9202037647196075</v>
      </c>
      <c r="AO161" s="29">
        <f>AO317*[1]bioshares!AF94</f>
        <v>0.61402287600629601</v>
      </c>
      <c r="AP161" s="29">
        <f>AP317*[1]bioshares!AG94</f>
        <v>3.2692569344119007</v>
      </c>
      <c r="AQ161" s="29">
        <f>AQ317*[1]bioshares!AH94</f>
        <v>0</v>
      </c>
      <c r="AR161" s="29">
        <f>AR317*[1]bioshares!AI94</f>
        <v>19.250446923440634</v>
      </c>
      <c r="AS161" s="29">
        <f>AS317*[1]bioshares!AJ94</f>
        <v>0.43147553449091064</v>
      </c>
      <c r="AT161" s="29">
        <f>AT317*[1]bioshares!AK94</f>
        <v>1.0289031976321719</v>
      </c>
      <c r="AU161" s="22">
        <v>4.1500000000000004</v>
      </c>
      <c r="AV161" s="22"/>
      <c r="AY161" s="13">
        <f>SUM(M161:O161,R161:AC161,AE161:AH161,AK161:AL161,AN161:AP161,AR161:AU161)</f>
        <v>166.79138368377579</v>
      </c>
      <c r="BE161" s="13">
        <f>AY161-AU161</f>
        <v>162.64138368377579</v>
      </c>
    </row>
    <row r="162" spans="1:59" s="12" customFormat="1" x14ac:dyDescent="0.3">
      <c r="A162" s="12" t="s">
        <v>90</v>
      </c>
      <c r="B162" s="12" t="s">
        <v>43</v>
      </c>
      <c r="C162" s="12" t="s">
        <v>97</v>
      </c>
      <c r="E162" s="12" t="s">
        <v>73</v>
      </c>
      <c r="G162" s="12" t="s">
        <v>74</v>
      </c>
      <c r="H162" s="12" t="s">
        <v>75</v>
      </c>
      <c r="I162" s="12">
        <v>2040</v>
      </c>
      <c r="J162" s="12" t="s">
        <v>55</v>
      </c>
      <c r="L162" s="22">
        <v>1.28</v>
      </c>
      <c r="M162" s="29">
        <f>M318*[1]bioshares!D95</f>
        <v>11.28544815810111</v>
      </c>
      <c r="N162" s="29">
        <f>N318*[1]bioshares!E95</f>
        <v>0.64636014651209095</v>
      </c>
      <c r="O162" s="29">
        <f>O318*[1]bioshares!F95</f>
        <v>1.370283510605633</v>
      </c>
      <c r="P162" s="22">
        <v>3.41</v>
      </c>
      <c r="Q162" s="22">
        <v>8.77</v>
      </c>
      <c r="R162" s="29">
        <f>R318*[1]bioshares!I95</f>
        <v>0</v>
      </c>
      <c r="S162" s="29">
        <f>S318*[1]bioshares!J95</f>
        <v>2.016643657117724</v>
      </c>
      <c r="T162" s="29">
        <f>T318*[1]bioshares!K95</f>
        <v>21.174758399736103</v>
      </c>
      <c r="U162" s="29">
        <f>U318*[1]bioshares!L95</f>
        <v>0.64636014651209106</v>
      </c>
      <c r="V162" s="29">
        <f>V318*[1]bioshares!M95</f>
        <v>8.1312106431221061</v>
      </c>
      <c r="W162" s="29">
        <f>W318*[1]bioshares!N95</f>
        <v>5.8301685215390604</v>
      </c>
      <c r="X162" s="29">
        <f>X318*[1]bioshares!O95</f>
        <v>108.97632070193853</v>
      </c>
      <c r="Y162" s="29">
        <f>Y318*[1]bioshares!P95</f>
        <v>18.731517045920395</v>
      </c>
      <c r="Z162" s="29">
        <f>Z318*[1]bioshares!Q95</f>
        <v>0.34903447911652913</v>
      </c>
      <c r="AA162" s="29">
        <f>AA318*[1]bioshares!R95</f>
        <v>1.2539386842334568</v>
      </c>
      <c r="AB162" s="29">
        <f>AB318*[1]bioshares!S95</f>
        <v>0.10341762344193456</v>
      </c>
      <c r="AC162" s="29">
        <f>AC318*[1]bioshares!T95</f>
        <v>0</v>
      </c>
      <c r="AD162" s="22">
        <v>0</v>
      </c>
      <c r="AE162" s="29">
        <f>AE318*[1]bioshares!V95</f>
        <v>3.1671647179092464</v>
      </c>
      <c r="AF162" s="29">
        <f>AF318*[1]bioshares!W95</f>
        <v>2.2364061069318346</v>
      </c>
      <c r="AG162" s="29">
        <f>AG318*[1]bioshares!X95</f>
        <v>0.49123371134918914</v>
      </c>
      <c r="AH162" s="29">
        <f>AH318*[1]bioshares!Y95</f>
        <v>16.495110938988564</v>
      </c>
      <c r="AI162" s="22">
        <v>8.52</v>
      </c>
      <c r="AJ162" s="22">
        <v>1.49</v>
      </c>
      <c r="AK162" s="29">
        <f>AK318*[1]bioshares!AB95</f>
        <v>0</v>
      </c>
      <c r="AL162" s="29">
        <f>AL318*[1]bioshares!AC95</f>
        <v>0.42659769669798014</v>
      </c>
      <c r="AM162" s="22">
        <v>17.2</v>
      </c>
      <c r="AN162" s="29">
        <f>AN318*[1]bioshares!AE95</f>
        <v>11.388865781543043</v>
      </c>
      <c r="AO162" s="29">
        <f>AO318*[1]bioshares!AF95</f>
        <v>0.87904979925644389</v>
      </c>
      <c r="AP162" s="29">
        <f>AP318*[1]bioshares!AG95</f>
        <v>5.2742987955386624</v>
      </c>
      <c r="AQ162" s="29">
        <f>AQ318*[1]bioshares!AH95</f>
        <v>0</v>
      </c>
      <c r="AR162" s="29">
        <f>AR318*[1]bioshares!AI95</f>
        <v>32.447279354906975</v>
      </c>
      <c r="AS162" s="29">
        <f>AS318*[1]bioshares!AJ95</f>
        <v>0.50416091427943099</v>
      </c>
      <c r="AT162" s="29">
        <f>AT318*[1]bioshares!AK95</f>
        <v>1.5383371486987765</v>
      </c>
      <c r="AU162" s="22">
        <v>3.96</v>
      </c>
      <c r="AV162" s="22"/>
      <c r="AY162" s="13"/>
      <c r="AZ162" s="13">
        <f>SUM(M162:O162,R162:AC162,AE162:AH162,AK162:AL162,AN162:AP162,AR162:AU162)</f>
        <v>259.32396668399696</v>
      </c>
      <c r="BF162" s="13">
        <f>AZ162-AU162</f>
        <v>255.36396668399695</v>
      </c>
    </row>
    <row r="163" spans="1:59" s="15" customFormat="1" x14ac:dyDescent="0.3">
      <c r="A163" s="15" t="s">
        <v>90</v>
      </c>
      <c r="B163" s="15" t="s">
        <v>43</v>
      </c>
      <c r="C163" s="15" t="s">
        <v>97</v>
      </c>
      <c r="E163" s="15" t="s">
        <v>73</v>
      </c>
      <c r="G163" s="15" t="s">
        <v>74</v>
      </c>
      <c r="H163" s="15" t="s">
        <v>75</v>
      </c>
      <c r="I163" s="15">
        <v>2050</v>
      </c>
      <c r="J163" s="15" t="s">
        <v>55</v>
      </c>
      <c r="L163" s="23">
        <v>1.3</v>
      </c>
      <c r="M163" s="32">
        <f>M319*[1]bioshares!D96</f>
        <v>7.2449333045731947</v>
      </c>
      <c r="N163" s="32">
        <f>N319*[1]bioshares!E96</f>
        <v>0.43421353878685082</v>
      </c>
      <c r="O163" s="32">
        <f>O319*[1]bioshares!F96</f>
        <v>0.81214013736059121</v>
      </c>
      <c r="P163" s="23">
        <v>3.48</v>
      </c>
      <c r="Q163" s="23">
        <v>9.9</v>
      </c>
      <c r="R163" s="32">
        <f>R319*[1]bioshares!I96</f>
        <v>0</v>
      </c>
      <c r="S163" s="32">
        <f>S319*[1]bioshares!J96</f>
        <v>1.1659437615572845</v>
      </c>
      <c r="T163" s="32">
        <f>T319*[1]bioshares!K96</f>
        <v>13.444537719474342</v>
      </c>
      <c r="U163" s="32">
        <f>U319*[1]bioshares!L96</f>
        <v>0.33772164127866172</v>
      </c>
      <c r="V163" s="32">
        <f>V319*[1]bioshares!M96</f>
        <v>4.6718160376881528</v>
      </c>
      <c r="W163" s="32">
        <f>W319*[1]bioshares!N96</f>
        <v>3.9240038319996882</v>
      </c>
      <c r="X163" s="32">
        <f>X319*[1]bioshares!O96</f>
        <v>67.785557999502814</v>
      </c>
      <c r="Y163" s="32">
        <f>Y319*[1]bioshares!P96</f>
        <v>12.342921889589183</v>
      </c>
      <c r="Z163" s="32">
        <f>Z319*[1]bioshares!Q96</f>
        <v>0.20102478647539387</v>
      </c>
      <c r="AA163" s="32">
        <f>AA319*[1]bioshares!R96</f>
        <v>0.53070543629503997</v>
      </c>
      <c r="AB163" s="32">
        <f>AB319*[1]bioshares!S96</f>
        <v>6.4327931672126026E-2</v>
      </c>
      <c r="AC163" s="32">
        <f>AC319*[1]bioshares!T96</f>
        <v>0</v>
      </c>
      <c r="AD163" s="23">
        <v>0</v>
      </c>
      <c r="AE163" s="32">
        <f>AE319*[1]bioshares!V96</f>
        <v>1.8253050611965762</v>
      </c>
      <c r="AF163" s="32">
        <f>AF319*[1]bioshares!W96</f>
        <v>1.0935748384261428</v>
      </c>
      <c r="AG163" s="32">
        <f>AG319*[1]bioshares!X96</f>
        <v>0.33772164127866167</v>
      </c>
      <c r="AH163" s="32">
        <f>AH319*[1]bioshares!Y96</f>
        <v>9.6250667764418587</v>
      </c>
      <c r="AI163" s="23">
        <v>8.6999999999999993</v>
      </c>
      <c r="AJ163" s="23">
        <v>1.52</v>
      </c>
      <c r="AK163" s="32">
        <f>AK319*[1]bioshares!AB96</f>
        <v>0</v>
      </c>
      <c r="AL163" s="32">
        <f>AL319*[1]bioshares!AC96</f>
        <v>0.24122974377047263</v>
      </c>
      <c r="AM163" s="23">
        <v>17.600000000000001</v>
      </c>
      <c r="AN163" s="32">
        <f>AN319*[1]bioshares!AE96</f>
        <v>7.4620400739666204</v>
      </c>
      <c r="AO163" s="32">
        <f>AO319*[1]bioshares!AF96</f>
        <v>0.52266444483602403</v>
      </c>
      <c r="AP163" s="32">
        <f>AP319*[1]bioshares!AG96</f>
        <v>3.4093803786226804</v>
      </c>
      <c r="AQ163" s="32">
        <f>AQ319*[1]bioshares!AH96</f>
        <v>0</v>
      </c>
      <c r="AR163" s="32">
        <f>AR319*[1]bioshares!AI96</f>
        <v>21.630267024752378</v>
      </c>
      <c r="AS163" s="32">
        <f>AS319*[1]bioshares!AJ96</f>
        <v>0.20906577793440964</v>
      </c>
      <c r="AT163" s="32">
        <f>AT319*[1]bioshares!AK96</f>
        <v>0.92471401778681173</v>
      </c>
      <c r="AU163" s="23">
        <v>3.79</v>
      </c>
      <c r="AV163" s="23"/>
      <c r="AY163" s="16"/>
      <c r="AZ163" s="16"/>
      <c r="BA163" s="16">
        <f>SUM(M163:O163,R163:AC163,AE163:AH163,AK163:AL163,AN163:AP163,AR163:AU163)</f>
        <v>164.03087779526592</v>
      </c>
      <c r="BG163" s="16">
        <f>BA163-AU163</f>
        <v>160.24087779526593</v>
      </c>
    </row>
    <row r="164" spans="1:59" x14ac:dyDescent="0.3">
      <c r="A164" t="s">
        <v>90</v>
      </c>
      <c r="B164" t="s">
        <v>43</v>
      </c>
      <c r="C164" t="s">
        <v>97</v>
      </c>
      <c r="F164" t="s">
        <v>77</v>
      </c>
      <c r="H164" t="s">
        <v>78</v>
      </c>
      <c r="I164">
        <v>2005</v>
      </c>
      <c r="J164" t="s">
        <v>55</v>
      </c>
      <c r="L164" s="18">
        <v>1.745198610319965</v>
      </c>
      <c r="M164" s="18">
        <v>2.5036329794538057</v>
      </c>
      <c r="N164" s="18">
        <v>2.5276286497930411</v>
      </c>
      <c r="O164" s="18">
        <v>1.8234161386097858</v>
      </c>
      <c r="P164" s="18">
        <v>1.745198610319965</v>
      </c>
      <c r="Q164" s="18">
        <v>2.5036329794538057</v>
      </c>
      <c r="R164" s="18">
        <v>2.1586131065612331</v>
      </c>
      <c r="S164" s="18">
        <v>1.9768743219769012</v>
      </c>
      <c r="T164" s="18">
        <v>2.5138573535222597</v>
      </c>
      <c r="U164" s="18">
        <v>2.4924776775422242</v>
      </c>
      <c r="V164" s="18">
        <v>1.9371844437867993</v>
      </c>
      <c r="W164" s="18">
        <v>2.6811883856766459</v>
      </c>
      <c r="X164" s="18">
        <v>2.0030023430573891</v>
      </c>
      <c r="Y164" s="18">
        <v>2.3559669905816074</v>
      </c>
      <c r="Z164" s="18">
        <v>2.1586131065612331</v>
      </c>
      <c r="AA164" s="18">
        <v>2.1783750424064405</v>
      </c>
      <c r="AB164" s="18">
        <v>2.4509109488679783</v>
      </c>
      <c r="AC164" s="18">
        <v>2.6559597602209113</v>
      </c>
      <c r="AD164" s="18">
        <v>0</v>
      </c>
      <c r="AE164" s="18">
        <v>2.835890784813238</v>
      </c>
      <c r="AF164" s="18">
        <v>1.8933804061369015</v>
      </c>
      <c r="AG164" s="18">
        <v>2.505525349467296</v>
      </c>
      <c r="AH164" s="18">
        <v>1.8485836618557212</v>
      </c>
      <c r="AI164" s="18">
        <v>1.745198610319965</v>
      </c>
      <c r="AJ164" s="18">
        <v>1.745198610319965</v>
      </c>
      <c r="AK164" s="18">
        <v>2.3160418666477396</v>
      </c>
      <c r="AL164" s="18">
        <v>2.4928492084438947</v>
      </c>
      <c r="AM164" s="18">
        <v>2.0673577046667977</v>
      </c>
      <c r="AN164" s="18">
        <v>1.7030242623878256</v>
      </c>
      <c r="AO164" s="18">
        <v>2.4207777547641607</v>
      </c>
      <c r="AP164" s="18">
        <v>1.745198610319965</v>
      </c>
      <c r="AQ164" s="18">
        <v>1.745198610319965</v>
      </c>
      <c r="AR164" s="18">
        <v>2.0193099754829484</v>
      </c>
      <c r="AS164" s="18">
        <v>1.9097423719855142</v>
      </c>
      <c r="AT164" s="18">
        <v>2.3989463618847156</v>
      </c>
      <c r="AU164" s="18">
        <v>2.1696920922262062</v>
      </c>
      <c r="AV164" s="18"/>
      <c r="AX164" s="18"/>
      <c r="AY164" s="18"/>
      <c r="AZ164" s="18"/>
      <c r="BA164" s="18"/>
    </row>
    <row r="165" spans="1:59" x14ac:dyDescent="0.3">
      <c r="A165" t="s">
        <v>90</v>
      </c>
      <c r="B165" t="s">
        <v>43</v>
      </c>
      <c r="C165" t="s">
        <v>97</v>
      </c>
      <c r="F165" t="s">
        <v>77</v>
      </c>
      <c r="H165" t="s">
        <v>78</v>
      </c>
      <c r="I165">
        <v>2010</v>
      </c>
      <c r="J165" t="s">
        <v>55</v>
      </c>
      <c r="L165" s="37">
        <v>1.745198610319965</v>
      </c>
      <c r="M165" s="18">
        <v>2.5036329794538057</v>
      </c>
      <c r="N165" s="18">
        <v>2.5276286497930411</v>
      </c>
      <c r="O165" s="18">
        <v>1.8234161386097858</v>
      </c>
      <c r="P165" s="37">
        <v>1.745198610319965</v>
      </c>
      <c r="Q165" s="18">
        <v>2.5036329794538057</v>
      </c>
      <c r="R165" s="18">
        <v>2.1586131065612331</v>
      </c>
      <c r="S165" s="18">
        <v>1.9768743219769012</v>
      </c>
      <c r="T165" s="18">
        <v>2.5138573535222597</v>
      </c>
      <c r="U165" s="18">
        <v>2.4924776775422242</v>
      </c>
      <c r="V165" s="18">
        <v>1.9371844437867993</v>
      </c>
      <c r="W165" s="18">
        <v>2.6811883856766459</v>
      </c>
      <c r="X165" s="18">
        <v>2.0030023430573891</v>
      </c>
      <c r="Y165" s="18">
        <v>2.3559669905816074</v>
      </c>
      <c r="Z165" s="18">
        <v>2.1586131065612331</v>
      </c>
      <c r="AA165" s="18">
        <v>2.1783750424064405</v>
      </c>
      <c r="AB165" s="18">
        <v>2.4509109488679783</v>
      </c>
      <c r="AC165" s="18">
        <v>2.6559597602209113</v>
      </c>
      <c r="AD165" s="18">
        <v>0</v>
      </c>
      <c r="AE165" s="18">
        <v>2.835890784813238</v>
      </c>
      <c r="AF165" s="18">
        <v>1.8933804061369015</v>
      </c>
      <c r="AG165" s="18">
        <v>2.505525349467296</v>
      </c>
      <c r="AH165" s="18">
        <v>1.8485836618557212</v>
      </c>
      <c r="AI165" s="37">
        <v>1.745198610319965</v>
      </c>
      <c r="AJ165" s="37">
        <v>1.745198610319965</v>
      </c>
      <c r="AK165" s="18">
        <v>2.3160418666477396</v>
      </c>
      <c r="AL165" s="18">
        <v>2.4928492084438947</v>
      </c>
      <c r="AM165" s="18">
        <v>2.0673577046667977</v>
      </c>
      <c r="AN165" s="18">
        <v>1.7030242623878256</v>
      </c>
      <c r="AO165" s="18">
        <v>2.4207777547641607</v>
      </c>
      <c r="AP165" s="18">
        <v>1.745198610319965</v>
      </c>
      <c r="AQ165" s="37">
        <v>1.745198610319965</v>
      </c>
      <c r="AR165" s="18">
        <v>2.0193099754829484</v>
      </c>
      <c r="AS165" s="18">
        <v>1.9097423719855142</v>
      </c>
      <c r="AT165" s="18">
        <v>2.3989463618847156</v>
      </c>
      <c r="AU165" s="18">
        <v>2.1696920922262062</v>
      </c>
      <c r="AV165" s="18"/>
      <c r="AX165" s="18"/>
    </row>
    <row r="166" spans="1:59" x14ac:dyDescent="0.3">
      <c r="A166" t="s">
        <v>90</v>
      </c>
      <c r="B166" t="s">
        <v>43</v>
      </c>
      <c r="C166" t="s">
        <v>97</v>
      </c>
      <c r="F166" t="s">
        <v>77</v>
      </c>
      <c r="H166" t="s">
        <v>78</v>
      </c>
      <c r="I166">
        <v>2020</v>
      </c>
      <c r="J166" t="s">
        <v>55</v>
      </c>
      <c r="L166" s="37">
        <v>1.6305252652799664</v>
      </c>
      <c r="M166" s="18">
        <v>2.3436151916936163</v>
      </c>
      <c r="N166" s="18">
        <v>2.3672017052277474</v>
      </c>
      <c r="O166" s="18">
        <v>1.7036357686190793</v>
      </c>
      <c r="P166" s="37">
        <v>1.6305252652799664</v>
      </c>
      <c r="Q166" s="18">
        <v>2.3436151916936163</v>
      </c>
      <c r="R166" s="18">
        <v>0</v>
      </c>
      <c r="S166" s="18">
        <v>1.8479182916237185</v>
      </c>
      <c r="T166" s="18">
        <v>2.3519605006445672</v>
      </c>
      <c r="U166" s="18">
        <v>2.3456638661092706</v>
      </c>
      <c r="V166" s="18">
        <v>1.8118788167208382</v>
      </c>
      <c r="W166" s="18">
        <v>2.5041010656782294</v>
      </c>
      <c r="X166" s="18">
        <v>1.8851972459706123</v>
      </c>
      <c r="Y166" s="18">
        <v>2.2077793386969362</v>
      </c>
      <c r="Z166" s="18">
        <v>2.0213938714890007</v>
      </c>
      <c r="AA166" s="18">
        <v>2.0066914413160659</v>
      </c>
      <c r="AB166" s="18">
        <v>2.2837388562864578</v>
      </c>
      <c r="AC166" s="18">
        <v>2.4838538767803984</v>
      </c>
      <c r="AD166" s="18">
        <v>0</v>
      </c>
      <c r="AE166" s="18">
        <v>2.6527954007584804</v>
      </c>
      <c r="AF166" s="18">
        <v>1.7687130080712758</v>
      </c>
      <c r="AG166" s="18">
        <v>2.3451171273828573</v>
      </c>
      <c r="AH166" s="18">
        <v>1.728809352792672</v>
      </c>
      <c r="AI166" s="37">
        <v>1.6305252652799664</v>
      </c>
      <c r="AJ166" s="37">
        <v>1.6305252652799664</v>
      </c>
      <c r="AK166" s="18">
        <v>2.1335083725516535</v>
      </c>
      <c r="AL166" s="18">
        <v>2.3377699863490822</v>
      </c>
      <c r="AM166" s="18">
        <v>1.9509872836055402</v>
      </c>
      <c r="AN166" s="18">
        <v>1.594526810616179</v>
      </c>
      <c r="AO166" s="18">
        <v>2.2590941882219409</v>
      </c>
      <c r="AP166" s="18">
        <v>1.6305252652799664</v>
      </c>
      <c r="AQ166" s="37">
        <v>1.6305252652799664</v>
      </c>
      <c r="AR166" s="18">
        <v>1.9029675848241063</v>
      </c>
      <c r="AS166" s="18">
        <v>1.7895304883965302</v>
      </c>
      <c r="AT166" s="18">
        <v>2.2372543643517657</v>
      </c>
      <c r="AU166" s="18">
        <v>1.9553949047067614</v>
      </c>
      <c r="AV166" s="18"/>
    </row>
    <row r="167" spans="1:59" x14ac:dyDescent="0.3">
      <c r="A167" t="s">
        <v>90</v>
      </c>
      <c r="B167" t="s">
        <v>43</v>
      </c>
      <c r="C167" t="s">
        <v>97</v>
      </c>
      <c r="F167" t="s">
        <v>77</v>
      </c>
      <c r="H167" t="s">
        <v>78</v>
      </c>
      <c r="I167">
        <v>2030</v>
      </c>
      <c r="J167" t="s">
        <v>55</v>
      </c>
      <c r="L167" s="37">
        <v>1.4964971414962425</v>
      </c>
      <c r="M167" s="18">
        <v>2.1569260976438804</v>
      </c>
      <c r="N167" s="18">
        <v>2.1797062687055027</v>
      </c>
      <c r="O167" s="18">
        <v>1.5636310508320475</v>
      </c>
      <c r="P167" s="37">
        <v>1.4964971414962425</v>
      </c>
      <c r="Q167" s="18">
        <v>2.1569260976438804</v>
      </c>
      <c r="R167" s="18">
        <v>0</v>
      </c>
      <c r="S167" s="18">
        <v>1.6971816418895058</v>
      </c>
      <c r="T167" s="18">
        <v>2.1629513888324934</v>
      </c>
      <c r="U167" s="18">
        <v>2.1738207826759761</v>
      </c>
      <c r="V167" s="18">
        <v>1.6654176941762084</v>
      </c>
      <c r="W167" s="18">
        <v>2.2971762671533882</v>
      </c>
      <c r="X167" s="18">
        <v>1.7474953248488265</v>
      </c>
      <c r="Y167" s="18">
        <v>2.0348460388533773</v>
      </c>
      <c r="Z167" s="18">
        <v>1.8610028847890316</v>
      </c>
      <c r="AA167" s="18">
        <v>1.8060222971844595</v>
      </c>
      <c r="AB167" s="18">
        <v>2.0883241659511147</v>
      </c>
      <c r="AC167" s="18">
        <v>2.2826873332077762</v>
      </c>
      <c r="AD167" s="18">
        <v>0</v>
      </c>
      <c r="AE167" s="18">
        <v>2.4393841315804745</v>
      </c>
      <c r="AF167" s="18">
        <v>1.6229978674750909</v>
      </c>
      <c r="AG167" s="18">
        <v>2.157626997673773</v>
      </c>
      <c r="AH167" s="18">
        <v>1.5888134071345621</v>
      </c>
      <c r="AI167" s="37">
        <v>1.4964971414962425</v>
      </c>
      <c r="AJ167" s="37">
        <v>1.4964971414962425</v>
      </c>
      <c r="AK167" s="18">
        <v>1.9201575352964884</v>
      </c>
      <c r="AL167" s="18">
        <v>2.1561211472735264</v>
      </c>
      <c r="AM167" s="18">
        <v>1.8149699083391355</v>
      </c>
      <c r="AN167" s="18">
        <v>1.4677161880505254</v>
      </c>
      <c r="AO167" s="18">
        <v>2.0701107637376088</v>
      </c>
      <c r="AP167" s="18">
        <v>1.4964971414962425</v>
      </c>
      <c r="AQ167" s="37">
        <v>1.4964971414962425</v>
      </c>
      <c r="AR167" s="18">
        <v>1.7669459935515079</v>
      </c>
      <c r="AS167" s="18">
        <v>1.6490322437973872</v>
      </c>
      <c r="AT167" s="18">
        <v>2.0482721441966487</v>
      </c>
      <c r="AU167" s="18">
        <v>1.7583416577814561</v>
      </c>
      <c r="AV167" s="18"/>
    </row>
    <row r="168" spans="1:59" x14ac:dyDescent="0.3">
      <c r="A168" t="s">
        <v>90</v>
      </c>
      <c r="B168" t="s">
        <v>43</v>
      </c>
      <c r="C168" t="s">
        <v>97</v>
      </c>
      <c r="F168" t="s">
        <v>77</v>
      </c>
      <c r="H168" t="s">
        <v>78</v>
      </c>
      <c r="I168">
        <v>2040</v>
      </c>
      <c r="J168" t="s">
        <v>55</v>
      </c>
      <c r="L168" s="37">
        <v>1.3758698418516293</v>
      </c>
      <c r="M168" s="18">
        <v>1.9891786198958361</v>
      </c>
      <c r="N168" s="18">
        <v>2.010961973177197</v>
      </c>
      <c r="O168" s="18">
        <v>1.4376501745923087</v>
      </c>
      <c r="P168" s="37">
        <v>1.3758698418516293</v>
      </c>
      <c r="Q168" s="18">
        <v>1.9891786198958361</v>
      </c>
      <c r="R168" s="18">
        <v>0</v>
      </c>
      <c r="S168" s="18">
        <v>1.5616355996885567</v>
      </c>
      <c r="T168" s="18">
        <v>1.9928719361662799</v>
      </c>
      <c r="U168" s="18">
        <v>2.0192675890454801</v>
      </c>
      <c r="V168" s="18">
        <v>1.5336026838860415</v>
      </c>
      <c r="W168" s="18">
        <v>2.1109003635570067</v>
      </c>
      <c r="X168" s="18">
        <v>1.6234899430219591</v>
      </c>
      <c r="Y168" s="18">
        <v>1.8799723303532858</v>
      </c>
      <c r="Z168" s="18">
        <v>1.7166526339289248</v>
      </c>
      <c r="AA168" s="18">
        <v>1.6254200674660135</v>
      </c>
      <c r="AB168" s="18">
        <v>1.9124032678268381</v>
      </c>
      <c r="AC168" s="18">
        <v>2.1016381235566408</v>
      </c>
      <c r="AD168" s="18">
        <v>0</v>
      </c>
      <c r="AE168" s="18">
        <v>2.2480053530494866</v>
      </c>
      <c r="AF168" s="18">
        <v>1.491854240938524</v>
      </c>
      <c r="AG168" s="18">
        <v>1.9888858809355965</v>
      </c>
      <c r="AH168" s="18">
        <v>1.4628170560422633</v>
      </c>
      <c r="AI168" s="37">
        <v>1.3758698418516293</v>
      </c>
      <c r="AJ168" s="37">
        <v>1.3758698418516293</v>
      </c>
      <c r="AK168" s="18">
        <v>1.7281417817668394</v>
      </c>
      <c r="AL168" s="18">
        <v>1.9918134547540629</v>
      </c>
      <c r="AM168" s="18">
        <v>1.692554270599371</v>
      </c>
      <c r="AN168" s="18">
        <v>1.3535832111631463</v>
      </c>
      <c r="AO168" s="18">
        <v>1.9000313572447429</v>
      </c>
      <c r="AP168" s="18">
        <v>1.3758698418516293</v>
      </c>
      <c r="AQ168" s="37">
        <v>1.3758698418516293</v>
      </c>
      <c r="AR168" s="18">
        <v>1.6443835034311824</v>
      </c>
      <c r="AS168" s="18">
        <v>1.5225796280044863</v>
      </c>
      <c r="AT168" s="18">
        <v>1.8781865119944379</v>
      </c>
      <c r="AU168" s="18">
        <v>1.6115241640944815</v>
      </c>
      <c r="AV168" s="18"/>
    </row>
    <row r="169" spans="1:59" x14ac:dyDescent="0.3">
      <c r="A169" t="s">
        <v>90</v>
      </c>
      <c r="B169" t="s">
        <v>43</v>
      </c>
      <c r="C169" t="s">
        <v>97</v>
      </c>
      <c r="F169" t="s">
        <v>77</v>
      </c>
      <c r="H169" t="s">
        <v>78</v>
      </c>
      <c r="I169">
        <v>2050</v>
      </c>
      <c r="J169" t="s">
        <v>55</v>
      </c>
      <c r="L169" s="37">
        <v>1.2673057827736165</v>
      </c>
      <c r="M169" s="18">
        <v>1.8392199155799842</v>
      </c>
      <c r="N169" s="18">
        <v>1.8590936320350475</v>
      </c>
      <c r="O169" s="18">
        <v>1.3242408883711816</v>
      </c>
      <c r="P169" s="37">
        <v>1.2673057827736165</v>
      </c>
      <c r="Q169" s="18">
        <v>1.8392199155799842</v>
      </c>
      <c r="R169" s="18">
        <v>0</v>
      </c>
      <c r="S169" s="18">
        <v>1.4396435601872171</v>
      </c>
      <c r="T169" s="18">
        <v>1.8397965575356001</v>
      </c>
      <c r="U169" s="18">
        <v>1.8802082531590139</v>
      </c>
      <c r="V169" s="18">
        <v>1.4149691746248914</v>
      </c>
      <c r="W169" s="18">
        <v>1.943245242009269</v>
      </c>
      <c r="X169" s="18">
        <v>1.5119058620539019</v>
      </c>
      <c r="Y169" s="18">
        <v>1.7405194312308403</v>
      </c>
      <c r="Z169" s="18">
        <v>1.5867395487721581</v>
      </c>
      <c r="AA169" s="18">
        <v>1.4628780607194121</v>
      </c>
      <c r="AB169" s="18">
        <v>1.7540956187270755</v>
      </c>
      <c r="AC169" s="18">
        <v>1.9386926170677117</v>
      </c>
      <c r="AD169" s="18">
        <v>0</v>
      </c>
      <c r="AE169" s="18">
        <v>2.0743891258339282</v>
      </c>
      <c r="AF169" s="18">
        <v>1.3738249770556143</v>
      </c>
      <c r="AG169" s="18">
        <v>1.837018875871238</v>
      </c>
      <c r="AH169" s="18">
        <v>1.3494203400591944</v>
      </c>
      <c r="AI169" s="37">
        <v>1.2673057827736165</v>
      </c>
      <c r="AJ169" s="37">
        <v>1.2673057827736165</v>
      </c>
      <c r="AK169" s="18">
        <v>1.5553276035901553</v>
      </c>
      <c r="AL169" s="18">
        <v>1.8440756652329524</v>
      </c>
      <c r="AM169" s="18">
        <v>1.5823801966335824</v>
      </c>
      <c r="AN169" s="18">
        <v>1.2508590807391164</v>
      </c>
      <c r="AO169" s="18">
        <v>1.7469572258221984</v>
      </c>
      <c r="AP169" s="18">
        <v>1.2673057827736165</v>
      </c>
      <c r="AQ169" s="37">
        <v>1.2673057827736165</v>
      </c>
      <c r="AR169" s="18">
        <v>1.5340944221331472</v>
      </c>
      <c r="AS169" s="18">
        <v>1.4087880785814262</v>
      </c>
      <c r="AT169" s="18">
        <v>1.7251064658981883</v>
      </c>
      <c r="AU169" s="18">
        <v>1.5294604122223385</v>
      </c>
      <c r="AV169" s="18"/>
    </row>
    <row r="170" spans="1:59" x14ac:dyDescent="0.3">
      <c r="E170" t="s">
        <v>79</v>
      </c>
      <c r="AX170" s="18"/>
      <c r="AY170" s="18"/>
      <c r="AZ170" s="18"/>
      <c r="BA170" s="18"/>
    </row>
    <row r="171" spans="1:59" s="12" customFormat="1" x14ac:dyDescent="0.3">
      <c r="A171" s="12" t="s">
        <v>90</v>
      </c>
      <c r="B171" s="12" t="s">
        <v>43</v>
      </c>
      <c r="C171" s="12" t="s">
        <v>98</v>
      </c>
      <c r="E171" s="12" t="s">
        <v>73</v>
      </c>
      <c r="G171" s="12" t="s">
        <v>74</v>
      </c>
      <c r="H171" s="12" t="s">
        <v>75</v>
      </c>
      <c r="I171" s="12">
        <v>2005</v>
      </c>
      <c r="J171" s="12" t="s">
        <v>56</v>
      </c>
      <c r="L171" s="22">
        <v>4.2289563978556703</v>
      </c>
      <c r="M171" s="22">
        <v>7.515970000000002</v>
      </c>
      <c r="N171" s="22">
        <v>4.0996199999999998</v>
      </c>
      <c r="O171" s="22">
        <v>8.8825099999999999</v>
      </c>
      <c r="P171" s="22">
        <v>7.7530867294020629</v>
      </c>
      <c r="Q171" s="22">
        <v>3.6828253000000011</v>
      </c>
      <c r="R171" s="22">
        <v>0</v>
      </c>
      <c r="S171" s="22">
        <v>17.743775532258137</v>
      </c>
      <c r="T171" s="22">
        <v>33.480230000000006</v>
      </c>
      <c r="U171" s="22">
        <v>4.7828899999999992</v>
      </c>
      <c r="V171" s="22">
        <v>2.7330799999999997</v>
      </c>
      <c r="W171" s="22">
        <v>43.04601000000001</v>
      </c>
      <c r="X171" s="22">
        <v>0</v>
      </c>
      <c r="Y171" s="22">
        <v>86.092020000000005</v>
      </c>
      <c r="Z171" s="22">
        <v>10.249049999999999</v>
      </c>
      <c r="AA171" s="22">
        <v>3.1748471660307724</v>
      </c>
      <c r="AB171" s="22">
        <v>9.5657800000000019</v>
      </c>
      <c r="AC171" s="22">
        <v>7.5159700000000011</v>
      </c>
      <c r="AD171" s="22">
        <v>0</v>
      </c>
      <c r="AE171" s="22">
        <v>22.547909999999991</v>
      </c>
      <c r="AF171" s="22">
        <v>6.1494300000000006</v>
      </c>
      <c r="AG171" s="22">
        <v>0</v>
      </c>
      <c r="AH171" s="22">
        <v>5.4661599999999995</v>
      </c>
      <c r="AI171" s="22">
        <v>2.1144781989278352</v>
      </c>
      <c r="AJ171" s="22">
        <v>9.5151518951752596</v>
      </c>
      <c r="AK171" s="22">
        <v>0</v>
      </c>
      <c r="AL171" s="22">
        <v>4.7828899999999992</v>
      </c>
      <c r="AM171" s="22">
        <v>43.046970747601918</v>
      </c>
      <c r="AN171" s="22">
        <v>33.480229999999999</v>
      </c>
      <c r="AO171" s="22">
        <v>9.5657799999999984</v>
      </c>
      <c r="AP171" s="22">
        <v>35.241303315463924</v>
      </c>
      <c r="AQ171" s="22">
        <v>13.391695259876292</v>
      </c>
      <c r="AR171" s="22">
        <v>48.367382862474066</v>
      </c>
      <c r="AS171" s="22">
        <v>1.3665400000000001</v>
      </c>
      <c r="AT171" s="22">
        <v>4.7828900000000001</v>
      </c>
      <c r="AU171" s="22">
        <v>24.597720000000006</v>
      </c>
      <c r="AV171" s="22"/>
      <c r="AX171" s="13"/>
    </row>
    <row r="172" spans="1:59" s="12" customFormat="1" x14ac:dyDescent="0.3">
      <c r="A172" s="12" t="s">
        <v>90</v>
      </c>
      <c r="B172" s="12" t="s">
        <v>43</v>
      </c>
      <c r="C172" s="12" t="s">
        <v>98</v>
      </c>
      <c r="E172" s="12" t="s">
        <v>73</v>
      </c>
      <c r="G172" s="12" t="s">
        <v>74</v>
      </c>
      <c r="H172" s="12" t="s">
        <v>75</v>
      </c>
      <c r="I172" s="12">
        <v>2010</v>
      </c>
      <c r="J172" s="12" t="s">
        <v>56</v>
      </c>
      <c r="L172" s="22">
        <v>4.2289563978556703</v>
      </c>
      <c r="M172" s="22">
        <v>7.515970000000002</v>
      </c>
      <c r="N172" s="22">
        <v>4.0996199999999998</v>
      </c>
      <c r="O172" s="22">
        <v>8.8825099999999999</v>
      </c>
      <c r="P172" s="22">
        <v>7.7530867294020629</v>
      </c>
      <c r="Q172" s="22">
        <v>3.6828253000000011</v>
      </c>
      <c r="R172" s="22">
        <v>0</v>
      </c>
      <c r="S172" s="22">
        <v>17.743775532258137</v>
      </c>
      <c r="T172" s="22">
        <v>33.480230000000006</v>
      </c>
      <c r="U172" s="22">
        <v>4.7828899999999992</v>
      </c>
      <c r="V172" s="22">
        <v>2.7330799999999997</v>
      </c>
      <c r="W172" s="22">
        <v>43.04601000000001</v>
      </c>
      <c r="X172" s="22">
        <v>0</v>
      </c>
      <c r="Y172" s="22">
        <v>86.092020000000005</v>
      </c>
      <c r="Z172" s="22">
        <v>10.249049999999999</v>
      </c>
      <c r="AA172" s="22">
        <v>3.1748471660307724</v>
      </c>
      <c r="AB172" s="22">
        <v>9.5657800000000019</v>
      </c>
      <c r="AC172" s="22">
        <v>7.5159700000000011</v>
      </c>
      <c r="AD172" s="22">
        <v>0</v>
      </c>
      <c r="AE172" s="22">
        <v>22.547909999999991</v>
      </c>
      <c r="AF172" s="22">
        <v>6.1494300000000006</v>
      </c>
      <c r="AG172" s="22">
        <v>0</v>
      </c>
      <c r="AH172" s="22">
        <v>5.4661599999999995</v>
      </c>
      <c r="AI172" s="22">
        <v>2.1144781989278352</v>
      </c>
      <c r="AJ172" s="22">
        <v>9.5151518951752596</v>
      </c>
      <c r="AK172" s="22">
        <v>0</v>
      </c>
      <c r="AL172" s="22">
        <v>4.7828899999999992</v>
      </c>
      <c r="AM172" s="22">
        <v>43.046970747601918</v>
      </c>
      <c r="AN172" s="22">
        <v>33.480229999999999</v>
      </c>
      <c r="AO172" s="22">
        <v>9.5657799999999984</v>
      </c>
      <c r="AP172" s="22">
        <v>35.241303315463924</v>
      </c>
      <c r="AQ172" s="22">
        <v>13.391695259876292</v>
      </c>
      <c r="AR172" s="22">
        <v>48.367382862474066</v>
      </c>
      <c r="AS172" s="22">
        <v>1.3665400000000001</v>
      </c>
      <c r="AT172" s="22">
        <v>4.7828900000000001</v>
      </c>
      <c r="AU172" s="22">
        <v>24.597720000000006</v>
      </c>
      <c r="AV172" s="22"/>
      <c r="AW172" s="13">
        <f>SUM(M172:O172,R172:AC172,AE172:AH172,AK172:AL172,AN172:AP172,AR172:AU172)</f>
        <v>435.22998887622691</v>
      </c>
      <c r="BC172" s="13">
        <f>AW172-AU172</f>
        <v>410.63226887622693</v>
      </c>
    </row>
    <row r="173" spans="1:59" s="12" customFormat="1" x14ac:dyDescent="0.3">
      <c r="A173" s="12" t="s">
        <v>90</v>
      </c>
      <c r="B173" s="12" t="s">
        <v>43</v>
      </c>
      <c r="C173" s="12" t="s">
        <v>98</v>
      </c>
      <c r="E173" s="12" t="s">
        <v>73</v>
      </c>
      <c r="G173" s="12" t="s">
        <v>74</v>
      </c>
      <c r="H173" s="12" t="s">
        <v>75</v>
      </c>
      <c r="I173" s="12">
        <v>2020</v>
      </c>
      <c r="J173" s="12" t="s">
        <v>56</v>
      </c>
      <c r="L173" s="22">
        <v>2.4170081877426215</v>
      </c>
      <c r="M173" s="22">
        <v>4.441255</v>
      </c>
      <c r="N173" s="22">
        <v>7.1680849429178197</v>
      </c>
      <c r="O173" s="22">
        <v>4.782890000000001</v>
      </c>
      <c r="P173" s="22">
        <v>4.4311816775281399</v>
      </c>
      <c r="Q173" s="22">
        <v>2.1762149499999999</v>
      </c>
      <c r="R173" s="22">
        <v>0</v>
      </c>
      <c r="S173" s="22">
        <v>10.236266202713443</v>
      </c>
      <c r="T173" s="22">
        <v>18.789924999999997</v>
      </c>
      <c r="U173" s="22">
        <v>2.7330800000000002</v>
      </c>
      <c r="V173" s="22">
        <v>4.869938598000001</v>
      </c>
      <c r="W173" s="22">
        <v>24.256084999999999</v>
      </c>
      <c r="X173" s="22">
        <v>0</v>
      </c>
      <c r="Y173" s="22">
        <v>48.512169999999998</v>
      </c>
      <c r="Z173" s="22">
        <v>5.8077949999999996</v>
      </c>
      <c r="AA173" s="22">
        <v>1.8063024277927302</v>
      </c>
      <c r="AB173" s="22">
        <v>5.4661600000000004</v>
      </c>
      <c r="AC173" s="22">
        <v>4.0996199999999998</v>
      </c>
      <c r="AD173" s="22">
        <v>0</v>
      </c>
      <c r="AE173" s="22">
        <v>12.640494999999998</v>
      </c>
      <c r="AF173" s="22">
        <v>3.41635</v>
      </c>
      <c r="AG173" s="22">
        <v>0</v>
      </c>
      <c r="AH173" s="22">
        <v>3.0747150000000003</v>
      </c>
      <c r="AI173" s="22">
        <v>1.2085040938713107</v>
      </c>
      <c r="AJ173" s="22">
        <v>5.438268422420899</v>
      </c>
      <c r="AK173" s="22">
        <v>0</v>
      </c>
      <c r="AL173" s="22">
        <v>2.391445</v>
      </c>
      <c r="AM173" s="22">
        <v>24.509503880857793</v>
      </c>
      <c r="AN173" s="22">
        <v>19.13156</v>
      </c>
      <c r="AO173" s="22">
        <v>5.4661600000000004</v>
      </c>
      <c r="AP173" s="22">
        <v>20.14173489785518</v>
      </c>
      <c r="AQ173" s="22">
        <v>7.6538592611849685</v>
      </c>
      <c r="AR173" s="22">
        <v>27.538768405458192</v>
      </c>
      <c r="AS173" s="22">
        <v>0.68327000000000004</v>
      </c>
      <c r="AT173" s="22">
        <v>2.7330800000000002</v>
      </c>
      <c r="AU173" s="22">
        <v>14.007034999999998</v>
      </c>
      <c r="AV173" s="22"/>
      <c r="AX173" s="13">
        <f>SUM(M173:O173,R173:AC173,AE173:AH173,AK173:AL173,AN173:AP173,AR173:AU173)</f>
        <v>254.19418547473734</v>
      </c>
      <c r="BD173" s="13">
        <f>AX173-AU173</f>
        <v>240.18715047473734</v>
      </c>
    </row>
    <row r="174" spans="1:59" s="12" customFormat="1" x14ac:dyDescent="0.3">
      <c r="A174" s="12" t="s">
        <v>90</v>
      </c>
      <c r="B174" s="12" t="s">
        <v>43</v>
      </c>
      <c r="C174" s="12" t="s">
        <v>98</v>
      </c>
      <c r="E174" s="12" t="s">
        <v>73</v>
      </c>
      <c r="G174" s="12" t="s">
        <v>74</v>
      </c>
      <c r="H174" s="12" t="s">
        <v>75</v>
      </c>
      <c r="I174" s="12">
        <v>2030</v>
      </c>
      <c r="J174" s="12" t="s">
        <v>56</v>
      </c>
      <c r="L174" s="22">
        <v>2.5082044992685568</v>
      </c>
      <c r="M174" s="29">
        <f>M317*[1]bioshares!D100</f>
        <v>3.8439247609651526</v>
      </c>
      <c r="N174" s="29">
        <f>N317*[1]bioshares!E100</f>
        <v>4.7592049916550385</v>
      </c>
      <c r="O174" s="29">
        <f>O317*[1]bioshares!F100</f>
        <v>4.2022375115447952</v>
      </c>
      <c r="P174" s="22">
        <v>4.598374915325687</v>
      </c>
      <c r="Q174" s="22">
        <v>2.2699595940000004</v>
      </c>
      <c r="R174" s="29">
        <f>R317*[1]bioshares!I100</f>
        <v>0</v>
      </c>
      <c r="S174" s="29">
        <f>S317*[1]bioshares!J100</f>
        <v>8.7377676230500718</v>
      </c>
      <c r="T174" s="29">
        <f>T317*[1]bioshares!K100</f>
        <v>16.480118724444694</v>
      </c>
      <c r="U174" s="29">
        <f>U317*[1]bioshares!L100</f>
        <v>2.4605654074614693</v>
      </c>
      <c r="V174" s="29">
        <f>V317*[1]bioshares!M100</f>
        <v>1.8210451817433724</v>
      </c>
      <c r="W174" s="29">
        <f>W317*[1]bioshares!N100</f>
        <v>21.074686019852013</v>
      </c>
      <c r="X174" s="29">
        <f>X317*[1]bioshares!O100</f>
        <v>0</v>
      </c>
      <c r="Y174" s="29">
        <f>Y317*[1]bioshares!P100</f>
        <v>42.335331821650435</v>
      </c>
      <c r="Z174" s="29">
        <f>Z317*[1]bioshares!Q100</f>
        <v>5.1819280700916659</v>
      </c>
      <c r="AA174" s="29">
        <f>AA317*[1]bioshares!R100</f>
        <v>1.6381743585674902</v>
      </c>
      <c r="AB174" s="29">
        <f>AB317*[1]bioshares!S100</f>
        <v>4.7759914729159938</v>
      </c>
      <c r="AC174" s="29">
        <f>AC317*[1]bioshares!T100</f>
        <v>3.6375547590490287</v>
      </c>
      <c r="AD174" s="22">
        <v>0</v>
      </c>
      <c r="AE174" s="29">
        <f>AE317*[1]bioshares!V100</f>
        <v>11.327672083198193</v>
      </c>
      <c r="AF174" s="29">
        <f>AF317*[1]bioshares!W100</f>
        <v>3.0229803577383763</v>
      </c>
      <c r="AG174" s="29">
        <f>AG317*[1]bioshares!X100</f>
        <v>9.7515495410915379E-2</v>
      </c>
      <c r="AH174" s="29">
        <f>AH317*[1]bioshares!Y100</f>
        <v>2.7508440914753569</v>
      </c>
      <c r="AI174" s="22">
        <v>1.2541022496342784</v>
      </c>
      <c r="AJ174" s="22">
        <v>5.6434601233542532</v>
      </c>
      <c r="AK174" s="29">
        <f>AK317*[1]bioshares!AB100</f>
        <v>2.2678022188584966E-2</v>
      </c>
      <c r="AL174" s="29">
        <f>AL317*[1]bioshares!AC100</f>
        <v>2.1838935367607326</v>
      </c>
      <c r="AM174" s="22">
        <v>25.445025048783005</v>
      </c>
      <c r="AN174" s="29">
        <f>AN317*[1]bioshares!AE100</f>
        <v>16.523206966603006</v>
      </c>
      <c r="AO174" s="29">
        <f>AO317*[1]bioshares!AF100</f>
        <v>4.6240487242524768</v>
      </c>
      <c r="AP174" s="29">
        <f>AP317*[1]bioshares!AG100</f>
        <v>17.343411489333455</v>
      </c>
      <c r="AQ174" s="29">
        <f>AQ317*[1]bioshares!AH100</f>
        <v>0</v>
      </c>
      <c r="AR174" s="29">
        <f>AR317*[1]bioshares!AI100</f>
        <v>23.722786912399002</v>
      </c>
      <c r="AS174" s="29">
        <f>AS317*[1]bioshares!AJ100</f>
        <v>0.57828956580891666</v>
      </c>
      <c r="AT174" s="29">
        <f>AT317*[1]bioshares!AK100</f>
        <v>2.4787078252123367</v>
      </c>
      <c r="AU174" s="22">
        <v>14.515387879999997</v>
      </c>
      <c r="AV174" s="22"/>
      <c r="AY174" s="13">
        <f>SUM(M174:O174,R174:AC174,AE174:AH174,AK174:AL174,AN174:AP174,AR174:AU174)</f>
        <v>220.13995365337252</v>
      </c>
      <c r="BE174" s="13">
        <f>AY174-AU174</f>
        <v>205.62456577337252</v>
      </c>
    </row>
    <row r="175" spans="1:59" s="12" customFormat="1" x14ac:dyDescent="0.3">
      <c r="A175" s="12" t="s">
        <v>90</v>
      </c>
      <c r="B175" s="12" t="s">
        <v>43</v>
      </c>
      <c r="C175" s="12" t="s">
        <v>98</v>
      </c>
      <c r="E175" s="12" t="s">
        <v>73</v>
      </c>
      <c r="G175" s="12" t="s">
        <v>74</v>
      </c>
      <c r="H175" s="12" t="s">
        <v>75</v>
      </c>
      <c r="I175" s="12">
        <v>2040</v>
      </c>
      <c r="J175" s="12" t="s">
        <v>56</v>
      </c>
      <c r="L175" s="22">
        <v>2.5085300465838865</v>
      </c>
      <c r="M175" s="29">
        <f>M318*[1]bioshares!D101</f>
        <v>3.8864187763043856</v>
      </c>
      <c r="N175" s="29">
        <f>N318*[1]bioshares!E101</f>
        <v>7.4153119503012466</v>
      </c>
      <c r="O175" s="29">
        <f>O318*[1]bioshares!F101</f>
        <v>4.5930403719960911</v>
      </c>
      <c r="P175" s="22">
        <v>4.5989717520704589</v>
      </c>
      <c r="Q175" s="22">
        <v>1.4731301200000004</v>
      </c>
      <c r="R175" s="29">
        <f>R318*[1]bioshares!I101</f>
        <v>0</v>
      </c>
      <c r="S175" s="29">
        <f>S318*[1]bioshares!J101</f>
        <v>9.1741377972484237</v>
      </c>
      <c r="T175" s="29">
        <f>T318*[1]bioshares!K101</f>
        <v>17.312229094446806</v>
      </c>
      <c r="U175" s="29">
        <f>U318*[1]bioshares!L101</f>
        <v>3.8334221566275066</v>
      </c>
      <c r="V175" s="29">
        <f>V318*[1]bioshares!M101</f>
        <v>0</v>
      </c>
      <c r="W175" s="29">
        <f>W318*[1]bioshares!N101</f>
        <v>32.833172443815137</v>
      </c>
      <c r="X175" s="29">
        <f>X318*[1]bioshares!O101</f>
        <v>0</v>
      </c>
      <c r="Y175" s="29">
        <f>Y318*[1]bioshares!P101</f>
        <v>65.956059741863868</v>
      </c>
      <c r="Z175" s="29">
        <f>Z318*[1]bioshares!Q101</f>
        <v>8.0731517307777469</v>
      </c>
      <c r="AA175" s="29">
        <f>AA318*[1]bioshares!R101</f>
        <v>2.5520070011692009</v>
      </c>
      <c r="AB175" s="29">
        <f>AB318*[1]bioshares!S101</f>
        <v>7.4407254026336673</v>
      </c>
      <c r="AC175" s="29">
        <f>AC318*[1]bioshares!T101</f>
        <v>5.6671051974474853</v>
      </c>
      <c r="AD175" s="22">
        <v>0</v>
      </c>
      <c r="AE175" s="29">
        <f>AE318*[1]bioshares!V101</f>
        <v>17.647874352400368</v>
      </c>
      <c r="AF175" s="29">
        <f>AF318*[1]bioshares!W101</f>
        <v>4.743962273767619</v>
      </c>
      <c r="AG175" s="29">
        <f>AG318*[1]bioshares!X101</f>
        <v>0.14165447568658437</v>
      </c>
      <c r="AH175" s="29">
        <f>AH318*[1]bioshares!Y101</f>
        <v>4.5590277104098096</v>
      </c>
      <c r="AI175" s="22">
        <v>1.2542650232919432</v>
      </c>
      <c r="AJ175" s="22">
        <v>5.6441926048137452</v>
      </c>
      <c r="AK175" s="29">
        <f>AK318*[1]bioshares!AB101</f>
        <v>3.5331079784585315E-2</v>
      </c>
      <c r="AL175" s="29">
        <f>AL318*[1]bioshares!AC101</f>
        <v>3.4023829832555657</v>
      </c>
      <c r="AM175" s="22">
        <v>25.41962120352056</v>
      </c>
      <c r="AN175" s="29">
        <f>AN318*[1]bioshares!AE101</f>
        <v>25.742224731048861</v>
      </c>
      <c r="AO175" s="29">
        <f>AO318*[1]bioshares!AF101</f>
        <v>7.2040071680769451</v>
      </c>
      <c r="AP175" s="29">
        <f>AP318*[1]bioshares!AG101</f>
        <v>27.023564140665723</v>
      </c>
      <c r="AQ175" s="29">
        <f>AQ318*[1]bioshares!AH101</f>
        <v>0</v>
      </c>
      <c r="AR175" s="29">
        <f>AR318*[1]bioshares!AI101</f>
        <v>36.921865360425628</v>
      </c>
      <c r="AS175" s="29">
        <f>AS318*[1]bioshares!AJ101</f>
        <v>0.90094253450692563</v>
      </c>
      <c r="AT175" s="29">
        <f>AT318*[1]bioshares!AK101</f>
        <v>3.8616870204551756</v>
      </c>
      <c r="AU175" s="22">
        <v>14.515387879999999</v>
      </c>
      <c r="AV175" s="22"/>
      <c r="AY175" s="13"/>
      <c r="AZ175" s="13">
        <f>SUM(M175:O175,R175:AC175,AE175:AH175,AK175:AL175,AN175:AP175,AR175:AU175)</f>
        <v>315.43669337511534</v>
      </c>
      <c r="BF175" s="13">
        <f>AZ175-AU175</f>
        <v>300.92130549511535</v>
      </c>
    </row>
    <row r="176" spans="1:59" s="15" customFormat="1" x14ac:dyDescent="0.3">
      <c r="A176" s="15" t="s">
        <v>90</v>
      </c>
      <c r="B176" s="15" t="s">
        <v>43</v>
      </c>
      <c r="C176" s="15" t="s">
        <v>98</v>
      </c>
      <c r="E176" s="15" t="s">
        <v>73</v>
      </c>
      <c r="G176" s="15" t="s">
        <v>74</v>
      </c>
      <c r="H176" s="15" t="s">
        <v>75</v>
      </c>
      <c r="I176" s="15">
        <v>2050</v>
      </c>
      <c r="J176" s="15" t="s">
        <v>56</v>
      </c>
      <c r="L176" s="23">
        <v>2.5091033208238454</v>
      </c>
      <c r="M176" s="32">
        <f>M319*[1]bioshares!D102</f>
        <v>2.4174340230487465</v>
      </c>
      <c r="N176" s="32">
        <f>N319*[1]bioshares!E102</f>
        <v>4.6126728211476102</v>
      </c>
      <c r="O176" s="32">
        <f>O319*[1]bioshares!F102</f>
        <v>2.8569674817848814</v>
      </c>
      <c r="P176" s="23">
        <v>4.6000227548437165</v>
      </c>
      <c r="Q176" s="23">
        <v>1.4731301200000007</v>
      </c>
      <c r="R176" s="32">
        <f>R319*[1]bioshares!I102</f>
        <v>0</v>
      </c>
      <c r="S176" s="32">
        <f>S319*[1]bioshares!J102</f>
        <v>5.7065660802104814</v>
      </c>
      <c r="T176" s="32">
        <f>T319*[1]bioshares!K102</f>
        <v>10.768569739035327</v>
      </c>
      <c r="U176" s="32">
        <f>U319*[1]bioshares!L102</f>
        <v>2.3844690136435363</v>
      </c>
      <c r="V176" s="32">
        <f>V319*[1]bioshares!M102</f>
        <v>0</v>
      </c>
      <c r="W176" s="32">
        <f>W319*[1]bioshares!N102</f>
        <v>20.42292216017454</v>
      </c>
      <c r="X176" s="32">
        <f>X319*[1]bioshares!O102</f>
        <v>0</v>
      </c>
      <c r="Y176" s="32">
        <f>Y319*[1]bioshares!P102</f>
        <v>41.026053038430888</v>
      </c>
      <c r="Z176" s="32">
        <f>Z319*[1]bioshares!Q102</f>
        <v>5.0216697660603495</v>
      </c>
      <c r="AA176" s="32">
        <f>AA319*[1]bioshares!R102</f>
        <v>1.5866476360395176</v>
      </c>
      <c r="AB176" s="32">
        <f>AB319*[1]bioshares!S102</f>
        <v>4.6282873204915074</v>
      </c>
      <c r="AC176" s="32">
        <f>AC319*[1]bioshares!T102</f>
        <v>3.5250583390638073</v>
      </c>
      <c r="AD176" s="23">
        <v>0</v>
      </c>
      <c r="AE176" s="32">
        <f>AE319*[1]bioshares!V102</f>
        <v>10.97734813193499</v>
      </c>
      <c r="AF176" s="32">
        <f>AF319*[1]bioshares!W102</f>
        <v>3.1268389537789645</v>
      </c>
      <c r="AG176" s="32">
        <f>AG319*[1]bioshares!X102</f>
        <v>8.5907031235510856E-2</v>
      </c>
      <c r="AH176" s="32">
        <f>AH319*[1]bioshares!Y102</f>
        <v>2.8752241375602798</v>
      </c>
      <c r="AI176" s="23">
        <v>1.2545516604119227</v>
      </c>
      <c r="AJ176" s="23">
        <v>5.6454824718536525</v>
      </c>
      <c r="AK176" s="32">
        <f>AK319*[1]bioshares!AB102</f>
        <v>2.1976672936806777E-2</v>
      </c>
      <c r="AL176" s="32">
        <f>AL319*[1]bioshares!AC102</f>
        <v>2.1163536038144928</v>
      </c>
      <c r="AM176" s="23">
        <v>25.435197892568372</v>
      </c>
      <c r="AN176" s="32">
        <f>AN319*[1]bioshares!AE102</f>
        <v>16.012203901757413</v>
      </c>
      <c r="AO176" s="32">
        <f>AO319*[1]bioshares!AF102</f>
        <v>4.4810436118149024</v>
      </c>
      <c r="AP176" s="32">
        <f>AP319*[1]bioshares!AG102</f>
        <v>16.813065310443839</v>
      </c>
      <c r="AQ176" s="32">
        <f>AQ319*[1]bioshares!AH102</f>
        <v>0</v>
      </c>
      <c r="AR176" s="32">
        <f>AR319*[1]bioshares!AI102</f>
        <v>22.980248203653684</v>
      </c>
      <c r="AS176" s="32">
        <f>AS319*[1]bioshares!AJ102</f>
        <v>0.56040515988857287</v>
      </c>
      <c r="AT176" s="32">
        <f>AT319*[1]bioshares!AK102</f>
        <v>2.402050351992981</v>
      </c>
      <c r="AU176" s="23">
        <v>14.515387880000002</v>
      </c>
      <c r="AV176" s="23"/>
      <c r="AY176" s="16"/>
      <c r="AZ176" s="16"/>
      <c r="BA176" s="16">
        <f>SUM(M176:O176,R176:AC176,AE176:AH176,AK176:AL176,AN176:AP176,AR176:AU176)</f>
        <v>201.92537036994361</v>
      </c>
      <c r="BG176" s="16">
        <f>BA176-AU176</f>
        <v>187.40998248994362</v>
      </c>
    </row>
    <row r="177" spans="1:59" x14ac:dyDescent="0.3">
      <c r="A177" t="s">
        <v>90</v>
      </c>
      <c r="B177" t="s">
        <v>43</v>
      </c>
      <c r="C177" t="s">
        <v>98</v>
      </c>
      <c r="F177" t="s">
        <v>77</v>
      </c>
      <c r="H177" t="s">
        <v>78</v>
      </c>
      <c r="I177">
        <v>2005</v>
      </c>
      <c r="J177" t="s">
        <v>56</v>
      </c>
      <c r="L177" s="18">
        <v>2.7545950986829451</v>
      </c>
      <c r="M177" s="18">
        <v>3.4616844075918221</v>
      </c>
      <c r="N177" s="18">
        <v>3.5422656361288762</v>
      </c>
      <c r="O177" s="18">
        <v>2.9901457219952157</v>
      </c>
      <c r="P177" s="18">
        <v>2.891493768524378</v>
      </c>
      <c r="Q177" s="18">
        <v>3.4616844075918221</v>
      </c>
      <c r="R177" s="18">
        <v>3.2525393678686876</v>
      </c>
      <c r="S177" s="18">
        <v>3.3268932915496556</v>
      </c>
      <c r="T177" s="18">
        <v>3.5211407669047454</v>
      </c>
      <c r="U177" s="18">
        <v>3.138804833002526</v>
      </c>
      <c r="V177" s="18">
        <v>3.0761432878007455</v>
      </c>
      <c r="W177" s="18">
        <v>3.6591690243085599</v>
      </c>
      <c r="X177" s="18">
        <v>3.9491676983336443</v>
      </c>
      <c r="Y177" s="18">
        <v>3.3444197304384153</v>
      </c>
      <c r="Z177" s="18">
        <v>3.2525393678686876</v>
      </c>
      <c r="AA177" s="18">
        <v>3.0767095507426561</v>
      </c>
      <c r="AB177" s="18">
        <v>2.6542307524860642</v>
      </c>
      <c r="AC177" s="18">
        <v>3.2629049201080864</v>
      </c>
      <c r="AD177" s="18">
        <v>0</v>
      </c>
      <c r="AE177" s="18">
        <v>3.3432029883512473</v>
      </c>
      <c r="AF177" s="18">
        <v>3.2293785939332795</v>
      </c>
      <c r="AG177" s="18">
        <v>3.5161635593439717</v>
      </c>
      <c r="AH177" s="18">
        <v>3.0706780807204814</v>
      </c>
      <c r="AI177" s="18">
        <v>2.7545950986829451</v>
      </c>
      <c r="AJ177" s="18">
        <v>2.7545950986829451</v>
      </c>
      <c r="AK177" s="18">
        <v>3.2400506055580367</v>
      </c>
      <c r="AL177" s="18">
        <v>3.9454976157432444</v>
      </c>
      <c r="AM177" s="18">
        <v>4.0841601008857245</v>
      </c>
      <c r="AN177" s="18">
        <v>3.3234956340093724</v>
      </c>
      <c r="AO177" s="18">
        <v>3.6352310601484352</v>
      </c>
      <c r="AP177" s="18">
        <v>2.7545950986829451</v>
      </c>
      <c r="AQ177" s="18">
        <v>2.7545950986829451</v>
      </c>
      <c r="AR177" s="18">
        <v>4.0841601008857245</v>
      </c>
      <c r="AS177" s="18">
        <v>3.0094792317951709</v>
      </c>
      <c r="AT177" s="18">
        <v>2.891493768524378</v>
      </c>
      <c r="AU177" s="18">
        <v>3.1624884501783752</v>
      </c>
      <c r="AV177" s="18"/>
    </row>
    <row r="178" spans="1:59" x14ac:dyDescent="0.3">
      <c r="A178" t="s">
        <v>90</v>
      </c>
      <c r="B178" t="s">
        <v>43</v>
      </c>
      <c r="C178" t="s">
        <v>98</v>
      </c>
      <c r="F178" t="s">
        <v>77</v>
      </c>
      <c r="H178" t="s">
        <v>78</v>
      </c>
      <c r="I178">
        <v>2010</v>
      </c>
      <c r="J178" t="s">
        <v>56</v>
      </c>
      <c r="L178" s="37">
        <v>2.7545950986829451</v>
      </c>
      <c r="M178" s="18">
        <v>3.4616844075918221</v>
      </c>
      <c r="N178" s="18">
        <v>3.5422656361288762</v>
      </c>
      <c r="O178" s="18">
        <v>2.9901457219952157</v>
      </c>
      <c r="P178" s="37">
        <v>2.891493768524378</v>
      </c>
      <c r="Q178" s="18">
        <v>3.4616844075918221</v>
      </c>
      <c r="R178" s="18">
        <v>3.2525393678686876</v>
      </c>
      <c r="S178" s="18">
        <v>3.3268932915496556</v>
      </c>
      <c r="T178" s="18">
        <v>3.5211407669047454</v>
      </c>
      <c r="U178" s="18">
        <v>3.138804833002526</v>
      </c>
      <c r="V178" s="18">
        <v>3.0761432878007455</v>
      </c>
      <c r="W178" s="18">
        <v>3.6591690243085599</v>
      </c>
      <c r="X178" s="18">
        <v>3.9491676983336443</v>
      </c>
      <c r="Y178" s="18">
        <v>3.3444197304384153</v>
      </c>
      <c r="Z178" s="18">
        <v>3.2525393678686876</v>
      </c>
      <c r="AA178" s="18">
        <v>3.0767095507426561</v>
      </c>
      <c r="AB178" s="18">
        <v>2.6542307524860642</v>
      </c>
      <c r="AC178" s="18">
        <v>3.2629049201080864</v>
      </c>
      <c r="AD178" s="18">
        <v>0</v>
      </c>
      <c r="AE178" s="18">
        <v>3.3432029883512473</v>
      </c>
      <c r="AF178" s="18">
        <v>3.2293785939332795</v>
      </c>
      <c r="AG178" s="18">
        <v>3.5161635593439717</v>
      </c>
      <c r="AH178" s="18">
        <v>3.0706780807204814</v>
      </c>
      <c r="AI178" s="37">
        <v>2.7545950986829451</v>
      </c>
      <c r="AJ178" s="37">
        <v>2.7545950986829451</v>
      </c>
      <c r="AK178" s="18">
        <v>3.2400506055580367</v>
      </c>
      <c r="AL178" s="18">
        <v>3.9454976157432444</v>
      </c>
      <c r="AM178" s="37">
        <v>4.0841601008857245</v>
      </c>
      <c r="AN178" s="18">
        <v>3.3234956340093724</v>
      </c>
      <c r="AO178" s="18">
        <v>3.6352310601484352</v>
      </c>
      <c r="AP178" s="18">
        <v>2.7545950986829451</v>
      </c>
      <c r="AQ178" s="37">
        <v>2.7545950986829451</v>
      </c>
      <c r="AR178" s="18">
        <v>4.0841601008857245</v>
      </c>
      <c r="AS178" s="18">
        <v>3.0094792317951709</v>
      </c>
      <c r="AT178" s="18">
        <v>2.891493768524378</v>
      </c>
      <c r="AU178" s="18">
        <v>3.1624884501783752</v>
      </c>
      <c r="AV178" s="18"/>
    </row>
    <row r="179" spans="1:59" x14ac:dyDescent="0.3">
      <c r="A179" t="s">
        <v>90</v>
      </c>
      <c r="B179" t="s">
        <v>43</v>
      </c>
      <c r="C179" t="s">
        <v>98</v>
      </c>
      <c r="F179" t="s">
        <v>77</v>
      </c>
      <c r="H179" t="s">
        <v>78</v>
      </c>
      <c r="I179">
        <v>2020</v>
      </c>
      <c r="J179" t="s">
        <v>56</v>
      </c>
      <c r="L179" s="37">
        <v>2.5920570130934588</v>
      </c>
      <c r="M179" s="18">
        <v>3.2523683467207669</v>
      </c>
      <c r="N179" s="18">
        <v>3.3284833684332313</v>
      </c>
      <c r="O179" s="18">
        <v>2.8101897447587567</v>
      </c>
      <c r="P179" s="37">
        <v>2.7210384813411208</v>
      </c>
      <c r="Q179" s="18">
        <v>3.2523683467207669</v>
      </c>
      <c r="R179" s="19">
        <v>3.0569960038252564</v>
      </c>
      <c r="S179" s="18">
        <v>3.12211783074385</v>
      </c>
      <c r="T179" s="18">
        <v>3.3075150794003498</v>
      </c>
      <c r="U179" s="18">
        <v>2.9658626767857639</v>
      </c>
      <c r="V179" s="18">
        <v>2.8909908205871635</v>
      </c>
      <c r="W179" s="18">
        <v>3.4332029046416865</v>
      </c>
      <c r="X179" s="18">
        <v>3.7039701637854732</v>
      </c>
      <c r="Y179" s="18">
        <v>3.1452940942316991</v>
      </c>
      <c r="Z179" s="18">
        <v>3.0569960038252564</v>
      </c>
      <c r="AA179" s="18">
        <v>2.8904408627435934</v>
      </c>
      <c r="AB179" s="18">
        <v>2.5019598158653138</v>
      </c>
      <c r="AC179" s="18">
        <v>3.0699187633729825</v>
      </c>
      <c r="AD179" s="18">
        <v>0</v>
      </c>
      <c r="AE179" s="18">
        <v>3.1463562718228055</v>
      </c>
      <c r="AF179" s="18">
        <v>3.0302355571893194</v>
      </c>
      <c r="AG179" s="18">
        <v>3.3023812916483268</v>
      </c>
      <c r="AH179" s="18">
        <v>2.8849176184557734</v>
      </c>
      <c r="AI179" s="37">
        <v>2.5920570130934588</v>
      </c>
      <c r="AJ179" s="37">
        <v>2.5920570130934588</v>
      </c>
      <c r="AK179" s="18">
        <v>3.0432038890295963</v>
      </c>
      <c r="AL179" s="18">
        <v>3.7012685408533761</v>
      </c>
      <c r="AM179" s="37">
        <v>3.8302785114583662</v>
      </c>
      <c r="AN179" s="18">
        <v>3.1183121412376469</v>
      </c>
      <c r="AO179" s="18">
        <v>3.4069874983768571</v>
      </c>
      <c r="AP179" s="18">
        <v>2.5920570130934588</v>
      </c>
      <c r="AQ179" s="37">
        <v>2.5920570130934588</v>
      </c>
      <c r="AR179" s="18">
        <v>3.8302785114583662</v>
      </c>
      <c r="AS179" s="18">
        <v>2.8311732113554005</v>
      </c>
      <c r="AT179" s="18">
        <v>2.7210384813411208</v>
      </c>
      <c r="AU179" s="18">
        <v>2.9803719349271875</v>
      </c>
      <c r="AV179" s="18"/>
    </row>
    <row r="180" spans="1:59" x14ac:dyDescent="0.3">
      <c r="A180" t="s">
        <v>90</v>
      </c>
      <c r="B180" t="s">
        <v>43</v>
      </c>
      <c r="C180" t="s">
        <v>98</v>
      </c>
      <c r="F180" t="s">
        <v>77</v>
      </c>
      <c r="H180" t="s">
        <v>78</v>
      </c>
      <c r="I180">
        <v>2030</v>
      </c>
      <c r="J180" t="s">
        <v>56</v>
      </c>
      <c r="L180" s="37">
        <v>2.4020774325343197</v>
      </c>
      <c r="M180" s="18">
        <v>3.0077132106377151</v>
      </c>
      <c r="N180" s="18">
        <v>3.0786079906071522</v>
      </c>
      <c r="O180" s="18">
        <v>2.599851589547312</v>
      </c>
      <c r="P180" s="37">
        <v>2.5218050287892622</v>
      </c>
      <c r="Q180" s="18">
        <v>3.0077132106377151</v>
      </c>
      <c r="R180" s="19">
        <v>2.8284388250731949</v>
      </c>
      <c r="S180" s="18">
        <v>2.8827698895422591</v>
      </c>
      <c r="T180" s="18">
        <v>3.0578227173822246</v>
      </c>
      <c r="U180" s="18">
        <v>2.7637224941947438</v>
      </c>
      <c r="V180" s="18">
        <v>2.6745788459219368</v>
      </c>
      <c r="W180" s="18">
        <v>3.1690866608752124</v>
      </c>
      <c r="X180" s="18">
        <v>3.4173756428850131</v>
      </c>
      <c r="Y180" s="18">
        <v>2.9125498441199515</v>
      </c>
      <c r="Z180" s="18">
        <v>2.8284388250731949</v>
      </c>
      <c r="AA180" s="18">
        <v>2.6727242144330017</v>
      </c>
      <c r="AB180" s="18">
        <v>2.3239807990358652</v>
      </c>
      <c r="AC180" s="18">
        <v>2.8443505282280555</v>
      </c>
      <c r="AD180" s="18">
        <v>0</v>
      </c>
      <c r="AE180" s="18">
        <v>2.9162756940622909</v>
      </c>
      <c r="AF180" s="18">
        <v>2.7974709687872874</v>
      </c>
      <c r="AG180" s="18">
        <v>3.0525059138222481</v>
      </c>
      <c r="AH180" s="18">
        <v>2.6677950002242956</v>
      </c>
      <c r="AI180" s="37">
        <v>2.4020774325343197</v>
      </c>
      <c r="AJ180" s="37">
        <v>2.4020774325343197</v>
      </c>
      <c r="AK180" s="18">
        <v>2.8131233112690817</v>
      </c>
      <c r="AL180" s="18">
        <v>3.4158059857872964</v>
      </c>
      <c r="AM180" s="37">
        <v>3.5335337965432712</v>
      </c>
      <c r="AN180" s="18">
        <v>2.8784872795564098</v>
      </c>
      <c r="AO180" s="18">
        <v>3.140209309293196</v>
      </c>
      <c r="AP180" s="18">
        <v>2.4020774325343197</v>
      </c>
      <c r="AQ180" s="37">
        <v>2.4020774325343197</v>
      </c>
      <c r="AR180" s="18">
        <v>3.5335337965432712</v>
      </c>
      <c r="AS180" s="18">
        <v>2.6227635770751494</v>
      </c>
      <c r="AT180" s="18">
        <v>2.5218050287892622</v>
      </c>
      <c r="AU180" s="18">
        <v>2.7675084755426811</v>
      </c>
      <c r="AV180" s="18"/>
    </row>
    <row r="181" spans="1:59" x14ac:dyDescent="0.3">
      <c r="A181" t="s">
        <v>90</v>
      </c>
      <c r="B181" t="s">
        <v>43</v>
      </c>
      <c r="C181" t="s">
        <v>98</v>
      </c>
      <c r="F181" t="s">
        <v>77</v>
      </c>
      <c r="H181" t="s">
        <v>78</v>
      </c>
      <c r="I181">
        <v>2040</v>
      </c>
      <c r="J181" t="s">
        <v>56</v>
      </c>
      <c r="L181" s="37">
        <v>2.2310958100310945</v>
      </c>
      <c r="M181" s="18">
        <v>2.7875235881629679</v>
      </c>
      <c r="N181" s="18">
        <v>2.8537201505636816</v>
      </c>
      <c r="O181" s="18">
        <v>2.4105472498570126</v>
      </c>
      <c r="P181" s="37">
        <v>2.3424949214925888</v>
      </c>
      <c r="Q181" s="18">
        <v>2.7875235881629679</v>
      </c>
      <c r="R181" s="19">
        <v>2.6227373641963392</v>
      </c>
      <c r="S181" s="18">
        <v>2.6673567424608278</v>
      </c>
      <c r="T181" s="18">
        <v>2.8330995915659112</v>
      </c>
      <c r="U181" s="18">
        <v>2.5817963298628266</v>
      </c>
      <c r="V181" s="18">
        <v>2.4798080687232327</v>
      </c>
      <c r="W181" s="18">
        <v>2.9313820414853859</v>
      </c>
      <c r="X181" s="18">
        <v>3.1594405740746003</v>
      </c>
      <c r="Y181" s="18">
        <v>2.7030800190193807</v>
      </c>
      <c r="Z181" s="18">
        <v>2.6227373641963392</v>
      </c>
      <c r="AA181" s="18">
        <v>2.4767792309534684</v>
      </c>
      <c r="AB181" s="18">
        <v>2.1637996838893612</v>
      </c>
      <c r="AC181" s="18">
        <v>2.6413391165976208</v>
      </c>
      <c r="AD181" s="18">
        <v>0</v>
      </c>
      <c r="AE181" s="18">
        <v>2.7092031740778268</v>
      </c>
      <c r="AF181" s="18">
        <v>2.5879828392254591</v>
      </c>
      <c r="AG181" s="18">
        <v>2.8276180737787771</v>
      </c>
      <c r="AH181" s="18">
        <v>2.4723846438159658</v>
      </c>
      <c r="AI181" s="37">
        <v>2.2310958100310945</v>
      </c>
      <c r="AJ181" s="37">
        <v>2.2310958100310945</v>
      </c>
      <c r="AK181" s="18">
        <v>2.606050791284618</v>
      </c>
      <c r="AL181" s="18">
        <v>3.1588896862278264</v>
      </c>
      <c r="AM181" s="37">
        <v>3.2664635531196859</v>
      </c>
      <c r="AN181" s="18">
        <v>2.662644904043296</v>
      </c>
      <c r="AO181" s="18">
        <v>2.9001089391179011</v>
      </c>
      <c r="AP181" s="18">
        <v>2.2310958100310945</v>
      </c>
      <c r="AQ181" s="37">
        <v>2.2310958100310945</v>
      </c>
      <c r="AR181" s="18">
        <v>3.2664635531196859</v>
      </c>
      <c r="AS181" s="18">
        <v>2.4351949062229239</v>
      </c>
      <c r="AT181" s="18">
        <v>2.3424949214925888</v>
      </c>
      <c r="AU181" s="18">
        <v>2.5759313620966262</v>
      </c>
      <c r="AV181" s="18"/>
    </row>
    <row r="182" spans="1:59" x14ac:dyDescent="0.3">
      <c r="A182" t="s">
        <v>90</v>
      </c>
      <c r="B182" t="s">
        <v>43</v>
      </c>
      <c r="C182" t="s">
        <v>98</v>
      </c>
      <c r="F182" t="s">
        <v>77</v>
      </c>
      <c r="H182" t="s">
        <v>78</v>
      </c>
      <c r="I182">
        <v>2050</v>
      </c>
      <c r="J182" t="s">
        <v>56</v>
      </c>
      <c r="L182" s="37">
        <v>2.077212349778192</v>
      </c>
      <c r="M182" s="18">
        <v>2.5893529279356962</v>
      </c>
      <c r="N182" s="18">
        <v>2.6513210945245573</v>
      </c>
      <c r="O182" s="18">
        <v>2.2401733441357425</v>
      </c>
      <c r="P182" s="37">
        <v>2.1811158249255831</v>
      </c>
      <c r="Q182" s="18">
        <v>2.5893529279356962</v>
      </c>
      <c r="R182" s="19">
        <v>2.4376060494071692</v>
      </c>
      <c r="S182" s="18">
        <v>2.4734849100875396</v>
      </c>
      <c r="T182" s="18">
        <v>2.6308487783312287</v>
      </c>
      <c r="U182" s="18">
        <v>2.4180627819641005</v>
      </c>
      <c r="V182" s="18">
        <v>2.3045143692443992</v>
      </c>
      <c r="W182" s="18">
        <v>2.7174478840345402</v>
      </c>
      <c r="X182" s="18">
        <v>2.9272990121452285</v>
      </c>
      <c r="Y182" s="18">
        <v>2.5145571764288674</v>
      </c>
      <c r="Z182" s="18">
        <v>2.4376060494071692</v>
      </c>
      <c r="AA182" s="18">
        <v>2.3004287458218888</v>
      </c>
      <c r="AB182" s="18">
        <v>2.0196366802575079</v>
      </c>
      <c r="AC182" s="18">
        <v>2.4586288461302299</v>
      </c>
      <c r="AD182" s="18">
        <v>0</v>
      </c>
      <c r="AE182" s="18">
        <v>2.5228379060918091</v>
      </c>
      <c r="AF182" s="18">
        <v>2.3994435226198134</v>
      </c>
      <c r="AG182" s="18">
        <v>2.6252190177396533</v>
      </c>
      <c r="AH182" s="18">
        <v>2.2965153230484696</v>
      </c>
      <c r="AI182" s="37">
        <v>2.077212349778192</v>
      </c>
      <c r="AJ182" s="37">
        <v>2.077212349778192</v>
      </c>
      <c r="AK182" s="18">
        <v>2.4196855232986008</v>
      </c>
      <c r="AL182" s="18">
        <v>2.9276650166243017</v>
      </c>
      <c r="AM182" s="37">
        <v>3.0261003340384587</v>
      </c>
      <c r="AN182" s="18">
        <v>2.4683867660814944</v>
      </c>
      <c r="AO182" s="18">
        <v>2.6840186059601363</v>
      </c>
      <c r="AP182" s="18">
        <v>2.077212349778192</v>
      </c>
      <c r="AQ182" s="37">
        <v>2.077212349778192</v>
      </c>
      <c r="AR182" s="18">
        <v>3.0261003340384587</v>
      </c>
      <c r="AS182" s="18">
        <v>2.2663831024559213</v>
      </c>
      <c r="AT182" s="18">
        <v>2.1811158249255831</v>
      </c>
      <c r="AU182" s="18">
        <v>2.4035119599951753</v>
      </c>
      <c r="AV182" s="18"/>
    </row>
    <row r="183" spans="1:59" x14ac:dyDescent="0.3">
      <c r="E183" t="s">
        <v>79</v>
      </c>
    </row>
    <row r="184" spans="1:59" s="12" customFormat="1" x14ac:dyDescent="0.3">
      <c r="A184" s="12" t="s">
        <v>86</v>
      </c>
      <c r="B184" s="12" t="s">
        <v>39</v>
      </c>
      <c r="C184" s="12" t="s">
        <v>99</v>
      </c>
      <c r="E184" s="12" t="s">
        <v>73</v>
      </c>
      <c r="G184" s="12" t="s">
        <v>74</v>
      </c>
      <c r="H184" s="12" t="s">
        <v>75</v>
      </c>
      <c r="I184" s="12">
        <v>2005</v>
      </c>
      <c r="J184" s="12" t="s">
        <v>60</v>
      </c>
      <c r="L184" s="22">
        <v>1.0676175761770226</v>
      </c>
      <c r="M184" s="22">
        <v>5.4988337568411589</v>
      </c>
      <c r="N184" s="22">
        <v>23.619935380395987</v>
      </c>
      <c r="O184" s="22">
        <v>2.007698990242011</v>
      </c>
      <c r="P184" s="22">
        <v>0</v>
      </c>
      <c r="Q184" s="22">
        <v>17.192049611731573</v>
      </c>
      <c r="R184" s="22">
        <v>1.3003117882544271</v>
      </c>
      <c r="S184" s="22">
        <v>2.1137111878526587</v>
      </c>
      <c r="T184" s="22">
        <v>101.85823490123235</v>
      </c>
      <c r="U184" s="22">
        <v>17.557713263440885</v>
      </c>
      <c r="V184" s="22">
        <v>1.6095691507553205</v>
      </c>
      <c r="W184" s="22">
        <v>20.840058519830624</v>
      </c>
      <c r="X184" s="22">
        <v>8</v>
      </c>
      <c r="Y184" s="22">
        <v>61.784283169882897</v>
      </c>
      <c r="Z184" s="22">
        <v>2.3129899657419872</v>
      </c>
      <c r="AA184" s="22">
        <v>4.9693178336440852E-2</v>
      </c>
      <c r="AB184" s="22">
        <v>6.7166982290260826</v>
      </c>
      <c r="AC184" s="22">
        <v>0.97808997919301888</v>
      </c>
      <c r="AD184" s="22">
        <v>0.69813201079436082</v>
      </c>
      <c r="AE184" s="22">
        <v>24.136792996189399</v>
      </c>
      <c r="AF184" s="22">
        <v>0.80577691382063077</v>
      </c>
      <c r="AG184" s="22">
        <v>0.80577691382063077</v>
      </c>
      <c r="AH184" s="22">
        <v>0.42097714171576311</v>
      </c>
      <c r="AI184" s="22">
        <v>0</v>
      </c>
      <c r="AJ184" s="22">
        <v>0.38672771513595705</v>
      </c>
      <c r="AK184" s="22">
        <v>2.8923872195971971</v>
      </c>
      <c r="AL184" s="22">
        <v>38.151723181739776</v>
      </c>
      <c r="AM184" s="22">
        <v>12.034530524934503</v>
      </c>
      <c r="AN184" s="22">
        <v>14.413986265500034</v>
      </c>
      <c r="AO184" s="22">
        <v>9.4168699594577809</v>
      </c>
      <c r="AP184" s="22">
        <v>5.8482977083323551</v>
      </c>
      <c r="AQ184" s="22">
        <v>4.6666565703766798</v>
      </c>
      <c r="AR184" s="22">
        <v>20.59708970211539</v>
      </c>
      <c r="AS184" s="22">
        <v>0.71687904544281977</v>
      </c>
      <c r="AT184" s="22">
        <v>2.2683585033701386</v>
      </c>
      <c r="AU184" s="22">
        <v>11.495331339050392</v>
      </c>
      <c r="AV184" s="22"/>
      <c r="AX184" s="13"/>
    </row>
    <row r="185" spans="1:59" s="12" customFormat="1" x14ac:dyDescent="0.3">
      <c r="A185" s="12" t="s">
        <v>86</v>
      </c>
      <c r="B185" s="12" t="s">
        <v>39</v>
      </c>
      <c r="C185" s="12" t="s">
        <v>99</v>
      </c>
      <c r="E185" s="12" t="s">
        <v>73</v>
      </c>
      <c r="G185" s="12" t="s">
        <v>74</v>
      </c>
      <c r="H185" s="12" t="s">
        <v>75</v>
      </c>
      <c r="I185" s="12">
        <v>2010</v>
      </c>
      <c r="J185" s="12" t="s">
        <v>60</v>
      </c>
      <c r="L185" s="22">
        <v>1.0676175761770226</v>
      </c>
      <c r="M185" s="22">
        <v>5.4988337568411589</v>
      </c>
      <c r="N185" s="22">
        <v>23.619935380395987</v>
      </c>
      <c r="O185" s="22">
        <v>2.007698990242011</v>
      </c>
      <c r="P185" s="22">
        <v>0</v>
      </c>
      <c r="Q185" s="22">
        <v>17.192049611731573</v>
      </c>
      <c r="R185" s="22">
        <v>1.3003117882544271</v>
      </c>
      <c r="S185" s="22">
        <v>2.1137111878526587</v>
      </c>
      <c r="T185" s="22">
        <v>101.85823490123235</v>
      </c>
      <c r="U185" s="22">
        <v>17.557713263440885</v>
      </c>
      <c r="V185" s="22">
        <v>1.6095691507553205</v>
      </c>
      <c r="W185" s="22">
        <v>20.840058519830624</v>
      </c>
      <c r="X185" s="22">
        <v>8.1</v>
      </c>
      <c r="Y185" s="22">
        <v>61.784283169882897</v>
      </c>
      <c r="Z185" s="22">
        <v>2.3129899657419872</v>
      </c>
      <c r="AA185" s="22">
        <v>4.9693178336440852E-2</v>
      </c>
      <c r="AB185" s="22">
        <v>6.7166982290260826</v>
      </c>
      <c r="AC185" s="22">
        <v>0.97808997919301888</v>
      </c>
      <c r="AD185" s="13">
        <v>0.69813201079436082</v>
      </c>
      <c r="AE185" s="22">
        <v>24.136792996189399</v>
      </c>
      <c r="AF185" s="22">
        <v>0.80577691382063077</v>
      </c>
      <c r="AG185" s="22">
        <v>0.80577691382063077</v>
      </c>
      <c r="AH185" s="22">
        <v>0.42097714171576311</v>
      </c>
      <c r="AI185" s="22">
        <v>0</v>
      </c>
      <c r="AJ185" s="22">
        <v>0.38672771513595705</v>
      </c>
      <c r="AK185" s="22">
        <v>2.8923872195971971</v>
      </c>
      <c r="AL185" s="22">
        <v>38.151723181739776</v>
      </c>
      <c r="AM185" s="22">
        <v>12.034530524934503</v>
      </c>
      <c r="AN185" s="22">
        <v>14.413986265500034</v>
      </c>
      <c r="AO185" s="22">
        <v>9.4168699594577809</v>
      </c>
      <c r="AP185" s="22">
        <v>5.8482977083323551</v>
      </c>
      <c r="AQ185" s="22">
        <v>4.6666565703766798</v>
      </c>
      <c r="AR185" s="22">
        <v>20.59708970211539</v>
      </c>
      <c r="AS185" s="22">
        <v>0.71687904544281977</v>
      </c>
      <c r="AT185" s="22">
        <v>2.2683585033701386</v>
      </c>
      <c r="AU185" s="22">
        <v>11.495331339050392</v>
      </c>
      <c r="AV185" s="22"/>
      <c r="AW185" s="13">
        <f>SUM(M185:O185,R185:AC185,AE185:AH185,AK185:AL185,AN185:AP185,AR185:AU185)</f>
        <v>388.31806835117823</v>
      </c>
      <c r="BC185" s="13">
        <f>AW185-AU185</f>
        <v>376.82273701212785</v>
      </c>
    </row>
    <row r="186" spans="1:59" s="12" customFormat="1" x14ac:dyDescent="0.3">
      <c r="A186" s="12" t="s">
        <v>86</v>
      </c>
      <c r="B186" s="12" t="s">
        <v>39</v>
      </c>
      <c r="C186" s="12" t="s">
        <v>99</v>
      </c>
      <c r="E186" s="12" t="s">
        <v>73</v>
      </c>
      <c r="G186" s="12" t="s">
        <v>74</v>
      </c>
      <c r="H186" s="12" t="s">
        <v>75</v>
      </c>
      <c r="I186" s="12">
        <v>2020</v>
      </c>
      <c r="J186" s="12" t="s">
        <v>60</v>
      </c>
      <c r="L186" s="22">
        <v>1.2341764372994906</v>
      </c>
      <c r="M186" s="22">
        <v>6.1632521118282115</v>
      </c>
      <c r="N186" s="22">
        <v>26.714979786041113</v>
      </c>
      <c r="O186" s="22">
        <v>2.520258264678664</v>
      </c>
      <c r="P186" s="22">
        <v>0</v>
      </c>
      <c r="Q186" s="22">
        <v>20.189188491188869</v>
      </c>
      <c r="R186" s="22">
        <v>1.4792932016674678</v>
      </c>
      <c r="S186" s="22">
        <v>2.5947373126610036</v>
      </c>
      <c r="T186" s="22">
        <v>104.94221199395649</v>
      </c>
      <c r="U186" s="22">
        <v>19.401317340579688</v>
      </c>
      <c r="V186" s="22">
        <v>2.1574294299746954</v>
      </c>
      <c r="W186" s="22">
        <v>22.87959863497732</v>
      </c>
      <c r="X186" s="22">
        <v>9.4</v>
      </c>
      <c r="Y186" s="22">
        <v>68.264254881138427</v>
      </c>
      <c r="Z186" s="22">
        <v>2.3129924336468206</v>
      </c>
      <c r="AA186" s="22">
        <v>6.0519171708905847E-2</v>
      </c>
      <c r="AB186" s="22">
        <v>7.1558706583863785</v>
      </c>
      <c r="AC186" s="22">
        <v>1.1959879134172442</v>
      </c>
      <c r="AD186" s="13">
        <v>0.8264307037327544</v>
      </c>
      <c r="AE186" s="22">
        <v>25.987402475652896</v>
      </c>
      <c r="AF186" s="22">
        <v>1.0044814084867839</v>
      </c>
      <c r="AG186" s="22">
        <v>9.9359553782335297E-2</v>
      </c>
      <c r="AH186" s="22">
        <v>0.55470692360523244</v>
      </c>
      <c r="AI186" s="22">
        <v>0</v>
      </c>
      <c r="AJ186" s="22">
        <v>0.49327701756984255</v>
      </c>
      <c r="AK186" s="22">
        <v>3.3567032876485561</v>
      </c>
      <c r="AL186" s="22">
        <v>42.138055164537022</v>
      </c>
      <c r="AM186" s="22">
        <v>14.87699769103156</v>
      </c>
      <c r="AN186" s="22">
        <v>19.280847974722683</v>
      </c>
      <c r="AO186" s="22">
        <v>9.7587367018261055</v>
      </c>
      <c r="AP186" s="22">
        <v>7.1174505078468178</v>
      </c>
      <c r="AQ186" s="22">
        <v>6.2010696974462833</v>
      </c>
      <c r="AR186" s="22">
        <v>23.42254025579301</v>
      </c>
      <c r="AS186" s="22">
        <v>0.81434979923912731</v>
      </c>
      <c r="AT186" s="22">
        <v>2.8510668082318422</v>
      </c>
      <c r="AU186" s="22">
        <v>13.529486056074751</v>
      </c>
      <c r="AV186" s="22"/>
      <c r="AX186" s="13">
        <f>SUM(M186:O186,R186:AC186,AE186:AH186,AK186:AL186,AN186:AP186,AR186:AU186)</f>
        <v>427.15789005210962</v>
      </c>
      <c r="BD186" s="13">
        <f>AX186-AU186</f>
        <v>413.62840399603488</v>
      </c>
    </row>
    <row r="187" spans="1:59" s="12" customFormat="1" x14ac:dyDescent="0.3">
      <c r="A187" s="12" t="s">
        <v>86</v>
      </c>
      <c r="B187" s="12" t="s">
        <v>39</v>
      </c>
      <c r="C187" s="12" t="s">
        <v>99</v>
      </c>
      <c r="E187" s="12" t="s">
        <v>73</v>
      </c>
      <c r="G187" s="12" t="s">
        <v>74</v>
      </c>
      <c r="H187" s="12" t="s">
        <v>75</v>
      </c>
      <c r="I187" s="12">
        <v>2030</v>
      </c>
      <c r="J187" s="12" t="s">
        <v>60</v>
      </c>
      <c r="L187" s="22">
        <v>1.3713892616817243</v>
      </c>
      <c r="M187" s="29">
        <f>M305*[1]bioshares!D115</f>
        <v>16.103953370395317</v>
      </c>
      <c r="N187" s="29">
        <f>N305*[1]bioshares!E115</f>
        <v>72.277212942515519</v>
      </c>
      <c r="O187" s="29">
        <f>O305*[1]bioshares!F115</f>
        <v>6.0717372046212814</v>
      </c>
      <c r="P187" s="22">
        <v>0</v>
      </c>
      <c r="Q187" s="22">
        <v>24.021978506208168</v>
      </c>
      <c r="R187" s="29">
        <f>R305*[1]bioshares!I115</f>
        <v>3.7627375142644772</v>
      </c>
      <c r="S187" s="29">
        <f>S305*[1]bioshares!J115</f>
        <v>6.3953563269096767</v>
      </c>
      <c r="T187" s="29">
        <f>T305*[1]bioshares!K115</f>
        <v>239.07583465460397</v>
      </c>
      <c r="U187" s="29">
        <f>U305*[1]bioshares!L115</f>
        <v>46.583666612729552</v>
      </c>
      <c r="V187" s="29">
        <f>V305*[1]bioshares!M115</f>
        <v>5.556769475500877</v>
      </c>
      <c r="W187" s="29">
        <f>W305*[1]bioshares!N115</f>
        <v>61.622125987028191</v>
      </c>
      <c r="X187" s="29">
        <f>X305*[1]bioshares!O115</f>
        <v>24.605812440551368</v>
      </c>
      <c r="Y187" s="29">
        <f>Y305*[1]bioshares!P115</f>
        <v>172.16352608966392</v>
      </c>
      <c r="Z187" s="29">
        <f>Z305*[1]bioshares!Q115</f>
        <v>5.592860728433914</v>
      </c>
      <c r="AA187" s="29">
        <f>AA305*[1]bioshares!R115</f>
        <v>0.17924291225152469</v>
      </c>
      <c r="AB187" s="29">
        <f>AB305*[1]bioshares!S115</f>
        <v>18.822620249118675</v>
      </c>
      <c r="AC187" s="29">
        <f>AC305*[1]bioshares!T115</f>
        <v>3.5647847020951202</v>
      </c>
      <c r="AD187" s="13">
        <v>0.97335018955196129</v>
      </c>
      <c r="AE187" s="29">
        <f>AE305*[1]bioshares!V115</f>
        <v>67.356878691212401</v>
      </c>
      <c r="AF187" s="29">
        <f>AF305*[1]bioshares!W115</f>
        <v>2.5803091799207145</v>
      </c>
      <c r="AG187" s="29">
        <f>AG305*[1]bioshares!X115</f>
        <v>0.24835212939769305</v>
      </c>
      <c r="AH187" s="29">
        <f>AH305*[1]bioshares!Y115</f>
        <v>1.452802793802118</v>
      </c>
      <c r="AI187" s="22">
        <v>0</v>
      </c>
      <c r="AJ187" s="22">
        <v>0.69362656486270458</v>
      </c>
      <c r="AK187" s="29">
        <f>AK305*[1]bioshares!AB115</f>
        <v>8.4491794477389508</v>
      </c>
      <c r="AL187" s="29">
        <f>AL305*[1]bioshares!AC115</f>
        <v>104.80709577492284</v>
      </c>
      <c r="AM187" s="22">
        <v>19.04540205490915</v>
      </c>
      <c r="AN187" s="29">
        <f>AN305*[1]bioshares!AE115</f>
        <v>50.566500824767672</v>
      </c>
      <c r="AO187" s="29">
        <f>AO305*[1]bioshares!AF115</f>
        <v>26.736441146788444</v>
      </c>
      <c r="AP187" s="29">
        <f>AP305*[1]bioshares!AG115</f>
        <v>17.157013522451511</v>
      </c>
      <c r="AQ187" s="29">
        <f>AQ305*[1]bioshares!AH115</f>
        <v>0</v>
      </c>
      <c r="AR187" s="29">
        <f>AR305*[1]bioshares!AI115</f>
        <v>56.508258722466998</v>
      </c>
      <c r="AS187" s="29">
        <f>AS305*[1]bioshares!AJ115</f>
        <v>1.9852666091900797</v>
      </c>
      <c r="AT187" s="29">
        <f>AT305*[1]bioshares!AK115</f>
        <v>8.1556694858285663</v>
      </c>
      <c r="AU187" s="22">
        <v>16.419298629995527</v>
      </c>
      <c r="AV187" s="22"/>
      <c r="AY187" s="13">
        <f>SUM(M187:O187,R187:AC187,AE187:AH187,AK187:AL187,AN187:AP187,AR187:AU187)</f>
        <v>1044.801308169167</v>
      </c>
      <c r="BE187" s="13">
        <f>AY187-AU187</f>
        <v>1028.3820095391713</v>
      </c>
    </row>
    <row r="188" spans="1:59" s="12" customFormat="1" x14ac:dyDescent="0.3">
      <c r="A188" s="12" t="s">
        <v>86</v>
      </c>
      <c r="B188" s="12" t="s">
        <v>39</v>
      </c>
      <c r="C188" s="12" t="s">
        <v>99</v>
      </c>
      <c r="E188" s="12" t="s">
        <v>73</v>
      </c>
      <c r="G188" s="12" t="s">
        <v>74</v>
      </c>
      <c r="H188" s="12" t="s">
        <v>75</v>
      </c>
      <c r="I188" s="12">
        <v>2040</v>
      </c>
      <c r="J188" s="12" t="s">
        <v>60</v>
      </c>
      <c r="L188" s="22">
        <v>1.5228385527620245</v>
      </c>
      <c r="M188" s="29">
        <f>M306*[1]bioshares!D116</f>
        <v>16.056551283445948</v>
      </c>
      <c r="N188" s="29">
        <f>N306*[1]bioshares!E116</f>
        <v>77.251490676737717</v>
      </c>
      <c r="O188" s="29">
        <f>O306*[1]bioshares!F116</f>
        <v>5.9015210190501888</v>
      </c>
      <c r="P188" s="22">
        <v>0</v>
      </c>
      <c r="Q188" s="22">
        <v>28.088811964169011</v>
      </c>
      <c r="R188" s="29">
        <f>R306*[1]bioshares!I116</f>
        <v>3.9257719816859753</v>
      </c>
      <c r="S188" s="29">
        <f>S306*[1]bioshares!J116</f>
        <v>6.2841600857674962</v>
      </c>
      <c r="T188" s="29">
        <f>T306*[1]bioshares!K116</f>
        <v>219.76442984522527</v>
      </c>
      <c r="U188" s="29">
        <f>U306*[1]bioshares!L116</f>
        <v>45.001770808822279</v>
      </c>
      <c r="V188" s="29">
        <f>V306*[1]bioshares!M116</f>
        <v>5.4993032350886351</v>
      </c>
      <c r="W188" s="29">
        <f>W306*[1]bioshares!N116</f>
        <v>59.96642299095133</v>
      </c>
      <c r="X188" s="29">
        <f>X306*[1]bioshares!O116</f>
        <v>25.888084854303052</v>
      </c>
      <c r="Y188" s="29">
        <f>Y306*[1]bioshares!P116</f>
        <v>172.948388294539</v>
      </c>
      <c r="Z188" s="29">
        <f>Z306*[1]bioshares!Q116</f>
        <v>5.4179485438215291</v>
      </c>
      <c r="AA188" s="29">
        <f>AA306*[1]bioshares!R116</f>
        <v>0.18609794899774007</v>
      </c>
      <c r="AB188" s="29">
        <f>AB306*[1]bioshares!S116</f>
        <v>18.684072267189919</v>
      </c>
      <c r="AC188" s="29">
        <f>AC306*[1]bioshares!T116</f>
        <v>3.7949664363888629</v>
      </c>
      <c r="AD188" s="13">
        <v>1.1087327829530318</v>
      </c>
      <c r="AE188" s="29">
        <f>AE306*[1]bioshares!V116</f>
        <v>66.395943227966384</v>
      </c>
      <c r="AF188" s="29">
        <f>AF306*[1]bioshares!W116</f>
        <v>2.5673579558327817</v>
      </c>
      <c r="AG188" s="29">
        <f>AG306*[1]bioshares!X116</f>
        <v>0.25170648785150135</v>
      </c>
      <c r="AH188" s="29">
        <f>AH306*[1]bioshares!Y116</f>
        <v>1.3880440890441641</v>
      </c>
      <c r="AI188" s="22">
        <v>0</v>
      </c>
      <c r="AJ188" s="22">
        <v>0.95601179204910702</v>
      </c>
      <c r="AK188" s="29">
        <f>AK306*[1]bioshares!AB116</f>
        <v>8.3132446017630013</v>
      </c>
      <c r="AL188" s="29">
        <f>AL306*[1]bioshares!AC116</f>
        <v>104.4395054881344</v>
      </c>
      <c r="AM188" s="22">
        <v>24.877811059296892</v>
      </c>
      <c r="AN188" s="29">
        <f>AN306*[1]bioshares!AE116</f>
        <v>50.543187771686071</v>
      </c>
      <c r="AO188" s="29">
        <f>AO306*[1]bioshares!AF116</f>
        <v>26.83858549265365</v>
      </c>
      <c r="AP188" s="29">
        <f>AP306*[1]bioshares!AG116</f>
        <v>16.323053597561611</v>
      </c>
      <c r="AQ188" s="29">
        <f>AQ306*[1]bioshares!AH116</f>
        <v>0</v>
      </c>
      <c r="AR188" s="29">
        <f>AR306*[1]bioshares!AI116</f>
        <v>55.205931133129113</v>
      </c>
      <c r="AS188" s="29">
        <f>AS306*[1]bioshares!AJ116</f>
        <v>1.9052387232725596</v>
      </c>
      <c r="AT188" s="29">
        <f>AT306*[1]bioshares!AK116</f>
        <v>7.9635235606286665</v>
      </c>
      <c r="AU188" s="22">
        <v>19.768663818736822</v>
      </c>
      <c r="AV188" s="22"/>
      <c r="AY188" s="13"/>
      <c r="AZ188" s="13">
        <f>SUM(M188:O188,R188:AC188,AE188:AH188,AK188:AL188,AN188:AP188,AR188:AU188)</f>
        <v>1028.4749662202757</v>
      </c>
      <c r="BF188" s="13">
        <f>AZ188-AU188</f>
        <v>1008.7063024015389</v>
      </c>
    </row>
    <row r="189" spans="1:59" s="15" customFormat="1" x14ac:dyDescent="0.3">
      <c r="A189" s="15" t="s">
        <v>86</v>
      </c>
      <c r="B189" s="15" t="s">
        <v>39</v>
      </c>
      <c r="C189" s="15" t="s">
        <v>99</v>
      </c>
      <c r="E189" s="15" t="s">
        <v>73</v>
      </c>
      <c r="G189" s="15" t="s">
        <v>74</v>
      </c>
      <c r="H189" s="15" t="s">
        <v>75</v>
      </c>
      <c r="I189" s="15">
        <v>2050</v>
      </c>
      <c r="J189" s="15" t="s">
        <v>60</v>
      </c>
      <c r="L189" s="23">
        <v>2.4213387802364515E-2</v>
      </c>
      <c r="M189" s="32">
        <f>M307*[1]bioshares!D117</f>
        <v>18.542861563695812</v>
      </c>
      <c r="N189" s="32">
        <f>N307*[1]bioshares!E117</f>
        <v>95.432014668354356</v>
      </c>
      <c r="O189" s="32">
        <f>O307*[1]bioshares!F117</f>
        <v>6.6520434959380887</v>
      </c>
      <c r="P189" s="23">
        <v>0</v>
      </c>
      <c r="Q189" s="23">
        <v>31.904273049174364</v>
      </c>
      <c r="R189" s="32">
        <f>R307*[1]bioshares!I117</f>
        <v>4.7501150109864927</v>
      </c>
      <c r="S189" s="32">
        <f>S307*[1]bioshares!J117</f>
        <v>7.1627374845554828</v>
      </c>
      <c r="T189" s="32">
        <f>T307*[1]bioshares!K117</f>
        <v>233.50451000101268</v>
      </c>
      <c r="U189" s="32">
        <f>U307*[1]bioshares!L117</f>
        <v>50.650210610697307</v>
      </c>
      <c r="V189" s="32">
        <f>V307*[1]bioshares!M117</f>
        <v>6.3156758246067133</v>
      </c>
      <c r="W189" s="32">
        <f>W307*[1]bioshares!N117</f>
        <v>67.490130353325526</v>
      </c>
      <c r="X189" s="32">
        <f>X307*[1]bioshares!O117</f>
        <v>30.13847765210372</v>
      </c>
      <c r="Y189" s="32">
        <f>Y307*[1]bioshares!P117</f>
        <v>201.13934297493441</v>
      </c>
      <c r="Z189" s="32">
        <f>Z307*[1]bioshares!Q117</f>
        <v>6.0857725444560531</v>
      </c>
      <c r="AA189" s="32">
        <f>AA307*[1]bioshares!R117</f>
        <v>0.22292432046518679</v>
      </c>
      <c r="AB189" s="32">
        <f>AB307*[1]bioshares!S117</f>
        <v>21.488963147839875</v>
      </c>
      <c r="AC189" s="32">
        <f>AC307*[1]bioshares!T117</f>
        <v>4.6827955051625318</v>
      </c>
      <c r="AD189" s="16">
        <v>1.2061832299724298</v>
      </c>
      <c r="AE189" s="32">
        <f>AE307*[1]bioshares!V117</f>
        <v>75.802147066134083</v>
      </c>
      <c r="AF189" s="32">
        <f>AF307*[1]bioshares!W117</f>
        <v>2.9627395715883411</v>
      </c>
      <c r="AG189" s="32">
        <f>AG307*[1]bioshares!X117</f>
        <v>0.29583375887996938</v>
      </c>
      <c r="AH189" s="32">
        <f>AH307*[1]bioshares!Y117</f>
        <v>1.538031182478323</v>
      </c>
      <c r="AI189" s="23">
        <v>0</v>
      </c>
      <c r="AJ189" s="23">
        <v>1.3458019429760857</v>
      </c>
      <c r="AK189" s="32">
        <f>AK307*[1]bioshares!AB117</f>
        <v>9.4861688658016963</v>
      </c>
      <c r="AL189" s="32">
        <f>AL307*[1]bioshares!AC117</f>
        <v>120.44663316836579</v>
      </c>
      <c r="AM189" s="23">
        <v>33.372717149559357</v>
      </c>
      <c r="AN189" s="32">
        <f>AN307*[1]bioshares!AE117</f>
        <v>58.473492699491132</v>
      </c>
      <c r="AO189" s="32">
        <f>AO307*[1]bioshares!AF117</f>
        <v>31.225778006588964</v>
      </c>
      <c r="AP189" s="32">
        <f>AP307*[1]bioshares!AG117</f>
        <v>17.998445368698139</v>
      </c>
      <c r="AQ189" s="32">
        <f>AQ307*[1]bioshares!AH117</f>
        <v>0</v>
      </c>
      <c r="AR189" s="32">
        <f>AR307*[1]bioshares!AI117</f>
        <v>61.492707174092004</v>
      </c>
      <c r="AS189" s="32">
        <f>AS307*[1]bioshares!AJ117</f>
        <v>2.1168363311992393</v>
      </c>
      <c r="AT189" s="32">
        <f>AT307*[1]bioshares!AK117</f>
        <v>9.0003567409081011</v>
      </c>
      <c r="AU189" s="23">
        <v>23.800118281718667</v>
      </c>
      <c r="AV189" s="23"/>
      <c r="AY189" s="16"/>
      <c r="AZ189" s="16"/>
      <c r="BA189" s="16">
        <f>SUM(M189:O189,R189:AC189,AE189:AH189,AK189:AL189,AN189:AP189,AR189:AU189)</f>
        <v>1168.8978633740785</v>
      </c>
      <c r="BG189" s="16">
        <f>BA189-AU189</f>
        <v>1145.0977450923599</v>
      </c>
    </row>
    <row r="190" spans="1:59" x14ac:dyDescent="0.3">
      <c r="A190" t="s">
        <v>86</v>
      </c>
      <c r="B190" t="s">
        <v>39</v>
      </c>
      <c r="C190" t="s">
        <v>99</v>
      </c>
      <c r="F190" t="s">
        <v>77</v>
      </c>
      <c r="H190" t="s">
        <v>78</v>
      </c>
      <c r="I190">
        <v>2005</v>
      </c>
      <c r="J190" t="s">
        <v>60</v>
      </c>
      <c r="L190" s="18">
        <v>0.16142258534909676</v>
      </c>
      <c r="M190" s="18">
        <v>0.17302990651542829</v>
      </c>
      <c r="N190" s="18">
        <v>5.7042603902758407E-2</v>
      </c>
      <c r="O190" s="18">
        <v>4.87952325618651E-5</v>
      </c>
      <c r="P190" s="18">
        <v>0</v>
      </c>
      <c r="Q190" s="18">
        <v>0.17302990651542829</v>
      </c>
      <c r="R190" s="18">
        <v>5.5171223739208589E-3</v>
      </c>
      <c r="S190" s="18">
        <v>3.1909147589562073E-4</v>
      </c>
      <c r="T190" s="18">
        <v>6.8025638383179099E-2</v>
      </c>
      <c r="U190" s="18">
        <v>3.6862849772614022E-3</v>
      </c>
      <c r="V190" s="18">
        <v>6.554975200385638E-3</v>
      </c>
      <c r="W190" s="18">
        <v>2.1402512011669335E-4</v>
      </c>
      <c r="X190" s="18">
        <v>5.3136090377664189E-2</v>
      </c>
      <c r="Y190" s="18">
        <v>7.7198386244814371E-2</v>
      </c>
      <c r="Z190" s="18">
        <v>8.4449005908455166E-2</v>
      </c>
      <c r="AA190" s="18">
        <v>3.1978843061925555E-2</v>
      </c>
      <c r="AB190" s="18">
        <v>3.7666761465468225E-3</v>
      </c>
      <c r="AC190" s="18">
        <v>4.2891361411746827E-2</v>
      </c>
      <c r="AD190" s="18">
        <v>2.7553688301156284E-3</v>
      </c>
      <c r="AE190" s="18">
        <v>8.4449005908455166E-2</v>
      </c>
      <c r="AF190" s="18">
        <v>6.0102126315386237E-2</v>
      </c>
      <c r="AG190" s="18">
        <v>2.4606065944219745E-4</v>
      </c>
      <c r="AH190" s="18">
        <v>2.4606065944219745E-4</v>
      </c>
      <c r="AI190" s="18">
        <v>0.16142258534909676</v>
      </c>
      <c r="AJ190" s="18">
        <v>9.8139652437200339E-2</v>
      </c>
      <c r="AK190" s="18">
        <v>3.0539455440695438E-5</v>
      </c>
      <c r="AL190" s="18">
        <v>5.8722163297585908E-2</v>
      </c>
      <c r="AM190" s="18">
        <v>4.1061513889641341E-3</v>
      </c>
      <c r="AN190" s="18">
        <v>2.5317600945144875E-3</v>
      </c>
      <c r="AO190" s="18">
        <v>4.4840134529699552E-3</v>
      </c>
      <c r="AP190" s="18">
        <v>0.16142258534909676</v>
      </c>
      <c r="AQ190" s="18">
        <v>0.16142258534909676</v>
      </c>
      <c r="AR190" s="18">
        <v>2.7553688301156284E-3</v>
      </c>
      <c r="AS190" s="18">
        <v>0.14794629516342342</v>
      </c>
      <c r="AT190" s="18">
        <v>1.980037202347926E-2</v>
      </c>
      <c r="AU190" s="18">
        <v>4.0295009653540131E-2</v>
      </c>
      <c r="AV190" s="18"/>
      <c r="AX190" s="18"/>
      <c r="AY190" s="18"/>
      <c r="AZ190" s="18"/>
      <c r="BA190" s="18"/>
    </row>
    <row r="191" spans="1:59" x14ac:dyDescent="0.3">
      <c r="A191" t="s">
        <v>86</v>
      </c>
      <c r="B191" t="s">
        <v>39</v>
      </c>
      <c r="C191" t="s">
        <v>99</v>
      </c>
      <c r="F191" t="s">
        <v>77</v>
      </c>
      <c r="H191" t="s">
        <v>78</v>
      </c>
      <c r="I191">
        <v>2010</v>
      </c>
      <c r="J191" t="s">
        <v>60</v>
      </c>
      <c r="L191" s="37">
        <v>0.16142258534909676</v>
      </c>
      <c r="M191" s="18">
        <v>0.17302990651542829</v>
      </c>
      <c r="N191" s="18">
        <v>5.7042603902758407E-2</v>
      </c>
      <c r="O191" s="18">
        <v>4.87952325618651E-5</v>
      </c>
      <c r="P191" s="18">
        <v>0</v>
      </c>
      <c r="Q191" s="18">
        <v>0.17302990651542829</v>
      </c>
      <c r="R191" s="18">
        <v>5.5171223739208589E-3</v>
      </c>
      <c r="S191" s="18">
        <v>3.1909147589562073E-4</v>
      </c>
      <c r="T191" s="18">
        <v>6.8025638383179099E-2</v>
      </c>
      <c r="U191" s="18">
        <v>3.6862849772614022E-3</v>
      </c>
      <c r="V191" s="18">
        <v>6.554975200385638E-3</v>
      </c>
      <c r="W191" s="18">
        <v>2.1402512011669335E-4</v>
      </c>
      <c r="X191" s="18">
        <v>5.3136090377664189E-2</v>
      </c>
      <c r="Y191" s="18">
        <v>7.7198386244814371E-2</v>
      </c>
      <c r="Z191" s="19">
        <v>8.4449005908455166E-2</v>
      </c>
      <c r="AA191" s="18">
        <v>3.1978843061925555E-2</v>
      </c>
      <c r="AB191" s="18">
        <v>3.7666761465468225E-3</v>
      </c>
      <c r="AC191" s="18">
        <v>4.2891361411746827E-2</v>
      </c>
      <c r="AD191" s="18">
        <v>2.7553688301156284E-3</v>
      </c>
      <c r="AE191" s="18">
        <v>8.4449005908455166E-2</v>
      </c>
      <c r="AF191" s="18">
        <v>6.0102126315386237E-2</v>
      </c>
      <c r="AG191" s="18">
        <v>2.4606065944219745E-4</v>
      </c>
      <c r="AH191" s="18">
        <v>2.4606065944219745E-4</v>
      </c>
      <c r="AI191" s="37">
        <v>0.16142258534909676</v>
      </c>
      <c r="AJ191" s="18">
        <v>9.8139652437200339E-2</v>
      </c>
      <c r="AK191" s="18">
        <v>3.0539455440695438E-5</v>
      </c>
      <c r="AL191" s="18">
        <v>5.8722163297585908E-2</v>
      </c>
      <c r="AM191" s="38">
        <v>4.1061513889641341E-3</v>
      </c>
      <c r="AN191" s="18">
        <v>2.5317600945144875E-3</v>
      </c>
      <c r="AO191" s="18">
        <v>4.4840134529699552E-3</v>
      </c>
      <c r="AP191" s="18">
        <v>0.16142258534909676</v>
      </c>
      <c r="AQ191" s="37">
        <v>0.16142258534909676</v>
      </c>
      <c r="AR191" s="18">
        <v>2.7553688301156284E-3</v>
      </c>
      <c r="AS191" s="18">
        <v>0.14794629516342342</v>
      </c>
      <c r="AT191" s="18">
        <v>1.980037202347926E-2</v>
      </c>
      <c r="AU191" s="18">
        <v>4.0295009653540131E-2</v>
      </c>
      <c r="AV191" s="18"/>
      <c r="AX191" s="18"/>
      <c r="AY191" s="18"/>
      <c r="AZ191" s="18"/>
      <c r="BA191" s="18"/>
    </row>
    <row r="192" spans="1:59" x14ac:dyDescent="0.3">
      <c r="A192" t="s">
        <v>86</v>
      </c>
      <c r="B192" t="s">
        <v>39</v>
      </c>
      <c r="C192" t="s">
        <v>99</v>
      </c>
      <c r="F192" t="s">
        <v>77</v>
      </c>
      <c r="H192" t="s">
        <v>78</v>
      </c>
      <c r="I192">
        <v>2020</v>
      </c>
      <c r="J192" t="s">
        <v>60</v>
      </c>
      <c r="L192" s="37">
        <v>0.15123849241543222</v>
      </c>
      <c r="M192" s="18">
        <v>0.18374550615216259</v>
      </c>
      <c r="N192" s="18">
        <v>6.230422370677622E-2</v>
      </c>
      <c r="O192" s="18">
        <v>5.6115795343913647E-5</v>
      </c>
      <c r="P192" s="18">
        <v>0</v>
      </c>
      <c r="Q192" s="18">
        <v>0.18374550615216259</v>
      </c>
      <c r="R192" s="18">
        <v>6.1605493783340277E-3</v>
      </c>
      <c r="S192" s="18">
        <v>3.1034481417860821E-4</v>
      </c>
      <c r="T192" s="18">
        <v>7.4649804875309561E-2</v>
      </c>
      <c r="U192" s="18">
        <v>4.0416918831478717E-3</v>
      </c>
      <c r="V192" s="18">
        <v>5.606294220395807E-3</v>
      </c>
      <c r="W192" s="18">
        <v>2.3357936992982043E-4</v>
      </c>
      <c r="X192" s="18">
        <v>5.700965096480215E-2</v>
      </c>
      <c r="Y192" s="18">
        <v>8.6239052614247622E-2</v>
      </c>
      <c r="Z192" s="19">
        <v>9.3881235149403927E-2</v>
      </c>
      <c r="AA192" s="18">
        <v>3.5791574813733171E-2</v>
      </c>
      <c r="AB192" s="18">
        <v>4.1933314191247798E-3</v>
      </c>
      <c r="AC192" s="18">
        <v>4.394464865651207E-2</v>
      </c>
      <c r="AD192" s="18">
        <v>3.261897888845398E-3</v>
      </c>
      <c r="AE192" s="18">
        <v>9.3881235149403927E-2</v>
      </c>
      <c r="AF192" s="18">
        <v>5.2822189012022402E-2</v>
      </c>
      <c r="AG192" s="18">
        <v>7.217478308597392E-4</v>
      </c>
      <c r="AH192" s="18">
        <v>2.1329226464972544E-4</v>
      </c>
      <c r="AI192" s="37">
        <v>0.15123849241543222</v>
      </c>
      <c r="AJ192" s="18">
        <v>8.8771773931224554E-2</v>
      </c>
      <c r="AK192" s="18">
        <v>3.0278018319097548E-5</v>
      </c>
      <c r="AL192" s="18">
        <v>6.3853548620482148E-2</v>
      </c>
      <c r="AM192" s="38">
        <v>4.4741913074484805E-3</v>
      </c>
      <c r="AN192" s="18">
        <v>2.856916174289213E-3</v>
      </c>
      <c r="AO192" s="18">
        <v>5.1580642379240038E-3</v>
      </c>
      <c r="AP192" s="18">
        <v>0.15123849241543222</v>
      </c>
      <c r="AQ192" s="37">
        <v>0.15123849241543222</v>
      </c>
      <c r="AR192" s="18">
        <v>3.261897888845398E-3</v>
      </c>
      <c r="AS192" s="18">
        <v>0.15744025814900903</v>
      </c>
      <c r="AT192" s="18">
        <v>2.1460689046761468E-2</v>
      </c>
      <c r="AU192" s="18">
        <v>4.2217435610363944E-2</v>
      </c>
      <c r="AV192" s="18"/>
      <c r="AX192" s="18"/>
      <c r="AY192" s="18"/>
      <c r="AZ192" s="18"/>
      <c r="BA192" s="18"/>
    </row>
    <row r="193" spans="1:59" x14ac:dyDescent="0.3">
      <c r="A193" t="s">
        <v>86</v>
      </c>
      <c r="B193" t="s">
        <v>39</v>
      </c>
      <c r="C193" t="s">
        <v>99</v>
      </c>
      <c r="F193" t="s">
        <v>77</v>
      </c>
      <c r="H193" t="s">
        <v>78</v>
      </c>
      <c r="I193">
        <v>2030</v>
      </c>
      <c r="J193" t="s">
        <v>60</v>
      </c>
      <c r="L193" s="37">
        <v>0.12558711526467292</v>
      </c>
      <c r="M193" s="18">
        <v>0.16376836557707553</v>
      </c>
      <c r="N193" s="18">
        <v>5.0275469494819723E-2</v>
      </c>
      <c r="O193" s="18">
        <v>5.9688561849527632E-5</v>
      </c>
      <c r="P193" s="18">
        <v>0</v>
      </c>
      <c r="Q193" s="18">
        <v>0.16376836557707553</v>
      </c>
      <c r="R193" s="18">
        <v>6.0251809624299818E-3</v>
      </c>
      <c r="S193" s="18">
        <v>2.8596169273144051E-4</v>
      </c>
      <c r="T193" s="18">
        <v>6.6234408786015511E-2</v>
      </c>
      <c r="U193" s="18">
        <v>4.0108511858108322E-3</v>
      </c>
      <c r="V193" s="18">
        <v>4.7906610598101801E-3</v>
      </c>
      <c r="W193" s="18">
        <v>2.0375448492831129E-4</v>
      </c>
      <c r="X193" s="18">
        <v>4.5578586186607817E-2</v>
      </c>
      <c r="Y193" s="18">
        <v>7.5034931031522173E-2</v>
      </c>
      <c r="Z193" s="19">
        <v>8.4068523594919717E-2</v>
      </c>
      <c r="AA193" s="18">
        <v>3.1393510603549828E-2</v>
      </c>
      <c r="AB193" s="18">
        <v>3.8453999905045068E-3</v>
      </c>
      <c r="AC193" s="18">
        <v>3.6767682579991634E-2</v>
      </c>
      <c r="AD193" s="18">
        <v>3.4952228536367456E-3</v>
      </c>
      <c r="AE193" s="18">
        <v>8.4068523594919717E-2</v>
      </c>
      <c r="AF193" s="18">
        <v>4.4562257208019478E-2</v>
      </c>
      <c r="AG193" s="18">
        <v>7.1235460013579263E-4</v>
      </c>
      <c r="AH193" s="18">
        <v>1.8145368973107216E-4</v>
      </c>
      <c r="AI193" s="37">
        <v>0.12558711526467292</v>
      </c>
      <c r="AJ193" s="18">
        <v>6.677065812163166E-2</v>
      </c>
      <c r="AK193" s="18">
        <v>2.7110761085826987E-5</v>
      </c>
      <c r="AL193" s="18">
        <v>5.4224104010323647E-2</v>
      </c>
      <c r="AM193" s="38">
        <v>4.1268642852371005E-3</v>
      </c>
      <c r="AN193" s="18">
        <v>2.8676175655647685E-3</v>
      </c>
      <c r="AO193" s="18">
        <v>4.7101575914880404E-3</v>
      </c>
      <c r="AP193" s="18">
        <v>0.12558711526467292</v>
      </c>
      <c r="AQ193" s="37">
        <v>0.12558711526467292</v>
      </c>
      <c r="AR193" s="18">
        <v>3.4952228536367456E-3</v>
      </c>
      <c r="AS193" s="18">
        <v>0.13467551233530775</v>
      </c>
      <c r="AT193" s="18">
        <v>1.834163058370724E-2</v>
      </c>
      <c r="AU193" s="18">
        <v>3.9887198378705996E-2</v>
      </c>
      <c r="AV193" s="18"/>
      <c r="AX193" s="18"/>
      <c r="AY193" s="18"/>
      <c r="AZ193" s="18"/>
      <c r="BA193" s="18"/>
    </row>
    <row r="194" spans="1:59" x14ac:dyDescent="0.3">
      <c r="A194" t="s">
        <v>86</v>
      </c>
      <c r="B194" t="s">
        <v>39</v>
      </c>
      <c r="C194" t="s">
        <v>99</v>
      </c>
      <c r="F194" t="s">
        <v>77</v>
      </c>
      <c r="H194" t="s">
        <v>78</v>
      </c>
      <c r="I194">
        <v>2040</v>
      </c>
      <c r="J194" t="s">
        <v>60</v>
      </c>
      <c r="L194" s="37">
        <v>0.10654854875281253</v>
      </c>
      <c r="M194" s="18">
        <v>0.1392124632215648</v>
      </c>
      <c r="N194" s="18">
        <v>4.1326538609389285E-2</v>
      </c>
      <c r="O194" s="18">
        <v>5.7759853499872503E-5</v>
      </c>
      <c r="P194" s="18">
        <v>0</v>
      </c>
      <c r="Q194" s="18">
        <v>0.1392124632215648</v>
      </c>
      <c r="R194" s="18">
        <v>5.118242218965249E-3</v>
      </c>
      <c r="S194" s="18">
        <v>2.4261393372075173E-4</v>
      </c>
      <c r="T194" s="18">
        <v>5.7780057469918343E-2</v>
      </c>
      <c r="U194" s="18">
        <v>3.6314514423470001E-3</v>
      </c>
      <c r="V194" s="18">
        <v>3.9461188777166669E-3</v>
      </c>
      <c r="W194" s="18">
        <v>1.8033656397591861E-4</v>
      </c>
      <c r="X194" s="18">
        <v>3.685836502690959E-2</v>
      </c>
      <c r="Y194" s="18">
        <v>6.4574091543109585E-2</v>
      </c>
      <c r="Z194" s="19">
        <v>7.1926887031967493E-2</v>
      </c>
      <c r="AA194" s="18">
        <v>2.7758770115660931E-2</v>
      </c>
      <c r="AB194" s="18">
        <v>3.3765460465254027E-3</v>
      </c>
      <c r="AC194" s="18">
        <v>3.1462354524700829E-2</v>
      </c>
      <c r="AD194" s="18">
        <v>3.4216372678802674E-3</v>
      </c>
      <c r="AE194" s="18">
        <v>7.1926887031967493E-2</v>
      </c>
      <c r="AF194" s="18">
        <v>3.5977664683271487E-2</v>
      </c>
      <c r="AG194" s="18">
        <v>6.2423077320596305E-4</v>
      </c>
      <c r="AH194" s="18">
        <v>1.5461378885557174E-4</v>
      </c>
      <c r="AI194" s="37">
        <v>0.10654854875281253</v>
      </c>
      <c r="AJ194" s="18">
        <v>4.6281482208659436E-2</v>
      </c>
      <c r="AK194" s="18">
        <v>2.2563667048674696E-5</v>
      </c>
      <c r="AL194" s="18">
        <v>4.5515915242046005E-2</v>
      </c>
      <c r="AM194" s="38">
        <v>3.4878529936976381E-3</v>
      </c>
      <c r="AN194" s="18">
        <v>2.6493791959126723E-3</v>
      </c>
      <c r="AO194" s="18">
        <v>4.3283737383058895E-3</v>
      </c>
      <c r="AP194" s="18">
        <v>0.10654854875281253</v>
      </c>
      <c r="AQ194" s="37">
        <v>0.10654854875281253</v>
      </c>
      <c r="AR194" s="18">
        <v>3.4216372678802674E-3</v>
      </c>
      <c r="AS194" s="18">
        <v>0.11680044181086222</v>
      </c>
      <c r="AT194" s="18">
        <v>1.6730839773446284E-2</v>
      </c>
      <c r="AU194" s="18">
        <v>3.3617678305501157E-2</v>
      </c>
      <c r="AV194" s="18"/>
      <c r="AX194" s="18"/>
    </row>
    <row r="195" spans="1:59" x14ac:dyDescent="0.3">
      <c r="A195" t="s">
        <v>86</v>
      </c>
      <c r="B195" t="s">
        <v>39</v>
      </c>
      <c r="C195" t="s">
        <v>99</v>
      </c>
      <c r="F195" t="s">
        <v>77</v>
      </c>
      <c r="H195" t="s">
        <v>78</v>
      </c>
      <c r="I195">
        <v>2050</v>
      </c>
      <c r="J195" t="s">
        <v>60</v>
      </c>
      <c r="L195" s="37">
        <v>8.9872161086532676E-2</v>
      </c>
      <c r="M195" s="18">
        <v>0.1178701007190245</v>
      </c>
      <c r="N195" s="18">
        <v>3.3869537825268886E-2</v>
      </c>
      <c r="O195" s="18">
        <v>5.5565822569739367E-5</v>
      </c>
      <c r="P195" s="18">
        <v>0</v>
      </c>
      <c r="Q195" s="18">
        <v>0.1178701007190245</v>
      </c>
      <c r="R195" s="18">
        <v>4.3221731549732342E-3</v>
      </c>
      <c r="S195" s="18">
        <v>2.0484447085495161E-4</v>
      </c>
      <c r="T195" s="18">
        <v>5.0245743560679311E-2</v>
      </c>
      <c r="U195" s="18">
        <v>3.2674197939299744E-3</v>
      </c>
      <c r="V195" s="18">
        <v>3.2330836283730275E-3</v>
      </c>
      <c r="W195" s="18">
        <v>1.5912702026195036E-4</v>
      </c>
      <c r="X195" s="18">
        <v>3.1137670875011573E-2</v>
      </c>
      <c r="Y195" s="18">
        <v>5.5433655427400468E-2</v>
      </c>
      <c r="Z195" s="19">
        <v>6.1258684567996796E-2</v>
      </c>
      <c r="AA195" s="18">
        <v>2.4586252410931795E-2</v>
      </c>
      <c r="AB195" s="18">
        <v>2.9665819599817358E-3</v>
      </c>
      <c r="AC195" s="18">
        <v>2.6801967037624316E-2</v>
      </c>
      <c r="AD195" s="18">
        <v>3.4017708500826563E-3</v>
      </c>
      <c r="AE195" s="18">
        <v>6.1258684567996796E-2</v>
      </c>
      <c r="AF195" s="18">
        <v>2.8882197594382469E-2</v>
      </c>
      <c r="AG195" s="18">
        <v>5.4394748678799221E-4</v>
      </c>
      <c r="AH195" s="18">
        <v>1.3161399407409714E-4</v>
      </c>
      <c r="AI195" s="37">
        <v>8.9872161086532676E-2</v>
      </c>
      <c r="AJ195" s="18">
        <v>3.1549936199090363E-2</v>
      </c>
      <c r="AK195" s="18">
        <v>1.8670592803009167E-5</v>
      </c>
      <c r="AL195" s="18">
        <v>3.8047724682732223E-2</v>
      </c>
      <c r="AM195" s="38">
        <v>2.9414693426878975E-3</v>
      </c>
      <c r="AN195" s="18">
        <v>2.4408531059586366E-3</v>
      </c>
      <c r="AO195" s="18">
        <v>3.9712214076557993E-3</v>
      </c>
      <c r="AP195" s="18">
        <v>8.9872161086532676E-2</v>
      </c>
      <c r="AQ195" s="37">
        <v>8.9872161086532676E-2</v>
      </c>
      <c r="AR195" s="18">
        <v>3.4017708500826563E-3</v>
      </c>
      <c r="AS195" s="18">
        <v>0.1007706559957261</v>
      </c>
      <c r="AT195" s="18">
        <v>1.5225544497392694E-2</v>
      </c>
      <c r="AU195" s="18">
        <v>2.8167468324634033E-2</v>
      </c>
      <c r="AV195" s="18"/>
    </row>
    <row r="196" spans="1:59" x14ac:dyDescent="0.3">
      <c r="E196" t="s">
        <v>79</v>
      </c>
    </row>
    <row r="197" spans="1:59" s="12" customFormat="1" x14ac:dyDescent="0.3">
      <c r="A197" s="12" t="s">
        <v>86</v>
      </c>
      <c r="B197" s="12" t="s">
        <v>39</v>
      </c>
      <c r="C197" s="12" t="s">
        <v>100</v>
      </c>
      <c r="E197" s="12" t="s">
        <v>73</v>
      </c>
      <c r="G197" s="12" t="s">
        <v>74</v>
      </c>
      <c r="H197" s="12" t="s">
        <v>75</v>
      </c>
      <c r="I197" s="12">
        <v>2005</v>
      </c>
      <c r="J197" s="12" t="s">
        <v>61</v>
      </c>
      <c r="L197" s="13">
        <v>2.4151940872375109E-3</v>
      </c>
      <c r="M197" s="22">
        <v>2.3833071181456287</v>
      </c>
      <c r="N197" s="22">
        <v>8.0163482763077258</v>
      </c>
      <c r="O197" s="22">
        <v>9.4130088266627333E-5</v>
      </c>
      <c r="P197" s="22">
        <v>0</v>
      </c>
      <c r="Q197" s="22">
        <v>0.8065798297109954</v>
      </c>
      <c r="R197" s="22">
        <v>1.0453268800284256E-3</v>
      </c>
      <c r="S197" s="22">
        <v>0.25135839126538928</v>
      </c>
      <c r="T197" s="22">
        <v>6.2214561900672933</v>
      </c>
      <c r="U197" s="22">
        <v>0.15658669291982957</v>
      </c>
      <c r="V197" s="22">
        <v>9.2627041907510319E-5</v>
      </c>
      <c r="W197" s="22">
        <v>0.75074564903225804</v>
      </c>
      <c r="X197" s="22">
        <v>2</v>
      </c>
      <c r="Y197" s="22">
        <v>4.2157872894889384E-3</v>
      </c>
      <c r="Z197" s="22">
        <v>0.3930090413584536</v>
      </c>
      <c r="AA197" s="22">
        <v>2.0188137887994447E-2</v>
      </c>
      <c r="AB197" s="22">
        <v>0.1759360535452619</v>
      </c>
      <c r="AC197" s="22">
        <v>9.0347566398336953E-4</v>
      </c>
      <c r="AD197" s="22">
        <v>3.2753465183003004E-2</v>
      </c>
      <c r="AE197" s="22">
        <v>0.1613443492163199</v>
      </c>
      <c r="AF197" s="22">
        <v>1.7824276351555585E-4</v>
      </c>
      <c r="AG197" s="22">
        <v>1.7824276351555585E-4</v>
      </c>
      <c r="AH197" s="22">
        <v>4.3530007829627307E-4</v>
      </c>
      <c r="AI197" s="22">
        <v>0</v>
      </c>
      <c r="AJ197" s="22">
        <v>1.9013263614549398E-3</v>
      </c>
      <c r="AK197" s="22">
        <v>4.538099508162478E-6</v>
      </c>
      <c r="AL197" s="22">
        <v>0.22990405367793984</v>
      </c>
      <c r="AM197" s="22">
        <v>0.26298194695455018</v>
      </c>
      <c r="AN197" s="22">
        <v>0.62741804581347849</v>
      </c>
      <c r="AO197" s="22">
        <v>0.36886962401323836</v>
      </c>
      <c r="AP197" s="22">
        <v>1.2701681292950788E-2</v>
      </c>
      <c r="AQ197" s="22">
        <v>1.4791638527873721E-3</v>
      </c>
      <c r="AR197" s="22">
        <v>0.96633022121677414</v>
      </c>
      <c r="AS197" s="22">
        <v>4.0540438106302333E-2</v>
      </c>
      <c r="AT197" s="22">
        <v>8.3458459116896673E-4</v>
      </c>
      <c r="AU197" s="22">
        <v>7.5608776981771597E-2</v>
      </c>
      <c r="AV197" s="22"/>
      <c r="AX197" s="13"/>
    </row>
    <row r="198" spans="1:59" s="12" customFormat="1" x14ac:dyDescent="0.3">
      <c r="A198" s="12" t="s">
        <v>86</v>
      </c>
      <c r="B198" s="12" t="s">
        <v>39</v>
      </c>
      <c r="C198" s="12" t="s">
        <v>100</v>
      </c>
      <c r="E198" s="12" t="s">
        <v>73</v>
      </c>
      <c r="G198" s="12" t="s">
        <v>74</v>
      </c>
      <c r="H198" s="12" t="s">
        <v>75</v>
      </c>
      <c r="I198" s="12">
        <v>2010</v>
      </c>
      <c r="J198" s="12" t="s">
        <v>61</v>
      </c>
      <c r="L198" s="13">
        <v>2.4151940872375109E-3</v>
      </c>
      <c r="M198" s="22">
        <v>2.3833071181456287</v>
      </c>
      <c r="N198" s="22">
        <v>8.0163482763077258</v>
      </c>
      <c r="O198" s="22">
        <v>9.4130088266627333E-5</v>
      </c>
      <c r="P198" s="39"/>
      <c r="Q198" s="22">
        <v>0.8065798297109954</v>
      </c>
      <c r="R198" s="22">
        <v>1.0453268800284256E-3</v>
      </c>
      <c r="S198" s="22">
        <v>0.25135839126538928</v>
      </c>
      <c r="T198" s="22">
        <v>6.2214561900672933</v>
      </c>
      <c r="U198" s="22">
        <v>0.15658669291982957</v>
      </c>
      <c r="V198" s="22">
        <v>9.2627041907510319E-5</v>
      </c>
      <c r="W198" s="22">
        <v>0.75074564903225804</v>
      </c>
      <c r="X198" s="22">
        <v>2.2000000000000002</v>
      </c>
      <c r="Y198" s="22">
        <v>4.2157872894889384E-3</v>
      </c>
      <c r="Z198" s="22">
        <v>0.3930090413584536</v>
      </c>
      <c r="AA198" s="22">
        <v>2.0188137887994447E-2</v>
      </c>
      <c r="AB198" s="22">
        <v>0.1759360535452619</v>
      </c>
      <c r="AC198" s="22">
        <v>9.0347566398336953E-4</v>
      </c>
      <c r="AD198" s="40">
        <v>3.2753465183003004E-2</v>
      </c>
      <c r="AE198" s="22">
        <v>0.1613443492163199</v>
      </c>
      <c r="AF198" s="22">
        <v>1.7824276351555585E-4</v>
      </c>
      <c r="AG198" s="22">
        <v>1.7824276351555585E-4</v>
      </c>
      <c r="AH198" s="22">
        <v>4.3530007829627307E-4</v>
      </c>
      <c r="AI198" s="22">
        <v>0</v>
      </c>
      <c r="AJ198" s="22">
        <v>1.9013263614549398E-3</v>
      </c>
      <c r="AK198" s="22">
        <v>4.538099508162478E-6</v>
      </c>
      <c r="AL198" s="22">
        <v>0.22990405367793984</v>
      </c>
      <c r="AM198" s="22">
        <v>0.26298194695455018</v>
      </c>
      <c r="AN198" s="22">
        <v>0.62741804581347849</v>
      </c>
      <c r="AO198" s="22">
        <v>0.36886962401323836</v>
      </c>
      <c r="AP198" s="22">
        <v>1.2701681292950788E-2</v>
      </c>
      <c r="AQ198" s="22">
        <v>1.4791638527873721E-3</v>
      </c>
      <c r="AR198" s="22">
        <v>0.96633022121677414</v>
      </c>
      <c r="AS198" s="22">
        <v>4.0540438106302333E-2</v>
      </c>
      <c r="AT198" s="22">
        <v>8.3458459116896673E-4</v>
      </c>
      <c r="AU198" s="22">
        <v>7.5608776981771597E-2</v>
      </c>
      <c r="AV198" s="22"/>
      <c r="AW198" s="13">
        <f>SUM(M198:O198,R198:AC198,AE198:AH198,AK198:AL198,AN198:AP198,AR198:AU198)</f>
        <v>23.059634996108286</v>
      </c>
      <c r="BC198" s="13">
        <f>AW198-AU198</f>
        <v>22.984026219126516</v>
      </c>
    </row>
    <row r="199" spans="1:59" s="12" customFormat="1" x14ac:dyDescent="0.3">
      <c r="A199" s="12" t="s">
        <v>86</v>
      </c>
      <c r="B199" s="12" t="s">
        <v>39</v>
      </c>
      <c r="C199" s="12" t="s">
        <v>100</v>
      </c>
      <c r="E199" s="12" t="s">
        <v>73</v>
      </c>
      <c r="G199" s="12" t="s">
        <v>74</v>
      </c>
      <c r="H199" s="12" t="s">
        <v>75</v>
      </c>
      <c r="I199" s="12">
        <v>2020</v>
      </c>
      <c r="J199" s="12" t="s">
        <v>61</v>
      </c>
      <c r="L199" s="13">
        <v>3.2978259908427324E-3</v>
      </c>
      <c r="M199" s="22">
        <v>2.8205457009190744</v>
      </c>
      <c r="N199" s="22">
        <v>9.2120466199620026</v>
      </c>
      <c r="O199" s="22">
        <v>1.1816389635955409E-4</v>
      </c>
      <c r="P199" s="22">
        <v>0</v>
      </c>
      <c r="Q199" s="22">
        <v>0.99540857429154839</v>
      </c>
      <c r="R199" s="22">
        <v>1.1894510438797692E-3</v>
      </c>
      <c r="S199" s="22">
        <v>0.30934154981435824</v>
      </c>
      <c r="T199" s="22">
        <v>7.009663535895462</v>
      </c>
      <c r="U199" s="22">
        <v>0.17937589638596749</v>
      </c>
      <c r="V199" s="22">
        <v>1.2488171364724728E-4</v>
      </c>
      <c r="W199" s="22">
        <v>0.87989308248498577</v>
      </c>
      <c r="X199" s="22">
        <v>2.5</v>
      </c>
      <c r="Y199" s="22">
        <v>4.941010418150365E-3</v>
      </c>
      <c r="Z199" s="22">
        <v>0.3930090413584536</v>
      </c>
      <c r="AA199" s="22">
        <v>2.4851561571702898E-2</v>
      </c>
      <c r="AB199" s="22">
        <v>0.19242722120965181</v>
      </c>
      <c r="AC199" s="22">
        <v>1.1121769237255989E-3</v>
      </c>
      <c r="AD199" s="40">
        <v>4.0746373184459776E-2</v>
      </c>
      <c r="AE199" s="22">
        <v>0.1764677799231687</v>
      </c>
      <c r="AF199" s="22">
        <v>2.2594954615683265E-4</v>
      </c>
      <c r="AG199" s="22">
        <v>3.9366109834991324E-5</v>
      </c>
      <c r="AH199" s="22">
        <v>5.6156192534217943E-4</v>
      </c>
      <c r="AI199" s="22">
        <v>0</v>
      </c>
      <c r="AJ199" s="22">
        <v>2.8134444179177989E-3</v>
      </c>
      <c r="AK199" s="22">
        <v>5.2666497472491021E-6</v>
      </c>
      <c r="AL199" s="22">
        <v>0.26945342504114067</v>
      </c>
      <c r="AM199" s="22">
        <v>0.34749789933651615</v>
      </c>
      <c r="AN199" s="22">
        <v>0.75980613719072565</v>
      </c>
      <c r="AO199" s="22">
        <v>0.38773366529111158</v>
      </c>
      <c r="AP199" s="22">
        <v>1.6101293914916739E-2</v>
      </c>
      <c r="AQ199" s="22">
        <v>2.1887590521944399E-3</v>
      </c>
      <c r="AR199" s="22">
        <v>1.1548258818070196</v>
      </c>
      <c r="AS199" s="22">
        <v>4.7623556215252362E-2</v>
      </c>
      <c r="AT199" s="22">
        <v>1.0656533418035904E-3</v>
      </c>
      <c r="AU199" s="22">
        <v>8.9491490697336598E-2</v>
      </c>
      <c r="AV199" s="22"/>
      <c r="AX199" s="13">
        <f>SUM(M199:O199,R199:AC199,AE199:AH199,AK199:AL199,AN199:AP199,AR199:AU199)</f>
        <v>26.432040921250984</v>
      </c>
      <c r="BD199" s="13">
        <f>AX199-AU199</f>
        <v>26.342549430553646</v>
      </c>
    </row>
    <row r="200" spans="1:59" s="12" customFormat="1" x14ac:dyDescent="0.3">
      <c r="A200" s="12" t="s">
        <v>86</v>
      </c>
      <c r="B200" s="12" t="s">
        <v>39</v>
      </c>
      <c r="C200" s="12" t="s">
        <v>100</v>
      </c>
      <c r="E200" s="12" t="s">
        <v>73</v>
      </c>
      <c r="G200" s="12" t="s">
        <v>74</v>
      </c>
      <c r="H200" s="12" t="s">
        <v>75</v>
      </c>
      <c r="I200" s="12">
        <v>2030</v>
      </c>
      <c r="J200" s="12" t="s">
        <v>61</v>
      </c>
      <c r="L200" s="13">
        <v>3.9464225181777626E-3</v>
      </c>
      <c r="M200" s="29">
        <f>M305*[1]bioshares!D121</f>
        <v>6.6918695738154366</v>
      </c>
      <c r="N200" s="29">
        <f>N305*[1]bioshares!E121</f>
        <v>24.522510928354087</v>
      </c>
      <c r="O200" s="29">
        <f>O305*[1]bioshares!F121</f>
        <v>3.3644664709635307E-4</v>
      </c>
      <c r="P200" s="22">
        <v>0</v>
      </c>
      <c r="Q200" s="22">
        <v>1.320107657703069</v>
      </c>
      <c r="R200" s="29">
        <f>R305*[1]bioshares!I121</f>
        <v>3.6281500287230458E-3</v>
      </c>
      <c r="S200" s="29">
        <f>S305*[1]bioshares!J121</f>
        <v>0.91599904938522869</v>
      </c>
      <c r="T200" s="29">
        <f>T305*[1]bioshares!K121</f>
        <v>17.240119227489984</v>
      </c>
      <c r="U200" s="29">
        <f>U305*[1]bioshares!L121</f>
        <v>0.4760312225689618</v>
      </c>
      <c r="V200" s="29">
        <f>V305*[1]bioshares!M121</f>
        <v>3.8695793467537665E-4</v>
      </c>
      <c r="W200" s="29">
        <f>W305*[1]bioshares!N121</f>
        <v>2.8460364579866679</v>
      </c>
      <c r="X200" s="29">
        <f>X305*[1]bioshares!O121</f>
        <v>6.2557150272588213</v>
      </c>
      <c r="Y200" s="29">
        <f>Y305*[1]bioshares!P121</f>
        <v>1.4778504820836112E-2</v>
      </c>
      <c r="Z200" s="29">
        <f>Z305*[1]bioshares!Q121</f>
        <v>1.0156780192161725</v>
      </c>
      <c r="AA200" s="29">
        <f>AA305*[1]bioshares!R121</f>
        <v>7.4330732261479709E-2</v>
      </c>
      <c r="AB200" s="29">
        <f>AB305*[1]bioshares!S121</f>
        <v>0.57554758554253149</v>
      </c>
      <c r="AC200" s="29">
        <f>AC305*[1]bioshares!T121</f>
        <v>3.8133599465850019E-3</v>
      </c>
      <c r="AD200" s="40">
        <v>5.3489642350741641E-2</v>
      </c>
      <c r="AE200" s="29">
        <f>AE305*[1]bioshares!V121</f>
        <v>0.51246332786079274</v>
      </c>
      <c r="AF200" s="29">
        <f>AF305*[1]bioshares!W121</f>
        <v>6.7581247043686451E-4</v>
      </c>
      <c r="AG200" s="29">
        <f>AG305*[1]bioshares!X121</f>
        <v>1.1712967516039521E-4</v>
      </c>
      <c r="AH200" s="29">
        <f>AH305*[1]bioshares!Y121</f>
        <v>1.7391755648563838E-3</v>
      </c>
      <c r="AI200" s="22">
        <v>0</v>
      </c>
      <c r="AJ200" s="22">
        <v>5.0079310638936822E-3</v>
      </c>
      <c r="AK200" s="29">
        <f>AK305*[1]bioshares!AB121</f>
        <v>1.5907913656303577E-5</v>
      </c>
      <c r="AL200" s="29">
        <f>AL305*[1]bioshares!AC121</f>
        <v>0.75219806556915392</v>
      </c>
      <c r="AM200" s="22">
        <v>0.50297656525069978</v>
      </c>
      <c r="AN200" s="29">
        <f>AN305*[1]bioshares!AE121</f>
        <v>2.1219232732192816</v>
      </c>
      <c r="AO200" s="29">
        <f>AO305*[1]bioshares!AF121</f>
        <v>1.1711493957453363</v>
      </c>
      <c r="AP200" s="29">
        <f>AP305*[1]bioshares!AG121</f>
        <v>4.5845021351554667E-2</v>
      </c>
      <c r="AQ200" s="29">
        <f>AQ305*[1]bioshares!AH121</f>
        <v>0</v>
      </c>
      <c r="AR200" s="29">
        <f>AR305*[1]bioshares!AI121</f>
        <v>3.1053639084605917</v>
      </c>
      <c r="AS200" s="29">
        <f>AS305*[1]bioshares!AJ121</f>
        <v>0.13850788052120219</v>
      </c>
      <c r="AT200" s="29">
        <f>AT305*[1]bioshares!AK121</f>
        <v>3.340331639832141E-3</v>
      </c>
      <c r="AU200" s="22">
        <v>0.12962979328455332</v>
      </c>
      <c r="AV200" s="22"/>
      <c r="AY200" s="13">
        <f>SUM(M200:O200,R200:AC200,AE200:AH200,AK200:AL200,AN200:AP200,AR200:AU200)</f>
        <v>68.6197502665337</v>
      </c>
      <c r="BE200" s="13">
        <f>AY200-AU200</f>
        <v>68.490120473249149</v>
      </c>
    </row>
    <row r="201" spans="1:59" s="12" customFormat="1" x14ac:dyDescent="0.3">
      <c r="A201" s="12" t="s">
        <v>86</v>
      </c>
      <c r="B201" s="12" t="s">
        <v>39</v>
      </c>
      <c r="C201" s="12" t="s">
        <v>100</v>
      </c>
      <c r="E201" s="12" t="s">
        <v>73</v>
      </c>
      <c r="G201" s="12" t="s">
        <v>74</v>
      </c>
      <c r="H201" s="12" t="s">
        <v>75</v>
      </c>
      <c r="I201" s="12">
        <v>2040</v>
      </c>
      <c r="J201" s="12" t="s">
        <v>61</v>
      </c>
      <c r="L201" s="13">
        <v>4.6946368320924785E-3</v>
      </c>
      <c r="M201" s="29">
        <f>M306*[1]bioshares!D122</f>
        <v>6.5835728698717615</v>
      </c>
      <c r="N201" s="29">
        <f>N306*[1]bioshares!E122</f>
        <v>27.110607292697033</v>
      </c>
      <c r="O201" s="29">
        <f>O306*[1]bioshares!F122</f>
        <v>3.5160873460099218E-4</v>
      </c>
      <c r="P201" s="22">
        <v>0</v>
      </c>
      <c r="Q201" s="22">
        <v>1.7292380033816794</v>
      </c>
      <c r="R201" s="29">
        <f>R306*[1]bioshares!I122</f>
        <v>4.1022798190886601E-3</v>
      </c>
      <c r="S201" s="29">
        <f>S306*[1]bioshares!J122</f>
        <v>0.97621445907050641</v>
      </c>
      <c r="T201" s="29">
        <f>T306*[1]bioshares!K122</f>
        <v>17.266318613507885</v>
      </c>
      <c r="U201" s="29">
        <f>U306*[1]bioshares!L122</f>
        <v>0.51936053304019103</v>
      </c>
      <c r="V201" s="29">
        <f>V306*[1]bioshares!M122</f>
        <v>4.156037663804423E-4</v>
      </c>
      <c r="W201" s="29">
        <f>W306*[1]bioshares!N122</f>
        <v>3.0038153913686005</v>
      </c>
      <c r="X201" s="29">
        <f>X306*[1]bioshares!O122</f>
        <v>6.4273865845166203</v>
      </c>
      <c r="Y201" s="29">
        <f>Y306*[1]bioshares!P122</f>
        <v>1.6065931191473003E-2</v>
      </c>
      <c r="Z201" s="29">
        <f>Z306*[1]bioshares!Q122</f>
        <v>1.0583574953251471</v>
      </c>
      <c r="AA201" s="29">
        <f>AA306*[1]bioshares!R122</f>
        <v>7.7680473079404094E-2</v>
      </c>
      <c r="AB201" s="29">
        <f>AB306*[1]bioshares!S122</f>
        <v>0.60148484165844818</v>
      </c>
      <c r="AC201" s="29">
        <f>AC306*[1]bioshares!T122</f>
        <v>4.3116931295430726E-3</v>
      </c>
      <c r="AD201" s="40">
        <v>6.8257171799335478E-2</v>
      </c>
      <c r="AE201" s="29">
        <f>AE306*[1]bioshares!V122</f>
        <v>0.54087333541369353</v>
      </c>
      <c r="AF201" s="29">
        <f>AF306*[1]bioshares!W122</f>
        <v>7.2035085640968582E-4</v>
      </c>
      <c r="AG201" s="29">
        <f>AG306*[1]bioshares!X122</f>
        <v>1.27844372593951E-4</v>
      </c>
      <c r="AH201" s="29">
        <f>AH306*[1]bioshares!Y122</f>
        <v>1.7876612110117921E-3</v>
      </c>
      <c r="AI201" s="22">
        <v>0</v>
      </c>
      <c r="AJ201" s="22">
        <v>8.0474670012847093E-3</v>
      </c>
      <c r="AK201" s="29">
        <f>AK306*[1]bioshares!AB122</f>
        <v>1.6956300345570736E-5</v>
      </c>
      <c r="AL201" s="29">
        <f>AL306*[1]bioshares!AC122</f>
        <v>0.79389851819139867</v>
      </c>
      <c r="AM201" s="22">
        <v>0.73122133481003726</v>
      </c>
      <c r="AN201" s="29">
        <f>AN306*[1]bioshares!AE122</f>
        <v>2.1068331752293741</v>
      </c>
      <c r="AO201" s="29">
        <f>AO306*[1]bioshares!AF122</f>
        <v>1.2483322032567508</v>
      </c>
      <c r="AP201" s="29">
        <f>AP306*[1]bioshares!AG122</f>
        <v>4.6972561389203797E-2</v>
      </c>
      <c r="AQ201" s="29">
        <f>AQ306*[1]bioshares!AH122</f>
        <v>0</v>
      </c>
      <c r="AR201" s="29">
        <f>AR306*[1]bioshares!AI122</f>
        <v>3.3986554593072817</v>
      </c>
      <c r="AS201" s="29">
        <f>AS306*[1]bioshares!AJ122</f>
        <v>0.14248352430313418</v>
      </c>
      <c r="AT201" s="29">
        <f>AT306*[1]bioshares!AK122</f>
        <v>3.3858293100015985E-3</v>
      </c>
      <c r="AU201" s="22">
        <v>0.16951525012845114</v>
      </c>
      <c r="AV201" s="22"/>
      <c r="AY201" s="13"/>
      <c r="AZ201" s="13">
        <f>SUM(M201:O201,R201:AC201,AE201:AH201,AK201:AL201,AN201:AP201,AR201:AU201)</f>
        <v>72.10364834004632</v>
      </c>
      <c r="BF201" s="13">
        <f>AZ201-AU201</f>
        <v>71.934133089917864</v>
      </c>
    </row>
    <row r="202" spans="1:59" s="15" customFormat="1" x14ac:dyDescent="0.3">
      <c r="A202" s="15" t="s">
        <v>86</v>
      </c>
      <c r="B202" s="15" t="s">
        <v>39</v>
      </c>
      <c r="C202" s="15" t="s">
        <v>100</v>
      </c>
      <c r="E202" s="15" t="s">
        <v>73</v>
      </c>
      <c r="G202" s="15" t="s">
        <v>74</v>
      </c>
      <c r="H202" s="15" t="s">
        <v>75</v>
      </c>
      <c r="I202" s="15">
        <v>2050</v>
      </c>
      <c r="J202" s="15" t="s">
        <v>61</v>
      </c>
      <c r="L202" s="23">
        <v>0.97875000000000001</v>
      </c>
      <c r="M202" s="32">
        <f>M307*[1]bioshares!D123</f>
        <v>7.5118188645661856</v>
      </c>
      <c r="N202" s="32">
        <f>N307*[1]bioshares!E123</f>
        <v>34.518455122911199</v>
      </c>
      <c r="O202" s="32">
        <f>O307*[1]bioshares!F123</f>
        <v>4.2363314565617351E-4</v>
      </c>
      <c r="P202" s="23">
        <v>0</v>
      </c>
      <c r="Q202" s="23">
        <v>2.2280095836096314</v>
      </c>
      <c r="R202" s="32">
        <f>R307*[1]bioshares!I123</f>
        <v>5.3475167120478877E-3</v>
      </c>
      <c r="S202" s="32">
        <f>S307*[1]bioshares!J123</f>
        <v>1.1994762016154645</v>
      </c>
      <c r="T202" s="32">
        <f>T307*[1]bioshares!K123</f>
        <v>19.915766756899114</v>
      </c>
      <c r="U202" s="32">
        <f>U307*[1]bioshares!L123</f>
        <v>0.65288874777955175</v>
      </c>
      <c r="V202" s="32">
        <f>V307*[1]bioshares!M123</f>
        <v>5.1480335006412394E-4</v>
      </c>
      <c r="W202" s="32">
        <f>W307*[1]bioshares!N123</f>
        <v>3.6550459758582607</v>
      </c>
      <c r="X202" s="32">
        <f>X307*[1]bioshares!O123</f>
        <v>7.2686916690367784</v>
      </c>
      <c r="Y202" s="32">
        <f>Y307*[1]bioshares!P123</f>
        <v>2.0135765018590733E-2</v>
      </c>
      <c r="Z202" s="32">
        <f>Z307*[1]bioshares!Q123</f>
        <v>1.2701251655391728</v>
      </c>
      <c r="AA202" s="32">
        <f>AA307*[1]bioshares!R123</f>
        <v>9.3592735129381516E-2</v>
      </c>
      <c r="AB202" s="32">
        <f>AB307*[1]bioshares!S123</f>
        <v>0.72469449834752431</v>
      </c>
      <c r="AC202" s="32">
        <f>AC307*[1]bioshares!T123</f>
        <v>5.6204969149510212E-3</v>
      </c>
      <c r="AD202" s="41">
        <v>8.4232848428349924E-2</v>
      </c>
      <c r="AE202" s="32">
        <f>AE307*[1]bioshares!V123</f>
        <v>0.65813528811839894</v>
      </c>
      <c r="AF202" s="32">
        <f>AF307*[1]bioshares!W123</f>
        <v>8.8521502994641575E-4</v>
      </c>
      <c r="AG202" s="32">
        <f>AG307*[1]bioshares!X123</f>
        <v>1.6096502249424526E-4</v>
      </c>
      <c r="AH202" s="32">
        <f>AH307*[1]bioshares!Y123</f>
        <v>2.1205679665508063E-3</v>
      </c>
      <c r="AI202" s="23">
        <v>0</v>
      </c>
      <c r="AJ202" s="23">
        <v>1.2855312671283009E-2</v>
      </c>
      <c r="AK202" s="32">
        <f>AK307*[1]bioshares!AB123</f>
        <v>2.0837029323455384E-5</v>
      </c>
      <c r="AL202" s="32">
        <f>AL307*[1]bioshares!AC123</f>
        <v>0.9660166175635766</v>
      </c>
      <c r="AM202" s="23">
        <v>1.064809316984239</v>
      </c>
      <c r="AN202" s="32">
        <f>AN307*[1]bioshares!AE123</f>
        <v>2.4220989527359729</v>
      </c>
      <c r="AO202" s="32">
        <f>AO307*[1]bioshares!AF123</f>
        <v>1.5340336155032324</v>
      </c>
      <c r="AP202" s="32">
        <f>AP307*[1]bioshares!AG123</f>
        <v>5.5485963626965555E-2</v>
      </c>
      <c r="AQ202" s="32">
        <f>AQ307*[1]bioshares!AH123</f>
        <v>0</v>
      </c>
      <c r="AR202" s="32">
        <f>AR307*[1]bioshares!AI123</f>
        <v>4.2942943941963057</v>
      </c>
      <c r="AS202" s="32">
        <f>AS307*[1]bioshares!AJ123</f>
        <v>0.16908965386197508</v>
      </c>
      <c r="AT202" s="32">
        <f>AT307*[1]bioshares!AK123</f>
        <v>3.9569992566449779E-3</v>
      </c>
      <c r="AU202" s="23">
        <v>0.22036128602200566</v>
      </c>
      <c r="AV202" s="23"/>
      <c r="AY202" s="16"/>
      <c r="AZ202" s="16"/>
      <c r="BA202" s="16">
        <f>SUM(M202:O202,R202:AC202,AE202:AH202,AK202:AL202,AN202:AP202,AR202:AU202)</f>
        <v>87.169258308757364</v>
      </c>
      <c r="BG202" s="16">
        <f>BA202-AU202</f>
        <v>86.948897022735352</v>
      </c>
    </row>
    <row r="203" spans="1:59" x14ac:dyDescent="0.3">
      <c r="A203" t="s">
        <v>86</v>
      </c>
      <c r="B203" t="s">
        <v>39</v>
      </c>
      <c r="C203" t="s">
        <v>100</v>
      </c>
      <c r="F203" t="s">
        <v>77</v>
      </c>
      <c r="H203" t="s">
        <v>78</v>
      </c>
      <c r="I203">
        <v>2005</v>
      </c>
      <c r="J203" t="s">
        <v>61</v>
      </c>
      <c r="L203" s="18">
        <v>6.5250000000000004</v>
      </c>
      <c r="M203" s="18">
        <v>6.5249999999999995</v>
      </c>
      <c r="N203" s="18">
        <v>6.5250000000000004</v>
      </c>
      <c r="O203" s="18">
        <v>6.5250000000000004</v>
      </c>
      <c r="P203" s="18">
        <v>0</v>
      </c>
      <c r="Q203" s="18">
        <v>6.5249999999999995</v>
      </c>
      <c r="R203" s="18">
        <v>6.5250000000000004</v>
      </c>
      <c r="S203" s="18">
        <v>6.5249999999999995</v>
      </c>
      <c r="T203" s="18">
        <v>6.5250000000000004</v>
      </c>
      <c r="U203" s="18">
        <v>6.5249999999999995</v>
      </c>
      <c r="V203" s="18">
        <v>6.5250000000000012</v>
      </c>
      <c r="W203" s="18">
        <v>6.5250000000000004</v>
      </c>
      <c r="X203" s="18">
        <v>6.5250000000000012</v>
      </c>
      <c r="Y203" s="18">
        <v>6.5250000000000004</v>
      </c>
      <c r="Z203" s="18">
        <v>0</v>
      </c>
      <c r="AA203" s="18">
        <v>6.5250000000000004</v>
      </c>
      <c r="AB203" s="18">
        <v>6.5250000000000004</v>
      </c>
      <c r="AC203" s="18">
        <v>6.5250000000000004</v>
      </c>
      <c r="AD203" s="18">
        <v>6.5250000000000004</v>
      </c>
      <c r="AE203" s="18">
        <v>6.5250000000000004</v>
      </c>
      <c r="AF203" s="18">
        <v>6.5250000000000004</v>
      </c>
      <c r="AG203" s="18">
        <v>6.5250000000000004</v>
      </c>
      <c r="AH203" s="18">
        <v>6.5250000000000004</v>
      </c>
      <c r="AI203" s="18">
        <v>6.5250000000000004</v>
      </c>
      <c r="AJ203" s="18">
        <v>6.5250000000000004</v>
      </c>
      <c r="AK203" s="18">
        <v>6.5250000000000004</v>
      </c>
      <c r="AL203" s="18">
        <v>6.5250000000000004</v>
      </c>
      <c r="AM203" s="18">
        <v>6.5250000000000004</v>
      </c>
      <c r="AN203" s="18">
        <v>6.5249999999999986</v>
      </c>
      <c r="AO203" s="18">
        <v>6.5250000000000004</v>
      </c>
      <c r="AP203" s="18">
        <v>6.5250000000000004</v>
      </c>
      <c r="AQ203" s="18">
        <v>6.5250000000000004</v>
      </c>
      <c r="AR203" s="18">
        <v>6.5250000000000004</v>
      </c>
      <c r="AS203" s="18">
        <v>6.5250000000000012</v>
      </c>
      <c r="AT203" s="18">
        <v>6.5250000000000004</v>
      </c>
      <c r="AU203" s="18">
        <v>6.5250000000000004</v>
      </c>
      <c r="AV203" s="18"/>
      <c r="AX203" s="18"/>
      <c r="AY203" s="18"/>
      <c r="AZ203" s="18"/>
      <c r="BA203" s="18"/>
    </row>
    <row r="204" spans="1:59" x14ac:dyDescent="0.3">
      <c r="A204" t="s">
        <v>86</v>
      </c>
      <c r="B204" t="s">
        <v>39</v>
      </c>
      <c r="C204" t="s">
        <v>100</v>
      </c>
      <c r="F204" t="s">
        <v>77</v>
      </c>
      <c r="H204" t="s">
        <v>78</v>
      </c>
      <c r="I204">
        <v>2010</v>
      </c>
      <c r="J204" t="s">
        <v>61</v>
      </c>
      <c r="L204" s="37">
        <v>6.5250000000000004</v>
      </c>
      <c r="M204" s="18">
        <v>6.5249999999999995</v>
      </c>
      <c r="N204" s="18">
        <v>6.5250000000000004</v>
      </c>
      <c r="O204" s="18">
        <v>6.5250000000000004</v>
      </c>
      <c r="P204" s="18">
        <v>0</v>
      </c>
      <c r="Q204" s="18">
        <v>6.5249999999999995</v>
      </c>
      <c r="R204" s="18">
        <v>6.5250000000000004</v>
      </c>
      <c r="S204" s="18">
        <v>6.5249999999999995</v>
      </c>
      <c r="T204" s="18">
        <v>6.5250000000000004</v>
      </c>
      <c r="U204" s="18">
        <v>6.5249999999999995</v>
      </c>
      <c r="V204" s="18">
        <v>6.5250000000000012</v>
      </c>
      <c r="W204" s="18">
        <v>6.5250000000000004</v>
      </c>
      <c r="X204" s="18">
        <v>6.5250000000000012</v>
      </c>
      <c r="Y204" s="18">
        <v>6.5250000000000004</v>
      </c>
      <c r="Z204" s="18">
        <v>0</v>
      </c>
      <c r="AA204" s="18">
        <v>6.5250000000000004</v>
      </c>
      <c r="AB204" s="18">
        <v>6.5250000000000004</v>
      </c>
      <c r="AC204" s="18">
        <v>6.5250000000000004</v>
      </c>
      <c r="AD204" s="18">
        <v>6.5250000000000004</v>
      </c>
      <c r="AE204" s="18">
        <v>6.5250000000000004</v>
      </c>
      <c r="AF204" s="18">
        <v>6.5250000000000004</v>
      </c>
      <c r="AG204" s="18">
        <v>6.5250000000000004</v>
      </c>
      <c r="AH204" s="18">
        <v>6.5250000000000004</v>
      </c>
      <c r="AI204" s="37">
        <v>6.5250000000000004</v>
      </c>
      <c r="AJ204" s="18">
        <v>6.5250000000000004</v>
      </c>
      <c r="AK204" s="18">
        <v>6.5250000000000004</v>
      </c>
      <c r="AL204" s="18">
        <v>6.5250000000000004</v>
      </c>
      <c r="AM204" s="18">
        <v>6.5250000000000004</v>
      </c>
      <c r="AN204" s="18">
        <v>6.5249999999999986</v>
      </c>
      <c r="AO204" s="18">
        <v>6.5250000000000004</v>
      </c>
      <c r="AP204" s="18">
        <v>6.5250000000000004</v>
      </c>
      <c r="AQ204" s="37">
        <v>6.5250000000000004</v>
      </c>
      <c r="AR204" s="18">
        <v>6.5250000000000004</v>
      </c>
      <c r="AS204" s="18">
        <v>6.5250000000000012</v>
      </c>
      <c r="AT204" s="18">
        <v>6.5250000000000004</v>
      </c>
      <c r="AU204" s="18">
        <v>6.5250000000000004</v>
      </c>
      <c r="AV204" s="18"/>
      <c r="AX204" s="18"/>
      <c r="AY204" s="18"/>
      <c r="AZ204" s="18"/>
      <c r="BA204" s="18"/>
    </row>
    <row r="205" spans="1:59" x14ac:dyDescent="0.3">
      <c r="A205" t="s">
        <v>86</v>
      </c>
      <c r="B205" t="s">
        <v>39</v>
      </c>
      <c r="C205" t="s">
        <v>100</v>
      </c>
      <c r="F205" t="s">
        <v>77</v>
      </c>
      <c r="H205" t="s">
        <v>78</v>
      </c>
      <c r="I205">
        <v>2020</v>
      </c>
      <c r="J205" t="s">
        <v>61</v>
      </c>
      <c r="L205" s="37">
        <v>7.5037500000000001</v>
      </c>
      <c r="M205" s="18">
        <v>7.5037500000000001</v>
      </c>
      <c r="N205" s="18">
        <v>7.5037500000000001</v>
      </c>
      <c r="O205" s="18">
        <v>7.5037500000000001</v>
      </c>
      <c r="P205" s="18">
        <v>0</v>
      </c>
      <c r="Q205" s="18">
        <v>7.5037500000000001</v>
      </c>
      <c r="R205" s="18">
        <v>7.5037500000000001</v>
      </c>
      <c r="S205" s="18">
        <v>7.5037499999999984</v>
      </c>
      <c r="T205" s="18">
        <v>7.5037500000000001</v>
      </c>
      <c r="U205" s="18">
        <v>7.5037499999999993</v>
      </c>
      <c r="V205" s="18">
        <v>7.503750000000001</v>
      </c>
      <c r="W205" s="18">
        <v>7.5037500000000001</v>
      </c>
      <c r="X205" s="18">
        <v>7.5037499999999993</v>
      </c>
      <c r="Y205" s="18">
        <v>7.5037500000000001</v>
      </c>
      <c r="Z205" s="18">
        <v>0</v>
      </c>
      <c r="AA205" s="18">
        <v>7.5037500000000001</v>
      </c>
      <c r="AB205" s="18">
        <v>7.5037500000000001</v>
      </c>
      <c r="AC205" s="18">
        <v>7.5037500000000001</v>
      </c>
      <c r="AD205" s="18">
        <v>7.503750000000001</v>
      </c>
      <c r="AE205" s="18">
        <v>7.5037500000000001</v>
      </c>
      <c r="AF205" s="18">
        <v>7.5037500000000001</v>
      </c>
      <c r="AG205" s="18">
        <v>7.5037500000000001</v>
      </c>
      <c r="AH205" s="18">
        <v>7.5037500000000001</v>
      </c>
      <c r="AI205" s="37">
        <v>7.5037500000000001</v>
      </c>
      <c r="AJ205" s="18">
        <v>7.5037500000000001</v>
      </c>
      <c r="AK205" s="18">
        <v>7.5037500000000001</v>
      </c>
      <c r="AL205" s="18">
        <v>7.5037500000000001</v>
      </c>
      <c r="AM205" s="18">
        <v>7.5037500000000001</v>
      </c>
      <c r="AN205" s="18">
        <v>7.503750000000001</v>
      </c>
      <c r="AO205" s="18">
        <v>7.5037500000000001</v>
      </c>
      <c r="AP205" s="18">
        <v>7.5037500000000001</v>
      </c>
      <c r="AQ205" s="37">
        <v>7.5037500000000001</v>
      </c>
      <c r="AR205" s="18">
        <v>7.503750000000001</v>
      </c>
      <c r="AS205" s="18">
        <v>7.503750000000001</v>
      </c>
      <c r="AT205" s="18">
        <v>7.5037500000000019</v>
      </c>
      <c r="AU205" s="18">
        <v>7.5037500000000001</v>
      </c>
      <c r="AV205" s="18"/>
      <c r="AX205" s="18"/>
    </row>
    <row r="206" spans="1:59" x14ac:dyDescent="0.3">
      <c r="A206" t="s">
        <v>86</v>
      </c>
      <c r="B206" t="s">
        <v>39</v>
      </c>
      <c r="C206" t="s">
        <v>100</v>
      </c>
      <c r="F206" t="s">
        <v>77</v>
      </c>
      <c r="H206" t="s">
        <v>78</v>
      </c>
      <c r="I206">
        <v>2030</v>
      </c>
      <c r="J206" t="s">
        <v>61</v>
      </c>
      <c r="L206" s="37">
        <v>6.7533750000000001</v>
      </c>
      <c r="M206" s="18">
        <v>6.753375000000001</v>
      </c>
      <c r="N206" s="18">
        <v>6.7533750000000001</v>
      </c>
      <c r="O206" s="18">
        <v>6.7533750000000001</v>
      </c>
      <c r="P206" s="18">
        <v>0</v>
      </c>
      <c r="Q206" s="18">
        <v>6.753375000000001</v>
      </c>
      <c r="R206" s="18">
        <v>6.7533750000000001</v>
      </c>
      <c r="S206" s="18">
        <v>6.753375000000001</v>
      </c>
      <c r="T206" s="18">
        <v>6.7533750000000001</v>
      </c>
      <c r="U206" s="18">
        <v>6.7533750000000001</v>
      </c>
      <c r="V206" s="18">
        <v>6.7533750000000001</v>
      </c>
      <c r="W206" s="18">
        <v>6.7533750000000001</v>
      </c>
      <c r="X206" s="18">
        <v>6.7533750000000001</v>
      </c>
      <c r="Y206" s="18">
        <v>6.7533750000000001</v>
      </c>
      <c r="Z206" s="18">
        <v>0</v>
      </c>
      <c r="AA206" s="18">
        <v>6.7533750000000001</v>
      </c>
      <c r="AB206" s="18">
        <v>6.7533750000000001</v>
      </c>
      <c r="AC206" s="18">
        <v>6.7533750000000001</v>
      </c>
      <c r="AD206" s="18">
        <v>6.753375000000001</v>
      </c>
      <c r="AE206" s="18">
        <v>6.7533750000000001</v>
      </c>
      <c r="AF206" s="18">
        <v>6.7533750000000001</v>
      </c>
      <c r="AG206" s="18">
        <v>6.7533750000000001</v>
      </c>
      <c r="AH206" s="18">
        <v>6.7533749999999992</v>
      </c>
      <c r="AI206" s="37">
        <v>6.7533750000000001</v>
      </c>
      <c r="AJ206" s="18">
        <v>6.7533750000000001</v>
      </c>
      <c r="AK206" s="18">
        <v>6.7533750000000001</v>
      </c>
      <c r="AL206" s="18">
        <v>6.7533750000000001</v>
      </c>
      <c r="AM206" s="18">
        <v>6.7533750000000001</v>
      </c>
      <c r="AN206" s="18">
        <v>6.7533749999999992</v>
      </c>
      <c r="AO206" s="18">
        <v>6.7533750000000001</v>
      </c>
      <c r="AP206" s="18">
        <v>6.7533750000000001</v>
      </c>
      <c r="AQ206" s="37">
        <v>6.7533750000000001</v>
      </c>
      <c r="AR206" s="18">
        <v>6.753375000000001</v>
      </c>
      <c r="AS206" s="18">
        <v>6.7533749999999992</v>
      </c>
      <c r="AT206" s="18">
        <v>6.7533750000000001</v>
      </c>
      <c r="AU206" s="18">
        <v>6.7533750000000001</v>
      </c>
      <c r="AV206" s="18"/>
      <c r="AX206" s="18"/>
    </row>
    <row r="207" spans="1:59" x14ac:dyDescent="0.3">
      <c r="A207" t="s">
        <v>86</v>
      </c>
      <c r="B207" t="s">
        <v>39</v>
      </c>
      <c r="C207" t="s">
        <v>100</v>
      </c>
      <c r="F207" t="s">
        <v>77</v>
      </c>
      <c r="H207" t="s">
        <v>78</v>
      </c>
      <c r="I207">
        <v>2040</v>
      </c>
      <c r="J207" t="s">
        <v>61</v>
      </c>
      <c r="L207" s="37">
        <v>6.0780374999999998</v>
      </c>
      <c r="M207" s="18">
        <v>6.078037499999998</v>
      </c>
      <c r="N207" s="18">
        <v>6.0780374999999998</v>
      </c>
      <c r="O207" s="18">
        <v>6.0780374999999998</v>
      </c>
      <c r="P207" s="18">
        <v>0</v>
      </c>
      <c r="Q207" s="18">
        <v>6.078037499999998</v>
      </c>
      <c r="R207" s="18">
        <v>6.0780374999999998</v>
      </c>
      <c r="S207" s="18">
        <v>6.0780375000000015</v>
      </c>
      <c r="T207" s="18">
        <v>6.0780374999999998</v>
      </c>
      <c r="U207" s="18">
        <v>6.0780374999999989</v>
      </c>
      <c r="V207" s="18">
        <v>6.0780374999999998</v>
      </c>
      <c r="W207" s="18">
        <v>6.0780374999999998</v>
      </c>
      <c r="X207" s="18">
        <v>6.0780374999999998</v>
      </c>
      <c r="Y207" s="18">
        <v>6.0780374999999998</v>
      </c>
      <c r="Z207" s="18">
        <v>0</v>
      </c>
      <c r="AA207" s="18">
        <v>6.0780374999999998</v>
      </c>
      <c r="AB207" s="18">
        <v>6.0780374999999998</v>
      </c>
      <c r="AC207" s="18">
        <v>6.0780374999999998</v>
      </c>
      <c r="AD207" s="18">
        <v>6.0780375000000006</v>
      </c>
      <c r="AE207" s="18">
        <v>6.0780374999999998</v>
      </c>
      <c r="AF207" s="18">
        <v>6.0780374999999998</v>
      </c>
      <c r="AG207" s="18">
        <v>6.0780375000000006</v>
      </c>
      <c r="AH207" s="18">
        <v>6.0780374999999989</v>
      </c>
      <c r="AI207" s="37">
        <v>6.0780374999999998</v>
      </c>
      <c r="AJ207" s="18">
        <v>6.0780374999999998</v>
      </c>
      <c r="AK207" s="18">
        <v>6.0780374999999998</v>
      </c>
      <c r="AL207" s="18">
        <v>6.0780374999999998</v>
      </c>
      <c r="AM207" s="18">
        <v>6.0780374999999998</v>
      </c>
      <c r="AN207" s="18">
        <v>6.0780375000000006</v>
      </c>
      <c r="AO207" s="18">
        <v>6.0780374999999998</v>
      </c>
      <c r="AP207" s="18">
        <v>6.0780374999999998</v>
      </c>
      <c r="AQ207" s="37">
        <v>6.0780374999999998</v>
      </c>
      <c r="AR207" s="18">
        <v>6.0780375000000006</v>
      </c>
      <c r="AS207" s="18">
        <v>6.0780375000000006</v>
      </c>
      <c r="AT207" s="18">
        <v>6.0780374999999998</v>
      </c>
      <c r="AU207" s="18">
        <v>6.0780374999999998</v>
      </c>
      <c r="AV207" s="18"/>
      <c r="AX207" s="18"/>
    </row>
    <row r="208" spans="1:59" x14ac:dyDescent="0.3">
      <c r="A208" t="s">
        <v>86</v>
      </c>
      <c r="B208" t="s">
        <v>39</v>
      </c>
      <c r="C208" t="s">
        <v>100</v>
      </c>
      <c r="F208" t="s">
        <v>77</v>
      </c>
      <c r="H208" t="s">
        <v>78</v>
      </c>
      <c r="I208">
        <v>2050</v>
      </c>
      <c r="J208" t="s">
        <v>61</v>
      </c>
      <c r="L208" s="37">
        <v>5.4702337500000002</v>
      </c>
      <c r="M208" s="18">
        <v>5.4702337500000002</v>
      </c>
      <c r="N208" s="18">
        <v>5.4702337500000002</v>
      </c>
      <c r="O208" s="18">
        <v>5.4702337500000002</v>
      </c>
      <c r="P208" s="18">
        <v>0</v>
      </c>
      <c r="Q208" s="18">
        <v>5.4702337500000002</v>
      </c>
      <c r="R208" s="18">
        <v>5.4702337500000002</v>
      </c>
      <c r="S208" s="18">
        <v>5.4702337499999985</v>
      </c>
      <c r="T208" s="18">
        <v>5.4702337500000002</v>
      </c>
      <c r="U208" s="18">
        <v>5.4702337500000011</v>
      </c>
      <c r="V208" s="18">
        <v>5.4702337500000011</v>
      </c>
      <c r="W208" s="18">
        <v>5.4702337500000002</v>
      </c>
      <c r="X208" s="18">
        <v>5.4702337500000002</v>
      </c>
      <c r="Y208" s="18">
        <v>5.4702337500000002</v>
      </c>
      <c r="Z208" s="18">
        <v>0</v>
      </c>
      <c r="AA208" s="18">
        <v>5.4702337500000002</v>
      </c>
      <c r="AB208" s="18">
        <v>5.4702337500000002</v>
      </c>
      <c r="AC208" s="18">
        <v>5.4702337500000002</v>
      </c>
      <c r="AD208" s="18">
        <v>5.4702337500000002</v>
      </c>
      <c r="AE208" s="18">
        <v>5.4702337500000002</v>
      </c>
      <c r="AF208" s="18">
        <v>5.4702337500000002</v>
      </c>
      <c r="AG208" s="18">
        <v>5.4702337499999993</v>
      </c>
      <c r="AH208" s="18">
        <v>5.4702337500000011</v>
      </c>
      <c r="AI208" s="37">
        <v>5.4702337500000002</v>
      </c>
      <c r="AJ208" s="18">
        <v>5.4702337500000002</v>
      </c>
      <c r="AK208" s="18">
        <v>5.4702337500000002</v>
      </c>
      <c r="AL208" s="18">
        <v>5.4702337500000002</v>
      </c>
      <c r="AM208" s="18">
        <v>5.4702337500000002</v>
      </c>
      <c r="AN208" s="18">
        <v>5.4702337499999993</v>
      </c>
      <c r="AO208" s="18">
        <v>5.4702337500000002</v>
      </c>
      <c r="AP208" s="18">
        <v>5.4702337500000002</v>
      </c>
      <c r="AQ208" s="37">
        <v>5.4702337500000002</v>
      </c>
      <c r="AR208" s="18">
        <v>5.4702337500000002</v>
      </c>
      <c r="AS208" s="18">
        <v>5.4702337500000002</v>
      </c>
      <c r="AT208" s="18">
        <v>5.4702337500000002</v>
      </c>
      <c r="AU208" s="18">
        <v>5.4702337500000002</v>
      </c>
      <c r="AV208" s="18"/>
      <c r="AY208" s="18"/>
    </row>
    <row r="209" spans="3:51" s="12" customFormat="1" x14ac:dyDescent="0.3">
      <c r="C209" s="42" t="s">
        <v>101</v>
      </c>
      <c r="E209" s="12" t="s">
        <v>73</v>
      </c>
      <c r="G209" s="12" t="s">
        <v>74</v>
      </c>
      <c r="H209" s="12" t="s">
        <v>75</v>
      </c>
      <c r="I209" s="12">
        <v>2005</v>
      </c>
      <c r="J209" s="12" t="s">
        <v>102</v>
      </c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>
        <v>60.2</v>
      </c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Y209" s="13"/>
    </row>
    <row r="210" spans="3:51" s="12" customFormat="1" x14ac:dyDescent="0.3">
      <c r="C210" s="12" t="s">
        <v>101</v>
      </c>
      <c r="E210" s="12" t="s">
        <v>73</v>
      </c>
      <c r="G210" s="12" t="s">
        <v>74</v>
      </c>
      <c r="H210" s="12" t="s">
        <v>75</v>
      </c>
      <c r="I210" s="12">
        <v>2010</v>
      </c>
      <c r="J210" s="12" t="s">
        <v>102</v>
      </c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>
        <v>60.2</v>
      </c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Y210" s="13"/>
    </row>
    <row r="211" spans="3:51" s="12" customFormat="1" x14ac:dyDescent="0.3">
      <c r="C211" s="12" t="s">
        <v>101</v>
      </c>
      <c r="E211" s="12" t="s">
        <v>73</v>
      </c>
      <c r="G211" s="12" t="s">
        <v>74</v>
      </c>
      <c r="H211" s="12" t="s">
        <v>75</v>
      </c>
      <c r="I211" s="12">
        <v>2020</v>
      </c>
      <c r="J211" s="12" t="s">
        <v>102</v>
      </c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>
        <v>67</v>
      </c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Y211" s="13"/>
    </row>
    <row r="212" spans="3:51" s="12" customFormat="1" x14ac:dyDescent="0.3">
      <c r="C212" s="12" t="s">
        <v>101</v>
      </c>
      <c r="E212" s="12" t="s">
        <v>73</v>
      </c>
      <c r="G212" s="12" t="s">
        <v>74</v>
      </c>
      <c r="H212" s="12" t="s">
        <v>75</v>
      </c>
      <c r="I212" s="12">
        <v>2030</v>
      </c>
      <c r="J212" s="12" t="s">
        <v>102</v>
      </c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>
        <v>73.8</v>
      </c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Y212" s="13"/>
    </row>
    <row r="213" spans="3:51" s="12" customFormat="1" x14ac:dyDescent="0.3">
      <c r="C213" s="12" t="s">
        <v>101</v>
      </c>
      <c r="E213" s="12" t="s">
        <v>73</v>
      </c>
      <c r="G213" s="12" t="s">
        <v>74</v>
      </c>
      <c r="H213" s="12" t="s">
        <v>75</v>
      </c>
      <c r="I213" s="12">
        <v>2040</v>
      </c>
      <c r="J213" s="12" t="s">
        <v>102</v>
      </c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>
        <v>73.2</v>
      </c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Y213" s="13"/>
    </row>
    <row r="214" spans="3:51" s="12" customFormat="1" x14ac:dyDescent="0.3">
      <c r="C214" s="12" t="s">
        <v>101</v>
      </c>
      <c r="E214" s="12" t="s">
        <v>73</v>
      </c>
      <c r="G214" s="12" t="s">
        <v>74</v>
      </c>
      <c r="H214" s="15" t="s">
        <v>75</v>
      </c>
      <c r="I214" s="15">
        <v>2050</v>
      </c>
      <c r="J214" s="15" t="s">
        <v>102</v>
      </c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>
        <v>73.2</v>
      </c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Y214" s="13"/>
    </row>
    <row r="215" spans="3:51" s="12" customFormat="1" x14ac:dyDescent="0.3">
      <c r="C215" s="12" t="s">
        <v>101</v>
      </c>
      <c r="F215" s="12" t="s">
        <v>77</v>
      </c>
      <c r="H215" s="12" t="s">
        <v>78</v>
      </c>
      <c r="I215" s="12">
        <v>2005</v>
      </c>
      <c r="J215" s="12" t="s">
        <v>102</v>
      </c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Y215" s="13"/>
    </row>
    <row r="216" spans="3:51" s="12" customFormat="1" x14ac:dyDescent="0.3">
      <c r="C216" s="12" t="s">
        <v>101</v>
      </c>
      <c r="F216" s="12" t="s">
        <v>77</v>
      </c>
      <c r="H216" s="12" t="s">
        <v>78</v>
      </c>
      <c r="I216" s="12">
        <v>2010</v>
      </c>
      <c r="J216" s="12" t="s">
        <v>102</v>
      </c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Y216" s="13"/>
    </row>
    <row r="217" spans="3:51" s="12" customFormat="1" x14ac:dyDescent="0.3">
      <c r="C217" s="12" t="s">
        <v>101</v>
      </c>
      <c r="F217" s="12" t="s">
        <v>77</v>
      </c>
      <c r="H217" s="12" t="s">
        <v>78</v>
      </c>
      <c r="I217" s="12">
        <v>2020</v>
      </c>
      <c r="J217" s="12" t="s">
        <v>102</v>
      </c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Y217" s="13"/>
    </row>
    <row r="218" spans="3:51" s="12" customFormat="1" x14ac:dyDescent="0.3">
      <c r="C218" s="12" t="s">
        <v>101</v>
      </c>
      <c r="F218" s="12" t="s">
        <v>77</v>
      </c>
      <c r="H218" s="12" t="s">
        <v>78</v>
      </c>
      <c r="I218" s="12">
        <v>2030</v>
      </c>
      <c r="J218" s="12" t="s">
        <v>102</v>
      </c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Y218" s="13"/>
    </row>
    <row r="219" spans="3:51" s="12" customFormat="1" x14ac:dyDescent="0.3">
      <c r="C219" s="12" t="s">
        <v>101</v>
      </c>
      <c r="F219" s="12" t="s">
        <v>77</v>
      </c>
      <c r="H219" s="12" t="s">
        <v>78</v>
      </c>
      <c r="I219" s="12">
        <v>2040</v>
      </c>
      <c r="J219" s="12" t="s">
        <v>102</v>
      </c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Y219" s="13"/>
    </row>
    <row r="220" spans="3:51" s="15" customFormat="1" x14ac:dyDescent="0.3">
      <c r="C220" s="15" t="s">
        <v>101</v>
      </c>
      <c r="F220" s="15" t="s">
        <v>77</v>
      </c>
      <c r="H220" s="15" t="s">
        <v>78</v>
      </c>
      <c r="I220" s="15">
        <v>2050</v>
      </c>
      <c r="J220" s="15" t="s">
        <v>102</v>
      </c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Y220" s="16"/>
    </row>
    <row r="221" spans="3:51" s="12" customFormat="1" x14ac:dyDescent="0.3">
      <c r="C221" s="12" t="s">
        <v>103</v>
      </c>
      <c r="E221" s="12" t="s">
        <v>73</v>
      </c>
      <c r="G221" s="12" t="s">
        <v>74</v>
      </c>
      <c r="H221" s="12" t="s">
        <v>75</v>
      </c>
      <c r="I221" s="12">
        <v>2005</v>
      </c>
      <c r="J221" s="12" t="s">
        <v>104</v>
      </c>
      <c r="K221" s="12">
        <v>0</v>
      </c>
      <c r="L221" s="13"/>
      <c r="X221" s="13">
        <v>0</v>
      </c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Y221" s="13"/>
    </row>
    <row r="222" spans="3:51" s="12" customFormat="1" x14ac:dyDescent="0.3">
      <c r="C222" s="12" t="s">
        <v>103</v>
      </c>
      <c r="E222" s="12" t="s">
        <v>73</v>
      </c>
      <c r="G222" s="12" t="s">
        <v>74</v>
      </c>
      <c r="H222" s="12" t="s">
        <v>75</v>
      </c>
      <c r="I222" s="12">
        <v>2010</v>
      </c>
      <c r="J222" s="12" t="s">
        <v>104</v>
      </c>
      <c r="K222" s="12">
        <v>0</v>
      </c>
      <c r="L222" s="13"/>
      <c r="X222" s="13">
        <v>0</v>
      </c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Y222" s="13"/>
    </row>
    <row r="223" spans="3:51" s="12" customFormat="1" x14ac:dyDescent="0.3">
      <c r="C223" s="12" t="s">
        <v>103</v>
      </c>
      <c r="E223" s="12" t="s">
        <v>73</v>
      </c>
      <c r="G223" s="12" t="s">
        <v>74</v>
      </c>
      <c r="H223" s="12" t="s">
        <v>75</v>
      </c>
      <c r="I223" s="12">
        <v>2020</v>
      </c>
      <c r="J223" s="12" t="s">
        <v>104</v>
      </c>
      <c r="K223" s="12">
        <v>0</v>
      </c>
      <c r="L223" s="13"/>
      <c r="X223" s="13">
        <v>0</v>
      </c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Y223" s="13"/>
    </row>
    <row r="224" spans="3:51" s="12" customFormat="1" x14ac:dyDescent="0.3">
      <c r="C224" s="12" t="s">
        <v>103</v>
      </c>
      <c r="E224" s="12" t="s">
        <v>73</v>
      </c>
      <c r="G224" s="12" t="s">
        <v>74</v>
      </c>
      <c r="H224" s="12" t="s">
        <v>75</v>
      </c>
      <c r="I224" s="12">
        <v>2030</v>
      </c>
      <c r="J224" s="12" t="s">
        <v>104</v>
      </c>
      <c r="K224" s="12">
        <v>0</v>
      </c>
      <c r="L224" s="13"/>
      <c r="X224" s="13">
        <v>0</v>
      </c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Y224" s="13"/>
    </row>
    <row r="225" spans="3:51" s="12" customFormat="1" x14ac:dyDescent="0.3">
      <c r="C225" s="12" t="s">
        <v>103</v>
      </c>
      <c r="E225" s="12" t="s">
        <v>73</v>
      </c>
      <c r="G225" s="12" t="s">
        <v>74</v>
      </c>
      <c r="H225" s="12" t="s">
        <v>75</v>
      </c>
      <c r="I225" s="12">
        <v>2040</v>
      </c>
      <c r="J225" s="12" t="s">
        <v>104</v>
      </c>
      <c r="K225" s="12">
        <v>0</v>
      </c>
      <c r="L225" s="13"/>
      <c r="X225" s="13">
        <v>0</v>
      </c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Y225" s="13"/>
    </row>
    <row r="226" spans="3:51" s="15" customFormat="1" x14ac:dyDescent="0.3">
      <c r="C226" s="15" t="s">
        <v>103</v>
      </c>
      <c r="E226" s="15" t="s">
        <v>73</v>
      </c>
      <c r="G226" s="15" t="s">
        <v>74</v>
      </c>
      <c r="H226" s="15" t="s">
        <v>75</v>
      </c>
      <c r="I226" s="15">
        <v>2050</v>
      </c>
      <c r="J226" s="15" t="s">
        <v>104</v>
      </c>
      <c r="K226" s="15">
        <v>0</v>
      </c>
      <c r="L226" s="16"/>
      <c r="X226" s="16">
        <v>0</v>
      </c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Y226" s="16"/>
    </row>
    <row r="227" spans="3:51" s="12" customFormat="1" x14ac:dyDescent="0.3">
      <c r="C227" s="12" t="s">
        <v>103</v>
      </c>
      <c r="F227" s="12" t="s">
        <v>77</v>
      </c>
      <c r="H227" s="12" t="s">
        <v>78</v>
      </c>
      <c r="I227" s="12">
        <v>2005</v>
      </c>
      <c r="J227" s="12" t="s">
        <v>104</v>
      </c>
      <c r="L227" s="12">
        <v>7.23</v>
      </c>
      <c r="M227" s="12">
        <v>7.28</v>
      </c>
      <c r="N227" s="12">
        <v>7.77</v>
      </c>
      <c r="O227" s="12">
        <v>7.24</v>
      </c>
      <c r="P227" s="12">
        <v>7.23</v>
      </c>
      <c r="Q227" s="12">
        <v>7.28</v>
      </c>
      <c r="R227" s="12">
        <v>8.25</v>
      </c>
      <c r="S227" s="12">
        <v>7.75</v>
      </c>
      <c r="T227" s="12">
        <v>6.33</v>
      </c>
      <c r="U227" s="12">
        <v>7.81</v>
      </c>
      <c r="V227" s="12">
        <v>6.97</v>
      </c>
      <c r="W227" s="12">
        <v>9.3000000000000007</v>
      </c>
      <c r="X227" s="13">
        <v>1000</v>
      </c>
      <c r="Y227" s="12">
        <v>6.53</v>
      </c>
      <c r="Z227" s="12">
        <v>7.53</v>
      </c>
      <c r="AA227" s="12">
        <v>7.23</v>
      </c>
      <c r="AB227" s="12">
        <v>7.08</v>
      </c>
      <c r="AC227" s="12">
        <v>7.08</v>
      </c>
      <c r="AD227" s="12">
        <v>8.07</v>
      </c>
      <c r="AE227" s="12">
        <v>7.44</v>
      </c>
      <c r="AF227" s="12">
        <v>7.09</v>
      </c>
      <c r="AG227" s="12">
        <v>6.76</v>
      </c>
      <c r="AH227" s="12">
        <v>7.09</v>
      </c>
      <c r="AI227" s="12">
        <v>7.23</v>
      </c>
      <c r="AJ227" s="12">
        <v>7.23</v>
      </c>
      <c r="AK227" s="12">
        <v>8.07</v>
      </c>
      <c r="AL227" s="12">
        <v>6.39</v>
      </c>
      <c r="AM227" s="12">
        <v>6.66</v>
      </c>
      <c r="AN227" s="12">
        <v>6.14</v>
      </c>
      <c r="AO227" s="12">
        <v>8.48</v>
      </c>
      <c r="AP227" s="12">
        <v>7.23</v>
      </c>
      <c r="AQ227" s="12">
        <v>7.23</v>
      </c>
      <c r="AR227" s="12">
        <v>6.66</v>
      </c>
      <c r="AS227" s="12">
        <v>6.84</v>
      </c>
      <c r="AT227" s="12">
        <v>6.64</v>
      </c>
      <c r="AU227" s="12">
        <v>7.19</v>
      </c>
      <c r="AV227" s="13"/>
      <c r="AY227" s="13"/>
    </row>
    <row r="228" spans="3:51" s="12" customFormat="1" x14ac:dyDescent="0.3">
      <c r="C228" s="12" t="s">
        <v>103</v>
      </c>
      <c r="F228" s="12" t="s">
        <v>77</v>
      </c>
      <c r="H228" s="12" t="s">
        <v>78</v>
      </c>
      <c r="I228" s="12">
        <v>2010</v>
      </c>
      <c r="J228" s="12" t="s">
        <v>104</v>
      </c>
      <c r="L228" s="12">
        <v>7.55</v>
      </c>
      <c r="M228" s="12">
        <v>7.28</v>
      </c>
      <c r="N228" s="12">
        <v>7.62</v>
      </c>
      <c r="O228" s="12">
        <v>7.56</v>
      </c>
      <c r="P228" s="12">
        <v>7.55</v>
      </c>
      <c r="Q228" s="12">
        <v>7.28</v>
      </c>
      <c r="R228" s="12">
        <v>8.25</v>
      </c>
      <c r="S228" s="12">
        <v>7.88</v>
      </c>
      <c r="T228" s="12">
        <v>7.11</v>
      </c>
      <c r="U228" s="12">
        <v>7.81</v>
      </c>
      <c r="V228" s="12">
        <v>7.4</v>
      </c>
      <c r="W228" s="12">
        <v>9.36</v>
      </c>
      <c r="X228" s="13">
        <v>1000</v>
      </c>
      <c r="Y228" s="12">
        <v>7.11</v>
      </c>
      <c r="Z228" s="12">
        <v>7.53</v>
      </c>
      <c r="AA228" s="12">
        <v>7.55</v>
      </c>
      <c r="AB228" s="12">
        <v>7.36</v>
      </c>
      <c r="AC228" s="12">
        <v>7.08</v>
      </c>
      <c r="AD228" s="12">
        <v>8.07</v>
      </c>
      <c r="AE228" s="12">
        <v>7.89</v>
      </c>
      <c r="AF228" s="12">
        <v>7.56</v>
      </c>
      <c r="AG228" s="12">
        <v>6.76</v>
      </c>
      <c r="AH228" s="12">
        <v>7.58</v>
      </c>
      <c r="AI228" s="12">
        <v>7.55</v>
      </c>
      <c r="AJ228" s="12">
        <v>7.55</v>
      </c>
      <c r="AK228" s="12">
        <v>8.07</v>
      </c>
      <c r="AL228" s="12">
        <v>6.76</v>
      </c>
      <c r="AM228" s="12">
        <v>7.11</v>
      </c>
      <c r="AN228" s="12">
        <v>6.66</v>
      </c>
      <c r="AO228" s="12">
        <v>8.48</v>
      </c>
      <c r="AP228" s="12">
        <v>7.55</v>
      </c>
      <c r="AQ228" s="12">
        <v>7.55</v>
      </c>
      <c r="AR228" s="12">
        <v>7.11</v>
      </c>
      <c r="AS228" s="12">
        <v>7.18</v>
      </c>
      <c r="AT228" s="12">
        <v>7.05</v>
      </c>
      <c r="AU228" s="12">
        <v>7.49</v>
      </c>
      <c r="AV228" s="13"/>
      <c r="AY228" s="13"/>
    </row>
    <row r="229" spans="3:51" s="12" customFormat="1" x14ac:dyDescent="0.3">
      <c r="C229" s="12" t="s">
        <v>103</v>
      </c>
      <c r="F229" s="12" t="s">
        <v>77</v>
      </c>
      <c r="H229" s="12" t="s">
        <v>78</v>
      </c>
      <c r="I229" s="12">
        <v>2020</v>
      </c>
      <c r="J229" s="12" t="s">
        <v>104</v>
      </c>
      <c r="L229" s="12">
        <v>9.5</v>
      </c>
      <c r="M229" s="12">
        <v>9.2799999999999994</v>
      </c>
      <c r="N229" s="12">
        <v>9.4499999999999993</v>
      </c>
      <c r="O229" s="12">
        <v>9.52</v>
      </c>
      <c r="P229" s="12">
        <v>9.5</v>
      </c>
      <c r="Q229" s="12">
        <v>9.2799999999999994</v>
      </c>
      <c r="R229" s="12">
        <v>10.51</v>
      </c>
      <c r="S229" s="12">
        <v>9.8699999999999992</v>
      </c>
      <c r="T229" s="12">
        <v>9.23</v>
      </c>
      <c r="U229" s="12">
        <v>9.9600000000000009</v>
      </c>
      <c r="V229" s="12">
        <v>9.49</v>
      </c>
      <c r="W229" s="12">
        <v>11.2</v>
      </c>
      <c r="X229" s="13">
        <v>1000</v>
      </c>
      <c r="Y229" s="12">
        <v>9.17</v>
      </c>
      <c r="Z229" s="12">
        <v>9.6</v>
      </c>
      <c r="AA229" s="12">
        <v>9.5</v>
      </c>
      <c r="AB229" s="12">
        <v>9.2799999999999994</v>
      </c>
      <c r="AC229" s="12">
        <v>9.0299999999999994</v>
      </c>
      <c r="AD229" s="12">
        <v>10.29</v>
      </c>
      <c r="AE229" s="12">
        <v>10.08</v>
      </c>
      <c r="AF229" s="12">
        <v>9.76</v>
      </c>
      <c r="AG229" s="12">
        <v>8.6300000000000008</v>
      </c>
      <c r="AH229" s="12">
        <v>9.7799999999999994</v>
      </c>
      <c r="AI229" s="12">
        <v>9.5</v>
      </c>
      <c r="AJ229" s="12">
        <v>9.5</v>
      </c>
      <c r="AK229" s="12">
        <v>10.29</v>
      </c>
      <c r="AL229" s="12">
        <v>8.65</v>
      </c>
      <c r="AM229" s="12">
        <v>9.14</v>
      </c>
      <c r="AN229" s="12">
        <v>8.67</v>
      </c>
      <c r="AO229" s="12">
        <v>10.34</v>
      </c>
      <c r="AP229" s="12">
        <v>9.5</v>
      </c>
      <c r="AQ229" s="12">
        <v>9.5</v>
      </c>
      <c r="AR229" s="12">
        <v>9.14</v>
      </c>
      <c r="AS229" s="12">
        <v>9.1199999999999992</v>
      </c>
      <c r="AT229" s="12">
        <v>9.0399999999999991</v>
      </c>
      <c r="AU229" s="12">
        <v>9.48</v>
      </c>
      <c r="AV229" s="13"/>
      <c r="AY229" s="13"/>
    </row>
    <row r="230" spans="3:51" s="12" customFormat="1" x14ac:dyDescent="0.3">
      <c r="C230" s="12" t="s">
        <v>103</v>
      </c>
      <c r="F230" s="12" t="s">
        <v>77</v>
      </c>
      <c r="H230" s="12" t="s">
        <v>78</v>
      </c>
      <c r="I230" s="12">
        <v>2030</v>
      </c>
      <c r="J230" s="12" t="s">
        <v>104</v>
      </c>
      <c r="L230" s="12">
        <v>10.96</v>
      </c>
      <c r="M230" s="12">
        <v>10.7</v>
      </c>
      <c r="N230" s="12">
        <v>10.9</v>
      </c>
      <c r="O230" s="12">
        <v>10.97</v>
      </c>
      <c r="P230" s="12">
        <v>10.96</v>
      </c>
      <c r="Q230" s="12">
        <v>10.7</v>
      </c>
      <c r="R230" s="12">
        <v>12.13</v>
      </c>
      <c r="S230" s="12">
        <v>11.38</v>
      </c>
      <c r="T230" s="12">
        <v>10.65</v>
      </c>
      <c r="U230" s="12">
        <v>11.49</v>
      </c>
      <c r="V230" s="12">
        <v>10.95</v>
      </c>
      <c r="W230" s="12">
        <v>12.92</v>
      </c>
      <c r="X230" s="13">
        <v>1000</v>
      </c>
      <c r="Y230" s="12">
        <v>10.58</v>
      </c>
      <c r="Z230" s="12">
        <v>11.07</v>
      </c>
      <c r="AA230" s="12">
        <v>10.96</v>
      </c>
      <c r="AB230" s="12">
        <v>10.71</v>
      </c>
      <c r="AC230" s="12">
        <v>10.41</v>
      </c>
      <c r="AD230" s="12">
        <v>11.87</v>
      </c>
      <c r="AE230" s="12">
        <v>11.63</v>
      </c>
      <c r="AF230" s="12">
        <v>11.26</v>
      </c>
      <c r="AG230" s="12">
        <v>9.9499999999999993</v>
      </c>
      <c r="AH230" s="12">
        <v>11.28</v>
      </c>
      <c r="AI230" s="12">
        <v>10.96</v>
      </c>
      <c r="AJ230" s="12">
        <v>10.96</v>
      </c>
      <c r="AK230" s="12">
        <v>11.87</v>
      </c>
      <c r="AL230" s="12">
        <v>9.9700000000000006</v>
      </c>
      <c r="AM230" s="12">
        <v>10.55</v>
      </c>
      <c r="AN230" s="12">
        <v>10</v>
      </c>
      <c r="AO230" s="12">
        <v>11.93</v>
      </c>
      <c r="AP230" s="12">
        <v>10.96</v>
      </c>
      <c r="AQ230" s="12">
        <v>10.96</v>
      </c>
      <c r="AR230" s="12">
        <v>10.55</v>
      </c>
      <c r="AS230" s="12">
        <v>10.51</v>
      </c>
      <c r="AT230" s="12">
        <v>10.42</v>
      </c>
      <c r="AU230" s="12">
        <v>10.93</v>
      </c>
      <c r="AV230" s="13"/>
      <c r="AY230" s="13"/>
    </row>
    <row r="231" spans="3:51" s="12" customFormat="1" x14ac:dyDescent="0.3">
      <c r="C231" s="12" t="s">
        <v>103</v>
      </c>
      <c r="F231" s="12" t="s">
        <v>77</v>
      </c>
      <c r="H231" s="12" t="s">
        <v>78</v>
      </c>
      <c r="I231" s="12">
        <v>2040</v>
      </c>
      <c r="J231" s="12" t="s">
        <v>104</v>
      </c>
      <c r="L231" s="12">
        <f t="shared" ref="L231:W231" si="52">L230</f>
        <v>10.96</v>
      </c>
      <c r="M231" s="12">
        <f t="shared" si="52"/>
        <v>10.7</v>
      </c>
      <c r="N231" s="12">
        <f t="shared" si="52"/>
        <v>10.9</v>
      </c>
      <c r="O231" s="12">
        <f t="shared" si="52"/>
        <v>10.97</v>
      </c>
      <c r="P231" s="12">
        <f t="shared" si="52"/>
        <v>10.96</v>
      </c>
      <c r="Q231" s="12">
        <f t="shared" si="52"/>
        <v>10.7</v>
      </c>
      <c r="R231" s="12">
        <f t="shared" si="52"/>
        <v>12.13</v>
      </c>
      <c r="S231" s="12">
        <f t="shared" si="52"/>
        <v>11.38</v>
      </c>
      <c r="T231" s="12">
        <f t="shared" si="52"/>
        <v>10.65</v>
      </c>
      <c r="U231" s="12">
        <f t="shared" si="52"/>
        <v>11.49</v>
      </c>
      <c r="V231" s="12">
        <f t="shared" si="52"/>
        <v>10.95</v>
      </c>
      <c r="W231" s="12">
        <f t="shared" si="52"/>
        <v>12.92</v>
      </c>
      <c r="X231" s="13">
        <v>1000</v>
      </c>
      <c r="Y231" s="12">
        <f t="shared" ref="Y231:AU231" si="53">Y230</f>
        <v>10.58</v>
      </c>
      <c r="Z231" s="12">
        <f t="shared" si="53"/>
        <v>11.07</v>
      </c>
      <c r="AA231" s="12">
        <f t="shared" si="53"/>
        <v>10.96</v>
      </c>
      <c r="AB231" s="12">
        <f t="shared" si="53"/>
        <v>10.71</v>
      </c>
      <c r="AC231" s="12">
        <f t="shared" si="53"/>
        <v>10.41</v>
      </c>
      <c r="AD231" s="12">
        <f t="shared" si="53"/>
        <v>11.87</v>
      </c>
      <c r="AE231" s="12">
        <f t="shared" si="53"/>
        <v>11.63</v>
      </c>
      <c r="AF231" s="12">
        <f t="shared" si="53"/>
        <v>11.26</v>
      </c>
      <c r="AG231" s="12">
        <f t="shared" si="53"/>
        <v>9.9499999999999993</v>
      </c>
      <c r="AH231" s="12">
        <f t="shared" si="53"/>
        <v>11.28</v>
      </c>
      <c r="AI231" s="12">
        <f t="shared" si="53"/>
        <v>10.96</v>
      </c>
      <c r="AJ231" s="12">
        <f t="shared" si="53"/>
        <v>10.96</v>
      </c>
      <c r="AK231" s="12">
        <f t="shared" si="53"/>
        <v>11.87</v>
      </c>
      <c r="AL231" s="12">
        <f t="shared" si="53"/>
        <v>9.9700000000000006</v>
      </c>
      <c r="AM231" s="12">
        <f t="shared" si="53"/>
        <v>10.55</v>
      </c>
      <c r="AN231" s="12">
        <f t="shared" si="53"/>
        <v>10</v>
      </c>
      <c r="AO231" s="12">
        <f t="shared" si="53"/>
        <v>11.93</v>
      </c>
      <c r="AP231" s="12">
        <f t="shared" si="53"/>
        <v>10.96</v>
      </c>
      <c r="AQ231" s="12">
        <f t="shared" si="53"/>
        <v>10.96</v>
      </c>
      <c r="AR231" s="12">
        <f t="shared" si="53"/>
        <v>10.55</v>
      </c>
      <c r="AS231" s="12">
        <f t="shared" si="53"/>
        <v>10.51</v>
      </c>
      <c r="AT231" s="12">
        <f t="shared" si="53"/>
        <v>10.42</v>
      </c>
      <c r="AU231" s="12">
        <f t="shared" si="53"/>
        <v>10.93</v>
      </c>
      <c r="AV231" s="13"/>
      <c r="AY231" s="13"/>
    </row>
    <row r="232" spans="3:51" s="15" customFormat="1" x14ac:dyDescent="0.3">
      <c r="C232" s="15" t="s">
        <v>103</v>
      </c>
      <c r="F232" s="15" t="s">
        <v>77</v>
      </c>
      <c r="H232" s="15" t="s">
        <v>78</v>
      </c>
      <c r="I232" s="15">
        <v>2050</v>
      </c>
      <c r="J232" s="15" t="s">
        <v>104</v>
      </c>
      <c r="L232" s="12">
        <v>10.96</v>
      </c>
      <c r="M232" s="15">
        <v>10.7</v>
      </c>
      <c r="N232" s="12">
        <v>10.9</v>
      </c>
      <c r="O232" s="15">
        <v>10.97</v>
      </c>
      <c r="P232" s="12">
        <v>10.96</v>
      </c>
      <c r="Q232" s="12">
        <v>10.7</v>
      </c>
      <c r="R232" s="12">
        <v>12.13</v>
      </c>
      <c r="S232" s="12">
        <v>11.38</v>
      </c>
      <c r="T232" s="12">
        <v>10.65</v>
      </c>
      <c r="U232" s="12">
        <v>11.49</v>
      </c>
      <c r="V232" s="15">
        <v>10.95</v>
      </c>
      <c r="W232" s="12">
        <v>12.92</v>
      </c>
      <c r="X232" s="16">
        <v>1000</v>
      </c>
      <c r="Y232" s="12">
        <v>10.58</v>
      </c>
      <c r="Z232" s="12">
        <v>11.07</v>
      </c>
      <c r="AA232" s="12">
        <v>10.96</v>
      </c>
      <c r="AB232" s="12">
        <v>10.71</v>
      </c>
      <c r="AC232" s="12">
        <v>10.41</v>
      </c>
      <c r="AD232" s="12">
        <v>11.87</v>
      </c>
      <c r="AE232" s="12">
        <v>11.63</v>
      </c>
      <c r="AF232" s="12">
        <v>11.26</v>
      </c>
      <c r="AG232" s="12">
        <v>9.9499999999999993</v>
      </c>
      <c r="AH232" s="12">
        <v>11.28</v>
      </c>
      <c r="AI232" s="12">
        <v>10.96</v>
      </c>
      <c r="AJ232" s="12">
        <v>10.96</v>
      </c>
      <c r="AK232" s="12">
        <v>11.87</v>
      </c>
      <c r="AL232" s="12">
        <v>9.9700000000000006</v>
      </c>
      <c r="AM232" s="12">
        <v>10.55</v>
      </c>
      <c r="AN232" s="12">
        <v>10</v>
      </c>
      <c r="AO232" s="12">
        <v>11.93</v>
      </c>
      <c r="AP232" s="12">
        <v>10.96</v>
      </c>
      <c r="AQ232" s="12">
        <v>10.96</v>
      </c>
      <c r="AR232" s="12">
        <v>10.55</v>
      </c>
      <c r="AS232" s="12">
        <v>10.51</v>
      </c>
      <c r="AT232" s="12">
        <v>10.42</v>
      </c>
      <c r="AU232" s="12">
        <v>10.93</v>
      </c>
      <c r="AV232" s="16"/>
      <c r="AY232" s="16"/>
    </row>
    <row r="233" spans="3:51" s="12" customFormat="1" x14ac:dyDescent="0.3">
      <c r="C233" s="12" t="s">
        <v>105</v>
      </c>
      <c r="E233" s="43"/>
      <c r="F233" s="43" t="s">
        <v>77</v>
      </c>
      <c r="G233" s="43"/>
      <c r="H233" s="42" t="s">
        <v>78</v>
      </c>
      <c r="I233" s="42">
        <v>0</v>
      </c>
      <c r="J233" s="42" t="s">
        <v>106</v>
      </c>
      <c r="K233" s="44">
        <v>5</v>
      </c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Y233" s="13"/>
    </row>
    <row r="234" spans="3:51" s="12" customFormat="1" x14ac:dyDescent="0.3">
      <c r="C234" s="12" t="s">
        <v>107</v>
      </c>
      <c r="E234" s="42" t="s">
        <v>73</v>
      </c>
      <c r="F234" s="43"/>
      <c r="G234" s="42" t="s">
        <v>74</v>
      </c>
      <c r="H234" s="45" t="s">
        <v>75</v>
      </c>
      <c r="I234" s="42">
        <v>0</v>
      </c>
      <c r="J234" s="42" t="s">
        <v>106</v>
      </c>
      <c r="K234" s="42">
        <v>5</v>
      </c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Y234" s="13"/>
    </row>
    <row r="235" spans="3:51" x14ac:dyDescent="0.3">
      <c r="L235" s="37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37"/>
      <c r="AJ235" s="18"/>
      <c r="AK235" s="18"/>
      <c r="AL235" s="18"/>
      <c r="AM235" s="18"/>
      <c r="AN235" s="18"/>
      <c r="AO235" s="18"/>
      <c r="AP235" s="18"/>
      <c r="AQ235" s="37"/>
      <c r="AR235" s="18"/>
      <c r="AS235" s="18"/>
      <c r="AT235" s="18"/>
      <c r="AU235" s="18"/>
      <c r="AV235" s="18"/>
      <c r="AY235" s="18"/>
    </row>
    <row r="239" spans="3:51" x14ac:dyDescent="0.3">
      <c r="AW239" t="s">
        <v>108</v>
      </c>
      <c r="AX239" t="s">
        <v>109</v>
      </c>
    </row>
    <row r="240" spans="3:51" x14ac:dyDescent="0.3">
      <c r="I240">
        <v>2005</v>
      </c>
      <c r="J240" t="s">
        <v>70</v>
      </c>
      <c r="L240" s="18">
        <f t="shared" ref="L240:AA245" si="54">SUMIFS(L$5:L$234,$I$5:$I$234,$I240,$H$5:$H$234,"ACT_BND",$A$5:$A$234,$J240)</f>
        <v>0</v>
      </c>
      <c r="M240" s="18">
        <f t="shared" si="54"/>
        <v>32.020352427660804</v>
      </c>
      <c r="N240" s="18">
        <f t="shared" si="54"/>
        <v>14.033464440207261</v>
      </c>
      <c r="O240" s="18">
        <f t="shared" si="54"/>
        <v>3.852749599240612</v>
      </c>
      <c r="P240" s="18">
        <f t="shared" si="54"/>
        <v>0</v>
      </c>
      <c r="Q240" s="18">
        <f t="shared" si="54"/>
        <v>0</v>
      </c>
      <c r="R240" s="18">
        <f t="shared" si="54"/>
        <v>0</v>
      </c>
      <c r="S240" s="18">
        <f t="shared" si="54"/>
        <v>23.241134657331322</v>
      </c>
      <c r="T240" s="18">
        <f t="shared" si="54"/>
        <v>157.23353179273261</v>
      </c>
      <c r="U240" s="18">
        <f t="shared" si="54"/>
        <v>3.3224179601612223</v>
      </c>
      <c r="V240" s="18">
        <f t="shared" si="54"/>
        <v>1.0223422008552478E-2</v>
      </c>
      <c r="W240" s="18">
        <f t="shared" si="54"/>
        <v>20.393972337996146</v>
      </c>
      <c r="X240" s="18">
        <f t="shared" si="54"/>
        <v>0</v>
      </c>
      <c r="Y240" s="18">
        <f t="shared" si="54"/>
        <v>502.83093813988478</v>
      </c>
      <c r="Z240" s="18">
        <f t="shared" si="54"/>
        <v>9.2493682966679387</v>
      </c>
      <c r="AA240" s="18">
        <f t="shared" si="54"/>
        <v>30.150918793453421</v>
      </c>
      <c r="AB240" s="18">
        <f t="shared" ref="AB240:AQ245" si="55">SUMIFS(AB$5:AB$234,$I$5:$I$234,$I240,$H$5:$H$234,"ACT_BND",$A$5:$A$234,$J240)</f>
        <v>15.204244542010731</v>
      </c>
      <c r="AC240" s="18">
        <f t="shared" si="55"/>
        <v>4.6531844293736059E-2</v>
      </c>
      <c r="AD240" s="18">
        <f t="shared" si="55"/>
        <v>0</v>
      </c>
      <c r="AE240" s="18">
        <f t="shared" si="55"/>
        <v>7.64696069838641</v>
      </c>
      <c r="AF240" s="18">
        <f t="shared" si="55"/>
        <v>4.7447929622088925</v>
      </c>
      <c r="AG240" s="18">
        <f t="shared" si="55"/>
        <v>0.41430963394092846</v>
      </c>
      <c r="AH240" s="18">
        <f t="shared" si="55"/>
        <v>0.82834959704083222</v>
      </c>
      <c r="AI240" s="18">
        <f t="shared" si="55"/>
        <v>0</v>
      </c>
      <c r="AJ240" s="18">
        <f t="shared" si="55"/>
        <v>0</v>
      </c>
      <c r="AK240" s="18">
        <f t="shared" si="55"/>
        <v>0</v>
      </c>
      <c r="AL240" s="18">
        <f t="shared" si="55"/>
        <v>3.7657822182060761</v>
      </c>
      <c r="AM240" s="18">
        <f t="shared" si="55"/>
        <v>0</v>
      </c>
      <c r="AN240" s="18">
        <f t="shared" si="55"/>
        <v>11.485794669646376</v>
      </c>
      <c r="AO240" s="18">
        <f t="shared" si="55"/>
        <v>9.8478790830838769E-2</v>
      </c>
      <c r="AP240" s="18">
        <f t="shared" si="55"/>
        <v>4.3524139269104261</v>
      </c>
      <c r="AQ240" s="18">
        <f t="shared" si="55"/>
        <v>0</v>
      </c>
      <c r="AR240" s="18">
        <f t="shared" ref="AP240:AW245" si="56">SUMIFS(AR$5:AR$234,$I$5:$I$234,$I240,$H$5:$H$234,"ACT_BND",$A$5:$A$234,$J240)</f>
        <v>18.467133889660705</v>
      </c>
      <c r="AS240" s="18">
        <f t="shared" si="56"/>
        <v>3.600783082005115E-4</v>
      </c>
      <c r="AT240" s="18">
        <f t="shared" si="56"/>
        <v>9.1175480545218459</v>
      </c>
      <c r="AU240" s="18">
        <f t="shared" si="56"/>
        <v>19.986855560210486</v>
      </c>
      <c r="AW240" s="46">
        <f>SUM(M240:O240,R240:AC240,AE240:AH240,AK240:AL240,AN240:AP240,AR240:AT240)</f>
        <v>872.51177277331078</v>
      </c>
      <c r="AX240" s="18">
        <f>SUM(L240:AU240)</f>
        <v>892.49862833352131</v>
      </c>
    </row>
    <row r="241" spans="9:50" x14ac:dyDescent="0.3">
      <c r="I241">
        <v>2010</v>
      </c>
      <c r="J241" t="s">
        <v>70</v>
      </c>
      <c r="L241" s="18">
        <f t="shared" si="54"/>
        <v>0</v>
      </c>
      <c r="M241" s="18">
        <f t="shared" si="54"/>
        <v>32.020352427660804</v>
      </c>
      <c r="N241" s="18">
        <f t="shared" si="54"/>
        <v>14.033464440207261</v>
      </c>
      <c r="O241" s="18">
        <f t="shared" si="54"/>
        <v>3.852749599240612</v>
      </c>
      <c r="P241" s="18">
        <f t="shared" si="54"/>
        <v>0</v>
      </c>
      <c r="Q241" s="18">
        <f t="shared" si="54"/>
        <v>0</v>
      </c>
      <c r="R241" s="18">
        <f t="shared" si="54"/>
        <v>0</v>
      </c>
      <c r="S241" s="18">
        <f t="shared" si="54"/>
        <v>23.241134657331322</v>
      </c>
      <c r="T241" s="18">
        <f t="shared" si="54"/>
        <v>157.23353179273261</v>
      </c>
      <c r="U241" s="18">
        <f t="shared" si="54"/>
        <v>3.3224179601612223</v>
      </c>
      <c r="V241" s="18">
        <f t="shared" si="54"/>
        <v>1.0223422008552478E-2</v>
      </c>
      <c r="W241" s="18">
        <f t="shared" si="54"/>
        <v>20.393972337996146</v>
      </c>
      <c r="X241" s="18">
        <f t="shared" si="54"/>
        <v>0</v>
      </c>
      <c r="Y241" s="18">
        <f t="shared" si="54"/>
        <v>502.83093813988478</v>
      </c>
      <c r="Z241" s="18">
        <f t="shared" si="54"/>
        <v>9.2493682966679387</v>
      </c>
      <c r="AA241" s="18">
        <f t="shared" si="54"/>
        <v>30.150918793453421</v>
      </c>
      <c r="AB241" s="18">
        <f t="shared" si="55"/>
        <v>15.204244542010731</v>
      </c>
      <c r="AC241" s="18">
        <f t="shared" si="55"/>
        <v>4.6531844293736059E-2</v>
      </c>
      <c r="AD241" s="18">
        <f t="shared" si="55"/>
        <v>0</v>
      </c>
      <c r="AE241" s="18">
        <f t="shared" si="55"/>
        <v>7.64696069838641</v>
      </c>
      <c r="AF241" s="18">
        <f t="shared" si="55"/>
        <v>4.7447929622088925</v>
      </c>
      <c r="AG241" s="18">
        <f t="shared" si="55"/>
        <v>0.41430963394092846</v>
      </c>
      <c r="AH241" s="18">
        <f t="shared" si="55"/>
        <v>0.82834959704083222</v>
      </c>
      <c r="AI241" s="18">
        <f t="shared" si="55"/>
        <v>0</v>
      </c>
      <c r="AJ241" s="18">
        <f t="shared" si="55"/>
        <v>0</v>
      </c>
      <c r="AK241" s="18">
        <f t="shared" si="55"/>
        <v>0</v>
      </c>
      <c r="AL241" s="18">
        <f t="shared" si="55"/>
        <v>3.7657822182060761</v>
      </c>
      <c r="AM241" s="18">
        <f t="shared" si="55"/>
        <v>0</v>
      </c>
      <c r="AN241" s="18">
        <f t="shared" si="55"/>
        <v>11.485794669646376</v>
      </c>
      <c r="AO241" s="18">
        <f t="shared" si="55"/>
        <v>9.8478790830838769E-2</v>
      </c>
      <c r="AP241" s="18">
        <f t="shared" si="56"/>
        <v>4.3524139269104261</v>
      </c>
      <c r="AQ241" s="18">
        <f t="shared" si="56"/>
        <v>0</v>
      </c>
      <c r="AR241" s="18">
        <f t="shared" si="56"/>
        <v>18.467133889660705</v>
      </c>
      <c r="AS241" s="18">
        <f t="shared" si="56"/>
        <v>3.600783082005115E-4</v>
      </c>
      <c r="AT241" s="18">
        <f t="shared" si="56"/>
        <v>9.1175480545218459</v>
      </c>
      <c r="AU241" s="18">
        <f t="shared" si="56"/>
        <v>19.986855560210486</v>
      </c>
      <c r="AW241" s="46">
        <f t="shared" ref="AW241:AW295" si="57">SUM(M241:O241,R241:AC241,AE241:AH241,AK241:AL241,AN241:AP241,AR241:AT241)</f>
        <v>872.51177277331078</v>
      </c>
      <c r="AX241" s="18">
        <f t="shared" ref="AX241:AX295" si="58">SUM(L241:AU241)</f>
        <v>892.49862833352131</v>
      </c>
    </row>
    <row r="242" spans="9:50" x14ac:dyDescent="0.3">
      <c r="I242">
        <v>2020</v>
      </c>
      <c r="J242" t="s">
        <v>70</v>
      </c>
      <c r="L242" s="18">
        <f t="shared" si="54"/>
        <v>30.0872455692014</v>
      </c>
      <c r="M242" s="18">
        <f t="shared" si="54"/>
        <v>9.7197462085087629</v>
      </c>
      <c r="N242" s="18">
        <f t="shared" si="54"/>
        <v>17.421175570016057</v>
      </c>
      <c r="O242" s="18">
        <f t="shared" si="54"/>
        <v>13.446430229166056</v>
      </c>
      <c r="P242" s="18">
        <f t="shared" si="54"/>
        <v>73.842715046938082</v>
      </c>
      <c r="Q242" s="18">
        <f t="shared" si="54"/>
        <v>0</v>
      </c>
      <c r="R242" s="18">
        <f t="shared" si="54"/>
        <v>0.17993587163814956</v>
      </c>
      <c r="S242" s="18">
        <f t="shared" si="54"/>
        <v>16.558265555192776</v>
      </c>
      <c r="T242" s="18">
        <f t="shared" si="54"/>
        <v>49.375479843705932</v>
      </c>
      <c r="U242" s="18">
        <f t="shared" si="54"/>
        <v>0.90758026488832044</v>
      </c>
      <c r="V242" s="18">
        <f t="shared" si="54"/>
        <v>2.4559940166912919</v>
      </c>
      <c r="W242" s="18">
        <f t="shared" si="54"/>
        <v>112.26903137817712</v>
      </c>
      <c r="X242" s="18">
        <f t="shared" si="54"/>
        <v>0.79108785924705127</v>
      </c>
      <c r="Y242" s="18">
        <f t="shared" si="54"/>
        <v>158.96139571715435</v>
      </c>
      <c r="Z242" s="18">
        <f t="shared" si="54"/>
        <v>11.289542497106984</v>
      </c>
      <c r="AA242" s="18">
        <f t="shared" si="54"/>
        <v>7.5982959565837209</v>
      </c>
      <c r="AB242" s="18">
        <f t="shared" si="55"/>
        <v>29.356052198856982</v>
      </c>
      <c r="AC242" s="18">
        <f t="shared" si="55"/>
        <v>3.356738043645942</v>
      </c>
      <c r="AD242" s="18">
        <f t="shared" si="55"/>
        <v>0</v>
      </c>
      <c r="AE242" s="18">
        <f t="shared" si="55"/>
        <v>75.8978500044893</v>
      </c>
      <c r="AF242" s="18">
        <f t="shared" si="55"/>
        <v>23.619704247968627</v>
      </c>
      <c r="AG242" s="18">
        <f t="shared" si="55"/>
        <v>6.7698693417710551E-2</v>
      </c>
      <c r="AH242" s="18">
        <f t="shared" si="55"/>
        <v>2.7060826189881175</v>
      </c>
      <c r="AI242" s="18">
        <f t="shared" si="55"/>
        <v>2.7984436485444322</v>
      </c>
      <c r="AJ242" s="18">
        <f t="shared" si="55"/>
        <v>18.167524044573277</v>
      </c>
      <c r="AK242" s="18">
        <f t="shared" si="55"/>
        <v>0</v>
      </c>
      <c r="AL242" s="18">
        <f t="shared" si="55"/>
        <v>12.623235628569839</v>
      </c>
      <c r="AM242" s="18">
        <f t="shared" si="55"/>
        <v>7.4300688451655565</v>
      </c>
      <c r="AN242" s="18">
        <f t="shared" si="55"/>
        <v>72.067529282290678</v>
      </c>
      <c r="AO242" s="18">
        <f t="shared" si="55"/>
        <v>4.3490663996244843</v>
      </c>
      <c r="AP242" s="18">
        <f t="shared" si="56"/>
        <v>70.980660341636806</v>
      </c>
      <c r="AQ242" s="18">
        <f t="shared" si="56"/>
        <v>0</v>
      </c>
      <c r="AR242" s="18">
        <f t="shared" si="56"/>
        <v>5.320340412973251</v>
      </c>
      <c r="AS242" s="18">
        <f t="shared" si="56"/>
        <v>0.57349391696923713</v>
      </c>
      <c r="AT242" s="18">
        <f t="shared" si="56"/>
        <v>5.6767872424921952</v>
      </c>
      <c r="AU242" s="18">
        <f t="shared" si="56"/>
        <v>110.06103469423019</v>
      </c>
      <c r="AW242" s="46">
        <f t="shared" si="57"/>
        <v>707.5691999999998</v>
      </c>
      <c r="AX242" s="18">
        <f t="shared" si="58"/>
        <v>949.95623184865292</v>
      </c>
    </row>
    <row r="243" spans="9:50" x14ac:dyDescent="0.3">
      <c r="I243">
        <v>2030</v>
      </c>
      <c r="J243" t="s">
        <v>70</v>
      </c>
      <c r="L243" s="18">
        <f t="shared" si="54"/>
        <v>31.529445406865452</v>
      </c>
      <c r="M243" s="18">
        <f t="shared" si="54"/>
        <v>9.7197462085087629</v>
      </c>
      <c r="N243" s="18">
        <f t="shared" si="54"/>
        <v>17.421175570016057</v>
      </c>
      <c r="O243" s="18">
        <f t="shared" si="54"/>
        <v>13.446430229166056</v>
      </c>
      <c r="P243" s="18">
        <f t="shared" si="54"/>
        <v>76.234501325230056</v>
      </c>
      <c r="Q243" s="18">
        <f t="shared" si="54"/>
        <v>0</v>
      </c>
      <c r="R243" s="18">
        <f t="shared" si="54"/>
        <v>0.17993587163814956</v>
      </c>
      <c r="S243" s="18">
        <f t="shared" si="54"/>
        <v>16.558265555192776</v>
      </c>
      <c r="T243" s="18">
        <f t="shared" si="54"/>
        <v>49.375479843705932</v>
      </c>
      <c r="U243" s="18">
        <f t="shared" si="54"/>
        <v>0.90758026488832044</v>
      </c>
      <c r="V243" s="18">
        <f t="shared" si="54"/>
        <v>2.4559940166912919</v>
      </c>
      <c r="W243" s="18">
        <f t="shared" si="54"/>
        <v>112.26903137817712</v>
      </c>
      <c r="X243" s="18">
        <f t="shared" si="54"/>
        <v>0.79108785924705127</v>
      </c>
      <c r="Y243" s="18">
        <f t="shared" si="54"/>
        <v>158.96139571715435</v>
      </c>
      <c r="Z243" s="18">
        <f t="shared" si="54"/>
        <v>11.289542497106984</v>
      </c>
      <c r="AA243" s="18">
        <f t="shared" si="54"/>
        <v>7.5982959565837209</v>
      </c>
      <c r="AB243" s="18">
        <f t="shared" si="55"/>
        <v>29.356052198856982</v>
      </c>
      <c r="AC243" s="18">
        <f t="shared" si="55"/>
        <v>3.356738043645942</v>
      </c>
      <c r="AD243" s="18">
        <f t="shared" si="55"/>
        <v>0</v>
      </c>
      <c r="AE243" s="18">
        <f t="shared" si="55"/>
        <v>75.8978500044893</v>
      </c>
      <c r="AF243" s="18">
        <f t="shared" si="55"/>
        <v>23.619704247968627</v>
      </c>
      <c r="AG243" s="18">
        <f t="shared" si="55"/>
        <v>6.7698693417710551E-2</v>
      </c>
      <c r="AH243" s="18">
        <f t="shared" si="55"/>
        <v>2.7060826189881175</v>
      </c>
      <c r="AI243" s="18">
        <f t="shared" si="55"/>
        <v>2.8648134614253533</v>
      </c>
      <c r="AJ243" s="18">
        <f t="shared" si="55"/>
        <v>19.000088465975743</v>
      </c>
      <c r="AK243" s="18">
        <f t="shared" si="55"/>
        <v>0</v>
      </c>
      <c r="AL243" s="18">
        <f t="shared" si="55"/>
        <v>12.623235628569839</v>
      </c>
      <c r="AM243" s="18">
        <f t="shared" si="55"/>
        <v>7.7533482453438864</v>
      </c>
      <c r="AN243" s="18">
        <f t="shared" si="55"/>
        <v>72.067529282290678</v>
      </c>
      <c r="AO243" s="18">
        <f t="shared" si="55"/>
        <v>4.3490663996244843</v>
      </c>
      <c r="AP243" s="18">
        <f t="shared" si="56"/>
        <v>70.980660341636806</v>
      </c>
      <c r="AQ243" s="18">
        <f t="shared" si="56"/>
        <v>0</v>
      </c>
      <c r="AR243" s="18">
        <f t="shared" si="56"/>
        <v>5.320340412973251</v>
      </c>
      <c r="AS243" s="18">
        <f t="shared" si="56"/>
        <v>0.57349391696923713</v>
      </c>
      <c r="AT243" s="18">
        <f t="shared" si="56"/>
        <v>5.6767872424921952</v>
      </c>
      <c r="AU243" s="18">
        <f t="shared" si="56"/>
        <v>361.95570486717133</v>
      </c>
      <c r="AW243" s="47">
        <f t="shared" si="57"/>
        <v>707.5691999999998</v>
      </c>
      <c r="AX243" s="18">
        <f t="shared" si="58"/>
        <v>1206.9071017720116</v>
      </c>
    </row>
    <row r="244" spans="9:50" x14ac:dyDescent="0.3">
      <c r="I244">
        <v>2040</v>
      </c>
      <c r="J244" t="s">
        <v>70</v>
      </c>
      <c r="L244" s="18">
        <f t="shared" si="54"/>
        <v>33.178888051135957</v>
      </c>
      <c r="M244" s="18">
        <f t="shared" si="54"/>
        <v>34.898290163785532</v>
      </c>
      <c r="N244" s="18">
        <f t="shared" si="54"/>
        <v>63.84770652476147</v>
      </c>
      <c r="O244" s="18">
        <f t="shared" si="54"/>
        <v>62.878460419173081</v>
      </c>
      <c r="P244" s="18">
        <f t="shared" si="54"/>
        <v>76.941141061775724</v>
      </c>
      <c r="Q244" s="18">
        <f t="shared" si="54"/>
        <v>0</v>
      </c>
      <c r="R244" s="18">
        <f t="shared" si="54"/>
        <v>0.65110500326663745</v>
      </c>
      <c r="S244" s="18">
        <f t="shared" si="54"/>
        <v>71.913802517160647</v>
      </c>
      <c r="T244" s="18">
        <f t="shared" si="54"/>
        <v>194.42879590385914</v>
      </c>
      <c r="U244" s="18">
        <f t="shared" si="54"/>
        <v>4.4360219618893231</v>
      </c>
      <c r="V244" s="18">
        <f t="shared" si="54"/>
        <v>11.199164310987632</v>
      </c>
      <c r="W244" s="18">
        <f t="shared" si="54"/>
        <v>471.2028236245165</v>
      </c>
      <c r="X244" s="18">
        <f t="shared" si="54"/>
        <v>4.3575809604950111</v>
      </c>
      <c r="Y244" s="18">
        <f t="shared" si="54"/>
        <v>581.43354240909218</v>
      </c>
      <c r="Z244" s="18">
        <f t="shared" si="54"/>
        <v>48.686781899525975</v>
      </c>
      <c r="AA244" s="18">
        <f t="shared" si="54"/>
        <v>29.741201222266973</v>
      </c>
      <c r="AB244" s="18">
        <f t="shared" si="55"/>
        <v>121.68677408790934</v>
      </c>
      <c r="AC244" s="18">
        <f t="shared" si="55"/>
        <v>9.3882541644005428</v>
      </c>
      <c r="AD244" s="18">
        <f t="shared" si="55"/>
        <v>0</v>
      </c>
      <c r="AE244" s="18">
        <f t="shared" si="55"/>
        <v>295.57202324169725</v>
      </c>
      <c r="AF244" s="18">
        <f t="shared" si="55"/>
        <v>88.36328665779024</v>
      </c>
      <c r="AG244" s="18">
        <f t="shared" si="55"/>
        <v>0.28630555591784052</v>
      </c>
      <c r="AH244" s="18">
        <f t="shared" si="55"/>
        <v>9.5242113065878602</v>
      </c>
      <c r="AI244" s="18">
        <f t="shared" si="55"/>
        <v>2.9568688682876489</v>
      </c>
      <c r="AJ244" s="18">
        <f t="shared" si="55"/>
        <v>20.401231073403586</v>
      </c>
      <c r="AK244" s="18">
        <f t="shared" si="55"/>
        <v>0</v>
      </c>
      <c r="AL244" s="18">
        <f t="shared" si="55"/>
        <v>41.985600255305783</v>
      </c>
      <c r="AM244" s="18">
        <f t="shared" si="55"/>
        <v>8.0112638885831817</v>
      </c>
      <c r="AN244" s="18">
        <f t="shared" si="55"/>
        <v>334.69041894967251</v>
      </c>
      <c r="AO244" s="18">
        <f t="shared" si="55"/>
        <v>17.560122484367675</v>
      </c>
      <c r="AP244" s="18">
        <f t="shared" si="56"/>
        <v>273.8497610662788</v>
      </c>
      <c r="AQ244" s="18">
        <f t="shared" si="56"/>
        <v>0</v>
      </c>
      <c r="AR244" s="18">
        <f t="shared" si="56"/>
        <v>19.65826163412499</v>
      </c>
      <c r="AS244" s="18">
        <f t="shared" si="56"/>
        <v>1.8968866537241689</v>
      </c>
      <c r="AT244" s="18">
        <f t="shared" si="56"/>
        <v>19.811097021441373</v>
      </c>
      <c r="AU244" s="18">
        <f t="shared" si="56"/>
        <v>287.61396886513683</v>
      </c>
      <c r="AW244" s="47">
        <f t="shared" si="57"/>
        <v>2813.9482799999987</v>
      </c>
      <c r="AX244" s="18">
        <f t="shared" si="58"/>
        <v>3243.0516418083216</v>
      </c>
    </row>
    <row r="245" spans="9:50" x14ac:dyDescent="0.3">
      <c r="I245">
        <v>2050</v>
      </c>
      <c r="J245" t="s">
        <v>70</v>
      </c>
      <c r="L245" s="18">
        <f t="shared" si="54"/>
        <v>34.848870548530201</v>
      </c>
      <c r="M245" s="18">
        <f t="shared" si="54"/>
        <v>27.73799467162117</v>
      </c>
      <c r="N245" s="18">
        <f t="shared" si="54"/>
        <v>51.420869936018157</v>
      </c>
      <c r="O245" s="18">
        <f t="shared" si="54"/>
        <v>60.737952570015246</v>
      </c>
      <c r="P245" s="18">
        <f t="shared" si="54"/>
        <v>77.410605833950967</v>
      </c>
      <c r="Q245" s="18">
        <f t="shared" si="54"/>
        <v>0</v>
      </c>
      <c r="R245" s="18">
        <f t="shared" si="54"/>
        <v>0.51856968309994644</v>
      </c>
      <c r="S245" s="18">
        <f t="shared" si="54"/>
        <v>69.176348812348309</v>
      </c>
      <c r="T245" s="18">
        <f t="shared" si="54"/>
        <v>171.17676328989754</v>
      </c>
      <c r="U245" s="18">
        <f t="shared" si="54"/>
        <v>4.4546935304832438</v>
      </c>
      <c r="V245" s="18">
        <f t="shared" si="54"/>
        <v>10.783545037860513</v>
      </c>
      <c r="W245" s="18">
        <f t="shared" si="54"/>
        <v>436.46501412206021</v>
      </c>
      <c r="X245" s="18">
        <f t="shared" si="54"/>
        <v>4.6299017343730879</v>
      </c>
      <c r="Y245" s="18">
        <f t="shared" si="54"/>
        <v>473.73555492997372</v>
      </c>
      <c r="Z245" s="18">
        <f t="shared" si="54"/>
        <v>45.88434232765529</v>
      </c>
      <c r="AA245" s="18">
        <f t="shared" si="54"/>
        <v>25.837006227972193</v>
      </c>
      <c r="AB245" s="18">
        <f t="shared" si="55"/>
        <v>112.39799606359496</v>
      </c>
      <c r="AC245" s="18">
        <f t="shared" si="55"/>
        <v>4.7151527087631493</v>
      </c>
      <c r="AD245" s="18">
        <f t="shared" si="55"/>
        <v>0</v>
      </c>
      <c r="AE245" s="18">
        <f t="shared" si="55"/>
        <v>258.46004126348134</v>
      </c>
      <c r="AF245" s="18">
        <f t="shared" si="55"/>
        <v>72.678100685640047</v>
      </c>
      <c r="AG245" s="18">
        <f t="shared" si="55"/>
        <v>0.26935913570492098</v>
      </c>
      <c r="AH245" s="18">
        <f t="shared" si="55"/>
        <v>7.1942711129517356</v>
      </c>
      <c r="AI245" s="18">
        <f t="shared" si="55"/>
        <v>3.0456057197726514</v>
      </c>
      <c r="AJ245" s="18">
        <f t="shared" si="55"/>
        <v>21.849113004536722</v>
      </c>
      <c r="AK245" s="18">
        <f t="shared" si="55"/>
        <v>0</v>
      </c>
      <c r="AL245" s="18">
        <f t="shared" si="55"/>
        <v>30.382362749104129</v>
      </c>
      <c r="AM245" s="18">
        <f t="shared" si="55"/>
        <v>8.3542936417217106</v>
      </c>
      <c r="AN245" s="18">
        <f t="shared" si="55"/>
        <v>338.28147035645765</v>
      </c>
      <c r="AO245" s="18">
        <f t="shared" si="55"/>
        <v>15.873451209961702</v>
      </c>
      <c r="AP245" s="18">
        <f t="shared" si="56"/>
        <v>220.84607102597934</v>
      </c>
      <c r="AQ245" s="18">
        <f t="shared" si="56"/>
        <v>0</v>
      </c>
      <c r="AR245" s="18">
        <f t="shared" si="56"/>
        <v>16.116806804450079</v>
      </c>
      <c r="AS245" s="18">
        <f t="shared" si="56"/>
        <v>1.3303446310384484</v>
      </c>
      <c r="AT245" s="18">
        <f t="shared" si="56"/>
        <v>15.388215379493941</v>
      </c>
      <c r="AU245" s="18">
        <f t="shared" si="56"/>
        <v>213.61835747884189</v>
      </c>
      <c r="AW245" s="47">
        <f t="shared" si="57"/>
        <v>2476.4921999999997</v>
      </c>
      <c r="AX245" s="18">
        <f t="shared" si="58"/>
        <v>2835.6190462273539</v>
      </c>
    </row>
    <row r="246" spans="9:50" x14ac:dyDescent="0.3"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W246" s="46"/>
      <c r="AX246" s="18">
        <f t="shared" si="58"/>
        <v>0</v>
      </c>
    </row>
    <row r="247" spans="9:50" x14ac:dyDescent="0.3">
      <c r="I247">
        <v>2005</v>
      </c>
      <c r="J247" t="s">
        <v>90</v>
      </c>
      <c r="L247" s="18">
        <f t="shared" ref="L247:AU252" si="59">SUMIFS(L$5:L$234,$I$5:$I$234,$I247,$H$5:$H$234,"ACT_BND",$A$5:$A$234,$J247)</f>
        <v>12.288956397855669</v>
      </c>
      <c r="M247" s="18">
        <f t="shared" si="59"/>
        <v>54.305970000000009</v>
      </c>
      <c r="N247" s="18">
        <f t="shared" si="59"/>
        <v>15.919620000000002</v>
      </c>
      <c r="O247" s="18">
        <f t="shared" si="59"/>
        <v>23.852509999999999</v>
      </c>
      <c r="P247" s="18">
        <f t="shared" si="59"/>
        <v>37.463086729402065</v>
      </c>
      <c r="Q247" s="18">
        <f t="shared" si="59"/>
        <v>31.962825300000002</v>
      </c>
      <c r="R247" s="18">
        <f t="shared" si="59"/>
        <v>0</v>
      </c>
      <c r="S247" s="18">
        <f t="shared" si="59"/>
        <v>31.313775532258138</v>
      </c>
      <c r="T247" s="18">
        <f t="shared" si="59"/>
        <v>154.43022999999999</v>
      </c>
      <c r="U247" s="18">
        <f t="shared" si="59"/>
        <v>12.53289</v>
      </c>
      <c r="V247" s="18">
        <f t="shared" si="59"/>
        <v>25.02308</v>
      </c>
      <c r="W247" s="18">
        <f t="shared" si="59"/>
        <v>76.176010000000019</v>
      </c>
      <c r="X247" s="18">
        <f t="shared" si="59"/>
        <v>130</v>
      </c>
      <c r="Y247" s="18">
        <f t="shared" si="59"/>
        <v>301.09201999999999</v>
      </c>
      <c r="Z247" s="18">
        <f t="shared" si="59"/>
        <v>16.489049999999999</v>
      </c>
      <c r="AA247" s="18">
        <f t="shared" si="59"/>
        <v>17.234847166030772</v>
      </c>
      <c r="AB247" s="18">
        <f t="shared" si="59"/>
        <v>30.575780000000002</v>
      </c>
      <c r="AC247" s="18">
        <f t="shared" si="59"/>
        <v>9.8659700000000008</v>
      </c>
      <c r="AD247" s="18">
        <f t="shared" si="59"/>
        <v>0</v>
      </c>
      <c r="AE247" s="18">
        <f t="shared" si="59"/>
        <v>91.477909999999994</v>
      </c>
      <c r="AF247" s="18">
        <f t="shared" si="59"/>
        <v>24.459429999999998</v>
      </c>
      <c r="AG247" s="18">
        <f t="shared" si="59"/>
        <v>0.84000000000000008</v>
      </c>
      <c r="AH247" s="18">
        <f t="shared" si="59"/>
        <v>44.526160000000004</v>
      </c>
      <c r="AI247" s="18">
        <f t="shared" si="59"/>
        <v>15.974478198927834</v>
      </c>
      <c r="AJ247" s="18">
        <f t="shared" si="59"/>
        <v>31.625151895175257</v>
      </c>
      <c r="AK247" s="18">
        <f t="shared" si="59"/>
        <v>0</v>
      </c>
      <c r="AL247" s="18">
        <f t="shared" si="59"/>
        <v>11.96289</v>
      </c>
      <c r="AM247" s="18">
        <f t="shared" si="59"/>
        <v>96.236970747601916</v>
      </c>
      <c r="AN247" s="18">
        <f t="shared" si="59"/>
        <v>66.33023</v>
      </c>
      <c r="AO247" s="18">
        <f t="shared" si="59"/>
        <v>37.325780000000002</v>
      </c>
      <c r="AP247" s="18">
        <f t="shared" si="59"/>
        <v>79.821303315463922</v>
      </c>
      <c r="AQ247" s="18">
        <f t="shared" si="59"/>
        <v>163.1616952598763</v>
      </c>
      <c r="AR247" s="18">
        <f t="shared" si="59"/>
        <v>142.14738286247407</v>
      </c>
      <c r="AS247" s="18">
        <f t="shared" si="59"/>
        <v>16.45654</v>
      </c>
      <c r="AT247" s="18">
        <f t="shared" si="59"/>
        <v>9.9728899999999996</v>
      </c>
      <c r="AU247" s="18">
        <f t="shared" si="59"/>
        <v>38.577720000000006</v>
      </c>
      <c r="AW247" s="46">
        <f t="shared" si="57"/>
        <v>1424.1322688762268</v>
      </c>
      <c r="AX247" s="18">
        <f t="shared" si="58"/>
        <v>1851.4231534050657</v>
      </c>
    </row>
    <row r="248" spans="9:50" x14ac:dyDescent="0.3">
      <c r="I248">
        <v>2010</v>
      </c>
      <c r="J248" t="s">
        <v>90</v>
      </c>
      <c r="L248" s="18">
        <f t="shared" si="59"/>
        <v>12.438956397855671</v>
      </c>
      <c r="M248" s="18">
        <f t="shared" si="59"/>
        <v>55.125970000000002</v>
      </c>
      <c r="N248" s="18">
        <f t="shared" si="59"/>
        <v>15.949619999999999</v>
      </c>
      <c r="O248" s="18">
        <f t="shared" si="59"/>
        <v>23.502510000000001</v>
      </c>
      <c r="P248" s="18">
        <f t="shared" si="59"/>
        <v>37.693086729402062</v>
      </c>
      <c r="Q248" s="18">
        <f t="shared" si="59"/>
        <v>32.482825300000002</v>
      </c>
      <c r="R248" s="18">
        <f t="shared" si="59"/>
        <v>0</v>
      </c>
      <c r="S248" s="18">
        <f t="shared" si="59"/>
        <v>31.123775532258136</v>
      </c>
      <c r="T248" s="18">
        <f t="shared" si="59"/>
        <v>156.00022999999999</v>
      </c>
      <c r="U248" s="18">
        <f t="shared" si="59"/>
        <v>12.43289</v>
      </c>
      <c r="V248" s="18">
        <f t="shared" si="59"/>
        <v>24.583080000000002</v>
      </c>
      <c r="W248" s="18">
        <f t="shared" si="59"/>
        <v>75.816010000000006</v>
      </c>
      <c r="X248" s="18">
        <f t="shared" si="59"/>
        <v>129.5</v>
      </c>
      <c r="Y248" s="18">
        <f t="shared" si="59"/>
        <v>299.46202</v>
      </c>
      <c r="Z248" s="18">
        <f t="shared" si="59"/>
        <v>16.359049999999996</v>
      </c>
      <c r="AA248" s="18">
        <f t="shared" si="59"/>
        <v>16.804847166030772</v>
      </c>
      <c r="AB248" s="18">
        <f t="shared" si="59"/>
        <v>30.375780000000006</v>
      </c>
      <c r="AC248" s="18">
        <f t="shared" si="59"/>
        <v>9.7459700000000016</v>
      </c>
      <c r="AD248" s="18">
        <f t="shared" si="59"/>
        <v>0</v>
      </c>
      <c r="AE248" s="18">
        <f t="shared" si="59"/>
        <v>90.947909999999993</v>
      </c>
      <c r="AF248" s="18">
        <f t="shared" si="59"/>
        <v>24.119430000000001</v>
      </c>
      <c r="AG248" s="18">
        <f t="shared" si="59"/>
        <v>0.88</v>
      </c>
      <c r="AH248" s="18">
        <f t="shared" si="59"/>
        <v>43.936160000000001</v>
      </c>
      <c r="AI248" s="18">
        <f t="shared" si="59"/>
        <v>16.304478198927836</v>
      </c>
      <c r="AJ248" s="18">
        <f t="shared" si="59"/>
        <v>31.785151895175261</v>
      </c>
      <c r="AK248" s="18">
        <f t="shared" si="59"/>
        <v>0</v>
      </c>
      <c r="AL248" s="18">
        <f t="shared" si="59"/>
        <v>11.432889999999999</v>
      </c>
      <c r="AM248" s="18">
        <f t="shared" si="59"/>
        <v>97.146970747601927</v>
      </c>
      <c r="AN248" s="18">
        <f t="shared" si="59"/>
        <v>66.69023</v>
      </c>
      <c r="AO248" s="18">
        <f t="shared" si="59"/>
        <v>36.525779999999997</v>
      </c>
      <c r="AP248" s="18">
        <f t="shared" si="59"/>
        <v>79.581303315463927</v>
      </c>
      <c r="AQ248" s="18">
        <f t="shared" si="59"/>
        <v>164.09169525987627</v>
      </c>
      <c r="AR248" s="18">
        <f t="shared" si="59"/>
        <v>189.06738286247406</v>
      </c>
      <c r="AS248" s="18">
        <f t="shared" si="59"/>
        <v>16.29654</v>
      </c>
      <c r="AT248" s="18">
        <f t="shared" si="59"/>
        <v>9.8428900000000006</v>
      </c>
      <c r="AU248" s="18">
        <f t="shared" si="59"/>
        <v>38.367720000000006</v>
      </c>
      <c r="AW248" s="46">
        <f t="shared" si="57"/>
        <v>1466.1022688762266</v>
      </c>
      <c r="AX248" s="18">
        <f t="shared" si="58"/>
        <v>1896.4131534050657</v>
      </c>
    </row>
    <row r="249" spans="9:50" x14ac:dyDescent="0.3">
      <c r="I249">
        <v>2020</v>
      </c>
      <c r="J249" t="s">
        <v>90</v>
      </c>
      <c r="L249" s="18">
        <f>SUMIFS(L$5:L$234,$I$5:$I$234,$I249,$H$5:$H$234,"ACT_BND",$A$5:$A$234,$J249)</f>
        <v>10.43700818774262</v>
      </c>
      <c r="M249" s="18">
        <f t="shared" si="59"/>
        <v>53.301254999999998</v>
      </c>
      <c r="N249" s="18">
        <f t="shared" si="59"/>
        <v>19.248084942917821</v>
      </c>
      <c r="O249" s="18">
        <f t="shared" si="59"/>
        <v>18.592890000000001</v>
      </c>
      <c r="P249" s="18">
        <f t="shared" si="59"/>
        <v>35.231181677528134</v>
      </c>
      <c r="Q249" s="18">
        <f t="shared" si="59"/>
        <v>27.876214950000001</v>
      </c>
      <c r="R249" s="18">
        <f t="shared" si="59"/>
        <v>0</v>
      </c>
      <c r="S249" s="18">
        <f t="shared" si="59"/>
        <v>23.066266202713443</v>
      </c>
      <c r="T249" s="18">
        <f t="shared" si="59"/>
        <v>145.50992500000001</v>
      </c>
      <c r="U249" s="18">
        <f t="shared" si="59"/>
        <v>10.05308</v>
      </c>
      <c r="V249" s="18">
        <f t="shared" si="59"/>
        <v>25.409938598</v>
      </c>
      <c r="W249" s="18">
        <f t="shared" si="59"/>
        <v>55.066085000000001</v>
      </c>
      <c r="X249" s="18">
        <f t="shared" si="59"/>
        <v>155.9</v>
      </c>
      <c r="Y249" s="18">
        <f t="shared" si="59"/>
        <v>255.21216999999999</v>
      </c>
      <c r="Z249" s="18">
        <f t="shared" si="59"/>
        <v>11.667795</v>
      </c>
      <c r="AA249" s="18">
        <f t="shared" si="59"/>
        <v>14.336302427792729</v>
      </c>
      <c r="AB249" s="18">
        <f t="shared" si="59"/>
        <v>25.466160000000002</v>
      </c>
      <c r="AC249" s="18">
        <f t="shared" si="59"/>
        <v>5.9496199999999995</v>
      </c>
      <c r="AD249" s="18">
        <f t="shared" si="59"/>
        <v>0</v>
      </c>
      <c r="AE249" s="18">
        <f t="shared" si="59"/>
        <v>79.390495000000001</v>
      </c>
      <c r="AF249" s="18">
        <f t="shared" si="59"/>
        <v>20.286350000000002</v>
      </c>
      <c r="AG249" s="18">
        <f t="shared" si="59"/>
        <v>0.92999999999999994</v>
      </c>
      <c r="AH249" s="18">
        <f t="shared" si="59"/>
        <v>39.854714999999999</v>
      </c>
      <c r="AI249" s="18">
        <f t="shared" si="59"/>
        <v>16.798504093871312</v>
      </c>
      <c r="AJ249" s="18">
        <f t="shared" si="59"/>
        <v>28.148268422420898</v>
      </c>
      <c r="AK249" s="18">
        <f t="shared" si="59"/>
        <v>0</v>
      </c>
      <c r="AL249" s="18">
        <f t="shared" si="59"/>
        <v>7.9114450000000005</v>
      </c>
      <c r="AM249" s="18">
        <f t="shared" si="59"/>
        <v>76.80950388085779</v>
      </c>
      <c r="AN249" s="18">
        <f t="shared" si="59"/>
        <v>52.81156</v>
      </c>
      <c r="AO249" s="18">
        <f t="shared" si="59"/>
        <v>29.996159999999996</v>
      </c>
      <c r="AP249" s="18">
        <f t="shared" si="59"/>
        <v>63.491734897855174</v>
      </c>
      <c r="AQ249" s="18">
        <f t="shared" si="59"/>
        <v>134.67385926118496</v>
      </c>
      <c r="AR249" s="18">
        <f t="shared" si="59"/>
        <v>190.83876840545818</v>
      </c>
      <c r="AS249" s="18">
        <f t="shared" si="59"/>
        <v>15.173270000000002</v>
      </c>
      <c r="AT249" s="18">
        <f t="shared" si="59"/>
        <v>7.6430800000000003</v>
      </c>
      <c r="AU249" s="18">
        <f t="shared" si="59"/>
        <v>27.327034999999999</v>
      </c>
      <c r="AW249" s="46">
        <f t="shared" si="57"/>
        <v>1327.1071504747372</v>
      </c>
      <c r="AX249" s="18">
        <f t="shared" si="58"/>
        <v>1684.4087259483431</v>
      </c>
    </row>
    <row r="250" spans="9:50" x14ac:dyDescent="0.3">
      <c r="I250">
        <v>2030</v>
      </c>
      <c r="J250" t="s">
        <v>90</v>
      </c>
      <c r="L250" s="18">
        <f>SUMIFS(L$5:L$234,$I$5:$I$234,$I250,$H$5:$H$234,"ACT_BND",$A$5:$A$234,$J250)</f>
        <v>10.218204499268557</v>
      </c>
      <c r="M250" s="18">
        <f t="shared" si="59"/>
        <v>55.302215401139321</v>
      </c>
      <c r="N250" s="18">
        <f t="shared" si="59"/>
        <v>16.347586699607795</v>
      </c>
      <c r="O250" s="18">
        <f t="shared" si="59"/>
        <v>18.699704599036988</v>
      </c>
      <c r="P250" s="18">
        <f t="shared" si="59"/>
        <v>36.668374915325685</v>
      </c>
      <c r="Q250" s="18">
        <f t="shared" si="59"/>
        <v>26.769959593999999</v>
      </c>
      <c r="R250" s="18">
        <f t="shared" si="59"/>
        <v>0</v>
      </c>
      <c r="S250" s="18">
        <f t="shared" si="59"/>
        <v>22.483480807039712</v>
      </c>
      <c r="T250" s="18">
        <f t="shared" si="59"/>
        <v>147.62394148049759</v>
      </c>
      <c r="U250" s="18">
        <f t="shared" si="59"/>
        <v>10.240673971432575</v>
      </c>
      <c r="V250" s="18">
        <f t="shared" si="59"/>
        <v>21.774024394343886</v>
      </c>
      <c r="W250" s="18">
        <f t="shared" si="59"/>
        <v>53.997529116792947</v>
      </c>
      <c r="X250" s="18">
        <f t="shared" si="59"/>
        <v>194.4891554889025</v>
      </c>
      <c r="Y250" s="18">
        <f t="shared" si="59"/>
        <v>265.79411773210091</v>
      </c>
      <c r="Z250" s="18">
        <f t="shared" si="59"/>
        <v>11.480093364498677</v>
      </c>
      <c r="AA250" s="18">
        <f t="shared" si="59"/>
        <v>14.478792024324946</v>
      </c>
      <c r="AB250" s="18">
        <f t="shared" si="59"/>
        <v>26.754009673240109</v>
      </c>
      <c r="AC250" s="18">
        <f t="shared" si="59"/>
        <v>5.3583003699559164</v>
      </c>
      <c r="AD250" s="18">
        <f t="shared" si="59"/>
        <v>0</v>
      </c>
      <c r="AE250" s="18">
        <f t="shared" si="59"/>
        <v>82.495359889344996</v>
      </c>
      <c r="AF250" s="18">
        <f t="shared" si="59"/>
        <v>20.822707602891761</v>
      </c>
      <c r="AG250" s="18">
        <f t="shared" si="59"/>
        <v>0.98967229117849176</v>
      </c>
      <c r="AH250" s="18">
        <f t="shared" si="59"/>
        <v>38.258273684291218</v>
      </c>
      <c r="AI250" s="18">
        <f t="shared" si="59"/>
        <v>26.444102249634277</v>
      </c>
      <c r="AJ250" s="18">
        <f t="shared" si="59"/>
        <v>29.163460123354255</v>
      </c>
      <c r="AK250" s="18">
        <f t="shared" si="59"/>
        <v>2.2678022188584966E-2</v>
      </c>
      <c r="AL250" s="18">
        <f t="shared" si="59"/>
        <v>6.5500755629843805</v>
      </c>
      <c r="AM250" s="18">
        <f t="shared" si="59"/>
        <v>75.945025048783009</v>
      </c>
      <c r="AN250" s="18">
        <f t="shared" si="59"/>
        <v>51.614397207199772</v>
      </c>
      <c r="AO250" s="18">
        <f t="shared" si="59"/>
        <v>28.96725916280564</v>
      </c>
      <c r="AP250" s="18">
        <f t="shared" si="59"/>
        <v>61.90840663176656</v>
      </c>
      <c r="AQ250" s="18">
        <f t="shared" si="59"/>
        <v>0</v>
      </c>
      <c r="AR250" s="18">
        <f t="shared" si="59"/>
        <v>187.04439678840083</v>
      </c>
      <c r="AS250" s="18">
        <f t="shared" si="59"/>
        <v>15.925253588793657</v>
      </c>
      <c r="AT250" s="18">
        <f t="shared" si="59"/>
        <v>7.5680944452405567</v>
      </c>
      <c r="AU250" s="18">
        <f t="shared" si="59"/>
        <v>27.61538788</v>
      </c>
      <c r="AW250" s="47">
        <f t="shared" si="57"/>
        <v>1366.9902000000002</v>
      </c>
      <c r="AX250" s="18">
        <f t="shared" si="58"/>
        <v>1599.8147143103661</v>
      </c>
    </row>
    <row r="251" spans="9:50" x14ac:dyDescent="0.3">
      <c r="I251">
        <v>2040</v>
      </c>
      <c r="J251" t="s">
        <v>90</v>
      </c>
      <c r="L251" s="18">
        <f>SUMIFS(L$5:L$234,$I$5:$I$234,$I251,$H$5:$H$234,"ACT_BND",$A$5:$A$234,$J251)</f>
        <v>11.198530046583887</v>
      </c>
      <c r="M251" s="18">
        <f t="shared" si="59"/>
        <v>73.856704150656171</v>
      </c>
      <c r="N251" s="18">
        <f t="shared" si="59"/>
        <v>23.356910298346257</v>
      </c>
      <c r="O251" s="18">
        <f t="shared" si="59"/>
        <v>21.874372672031228</v>
      </c>
      <c r="P251" s="18">
        <f t="shared" si="59"/>
        <v>39.828971752070466</v>
      </c>
      <c r="Q251" s="18">
        <f t="shared" si="59"/>
        <v>31.893130119999999</v>
      </c>
      <c r="R251" s="18">
        <f t="shared" si="59"/>
        <v>0</v>
      </c>
      <c r="S251" s="18">
        <f t="shared" si="59"/>
        <v>26.045324552586845</v>
      </c>
      <c r="T251" s="18">
        <f t="shared" si="59"/>
        <v>193.36203005758989</v>
      </c>
      <c r="U251" s="18">
        <f t="shared" si="59"/>
        <v>13.336098462388421</v>
      </c>
      <c r="V251" s="18">
        <f t="shared" si="59"/>
        <v>25.192780493343133</v>
      </c>
      <c r="W251" s="18">
        <f t="shared" si="59"/>
        <v>73.247160039190263</v>
      </c>
      <c r="X251" s="18">
        <f t="shared" si="59"/>
        <v>274.87355548439791</v>
      </c>
      <c r="Y251" s="18">
        <f t="shared" si="59"/>
        <v>340.34436516000846</v>
      </c>
      <c r="Z251" s="18">
        <f t="shared" si="59"/>
        <v>15.714309619748921</v>
      </c>
      <c r="AA251" s="18">
        <f t="shared" si="59"/>
        <v>17.683896276043345</v>
      </c>
      <c r="AB251" s="18">
        <f t="shared" si="59"/>
        <v>33.775809244612105</v>
      </c>
      <c r="AC251" s="18">
        <f t="shared" si="59"/>
        <v>7.5415508171674661</v>
      </c>
      <c r="AD251" s="18">
        <f t="shared" si="59"/>
        <v>0</v>
      </c>
      <c r="AE251" s="18">
        <f t="shared" si="59"/>
        <v>105.23913978489851</v>
      </c>
      <c r="AF251" s="18">
        <f t="shared" si="59"/>
        <v>26.159651935102627</v>
      </c>
      <c r="AG251" s="18">
        <f t="shared" si="59"/>
        <v>1.5495446120592693</v>
      </c>
      <c r="AH251" s="18">
        <f t="shared" si="59"/>
        <v>50.804355225842919</v>
      </c>
      <c r="AI251" s="18">
        <f t="shared" si="59"/>
        <v>33.034265023291944</v>
      </c>
      <c r="AJ251" s="18">
        <f t="shared" si="59"/>
        <v>30.794192604813745</v>
      </c>
      <c r="AK251" s="18">
        <f t="shared" si="59"/>
        <v>3.5331079784585315E-2</v>
      </c>
      <c r="AL251" s="18">
        <f t="shared" si="59"/>
        <v>8.154894924324779</v>
      </c>
      <c r="AM251" s="18">
        <f t="shared" si="59"/>
        <v>85.019621203520558</v>
      </c>
      <c r="AN251" s="18">
        <f t="shared" si="59"/>
        <v>72.757311896847952</v>
      </c>
      <c r="AO251" s="18">
        <f t="shared" si="59"/>
        <v>37.017678801974441</v>
      </c>
      <c r="AP251" s="18">
        <f t="shared" si="59"/>
        <v>84.293456543062007</v>
      </c>
      <c r="AQ251" s="18">
        <f t="shared" si="59"/>
        <v>0</v>
      </c>
      <c r="AR251" s="18">
        <f t="shared" si="59"/>
        <v>277.89088533886081</v>
      </c>
      <c r="AS251" s="18">
        <f t="shared" si="59"/>
        <v>19.020194253795349</v>
      </c>
      <c r="AT251" s="18">
        <f t="shared" si="59"/>
        <v>10.272408275336197</v>
      </c>
      <c r="AU251" s="18">
        <f t="shared" si="59"/>
        <v>27.195387879999998</v>
      </c>
      <c r="AW251" s="47">
        <f t="shared" si="57"/>
        <v>1833.3997199999997</v>
      </c>
      <c r="AX251" s="18">
        <f t="shared" si="58"/>
        <v>2092.3638186302796</v>
      </c>
    </row>
    <row r="252" spans="9:50" x14ac:dyDescent="0.3">
      <c r="I252">
        <v>2050</v>
      </c>
      <c r="J252" t="s">
        <v>90</v>
      </c>
      <c r="L252" s="18">
        <f>SUMIFS(L$5:L$234,$I$5:$I$234,$I252,$H$5:$H$234,"ACT_BND",$A$5:$A$234,$J252)</f>
        <v>10.849103320823845</v>
      </c>
      <c r="M252" s="18">
        <f t="shared" si="59"/>
        <v>46.779232947067847</v>
      </c>
      <c r="N252" s="18">
        <f t="shared" si="59"/>
        <v>14.521171658870955</v>
      </c>
      <c r="O252" s="18">
        <f t="shared" si="59"/>
        <v>12.978826222650047</v>
      </c>
      <c r="P252" s="18">
        <f t="shared" si="59"/>
        <v>37.750022754843712</v>
      </c>
      <c r="Q252" s="18">
        <f t="shared" si="59"/>
        <v>34.313130119999997</v>
      </c>
      <c r="R252" s="18">
        <f t="shared" si="59"/>
        <v>0</v>
      </c>
      <c r="S252" s="18">
        <f t="shared" si="59"/>
        <v>15.839670047808138</v>
      </c>
      <c r="T252" s="18">
        <f t="shared" si="59"/>
        <v>121.69407931200143</v>
      </c>
      <c r="U252" s="18">
        <f t="shared" si="59"/>
        <v>8.0634063439245924</v>
      </c>
      <c r="V252" s="18">
        <f t="shared" si="59"/>
        <v>14.800929912831624</v>
      </c>
      <c r="W252" s="18">
        <f t="shared" si="59"/>
        <v>44.570571398532344</v>
      </c>
      <c r="X252" s="18">
        <f t="shared" si="59"/>
        <v>169.84511440702096</v>
      </c>
      <c r="Y252" s="18">
        <f t="shared" si="59"/>
        <v>206.81388580941811</v>
      </c>
      <c r="Z252" s="18">
        <f t="shared" si="59"/>
        <v>9.5940937037200626</v>
      </c>
      <c r="AA252" s="18">
        <f t="shared" si="59"/>
        <v>10.176606294136214</v>
      </c>
      <c r="AB252" s="18">
        <f t="shared" si="59"/>
        <v>20.355203560695813</v>
      </c>
      <c r="AC252" s="18">
        <f t="shared" si="59"/>
        <v>4.3887094670026157</v>
      </c>
      <c r="AD252" s="18">
        <f t="shared" si="59"/>
        <v>0</v>
      </c>
      <c r="AE252" s="18">
        <f t="shared" si="59"/>
        <v>63.766779605037378</v>
      </c>
      <c r="AF252" s="18">
        <f t="shared" si="59"/>
        <v>15.731128097039164</v>
      </c>
      <c r="AG252" s="18">
        <f t="shared" si="59"/>
        <v>1.0154578052078611</v>
      </c>
      <c r="AH252" s="18">
        <f t="shared" si="59"/>
        <v>30.427295385253935</v>
      </c>
      <c r="AI252" s="18">
        <f t="shared" si="59"/>
        <v>32.584551660411918</v>
      </c>
      <c r="AJ252" s="18">
        <f t="shared" si="59"/>
        <v>28.975482471853653</v>
      </c>
      <c r="AK252" s="18">
        <f t="shared" si="59"/>
        <v>2.1976672936806777E-2</v>
      </c>
      <c r="AL252" s="18">
        <f t="shared" si="59"/>
        <v>4.1677138961455089</v>
      </c>
      <c r="AM252" s="18">
        <f t="shared" si="59"/>
        <v>83.835197892568374</v>
      </c>
      <c r="AN252" s="18">
        <f t="shared" si="59"/>
        <v>45.443631192419915</v>
      </c>
      <c r="AO252" s="18">
        <f t="shared" si="59"/>
        <v>21.637380584609375</v>
      </c>
      <c r="AP252" s="18">
        <f t="shared" si="59"/>
        <v>51.667750725610958</v>
      </c>
      <c r="AQ252" s="18">
        <f t="shared" si="59"/>
        <v>0</v>
      </c>
      <c r="AR252" s="18">
        <f t="shared" si="59"/>
        <v>174.68053094737706</v>
      </c>
      <c r="AS252" s="18">
        <f t="shared" si="59"/>
        <v>10.543209474408345</v>
      </c>
      <c r="AT252" s="18">
        <f t="shared" si="59"/>
        <v>6.3061645282723884</v>
      </c>
      <c r="AU252" s="18">
        <f t="shared" si="59"/>
        <v>26.895387880000001</v>
      </c>
      <c r="AW252" s="47">
        <f t="shared" si="57"/>
        <v>1125.8305199999995</v>
      </c>
      <c r="AX252" s="18">
        <f t="shared" si="58"/>
        <v>1381.033396100501</v>
      </c>
    </row>
    <row r="253" spans="9:50" x14ac:dyDescent="0.3">
      <c r="AX253" s="18">
        <f t="shared" si="58"/>
        <v>0</v>
      </c>
    </row>
    <row r="254" spans="9:50" x14ac:dyDescent="0.3">
      <c r="I254">
        <v>2005</v>
      </c>
      <c r="J254" t="s">
        <v>86</v>
      </c>
      <c r="L254" s="18">
        <f t="shared" ref="L254:AA259" si="60">SUMIFS(L$5:L$234,$I$5:$I$234,$I254,$H$5:$H$234,"ACT_BND",$A$5:$A$234,$J254)</f>
        <v>4.0737053131837664</v>
      </c>
      <c r="M254" s="18">
        <f t="shared" si="60"/>
        <v>34.465406130444372</v>
      </c>
      <c r="N254" s="18">
        <f t="shared" si="60"/>
        <v>77.778587986687995</v>
      </c>
      <c r="O254" s="18">
        <f t="shared" si="60"/>
        <v>35.954507591189255</v>
      </c>
      <c r="P254" s="18">
        <f t="shared" si="60"/>
        <v>3.917148566450928</v>
      </c>
      <c r="Q254" s="18">
        <f t="shared" si="60"/>
        <v>26.889869986954345</v>
      </c>
      <c r="R254" s="18">
        <f t="shared" si="60"/>
        <v>5.5332872904296622</v>
      </c>
      <c r="S254" s="18">
        <f t="shared" si="60"/>
        <v>95.378673636663521</v>
      </c>
      <c r="T254" s="18">
        <f t="shared" si="60"/>
        <v>414.31339940329218</v>
      </c>
      <c r="U254" s="18">
        <f t="shared" si="60"/>
        <v>90.406784292369309</v>
      </c>
      <c r="V254" s="18">
        <f t="shared" si="60"/>
        <v>13.937803602766214</v>
      </c>
      <c r="W254" s="18">
        <f t="shared" si="60"/>
        <v>190.75807898293311</v>
      </c>
      <c r="X254" s="18">
        <f t="shared" si="60"/>
        <v>25.4</v>
      </c>
      <c r="Y254" s="18">
        <f t="shared" si="60"/>
        <v>533.39254445275537</v>
      </c>
      <c r="Z254" s="18">
        <f t="shared" si="60"/>
        <v>23.787134752239627</v>
      </c>
      <c r="AA254" s="18">
        <f t="shared" si="60"/>
        <v>13.199841609582974</v>
      </c>
      <c r="AB254" s="18">
        <f t="shared" ref="AB254:AU259" si="61">SUMIFS(AB$5:AB$234,$I$5:$I$234,$I254,$H$5:$H$234,"ACT_BND",$A$5:$A$234,$J254)</f>
        <v>127.29689683565447</v>
      </c>
      <c r="AC254" s="18">
        <f t="shared" si="61"/>
        <v>19.298381970836918</v>
      </c>
      <c r="AD254" s="18">
        <f t="shared" si="61"/>
        <v>0.73088547597736386</v>
      </c>
      <c r="AE254" s="18">
        <f t="shared" si="61"/>
        <v>204.21179506706446</v>
      </c>
      <c r="AF254" s="18">
        <f t="shared" si="61"/>
        <v>26.523307304292377</v>
      </c>
      <c r="AG254" s="18">
        <f t="shared" si="61"/>
        <v>2.7007183910526487</v>
      </c>
      <c r="AH254" s="18">
        <f t="shared" si="61"/>
        <v>14.710661300355996</v>
      </c>
      <c r="AI254" s="18">
        <f t="shared" si="61"/>
        <v>0.33173624335027807</v>
      </c>
      <c r="AJ254" s="18">
        <f t="shared" si="61"/>
        <v>2.6734515070430063</v>
      </c>
      <c r="AK254" s="18">
        <f t="shared" si="61"/>
        <v>17.082853337614853</v>
      </c>
      <c r="AL254" s="18">
        <f t="shared" si="61"/>
        <v>93.374860214068732</v>
      </c>
      <c r="AM254" s="18">
        <f t="shared" si="61"/>
        <v>24.145397077041206</v>
      </c>
      <c r="AN254" s="18">
        <f t="shared" si="61"/>
        <v>184.49113751146319</v>
      </c>
      <c r="AO254" s="18">
        <f t="shared" si="61"/>
        <v>37.335238613887093</v>
      </c>
      <c r="AP254" s="18">
        <f t="shared" si="61"/>
        <v>84.78897499851081</v>
      </c>
      <c r="AQ254" s="18">
        <f t="shared" si="61"/>
        <v>34.997731589405518</v>
      </c>
      <c r="AR254" s="18">
        <f t="shared" si="61"/>
        <v>59.244395687130975</v>
      </c>
      <c r="AS254" s="18">
        <f t="shared" si="61"/>
        <v>3.1014008214464743</v>
      </c>
      <c r="AT254" s="18">
        <f t="shared" si="61"/>
        <v>32.100113847826293</v>
      </c>
      <c r="AU254" s="18">
        <f t="shared" si="61"/>
        <v>242.90248859274178</v>
      </c>
      <c r="AW254" s="46">
        <f t="shared" si="57"/>
        <v>2460.5667856325595</v>
      </c>
      <c r="AX254" s="18">
        <f t="shared" si="58"/>
        <v>2801.229199984708</v>
      </c>
    </row>
    <row r="255" spans="9:50" x14ac:dyDescent="0.3">
      <c r="I255">
        <v>2010</v>
      </c>
      <c r="J255" t="s">
        <v>86</v>
      </c>
      <c r="L255" s="18">
        <f t="shared" si="60"/>
        <v>4.0737053131837664</v>
      </c>
      <c r="M255" s="18">
        <f t="shared" si="60"/>
        <v>34.465406130444372</v>
      </c>
      <c r="N255" s="18">
        <f t="shared" si="60"/>
        <v>77.778587986687995</v>
      </c>
      <c r="O255" s="18">
        <f t="shared" si="60"/>
        <v>35.954507591189255</v>
      </c>
      <c r="P255" s="18">
        <f t="shared" si="60"/>
        <v>3.917148566450928</v>
      </c>
      <c r="Q255" s="18">
        <f t="shared" si="60"/>
        <v>26.889869986954345</v>
      </c>
      <c r="R255" s="18">
        <f t="shared" si="60"/>
        <v>5.5332872904296622</v>
      </c>
      <c r="S255" s="18">
        <f t="shared" si="60"/>
        <v>95.378673636663521</v>
      </c>
      <c r="T255" s="18">
        <f t="shared" si="60"/>
        <v>414.31339940329218</v>
      </c>
      <c r="U255" s="18">
        <f t="shared" si="60"/>
        <v>90.406784292369309</v>
      </c>
      <c r="V255" s="18">
        <f t="shared" si="60"/>
        <v>13.937803602766214</v>
      </c>
      <c r="W255" s="18">
        <f t="shared" si="60"/>
        <v>190.75807898293311</v>
      </c>
      <c r="X255" s="18">
        <f t="shared" si="60"/>
        <v>25.7</v>
      </c>
      <c r="Y255" s="18">
        <f t="shared" si="60"/>
        <v>533.39254445275537</v>
      </c>
      <c r="Z255" s="18">
        <f t="shared" si="60"/>
        <v>23.787134752239627</v>
      </c>
      <c r="AA255" s="18">
        <f t="shared" si="60"/>
        <v>13.199841609582974</v>
      </c>
      <c r="AB255" s="18">
        <f t="shared" si="61"/>
        <v>127.29689683565447</v>
      </c>
      <c r="AC255" s="18">
        <f t="shared" si="61"/>
        <v>19.298381970836918</v>
      </c>
      <c r="AD255" s="18">
        <f t="shared" si="61"/>
        <v>0.73088547597736386</v>
      </c>
      <c r="AE255" s="18">
        <f t="shared" si="61"/>
        <v>204.21179506706446</v>
      </c>
      <c r="AF255" s="18">
        <f t="shared" si="61"/>
        <v>26.523307304292377</v>
      </c>
      <c r="AG255" s="18">
        <f t="shared" si="61"/>
        <v>2.7007183910526487</v>
      </c>
      <c r="AH255" s="18">
        <f t="shared" si="61"/>
        <v>14.710661300355996</v>
      </c>
      <c r="AI255" s="18">
        <f t="shared" si="61"/>
        <v>0.33173624335027807</v>
      </c>
      <c r="AJ255" s="18">
        <f t="shared" si="61"/>
        <v>2.6734515070430063</v>
      </c>
      <c r="AK255" s="18">
        <f t="shared" si="61"/>
        <v>17.082853337614853</v>
      </c>
      <c r="AL255" s="18">
        <f t="shared" si="61"/>
        <v>93.374860214068732</v>
      </c>
      <c r="AM255" s="18">
        <f t="shared" si="61"/>
        <v>24.145397077041206</v>
      </c>
      <c r="AN255" s="18">
        <f t="shared" si="61"/>
        <v>184.49113751146319</v>
      </c>
      <c r="AO255" s="18">
        <f t="shared" si="61"/>
        <v>37.335238613887093</v>
      </c>
      <c r="AP255" s="18">
        <f t="shared" si="61"/>
        <v>84.78897499851081</v>
      </c>
      <c r="AQ255" s="18">
        <f t="shared" si="61"/>
        <v>34.997731589405518</v>
      </c>
      <c r="AR255" s="18">
        <f t="shared" si="61"/>
        <v>59.244395687130975</v>
      </c>
      <c r="AS255" s="18">
        <f t="shared" si="61"/>
        <v>3.1014008214464743</v>
      </c>
      <c r="AT255" s="18">
        <f t="shared" si="61"/>
        <v>32.100113847826293</v>
      </c>
      <c r="AU255" s="18">
        <f t="shared" si="61"/>
        <v>242.90248859274178</v>
      </c>
      <c r="AW255" s="46">
        <f t="shared" si="57"/>
        <v>2460.8667856325587</v>
      </c>
      <c r="AX255" s="18">
        <f t="shared" si="58"/>
        <v>2801.5291999847072</v>
      </c>
    </row>
    <row r="256" spans="9:50" x14ac:dyDescent="0.3">
      <c r="I256">
        <v>2020</v>
      </c>
      <c r="J256" t="s">
        <v>86</v>
      </c>
      <c r="L256" s="18">
        <f t="shared" si="60"/>
        <v>4.4455868149327715</v>
      </c>
      <c r="M256" s="18">
        <f t="shared" si="60"/>
        <v>30.956083395444903</v>
      </c>
      <c r="N256" s="18">
        <f t="shared" si="60"/>
        <v>79.767596126383069</v>
      </c>
      <c r="O256" s="18">
        <f t="shared" si="60"/>
        <v>31.413263629922358</v>
      </c>
      <c r="P256" s="18">
        <f t="shared" si="60"/>
        <v>4.3735817226652669</v>
      </c>
      <c r="Q256" s="18">
        <f t="shared" si="60"/>
        <v>29.286954634257654</v>
      </c>
      <c r="R256" s="18">
        <f t="shared" si="60"/>
        <v>5.8444949112594395</v>
      </c>
      <c r="S256" s="18">
        <f t="shared" si="60"/>
        <v>81.384642235470793</v>
      </c>
      <c r="T256" s="18">
        <f t="shared" si="60"/>
        <v>374.75916582292353</v>
      </c>
      <c r="U256" s="18">
        <f t="shared" si="60"/>
        <v>82.968469231575725</v>
      </c>
      <c r="V256" s="18">
        <f t="shared" si="60"/>
        <v>13.72183204925703</v>
      </c>
      <c r="W256" s="18">
        <f t="shared" si="60"/>
        <v>195.80832723694766</v>
      </c>
      <c r="X256" s="18">
        <f t="shared" si="60"/>
        <v>26.710223721653584</v>
      </c>
      <c r="Y256" s="18">
        <f t="shared" si="60"/>
        <v>494.55264204398975</v>
      </c>
      <c r="Z256" s="18">
        <f t="shared" si="60"/>
        <v>25.581096605571553</v>
      </c>
      <c r="AA256" s="18">
        <f t="shared" si="60"/>
        <v>10.320053610319912</v>
      </c>
      <c r="AB256" s="18">
        <f t="shared" si="61"/>
        <v>107.09246159070777</v>
      </c>
      <c r="AC256" s="18">
        <f t="shared" si="61"/>
        <v>19.648109966630159</v>
      </c>
      <c r="AD256" s="18">
        <f t="shared" si="61"/>
        <v>0.86717707691721413</v>
      </c>
      <c r="AE256" s="18">
        <f t="shared" si="61"/>
        <v>195.35978582064985</v>
      </c>
      <c r="AF256" s="18">
        <f t="shared" si="61"/>
        <v>24.176582864895565</v>
      </c>
      <c r="AG256" s="18">
        <f t="shared" si="61"/>
        <v>1.8846742217737977</v>
      </c>
      <c r="AH256" s="18">
        <f t="shared" si="61"/>
        <v>14.128541191011152</v>
      </c>
      <c r="AI256" s="18">
        <f t="shared" si="61"/>
        <v>0.37902761327163231</v>
      </c>
      <c r="AJ256" s="18">
        <f t="shared" si="61"/>
        <v>2.721614977934625</v>
      </c>
      <c r="AK256" s="18">
        <f t="shared" si="61"/>
        <v>3.7722221635480482</v>
      </c>
      <c r="AL256" s="18">
        <f t="shared" si="61"/>
        <v>95.245673523451629</v>
      </c>
      <c r="AM256" s="18">
        <f t="shared" si="61"/>
        <v>25.418543131548198</v>
      </c>
      <c r="AN256" s="18">
        <f t="shared" si="61"/>
        <v>159.06158437381899</v>
      </c>
      <c r="AO256" s="18">
        <f t="shared" si="61"/>
        <v>38.149018070081681</v>
      </c>
      <c r="AP256" s="18">
        <f t="shared" si="61"/>
        <v>74.550021768234402</v>
      </c>
      <c r="AQ256" s="18">
        <f t="shared" si="61"/>
        <v>40.084891547166819</v>
      </c>
      <c r="AR256" s="18">
        <f t="shared" si="61"/>
        <v>54.496380382323807</v>
      </c>
      <c r="AS256" s="18">
        <f t="shared" si="61"/>
        <v>3.0644772138619025</v>
      </c>
      <c r="AT256" s="18">
        <f t="shared" si="61"/>
        <v>27.051860659038336</v>
      </c>
      <c r="AU256" s="18">
        <f t="shared" si="61"/>
        <v>234.87729801265138</v>
      </c>
      <c r="AW256" s="46">
        <f t="shared" si="57"/>
        <v>2271.4692844307469</v>
      </c>
      <c r="AX256" s="18">
        <f t="shared" si="58"/>
        <v>2613.9239599620928</v>
      </c>
    </row>
    <row r="257" spans="9:50" x14ac:dyDescent="0.3">
      <c r="I257">
        <v>2030</v>
      </c>
      <c r="J257" t="s">
        <v>86</v>
      </c>
      <c r="L257" s="18">
        <f t="shared" si="60"/>
        <v>4.7041169046126763</v>
      </c>
      <c r="M257" s="18">
        <f t="shared" si="60"/>
        <v>49.907458917548958</v>
      </c>
      <c r="N257" s="18">
        <f t="shared" si="60"/>
        <v>182.54484224217802</v>
      </c>
      <c r="O257" s="18">
        <f t="shared" si="60"/>
        <v>41.881794354851223</v>
      </c>
      <c r="P257" s="18">
        <f t="shared" si="60"/>
        <v>4.3839076877707344</v>
      </c>
      <c r="Q257" s="18">
        <f t="shared" si="60"/>
        <v>33.068428412739507</v>
      </c>
      <c r="R257" s="18">
        <f t="shared" si="60"/>
        <v>12.743907057322808</v>
      </c>
      <c r="S257" s="18">
        <f t="shared" si="60"/>
        <v>130.55482675179411</v>
      </c>
      <c r="T257" s="18">
        <f t="shared" si="60"/>
        <v>631.93491312149138</v>
      </c>
      <c r="U257" s="18">
        <f t="shared" si="60"/>
        <v>158.09054455365609</v>
      </c>
      <c r="V257" s="18">
        <f t="shared" si="60"/>
        <v>26.095200154914128</v>
      </c>
      <c r="W257" s="18">
        <f t="shared" si="60"/>
        <v>350.73424440777927</v>
      </c>
      <c r="X257" s="18">
        <f t="shared" si="60"/>
        <v>49.150751708544952</v>
      </c>
      <c r="Y257" s="18">
        <f t="shared" si="60"/>
        <v>879.04091834869575</v>
      </c>
      <c r="Z257" s="18">
        <f t="shared" si="60"/>
        <v>37.237528811392721</v>
      </c>
      <c r="AA257" s="18">
        <f t="shared" si="60"/>
        <v>14.017379520525495</v>
      </c>
      <c r="AB257" s="18">
        <f t="shared" si="61"/>
        <v>184.81174779129938</v>
      </c>
      <c r="AC257" s="18">
        <f t="shared" si="61"/>
        <v>42.092223208204423</v>
      </c>
      <c r="AD257" s="18">
        <f t="shared" si="61"/>
        <v>1.026839831902703</v>
      </c>
      <c r="AE257" s="18">
        <f t="shared" si="61"/>
        <v>365.29956947312832</v>
      </c>
      <c r="AF257" s="18">
        <f t="shared" si="61"/>
        <v>42.874201263314362</v>
      </c>
      <c r="AG257" s="18">
        <f t="shared" si="61"/>
        <v>3.6853931606212851</v>
      </c>
      <c r="AH257" s="18">
        <f t="shared" si="61"/>
        <v>24.186062713643693</v>
      </c>
      <c r="AI257" s="18">
        <f t="shared" si="61"/>
        <v>0.38106521157637435</v>
      </c>
      <c r="AJ257" s="18">
        <f t="shared" si="61"/>
        <v>2.9792038994278669</v>
      </c>
      <c r="AK257" s="18">
        <f t="shared" si="61"/>
        <v>9.30641872393387</v>
      </c>
      <c r="AL257" s="18">
        <f t="shared" si="61"/>
        <v>211.57050448338524</v>
      </c>
      <c r="AM257" s="18">
        <f t="shared" si="61"/>
        <v>29.022825108561825</v>
      </c>
      <c r="AN257" s="18">
        <f t="shared" si="61"/>
        <v>284.04568581223896</v>
      </c>
      <c r="AO257" s="18">
        <f t="shared" si="61"/>
        <v>80.48271766618133</v>
      </c>
      <c r="AP257" s="18">
        <f t="shared" si="61"/>
        <v>111.14025338485114</v>
      </c>
      <c r="AQ257" s="18">
        <f t="shared" si="61"/>
        <v>23.425092646329979</v>
      </c>
      <c r="AR257" s="18">
        <f t="shared" si="61"/>
        <v>107.70506454088604</v>
      </c>
      <c r="AS257" s="18">
        <f t="shared" si="61"/>
        <v>6.0072827248471432</v>
      </c>
      <c r="AT257" s="18">
        <f t="shared" si="61"/>
        <v>46.663285102770736</v>
      </c>
      <c r="AU257" s="18">
        <f t="shared" si="61"/>
        <v>244.8279050461247</v>
      </c>
      <c r="AW257" s="47">
        <f t="shared" si="57"/>
        <v>4083.8047200000015</v>
      </c>
      <c r="AX257" s="18">
        <f t="shared" si="58"/>
        <v>4427.6241047490475</v>
      </c>
    </row>
    <row r="258" spans="9:50" x14ac:dyDescent="0.3">
      <c r="I258">
        <v>2040</v>
      </c>
      <c r="J258" t="s">
        <v>86</v>
      </c>
      <c r="L258" s="18">
        <f t="shared" si="60"/>
        <v>4.9368383966839975</v>
      </c>
      <c r="M258" s="18">
        <f t="shared" si="60"/>
        <v>65.729524298230245</v>
      </c>
      <c r="N258" s="18">
        <f t="shared" si="60"/>
        <v>183.96620406515305</v>
      </c>
      <c r="O258" s="18">
        <f t="shared" si="60"/>
        <v>58.608450128071595</v>
      </c>
      <c r="P258" s="18">
        <f t="shared" si="60"/>
        <v>4.5397710790184744</v>
      </c>
      <c r="Q258" s="18">
        <f t="shared" si="60"/>
        <v>37.786996050177116</v>
      </c>
      <c r="R258" s="18">
        <f t="shared" si="60"/>
        <v>12.274287334394755</v>
      </c>
      <c r="S258" s="18">
        <f t="shared" si="60"/>
        <v>140.76035315650839</v>
      </c>
      <c r="T258" s="18">
        <f t="shared" si="60"/>
        <v>729.86918712408794</v>
      </c>
      <c r="U258" s="18">
        <f t="shared" si="60"/>
        <v>159.46632221369399</v>
      </c>
      <c r="V258" s="18">
        <f t="shared" si="60"/>
        <v>28.30328092840994</v>
      </c>
      <c r="W258" s="18">
        <f t="shared" si="60"/>
        <v>391.10231312951476</v>
      </c>
      <c r="X258" s="18">
        <f t="shared" si="60"/>
        <v>69.183520636235301</v>
      </c>
      <c r="Y258" s="18">
        <f t="shared" si="60"/>
        <v>943.51472780092683</v>
      </c>
      <c r="Z258" s="18">
        <f t="shared" si="60"/>
        <v>50.916359818027431</v>
      </c>
      <c r="AA258" s="18">
        <f t="shared" si="60"/>
        <v>18.206845630159105</v>
      </c>
      <c r="AB258" s="18">
        <f t="shared" si="61"/>
        <v>202.90362605965129</v>
      </c>
      <c r="AC258" s="18">
        <f t="shared" si="61"/>
        <v>36.946084549087111</v>
      </c>
      <c r="AD258" s="18">
        <f t="shared" si="61"/>
        <v>1.1769899547523672</v>
      </c>
      <c r="AE258" s="18">
        <f t="shared" si="61"/>
        <v>370.83227875237401</v>
      </c>
      <c r="AF258" s="18">
        <f t="shared" si="61"/>
        <v>54.188742329139693</v>
      </c>
      <c r="AG258" s="18">
        <f t="shared" si="61"/>
        <v>3.5432757351362882</v>
      </c>
      <c r="AH258" s="18">
        <f t="shared" si="61"/>
        <v>27.327930239333348</v>
      </c>
      <c r="AI258" s="18">
        <f t="shared" si="61"/>
        <v>0.38956075239862897</v>
      </c>
      <c r="AJ258" s="18">
        <f t="shared" si="61"/>
        <v>3.3523550619374332</v>
      </c>
      <c r="AK258" s="18">
        <f t="shared" si="61"/>
        <v>9.0570974232731665</v>
      </c>
      <c r="AL258" s="18">
        <f t="shared" si="61"/>
        <v>201.14661677948837</v>
      </c>
      <c r="AM258" s="18">
        <f t="shared" si="61"/>
        <v>35.233097182706423</v>
      </c>
      <c r="AN258" s="18">
        <f t="shared" si="61"/>
        <v>327.90656661626997</v>
      </c>
      <c r="AO258" s="18">
        <f t="shared" si="61"/>
        <v>80.90398619989007</v>
      </c>
      <c r="AP258" s="18">
        <f t="shared" si="61"/>
        <v>147.05598714091255</v>
      </c>
      <c r="AQ258" s="18">
        <f t="shared" si="61"/>
        <v>27.730291168406492</v>
      </c>
      <c r="AR258" s="18">
        <f t="shared" si="61"/>
        <v>114.82623901117411</v>
      </c>
      <c r="AS258" s="18">
        <f t="shared" si="61"/>
        <v>6.0892086512698613</v>
      </c>
      <c r="AT258" s="18">
        <f t="shared" si="61"/>
        <v>51.10850424958825</v>
      </c>
      <c r="AU258" s="18">
        <f t="shared" si="61"/>
        <v>247.41383893909813</v>
      </c>
      <c r="AW258" s="47">
        <f t="shared" si="57"/>
        <v>4485.7375200000006</v>
      </c>
      <c r="AX258" s="18">
        <f t="shared" si="58"/>
        <v>4848.2972585851794</v>
      </c>
    </row>
    <row r="259" spans="9:50" x14ac:dyDescent="0.3">
      <c r="I259">
        <v>2050</v>
      </c>
      <c r="J259" t="s">
        <v>86</v>
      </c>
      <c r="L259" s="18">
        <f t="shared" si="60"/>
        <v>4.4927925815693506</v>
      </c>
      <c r="M259" s="18">
        <f t="shared" si="60"/>
        <v>63.626818319618003</v>
      </c>
      <c r="N259" s="18">
        <f t="shared" si="60"/>
        <v>207.44499918529905</v>
      </c>
      <c r="O259" s="18">
        <f t="shared" si="60"/>
        <v>48.652132501552387</v>
      </c>
      <c r="P259" s="18">
        <f t="shared" si="60"/>
        <v>4.6956344702662136</v>
      </c>
      <c r="Q259" s="18">
        <f t="shared" si="60"/>
        <v>42.353723292851299</v>
      </c>
      <c r="R259" s="18">
        <f t="shared" si="60"/>
        <v>13.219431633026113</v>
      </c>
      <c r="S259" s="18">
        <f t="shared" si="60"/>
        <v>127.4842920953281</v>
      </c>
      <c r="T259" s="18">
        <f t="shared" si="60"/>
        <v>684.3574082094716</v>
      </c>
      <c r="U259" s="18">
        <f t="shared" si="60"/>
        <v>155.51745257401564</v>
      </c>
      <c r="V259" s="18">
        <f t="shared" si="60"/>
        <v>28.724904633173821</v>
      </c>
      <c r="W259" s="18">
        <f t="shared" si="60"/>
        <v>377.32153063235643</v>
      </c>
      <c r="X259" s="18">
        <f t="shared" si="60"/>
        <v>71.293254428300187</v>
      </c>
      <c r="Y259" s="18">
        <f t="shared" si="60"/>
        <v>897.62243106452809</v>
      </c>
      <c r="Z259" s="18">
        <f t="shared" si="60"/>
        <v>46.966392494680612</v>
      </c>
      <c r="AA259" s="18">
        <f t="shared" si="60"/>
        <v>15.453321891669031</v>
      </c>
      <c r="AB259" s="18">
        <f t="shared" si="61"/>
        <v>193.42887663200926</v>
      </c>
      <c r="AC259" s="18">
        <f t="shared" si="61"/>
        <v>37.451751569464115</v>
      </c>
      <c r="AD259" s="18">
        <f t="shared" si="61"/>
        <v>1.2904160784007797</v>
      </c>
      <c r="AE259" s="18">
        <f t="shared" si="61"/>
        <v>357.34743756906079</v>
      </c>
      <c r="AF259" s="18">
        <f t="shared" si="61"/>
        <v>55.107337843195388</v>
      </c>
      <c r="AG259" s="18">
        <f t="shared" si="61"/>
        <v>3.5089161955717403</v>
      </c>
      <c r="AH259" s="18">
        <f t="shared" si="61"/>
        <v>25.172386708525213</v>
      </c>
      <c r="AI259" s="18">
        <f t="shared" si="61"/>
        <v>0.39805629322088365</v>
      </c>
      <c r="AJ259" s="18">
        <f t="shared" si="61"/>
        <v>3.854679457920184</v>
      </c>
      <c r="AK259" s="18">
        <f t="shared" si="61"/>
        <v>10.222288791973128</v>
      </c>
      <c r="AL259" s="18">
        <f t="shared" si="61"/>
        <v>215.66490392408187</v>
      </c>
      <c r="AM259" s="18">
        <f t="shared" si="61"/>
        <v>44.238652299852561</v>
      </c>
      <c r="AN259" s="18">
        <f t="shared" si="61"/>
        <v>317.29000721176953</v>
      </c>
      <c r="AO259" s="18">
        <f t="shared" si="61"/>
        <v>83.956953421633131</v>
      </c>
      <c r="AP259" s="18">
        <f t="shared" si="61"/>
        <v>132.73279968257722</v>
      </c>
      <c r="AQ259" s="18">
        <f t="shared" si="61"/>
        <v>32.035489690483011</v>
      </c>
      <c r="AR259" s="18">
        <f t="shared" si="61"/>
        <v>118.2320868817484</v>
      </c>
      <c r="AS259" s="18">
        <f t="shared" si="61"/>
        <v>6.0385765415884691</v>
      </c>
      <c r="AT259" s="18">
        <f t="shared" si="61"/>
        <v>47.035547363784289</v>
      </c>
      <c r="AU259" s="18">
        <f t="shared" si="61"/>
        <v>250.51417667231965</v>
      </c>
      <c r="AW259" s="47">
        <f t="shared" si="57"/>
        <v>4340.8742400000019</v>
      </c>
      <c r="AX259" s="18">
        <f t="shared" si="58"/>
        <v>4724.7478608368865</v>
      </c>
    </row>
    <row r="260" spans="9:50" x14ac:dyDescent="0.3">
      <c r="L260" s="18"/>
      <c r="AW260" s="47">
        <f t="shared" si="57"/>
        <v>0</v>
      </c>
      <c r="AX260" s="18">
        <f t="shared" si="58"/>
        <v>0</v>
      </c>
    </row>
    <row r="261" spans="9:50" x14ac:dyDescent="0.3">
      <c r="L261" s="18"/>
      <c r="AW261" s="47">
        <f t="shared" si="57"/>
        <v>0</v>
      </c>
      <c r="AX261" s="18">
        <f t="shared" si="58"/>
        <v>0</v>
      </c>
    </row>
    <row r="262" spans="9:50" x14ac:dyDescent="0.3">
      <c r="I262">
        <v>2005</v>
      </c>
      <c r="J262" t="s">
        <v>39</v>
      </c>
      <c r="L262" s="18">
        <f>SUMIFS(L$5:L$234,$I$5:$I$234,$I262,$H$5:$H$234,"ACT_BND",$B$5:$B$234,$J262)</f>
        <v>2.8811537308633848</v>
      </c>
      <c r="M262" s="18">
        <f>SUMIFS(M$5:M$234,$I$5:$I$234,$I262,$H$5:$H$234,"ACT_BND",$B$5:$B$234,$J262)</f>
        <v>12.623199630959222</v>
      </c>
      <c r="N262" s="18">
        <f t="shared" ref="N262:AU270" si="62">SUMIFS(N$5:N$234,$I$5:$I$234,$I262,$H$5:$H$234,"ACT_BND",$B$5:$B$234,$J262)</f>
        <v>70.420099486965285</v>
      </c>
      <c r="O262" s="18">
        <f t="shared" si="62"/>
        <v>8.662311010503446</v>
      </c>
      <c r="P262" s="18">
        <f t="shared" si="62"/>
        <v>1.6140905284960574</v>
      </c>
      <c r="Q262" s="18">
        <f t="shared" si="62"/>
        <v>22.476149972821101</v>
      </c>
      <c r="R262" s="18">
        <f t="shared" si="62"/>
        <v>5.2418321287855596</v>
      </c>
      <c r="S262" s="18">
        <f t="shared" si="62"/>
        <v>58.615199174203802</v>
      </c>
      <c r="T262" s="18">
        <f t="shared" si="62"/>
        <v>212.04656198120105</v>
      </c>
      <c r="U262" s="18">
        <f t="shared" si="62"/>
        <v>61.369392631435133</v>
      </c>
      <c r="V262" s="18">
        <f t="shared" si="62"/>
        <v>10.539860128061868</v>
      </c>
      <c r="W262" s="18">
        <f t="shared" si="62"/>
        <v>111.14890239550017</v>
      </c>
      <c r="X262" s="18">
        <f t="shared" si="62"/>
        <v>10.9</v>
      </c>
      <c r="Y262" s="18">
        <f t="shared" si="62"/>
        <v>321.6058556235551</v>
      </c>
      <c r="Z262" s="18">
        <f t="shared" si="62"/>
        <v>9.7634846879674289</v>
      </c>
      <c r="AA262" s="18">
        <f t="shared" si="62"/>
        <v>3.3218148878901617</v>
      </c>
      <c r="AB262" s="18">
        <f t="shared" si="62"/>
        <v>79.054556850623896</v>
      </c>
      <c r="AC262" s="18">
        <f t="shared" si="62"/>
        <v>19.056264875639275</v>
      </c>
      <c r="AD262" s="18">
        <f t="shared" si="62"/>
        <v>0.73088547597736386</v>
      </c>
      <c r="AE262" s="18">
        <f t="shared" si="62"/>
        <v>142.53798196890611</v>
      </c>
      <c r="AF262" s="18">
        <f t="shared" si="62"/>
        <v>11.749499283400599</v>
      </c>
      <c r="AG262" s="18">
        <f t="shared" si="62"/>
        <v>2.3278776091067415</v>
      </c>
      <c r="AH262" s="18">
        <f t="shared" si="62"/>
        <v>7.7254024265397989</v>
      </c>
      <c r="AI262" s="18">
        <f t="shared" si="62"/>
        <v>0.24923990453185182</v>
      </c>
      <c r="AJ262" s="18">
        <f t="shared" si="62"/>
        <v>1.1750709914576256</v>
      </c>
      <c r="AK262" s="18">
        <f t="shared" si="62"/>
        <v>10.196381742442446</v>
      </c>
      <c r="AL262" s="18">
        <f t="shared" si="62"/>
        <v>87.646100321084319</v>
      </c>
      <c r="AM262" s="18">
        <f t="shared" si="62"/>
        <v>18.22145477446513</v>
      </c>
      <c r="AN262" s="18">
        <f t="shared" si="62"/>
        <v>81.291073407415823</v>
      </c>
      <c r="AO262" s="18">
        <f t="shared" si="62"/>
        <v>31.497783335851192</v>
      </c>
      <c r="AP262" s="18">
        <f t="shared" si="62"/>
        <v>27.778102706775716</v>
      </c>
      <c r="AQ262" s="18">
        <f t="shared" si="62"/>
        <v>15.124676178567826</v>
      </c>
      <c r="AR262" s="18">
        <f t="shared" si="62"/>
        <v>39.16596853921952</v>
      </c>
      <c r="AS262" s="18">
        <f t="shared" si="62"/>
        <v>2.3041872258269085</v>
      </c>
      <c r="AT262" s="18">
        <f t="shared" si="62"/>
        <v>18.742929457465621</v>
      </c>
      <c r="AU262" s="18">
        <f t="shared" si="62"/>
        <v>171.56807896133458</v>
      </c>
      <c r="AW262" s="47">
        <f t="shared" si="57"/>
        <v>1457.3326235173261</v>
      </c>
      <c r="AX262" s="18">
        <f t="shared" si="58"/>
        <v>1691.373424035841</v>
      </c>
    </row>
    <row r="263" spans="9:50" x14ac:dyDescent="0.3">
      <c r="I263">
        <v>2010</v>
      </c>
      <c r="J263" t="s">
        <v>39</v>
      </c>
      <c r="L263" s="18">
        <f t="shared" ref="L263:AA278" si="63">SUMIFS(L$5:L$234,$I$5:$I$234,$I263,$H$5:$H$234,"ACT_BND",$B$5:$B$234,$J263)</f>
        <v>2.8811537308633848</v>
      </c>
      <c r="M263" s="18">
        <f t="shared" si="63"/>
        <v>12.623199630959222</v>
      </c>
      <c r="N263" s="18">
        <f t="shared" si="63"/>
        <v>70.420099486965285</v>
      </c>
      <c r="O263" s="18">
        <f t="shared" si="63"/>
        <v>8.662311010503446</v>
      </c>
      <c r="P263" s="18">
        <f t="shared" si="63"/>
        <v>1.6140905284960574</v>
      </c>
      <c r="Q263" s="18">
        <f t="shared" si="63"/>
        <v>22.476149972821101</v>
      </c>
      <c r="R263" s="18">
        <f t="shared" si="63"/>
        <v>5.2418321287855596</v>
      </c>
      <c r="S263" s="18">
        <f t="shared" si="63"/>
        <v>58.615199174203802</v>
      </c>
      <c r="T263" s="18">
        <f t="shared" si="63"/>
        <v>212.04656198120105</v>
      </c>
      <c r="U263" s="18">
        <f t="shared" si="63"/>
        <v>61.369392631435133</v>
      </c>
      <c r="V263" s="18">
        <f t="shared" si="63"/>
        <v>10.539860128061868</v>
      </c>
      <c r="W263" s="18">
        <f t="shared" si="63"/>
        <v>111.14890239550017</v>
      </c>
      <c r="X263" s="18">
        <f t="shared" si="63"/>
        <v>11.2</v>
      </c>
      <c r="Y263" s="18">
        <f t="shared" si="63"/>
        <v>321.6058556235551</v>
      </c>
      <c r="Z263" s="18">
        <f t="shared" si="63"/>
        <v>9.7634846879674289</v>
      </c>
      <c r="AA263" s="18">
        <f t="shared" si="63"/>
        <v>3.3218148878901617</v>
      </c>
      <c r="AB263" s="18">
        <f t="shared" si="62"/>
        <v>79.054556850623896</v>
      </c>
      <c r="AC263" s="18">
        <f t="shared" si="62"/>
        <v>19.056264875639275</v>
      </c>
      <c r="AD263" s="18">
        <f t="shared" si="62"/>
        <v>0.73088547597736386</v>
      </c>
      <c r="AE263" s="18">
        <f t="shared" si="62"/>
        <v>142.53798196890611</v>
      </c>
      <c r="AF263" s="18">
        <f t="shared" si="62"/>
        <v>11.749499283400599</v>
      </c>
      <c r="AG263" s="18">
        <f t="shared" si="62"/>
        <v>2.3278776091067415</v>
      </c>
      <c r="AH263" s="18">
        <f t="shared" si="62"/>
        <v>7.7254024265397989</v>
      </c>
      <c r="AI263" s="18">
        <f t="shared" si="62"/>
        <v>0.24923990453185182</v>
      </c>
      <c r="AJ263" s="18">
        <f t="shared" si="62"/>
        <v>1.1750709914576256</v>
      </c>
      <c r="AK263" s="18">
        <f t="shared" si="62"/>
        <v>10.196381742442446</v>
      </c>
      <c r="AL263" s="18">
        <f t="shared" si="62"/>
        <v>87.646100321084319</v>
      </c>
      <c r="AM263" s="18">
        <f t="shared" si="62"/>
        <v>18.22145477446513</v>
      </c>
      <c r="AN263" s="18">
        <f t="shared" si="62"/>
        <v>81.291073407415823</v>
      </c>
      <c r="AO263" s="18">
        <f t="shared" si="62"/>
        <v>31.497783335851192</v>
      </c>
      <c r="AP263" s="18">
        <f t="shared" si="62"/>
        <v>27.778102706775716</v>
      </c>
      <c r="AQ263" s="18">
        <f t="shared" si="62"/>
        <v>15.124676178567826</v>
      </c>
      <c r="AR263" s="18">
        <f t="shared" si="62"/>
        <v>39.16596853921952</v>
      </c>
      <c r="AS263" s="18">
        <f t="shared" si="62"/>
        <v>2.3041872258269085</v>
      </c>
      <c r="AT263" s="18">
        <f t="shared" si="62"/>
        <v>18.742929457465621</v>
      </c>
      <c r="AU263" s="18">
        <f t="shared" si="62"/>
        <v>171.56807896133458</v>
      </c>
      <c r="AW263" s="47">
        <f t="shared" si="57"/>
        <v>1457.632623517326</v>
      </c>
      <c r="AX263" s="18">
        <f t="shared" si="58"/>
        <v>1691.673424035841</v>
      </c>
    </row>
    <row r="264" spans="9:50" x14ac:dyDescent="0.3">
      <c r="I264">
        <v>2020</v>
      </c>
      <c r="J264" t="s">
        <v>39</v>
      </c>
      <c r="L264" s="18">
        <f t="shared" si="63"/>
        <v>3.0485952238894582</v>
      </c>
      <c r="M264" s="18">
        <f t="shared" si="63"/>
        <v>13.720521337194961</v>
      </c>
      <c r="N264" s="18">
        <f t="shared" si="62"/>
        <v>74.441338235066439</v>
      </c>
      <c r="O264" s="18">
        <f t="shared" si="62"/>
        <v>8.0446772931880268</v>
      </c>
      <c r="P264" s="18">
        <f t="shared" si="62"/>
        <v>1.6140905284960574</v>
      </c>
      <c r="Q264" s="18">
        <f t="shared" si="62"/>
        <v>25.485180603558295</v>
      </c>
      <c r="R264" s="18">
        <f t="shared" si="62"/>
        <v>5.5143121609099932</v>
      </c>
      <c r="S264" s="18">
        <f t="shared" si="62"/>
        <v>52.188275342687746</v>
      </c>
      <c r="T264" s="18">
        <f t="shared" si="62"/>
        <v>214.32771643689927</v>
      </c>
      <c r="U264" s="18">
        <f t="shared" si="62"/>
        <v>62.868031708904226</v>
      </c>
      <c r="V264" s="18">
        <f t="shared" si="62"/>
        <v>10.221347877612155</v>
      </c>
      <c r="W264" s="18">
        <f t="shared" si="62"/>
        <v>123.53320482493939</v>
      </c>
      <c r="X264" s="18">
        <f t="shared" si="62"/>
        <v>12.8</v>
      </c>
      <c r="Y264" s="18">
        <f t="shared" si="62"/>
        <v>326.96074764036535</v>
      </c>
      <c r="Z264" s="18">
        <f t="shared" si="62"/>
        <v>9.6748822543009165</v>
      </c>
      <c r="AA264" s="18">
        <f t="shared" si="62"/>
        <v>3.3373043049463353</v>
      </c>
      <c r="AB264" s="18">
        <f t="shared" si="62"/>
        <v>69.943525436786388</v>
      </c>
      <c r="AC264" s="18">
        <f t="shared" si="62"/>
        <v>19.406076372948398</v>
      </c>
      <c r="AD264" s="18">
        <f t="shared" si="62"/>
        <v>0.86717707691721413</v>
      </c>
      <c r="AE264" s="18">
        <f t="shared" si="62"/>
        <v>146.18192171664364</v>
      </c>
      <c r="AF264" s="18">
        <f t="shared" si="62"/>
        <v>13.680497765034156</v>
      </c>
      <c r="AG264" s="18">
        <f t="shared" si="62"/>
        <v>1.6213213724147653</v>
      </c>
      <c r="AH264" s="18">
        <f t="shared" si="62"/>
        <v>7.9526997576659459</v>
      </c>
      <c r="AI264" s="18">
        <f t="shared" si="62"/>
        <v>0.24923990453185182</v>
      </c>
      <c r="AJ264" s="18">
        <f t="shared" si="62"/>
        <v>1.2825324119479742</v>
      </c>
      <c r="AK264" s="18">
        <f t="shared" si="62"/>
        <v>3.7637249135311497</v>
      </c>
      <c r="AL264" s="18">
        <f t="shared" si="62"/>
        <v>91.143988799744179</v>
      </c>
      <c r="AM264" s="18">
        <f t="shared" si="62"/>
        <v>20.321519360958138</v>
      </c>
      <c r="AN264" s="18">
        <f t="shared" si="62"/>
        <v>90.301429108546117</v>
      </c>
      <c r="AO264" s="18">
        <f t="shared" si="62"/>
        <v>31.746328887598857</v>
      </c>
      <c r="AP264" s="18">
        <f t="shared" si="62"/>
        <v>29.919472403228319</v>
      </c>
      <c r="AQ264" s="18">
        <f t="shared" si="62"/>
        <v>16.659798900836837</v>
      </c>
      <c r="AR264" s="18">
        <f t="shared" si="62"/>
        <v>41.767588127258442</v>
      </c>
      <c r="AS264" s="18">
        <f t="shared" si="62"/>
        <v>2.3892107105616622</v>
      </c>
      <c r="AT264" s="18">
        <f t="shared" si="62"/>
        <v>16.482059641769251</v>
      </c>
      <c r="AU264" s="18">
        <f t="shared" si="62"/>
        <v>170.75171272788154</v>
      </c>
      <c r="AW264" s="47">
        <f t="shared" si="57"/>
        <v>1483.932204430746</v>
      </c>
      <c r="AX264" s="18">
        <f t="shared" si="58"/>
        <v>1724.2120511697633</v>
      </c>
    </row>
    <row r="265" spans="9:50" x14ac:dyDescent="0.3">
      <c r="I265">
        <v>2030</v>
      </c>
      <c r="J265" t="s">
        <v>39</v>
      </c>
      <c r="L265" s="18">
        <f t="shared" si="63"/>
        <v>3.1864566447990272</v>
      </c>
      <c r="M265" s="18">
        <f t="shared" si="63"/>
        <v>32.671896859299011</v>
      </c>
      <c r="N265" s="18">
        <f t="shared" si="62"/>
        <v>177.21858435086139</v>
      </c>
      <c r="O265" s="18">
        <f t="shared" si="62"/>
        <v>18.513208018116892</v>
      </c>
      <c r="P265" s="18">
        <f t="shared" si="62"/>
        <v>1.6140905284960574</v>
      </c>
      <c r="Q265" s="18">
        <f t="shared" si="62"/>
        <v>29.502338555146473</v>
      </c>
      <c r="R265" s="18">
        <f t="shared" si="62"/>
        <v>12.413724306973361</v>
      </c>
      <c r="S265" s="18">
        <f t="shared" si="62"/>
        <v>101.35845985901109</v>
      </c>
      <c r="T265" s="18">
        <f t="shared" si="62"/>
        <v>471.50346373546705</v>
      </c>
      <c r="U265" s="18">
        <f t="shared" si="62"/>
        <v>137.99010703098457</v>
      </c>
      <c r="V265" s="18">
        <f t="shared" si="62"/>
        <v>22.59471598326925</v>
      </c>
      <c r="W265" s="18">
        <f t="shared" si="62"/>
        <v>278.459121995771</v>
      </c>
      <c r="X265" s="18">
        <f t="shared" si="62"/>
        <v>35.240527986891365</v>
      </c>
      <c r="Y265" s="18">
        <f t="shared" si="62"/>
        <v>711.44902394507142</v>
      </c>
      <c r="Z265" s="18">
        <f t="shared" si="62"/>
        <v>21.331314460122076</v>
      </c>
      <c r="AA265" s="18">
        <f t="shared" si="62"/>
        <v>7.0346302151519176</v>
      </c>
      <c r="AB265" s="18">
        <f t="shared" si="62"/>
        <v>147.66281163737798</v>
      </c>
      <c r="AC265" s="18">
        <f t="shared" si="62"/>
        <v>41.850189614522662</v>
      </c>
      <c r="AD265" s="18">
        <f t="shared" si="62"/>
        <v>1.026839831902703</v>
      </c>
      <c r="AE265" s="18">
        <f t="shared" si="62"/>
        <v>316.12170536912208</v>
      </c>
      <c r="AF265" s="18">
        <f t="shared" si="62"/>
        <v>32.378116163452944</v>
      </c>
      <c r="AG265" s="18">
        <f t="shared" si="62"/>
        <v>3.4220403112622528</v>
      </c>
      <c r="AH265" s="18">
        <f t="shared" si="62"/>
        <v>18.010221280298488</v>
      </c>
      <c r="AI265" s="18">
        <f t="shared" si="62"/>
        <v>0.24923990453185182</v>
      </c>
      <c r="AJ265" s="18">
        <f t="shared" si="62"/>
        <v>1.485076445886812</v>
      </c>
      <c r="AK265" s="18">
        <f t="shared" si="62"/>
        <v>9.297921473916972</v>
      </c>
      <c r="AL265" s="18">
        <f t="shared" si="62"/>
        <v>207.46881975967781</v>
      </c>
      <c r="AM265" s="18">
        <f t="shared" si="62"/>
        <v>24.285601864360835</v>
      </c>
      <c r="AN265" s="18">
        <f t="shared" si="62"/>
        <v>215.2855305469661</v>
      </c>
      <c r="AO265" s="18">
        <f t="shared" si="62"/>
        <v>74.080028483698513</v>
      </c>
      <c r="AP265" s="18">
        <f t="shared" si="62"/>
        <v>66.509704019845032</v>
      </c>
      <c r="AQ265" s="18">
        <f t="shared" si="62"/>
        <v>0</v>
      </c>
      <c r="AR265" s="18">
        <f t="shared" si="62"/>
        <v>94.97627228582067</v>
      </c>
      <c r="AS265" s="18">
        <f t="shared" si="62"/>
        <v>5.3320162215469029</v>
      </c>
      <c r="AT265" s="18">
        <f t="shared" si="62"/>
        <v>36.093484085501643</v>
      </c>
      <c r="AU265" s="18">
        <f t="shared" si="62"/>
        <v>175.34128284857857</v>
      </c>
      <c r="AW265" s="47">
        <f t="shared" si="57"/>
        <v>3296.2676400000009</v>
      </c>
      <c r="AX265" s="18">
        <f t="shared" si="58"/>
        <v>3532.9585666237031</v>
      </c>
    </row>
    <row r="266" spans="9:50" x14ac:dyDescent="0.3">
      <c r="I266">
        <v>2040</v>
      </c>
      <c r="J266" t="s">
        <v>39</v>
      </c>
      <c r="L266" s="18">
        <f t="shared" si="63"/>
        <v>3.3386541501932419</v>
      </c>
      <c r="M266" s="18">
        <f t="shared" si="63"/>
        <v>31.116319656855936</v>
      </c>
      <c r="N266" s="18">
        <f t="shared" si="62"/>
        <v>173.31367256194156</v>
      </c>
      <c r="O266" s="18">
        <f t="shared" si="62"/>
        <v>16.289202768767122</v>
      </c>
      <c r="P266" s="18">
        <f t="shared" si="62"/>
        <v>1.6140905284960574</v>
      </c>
      <c r="Q266" s="18">
        <f t="shared" si="62"/>
        <v>34.127239648676763</v>
      </c>
      <c r="R266" s="18">
        <f t="shared" si="62"/>
        <v>11.618388498014744</v>
      </c>
      <c r="S266" s="18">
        <f t="shared" si="62"/>
        <v>85.147966840669127</v>
      </c>
      <c r="T266" s="18">
        <f t="shared" si="62"/>
        <v>423.43622756012837</v>
      </c>
      <c r="U266" s="18">
        <f t="shared" si="62"/>
        <v>123.08146730799234</v>
      </c>
      <c r="V266" s="18">
        <f t="shared" si="62"/>
        <v>20.223170718215027</v>
      </c>
      <c r="W266" s="18">
        <f t="shared" si="62"/>
        <v>252.4908417559889</v>
      </c>
      <c r="X266" s="18">
        <f t="shared" si="62"/>
        <v>41.956551315594602</v>
      </c>
      <c r="Y266" s="18">
        <f t="shared" si="62"/>
        <v>634.49749439065977</v>
      </c>
      <c r="Z266" s="18">
        <f t="shared" si="62"/>
        <v>19.61276485821455</v>
      </c>
      <c r="AA266" s="18">
        <f t="shared" si="62"/>
        <v>6.0697323699281185</v>
      </c>
      <c r="AB266" s="18">
        <f t="shared" si="62"/>
        <v>131.03449000993757</v>
      </c>
      <c r="AC266" s="18">
        <f t="shared" si="62"/>
        <v>36.56926309006613</v>
      </c>
      <c r="AD266" s="18">
        <f t="shared" si="62"/>
        <v>1.1769899547523672</v>
      </c>
      <c r="AE266" s="18">
        <f t="shared" si="62"/>
        <v>276.39419490236901</v>
      </c>
      <c r="AF266" s="18">
        <f t="shared" si="62"/>
        <v>30.402351609127052</v>
      </c>
      <c r="AG266" s="18">
        <f t="shared" si="62"/>
        <v>2.9690520972291954</v>
      </c>
      <c r="AH266" s="18">
        <f t="shared" si="62"/>
        <v>16.044071478448188</v>
      </c>
      <c r="AI266" s="18">
        <f t="shared" si="62"/>
        <v>0.24923990453185182</v>
      </c>
      <c r="AJ266" s="18">
        <f t="shared" si="62"/>
        <v>1.7505012090106056</v>
      </c>
      <c r="AK266" s="18">
        <f t="shared" si="62"/>
        <v>9.0399425266777893</v>
      </c>
      <c r="AL266" s="18">
        <f t="shared" si="62"/>
        <v>192.44386455977067</v>
      </c>
      <c r="AM266" s="18">
        <f t="shared" si="62"/>
        <v>30.421064788406674</v>
      </c>
      <c r="AN266" s="18">
        <f t="shared" si="62"/>
        <v>206.49649205235158</v>
      </c>
      <c r="AO266" s="18">
        <f t="shared" si="62"/>
        <v>68.922433287776471</v>
      </c>
      <c r="AP266" s="18">
        <f t="shared" si="62"/>
        <v>56.329680050187257</v>
      </c>
      <c r="AQ266" s="18">
        <f t="shared" si="62"/>
        <v>0</v>
      </c>
      <c r="AR266" s="18">
        <f t="shared" si="62"/>
        <v>89.383570758149133</v>
      </c>
      <c r="AS266" s="18">
        <f t="shared" si="62"/>
        <v>4.7484825863517193</v>
      </c>
      <c r="AT266" s="18">
        <f t="shared" si="62"/>
        <v>30.999550388588712</v>
      </c>
      <c r="AU266" s="18">
        <f t="shared" si="62"/>
        <v>180.23943916408504</v>
      </c>
      <c r="AW266" s="47">
        <f t="shared" si="57"/>
        <v>2990.6312400000011</v>
      </c>
      <c r="AX266" s="18">
        <f t="shared" si="58"/>
        <v>3243.5484593481528</v>
      </c>
    </row>
    <row r="267" spans="9:50" x14ac:dyDescent="0.3">
      <c r="I267">
        <v>2050</v>
      </c>
      <c r="J267" t="s">
        <v>39</v>
      </c>
      <c r="L267" s="18">
        <f t="shared" si="63"/>
        <v>2.8140843484014892</v>
      </c>
      <c r="M267" s="18">
        <f t="shared" si="63"/>
        <v>34.491511663936819</v>
      </c>
      <c r="N267" s="18">
        <f t="shared" si="62"/>
        <v>198.51410815053978</v>
      </c>
      <c r="O267" s="18">
        <f t="shared" si="62"/>
        <v>16.703942787600578</v>
      </c>
      <c r="P267" s="18">
        <f t="shared" si="62"/>
        <v>1.6140905284960574</v>
      </c>
      <c r="Q267" s="18">
        <f t="shared" si="62"/>
        <v>38.5904096038009</v>
      </c>
      <c r="R267" s="18">
        <f t="shared" si="62"/>
        <v>12.672633501769189</v>
      </c>
      <c r="S267" s="18">
        <f t="shared" si="62"/>
        <v>83.085809111502428</v>
      </c>
      <c r="T267" s="18">
        <f t="shared" si="62"/>
        <v>440.66351238120717</v>
      </c>
      <c r="U267" s="18">
        <f t="shared" si="62"/>
        <v>128.02656426289553</v>
      </c>
      <c r="V267" s="18">
        <f t="shared" si="62"/>
        <v>21.071188986182538</v>
      </c>
      <c r="W267" s="18">
        <f t="shared" si="62"/>
        <v>265.59222042343191</v>
      </c>
      <c r="X267" s="18">
        <f t="shared" si="62"/>
        <v>48.930704894003682</v>
      </c>
      <c r="Y267" s="18">
        <f t="shared" si="62"/>
        <v>659.26225956339158</v>
      </c>
      <c r="Z267" s="18">
        <f t="shared" si="62"/>
        <v>20.927200788343399</v>
      </c>
      <c r="AA267" s="18">
        <f t="shared" si="62"/>
        <v>6.0817127776988809</v>
      </c>
      <c r="AB267" s="18">
        <f t="shared" si="62"/>
        <v>135.09305969419665</v>
      </c>
      <c r="AC267" s="18">
        <f t="shared" si="62"/>
        <v>37.221612026798773</v>
      </c>
      <c r="AD267" s="18">
        <f t="shared" si="62"/>
        <v>1.2904160784007797</v>
      </c>
      <c r="AE267" s="18">
        <f t="shared" si="62"/>
        <v>281.37221154941051</v>
      </c>
      <c r="AF267" s="18">
        <f t="shared" si="62"/>
        <v>32.908110544408189</v>
      </c>
      <c r="AG267" s="18">
        <f t="shared" si="62"/>
        <v>2.9941374194075876</v>
      </c>
      <c r="AH267" s="18">
        <f t="shared" si="62"/>
        <v>16.567387971837565</v>
      </c>
      <c r="AI267" s="18">
        <f t="shared" si="62"/>
        <v>0.24923990453185182</v>
      </c>
      <c r="AJ267" s="18">
        <f t="shared" si="62"/>
        <v>2.1450992056075826</v>
      </c>
      <c r="AK267" s="18">
        <f t="shared" si="62"/>
        <v>10.207769317347475</v>
      </c>
      <c r="AL267" s="18">
        <f t="shared" si="62"/>
        <v>207.96652448803326</v>
      </c>
      <c r="AM267" s="18">
        <f t="shared" si="62"/>
        <v>39.338089383198081</v>
      </c>
      <c r="AN267" s="18">
        <f t="shared" si="62"/>
        <v>228.18985127027909</v>
      </c>
      <c r="AO267" s="18">
        <f t="shared" si="62"/>
        <v>74.602098228251094</v>
      </c>
      <c r="AP267" s="18">
        <f t="shared" si="62"/>
        <v>55.491945553567888</v>
      </c>
      <c r="AQ267" s="18">
        <f t="shared" si="62"/>
        <v>0</v>
      </c>
      <c r="AR267" s="18">
        <f t="shared" si="62"/>
        <v>96.847809136480592</v>
      </c>
      <c r="AS267" s="18">
        <f t="shared" si="62"/>
        <v>4.9219081804521858</v>
      </c>
      <c r="AT267" s="18">
        <f t="shared" si="62"/>
        <v>30.996565327026069</v>
      </c>
      <c r="AU267" s="18">
        <f t="shared" si="62"/>
        <v>185.83064533288172</v>
      </c>
      <c r="AW267" s="47">
        <f t="shared" si="57"/>
        <v>3151.4043600000009</v>
      </c>
      <c r="AX267" s="18">
        <f t="shared" si="58"/>
        <v>3423.2764343853196</v>
      </c>
    </row>
    <row r="268" spans="9:50" x14ac:dyDescent="0.3"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W268" s="47"/>
      <c r="AX268" s="18">
        <f t="shared" si="58"/>
        <v>0</v>
      </c>
    </row>
    <row r="269" spans="9:50" x14ac:dyDescent="0.3">
      <c r="I269">
        <v>2005</v>
      </c>
      <c r="J269" t="s">
        <v>40</v>
      </c>
      <c r="L269" s="18">
        <f t="shared" si="63"/>
        <v>0</v>
      </c>
      <c r="M269" s="18">
        <f t="shared" si="63"/>
        <v>18.140068826202516</v>
      </c>
      <c r="N269" s="18">
        <f t="shared" si="62"/>
        <v>9.4463752077831753</v>
      </c>
      <c r="O269" s="18">
        <f t="shared" si="62"/>
        <v>3.852749599240612</v>
      </c>
      <c r="P269" s="18">
        <f t="shared" si="62"/>
        <v>0</v>
      </c>
      <c r="Q269" s="18">
        <f t="shared" si="62"/>
        <v>0</v>
      </c>
      <c r="R269" s="18">
        <f t="shared" si="62"/>
        <v>0</v>
      </c>
      <c r="S269" s="18">
        <f t="shared" si="62"/>
        <v>13.555863324809755</v>
      </c>
      <c r="T269" s="18">
        <f t="shared" si="62"/>
        <v>84.851527354184313</v>
      </c>
      <c r="U269" s="18">
        <f t="shared" si="62"/>
        <v>1.8829540814187093</v>
      </c>
      <c r="V269" s="18">
        <f t="shared" si="62"/>
        <v>1.0223422008552478E-2</v>
      </c>
      <c r="W269" s="18">
        <f t="shared" si="62"/>
        <v>20.393972337996146</v>
      </c>
      <c r="X269" s="18">
        <f t="shared" si="62"/>
        <v>0</v>
      </c>
      <c r="Y269" s="18">
        <f t="shared" si="62"/>
        <v>272.51976641731625</v>
      </c>
      <c r="Z269" s="18">
        <f t="shared" si="62"/>
        <v>9.2493682966679387</v>
      </c>
      <c r="AA269" s="18">
        <f t="shared" si="62"/>
        <v>30.150918793453421</v>
      </c>
      <c r="AB269" s="18">
        <f t="shared" si="62"/>
        <v>15.204244542010731</v>
      </c>
      <c r="AC269" s="18">
        <f t="shared" si="62"/>
        <v>4.6531844293736059E-2</v>
      </c>
      <c r="AD269" s="18">
        <f t="shared" si="62"/>
        <v>0</v>
      </c>
      <c r="AE269" s="18">
        <f t="shared" si="62"/>
        <v>7.64696069838641</v>
      </c>
      <c r="AF269" s="18">
        <f t="shared" si="62"/>
        <v>3.1177269523482392</v>
      </c>
      <c r="AG269" s="18">
        <f t="shared" si="62"/>
        <v>0.41430963394092846</v>
      </c>
      <c r="AH269" s="18">
        <f t="shared" si="62"/>
        <v>0.82834959704083222</v>
      </c>
      <c r="AI269" s="18">
        <f t="shared" si="62"/>
        <v>0</v>
      </c>
      <c r="AJ269" s="18">
        <f t="shared" si="62"/>
        <v>0</v>
      </c>
      <c r="AK269" s="18">
        <f t="shared" si="62"/>
        <v>0</v>
      </c>
      <c r="AL269" s="18">
        <f t="shared" si="62"/>
        <v>2.1845720350777582</v>
      </c>
      <c r="AM269" s="18">
        <f t="shared" si="62"/>
        <v>0</v>
      </c>
      <c r="AN269" s="18">
        <f t="shared" si="62"/>
        <v>9.6972640696731762</v>
      </c>
      <c r="AO269" s="18">
        <f t="shared" si="62"/>
        <v>9.8478790830838769E-2</v>
      </c>
      <c r="AP269" s="18">
        <f t="shared" si="62"/>
        <v>4.3524139269104261</v>
      </c>
      <c r="AQ269" s="18">
        <f t="shared" si="62"/>
        <v>0</v>
      </c>
      <c r="AR269" s="18">
        <f t="shared" si="62"/>
        <v>13.610305356151775</v>
      </c>
      <c r="AS269" s="18">
        <f t="shared" si="62"/>
        <v>3.600783082005115E-4</v>
      </c>
      <c r="AT269" s="18">
        <f t="shared" si="62"/>
        <v>7.6495900769309797</v>
      </c>
      <c r="AU269" s="18">
        <f t="shared" si="62"/>
        <v>16.962225839547081</v>
      </c>
      <c r="AW269" s="47">
        <f t="shared" si="57"/>
        <v>528.90489526298518</v>
      </c>
      <c r="AX269" s="18">
        <f t="shared" si="58"/>
        <v>545.86712110253222</v>
      </c>
    </row>
    <row r="270" spans="9:50" x14ac:dyDescent="0.3">
      <c r="I270">
        <v>2010</v>
      </c>
      <c r="J270" t="s">
        <v>40</v>
      </c>
      <c r="L270" s="18">
        <f t="shared" si="63"/>
        <v>0</v>
      </c>
      <c r="M270" s="18">
        <f t="shared" si="63"/>
        <v>32.020352427660804</v>
      </c>
      <c r="N270" s="18">
        <f t="shared" si="62"/>
        <v>14.033464440207261</v>
      </c>
      <c r="O270" s="18">
        <f t="shared" si="62"/>
        <v>3.852749599240612</v>
      </c>
      <c r="P270" s="18">
        <f t="shared" si="62"/>
        <v>0</v>
      </c>
      <c r="Q270" s="18">
        <f t="shared" si="62"/>
        <v>0</v>
      </c>
      <c r="R270" s="18">
        <f t="shared" si="62"/>
        <v>0</v>
      </c>
      <c r="S270" s="18">
        <f t="shared" si="62"/>
        <v>23.241134657331322</v>
      </c>
      <c r="T270" s="18">
        <f t="shared" si="62"/>
        <v>157.23353179273261</v>
      </c>
      <c r="U270" s="18">
        <f t="shared" si="62"/>
        <v>3.3224179601612223</v>
      </c>
      <c r="V270" s="18">
        <f t="shared" si="62"/>
        <v>1.0223422008552478E-2</v>
      </c>
      <c r="W270" s="18">
        <f t="shared" si="62"/>
        <v>20.393972337996146</v>
      </c>
      <c r="X270" s="18">
        <f t="shared" si="62"/>
        <v>0</v>
      </c>
      <c r="Y270" s="18">
        <f t="shared" si="62"/>
        <v>502.83093813988478</v>
      </c>
      <c r="Z270" s="18">
        <f t="shared" si="62"/>
        <v>9.2493682966679387</v>
      </c>
      <c r="AA270" s="18">
        <f t="shared" si="62"/>
        <v>30.150918793453421</v>
      </c>
      <c r="AB270" s="18">
        <f t="shared" si="62"/>
        <v>15.204244542010731</v>
      </c>
      <c r="AC270" s="18">
        <f t="shared" si="62"/>
        <v>4.6531844293736059E-2</v>
      </c>
      <c r="AD270" s="18">
        <f t="shared" si="62"/>
        <v>0</v>
      </c>
      <c r="AE270" s="18">
        <f t="shared" si="62"/>
        <v>7.64696069838641</v>
      </c>
      <c r="AF270" s="18">
        <f t="shared" si="62"/>
        <v>4.7447929622088925</v>
      </c>
      <c r="AG270" s="18">
        <f t="shared" si="62"/>
        <v>0.41430963394092846</v>
      </c>
      <c r="AH270" s="18">
        <f t="shared" si="62"/>
        <v>0.82834959704083222</v>
      </c>
      <c r="AI270" s="18">
        <f t="shared" si="62"/>
        <v>0</v>
      </c>
      <c r="AJ270" s="18">
        <f t="shared" si="62"/>
        <v>0</v>
      </c>
      <c r="AK270" s="18">
        <f t="shared" si="62"/>
        <v>0</v>
      </c>
      <c r="AL270" s="18">
        <f t="shared" si="62"/>
        <v>3.7657822182060761</v>
      </c>
      <c r="AM270" s="18">
        <f t="shared" si="62"/>
        <v>0</v>
      </c>
      <c r="AN270" s="18">
        <f t="shared" si="62"/>
        <v>11.485794669646376</v>
      </c>
      <c r="AO270" s="18">
        <f t="shared" si="62"/>
        <v>9.8478790830838769E-2</v>
      </c>
      <c r="AP270" s="18">
        <f t="shared" si="62"/>
        <v>4.3524139269104261</v>
      </c>
      <c r="AQ270" s="18">
        <f t="shared" si="62"/>
        <v>0</v>
      </c>
      <c r="AR270" s="18">
        <f t="shared" si="62"/>
        <v>18.467133889660705</v>
      </c>
      <c r="AS270" s="18">
        <f t="shared" ref="AS270:AU270" si="64">SUMIFS(AS$5:AS$234,$I$5:$I$234,$I270,$H$5:$H$234,"ACT_BND",$B$5:$B$234,$J270)</f>
        <v>3.600783082005115E-4</v>
      </c>
      <c r="AT270" s="18">
        <f t="shared" si="64"/>
        <v>9.1175480545218459</v>
      </c>
      <c r="AU270" s="18">
        <f t="shared" si="64"/>
        <v>19.986855560210486</v>
      </c>
      <c r="AW270" s="47">
        <f t="shared" si="57"/>
        <v>872.51177277331078</v>
      </c>
      <c r="AX270" s="18">
        <f t="shared" si="58"/>
        <v>892.49862833352131</v>
      </c>
    </row>
    <row r="271" spans="9:50" x14ac:dyDescent="0.3">
      <c r="I271">
        <v>2020</v>
      </c>
      <c r="J271" t="s">
        <v>40</v>
      </c>
      <c r="L271" s="18">
        <f t="shared" si="63"/>
        <v>30.0872455692014</v>
      </c>
      <c r="M271" s="18">
        <f t="shared" si="63"/>
        <v>9.7197462085087629</v>
      </c>
      <c r="N271" s="18">
        <f t="shared" si="63"/>
        <v>17.421175570016057</v>
      </c>
      <c r="O271" s="18">
        <f t="shared" si="63"/>
        <v>13.446430229166056</v>
      </c>
      <c r="P271" s="18">
        <f t="shared" si="63"/>
        <v>73.842715046938082</v>
      </c>
      <c r="Q271" s="18">
        <f t="shared" si="63"/>
        <v>0</v>
      </c>
      <c r="R271" s="18">
        <f t="shared" si="63"/>
        <v>0.17993587163814956</v>
      </c>
      <c r="S271" s="18">
        <f t="shared" si="63"/>
        <v>16.558265555192776</v>
      </c>
      <c r="T271" s="18">
        <f t="shared" si="63"/>
        <v>49.375479843705932</v>
      </c>
      <c r="U271" s="18">
        <f t="shared" si="63"/>
        <v>0.90758026488832044</v>
      </c>
      <c r="V271" s="18">
        <f t="shared" si="63"/>
        <v>2.4559940166912919</v>
      </c>
      <c r="W271" s="18">
        <f t="shared" si="63"/>
        <v>112.26903137817712</v>
      </c>
      <c r="X271" s="18">
        <f t="shared" si="63"/>
        <v>0.79108785924705127</v>
      </c>
      <c r="Y271" s="18">
        <f t="shared" si="63"/>
        <v>158.96139571715435</v>
      </c>
      <c r="Z271" s="18">
        <f t="shared" si="63"/>
        <v>11.289542497106984</v>
      </c>
      <c r="AA271" s="18">
        <f t="shared" si="63"/>
        <v>7.5982959565837209</v>
      </c>
      <c r="AB271" s="18">
        <f t="shared" ref="AB271:AU274" si="65">SUMIFS(AB$5:AB$234,$I$5:$I$234,$I271,$H$5:$H$234,"ACT_BND",$B$5:$B$234,$J271)</f>
        <v>29.356052198856982</v>
      </c>
      <c r="AC271" s="18">
        <f t="shared" si="65"/>
        <v>3.356738043645942</v>
      </c>
      <c r="AD271" s="18">
        <f t="shared" si="65"/>
        <v>0</v>
      </c>
      <c r="AE271" s="18">
        <f t="shared" si="65"/>
        <v>75.8978500044893</v>
      </c>
      <c r="AF271" s="18">
        <f t="shared" si="65"/>
        <v>23.619704247968627</v>
      </c>
      <c r="AG271" s="18">
        <f t="shared" si="65"/>
        <v>6.7698693417710551E-2</v>
      </c>
      <c r="AH271" s="18">
        <f t="shared" si="65"/>
        <v>2.7060826189881175</v>
      </c>
      <c r="AI271" s="18">
        <f t="shared" si="65"/>
        <v>2.7984436485444322</v>
      </c>
      <c r="AJ271" s="18">
        <f t="shared" si="65"/>
        <v>18.167524044573277</v>
      </c>
      <c r="AK271" s="18">
        <f t="shared" si="65"/>
        <v>0</v>
      </c>
      <c r="AL271" s="18">
        <f t="shared" si="65"/>
        <v>12.623235628569839</v>
      </c>
      <c r="AM271" s="18">
        <f t="shared" si="65"/>
        <v>7.4300688451655565</v>
      </c>
      <c r="AN271" s="18">
        <f t="shared" si="65"/>
        <v>72.067529282290678</v>
      </c>
      <c r="AO271" s="18">
        <f t="shared" si="65"/>
        <v>4.3490663996244843</v>
      </c>
      <c r="AP271" s="18">
        <f t="shared" si="65"/>
        <v>70.980660341636806</v>
      </c>
      <c r="AQ271" s="18">
        <f t="shared" si="65"/>
        <v>0</v>
      </c>
      <c r="AR271" s="18">
        <f t="shared" si="65"/>
        <v>5.320340412973251</v>
      </c>
      <c r="AS271" s="18">
        <f t="shared" si="65"/>
        <v>0.57349391696923713</v>
      </c>
      <c r="AT271" s="18">
        <f t="shared" si="65"/>
        <v>5.6767872424921952</v>
      </c>
      <c r="AU271" s="18">
        <f t="shared" si="65"/>
        <v>110.06103469423019</v>
      </c>
      <c r="AW271" s="47">
        <f t="shared" si="57"/>
        <v>707.5691999999998</v>
      </c>
      <c r="AX271" s="18">
        <f t="shared" si="58"/>
        <v>949.95623184865292</v>
      </c>
    </row>
    <row r="272" spans="9:50" x14ac:dyDescent="0.3">
      <c r="I272">
        <v>2030</v>
      </c>
      <c r="J272" t="s">
        <v>40</v>
      </c>
      <c r="L272" s="18">
        <f t="shared" si="63"/>
        <v>31.529445406865452</v>
      </c>
      <c r="M272" s="18">
        <f t="shared" si="63"/>
        <v>9.7197462085087629</v>
      </c>
      <c r="N272" s="18">
        <f t="shared" si="63"/>
        <v>17.421175570016057</v>
      </c>
      <c r="O272" s="18">
        <f t="shared" si="63"/>
        <v>13.446430229166056</v>
      </c>
      <c r="P272" s="18">
        <f t="shared" si="63"/>
        <v>76.234501325230056</v>
      </c>
      <c r="Q272" s="18">
        <f t="shared" si="63"/>
        <v>0</v>
      </c>
      <c r="R272" s="18">
        <f t="shared" si="63"/>
        <v>0.17993587163814956</v>
      </c>
      <c r="S272" s="18">
        <f t="shared" si="63"/>
        <v>16.558265555192776</v>
      </c>
      <c r="T272" s="18">
        <f t="shared" si="63"/>
        <v>49.375479843705932</v>
      </c>
      <c r="U272" s="18">
        <f t="shared" si="63"/>
        <v>0.90758026488832044</v>
      </c>
      <c r="V272" s="18">
        <f t="shared" si="63"/>
        <v>2.4559940166912919</v>
      </c>
      <c r="W272" s="18">
        <f t="shared" si="63"/>
        <v>112.26903137817712</v>
      </c>
      <c r="X272" s="18">
        <f t="shared" si="63"/>
        <v>0.79108785924705127</v>
      </c>
      <c r="Y272" s="18">
        <f t="shared" si="63"/>
        <v>158.96139571715435</v>
      </c>
      <c r="Z272" s="18">
        <f t="shared" si="63"/>
        <v>11.289542497106984</v>
      </c>
      <c r="AA272" s="18">
        <f t="shared" si="63"/>
        <v>7.5982959565837209</v>
      </c>
      <c r="AB272" s="18">
        <f t="shared" si="65"/>
        <v>29.356052198856982</v>
      </c>
      <c r="AC272" s="18">
        <f t="shared" si="65"/>
        <v>3.356738043645942</v>
      </c>
      <c r="AD272" s="18">
        <f t="shared" si="65"/>
        <v>0</v>
      </c>
      <c r="AE272" s="18">
        <f t="shared" si="65"/>
        <v>75.8978500044893</v>
      </c>
      <c r="AF272" s="18">
        <f t="shared" si="65"/>
        <v>23.619704247968627</v>
      </c>
      <c r="AG272" s="18">
        <f t="shared" si="65"/>
        <v>6.7698693417710551E-2</v>
      </c>
      <c r="AH272" s="18">
        <f t="shared" si="65"/>
        <v>2.7060826189881175</v>
      </c>
      <c r="AI272" s="18">
        <f t="shared" si="65"/>
        <v>2.8648134614253533</v>
      </c>
      <c r="AJ272" s="18">
        <f t="shared" si="65"/>
        <v>19.000088465975743</v>
      </c>
      <c r="AK272" s="18">
        <f t="shared" si="65"/>
        <v>0</v>
      </c>
      <c r="AL272" s="18">
        <f t="shared" si="65"/>
        <v>12.623235628569839</v>
      </c>
      <c r="AM272" s="18">
        <f t="shared" si="65"/>
        <v>7.7533482453438864</v>
      </c>
      <c r="AN272" s="18">
        <f t="shared" si="65"/>
        <v>72.067529282290678</v>
      </c>
      <c r="AO272" s="18">
        <f t="shared" si="65"/>
        <v>4.3490663996244843</v>
      </c>
      <c r="AP272" s="18">
        <f t="shared" si="65"/>
        <v>70.980660341636806</v>
      </c>
      <c r="AQ272" s="18">
        <f t="shared" si="65"/>
        <v>0</v>
      </c>
      <c r="AR272" s="18">
        <f t="shared" si="65"/>
        <v>5.320340412973251</v>
      </c>
      <c r="AS272" s="18">
        <f t="shared" si="65"/>
        <v>0.57349391696923713</v>
      </c>
      <c r="AT272" s="18">
        <f t="shared" si="65"/>
        <v>5.6767872424921952</v>
      </c>
      <c r="AU272" s="18">
        <f t="shared" si="65"/>
        <v>361.95570486717133</v>
      </c>
      <c r="AW272" s="47">
        <f t="shared" si="57"/>
        <v>707.5691999999998</v>
      </c>
      <c r="AX272" s="18">
        <f t="shared" si="58"/>
        <v>1206.9071017720116</v>
      </c>
    </row>
    <row r="273" spans="9:50" x14ac:dyDescent="0.3">
      <c r="I273">
        <v>2040</v>
      </c>
      <c r="J273" t="s">
        <v>40</v>
      </c>
      <c r="L273" s="18">
        <f t="shared" si="63"/>
        <v>33.178888051135957</v>
      </c>
      <c r="M273" s="18">
        <f t="shared" si="63"/>
        <v>34.898290163785532</v>
      </c>
      <c r="N273" s="18">
        <f t="shared" si="63"/>
        <v>63.84770652476147</v>
      </c>
      <c r="O273" s="18">
        <f t="shared" si="63"/>
        <v>62.878460419173081</v>
      </c>
      <c r="P273" s="18">
        <f t="shared" si="63"/>
        <v>76.941141061775724</v>
      </c>
      <c r="Q273" s="18">
        <f t="shared" si="63"/>
        <v>0</v>
      </c>
      <c r="R273" s="18">
        <f t="shared" si="63"/>
        <v>0.65110500326663745</v>
      </c>
      <c r="S273" s="18">
        <f t="shared" si="63"/>
        <v>71.913802517160647</v>
      </c>
      <c r="T273" s="18">
        <f t="shared" si="63"/>
        <v>194.42879590385914</v>
      </c>
      <c r="U273" s="18">
        <f t="shared" si="63"/>
        <v>4.4360219618893231</v>
      </c>
      <c r="V273" s="18">
        <f t="shared" si="63"/>
        <v>11.199164310987632</v>
      </c>
      <c r="W273" s="18">
        <f t="shared" si="63"/>
        <v>471.2028236245165</v>
      </c>
      <c r="X273" s="18">
        <f t="shared" si="63"/>
        <v>4.3575809604950111</v>
      </c>
      <c r="Y273" s="18">
        <f t="shared" si="63"/>
        <v>581.43354240909218</v>
      </c>
      <c r="Z273" s="18">
        <f t="shared" si="63"/>
        <v>48.686781899525975</v>
      </c>
      <c r="AA273" s="18">
        <f t="shared" si="63"/>
        <v>29.741201222266973</v>
      </c>
      <c r="AB273" s="18">
        <f t="shared" si="65"/>
        <v>121.68677408790934</v>
      </c>
      <c r="AC273" s="18">
        <f t="shared" si="65"/>
        <v>9.3882541644005428</v>
      </c>
      <c r="AD273" s="18">
        <f t="shared" si="65"/>
        <v>0</v>
      </c>
      <c r="AE273" s="18">
        <f t="shared" si="65"/>
        <v>295.57202324169725</v>
      </c>
      <c r="AF273" s="18">
        <f t="shared" si="65"/>
        <v>88.36328665779024</v>
      </c>
      <c r="AG273" s="18">
        <f t="shared" si="65"/>
        <v>0.28630555591784052</v>
      </c>
      <c r="AH273" s="18">
        <f t="shared" si="65"/>
        <v>9.5242113065878602</v>
      </c>
      <c r="AI273" s="18">
        <f t="shared" si="65"/>
        <v>2.9568688682876489</v>
      </c>
      <c r="AJ273" s="18">
        <f t="shared" si="65"/>
        <v>20.401231073403586</v>
      </c>
      <c r="AK273" s="18">
        <f t="shared" si="65"/>
        <v>0</v>
      </c>
      <c r="AL273" s="18">
        <f t="shared" si="65"/>
        <v>41.985600255305783</v>
      </c>
      <c r="AM273" s="18">
        <f t="shared" si="65"/>
        <v>8.0112638885831817</v>
      </c>
      <c r="AN273" s="18">
        <f t="shared" si="65"/>
        <v>334.69041894967251</v>
      </c>
      <c r="AO273" s="18">
        <f t="shared" si="65"/>
        <v>17.560122484367675</v>
      </c>
      <c r="AP273" s="18">
        <f t="shared" si="65"/>
        <v>273.8497610662788</v>
      </c>
      <c r="AQ273" s="18">
        <f t="shared" si="65"/>
        <v>0</v>
      </c>
      <c r="AR273" s="18">
        <f t="shared" si="65"/>
        <v>19.65826163412499</v>
      </c>
      <c r="AS273" s="18">
        <f t="shared" si="65"/>
        <v>1.8968866537241689</v>
      </c>
      <c r="AT273" s="18">
        <f t="shared" si="65"/>
        <v>19.811097021441373</v>
      </c>
      <c r="AU273" s="18">
        <f t="shared" si="65"/>
        <v>287.61396886513683</v>
      </c>
      <c r="AW273" s="47">
        <f t="shared" si="57"/>
        <v>2813.9482799999987</v>
      </c>
      <c r="AX273" s="18">
        <f t="shared" si="58"/>
        <v>3243.0516418083216</v>
      </c>
    </row>
    <row r="274" spans="9:50" x14ac:dyDescent="0.3">
      <c r="I274">
        <v>2050</v>
      </c>
      <c r="J274" t="s">
        <v>40</v>
      </c>
      <c r="L274" s="18">
        <f t="shared" si="63"/>
        <v>34.848870548530201</v>
      </c>
      <c r="M274" s="18">
        <f t="shared" si="63"/>
        <v>27.73799467162117</v>
      </c>
      <c r="N274" s="18">
        <f t="shared" si="63"/>
        <v>51.420869936018157</v>
      </c>
      <c r="O274" s="18">
        <f t="shared" si="63"/>
        <v>60.737952570015246</v>
      </c>
      <c r="P274" s="18">
        <f t="shared" si="63"/>
        <v>77.410605833950967</v>
      </c>
      <c r="Q274" s="18">
        <f t="shared" si="63"/>
        <v>0</v>
      </c>
      <c r="R274" s="18">
        <f t="shared" si="63"/>
        <v>0.51856968309994644</v>
      </c>
      <c r="S274" s="18">
        <f t="shared" si="63"/>
        <v>69.176348812348309</v>
      </c>
      <c r="T274" s="18">
        <f t="shared" si="63"/>
        <v>171.17676328989754</v>
      </c>
      <c r="U274" s="18">
        <f t="shared" si="63"/>
        <v>4.4546935304832438</v>
      </c>
      <c r="V274" s="18">
        <f t="shared" si="63"/>
        <v>10.783545037860513</v>
      </c>
      <c r="W274" s="18">
        <f t="shared" si="63"/>
        <v>436.46501412206021</v>
      </c>
      <c r="X274" s="18">
        <f t="shared" si="63"/>
        <v>4.6299017343730879</v>
      </c>
      <c r="Y274" s="18">
        <f t="shared" si="63"/>
        <v>473.73555492997372</v>
      </c>
      <c r="Z274" s="18">
        <f t="shared" si="63"/>
        <v>45.88434232765529</v>
      </c>
      <c r="AA274" s="18">
        <f t="shared" si="63"/>
        <v>25.837006227972193</v>
      </c>
      <c r="AB274" s="18">
        <f t="shared" si="65"/>
        <v>112.39799606359496</v>
      </c>
      <c r="AC274" s="18">
        <f t="shared" si="65"/>
        <v>4.7151527087631493</v>
      </c>
      <c r="AD274" s="18">
        <f t="shared" si="65"/>
        <v>0</v>
      </c>
      <c r="AE274" s="18">
        <f t="shared" si="65"/>
        <v>258.46004126348134</v>
      </c>
      <c r="AF274" s="18">
        <f t="shared" si="65"/>
        <v>72.678100685640047</v>
      </c>
      <c r="AG274" s="18">
        <f t="shared" si="65"/>
        <v>0.26935913570492098</v>
      </c>
      <c r="AH274" s="18">
        <f t="shared" si="65"/>
        <v>7.1942711129517356</v>
      </c>
      <c r="AI274" s="18">
        <f t="shared" si="65"/>
        <v>3.0456057197726514</v>
      </c>
      <c r="AJ274" s="18">
        <f t="shared" si="65"/>
        <v>21.849113004536722</v>
      </c>
      <c r="AK274" s="18">
        <f t="shared" si="65"/>
        <v>0</v>
      </c>
      <c r="AL274" s="18">
        <f t="shared" si="65"/>
        <v>30.382362749104129</v>
      </c>
      <c r="AM274" s="18">
        <f t="shared" si="65"/>
        <v>8.3542936417217106</v>
      </c>
      <c r="AN274" s="18">
        <f t="shared" si="65"/>
        <v>338.28147035645765</v>
      </c>
      <c r="AO274" s="18">
        <f t="shared" si="65"/>
        <v>15.873451209961702</v>
      </c>
      <c r="AP274" s="18">
        <f t="shared" si="65"/>
        <v>220.84607102597934</v>
      </c>
      <c r="AQ274" s="18">
        <f t="shared" si="65"/>
        <v>0</v>
      </c>
      <c r="AR274" s="18">
        <f t="shared" si="65"/>
        <v>16.116806804450079</v>
      </c>
      <c r="AS274" s="18">
        <f t="shared" si="65"/>
        <v>1.3303446310384484</v>
      </c>
      <c r="AT274" s="18">
        <f t="shared" si="65"/>
        <v>15.388215379493941</v>
      </c>
      <c r="AU274" s="18">
        <f t="shared" si="65"/>
        <v>213.61835747884189</v>
      </c>
      <c r="AW274" s="47">
        <f t="shared" si="57"/>
        <v>2476.4921999999997</v>
      </c>
      <c r="AX274" s="18">
        <f t="shared" si="58"/>
        <v>2835.6190462273539</v>
      </c>
    </row>
    <row r="275" spans="9:50" x14ac:dyDescent="0.3"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W275" s="47"/>
      <c r="AX275" s="18">
        <f t="shared" si="58"/>
        <v>0</v>
      </c>
    </row>
    <row r="276" spans="9:50" x14ac:dyDescent="0.3">
      <c r="I276">
        <v>2005</v>
      </c>
      <c r="J276" t="s">
        <v>41</v>
      </c>
      <c r="L276" s="18">
        <f t="shared" si="63"/>
        <v>1.1925515823203809</v>
      </c>
      <c r="M276" s="18">
        <f t="shared" si="63"/>
        <v>21.842206499485151</v>
      </c>
      <c r="N276" s="18">
        <f t="shared" si="63"/>
        <v>7.3584884997227222</v>
      </c>
      <c r="O276" s="18">
        <f t="shared" si="63"/>
        <v>27.292196580685811</v>
      </c>
      <c r="P276" s="18">
        <f t="shared" si="63"/>
        <v>2.3030580379548704</v>
      </c>
      <c r="Q276" s="18">
        <f t="shared" si="63"/>
        <v>4.4137200141332453</v>
      </c>
      <c r="R276" s="18">
        <f t="shared" si="63"/>
        <v>0.29145516164410301</v>
      </c>
      <c r="S276" s="18">
        <f t="shared" si="63"/>
        <v>36.763474462459719</v>
      </c>
      <c r="T276" s="18">
        <f t="shared" si="63"/>
        <v>202.26683742209121</v>
      </c>
      <c r="U276" s="18">
        <f t="shared" si="63"/>
        <v>29.037391660934173</v>
      </c>
      <c r="V276" s="18">
        <f t="shared" si="63"/>
        <v>3.3979434747043471</v>
      </c>
      <c r="W276" s="18">
        <f t="shared" si="63"/>
        <v>79.609176587432927</v>
      </c>
      <c r="X276" s="18">
        <f t="shared" si="63"/>
        <v>14.5</v>
      </c>
      <c r="Y276" s="18">
        <f t="shared" si="63"/>
        <v>211.78668882920024</v>
      </c>
      <c r="Z276" s="18">
        <f t="shared" si="63"/>
        <v>14.023650064272198</v>
      </c>
      <c r="AA276" s="18">
        <f t="shared" si="63"/>
        <v>9.8780267216928124</v>
      </c>
      <c r="AB276" s="18">
        <f t="shared" ref="AB276:AU281" si="66">SUMIFS(AB$5:AB$234,$I$5:$I$234,$I276,$H$5:$H$234,"ACT_BND",$B$5:$B$234,$J276)</f>
        <v>48.242339985030576</v>
      </c>
      <c r="AC276" s="18">
        <f t="shared" si="66"/>
        <v>0.24211709519764227</v>
      </c>
      <c r="AD276" s="18">
        <f t="shared" si="66"/>
        <v>0</v>
      </c>
      <c r="AE276" s="18">
        <f t="shared" si="66"/>
        <v>61.673813098158334</v>
      </c>
      <c r="AF276" s="18">
        <f t="shared" si="66"/>
        <v>14.773808020891783</v>
      </c>
      <c r="AG276" s="18">
        <f t="shared" si="66"/>
        <v>0.3728407819459077</v>
      </c>
      <c r="AH276" s="18">
        <f t="shared" si="66"/>
        <v>6.985258873816198</v>
      </c>
      <c r="AI276" s="18">
        <f t="shared" si="66"/>
        <v>8.2496338818426218E-2</v>
      </c>
      <c r="AJ276" s="18">
        <f t="shared" si="66"/>
        <v>1.4983805155853804</v>
      </c>
      <c r="AK276" s="18">
        <f t="shared" si="66"/>
        <v>6.8864715951724103</v>
      </c>
      <c r="AL276" s="18">
        <f t="shared" si="66"/>
        <v>5.7287598929844128</v>
      </c>
      <c r="AM276" s="18">
        <f t="shared" si="66"/>
        <v>5.9239423025760765</v>
      </c>
      <c r="AN276" s="18">
        <f t="shared" si="66"/>
        <v>103.20006410404739</v>
      </c>
      <c r="AO276" s="18">
        <f t="shared" si="66"/>
        <v>5.837455278035903</v>
      </c>
      <c r="AP276" s="18">
        <f t="shared" si="66"/>
        <v>57.010872291735097</v>
      </c>
      <c r="AQ276" s="18">
        <f t="shared" si="66"/>
        <v>19.873055410837697</v>
      </c>
      <c r="AR276" s="18">
        <f t="shared" si="66"/>
        <v>20.078427147911459</v>
      </c>
      <c r="AS276" s="18">
        <f t="shared" si="66"/>
        <v>0.79721359561956562</v>
      </c>
      <c r="AT276" s="18">
        <f t="shared" si="66"/>
        <v>13.357184390360672</v>
      </c>
      <c r="AU276" s="18">
        <f t="shared" si="66"/>
        <v>71.334409631407198</v>
      </c>
      <c r="AW276" s="47">
        <f t="shared" si="57"/>
        <v>1003.2341621152327</v>
      </c>
      <c r="AX276" s="18">
        <f t="shared" si="58"/>
        <v>1109.8557759488658</v>
      </c>
    </row>
    <row r="277" spans="9:50" x14ac:dyDescent="0.3">
      <c r="I277">
        <v>2010</v>
      </c>
      <c r="J277" t="s">
        <v>41</v>
      </c>
      <c r="L277" s="18">
        <f t="shared" si="63"/>
        <v>1.1925515823203809</v>
      </c>
      <c r="M277" s="18">
        <f t="shared" si="63"/>
        <v>21.842206499485151</v>
      </c>
      <c r="N277" s="18">
        <f t="shared" si="63"/>
        <v>7.3584884997227222</v>
      </c>
      <c r="O277" s="18">
        <f t="shared" si="63"/>
        <v>27.292196580685811</v>
      </c>
      <c r="P277" s="18">
        <f t="shared" si="63"/>
        <v>2.3030580379548704</v>
      </c>
      <c r="Q277" s="18">
        <f t="shared" si="63"/>
        <v>4.4137200141332453</v>
      </c>
      <c r="R277" s="18">
        <f t="shared" si="63"/>
        <v>0.29145516164410301</v>
      </c>
      <c r="S277" s="18">
        <f t="shared" si="63"/>
        <v>36.763474462459719</v>
      </c>
      <c r="T277" s="18">
        <f t="shared" si="63"/>
        <v>202.26683742209121</v>
      </c>
      <c r="U277" s="18">
        <f t="shared" si="63"/>
        <v>29.037391660934173</v>
      </c>
      <c r="V277" s="18">
        <f t="shared" si="63"/>
        <v>3.3979434747043471</v>
      </c>
      <c r="W277" s="18">
        <f t="shared" si="63"/>
        <v>79.609176587432927</v>
      </c>
      <c r="X277" s="18">
        <f t="shared" si="63"/>
        <v>14.5</v>
      </c>
      <c r="Y277" s="18">
        <f t="shared" si="63"/>
        <v>211.78668882920024</v>
      </c>
      <c r="Z277" s="18">
        <f t="shared" si="63"/>
        <v>14.023650064272198</v>
      </c>
      <c r="AA277" s="18">
        <f t="shared" si="63"/>
        <v>9.8780267216928124</v>
      </c>
      <c r="AB277" s="18">
        <f t="shared" si="66"/>
        <v>48.242339985030576</v>
      </c>
      <c r="AC277" s="18">
        <f t="shared" si="66"/>
        <v>0.24211709519764227</v>
      </c>
      <c r="AD277" s="18">
        <f t="shared" si="66"/>
        <v>0</v>
      </c>
      <c r="AE277" s="18">
        <f t="shared" si="66"/>
        <v>61.673813098158334</v>
      </c>
      <c r="AF277" s="18">
        <f t="shared" si="66"/>
        <v>14.773808020891783</v>
      </c>
      <c r="AG277" s="18">
        <f t="shared" si="66"/>
        <v>0.3728407819459077</v>
      </c>
      <c r="AH277" s="18">
        <f t="shared" si="66"/>
        <v>6.985258873816198</v>
      </c>
      <c r="AI277" s="18">
        <f t="shared" si="66"/>
        <v>8.2496338818426218E-2</v>
      </c>
      <c r="AJ277" s="18">
        <f t="shared" si="66"/>
        <v>1.4983805155853804</v>
      </c>
      <c r="AK277" s="18">
        <f t="shared" si="66"/>
        <v>6.8864715951724103</v>
      </c>
      <c r="AL277" s="18">
        <f t="shared" si="66"/>
        <v>5.7287598929844128</v>
      </c>
      <c r="AM277" s="18">
        <f t="shared" si="66"/>
        <v>5.9239423025760765</v>
      </c>
      <c r="AN277" s="18">
        <f t="shared" si="66"/>
        <v>103.20006410404739</v>
      </c>
      <c r="AO277" s="18">
        <f t="shared" si="66"/>
        <v>5.837455278035903</v>
      </c>
      <c r="AP277" s="18">
        <f t="shared" si="66"/>
        <v>57.010872291735097</v>
      </c>
      <c r="AQ277" s="18">
        <f t="shared" si="66"/>
        <v>19.873055410837697</v>
      </c>
      <c r="AR277" s="18">
        <f t="shared" si="66"/>
        <v>20.078427147911459</v>
      </c>
      <c r="AS277" s="18">
        <f t="shared" si="66"/>
        <v>0.79721359561956562</v>
      </c>
      <c r="AT277" s="18">
        <f t="shared" si="66"/>
        <v>13.357184390360672</v>
      </c>
      <c r="AU277" s="18">
        <f t="shared" si="66"/>
        <v>71.334409631407198</v>
      </c>
      <c r="AW277" s="47">
        <f t="shared" si="57"/>
        <v>1003.2341621152327</v>
      </c>
      <c r="AX277" s="18">
        <f t="shared" si="58"/>
        <v>1109.8557759488658</v>
      </c>
    </row>
    <row r="278" spans="9:50" x14ac:dyDescent="0.3">
      <c r="I278">
        <v>2020</v>
      </c>
      <c r="J278" t="s">
        <v>41</v>
      </c>
      <c r="L278" s="18">
        <f t="shared" si="63"/>
        <v>1.3969915910433135</v>
      </c>
      <c r="M278" s="18">
        <f t="shared" si="63"/>
        <v>17.235562058249943</v>
      </c>
      <c r="N278" s="18">
        <f t="shared" si="63"/>
        <v>5.3262578913166303</v>
      </c>
      <c r="O278" s="18">
        <f t="shared" si="63"/>
        <v>23.368586336734335</v>
      </c>
      <c r="P278" s="18">
        <f t="shared" si="63"/>
        <v>2.7594911941692093</v>
      </c>
      <c r="Q278" s="18">
        <f t="shared" si="63"/>
        <v>3.8017740306993604</v>
      </c>
      <c r="R278" s="18">
        <f t="shared" si="63"/>
        <v>0.33018275034944655</v>
      </c>
      <c r="S278" s="18">
        <f t="shared" si="63"/>
        <v>29.196366892783029</v>
      </c>
      <c r="T278" s="18">
        <f t="shared" si="63"/>
        <v>160.43144938602427</v>
      </c>
      <c r="U278" s="18">
        <f t="shared" si="63"/>
        <v>20.100437522671516</v>
      </c>
      <c r="V278" s="18">
        <f t="shared" si="63"/>
        <v>3.5004841716448762</v>
      </c>
      <c r="W278" s="18">
        <f t="shared" si="63"/>
        <v>72.275122412008287</v>
      </c>
      <c r="X278" s="18">
        <f t="shared" si="63"/>
        <v>13.910223721653583</v>
      </c>
      <c r="Y278" s="18">
        <f t="shared" si="63"/>
        <v>167.59189440362439</v>
      </c>
      <c r="Z278" s="18">
        <f t="shared" si="63"/>
        <v>15.90621435127064</v>
      </c>
      <c r="AA278" s="18">
        <f t="shared" si="63"/>
        <v>6.9827493053735763</v>
      </c>
      <c r="AB278" s="18">
        <f t="shared" si="66"/>
        <v>37.14893615392139</v>
      </c>
      <c r="AC278" s="18">
        <f t="shared" si="66"/>
        <v>0.24203359368175925</v>
      </c>
      <c r="AD278" s="18">
        <f t="shared" si="66"/>
        <v>0</v>
      </c>
      <c r="AE278" s="18">
        <f t="shared" si="66"/>
        <v>49.177864104006218</v>
      </c>
      <c r="AF278" s="18">
        <f t="shared" si="66"/>
        <v>10.496085099861414</v>
      </c>
      <c r="AG278" s="18">
        <f t="shared" si="66"/>
        <v>0.26335284935903241</v>
      </c>
      <c r="AH278" s="18">
        <f t="shared" si="66"/>
        <v>6.1758414333452061</v>
      </c>
      <c r="AI278" s="18">
        <f t="shared" si="66"/>
        <v>0.12978770873978049</v>
      </c>
      <c r="AJ278" s="18">
        <f t="shared" si="66"/>
        <v>1.4390825659866513</v>
      </c>
      <c r="AK278" s="18">
        <f t="shared" si="66"/>
        <v>8.497250016898281E-3</v>
      </c>
      <c r="AL278" s="18">
        <f t="shared" si="66"/>
        <v>4.1016847237074412</v>
      </c>
      <c r="AM278" s="18">
        <f t="shared" si="66"/>
        <v>5.0970237705900603</v>
      </c>
      <c r="AN278" s="18">
        <f t="shared" si="66"/>
        <v>68.760155265272843</v>
      </c>
      <c r="AO278" s="18">
        <f t="shared" si="66"/>
        <v>6.4026891824828303</v>
      </c>
      <c r="AP278" s="18">
        <f t="shared" si="66"/>
        <v>44.630549365006097</v>
      </c>
      <c r="AQ278" s="18">
        <f t="shared" si="66"/>
        <v>23.425092646329979</v>
      </c>
      <c r="AR278" s="18">
        <f t="shared" si="66"/>
        <v>12.728792255065368</v>
      </c>
      <c r="AS278" s="18">
        <f t="shared" si="66"/>
        <v>0.67526650330023985</v>
      </c>
      <c r="AT278" s="18">
        <f t="shared" si="66"/>
        <v>10.569801017269087</v>
      </c>
      <c r="AU278" s="18">
        <f t="shared" si="66"/>
        <v>64.125585284769826</v>
      </c>
      <c r="AW278" s="47">
        <f t="shared" si="57"/>
        <v>787.53708000000029</v>
      </c>
      <c r="AX278" s="18">
        <f t="shared" si="58"/>
        <v>889.71190879232847</v>
      </c>
    </row>
    <row r="279" spans="9:50" x14ac:dyDescent="0.3">
      <c r="I279">
        <v>2030</v>
      </c>
      <c r="J279" t="s">
        <v>41</v>
      </c>
      <c r="L279" s="18">
        <f t="shared" ref="L279:AA295" si="67">SUMIFS(L$5:L$234,$I$5:$I$234,$I279,$H$5:$H$234,"ACT_BND",$B$5:$B$234,$J279)</f>
        <v>1.517660259813649</v>
      </c>
      <c r="M279" s="18">
        <f t="shared" si="67"/>
        <v>17.235562058249943</v>
      </c>
      <c r="N279" s="18">
        <f t="shared" si="67"/>
        <v>5.3262578913166303</v>
      </c>
      <c r="O279" s="18">
        <f t="shared" si="67"/>
        <v>23.368586336734335</v>
      </c>
      <c r="P279" s="18">
        <f t="shared" si="67"/>
        <v>2.7698171592746772</v>
      </c>
      <c r="Q279" s="18">
        <f t="shared" si="67"/>
        <v>3.5660898575930298</v>
      </c>
      <c r="R279" s="18">
        <f t="shared" si="67"/>
        <v>0.33018275034944655</v>
      </c>
      <c r="S279" s="18">
        <f t="shared" si="67"/>
        <v>29.196366892783029</v>
      </c>
      <c r="T279" s="18">
        <f t="shared" si="67"/>
        <v>160.43144938602427</v>
      </c>
      <c r="U279" s="18">
        <f t="shared" si="67"/>
        <v>20.100437522671516</v>
      </c>
      <c r="V279" s="18">
        <f t="shared" si="67"/>
        <v>3.5004841716448762</v>
      </c>
      <c r="W279" s="18">
        <f t="shared" si="67"/>
        <v>72.275122412008287</v>
      </c>
      <c r="X279" s="18">
        <f t="shared" si="67"/>
        <v>13.910223721653583</v>
      </c>
      <c r="Y279" s="18">
        <f t="shared" si="67"/>
        <v>167.59189440362439</v>
      </c>
      <c r="Z279" s="18">
        <f t="shared" si="67"/>
        <v>15.90621435127064</v>
      </c>
      <c r="AA279" s="18">
        <f t="shared" si="67"/>
        <v>6.9827493053735763</v>
      </c>
      <c r="AB279" s="18">
        <f t="shared" si="66"/>
        <v>37.14893615392139</v>
      </c>
      <c r="AC279" s="18">
        <f t="shared" si="66"/>
        <v>0.24203359368175925</v>
      </c>
      <c r="AD279" s="18">
        <f t="shared" si="66"/>
        <v>0</v>
      </c>
      <c r="AE279" s="18">
        <f t="shared" si="66"/>
        <v>49.177864104006218</v>
      </c>
      <c r="AF279" s="18">
        <f t="shared" si="66"/>
        <v>10.496085099861414</v>
      </c>
      <c r="AG279" s="18">
        <f t="shared" si="66"/>
        <v>0.26335284935903241</v>
      </c>
      <c r="AH279" s="18">
        <f t="shared" si="66"/>
        <v>6.1758414333452061</v>
      </c>
      <c r="AI279" s="18">
        <f t="shared" si="66"/>
        <v>0.13182530704452253</v>
      </c>
      <c r="AJ279" s="18">
        <f t="shared" si="66"/>
        <v>1.4941274535410551</v>
      </c>
      <c r="AK279" s="18">
        <f t="shared" si="66"/>
        <v>8.497250016898281E-3</v>
      </c>
      <c r="AL279" s="18">
        <f t="shared" si="66"/>
        <v>4.1016847237074412</v>
      </c>
      <c r="AM279" s="18">
        <f t="shared" si="66"/>
        <v>4.7372232442009876</v>
      </c>
      <c r="AN279" s="18">
        <f t="shared" si="66"/>
        <v>68.760155265272843</v>
      </c>
      <c r="AO279" s="18">
        <f t="shared" si="66"/>
        <v>6.4026891824828303</v>
      </c>
      <c r="AP279" s="18">
        <f t="shared" si="66"/>
        <v>44.630549365006097</v>
      </c>
      <c r="AQ279" s="18">
        <f t="shared" si="66"/>
        <v>23.425092646329979</v>
      </c>
      <c r="AR279" s="18">
        <f t="shared" si="66"/>
        <v>12.728792255065368</v>
      </c>
      <c r="AS279" s="18">
        <f t="shared" si="66"/>
        <v>0.67526650330023985</v>
      </c>
      <c r="AT279" s="18">
        <f t="shared" si="66"/>
        <v>10.569801017269087</v>
      </c>
      <c r="AU279" s="18">
        <f t="shared" si="66"/>
        <v>69.486622197546126</v>
      </c>
      <c r="AW279" s="47">
        <f t="shared" si="57"/>
        <v>787.53708000000029</v>
      </c>
      <c r="AX279" s="18">
        <f t="shared" si="58"/>
        <v>894.66553812534437</v>
      </c>
    </row>
    <row r="280" spans="9:50" x14ac:dyDescent="0.3">
      <c r="I280">
        <v>2040</v>
      </c>
      <c r="J280" t="s">
        <v>41</v>
      </c>
      <c r="L280" s="18">
        <f t="shared" si="67"/>
        <v>1.598184246490755</v>
      </c>
      <c r="M280" s="18">
        <f t="shared" si="67"/>
        <v>34.613204641374303</v>
      </c>
      <c r="N280" s="18">
        <f t="shared" si="67"/>
        <v>10.65253150321146</v>
      </c>
      <c r="O280" s="18">
        <f t="shared" si="67"/>
        <v>42.31924735930447</v>
      </c>
      <c r="P280" s="18">
        <f t="shared" si="67"/>
        <v>2.9256805505224168</v>
      </c>
      <c r="Q280" s="18">
        <f t="shared" si="67"/>
        <v>3.6597564015003536</v>
      </c>
      <c r="R280" s="18">
        <f t="shared" si="67"/>
        <v>0.6558988363800099</v>
      </c>
      <c r="S280" s="18">
        <f t="shared" si="67"/>
        <v>55.612386315839231</v>
      </c>
      <c r="T280" s="18">
        <f t="shared" si="67"/>
        <v>306.43295956395963</v>
      </c>
      <c r="U280" s="18">
        <f t="shared" si="67"/>
        <v>36.384854905701644</v>
      </c>
      <c r="V280" s="18">
        <f t="shared" si="67"/>
        <v>8.0801102101949134</v>
      </c>
      <c r="W280" s="18">
        <f t="shared" si="67"/>
        <v>138.61147137352583</v>
      </c>
      <c r="X280" s="18">
        <f t="shared" si="67"/>
        <v>27.226969320640695</v>
      </c>
      <c r="Y280" s="18">
        <f t="shared" si="67"/>
        <v>309.01723341026712</v>
      </c>
      <c r="Z280" s="18">
        <f t="shared" si="67"/>
        <v>31.303594959812877</v>
      </c>
      <c r="AA280" s="18">
        <f t="shared" si="67"/>
        <v>12.137113260230986</v>
      </c>
      <c r="AB280" s="18">
        <f t="shared" si="66"/>
        <v>71.869136049713731</v>
      </c>
      <c r="AC280" s="18">
        <f t="shared" si="66"/>
        <v>0.37682145902098085</v>
      </c>
      <c r="AD280" s="18">
        <f t="shared" si="66"/>
        <v>0</v>
      </c>
      <c r="AE280" s="18">
        <f t="shared" si="66"/>
        <v>94.438083850005029</v>
      </c>
      <c r="AF280" s="18">
        <f t="shared" si="66"/>
        <v>23.786390720012641</v>
      </c>
      <c r="AG280" s="18">
        <f t="shared" si="66"/>
        <v>0.57422363790709285</v>
      </c>
      <c r="AH280" s="18">
        <f t="shared" si="66"/>
        <v>11.283858760885156</v>
      </c>
      <c r="AI280" s="18">
        <f t="shared" si="66"/>
        <v>0.14032084786677712</v>
      </c>
      <c r="AJ280" s="18">
        <f t="shared" si="66"/>
        <v>1.6018538529268278</v>
      </c>
      <c r="AK280" s="18">
        <f t="shared" si="66"/>
        <v>1.7154896595376491E-2</v>
      </c>
      <c r="AL280" s="18">
        <f t="shared" si="66"/>
        <v>8.7027522197177021</v>
      </c>
      <c r="AM280" s="18">
        <f t="shared" si="66"/>
        <v>4.8120323942997461</v>
      </c>
      <c r="AN280" s="18">
        <f t="shared" si="66"/>
        <v>121.41007456391836</v>
      </c>
      <c r="AO280" s="18">
        <f t="shared" si="66"/>
        <v>11.981552912113594</v>
      </c>
      <c r="AP280" s="18">
        <f t="shared" si="66"/>
        <v>90.726307090725271</v>
      </c>
      <c r="AQ280" s="18">
        <f t="shared" si="66"/>
        <v>27.730291168406492</v>
      </c>
      <c r="AR280" s="18">
        <f t="shared" si="66"/>
        <v>25.44266825302498</v>
      </c>
      <c r="AS280" s="18">
        <f t="shared" si="66"/>
        <v>1.3407260649181414</v>
      </c>
      <c r="AT280" s="18">
        <f t="shared" si="66"/>
        <v>20.108953860999542</v>
      </c>
      <c r="AU280" s="18">
        <f t="shared" si="66"/>
        <v>67.1743997750131</v>
      </c>
      <c r="AW280" s="47">
        <f t="shared" si="57"/>
        <v>1495.1062800000007</v>
      </c>
      <c r="AX280" s="18">
        <f t="shared" si="58"/>
        <v>1604.748799237027</v>
      </c>
    </row>
    <row r="281" spans="9:50" x14ac:dyDescent="0.3">
      <c r="I281">
        <v>2050</v>
      </c>
      <c r="J281" t="s">
        <v>41</v>
      </c>
      <c r="L281" s="18">
        <f t="shared" si="67"/>
        <v>1.6787082331678609</v>
      </c>
      <c r="M281" s="18">
        <f t="shared" si="67"/>
        <v>29.135306655681177</v>
      </c>
      <c r="N281" s="18">
        <f t="shared" si="67"/>
        <v>8.9308910347592843</v>
      </c>
      <c r="O281" s="18">
        <f t="shared" si="67"/>
        <v>31.948189713951805</v>
      </c>
      <c r="P281" s="18">
        <f t="shared" si="67"/>
        <v>3.0815439417701564</v>
      </c>
      <c r="Q281" s="18">
        <f t="shared" si="67"/>
        <v>3.7633136890504013</v>
      </c>
      <c r="R281" s="18">
        <f t="shared" si="67"/>
        <v>0.54679813125692311</v>
      </c>
      <c r="S281" s="18">
        <f t="shared" si="67"/>
        <v>44.39848298382568</v>
      </c>
      <c r="T281" s="18">
        <f t="shared" si="67"/>
        <v>243.69389582826443</v>
      </c>
      <c r="U281" s="18">
        <f t="shared" si="67"/>
        <v>27.490888311120106</v>
      </c>
      <c r="V281" s="18">
        <f t="shared" si="67"/>
        <v>7.653715646991281</v>
      </c>
      <c r="W281" s="18">
        <f t="shared" si="67"/>
        <v>111.72931020892455</v>
      </c>
      <c r="X281" s="18">
        <f t="shared" si="67"/>
        <v>22.362549534296498</v>
      </c>
      <c r="Y281" s="18">
        <f t="shared" si="67"/>
        <v>238.36017150113648</v>
      </c>
      <c r="Z281" s="18">
        <f t="shared" si="67"/>
        <v>26.039191706337213</v>
      </c>
      <c r="AA281" s="18">
        <f t="shared" si="67"/>
        <v>9.3716091139701483</v>
      </c>
      <c r="AB281" s="18">
        <f t="shared" si="66"/>
        <v>58.335816937812595</v>
      </c>
      <c r="AC281" s="18">
        <f t="shared" si="66"/>
        <v>0.23013954266533851</v>
      </c>
      <c r="AD281" s="18">
        <f t="shared" si="66"/>
        <v>0</v>
      </c>
      <c r="AE281" s="18">
        <f t="shared" si="66"/>
        <v>75.975226019650279</v>
      </c>
      <c r="AF281" s="18">
        <f t="shared" si="66"/>
        <v>22.199227298787203</v>
      </c>
      <c r="AG281" s="18">
        <f t="shared" si="66"/>
        <v>0.51477877616415268</v>
      </c>
      <c r="AH281" s="18">
        <f t="shared" si="66"/>
        <v>8.6049987366876479</v>
      </c>
      <c r="AI281" s="18">
        <f t="shared" si="66"/>
        <v>0.1488163886890318</v>
      </c>
      <c r="AJ281" s="18">
        <f t="shared" si="66"/>
        <v>1.7095802523126011</v>
      </c>
      <c r="AK281" s="18">
        <f t="shared" si="66"/>
        <v>1.4519474625652574E-2</v>
      </c>
      <c r="AL281" s="18">
        <f t="shared" si="66"/>
        <v>7.6983794360486275</v>
      </c>
      <c r="AM281" s="18">
        <f t="shared" si="66"/>
        <v>4.9005629166544837</v>
      </c>
      <c r="AN281" s="18">
        <f t="shared" si="66"/>
        <v>89.10015594149047</v>
      </c>
      <c r="AO281" s="18">
        <f t="shared" si="66"/>
        <v>9.3548551933820256</v>
      </c>
      <c r="AP281" s="18">
        <f t="shared" si="66"/>
        <v>77.240854129009335</v>
      </c>
      <c r="AQ281" s="18">
        <f t="shared" si="66"/>
        <v>32.035489690483011</v>
      </c>
      <c r="AR281" s="18">
        <f t="shared" si="66"/>
        <v>21.384277745267806</v>
      </c>
      <c r="AS281" s="18">
        <f t="shared" si="66"/>
        <v>1.1166683611362833</v>
      </c>
      <c r="AT281" s="18">
        <f t="shared" si="66"/>
        <v>16.03898203675822</v>
      </c>
      <c r="AU281" s="18">
        <f t="shared" si="66"/>
        <v>64.683531339437934</v>
      </c>
      <c r="AW281" s="47">
        <f t="shared" si="57"/>
        <v>1189.4698800000015</v>
      </c>
      <c r="AX281" s="18">
        <f t="shared" si="58"/>
        <v>1301.4714264515669</v>
      </c>
    </row>
    <row r="282" spans="9:50" x14ac:dyDescent="0.3"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W282" s="47"/>
      <c r="AX282" s="18">
        <f t="shared" si="58"/>
        <v>0</v>
      </c>
    </row>
    <row r="283" spans="9:50" x14ac:dyDescent="0.3">
      <c r="I283">
        <v>2005</v>
      </c>
      <c r="J283" t="s">
        <v>42</v>
      </c>
      <c r="L283" s="18">
        <f t="shared" si="67"/>
        <v>6.6</v>
      </c>
      <c r="M283" s="18">
        <f t="shared" si="67"/>
        <v>33.1</v>
      </c>
      <c r="N283" s="18">
        <f t="shared" si="67"/>
        <v>5.5</v>
      </c>
      <c r="O283" s="18">
        <f t="shared" si="67"/>
        <v>13.2</v>
      </c>
      <c r="P283" s="18">
        <f t="shared" si="67"/>
        <v>25.8</v>
      </c>
      <c r="Q283" s="18">
        <f t="shared" si="67"/>
        <v>14.3</v>
      </c>
      <c r="R283" s="18">
        <f t="shared" si="67"/>
        <v>0</v>
      </c>
      <c r="S283" s="18">
        <f t="shared" si="67"/>
        <v>11.2</v>
      </c>
      <c r="T283" s="18">
        <f t="shared" si="67"/>
        <v>89.5</v>
      </c>
      <c r="U283" s="18">
        <f t="shared" si="67"/>
        <v>6.4</v>
      </c>
      <c r="V283" s="18">
        <f t="shared" si="67"/>
        <v>12.3</v>
      </c>
      <c r="W283" s="18">
        <f t="shared" si="67"/>
        <v>28.2</v>
      </c>
      <c r="X283" s="18">
        <f t="shared" si="67"/>
        <v>56</v>
      </c>
      <c r="Y283" s="18">
        <f t="shared" si="67"/>
        <v>197.6</v>
      </c>
      <c r="Z283" s="18">
        <f t="shared" si="67"/>
        <v>5.7</v>
      </c>
      <c r="AA283" s="18">
        <f t="shared" si="67"/>
        <v>11</v>
      </c>
      <c r="AB283" s="18">
        <f t="shared" ref="AB283:AU288" si="68">SUMIFS(AB$5:AB$234,$I$5:$I$234,$I283,$H$5:$H$234,"ACT_BND",$B$5:$B$234,$J283)</f>
        <v>20.9</v>
      </c>
      <c r="AC283" s="18">
        <f t="shared" si="68"/>
        <v>1.9</v>
      </c>
      <c r="AD283" s="18">
        <f t="shared" si="68"/>
        <v>0</v>
      </c>
      <c r="AE283" s="18">
        <f t="shared" si="68"/>
        <v>61.1</v>
      </c>
      <c r="AF283" s="18">
        <f t="shared" si="68"/>
        <v>14.7</v>
      </c>
      <c r="AG283" s="18">
        <f t="shared" si="68"/>
        <v>0.2</v>
      </c>
      <c r="AH283" s="18">
        <f t="shared" si="68"/>
        <v>20.100000000000001</v>
      </c>
      <c r="AI283" s="18">
        <f t="shared" si="68"/>
        <v>4.0999999999999996</v>
      </c>
      <c r="AJ283" s="18">
        <f t="shared" si="68"/>
        <v>20.399999999999999</v>
      </c>
      <c r="AK283" s="18">
        <f t="shared" si="68"/>
        <v>0</v>
      </c>
      <c r="AL283" s="18">
        <f t="shared" si="68"/>
        <v>2.4</v>
      </c>
      <c r="AM283" s="18">
        <f t="shared" si="68"/>
        <v>26.9</v>
      </c>
      <c r="AN283" s="18">
        <f t="shared" si="68"/>
        <v>24</v>
      </c>
      <c r="AO283" s="18">
        <f t="shared" si="68"/>
        <v>16</v>
      </c>
      <c r="AP283" s="18">
        <f t="shared" si="68"/>
        <v>32.5</v>
      </c>
      <c r="AQ283" s="18">
        <f t="shared" si="68"/>
        <v>140.5</v>
      </c>
      <c r="AR283" s="18">
        <f t="shared" si="68"/>
        <v>72.2</v>
      </c>
      <c r="AS283" s="18">
        <f t="shared" si="68"/>
        <v>13.4</v>
      </c>
      <c r="AT283" s="18">
        <f t="shared" si="68"/>
        <v>3.7</v>
      </c>
      <c r="AU283" s="18">
        <f t="shared" si="68"/>
        <v>8.8000000000000007</v>
      </c>
      <c r="AW283" s="47">
        <f t="shared" si="57"/>
        <v>752.80000000000007</v>
      </c>
      <c r="AX283" s="18">
        <f t="shared" si="58"/>
        <v>1000.2000000000002</v>
      </c>
    </row>
    <row r="284" spans="9:50" x14ac:dyDescent="0.3">
      <c r="I284">
        <v>2010</v>
      </c>
      <c r="J284" t="s">
        <v>42</v>
      </c>
      <c r="L284" s="18">
        <f t="shared" si="67"/>
        <v>6.7</v>
      </c>
      <c r="M284" s="18">
        <f t="shared" si="67"/>
        <v>33.200000000000003</v>
      </c>
      <c r="N284" s="18">
        <f t="shared" si="67"/>
        <v>5.6</v>
      </c>
      <c r="O284" s="18">
        <f t="shared" si="67"/>
        <v>12.9</v>
      </c>
      <c r="P284" s="18">
        <f t="shared" si="67"/>
        <v>25.9</v>
      </c>
      <c r="Q284" s="18">
        <f t="shared" si="67"/>
        <v>14.4</v>
      </c>
      <c r="R284" s="18">
        <f t="shared" si="67"/>
        <v>0</v>
      </c>
      <c r="S284" s="18">
        <f t="shared" si="67"/>
        <v>11.1</v>
      </c>
      <c r="T284" s="18">
        <f t="shared" si="67"/>
        <v>89.9</v>
      </c>
      <c r="U284" s="18">
        <f t="shared" si="67"/>
        <v>6.4</v>
      </c>
      <c r="V284" s="18">
        <f t="shared" si="67"/>
        <v>12.2</v>
      </c>
      <c r="W284" s="18">
        <f t="shared" si="67"/>
        <v>27.6</v>
      </c>
      <c r="X284" s="18">
        <f t="shared" si="67"/>
        <v>55.7</v>
      </c>
      <c r="Y284" s="18">
        <f t="shared" si="67"/>
        <v>195.2</v>
      </c>
      <c r="Z284" s="18">
        <f t="shared" si="67"/>
        <v>5.6</v>
      </c>
      <c r="AA284" s="18">
        <f t="shared" si="67"/>
        <v>10.8</v>
      </c>
      <c r="AB284" s="18">
        <f t="shared" si="68"/>
        <v>20.7</v>
      </c>
      <c r="AC284" s="18">
        <f t="shared" si="68"/>
        <v>1.8</v>
      </c>
      <c r="AD284" s="18">
        <f t="shared" si="68"/>
        <v>0</v>
      </c>
      <c r="AE284" s="18">
        <f t="shared" si="68"/>
        <v>60.8</v>
      </c>
      <c r="AF284" s="18">
        <f t="shared" si="68"/>
        <v>14.6</v>
      </c>
      <c r="AG284" s="18">
        <f t="shared" si="68"/>
        <v>0.2</v>
      </c>
      <c r="AH284" s="18">
        <f t="shared" si="68"/>
        <v>20.100000000000001</v>
      </c>
      <c r="AI284" s="18">
        <f t="shared" si="68"/>
        <v>4.0999999999999996</v>
      </c>
      <c r="AJ284" s="18">
        <f t="shared" si="68"/>
        <v>20.5</v>
      </c>
      <c r="AK284" s="18">
        <f t="shared" si="68"/>
        <v>0</v>
      </c>
      <c r="AL284" s="18">
        <f t="shared" si="68"/>
        <v>2.2999999999999998</v>
      </c>
      <c r="AM284" s="18">
        <f t="shared" si="68"/>
        <v>27</v>
      </c>
      <c r="AN284" s="18">
        <f t="shared" si="68"/>
        <v>23.9</v>
      </c>
      <c r="AO284" s="18">
        <f t="shared" si="68"/>
        <v>15.8</v>
      </c>
      <c r="AP284" s="18">
        <f t="shared" si="68"/>
        <v>32.200000000000003</v>
      </c>
      <c r="AQ284" s="18">
        <f t="shared" si="68"/>
        <v>141.1</v>
      </c>
      <c r="AR284" s="18">
        <f t="shared" si="68"/>
        <v>72.5</v>
      </c>
      <c r="AS284" s="18">
        <f t="shared" si="68"/>
        <v>13.4</v>
      </c>
      <c r="AT284" s="18">
        <f t="shared" si="68"/>
        <v>3.6</v>
      </c>
      <c r="AU284" s="18">
        <f t="shared" si="68"/>
        <v>8.6999999999999993</v>
      </c>
      <c r="AW284" s="47">
        <f t="shared" si="57"/>
        <v>748.1</v>
      </c>
      <c r="AX284" s="18">
        <f t="shared" si="58"/>
        <v>996.50000000000011</v>
      </c>
    </row>
    <row r="285" spans="9:50" x14ac:dyDescent="0.3">
      <c r="I285">
        <v>2020</v>
      </c>
      <c r="J285" t="s">
        <v>42</v>
      </c>
      <c r="L285" s="18">
        <f t="shared" si="67"/>
        <v>6.3</v>
      </c>
      <c r="M285" s="18">
        <f t="shared" si="67"/>
        <v>33</v>
      </c>
      <c r="N285" s="18">
        <f t="shared" si="67"/>
        <v>6</v>
      </c>
      <c r="O285" s="18">
        <f t="shared" si="67"/>
        <v>12.2</v>
      </c>
      <c r="P285" s="18">
        <f t="shared" si="67"/>
        <v>26.2</v>
      </c>
      <c r="Q285" s="18">
        <f t="shared" si="67"/>
        <v>13.1</v>
      </c>
      <c r="R285" s="18">
        <f t="shared" si="67"/>
        <v>0</v>
      </c>
      <c r="S285" s="18">
        <f t="shared" si="67"/>
        <v>10.8</v>
      </c>
      <c r="T285" s="18">
        <f t="shared" si="67"/>
        <v>91.5</v>
      </c>
      <c r="U285" s="18">
        <f t="shared" si="67"/>
        <v>6.3</v>
      </c>
      <c r="V285" s="18">
        <f t="shared" si="67"/>
        <v>11.8</v>
      </c>
      <c r="W285" s="18">
        <f t="shared" si="67"/>
        <v>25.2</v>
      </c>
      <c r="X285" s="18">
        <f t="shared" si="67"/>
        <v>74.2</v>
      </c>
      <c r="Y285" s="18">
        <f t="shared" si="67"/>
        <v>186.7</v>
      </c>
      <c r="Z285" s="18">
        <f t="shared" si="67"/>
        <v>5.4</v>
      </c>
      <c r="AA285" s="18">
        <f t="shared" si="67"/>
        <v>10.199999999999999</v>
      </c>
      <c r="AB285" s="18">
        <f t="shared" si="68"/>
        <v>19.899999999999999</v>
      </c>
      <c r="AC285" s="18">
        <f t="shared" si="68"/>
        <v>1.5</v>
      </c>
      <c r="AD285" s="18">
        <f t="shared" si="68"/>
        <v>0</v>
      </c>
      <c r="AE285" s="18">
        <f t="shared" si="68"/>
        <v>59.8</v>
      </c>
      <c r="AF285" s="18">
        <f t="shared" si="68"/>
        <v>14.1</v>
      </c>
      <c r="AG285" s="18">
        <f t="shared" si="68"/>
        <v>0.2</v>
      </c>
      <c r="AH285" s="18">
        <f t="shared" si="68"/>
        <v>19.899999999999999</v>
      </c>
      <c r="AI285" s="18">
        <f t="shared" si="68"/>
        <v>4.0999999999999996</v>
      </c>
      <c r="AJ285" s="18">
        <f t="shared" si="68"/>
        <v>20.7</v>
      </c>
      <c r="AK285" s="18">
        <f t="shared" si="68"/>
        <v>0</v>
      </c>
      <c r="AL285" s="18">
        <f t="shared" si="68"/>
        <v>2.1</v>
      </c>
      <c r="AM285" s="18">
        <f t="shared" si="68"/>
        <v>26.7</v>
      </c>
      <c r="AN285" s="18">
        <f t="shared" si="68"/>
        <v>23.5</v>
      </c>
      <c r="AO285" s="18">
        <f t="shared" si="68"/>
        <v>15</v>
      </c>
      <c r="AP285" s="18">
        <f t="shared" si="68"/>
        <v>31.2</v>
      </c>
      <c r="AQ285" s="18">
        <f t="shared" si="68"/>
        <v>116.1</v>
      </c>
      <c r="AR285" s="18">
        <f t="shared" si="68"/>
        <v>72.2</v>
      </c>
      <c r="AS285" s="18">
        <f t="shared" si="68"/>
        <v>13.3</v>
      </c>
      <c r="AT285" s="18">
        <f t="shared" si="68"/>
        <v>3.5</v>
      </c>
      <c r="AU285" s="18">
        <f t="shared" si="68"/>
        <v>8.5</v>
      </c>
      <c r="AW285" s="47">
        <f t="shared" si="57"/>
        <v>749.5</v>
      </c>
      <c r="AX285" s="18">
        <f t="shared" si="58"/>
        <v>971.20000000000016</v>
      </c>
    </row>
    <row r="286" spans="9:50" x14ac:dyDescent="0.3">
      <c r="I286">
        <v>2030</v>
      </c>
      <c r="J286" t="s">
        <v>42</v>
      </c>
      <c r="L286" s="18">
        <f t="shared" si="67"/>
        <v>5.8</v>
      </c>
      <c r="M286" s="18">
        <f t="shared" si="67"/>
        <v>37.078538692621322</v>
      </c>
      <c r="N286" s="18">
        <f t="shared" si="67"/>
        <v>6.6015202420097303</v>
      </c>
      <c r="O286" s="18">
        <f t="shared" si="67"/>
        <v>13.203040484019461</v>
      </c>
      <c r="P286" s="18">
        <f t="shared" si="67"/>
        <v>27</v>
      </c>
      <c r="Q286" s="18">
        <f t="shared" si="67"/>
        <v>13.4</v>
      </c>
      <c r="R286" s="18">
        <f t="shared" si="67"/>
        <v>0</v>
      </c>
      <c r="S286" s="18">
        <f t="shared" si="67"/>
        <v>12.102787110351171</v>
      </c>
      <c r="T286" s="18">
        <f t="shared" si="67"/>
        <v>100.3431076785479</v>
      </c>
      <c r="U286" s="18">
        <f t="shared" si="67"/>
        <v>7.0416215914770452</v>
      </c>
      <c r="V286" s="18">
        <f t="shared" si="67"/>
        <v>12.982989809285803</v>
      </c>
      <c r="W286" s="18">
        <f t="shared" si="67"/>
        <v>27.836410353807697</v>
      </c>
      <c r="X286" s="18">
        <f t="shared" si="67"/>
        <v>91.100979339734266</v>
      </c>
      <c r="Y286" s="18">
        <f t="shared" si="67"/>
        <v>205.96743155070357</v>
      </c>
      <c r="Z286" s="18">
        <f t="shared" si="67"/>
        <v>5.9413682178087575</v>
      </c>
      <c r="AA286" s="18">
        <f t="shared" si="67"/>
        <v>11.222584411416541</v>
      </c>
      <c r="AB286" s="18">
        <f t="shared" si="68"/>
        <v>21.895042135998938</v>
      </c>
      <c r="AC286" s="18">
        <f t="shared" si="68"/>
        <v>1.4303293857687749</v>
      </c>
      <c r="AD286" s="18">
        <f t="shared" si="68"/>
        <v>0</v>
      </c>
      <c r="AE286" s="18">
        <f t="shared" si="68"/>
        <v>65.575101070629984</v>
      </c>
      <c r="AF286" s="18">
        <f t="shared" si="68"/>
        <v>15.733623243456522</v>
      </c>
      <c r="AG286" s="18">
        <f t="shared" si="68"/>
        <v>0.22005067473365766</v>
      </c>
      <c r="AH286" s="18">
        <f t="shared" si="68"/>
        <v>22.115092810732595</v>
      </c>
      <c r="AI286" s="18">
        <f t="shared" si="68"/>
        <v>12.5</v>
      </c>
      <c r="AJ286" s="18">
        <f t="shared" si="68"/>
        <v>21.3</v>
      </c>
      <c r="AK286" s="18">
        <f t="shared" si="68"/>
        <v>0</v>
      </c>
      <c r="AL286" s="18">
        <f t="shared" si="68"/>
        <v>2.2005067473365769</v>
      </c>
      <c r="AM286" s="18">
        <f t="shared" si="68"/>
        <v>27.6</v>
      </c>
      <c r="AN286" s="18">
        <f t="shared" si="68"/>
        <v>25.855954281204774</v>
      </c>
      <c r="AO286" s="18">
        <f t="shared" si="68"/>
        <v>16.833876617124812</v>
      </c>
      <c r="AP286" s="18">
        <f t="shared" si="68"/>
        <v>34.217879921083764</v>
      </c>
      <c r="AQ286" s="18">
        <f t="shared" si="68"/>
        <v>0</v>
      </c>
      <c r="AR286" s="18">
        <f t="shared" si="68"/>
        <v>80.428521615151865</v>
      </c>
      <c r="AS286" s="18">
        <f t="shared" si="68"/>
        <v>14.633369869788234</v>
      </c>
      <c r="AT286" s="18">
        <f t="shared" si="68"/>
        <v>3.960912145205838</v>
      </c>
      <c r="AU286" s="18">
        <f t="shared" si="68"/>
        <v>8.4</v>
      </c>
      <c r="AW286" s="47">
        <f t="shared" si="57"/>
        <v>836.52263999999957</v>
      </c>
      <c r="AX286" s="18">
        <f t="shared" si="58"/>
        <v>952.52263999999957</v>
      </c>
    </row>
    <row r="287" spans="9:50" x14ac:dyDescent="0.3">
      <c r="I287">
        <v>2040</v>
      </c>
      <c r="J287" t="s">
        <v>42</v>
      </c>
      <c r="L287" s="18">
        <f t="shared" si="67"/>
        <v>5.9</v>
      </c>
      <c r="M287" s="18">
        <f t="shared" si="67"/>
        <v>45.680071068427409</v>
      </c>
      <c r="N287" s="18">
        <f t="shared" si="67"/>
        <v>8.3791846338535496</v>
      </c>
      <c r="O287" s="18">
        <f t="shared" si="67"/>
        <v>15.406887875150074</v>
      </c>
      <c r="P287" s="18">
        <f t="shared" si="67"/>
        <v>27.8</v>
      </c>
      <c r="Q287" s="18">
        <f t="shared" si="67"/>
        <v>14.3</v>
      </c>
      <c r="R287" s="18">
        <f t="shared" si="67"/>
        <v>0</v>
      </c>
      <c r="S287" s="18">
        <f t="shared" si="67"/>
        <v>14.59599903961586</v>
      </c>
      <c r="T287" s="18">
        <f t="shared" si="67"/>
        <v>124.74173253301331</v>
      </c>
      <c r="U287" s="18">
        <f t="shared" si="67"/>
        <v>8.6494809123649539</v>
      </c>
      <c r="V287" s="18">
        <f t="shared" si="67"/>
        <v>15.406887875150074</v>
      </c>
      <c r="W287" s="18">
        <f t="shared" si="67"/>
        <v>31.894960864345766</v>
      </c>
      <c r="X287" s="18">
        <f t="shared" si="67"/>
        <v>110.95662232893166</v>
      </c>
      <c r="Y287" s="18">
        <f t="shared" si="67"/>
        <v>244.88842833133273</v>
      </c>
      <c r="Z287" s="18">
        <f t="shared" si="67"/>
        <v>7.1628513805522269</v>
      </c>
      <c r="AA287" s="18">
        <f t="shared" si="67"/>
        <v>13.244517647058837</v>
      </c>
      <c r="AB287" s="18">
        <f t="shared" si="68"/>
        <v>26.218739015606264</v>
      </c>
      <c r="AC287" s="18">
        <f t="shared" si="68"/>
        <v>1.4866295318127265</v>
      </c>
      <c r="AD287" s="18">
        <f t="shared" si="68"/>
        <v>0</v>
      </c>
      <c r="AE287" s="18">
        <f t="shared" si="68"/>
        <v>79.602254021608701</v>
      </c>
      <c r="AF287" s="18">
        <f t="shared" si="68"/>
        <v>18.920739495798337</v>
      </c>
      <c r="AG287" s="18">
        <f t="shared" si="68"/>
        <v>0.27029627851140481</v>
      </c>
      <c r="AH287" s="18">
        <f t="shared" si="68"/>
        <v>27.164775990396183</v>
      </c>
      <c r="AI287" s="18">
        <f t="shared" si="68"/>
        <v>13.2</v>
      </c>
      <c r="AJ287" s="18">
        <f t="shared" si="68"/>
        <v>21.9</v>
      </c>
      <c r="AK287" s="18">
        <f t="shared" si="68"/>
        <v>0</v>
      </c>
      <c r="AL287" s="18">
        <f t="shared" si="68"/>
        <v>2.5678146458583453</v>
      </c>
      <c r="AM287" s="18">
        <f t="shared" si="68"/>
        <v>28</v>
      </c>
      <c r="AN287" s="18">
        <f t="shared" si="68"/>
        <v>31.489516446578662</v>
      </c>
      <c r="AO287" s="18">
        <f t="shared" si="68"/>
        <v>20.001924609843954</v>
      </c>
      <c r="AP287" s="18">
        <f t="shared" si="68"/>
        <v>41.085034333733525</v>
      </c>
      <c r="AQ287" s="18">
        <f t="shared" si="68"/>
        <v>0</v>
      </c>
      <c r="AR287" s="18">
        <f t="shared" si="68"/>
        <v>101.22595630252111</v>
      </c>
      <c r="AS287" s="18">
        <f t="shared" si="68"/>
        <v>17.434109963985609</v>
      </c>
      <c r="AT287" s="18">
        <f t="shared" si="68"/>
        <v>4.7301848739495842</v>
      </c>
      <c r="AU287" s="18">
        <f t="shared" si="68"/>
        <v>8.1999999999999993</v>
      </c>
      <c r="AW287" s="47">
        <f t="shared" si="57"/>
        <v>1013.2056000000009</v>
      </c>
      <c r="AX287" s="18">
        <f t="shared" si="58"/>
        <v>1132.5056000000009</v>
      </c>
    </row>
    <row r="288" spans="9:50" x14ac:dyDescent="0.3">
      <c r="I288">
        <v>2050</v>
      </c>
      <c r="J288" t="s">
        <v>42</v>
      </c>
      <c r="L288" s="18">
        <f t="shared" si="67"/>
        <v>5.4</v>
      </c>
      <c r="M288" s="18">
        <f t="shared" si="67"/>
        <v>28.07879121951219</v>
      </c>
      <c r="N288" s="18">
        <f t="shared" si="67"/>
        <v>5.3010107317073158</v>
      </c>
      <c r="O288" s="18">
        <f t="shared" si="67"/>
        <v>9.0282839024390231</v>
      </c>
      <c r="P288" s="18">
        <f t="shared" si="67"/>
        <v>25.3</v>
      </c>
      <c r="Q288" s="18">
        <f t="shared" si="67"/>
        <v>14.1</v>
      </c>
      <c r="R288" s="18">
        <f t="shared" si="67"/>
        <v>0</v>
      </c>
      <c r="S288" s="18">
        <f t="shared" si="67"/>
        <v>8.8626273170731675</v>
      </c>
      <c r="T288" s="18">
        <f t="shared" si="67"/>
        <v>77.113140487804856</v>
      </c>
      <c r="U288" s="18">
        <f t="shared" si="67"/>
        <v>5.3010107317073158</v>
      </c>
      <c r="V288" s="18">
        <f t="shared" si="67"/>
        <v>9.2767687804878012</v>
      </c>
      <c r="W288" s="18">
        <f t="shared" si="67"/>
        <v>18.47070926829268</v>
      </c>
      <c r="X288" s="18">
        <f t="shared" si="67"/>
        <v>66.759603902438997</v>
      </c>
      <c r="Y288" s="18">
        <f t="shared" si="67"/>
        <v>146.19193658536582</v>
      </c>
      <c r="Z288" s="18">
        <f t="shared" si="67"/>
        <v>4.3070712195121938</v>
      </c>
      <c r="AA288" s="18">
        <f t="shared" si="67"/>
        <v>7.7858595121951204</v>
      </c>
      <c r="AB288" s="18">
        <f t="shared" si="68"/>
        <v>15.654547317073165</v>
      </c>
      <c r="AC288" s="18">
        <f t="shared" si="68"/>
        <v>0.66262634146341448</v>
      </c>
      <c r="AD288" s="18">
        <f t="shared" si="68"/>
        <v>0</v>
      </c>
      <c r="AE288" s="18">
        <f t="shared" si="68"/>
        <v>48.206066341463412</v>
      </c>
      <c r="AF288" s="18">
        <f t="shared" si="68"/>
        <v>11.430304390243899</v>
      </c>
      <c r="AG288" s="18">
        <f t="shared" si="68"/>
        <v>0.16565658536585362</v>
      </c>
      <c r="AH288" s="18">
        <f t="shared" si="68"/>
        <v>16.64848682926829</v>
      </c>
      <c r="AI288" s="18">
        <f t="shared" si="68"/>
        <v>11.7</v>
      </c>
      <c r="AJ288" s="18">
        <f t="shared" si="68"/>
        <v>19.899999999999999</v>
      </c>
      <c r="AK288" s="18">
        <f t="shared" si="68"/>
        <v>0</v>
      </c>
      <c r="AL288" s="18">
        <f t="shared" si="68"/>
        <v>1.4080809756097556</v>
      </c>
      <c r="AM288" s="18">
        <f t="shared" si="68"/>
        <v>25.1</v>
      </c>
      <c r="AN288" s="18">
        <f t="shared" si="68"/>
        <v>19.050507317073166</v>
      </c>
      <c r="AO288" s="18">
        <f t="shared" si="68"/>
        <v>12.010102439024386</v>
      </c>
      <c r="AP288" s="18">
        <f t="shared" si="68"/>
        <v>24.682831219512188</v>
      </c>
      <c r="AQ288" s="18">
        <f t="shared" si="68"/>
        <v>0</v>
      </c>
      <c r="AR288" s="18">
        <f t="shared" si="68"/>
        <v>62.20404780487803</v>
      </c>
      <c r="AS288" s="18">
        <f t="shared" si="68"/>
        <v>9.7737385365853626</v>
      </c>
      <c r="AT288" s="18">
        <f t="shared" si="68"/>
        <v>2.8989902439024382</v>
      </c>
      <c r="AU288" s="18">
        <f t="shared" si="68"/>
        <v>8.1</v>
      </c>
      <c r="AW288" s="47">
        <f t="shared" si="57"/>
        <v>611.27279999999985</v>
      </c>
      <c r="AX288" s="18">
        <f t="shared" si="58"/>
        <v>720.87279999999987</v>
      </c>
    </row>
    <row r="289" spans="8:59" x14ac:dyDescent="0.3"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W289" s="47"/>
      <c r="AX289" s="18">
        <f t="shared" si="58"/>
        <v>0</v>
      </c>
    </row>
    <row r="290" spans="8:59" x14ac:dyDescent="0.3">
      <c r="I290">
        <v>2005</v>
      </c>
      <c r="J290" t="s">
        <v>43</v>
      </c>
      <c r="L290" s="18">
        <f t="shared" si="67"/>
        <v>5.6889563978556703</v>
      </c>
      <c r="M290" s="18">
        <f t="shared" si="67"/>
        <v>21.205970000000004</v>
      </c>
      <c r="N290" s="18">
        <f t="shared" si="67"/>
        <v>10.41962</v>
      </c>
      <c r="O290" s="18">
        <f t="shared" si="67"/>
        <v>10.652509999999999</v>
      </c>
      <c r="P290" s="18">
        <f t="shared" si="67"/>
        <v>11.663086729402064</v>
      </c>
      <c r="Q290" s="18">
        <f t="shared" si="67"/>
        <v>17.662825300000002</v>
      </c>
      <c r="R290" s="18">
        <f t="shared" si="67"/>
        <v>0</v>
      </c>
      <c r="S290" s="18">
        <f t="shared" si="67"/>
        <v>20.113775532258138</v>
      </c>
      <c r="T290" s="18">
        <f t="shared" si="67"/>
        <v>64.930230000000009</v>
      </c>
      <c r="U290" s="18">
        <f t="shared" si="67"/>
        <v>6.1328899999999997</v>
      </c>
      <c r="V290" s="18">
        <f t="shared" si="67"/>
        <v>12.72308</v>
      </c>
      <c r="W290" s="18">
        <f t="shared" si="67"/>
        <v>47.976010000000009</v>
      </c>
      <c r="X290" s="18">
        <f t="shared" si="67"/>
        <v>74</v>
      </c>
      <c r="Y290" s="18">
        <f t="shared" si="67"/>
        <v>103.49202</v>
      </c>
      <c r="Z290" s="18">
        <f t="shared" si="67"/>
        <v>10.78905</v>
      </c>
      <c r="AA290" s="18">
        <f t="shared" si="67"/>
        <v>6.2348471660307716</v>
      </c>
      <c r="AB290" s="18">
        <f t="shared" ref="AB290:AU295" si="69">SUMIFS(AB$5:AB$234,$I$5:$I$234,$I290,$H$5:$H$234,"ACT_BND",$B$5:$B$234,$J290)</f>
        <v>9.6757800000000014</v>
      </c>
      <c r="AC290" s="18">
        <f t="shared" si="69"/>
        <v>7.9659700000000013</v>
      </c>
      <c r="AD290" s="18">
        <f t="shared" si="69"/>
        <v>0</v>
      </c>
      <c r="AE290" s="18">
        <f t="shared" si="69"/>
        <v>30.377909999999993</v>
      </c>
      <c r="AF290" s="18">
        <f t="shared" si="69"/>
        <v>9.75943</v>
      </c>
      <c r="AG290" s="18">
        <f t="shared" si="69"/>
        <v>0.64</v>
      </c>
      <c r="AH290" s="18">
        <f t="shared" si="69"/>
        <v>24.426159999999999</v>
      </c>
      <c r="AI290" s="18">
        <f t="shared" si="69"/>
        <v>11.874478198927836</v>
      </c>
      <c r="AJ290" s="18">
        <f t="shared" si="69"/>
        <v>11.225151895175259</v>
      </c>
      <c r="AK290" s="18">
        <f t="shared" si="69"/>
        <v>0</v>
      </c>
      <c r="AL290" s="18">
        <f t="shared" si="69"/>
        <v>9.5628899999999994</v>
      </c>
      <c r="AM290" s="18">
        <f t="shared" si="69"/>
        <v>69.336970747601924</v>
      </c>
      <c r="AN290" s="18">
        <f t="shared" si="69"/>
        <v>42.33023</v>
      </c>
      <c r="AO290" s="18">
        <f t="shared" si="69"/>
        <v>21.325780000000002</v>
      </c>
      <c r="AP290" s="18">
        <f t="shared" si="69"/>
        <v>47.321303315463922</v>
      </c>
      <c r="AQ290" s="18">
        <f t="shared" si="69"/>
        <v>22.661695259876289</v>
      </c>
      <c r="AR290" s="18">
        <f t="shared" si="69"/>
        <v>69.947382862474072</v>
      </c>
      <c r="AS290" s="18">
        <f t="shared" si="69"/>
        <v>3.05654</v>
      </c>
      <c r="AT290" s="18">
        <f t="shared" si="69"/>
        <v>6.2728900000000003</v>
      </c>
      <c r="AU290" s="18">
        <f t="shared" si="69"/>
        <v>29.777720000000006</v>
      </c>
      <c r="AW290" s="47">
        <f t="shared" si="57"/>
        <v>671.33226887622686</v>
      </c>
      <c r="AX290" s="18">
        <f t="shared" si="58"/>
        <v>851.22315340506611</v>
      </c>
    </row>
    <row r="291" spans="8:59" x14ac:dyDescent="0.3">
      <c r="I291">
        <v>2010</v>
      </c>
      <c r="J291" t="s">
        <v>43</v>
      </c>
      <c r="L291" s="18">
        <f t="shared" si="67"/>
        <v>5.7389563978556701</v>
      </c>
      <c r="M291" s="18">
        <f t="shared" si="67"/>
        <v>21.925970000000003</v>
      </c>
      <c r="N291" s="18">
        <f t="shared" si="67"/>
        <v>10.34962</v>
      </c>
      <c r="O291" s="18">
        <f t="shared" si="67"/>
        <v>10.602510000000001</v>
      </c>
      <c r="P291" s="18">
        <f t="shared" si="67"/>
        <v>11.793086729402063</v>
      </c>
      <c r="Q291" s="18">
        <f t="shared" si="67"/>
        <v>18.082825300000003</v>
      </c>
      <c r="R291" s="18">
        <f t="shared" si="67"/>
        <v>0</v>
      </c>
      <c r="S291" s="18">
        <f t="shared" si="67"/>
        <v>20.023775532258139</v>
      </c>
      <c r="T291" s="18">
        <f t="shared" si="67"/>
        <v>66.10023000000001</v>
      </c>
      <c r="U291" s="18">
        <f t="shared" si="67"/>
        <v>6.0328899999999992</v>
      </c>
      <c r="V291" s="18">
        <f t="shared" si="67"/>
        <v>12.38308</v>
      </c>
      <c r="W291" s="18">
        <f t="shared" si="67"/>
        <v>48.216010000000011</v>
      </c>
      <c r="X291" s="18">
        <f t="shared" si="67"/>
        <v>73.8</v>
      </c>
      <c r="Y291" s="18">
        <f t="shared" si="67"/>
        <v>104.26202000000001</v>
      </c>
      <c r="Z291" s="18">
        <f t="shared" si="67"/>
        <v>10.759049999999998</v>
      </c>
      <c r="AA291" s="18">
        <f t="shared" si="67"/>
        <v>6.004847166030773</v>
      </c>
      <c r="AB291" s="18">
        <f t="shared" si="69"/>
        <v>9.6757800000000014</v>
      </c>
      <c r="AC291" s="18">
        <f t="shared" si="69"/>
        <v>7.9459700000000009</v>
      </c>
      <c r="AD291" s="18">
        <f t="shared" si="69"/>
        <v>0</v>
      </c>
      <c r="AE291" s="18">
        <f t="shared" si="69"/>
        <v>30.147909999999989</v>
      </c>
      <c r="AF291" s="18">
        <f t="shared" si="69"/>
        <v>9.5194299999999998</v>
      </c>
      <c r="AG291" s="18">
        <f t="shared" si="69"/>
        <v>0.67999999999999994</v>
      </c>
      <c r="AH291" s="18">
        <f t="shared" si="69"/>
        <v>23.83616</v>
      </c>
      <c r="AI291" s="18">
        <f t="shared" si="69"/>
        <v>12.204478198927834</v>
      </c>
      <c r="AJ291" s="18">
        <f t="shared" si="69"/>
        <v>11.285151895175259</v>
      </c>
      <c r="AK291" s="18">
        <f t="shared" si="69"/>
        <v>0</v>
      </c>
      <c r="AL291" s="18">
        <f t="shared" si="69"/>
        <v>9.1328899999999997</v>
      </c>
      <c r="AM291" s="18">
        <f t="shared" si="69"/>
        <v>70.146970747601912</v>
      </c>
      <c r="AN291" s="18">
        <f t="shared" si="69"/>
        <v>42.790229999999994</v>
      </c>
      <c r="AO291" s="18">
        <f t="shared" si="69"/>
        <v>20.72578</v>
      </c>
      <c r="AP291" s="18">
        <f t="shared" si="69"/>
        <v>47.381303315463924</v>
      </c>
      <c r="AQ291" s="18">
        <f t="shared" si="69"/>
        <v>22.991695259876291</v>
      </c>
      <c r="AR291" s="18">
        <f t="shared" si="69"/>
        <v>116.56738286247406</v>
      </c>
      <c r="AS291" s="18">
        <f t="shared" si="69"/>
        <v>2.8965399999999999</v>
      </c>
      <c r="AT291" s="18">
        <f t="shared" si="69"/>
        <v>6.2428900000000001</v>
      </c>
      <c r="AU291" s="18">
        <f t="shared" si="69"/>
        <v>29.667720000000006</v>
      </c>
      <c r="AW291" s="47">
        <f t="shared" si="57"/>
        <v>718.00226887622671</v>
      </c>
      <c r="AX291" s="18">
        <f t="shared" si="58"/>
        <v>899.91315340506583</v>
      </c>
    </row>
    <row r="292" spans="8:59" x14ac:dyDescent="0.3">
      <c r="I292">
        <v>2020</v>
      </c>
      <c r="J292" t="s">
        <v>43</v>
      </c>
      <c r="L292" s="18">
        <f t="shared" si="67"/>
        <v>4.1370081877426212</v>
      </c>
      <c r="M292" s="18">
        <f t="shared" si="67"/>
        <v>20.301254999999998</v>
      </c>
      <c r="N292" s="18">
        <f t="shared" si="67"/>
        <v>13.248084942917821</v>
      </c>
      <c r="O292" s="18">
        <f t="shared" si="67"/>
        <v>6.3928900000000013</v>
      </c>
      <c r="P292" s="18">
        <f t="shared" si="67"/>
        <v>9.0311816775281386</v>
      </c>
      <c r="Q292" s="18">
        <f t="shared" si="67"/>
        <v>14.776214950000002</v>
      </c>
      <c r="R292" s="18">
        <f t="shared" si="67"/>
        <v>0</v>
      </c>
      <c r="S292" s="18">
        <f t="shared" si="67"/>
        <v>12.266266202713442</v>
      </c>
      <c r="T292" s="18">
        <f t="shared" si="67"/>
        <v>54.009924999999996</v>
      </c>
      <c r="U292" s="18">
        <f t="shared" si="67"/>
        <v>3.7530800000000002</v>
      </c>
      <c r="V292" s="18">
        <f t="shared" si="67"/>
        <v>13.609938598000001</v>
      </c>
      <c r="W292" s="18">
        <f t="shared" si="67"/>
        <v>29.866084999999998</v>
      </c>
      <c r="X292" s="18">
        <f t="shared" si="67"/>
        <v>81.7</v>
      </c>
      <c r="Y292" s="18">
        <f t="shared" si="67"/>
        <v>68.512169999999998</v>
      </c>
      <c r="Z292" s="18">
        <f t="shared" si="67"/>
        <v>6.2677949999999996</v>
      </c>
      <c r="AA292" s="18">
        <f t="shared" si="67"/>
        <v>4.1363024277927298</v>
      </c>
      <c r="AB292" s="18">
        <f t="shared" si="69"/>
        <v>5.56616</v>
      </c>
      <c r="AC292" s="18">
        <f t="shared" si="69"/>
        <v>4.4496199999999995</v>
      </c>
      <c r="AD292" s="18">
        <f t="shared" si="69"/>
        <v>0</v>
      </c>
      <c r="AE292" s="18">
        <f t="shared" si="69"/>
        <v>19.590494999999997</v>
      </c>
      <c r="AF292" s="18">
        <f t="shared" si="69"/>
        <v>6.18635</v>
      </c>
      <c r="AG292" s="18">
        <f t="shared" si="69"/>
        <v>0.73</v>
      </c>
      <c r="AH292" s="18">
        <f t="shared" si="69"/>
        <v>19.954715</v>
      </c>
      <c r="AI292" s="18">
        <f t="shared" si="69"/>
        <v>12.698504093871311</v>
      </c>
      <c r="AJ292" s="18">
        <f t="shared" si="69"/>
        <v>7.4482684224208988</v>
      </c>
      <c r="AK292" s="18">
        <f t="shared" si="69"/>
        <v>0</v>
      </c>
      <c r="AL292" s="18">
        <f t="shared" si="69"/>
        <v>5.811445</v>
      </c>
      <c r="AM292" s="18">
        <f t="shared" si="69"/>
        <v>50.109503880857794</v>
      </c>
      <c r="AN292" s="18">
        <f t="shared" si="69"/>
        <v>29.31156</v>
      </c>
      <c r="AO292" s="18">
        <f t="shared" si="69"/>
        <v>14.99616</v>
      </c>
      <c r="AP292" s="18">
        <f t="shared" si="69"/>
        <v>32.291734897855179</v>
      </c>
      <c r="AQ292" s="18">
        <f t="shared" si="69"/>
        <v>18.573859261184968</v>
      </c>
      <c r="AR292" s="18">
        <f t="shared" si="69"/>
        <v>118.63876840545819</v>
      </c>
      <c r="AS292" s="18">
        <f t="shared" si="69"/>
        <v>1.87327</v>
      </c>
      <c r="AT292" s="18">
        <f t="shared" si="69"/>
        <v>4.1430800000000003</v>
      </c>
      <c r="AU292" s="18">
        <f t="shared" si="69"/>
        <v>18.827034999999999</v>
      </c>
      <c r="AW292" s="47">
        <f t="shared" si="57"/>
        <v>577.60715047473741</v>
      </c>
      <c r="AX292" s="18">
        <f t="shared" si="58"/>
        <v>713.20872594834316</v>
      </c>
    </row>
    <row r="293" spans="8:59" x14ac:dyDescent="0.3">
      <c r="I293">
        <v>2030</v>
      </c>
      <c r="J293" t="s">
        <v>43</v>
      </c>
      <c r="L293" s="18">
        <f t="shared" si="67"/>
        <v>4.4182044992685565</v>
      </c>
      <c r="M293" s="18">
        <f t="shared" si="67"/>
        <v>18.223676708518003</v>
      </c>
      <c r="N293" s="18">
        <f t="shared" si="67"/>
        <v>9.7460664575980651</v>
      </c>
      <c r="O293" s="18">
        <f t="shared" si="67"/>
        <v>5.4966641150175271</v>
      </c>
      <c r="P293" s="18">
        <f t="shared" si="67"/>
        <v>9.6683749153256873</v>
      </c>
      <c r="Q293" s="18">
        <f t="shared" si="67"/>
        <v>13.369959594000001</v>
      </c>
      <c r="R293" s="18">
        <f t="shared" si="67"/>
        <v>0</v>
      </c>
      <c r="S293" s="18">
        <f t="shared" si="67"/>
        <v>10.380693696688541</v>
      </c>
      <c r="T293" s="18">
        <f t="shared" si="67"/>
        <v>47.280833801949704</v>
      </c>
      <c r="U293" s="18">
        <f t="shared" si="67"/>
        <v>3.1990523799555279</v>
      </c>
      <c r="V293" s="18">
        <f t="shared" si="67"/>
        <v>8.7910345850580853</v>
      </c>
      <c r="W293" s="18">
        <f t="shared" si="67"/>
        <v>26.16111876298525</v>
      </c>
      <c r="X293" s="18">
        <f t="shared" si="67"/>
        <v>103.38817614916823</v>
      </c>
      <c r="Y293" s="18">
        <f t="shared" si="67"/>
        <v>59.826686181397349</v>
      </c>
      <c r="Z293" s="18">
        <f t="shared" si="67"/>
        <v>5.5387251466899192</v>
      </c>
      <c r="AA293" s="18">
        <f t="shared" si="67"/>
        <v>3.2562076129084057</v>
      </c>
      <c r="AB293" s="18">
        <f t="shared" si="69"/>
        <v>4.8589675372411687</v>
      </c>
      <c r="AC293" s="18">
        <f t="shared" si="69"/>
        <v>3.9279709841871417</v>
      </c>
      <c r="AD293" s="18">
        <f t="shared" si="69"/>
        <v>0</v>
      </c>
      <c r="AE293" s="18">
        <f t="shared" si="69"/>
        <v>16.920258818714998</v>
      </c>
      <c r="AF293" s="18">
        <f t="shared" si="69"/>
        <v>5.0890843594352368</v>
      </c>
      <c r="AG293" s="18">
        <f t="shared" si="69"/>
        <v>0.76962161644483407</v>
      </c>
      <c r="AH293" s="18">
        <f t="shared" si="69"/>
        <v>16.143180873558624</v>
      </c>
      <c r="AI293" s="18">
        <f t="shared" si="69"/>
        <v>13.94410224963428</v>
      </c>
      <c r="AJ293" s="18">
        <f t="shared" si="69"/>
        <v>7.8634601233542529</v>
      </c>
      <c r="AK293" s="18">
        <f t="shared" si="69"/>
        <v>2.2678022188584966E-2</v>
      </c>
      <c r="AL293" s="18">
        <f t="shared" si="69"/>
        <v>4.3495688156478041</v>
      </c>
      <c r="AM293" s="18">
        <f t="shared" si="69"/>
        <v>48.345025048783</v>
      </c>
      <c r="AN293" s="18">
        <f t="shared" si="69"/>
        <v>25.758442925994999</v>
      </c>
      <c r="AO293" s="18">
        <f t="shared" si="69"/>
        <v>12.133382545680828</v>
      </c>
      <c r="AP293" s="18">
        <f t="shared" si="69"/>
        <v>27.690526710682796</v>
      </c>
      <c r="AQ293" s="18">
        <f t="shared" si="69"/>
        <v>0</v>
      </c>
      <c r="AR293" s="18">
        <f t="shared" si="69"/>
        <v>106.61587517324897</v>
      </c>
      <c r="AS293" s="18">
        <f t="shared" si="69"/>
        <v>1.2918837190054226</v>
      </c>
      <c r="AT293" s="18">
        <f t="shared" si="69"/>
        <v>3.6071823000347187</v>
      </c>
      <c r="AU293" s="18">
        <f t="shared" si="69"/>
        <v>19.215387879999998</v>
      </c>
      <c r="AW293" s="47">
        <f t="shared" si="57"/>
        <v>530.46756000000073</v>
      </c>
      <c r="AX293" s="18">
        <f t="shared" si="58"/>
        <v>647.29207431036639</v>
      </c>
    </row>
    <row r="294" spans="8:59" x14ac:dyDescent="0.3">
      <c r="I294">
        <v>2040</v>
      </c>
      <c r="J294" t="s">
        <v>43</v>
      </c>
      <c r="L294" s="18">
        <f t="shared" si="67"/>
        <v>5.2985300465838865</v>
      </c>
      <c r="M294" s="18">
        <f t="shared" si="67"/>
        <v>28.176633082228765</v>
      </c>
      <c r="N294" s="18">
        <f t="shared" si="67"/>
        <v>14.977725664492709</v>
      </c>
      <c r="O294" s="18">
        <f t="shared" si="67"/>
        <v>6.4674847968811555</v>
      </c>
      <c r="P294" s="18">
        <f t="shared" si="67"/>
        <v>12.028971752070458</v>
      </c>
      <c r="Q294" s="18">
        <f t="shared" si="67"/>
        <v>17.593130119999998</v>
      </c>
      <c r="R294" s="18">
        <f t="shared" si="67"/>
        <v>0</v>
      </c>
      <c r="S294" s="18">
        <f t="shared" si="67"/>
        <v>11.449325512970983</v>
      </c>
      <c r="T294" s="18">
        <f t="shared" si="67"/>
        <v>68.620297524576586</v>
      </c>
      <c r="U294" s="18">
        <f t="shared" si="67"/>
        <v>4.6866175500234668</v>
      </c>
      <c r="V294" s="18">
        <f t="shared" si="67"/>
        <v>9.7858926181930599</v>
      </c>
      <c r="W294" s="18">
        <f t="shared" si="67"/>
        <v>41.3521991748445</v>
      </c>
      <c r="X294" s="18">
        <f t="shared" si="67"/>
        <v>163.91693315546627</v>
      </c>
      <c r="Y294" s="18">
        <f t="shared" si="67"/>
        <v>95.455936828675704</v>
      </c>
      <c r="Z294" s="18">
        <f t="shared" si="67"/>
        <v>8.5514582391966947</v>
      </c>
      <c r="AA294" s="18">
        <f t="shared" si="67"/>
        <v>4.4393786289845067</v>
      </c>
      <c r="AB294" s="18">
        <f t="shared" si="69"/>
        <v>7.557070229005844</v>
      </c>
      <c r="AC294" s="18">
        <f t="shared" si="69"/>
        <v>6.0549212853547401</v>
      </c>
      <c r="AD294" s="18">
        <f t="shared" si="69"/>
        <v>0</v>
      </c>
      <c r="AE294" s="18">
        <f t="shared" si="69"/>
        <v>25.636885763289815</v>
      </c>
      <c r="AF294" s="18">
        <f t="shared" si="69"/>
        <v>7.2389124393042898</v>
      </c>
      <c r="AG294" s="18">
        <f t="shared" si="69"/>
        <v>1.2792483335478644</v>
      </c>
      <c r="AH294" s="18">
        <f t="shared" si="69"/>
        <v>23.639579235446739</v>
      </c>
      <c r="AI294" s="18">
        <f t="shared" si="69"/>
        <v>19.834265023291941</v>
      </c>
      <c r="AJ294" s="18">
        <f t="shared" si="69"/>
        <v>8.8941926048137461</v>
      </c>
      <c r="AK294" s="18">
        <f t="shared" si="69"/>
        <v>3.5331079784585315E-2</v>
      </c>
      <c r="AL294" s="18">
        <f t="shared" si="69"/>
        <v>5.5870802784664333</v>
      </c>
      <c r="AM294" s="18">
        <f t="shared" si="69"/>
        <v>57.019621203520558</v>
      </c>
      <c r="AN294" s="18">
        <f t="shared" si="69"/>
        <v>41.26779545026929</v>
      </c>
      <c r="AO294" s="18">
        <f t="shared" si="69"/>
        <v>17.015754192130487</v>
      </c>
      <c r="AP294" s="18">
        <f t="shared" si="69"/>
        <v>43.208422209328475</v>
      </c>
      <c r="AQ294" s="18">
        <f t="shared" si="69"/>
        <v>0</v>
      </c>
      <c r="AR294" s="18">
        <f t="shared" si="69"/>
        <v>176.66492903633969</v>
      </c>
      <c r="AS294" s="18">
        <f t="shared" si="69"/>
        <v>1.586084289809742</v>
      </c>
      <c r="AT294" s="18">
        <f t="shared" si="69"/>
        <v>5.5422234013866118</v>
      </c>
      <c r="AU294" s="18">
        <f t="shared" si="69"/>
        <v>18.995387879999999</v>
      </c>
      <c r="AW294" s="47">
        <f t="shared" si="57"/>
        <v>820.19411999999897</v>
      </c>
      <c r="AX294" s="18">
        <f t="shared" si="58"/>
        <v>959.85821863027945</v>
      </c>
    </row>
    <row r="295" spans="8:59" x14ac:dyDescent="0.3">
      <c r="I295">
        <v>2050</v>
      </c>
      <c r="J295" t="s">
        <v>43</v>
      </c>
      <c r="L295" s="18">
        <f t="shared" si="67"/>
        <v>5.4491033208238449</v>
      </c>
      <c r="M295" s="18">
        <f t="shared" si="67"/>
        <v>18.700441727555649</v>
      </c>
      <c r="N295" s="18">
        <f t="shared" si="67"/>
        <v>9.2201609271636382</v>
      </c>
      <c r="O295" s="18">
        <f t="shared" si="67"/>
        <v>3.9505423202110239</v>
      </c>
      <c r="P295" s="18">
        <f t="shared" si="67"/>
        <v>12.450022754843715</v>
      </c>
      <c r="Q295" s="18">
        <f t="shared" si="67"/>
        <v>20.213130120000002</v>
      </c>
      <c r="R295" s="18">
        <f t="shared" si="67"/>
        <v>0</v>
      </c>
      <c r="S295" s="18">
        <f t="shared" si="67"/>
        <v>6.9770427307349703</v>
      </c>
      <c r="T295" s="18">
        <f t="shared" si="67"/>
        <v>44.580938824196579</v>
      </c>
      <c r="U295" s="18">
        <f t="shared" si="67"/>
        <v>2.7623956122172766</v>
      </c>
      <c r="V295" s="18">
        <f t="shared" si="67"/>
        <v>5.5241611323438224</v>
      </c>
      <c r="W295" s="18">
        <f t="shared" si="67"/>
        <v>26.099862130239664</v>
      </c>
      <c r="X295" s="18">
        <f t="shared" si="67"/>
        <v>103.08551050458198</v>
      </c>
      <c r="Y295" s="18">
        <f t="shared" si="67"/>
        <v>60.62194922405228</v>
      </c>
      <c r="Z295" s="18">
        <f t="shared" si="67"/>
        <v>5.2870224842078697</v>
      </c>
      <c r="AA295" s="18">
        <f t="shared" si="67"/>
        <v>2.3907467819410932</v>
      </c>
      <c r="AB295" s="18">
        <f t="shared" si="69"/>
        <v>4.7006562436226496</v>
      </c>
      <c r="AC295" s="18">
        <f t="shared" si="69"/>
        <v>3.7260831255392013</v>
      </c>
      <c r="AD295" s="18">
        <f t="shared" si="69"/>
        <v>0</v>
      </c>
      <c r="AE295" s="18">
        <f t="shared" si="69"/>
        <v>15.56071326357397</v>
      </c>
      <c r="AF295" s="18">
        <f t="shared" si="69"/>
        <v>4.3008237067952653</v>
      </c>
      <c r="AG295" s="18">
        <f t="shared" si="69"/>
        <v>0.84980121984200752</v>
      </c>
      <c r="AH295" s="18">
        <f t="shared" si="69"/>
        <v>13.778808555985645</v>
      </c>
      <c r="AI295" s="18">
        <f t="shared" si="69"/>
        <v>20.884551660411923</v>
      </c>
      <c r="AJ295" s="18">
        <f t="shared" si="69"/>
        <v>9.0754824718536522</v>
      </c>
      <c r="AK295" s="18">
        <f t="shared" si="69"/>
        <v>2.1976672936806777E-2</v>
      </c>
      <c r="AL295" s="18">
        <f t="shared" si="69"/>
        <v>2.7596329205357533</v>
      </c>
      <c r="AM295" s="18">
        <f t="shared" si="69"/>
        <v>58.735197892568365</v>
      </c>
      <c r="AN295" s="18">
        <f t="shared" si="69"/>
        <v>26.393123875346753</v>
      </c>
      <c r="AO295" s="18">
        <f t="shared" si="69"/>
        <v>9.6272781455849845</v>
      </c>
      <c r="AP295" s="18">
        <f t="shared" si="69"/>
        <v>26.98491950609877</v>
      </c>
      <c r="AQ295" s="18">
        <f t="shared" si="69"/>
        <v>0</v>
      </c>
      <c r="AR295" s="18">
        <f t="shared" si="69"/>
        <v>112.47648314249905</v>
      </c>
      <c r="AS295" s="18">
        <f t="shared" si="69"/>
        <v>0.76947093782298248</v>
      </c>
      <c r="AT295" s="18">
        <f t="shared" si="69"/>
        <v>3.4071742843699502</v>
      </c>
      <c r="AU295" s="18">
        <f t="shared" si="69"/>
        <v>18.795387880000003</v>
      </c>
      <c r="AW295" s="47">
        <f t="shared" si="57"/>
        <v>514.55771999999956</v>
      </c>
      <c r="AX295" s="18">
        <f t="shared" si="58"/>
        <v>660.16059610050127</v>
      </c>
    </row>
    <row r="302" spans="8:59" x14ac:dyDescent="0.3">
      <c r="H302" s="4" t="s">
        <v>110</v>
      </c>
    </row>
    <row r="303" spans="8:59" x14ac:dyDescent="0.3">
      <c r="H303" s="4" t="s">
        <v>111</v>
      </c>
      <c r="AX303" s="5"/>
      <c r="AY303" s="5"/>
      <c r="AZ303" s="5"/>
      <c r="BA303" s="5"/>
      <c r="BD303" s="5"/>
      <c r="BE303" s="5"/>
      <c r="BF303" s="5"/>
      <c r="BG303" s="5"/>
    </row>
    <row r="304" spans="8:59" x14ac:dyDescent="0.3">
      <c r="I304" s="4" t="s">
        <v>112</v>
      </c>
      <c r="J304" s="4" t="s">
        <v>113</v>
      </c>
      <c r="K304" s="4" t="s">
        <v>114</v>
      </c>
      <c r="L304" s="4" t="s">
        <v>2</v>
      </c>
      <c r="M304" s="4" t="s">
        <v>3</v>
      </c>
      <c r="N304" s="4" t="s">
        <v>4</v>
      </c>
      <c r="O304" s="4" t="s">
        <v>5</v>
      </c>
      <c r="P304" s="4" t="s">
        <v>6</v>
      </c>
      <c r="Q304" s="4" t="s">
        <v>7</v>
      </c>
      <c r="R304" s="4" t="s">
        <v>8</v>
      </c>
      <c r="S304" s="4" t="s">
        <v>9</v>
      </c>
      <c r="T304" s="4" t="s">
        <v>10</v>
      </c>
      <c r="U304" s="4" t="s">
        <v>11</v>
      </c>
      <c r="V304" s="4" t="s">
        <v>12</v>
      </c>
      <c r="W304" s="4" t="s">
        <v>13</v>
      </c>
      <c r="X304" s="4" t="s">
        <v>14</v>
      </c>
      <c r="Y304" s="4" t="s">
        <v>15</v>
      </c>
      <c r="Z304" s="4" t="s">
        <v>16</v>
      </c>
      <c r="AA304" s="4" t="s">
        <v>17</v>
      </c>
      <c r="AB304" s="4" t="s">
        <v>18</v>
      </c>
      <c r="AC304" s="4" t="s">
        <v>19</v>
      </c>
      <c r="AD304" s="4" t="s">
        <v>20</v>
      </c>
      <c r="AE304" s="4" t="s">
        <v>21</v>
      </c>
      <c r="AF304" s="4" t="s">
        <v>22</v>
      </c>
      <c r="AG304" s="4" t="s">
        <v>23</v>
      </c>
      <c r="AH304" s="4" t="s">
        <v>24</v>
      </c>
      <c r="AI304" s="4" t="s">
        <v>25</v>
      </c>
      <c r="AJ304" s="4" t="s">
        <v>26</v>
      </c>
      <c r="AK304" s="4" t="s">
        <v>27</v>
      </c>
      <c r="AL304" s="4" t="s">
        <v>28</v>
      </c>
      <c r="AM304" s="4" t="s">
        <v>29</v>
      </c>
      <c r="AN304" s="4" t="s">
        <v>30</v>
      </c>
      <c r="AO304" s="4" t="s">
        <v>31</v>
      </c>
      <c r="AP304" s="4" t="s">
        <v>32</v>
      </c>
      <c r="AQ304" s="4" t="s">
        <v>33</v>
      </c>
      <c r="AR304" s="4" t="s">
        <v>34</v>
      </c>
      <c r="AS304" s="4" t="s">
        <v>35</v>
      </c>
      <c r="AT304" s="4" t="s">
        <v>36</v>
      </c>
      <c r="AU304" s="4" t="s">
        <v>37</v>
      </c>
      <c r="AV304" s="4" t="s">
        <v>115</v>
      </c>
      <c r="AX304" s="5"/>
      <c r="AY304" s="5"/>
      <c r="AZ304" s="5"/>
      <c r="BA304" s="5"/>
      <c r="BD304" s="5"/>
      <c r="BE304" s="5"/>
      <c r="BF304" s="5"/>
      <c r="BG304" s="5"/>
    </row>
    <row r="305" spans="9:59" x14ac:dyDescent="0.3">
      <c r="I305">
        <v>2030</v>
      </c>
      <c r="J305" t="s">
        <v>39</v>
      </c>
      <c r="K305" s="48">
        <v>3296.2676400000005</v>
      </c>
      <c r="L305">
        <f>$K305*[1]bioshares!C6</f>
        <v>0</v>
      </c>
      <c r="M305" s="18">
        <f>$K305*[1]bioshares!D6</f>
        <v>32.671896859299011</v>
      </c>
      <c r="N305" s="18">
        <f>$K305*[1]bioshares!E6</f>
        <v>177.21858435086139</v>
      </c>
      <c r="O305" s="18">
        <f>$K305*[1]bioshares!F6</f>
        <v>18.513208018116892</v>
      </c>
      <c r="P305" s="18">
        <f>$K305*[1]bioshares!G6</f>
        <v>0</v>
      </c>
      <c r="Q305" s="18">
        <f>$K305*[1]bioshares!H6</f>
        <v>0</v>
      </c>
      <c r="R305" s="18">
        <f>$K305*[1]bioshares!I6</f>
        <v>12.413724306973359</v>
      </c>
      <c r="S305" s="18">
        <f>$K305*[1]bioshares!J6</f>
        <v>101.35845985901109</v>
      </c>
      <c r="T305" s="18">
        <f>$K305*[1]bioshares!K6</f>
        <v>471.50346373546711</v>
      </c>
      <c r="U305" s="18">
        <f>$K305*[1]bioshares!L6</f>
        <v>137.99010703098457</v>
      </c>
      <c r="V305" s="18">
        <f>$K305*[1]bioshares!M6</f>
        <v>22.594715983269246</v>
      </c>
      <c r="W305" s="18">
        <f>$K305*[1]bioshares!N6</f>
        <v>278.459121995771</v>
      </c>
      <c r="X305" s="18">
        <f>$K305*[1]bioshares!O6</f>
        <v>35.240527986891358</v>
      </c>
      <c r="Y305" s="18">
        <f>$K305*[1]bioshares!P6</f>
        <v>711.44902394507153</v>
      </c>
      <c r="Z305" s="18">
        <f>$K305*[1]bioshares!Q6</f>
        <v>21.33131446012208</v>
      </c>
      <c r="AA305" s="18">
        <f>$K305*[1]bioshares!R6</f>
        <v>7.0346302151519176</v>
      </c>
      <c r="AB305" s="18">
        <f>$K305*[1]bioshares!S6</f>
        <v>147.66281163737798</v>
      </c>
      <c r="AC305" s="18">
        <f>$K305*[1]bioshares!T6</f>
        <v>41.850189614522662</v>
      </c>
      <c r="AD305" s="18">
        <f>$K305*[1]bioshares!U6</f>
        <v>0</v>
      </c>
      <c r="AE305" s="18">
        <f>$K305*[1]bioshares!V6</f>
        <v>316.12170536912214</v>
      </c>
      <c r="AF305" s="18">
        <f>$K305*[1]bioshares!W6</f>
        <v>32.378116163452951</v>
      </c>
      <c r="AG305" s="18">
        <f>$K305*[1]bioshares!X6</f>
        <v>3.4220403112622528</v>
      </c>
      <c r="AH305" s="18">
        <f>$K305*[1]bioshares!Y6</f>
        <v>18.010221280298484</v>
      </c>
      <c r="AI305" s="18">
        <f>$K305*[1]bioshares!Z6</f>
        <v>0</v>
      </c>
      <c r="AJ305" s="18">
        <f>$K305*[1]bioshares!AA6</f>
        <v>0</v>
      </c>
      <c r="AK305" s="18">
        <f>$K305*[1]bioshares!AB6</f>
        <v>9.297921473916972</v>
      </c>
      <c r="AL305" s="18">
        <f>$K305*[1]bioshares!AC6</f>
        <v>207.46881975967781</v>
      </c>
      <c r="AM305" s="18">
        <f>$K305*[1]bioshares!AD6</f>
        <v>0</v>
      </c>
      <c r="AN305" s="18">
        <f>$K305*[1]bioshares!AE6</f>
        <v>215.28553054696607</v>
      </c>
      <c r="AO305" s="18">
        <f>$K305*[1]bioshares!AF6</f>
        <v>74.080028483698513</v>
      </c>
      <c r="AP305" s="18">
        <f>$K305*[1]bioshares!AG6</f>
        <v>66.509704019845032</v>
      </c>
      <c r="AQ305" s="18">
        <f>$K305*[1]bioshares!AH6</f>
        <v>0</v>
      </c>
      <c r="AR305" s="18">
        <f>$K305*[1]bioshares!AI6</f>
        <v>94.97627228582067</v>
      </c>
      <c r="AS305" s="18">
        <f>$K305*[1]bioshares!AJ6</f>
        <v>5.3320162215469029</v>
      </c>
      <c r="AT305" s="18">
        <f>$K305*[1]bioshares!AK6</f>
        <v>36.093484085501643</v>
      </c>
      <c r="AU305" s="18">
        <f>$K305*[1]bioshares!AL6</f>
        <v>0</v>
      </c>
      <c r="AV305" s="48">
        <f>SUM(L305:AU305)-K305</f>
        <v>0</v>
      </c>
      <c r="AX305" s="5"/>
      <c r="AY305" s="5"/>
      <c r="AZ305" s="5"/>
      <c r="BA305" s="5"/>
      <c r="BD305" s="5"/>
      <c r="BE305" s="5"/>
      <c r="BF305" s="5"/>
      <c r="BG305" s="5"/>
    </row>
    <row r="306" spans="9:59" x14ac:dyDescent="0.3">
      <c r="I306">
        <v>2040</v>
      </c>
      <c r="J306" t="s">
        <v>39</v>
      </c>
      <c r="K306" s="48">
        <v>2990.6312400000006</v>
      </c>
      <c r="L306">
        <f>$K306*[1]bioshares!C7</f>
        <v>0</v>
      </c>
      <c r="M306" s="18">
        <f>$K306*[1]bioshares!D7</f>
        <v>31.116319656855932</v>
      </c>
      <c r="N306" s="18">
        <f>$K306*[1]bioshares!E7</f>
        <v>173.31367256194159</v>
      </c>
      <c r="O306" s="18">
        <f>$K306*[1]bioshares!F7</f>
        <v>16.289202768767126</v>
      </c>
      <c r="P306" s="18">
        <f>$K306*[1]bioshares!G7</f>
        <v>0</v>
      </c>
      <c r="Q306" s="18">
        <f>$K306*[1]bioshares!H7</f>
        <v>0</v>
      </c>
      <c r="R306" s="18">
        <f>$K306*[1]bioshares!I7</f>
        <v>11.618388498014744</v>
      </c>
      <c r="S306" s="18">
        <f>$K306*[1]bioshares!J7</f>
        <v>85.147966840669127</v>
      </c>
      <c r="T306" s="18">
        <f>$K306*[1]bioshares!K7</f>
        <v>423.43622756012843</v>
      </c>
      <c r="U306" s="18">
        <f>$K306*[1]bioshares!L7</f>
        <v>123.08146730799236</v>
      </c>
      <c r="V306" s="18">
        <f>$K306*[1]bioshares!M7</f>
        <v>20.223170718215027</v>
      </c>
      <c r="W306" s="18">
        <f>$K306*[1]bioshares!N7</f>
        <v>252.49084175598892</v>
      </c>
      <c r="X306" s="18">
        <f>$K306*[1]bioshares!O7</f>
        <v>41.956551315594602</v>
      </c>
      <c r="Y306" s="18">
        <f>$K306*[1]bioshares!P7</f>
        <v>634.49749439065965</v>
      </c>
      <c r="Z306" s="18">
        <f>$K306*[1]bioshares!Q7</f>
        <v>19.61276485821455</v>
      </c>
      <c r="AA306" s="18">
        <f>$K306*[1]bioshares!R7</f>
        <v>6.0697323699281185</v>
      </c>
      <c r="AB306" s="18">
        <f>$K306*[1]bioshares!S7</f>
        <v>131.03449000993757</v>
      </c>
      <c r="AC306" s="18">
        <f>$K306*[1]bioshares!T7</f>
        <v>36.56926309006613</v>
      </c>
      <c r="AD306" s="18">
        <f>$K306*[1]bioshares!U7</f>
        <v>0</v>
      </c>
      <c r="AE306" s="18">
        <f>$K306*[1]bioshares!V7</f>
        <v>276.39419490236901</v>
      </c>
      <c r="AF306" s="18">
        <f>$K306*[1]bioshares!W7</f>
        <v>30.402351609127045</v>
      </c>
      <c r="AG306" s="18">
        <f>$K306*[1]bioshares!X7</f>
        <v>2.9690520972291954</v>
      </c>
      <c r="AH306" s="18">
        <f>$K306*[1]bioshares!Y7</f>
        <v>16.044071478448188</v>
      </c>
      <c r="AI306" s="18">
        <f>$K306*[1]bioshares!Z7</f>
        <v>0</v>
      </c>
      <c r="AJ306" s="18">
        <f>$K306*[1]bioshares!AA7</f>
        <v>0</v>
      </c>
      <c r="AK306" s="18">
        <f>$K306*[1]bioshares!AB7</f>
        <v>9.0399425266777911</v>
      </c>
      <c r="AL306" s="18">
        <f>$K306*[1]bioshares!AC7</f>
        <v>192.4438645597707</v>
      </c>
      <c r="AM306" s="18">
        <f>$K306*[1]bioshares!AD7</f>
        <v>0</v>
      </c>
      <c r="AN306" s="18">
        <f>$K306*[1]bioshares!AE7</f>
        <v>206.49649205235156</v>
      </c>
      <c r="AO306" s="18">
        <f>$K306*[1]bioshares!AF7</f>
        <v>68.922433287776485</v>
      </c>
      <c r="AP306" s="18">
        <f>$K306*[1]bioshares!AG7</f>
        <v>56.329680050187257</v>
      </c>
      <c r="AQ306" s="18">
        <f>$K306*[1]bioshares!AH7</f>
        <v>0</v>
      </c>
      <c r="AR306" s="18">
        <f>$K306*[1]bioshares!AI7</f>
        <v>89.383570758149133</v>
      </c>
      <c r="AS306" s="18">
        <f>$K306*[1]bioshares!AJ7</f>
        <v>4.7484825863517184</v>
      </c>
      <c r="AT306" s="18">
        <f>$K306*[1]bioshares!AK7</f>
        <v>30.999550388588716</v>
      </c>
      <c r="AU306" s="18">
        <f>$K306*[1]bioshares!AL7</f>
        <v>0</v>
      </c>
      <c r="AV306" s="48">
        <f t="shared" ref="AV306:AV319" si="70">SUM(L306:AU306)-K306</f>
        <v>0</v>
      </c>
      <c r="AX306" s="5"/>
      <c r="AY306" s="5"/>
      <c r="AZ306" s="5"/>
      <c r="BA306" s="5"/>
      <c r="BD306" s="5"/>
      <c r="BE306" s="5"/>
      <c r="BF306" s="5"/>
      <c r="BG306" s="5"/>
    </row>
    <row r="307" spans="9:59" x14ac:dyDescent="0.3">
      <c r="I307">
        <v>2050</v>
      </c>
      <c r="J307" t="s">
        <v>39</v>
      </c>
      <c r="K307" s="48">
        <v>3151.40436</v>
      </c>
      <c r="L307">
        <f>$K307*[1]bioshares!C8</f>
        <v>0</v>
      </c>
      <c r="M307" s="18">
        <f>$K307*[1]bioshares!D8</f>
        <v>34.491511663936819</v>
      </c>
      <c r="N307" s="18">
        <f>$K307*[1]bioshares!E8</f>
        <v>198.51410815053976</v>
      </c>
      <c r="O307" s="18">
        <f>$K307*[1]bioshares!F8</f>
        <v>16.703942787600582</v>
      </c>
      <c r="P307" s="18">
        <f>$K307*[1]bioshares!G8</f>
        <v>0</v>
      </c>
      <c r="Q307" s="18">
        <f>$K307*[1]bioshares!H8</f>
        <v>0</v>
      </c>
      <c r="R307" s="18">
        <f>$K307*[1]bioshares!I8</f>
        <v>12.672633501769189</v>
      </c>
      <c r="S307" s="18">
        <f>$K307*[1]bioshares!J8</f>
        <v>83.085809111502428</v>
      </c>
      <c r="T307" s="18">
        <f>$K307*[1]bioshares!K8</f>
        <v>440.66351238120717</v>
      </c>
      <c r="U307" s="18">
        <f>$K307*[1]bioshares!L8</f>
        <v>128.02656426289553</v>
      </c>
      <c r="V307" s="18">
        <f>$K307*[1]bioshares!M8</f>
        <v>21.071188986182538</v>
      </c>
      <c r="W307" s="18">
        <f>$K307*[1]bioshares!N8</f>
        <v>265.59222042343191</v>
      </c>
      <c r="X307" s="18">
        <f>$K307*[1]bioshares!O8</f>
        <v>48.930704894003689</v>
      </c>
      <c r="Y307" s="18">
        <f>$K307*[1]bioshares!P8</f>
        <v>659.26225956339158</v>
      </c>
      <c r="Z307" s="18">
        <f>$K307*[1]bioshares!Q8</f>
        <v>20.927200788343395</v>
      </c>
      <c r="AA307" s="18">
        <f>$K307*[1]bioshares!R8</f>
        <v>6.0817127776988817</v>
      </c>
      <c r="AB307" s="18">
        <f>$K307*[1]bioshares!S8</f>
        <v>135.09305969419665</v>
      </c>
      <c r="AC307" s="18">
        <f>$K307*[1]bioshares!T8</f>
        <v>37.22161202679878</v>
      </c>
      <c r="AD307" s="18">
        <f>$K307*[1]bioshares!U8</f>
        <v>0</v>
      </c>
      <c r="AE307" s="18">
        <f>$K307*[1]bioshares!V8</f>
        <v>281.37221154941051</v>
      </c>
      <c r="AF307" s="18">
        <f>$K307*[1]bioshares!W8</f>
        <v>32.908110544408181</v>
      </c>
      <c r="AG307" s="18">
        <f>$K307*[1]bioshares!X8</f>
        <v>2.994137419407588</v>
      </c>
      <c r="AH307" s="18">
        <f>$K307*[1]bioshares!Y8</f>
        <v>16.567387971837565</v>
      </c>
      <c r="AI307" s="18">
        <f>$K307*[1]bioshares!Z8</f>
        <v>0</v>
      </c>
      <c r="AJ307" s="18">
        <f>$K307*[1]bioshares!AA8</f>
        <v>0</v>
      </c>
      <c r="AK307" s="18">
        <f>$K307*[1]bioshares!AB8</f>
        <v>10.207769317347475</v>
      </c>
      <c r="AL307" s="18">
        <f>$K307*[1]bioshares!AC8</f>
        <v>207.96652448803323</v>
      </c>
      <c r="AM307" s="18">
        <f>$K307*[1]bioshares!AD8</f>
        <v>0</v>
      </c>
      <c r="AN307" s="18">
        <f>$K307*[1]bioshares!AE8</f>
        <v>228.18985127027906</v>
      </c>
      <c r="AO307" s="18">
        <f>$K307*[1]bioshares!AF8</f>
        <v>74.602098228251108</v>
      </c>
      <c r="AP307" s="18">
        <f>$K307*[1]bioshares!AG8</f>
        <v>55.491945553567888</v>
      </c>
      <c r="AQ307" s="18">
        <f>$K307*[1]bioshares!AH8</f>
        <v>0</v>
      </c>
      <c r="AR307" s="18">
        <f>$K307*[1]bioshares!AI8</f>
        <v>96.847809136480606</v>
      </c>
      <c r="AS307" s="18">
        <f>$K307*[1]bioshares!AJ8</f>
        <v>4.9219081804521858</v>
      </c>
      <c r="AT307" s="18">
        <f>$K307*[1]bioshares!AK8</f>
        <v>30.996565327026069</v>
      </c>
      <c r="AU307" s="18">
        <f>$K307*[1]bioshares!AL8</f>
        <v>0</v>
      </c>
      <c r="AV307" s="48">
        <f t="shared" si="70"/>
        <v>0</v>
      </c>
      <c r="AX307" s="5"/>
      <c r="AY307" s="5"/>
      <c r="AZ307" s="5"/>
      <c r="BA307" s="5"/>
      <c r="BD307" s="5"/>
      <c r="BE307" s="5"/>
      <c r="BF307" s="5"/>
      <c r="BG307" s="5"/>
    </row>
    <row r="308" spans="9:59" x14ac:dyDescent="0.3">
      <c r="I308">
        <v>2030</v>
      </c>
      <c r="J308" t="s">
        <v>40</v>
      </c>
      <c r="K308" s="48">
        <v>707.56919999999968</v>
      </c>
      <c r="L308">
        <f>$K308*[1]bioshares!C13</f>
        <v>0</v>
      </c>
      <c r="M308" s="18">
        <f>$K308*[1]bioshares!D13</f>
        <v>9.7197462085087629</v>
      </c>
      <c r="N308" s="18">
        <f>$K308*[1]bioshares!E13</f>
        <v>17.421175570016061</v>
      </c>
      <c r="O308" s="18">
        <f>$K308*[1]bioshares!F13</f>
        <v>13.446430229166058</v>
      </c>
      <c r="P308" s="18">
        <f>$K308*[1]bioshares!G13</f>
        <v>0</v>
      </c>
      <c r="Q308" s="18">
        <f>$K308*[1]bioshares!H13</f>
        <v>0</v>
      </c>
      <c r="R308" s="18">
        <f>$K308*[1]bioshares!I13</f>
        <v>0.17993587163814956</v>
      </c>
      <c r="S308" s="18">
        <f>$K308*[1]bioshares!J13</f>
        <v>16.558265555192776</v>
      </c>
      <c r="T308" s="18">
        <f>$K308*[1]bioshares!K13</f>
        <v>49.375479843705932</v>
      </c>
      <c r="U308" s="18">
        <f>$K308*[1]bioshares!L13</f>
        <v>0.90758026488832044</v>
      </c>
      <c r="V308" s="18">
        <f>$K308*[1]bioshares!M13</f>
        <v>2.4559940166912919</v>
      </c>
      <c r="W308" s="18">
        <f>$K308*[1]bioshares!N13</f>
        <v>112.26903137817712</v>
      </c>
      <c r="X308" s="18">
        <f>$K308*[1]bioshares!O13</f>
        <v>0.79108785924705127</v>
      </c>
      <c r="Y308" s="18">
        <f>$K308*[1]bioshares!P13</f>
        <v>158.96139571715435</v>
      </c>
      <c r="Z308" s="18">
        <f>$K308*[1]bioshares!Q13</f>
        <v>11.289542497106986</v>
      </c>
      <c r="AA308" s="18">
        <f>$K308*[1]bioshares!R13</f>
        <v>7.5982959565837209</v>
      </c>
      <c r="AB308" s="18">
        <f>$K308*[1]bioshares!S13</f>
        <v>29.356052198856986</v>
      </c>
      <c r="AC308" s="18">
        <f>$K308*[1]bioshares!T13</f>
        <v>3.3567380436459424</v>
      </c>
      <c r="AD308" s="18">
        <f>$K308*[1]bioshares!U13</f>
        <v>0</v>
      </c>
      <c r="AE308" s="18">
        <f>$K308*[1]bioshares!V13</f>
        <v>75.8978500044893</v>
      </c>
      <c r="AF308" s="18">
        <f>$K308*[1]bioshares!W13</f>
        <v>23.619704247968631</v>
      </c>
      <c r="AG308" s="18">
        <f>$K308*[1]bioshares!X13</f>
        <v>6.7698693417710551E-2</v>
      </c>
      <c r="AH308" s="18">
        <f>$K308*[1]bioshares!Y13</f>
        <v>2.7060826189881171</v>
      </c>
      <c r="AI308" s="18">
        <f>$K308*[1]bioshares!Z13</f>
        <v>0</v>
      </c>
      <c r="AJ308" s="18">
        <f>$K308*[1]bioshares!AA13</f>
        <v>0</v>
      </c>
      <c r="AK308" s="18">
        <f>$K308*[1]bioshares!AB13</f>
        <v>0</v>
      </c>
      <c r="AL308" s="18">
        <f>$K308*[1]bioshares!AC13</f>
        <v>12.623235628569839</v>
      </c>
      <c r="AM308" s="18">
        <f>$K308*[1]bioshares!AD13</f>
        <v>0</v>
      </c>
      <c r="AN308" s="18">
        <f>$K308*[1]bioshares!AE13</f>
        <v>72.067529282290678</v>
      </c>
      <c r="AO308" s="18">
        <f>$K308*[1]bioshares!AF13</f>
        <v>4.3490663996244843</v>
      </c>
      <c r="AP308" s="18">
        <f>$K308*[1]bioshares!AG13</f>
        <v>70.980660341636806</v>
      </c>
      <c r="AQ308" s="18">
        <f>$K308*[1]bioshares!AH13</f>
        <v>0</v>
      </c>
      <c r="AR308" s="18">
        <f>$K308*[1]bioshares!AI13</f>
        <v>5.320340412973251</v>
      </c>
      <c r="AS308" s="18">
        <f>$K308*[1]bioshares!AJ13</f>
        <v>0.57349391696923713</v>
      </c>
      <c r="AT308" s="18">
        <f>$K308*[1]bioshares!AK13</f>
        <v>5.6767872424921961</v>
      </c>
      <c r="AU308" s="18">
        <f>$K308*[1]bioshares!AL13</f>
        <v>0</v>
      </c>
      <c r="AV308" s="48">
        <f t="shared" si="70"/>
        <v>0</v>
      </c>
      <c r="AX308" s="5"/>
      <c r="AY308" s="5"/>
      <c r="AZ308" s="5"/>
      <c r="BA308" s="5"/>
      <c r="BD308" s="5"/>
      <c r="BE308" s="5"/>
      <c r="BF308" s="5"/>
      <c r="BG308" s="5"/>
    </row>
    <row r="309" spans="9:59" x14ac:dyDescent="0.3">
      <c r="I309">
        <v>2040</v>
      </c>
      <c r="J309" t="s">
        <v>40</v>
      </c>
      <c r="K309" s="48">
        <v>2813.9482799999992</v>
      </c>
      <c r="L309">
        <f>$K309*[1]bioshares!C14</f>
        <v>0</v>
      </c>
      <c r="M309" s="18">
        <f>$K309*[1]bioshares!D14</f>
        <v>34.898290163785532</v>
      </c>
      <c r="N309" s="18">
        <f>$K309*[1]bioshares!E14</f>
        <v>63.847706524761463</v>
      </c>
      <c r="O309" s="18">
        <f>$K309*[1]bioshares!F14</f>
        <v>62.878460419173088</v>
      </c>
      <c r="P309" s="18">
        <f>$K309*[1]bioshares!G14</f>
        <v>0</v>
      </c>
      <c r="Q309" s="18">
        <f>$K309*[1]bioshares!H14</f>
        <v>0</v>
      </c>
      <c r="R309" s="18">
        <f>$K309*[1]bioshares!I14</f>
        <v>0.65110500326663745</v>
      </c>
      <c r="S309" s="18">
        <f>$K309*[1]bioshares!J14</f>
        <v>71.913802517160647</v>
      </c>
      <c r="T309" s="18">
        <f>$K309*[1]bioshares!K14</f>
        <v>194.42879590385911</v>
      </c>
      <c r="U309" s="18">
        <f>$K309*[1]bioshares!L14</f>
        <v>4.436021961889324</v>
      </c>
      <c r="V309" s="18">
        <f>$K309*[1]bioshares!M14</f>
        <v>11.199164310987632</v>
      </c>
      <c r="W309" s="18">
        <f>$K309*[1]bioshares!N14</f>
        <v>471.20282362451655</v>
      </c>
      <c r="X309" s="18">
        <f>$K309*[1]bioshares!O14</f>
        <v>4.3575809604950111</v>
      </c>
      <c r="Y309" s="18">
        <f>$K309*[1]bioshares!P14</f>
        <v>581.4335424090923</v>
      </c>
      <c r="Z309" s="18">
        <f>$K309*[1]bioshares!Q14</f>
        <v>48.686781899525982</v>
      </c>
      <c r="AA309" s="18">
        <f>$K309*[1]bioshares!R14</f>
        <v>29.741201222266973</v>
      </c>
      <c r="AB309" s="18">
        <f>$K309*[1]bioshares!S14</f>
        <v>121.68677408790936</v>
      </c>
      <c r="AC309" s="18">
        <f>$K309*[1]bioshares!T14</f>
        <v>9.3882541644005428</v>
      </c>
      <c r="AD309" s="18">
        <f>$K309*[1]bioshares!U14</f>
        <v>0</v>
      </c>
      <c r="AE309" s="18">
        <f>$K309*[1]bioshares!V14</f>
        <v>295.57202324169725</v>
      </c>
      <c r="AF309" s="18">
        <f>$K309*[1]bioshares!W14</f>
        <v>88.36328665779024</v>
      </c>
      <c r="AG309" s="18">
        <f>$K309*[1]bioshares!X14</f>
        <v>0.28630555591784052</v>
      </c>
      <c r="AH309" s="18">
        <f>$K309*[1]bioshares!Y14</f>
        <v>9.5242113065878602</v>
      </c>
      <c r="AI309" s="18">
        <f>$K309*[1]bioshares!Z14</f>
        <v>0</v>
      </c>
      <c r="AJ309" s="18">
        <f>$K309*[1]bioshares!AA14</f>
        <v>0</v>
      </c>
      <c r="AK309" s="18">
        <f>$K309*[1]bioshares!AB14</f>
        <v>0</v>
      </c>
      <c r="AL309" s="18">
        <f>$K309*[1]bioshares!AC14</f>
        <v>41.985600255305776</v>
      </c>
      <c r="AM309" s="18">
        <f>$K309*[1]bioshares!AD14</f>
        <v>0</v>
      </c>
      <c r="AN309" s="18">
        <f>$K309*[1]bioshares!AE14</f>
        <v>334.69041894967251</v>
      </c>
      <c r="AO309" s="18">
        <f>$K309*[1]bioshares!AF14</f>
        <v>17.560122484367675</v>
      </c>
      <c r="AP309" s="18">
        <f>$K309*[1]bioshares!AG14</f>
        <v>273.8497610662788</v>
      </c>
      <c r="AQ309" s="18">
        <f>$K309*[1]bioshares!AH14</f>
        <v>0</v>
      </c>
      <c r="AR309" s="18">
        <f>$K309*[1]bioshares!AI14</f>
        <v>19.65826163412499</v>
      </c>
      <c r="AS309" s="18">
        <f>$K309*[1]bioshares!AJ14</f>
        <v>1.8968866537241684</v>
      </c>
      <c r="AT309" s="18">
        <f>$K309*[1]bioshares!AK14</f>
        <v>19.811097021441373</v>
      </c>
      <c r="AU309" s="18">
        <f>$K309*[1]bioshares!AL14</f>
        <v>0</v>
      </c>
      <c r="AV309" s="48">
        <f t="shared" si="70"/>
        <v>0</v>
      </c>
    </row>
    <row r="310" spans="9:59" x14ac:dyDescent="0.3">
      <c r="I310">
        <v>2050</v>
      </c>
      <c r="J310" t="s">
        <v>40</v>
      </c>
      <c r="K310" s="48">
        <v>2476.4921999999997</v>
      </c>
      <c r="L310">
        <f>$K310*[1]bioshares!C15</f>
        <v>0</v>
      </c>
      <c r="M310" s="18">
        <f>$K310*[1]bioshares!D15</f>
        <v>27.737994671621166</v>
      </c>
      <c r="N310" s="18">
        <f>$K310*[1]bioshares!E15</f>
        <v>51.42086993601815</v>
      </c>
      <c r="O310" s="18">
        <f>$K310*[1]bioshares!F15</f>
        <v>60.737952570015253</v>
      </c>
      <c r="P310" s="18">
        <f>$K310*[1]bioshares!G15</f>
        <v>0</v>
      </c>
      <c r="Q310" s="18">
        <f>$K310*[1]bioshares!H15</f>
        <v>0</v>
      </c>
      <c r="R310" s="18">
        <f>$K310*[1]bioshares!I15</f>
        <v>0.51856968309994644</v>
      </c>
      <c r="S310" s="18">
        <f>$K310*[1]bioshares!J15</f>
        <v>69.176348812348309</v>
      </c>
      <c r="T310" s="18">
        <f>$K310*[1]bioshares!K15</f>
        <v>171.17676328989754</v>
      </c>
      <c r="U310" s="18">
        <f>$K310*[1]bioshares!L15</f>
        <v>4.4546935304832438</v>
      </c>
      <c r="V310" s="18">
        <f>$K310*[1]bioshares!M15</f>
        <v>10.783545037860513</v>
      </c>
      <c r="W310" s="18">
        <f>$K310*[1]bioshares!N15</f>
        <v>436.46501412206021</v>
      </c>
      <c r="X310" s="18">
        <f>$K310*[1]bioshares!O15</f>
        <v>4.6299017343730879</v>
      </c>
      <c r="Y310" s="18">
        <f>$K310*[1]bioshares!P15</f>
        <v>473.73555492997377</v>
      </c>
      <c r="Z310" s="18">
        <f>$K310*[1]bioshares!Q15</f>
        <v>45.884342327655283</v>
      </c>
      <c r="AA310" s="18">
        <f>$K310*[1]bioshares!R15</f>
        <v>25.837006227972193</v>
      </c>
      <c r="AB310" s="18">
        <f>$K310*[1]bioshares!S15</f>
        <v>112.39799606359497</v>
      </c>
      <c r="AC310" s="18">
        <f>$K310*[1]bioshares!T15</f>
        <v>4.7151527087631493</v>
      </c>
      <c r="AD310" s="18">
        <f>$K310*[1]bioshares!U15</f>
        <v>0</v>
      </c>
      <c r="AE310" s="18">
        <f>$K310*[1]bioshares!V15</f>
        <v>258.46004126348134</v>
      </c>
      <c r="AF310" s="18">
        <f>$K310*[1]bioshares!W15</f>
        <v>72.678100685640047</v>
      </c>
      <c r="AG310" s="18">
        <f>$K310*[1]bioshares!X15</f>
        <v>0.26935913570492098</v>
      </c>
      <c r="AH310" s="18">
        <f>$K310*[1]bioshares!Y15</f>
        <v>7.1942711129517356</v>
      </c>
      <c r="AI310" s="18">
        <f>$K310*[1]bioshares!Z15</f>
        <v>0</v>
      </c>
      <c r="AJ310" s="18">
        <f>$K310*[1]bioshares!AA15</f>
        <v>0</v>
      </c>
      <c r="AK310" s="18">
        <f>$K310*[1]bioshares!AB15</f>
        <v>0</v>
      </c>
      <c r="AL310" s="18">
        <f>$K310*[1]bioshares!AC15</f>
        <v>30.382362749104132</v>
      </c>
      <c r="AM310" s="18">
        <f>$K310*[1]bioshares!AD15</f>
        <v>0</v>
      </c>
      <c r="AN310" s="18">
        <f>$K310*[1]bioshares!AE15</f>
        <v>338.28147035645759</v>
      </c>
      <c r="AO310" s="18">
        <f>$K310*[1]bioshares!AF15</f>
        <v>15.873451209961702</v>
      </c>
      <c r="AP310" s="18">
        <f>$K310*[1]bioshares!AG15</f>
        <v>220.84607102597931</v>
      </c>
      <c r="AQ310" s="18">
        <f>$K310*[1]bioshares!AH15</f>
        <v>0</v>
      </c>
      <c r="AR310" s="18">
        <f>$K310*[1]bioshares!AI15</f>
        <v>16.116806804450079</v>
      </c>
      <c r="AS310" s="18">
        <f>$K310*[1]bioshares!AJ15</f>
        <v>1.3303446310384484</v>
      </c>
      <c r="AT310" s="18">
        <f>$K310*[1]bioshares!AK15</f>
        <v>15.388215379493943</v>
      </c>
      <c r="AU310" s="18">
        <f>$K310*[1]bioshares!AL15</f>
        <v>0</v>
      </c>
      <c r="AV310" s="48">
        <f t="shared" si="70"/>
        <v>0</v>
      </c>
    </row>
    <row r="311" spans="9:59" x14ac:dyDescent="0.3">
      <c r="I311">
        <v>2030</v>
      </c>
      <c r="J311" t="s">
        <v>41</v>
      </c>
      <c r="K311" s="48">
        <v>787.53708000000017</v>
      </c>
      <c r="L311">
        <f>$K311*[1]bioshares!C20</f>
        <v>0</v>
      </c>
      <c r="M311" s="18">
        <f>$K311*[1]bioshares!D20</f>
        <v>17.235562058249943</v>
      </c>
      <c r="N311" s="18">
        <f>$K311*[1]bioshares!E20</f>
        <v>5.3262578913166303</v>
      </c>
      <c r="O311" s="18">
        <f>$K311*[1]bioshares!F20</f>
        <v>23.368586336734335</v>
      </c>
      <c r="P311" s="18">
        <f>$K311*[1]bioshares!G20</f>
        <v>0</v>
      </c>
      <c r="Q311" s="18">
        <f>$K311*[1]bioshares!H20</f>
        <v>0</v>
      </c>
      <c r="R311" s="18">
        <f>$K311*[1]bioshares!I20</f>
        <v>0.33018275034944655</v>
      </c>
      <c r="S311" s="18">
        <f>$K311*[1]bioshares!J20</f>
        <v>29.196366892783029</v>
      </c>
      <c r="T311" s="18">
        <f>$K311*[1]bioshares!K20</f>
        <v>160.43144938602427</v>
      </c>
      <c r="U311" s="18">
        <f>$K311*[1]bioshares!L20</f>
        <v>20.100437522671516</v>
      </c>
      <c r="V311" s="18">
        <f>$K311*[1]bioshares!M20</f>
        <v>3.5004841716448762</v>
      </c>
      <c r="W311" s="18">
        <f>$K311*[1]bioshares!N20</f>
        <v>72.275122412008287</v>
      </c>
      <c r="X311" s="18">
        <f>$K311*[1]bioshares!O20</f>
        <v>13.910223721653583</v>
      </c>
      <c r="Y311" s="18">
        <f>$K311*[1]bioshares!P20</f>
        <v>167.59189440362439</v>
      </c>
      <c r="Z311" s="18">
        <f>$K311*[1]bioshares!Q20</f>
        <v>15.90621435127064</v>
      </c>
      <c r="AA311" s="18">
        <f>$K311*[1]bioshares!R20</f>
        <v>6.9827493053735763</v>
      </c>
      <c r="AB311" s="18">
        <f>$K311*[1]bioshares!S20</f>
        <v>37.14893615392139</v>
      </c>
      <c r="AC311" s="18">
        <f>$K311*[1]bioshares!T20</f>
        <v>0.24203359368175925</v>
      </c>
      <c r="AD311" s="18">
        <f>$K311*[1]bioshares!U20</f>
        <v>0</v>
      </c>
      <c r="AE311" s="18">
        <f>$K311*[1]bioshares!V20</f>
        <v>49.177864104006218</v>
      </c>
      <c r="AF311" s="18">
        <f>$K311*[1]bioshares!W20</f>
        <v>10.496085099861414</v>
      </c>
      <c r="AG311" s="18">
        <f>$K311*[1]bioshares!X20</f>
        <v>0.26335284935903241</v>
      </c>
      <c r="AH311" s="18">
        <f>$K311*[1]bioshares!Y20</f>
        <v>6.1758414333452061</v>
      </c>
      <c r="AI311" s="18">
        <f>$K311*[1]bioshares!Z20</f>
        <v>0</v>
      </c>
      <c r="AJ311" s="18">
        <f>$K311*[1]bioshares!AA20</f>
        <v>0</v>
      </c>
      <c r="AK311" s="18">
        <f>$K311*[1]bioshares!AB20</f>
        <v>8.497250016898281E-3</v>
      </c>
      <c r="AL311" s="18">
        <f>$K311*[1]bioshares!AC20</f>
        <v>4.1016847237074412</v>
      </c>
      <c r="AM311" s="18">
        <f>$K311*[1]bioshares!AD20</f>
        <v>0</v>
      </c>
      <c r="AN311" s="18">
        <f>$K311*[1]bioshares!AE20</f>
        <v>68.760155265272843</v>
      </c>
      <c r="AO311" s="18">
        <f>$K311*[1]bioshares!AF20</f>
        <v>6.4026891824828303</v>
      </c>
      <c r="AP311" s="18">
        <f>$K311*[1]bioshares!AG20</f>
        <v>44.630549365006097</v>
      </c>
      <c r="AQ311" s="18">
        <f>$K311*[1]bioshares!AH20</f>
        <v>0</v>
      </c>
      <c r="AR311" s="18">
        <f>$K311*[1]bioshares!AI20</f>
        <v>12.728792255065368</v>
      </c>
      <c r="AS311" s="18">
        <f>$K311*[1]bioshares!AJ20</f>
        <v>0.67526650330023985</v>
      </c>
      <c r="AT311" s="18">
        <f>$K311*[1]bioshares!AK20</f>
        <v>10.569801017269087</v>
      </c>
      <c r="AU311" s="18">
        <f>$K311*[1]bioshares!AL20</f>
        <v>0</v>
      </c>
      <c r="AV311" s="48">
        <f t="shared" si="70"/>
        <v>0</v>
      </c>
    </row>
    <row r="312" spans="9:59" x14ac:dyDescent="0.3">
      <c r="I312">
        <v>2040</v>
      </c>
      <c r="J312" t="s">
        <v>41</v>
      </c>
      <c r="K312" s="48">
        <v>1495.1062800000004</v>
      </c>
      <c r="L312">
        <f>$K312*[1]bioshares!C21</f>
        <v>0</v>
      </c>
      <c r="M312" s="18">
        <f>$K312*[1]bioshares!D21</f>
        <v>34.613204641374303</v>
      </c>
      <c r="N312" s="18">
        <f>$K312*[1]bioshares!E21</f>
        <v>10.65253150321146</v>
      </c>
      <c r="O312" s="18">
        <f>$K312*[1]bioshares!F21</f>
        <v>42.31924735930447</v>
      </c>
      <c r="P312" s="18">
        <f>$K312*[1]bioshares!G21</f>
        <v>0</v>
      </c>
      <c r="Q312" s="18">
        <f>$K312*[1]bioshares!H21</f>
        <v>0</v>
      </c>
      <c r="R312" s="18">
        <f>$K312*[1]bioshares!I21</f>
        <v>0.6558988363800099</v>
      </c>
      <c r="S312" s="18">
        <f>$K312*[1]bioshares!J21</f>
        <v>55.612386315839231</v>
      </c>
      <c r="T312" s="18">
        <f>$K312*[1]bioshares!K21</f>
        <v>306.43295956395963</v>
      </c>
      <c r="U312" s="18">
        <f>$K312*[1]bioshares!L21</f>
        <v>36.384854905701644</v>
      </c>
      <c r="V312" s="18">
        <f>$K312*[1]bioshares!M21</f>
        <v>8.0801102101949134</v>
      </c>
      <c r="W312" s="18">
        <f>$K312*[1]bioshares!N21</f>
        <v>138.61147137352583</v>
      </c>
      <c r="X312" s="18">
        <f>$K312*[1]bioshares!O21</f>
        <v>27.226969320640695</v>
      </c>
      <c r="Y312" s="18">
        <f>$K312*[1]bioshares!P21</f>
        <v>309.01723341026712</v>
      </c>
      <c r="Z312" s="18">
        <f>$K312*[1]bioshares!Q21</f>
        <v>31.303594959812877</v>
      </c>
      <c r="AA312" s="18">
        <f>$K312*[1]bioshares!R21</f>
        <v>12.137113260230986</v>
      </c>
      <c r="AB312" s="18">
        <f>$K312*[1]bioshares!S21</f>
        <v>71.869136049713731</v>
      </c>
      <c r="AC312" s="18">
        <f>$K312*[1]bioshares!T21</f>
        <v>0.37682145902098085</v>
      </c>
      <c r="AD312" s="18">
        <f>$K312*[1]bioshares!U21</f>
        <v>0</v>
      </c>
      <c r="AE312" s="18">
        <f>$K312*[1]bioshares!V21</f>
        <v>94.438083850005029</v>
      </c>
      <c r="AF312" s="18">
        <f>$K312*[1]bioshares!W21</f>
        <v>23.786390720012641</v>
      </c>
      <c r="AG312" s="18">
        <f>$K312*[1]bioshares!X21</f>
        <v>0.57422363790709285</v>
      </c>
      <c r="AH312" s="18">
        <f>$K312*[1]bioshares!Y21</f>
        <v>11.283858760885156</v>
      </c>
      <c r="AI312" s="18">
        <f>$K312*[1]bioshares!Z21</f>
        <v>0</v>
      </c>
      <c r="AJ312" s="18">
        <f>$K312*[1]bioshares!AA21</f>
        <v>0</v>
      </c>
      <c r="AK312" s="18">
        <f>$K312*[1]bioshares!AB21</f>
        <v>1.7154896595376491E-2</v>
      </c>
      <c r="AL312" s="18">
        <f>$K312*[1]bioshares!AC21</f>
        <v>8.7027522197177021</v>
      </c>
      <c r="AM312" s="18">
        <f>$K312*[1]bioshares!AD21</f>
        <v>0</v>
      </c>
      <c r="AN312" s="18">
        <f>$K312*[1]bioshares!AE21</f>
        <v>121.41007456391836</v>
      </c>
      <c r="AO312" s="18">
        <f>$K312*[1]bioshares!AF21</f>
        <v>11.981552912113594</v>
      </c>
      <c r="AP312" s="18">
        <f>$K312*[1]bioshares!AG21</f>
        <v>90.726307090725271</v>
      </c>
      <c r="AQ312" s="18">
        <f>$K312*[1]bioshares!AH21</f>
        <v>0</v>
      </c>
      <c r="AR312" s="18">
        <f>$K312*[1]bioshares!AI21</f>
        <v>25.44266825302498</v>
      </c>
      <c r="AS312" s="18">
        <f>$K312*[1]bioshares!AJ21</f>
        <v>1.3407260649181414</v>
      </c>
      <c r="AT312" s="18">
        <f>$K312*[1]bioshares!AK21</f>
        <v>20.108953860999542</v>
      </c>
      <c r="AU312" s="18">
        <f>$K312*[1]bioshares!AL21</f>
        <v>0</v>
      </c>
      <c r="AV312" s="48">
        <f t="shared" si="70"/>
        <v>0</v>
      </c>
    </row>
    <row r="313" spans="9:59" x14ac:dyDescent="0.3">
      <c r="I313">
        <v>2050</v>
      </c>
      <c r="J313" t="s">
        <v>41</v>
      </c>
      <c r="K313" s="48">
        <v>1189.469880000001</v>
      </c>
      <c r="L313">
        <f>$K313*[1]bioshares!C22</f>
        <v>0</v>
      </c>
      <c r="M313" s="18">
        <f>$K313*[1]bioshares!D22</f>
        <v>29.135306655681177</v>
      </c>
      <c r="N313" s="18">
        <f>$K313*[1]bioshares!E22</f>
        <v>8.9308910347592843</v>
      </c>
      <c r="O313" s="18">
        <f>$K313*[1]bioshares!F22</f>
        <v>31.948189713951805</v>
      </c>
      <c r="P313" s="18">
        <f>$K313*[1]bioshares!G22</f>
        <v>0</v>
      </c>
      <c r="Q313" s="18">
        <f>$K313*[1]bioshares!H22</f>
        <v>0</v>
      </c>
      <c r="R313" s="18">
        <f>$K313*[1]bioshares!I22</f>
        <v>0.54679813125692311</v>
      </c>
      <c r="S313" s="18">
        <f>$K313*[1]bioshares!J22</f>
        <v>44.39848298382568</v>
      </c>
      <c r="T313" s="18">
        <f>$K313*[1]bioshares!K22</f>
        <v>243.69389582826443</v>
      </c>
      <c r="U313" s="18">
        <f>$K313*[1]bioshares!L22</f>
        <v>27.490888311120106</v>
      </c>
      <c r="V313" s="18">
        <f>$K313*[1]bioshares!M22</f>
        <v>7.653715646991281</v>
      </c>
      <c r="W313" s="18">
        <f>$K313*[1]bioshares!N22</f>
        <v>111.72931020892455</v>
      </c>
      <c r="X313" s="18">
        <f>$K313*[1]bioshares!O22</f>
        <v>22.362549534296498</v>
      </c>
      <c r="Y313" s="18">
        <f>$K313*[1]bioshares!P22</f>
        <v>238.36017150113648</v>
      </c>
      <c r="Z313" s="18">
        <f>$K313*[1]bioshares!Q22</f>
        <v>26.039191706337213</v>
      </c>
      <c r="AA313" s="18">
        <f>$K313*[1]bioshares!R22</f>
        <v>9.3716091139701483</v>
      </c>
      <c r="AB313" s="18">
        <f>$K313*[1]bioshares!S22</f>
        <v>58.335816937812595</v>
      </c>
      <c r="AC313" s="18">
        <f>$K313*[1]bioshares!T22</f>
        <v>0.23013954266533851</v>
      </c>
      <c r="AD313" s="18">
        <f>$K313*[1]bioshares!U22</f>
        <v>0</v>
      </c>
      <c r="AE313" s="18">
        <f>$K313*[1]bioshares!V22</f>
        <v>75.975226019650279</v>
      </c>
      <c r="AF313" s="18">
        <f>$K313*[1]bioshares!W22</f>
        <v>22.199227298787203</v>
      </c>
      <c r="AG313" s="18">
        <f>$K313*[1]bioshares!X22</f>
        <v>0.51477877616415268</v>
      </c>
      <c r="AH313" s="18">
        <f>$K313*[1]bioshares!Y22</f>
        <v>8.6049987366876479</v>
      </c>
      <c r="AI313" s="18">
        <f>$K313*[1]bioshares!Z22</f>
        <v>0</v>
      </c>
      <c r="AJ313" s="18">
        <f>$K313*[1]bioshares!AA22</f>
        <v>0</v>
      </c>
      <c r="AK313" s="18">
        <f>$K313*[1]bioshares!AB22</f>
        <v>1.4519474625652574E-2</v>
      </c>
      <c r="AL313" s="18">
        <f>$K313*[1]bioshares!AC22</f>
        <v>7.6983794360486275</v>
      </c>
      <c r="AM313" s="18">
        <f>$K313*[1]bioshares!AD22</f>
        <v>0</v>
      </c>
      <c r="AN313" s="18">
        <f>$K313*[1]bioshares!AE22</f>
        <v>89.10015594149047</v>
      </c>
      <c r="AO313" s="18">
        <f>$K313*[1]bioshares!AF22</f>
        <v>9.3548551933820256</v>
      </c>
      <c r="AP313" s="18">
        <f>$K313*[1]bioshares!AG22</f>
        <v>77.240854129009335</v>
      </c>
      <c r="AQ313" s="18">
        <f>$K313*[1]bioshares!AH22</f>
        <v>0</v>
      </c>
      <c r="AR313" s="18">
        <f>$K313*[1]bioshares!AI22</f>
        <v>21.384277745267806</v>
      </c>
      <c r="AS313" s="18">
        <f>$K313*[1]bioshares!AJ22</f>
        <v>1.1166683611362833</v>
      </c>
      <c r="AT313" s="18">
        <f>$K313*[1]bioshares!AK22</f>
        <v>16.03898203675822</v>
      </c>
      <c r="AU313" s="18">
        <f>$K313*[1]bioshares!AL22</f>
        <v>0</v>
      </c>
      <c r="AV313" s="48">
        <f t="shared" si="70"/>
        <v>0</v>
      </c>
    </row>
    <row r="314" spans="9:59" x14ac:dyDescent="0.3">
      <c r="I314">
        <v>2030</v>
      </c>
      <c r="J314" t="s">
        <v>42</v>
      </c>
      <c r="K314" s="48">
        <v>836.52263999999957</v>
      </c>
      <c r="L314">
        <f>$K314*[1]bioshares!C27</f>
        <v>0</v>
      </c>
      <c r="M314" s="18">
        <f>$K314*[1]bioshares!D27</f>
        <v>37.078538692621322</v>
      </c>
      <c r="N314" s="18">
        <f>$K314*[1]bioshares!E27</f>
        <v>6.6015202420097303</v>
      </c>
      <c r="O314" s="18">
        <f>$K314*[1]bioshares!F27</f>
        <v>13.203040484019461</v>
      </c>
      <c r="P314" s="18">
        <f>$K314*[1]bioshares!G27</f>
        <v>0</v>
      </c>
      <c r="Q314" s="18">
        <f>$K314*[1]bioshares!H27</f>
        <v>0</v>
      </c>
      <c r="R314" s="18">
        <f>$K314*[1]bioshares!I27</f>
        <v>0</v>
      </c>
      <c r="S314" s="18">
        <f>$K314*[1]bioshares!J27</f>
        <v>12.102787110351171</v>
      </c>
      <c r="T314" s="18">
        <f>$K314*[1]bioshares!K27</f>
        <v>100.3431076785479</v>
      </c>
      <c r="U314" s="18">
        <f>$K314*[1]bioshares!L27</f>
        <v>7.0416215914770452</v>
      </c>
      <c r="V314" s="18">
        <f>$K314*[1]bioshares!M27</f>
        <v>12.982989809285803</v>
      </c>
      <c r="W314" s="18">
        <f>$K314*[1]bioshares!N27</f>
        <v>27.836410353807697</v>
      </c>
      <c r="X314" s="18">
        <f>$K314*[1]bioshares!O27</f>
        <v>91.100979339734266</v>
      </c>
      <c r="Y314" s="18">
        <f>$K314*[1]bioshares!P27</f>
        <v>205.96743155070357</v>
      </c>
      <c r="Z314" s="18">
        <f>$K314*[1]bioshares!Q27</f>
        <v>5.9413682178087575</v>
      </c>
      <c r="AA314" s="18">
        <f>$K314*[1]bioshares!R27</f>
        <v>11.222584411416541</v>
      </c>
      <c r="AB314" s="18">
        <f>$K314*[1]bioshares!S27</f>
        <v>21.895042135998938</v>
      </c>
      <c r="AC314" s="18">
        <f>$K314*[1]bioshares!T27</f>
        <v>1.4303293857687749</v>
      </c>
      <c r="AD314" s="18">
        <f>$K314*[1]bioshares!U27</f>
        <v>0</v>
      </c>
      <c r="AE314" s="18">
        <f>$K314*[1]bioshares!V27</f>
        <v>65.575101070629984</v>
      </c>
      <c r="AF314" s="18">
        <f>$K314*[1]bioshares!W27</f>
        <v>15.733623243456522</v>
      </c>
      <c r="AG314" s="18">
        <f>$K314*[1]bioshares!X27</f>
        <v>0.22005067473365766</v>
      </c>
      <c r="AH314" s="18">
        <f>$K314*[1]bioshares!Y27</f>
        <v>22.115092810732595</v>
      </c>
      <c r="AI314" s="18">
        <f>$K314*[1]bioshares!Z27</f>
        <v>0</v>
      </c>
      <c r="AJ314" s="18">
        <f>$K314*[1]bioshares!AA27</f>
        <v>0</v>
      </c>
      <c r="AK314" s="18">
        <f>$K314*[1]bioshares!AB27</f>
        <v>0</v>
      </c>
      <c r="AL314" s="18">
        <f>$K314*[1]bioshares!AC27</f>
        <v>2.2005067473365769</v>
      </c>
      <c r="AM314" s="18">
        <f>$K314*[1]bioshares!AD27</f>
        <v>0</v>
      </c>
      <c r="AN314" s="18">
        <f>$K314*[1]bioshares!AE27</f>
        <v>25.855954281204774</v>
      </c>
      <c r="AO314" s="18">
        <f>$K314*[1]bioshares!AF27</f>
        <v>16.833876617124812</v>
      </c>
      <c r="AP314" s="18">
        <f>$K314*[1]bioshares!AG27</f>
        <v>34.217879921083764</v>
      </c>
      <c r="AQ314" s="18">
        <f>$K314*[1]bioshares!AH27</f>
        <v>0</v>
      </c>
      <c r="AR314" s="18">
        <f>$K314*[1]bioshares!AI27</f>
        <v>80.428521615151865</v>
      </c>
      <c r="AS314" s="18">
        <f>$K314*[1]bioshares!AJ27</f>
        <v>14.633369869788234</v>
      </c>
      <c r="AT314" s="18">
        <f>$K314*[1]bioshares!AK27</f>
        <v>3.960912145205838</v>
      </c>
      <c r="AU314" s="18">
        <f>$K314*[1]bioshares!AL27</f>
        <v>0</v>
      </c>
      <c r="AV314" s="48">
        <f t="shared" si="70"/>
        <v>0</v>
      </c>
    </row>
    <row r="315" spans="9:59" x14ac:dyDescent="0.3">
      <c r="I315">
        <v>2040</v>
      </c>
      <c r="J315" t="s">
        <v>42</v>
      </c>
      <c r="K315" s="48">
        <v>1013.2056000000008</v>
      </c>
      <c r="L315">
        <f>$K315*[1]bioshares!C28</f>
        <v>0</v>
      </c>
      <c r="M315" s="18">
        <f>$K315*[1]bioshares!D28</f>
        <v>45.680071068427409</v>
      </c>
      <c r="N315" s="18">
        <f>$K315*[1]bioshares!E28</f>
        <v>8.3791846338535496</v>
      </c>
      <c r="O315" s="18">
        <f>$K315*[1]bioshares!F28</f>
        <v>15.406887875150074</v>
      </c>
      <c r="P315" s="18">
        <f>$K315*[1]bioshares!G28</f>
        <v>0</v>
      </c>
      <c r="Q315" s="18">
        <f>$K315*[1]bioshares!H28</f>
        <v>0</v>
      </c>
      <c r="R315" s="18">
        <f>$K315*[1]bioshares!I28</f>
        <v>0</v>
      </c>
      <c r="S315" s="18">
        <f>$K315*[1]bioshares!J28</f>
        <v>14.59599903961586</v>
      </c>
      <c r="T315" s="18">
        <f>$K315*[1]bioshares!K28</f>
        <v>124.74173253301331</v>
      </c>
      <c r="U315" s="18">
        <f>$K315*[1]bioshares!L28</f>
        <v>8.6494809123649539</v>
      </c>
      <c r="V315" s="18">
        <f>$K315*[1]bioshares!M28</f>
        <v>15.406887875150074</v>
      </c>
      <c r="W315" s="18">
        <f>$K315*[1]bioshares!N28</f>
        <v>31.894960864345766</v>
      </c>
      <c r="X315" s="18">
        <f>$K315*[1]bioshares!O28</f>
        <v>110.95662232893166</v>
      </c>
      <c r="Y315" s="18">
        <f>$K315*[1]bioshares!P28</f>
        <v>244.88842833133273</v>
      </c>
      <c r="Z315" s="18">
        <f>$K315*[1]bioshares!Q28</f>
        <v>7.1628513805522269</v>
      </c>
      <c r="AA315" s="18">
        <f>$K315*[1]bioshares!R28</f>
        <v>13.244517647058837</v>
      </c>
      <c r="AB315" s="18">
        <f>$K315*[1]bioshares!S28</f>
        <v>26.218739015606264</v>
      </c>
      <c r="AC315" s="18">
        <f>$K315*[1]bioshares!T28</f>
        <v>1.4866295318127265</v>
      </c>
      <c r="AD315" s="18">
        <f>$K315*[1]bioshares!U28</f>
        <v>0</v>
      </c>
      <c r="AE315" s="18">
        <f>$K315*[1]bioshares!V28</f>
        <v>79.602254021608701</v>
      </c>
      <c r="AF315" s="18">
        <f>$K315*[1]bioshares!W28</f>
        <v>18.920739495798337</v>
      </c>
      <c r="AG315" s="18">
        <f>$K315*[1]bioshares!X28</f>
        <v>0.27029627851140481</v>
      </c>
      <c r="AH315" s="18">
        <f>$K315*[1]bioshares!Y28</f>
        <v>27.164775990396183</v>
      </c>
      <c r="AI315" s="18">
        <f>$K315*[1]bioshares!Z28</f>
        <v>0</v>
      </c>
      <c r="AJ315" s="18">
        <f>$K315*[1]bioshares!AA28</f>
        <v>0</v>
      </c>
      <c r="AK315" s="18">
        <f>$K315*[1]bioshares!AB28</f>
        <v>0</v>
      </c>
      <c r="AL315" s="18">
        <f>$K315*[1]bioshares!AC28</f>
        <v>2.5678146458583453</v>
      </c>
      <c r="AM315" s="18">
        <f>$K315*[1]bioshares!AD28</f>
        <v>0</v>
      </c>
      <c r="AN315" s="18">
        <f>$K315*[1]bioshares!AE28</f>
        <v>31.489516446578662</v>
      </c>
      <c r="AO315" s="18">
        <f>$K315*[1]bioshares!AF28</f>
        <v>20.001924609843954</v>
      </c>
      <c r="AP315" s="18">
        <f>$K315*[1]bioshares!AG28</f>
        <v>41.085034333733525</v>
      </c>
      <c r="AQ315" s="18">
        <f>$K315*[1]bioshares!AH28</f>
        <v>0</v>
      </c>
      <c r="AR315" s="18">
        <f>$K315*[1]bioshares!AI28</f>
        <v>101.22595630252111</v>
      </c>
      <c r="AS315" s="18">
        <f>$K315*[1]bioshares!AJ28</f>
        <v>17.434109963985609</v>
      </c>
      <c r="AT315" s="18">
        <f>$K315*[1]bioshares!AK28</f>
        <v>4.7301848739495842</v>
      </c>
      <c r="AU315" s="18">
        <f>$K315*[1]bioshares!AL28</f>
        <v>0</v>
      </c>
      <c r="AV315" s="48">
        <f t="shared" si="70"/>
        <v>0</v>
      </c>
    </row>
    <row r="316" spans="9:59" x14ac:dyDescent="0.3">
      <c r="I316">
        <v>2050</v>
      </c>
      <c r="J316" t="s">
        <v>42</v>
      </c>
      <c r="K316" s="48">
        <v>611.27279999999985</v>
      </c>
      <c r="L316">
        <f>$K316*[1]bioshares!C29</f>
        <v>0</v>
      </c>
      <c r="M316" s="18">
        <f>$K316*[1]bioshares!D29</f>
        <v>28.07879121951219</v>
      </c>
      <c r="N316" s="18">
        <f>$K316*[1]bioshares!E29</f>
        <v>5.3010107317073158</v>
      </c>
      <c r="O316" s="18">
        <f>$K316*[1]bioshares!F29</f>
        <v>9.0282839024390231</v>
      </c>
      <c r="P316" s="18">
        <f>$K316*[1]bioshares!G29</f>
        <v>0</v>
      </c>
      <c r="Q316" s="18">
        <f>$K316*[1]bioshares!H29</f>
        <v>0</v>
      </c>
      <c r="R316" s="18">
        <f>$K316*[1]bioshares!I29</f>
        <v>0</v>
      </c>
      <c r="S316" s="18">
        <f>$K316*[1]bioshares!J29</f>
        <v>8.8626273170731675</v>
      </c>
      <c r="T316" s="18">
        <f>$K316*[1]bioshares!K29</f>
        <v>77.113140487804856</v>
      </c>
      <c r="U316" s="18">
        <f>$K316*[1]bioshares!L29</f>
        <v>5.3010107317073158</v>
      </c>
      <c r="V316" s="18">
        <f>$K316*[1]bioshares!M29</f>
        <v>9.2767687804878012</v>
      </c>
      <c r="W316" s="18">
        <f>$K316*[1]bioshares!N29</f>
        <v>18.47070926829268</v>
      </c>
      <c r="X316" s="18">
        <f>$K316*[1]bioshares!O29</f>
        <v>66.759603902438997</v>
      </c>
      <c r="Y316" s="18">
        <f>$K316*[1]bioshares!P29</f>
        <v>146.19193658536582</v>
      </c>
      <c r="Z316" s="18">
        <f>$K316*[1]bioshares!Q29</f>
        <v>4.3070712195121938</v>
      </c>
      <c r="AA316" s="18">
        <f>$K316*[1]bioshares!R29</f>
        <v>7.7858595121951204</v>
      </c>
      <c r="AB316" s="18">
        <f>$K316*[1]bioshares!S29</f>
        <v>15.654547317073165</v>
      </c>
      <c r="AC316" s="18">
        <f>$K316*[1]bioshares!T29</f>
        <v>0.66262634146341448</v>
      </c>
      <c r="AD316" s="18">
        <f>$K316*[1]bioshares!U29</f>
        <v>0</v>
      </c>
      <c r="AE316" s="18">
        <f>$K316*[1]bioshares!V29</f>
        <v>48.206066341463412</v>
      </c>
      <c r="AF316" s="18">
        <f>$K316*[1]bioshares!W29</f>
        <v>11.430304390243899</v>
      </c>
      <c r="AG316" s="18">
        <f>$K316*[1]bioshares!X29</f>
        <v>0.16565658536585362</v>
      </c>
      <c r="AH316" s="18">
        <f>$K316*[1]bioshares!Y29</f>
        <v>16.64848682926829</v>
      </c>
      <c r="AI316" s="18">
        <f>$K316*[1]bioshares!Z29</f>
        <v>0</v>
      </c>
      <c r="AJ316" s="18">
        <f>$K316*[1]bioshares!AA29</f>
        <v>0</v>
      </c>
      <c r="AK316" s="18">
        <f>$K316*[1]bioshares!AB29</f>
        <v>0</v>
      </c>
      <c r="AL316" s="18">
        <f>$K316*[1]bioshares!AC29</f>
        <v>1.4080809756097556</v>
      </c>
      <c r="AM316" s="18">
        <f>$K316*[1]bioshares!AD29</f>
        <v>0</v>
      </c>
      <c r="AN316" s="18">
        <f>$K316*[1]bioshares!AE29</f>
        <v>19.050507317073166</v>
      </c>
      <c r="AO316" s="18">
        <f>$K316*[1]bioshares!AF29</f>
        <v>12.010102439024386</v>
      </c>
      <c r="AP316" s="18">
        <f>$K316*[1]bioshares!AG29</f>
        <v>24.682831219512188</v>
      </c>
      <c r="AQ316" s="18">
        <f>$K316*[1]bioshares!AH29</f>
        <v>0</v>
      </c>
      <c r="AR316" s="18">
        <f>$K316*[1]bioshares!AI29</f>
        <v>62.20404780487803</v>
      </c>
      <c r="AS316" s="18">
        <f>$K316*[1]bioshares!AJ29</f>
        <v>9.7737385365853626</v>
      </c>
      <c r="AT316" s="18">
        <f>$K316*[1]bioshares!AK29</f>
        <v>2.8989902439024382</v>
      </c>
      <c r="AU316" s="18">
        <f>$K316*[1]bioshares!AL29</f>
        <v>0</v>
      </c>
      <c r="AV316" s="48">
        <f t="shared" si="70"/>
        <v>0</v>
      </c>
    </row>
    <row r="317" spans="9:59" x14ac:dyDescent="0.3">
      <c r="I317">
        <v>2030</v>
      </c>
      <c r="J317" t="s">
        <v>43</v>
      </c>
      <c r="K317" s="48">
        <v>530.46756000000073</v>
      </c>
      <c r="L317">
        <f>$K317*[1]bioshares!C34</f>
        <v>0</v>
      </c>
      <c r="M317" s="18">
        <f>$K317*[1]bioshares!D34</f>
        <v>18.223676708518003</v>
      </c>
      <c r="N317" s="18">
        <f>$K317*[1]bioshares!E34</f>
        <v>9.7460664575980651</v>
      </c>
      <c r="O317" s="18">
        <f>$K317*[1]bioshares!F34</f>
        <v>5.4966641150175271</v>
      </c>
      <c r="P317" s="18">
        <f>$K317*[1]bioshares!G34</f>
        <v>0</v>
      </c>
      <c r="Q317" s="18">
        <f>$K317*[1]bioshares!H34</f>
        <v>0</v>
      </c>
      <c r="R317" s="18">
        <f>$K317*[1]bioshares!I34</f>
        <v>0</v>
      </c>
      <c r="S317" s="18">
        <f>$K317*[1]bioshares!J34</f>
        <v>10.380693696688541</v>
      </c>
      <c r="T317" s="18">
        <f>$K317*[1]bioshares!K34</f>
        <v>47.280833801949704</v>
      </c>
      <c r="U317" s="18">
        <f>$K317*[1]bioshares!L34</f>
        <v>3.1990523799555279</v>
      </c>
      <c r="V317" s="18">
        <f>$K317*[1]bioshares!M34</f>
        <v>8.7910345850580836</v>
      </c>
      <c r="W317" s="18">
        <f>$K317*[1]bioshares!N34</f>
        <v>26.161118762985254</v>
      </c>
      <c r="X317" s="18">
        <f>$K317*[1]bioshares!O34</f>
        <v>103.38817614916822</v>
      </c>
      <c r="Y317" s="18">
        <f>$K317*[1]bioshares!P34</f>
        <v>59.826686181397349</v>
      </c>
      <c r="Z317" s="18">
        <f>$K317*[1]bioshares!Q34</f>
        <v>5.5387251466899183</v>
      </c>
      <c r="AA317" s="18">
        <f>$K317*[1]bioshares!R34</f>
        <v>3.2562076129084052</v>
      </c>
      <c r="AB317" s="18">
        <f>$K317*[1]bioshares!S34</f>
        <v>4.8589675372411687</v>
      </c>
      <c r="AC317" s="18">
        <f>$K317*[1]bioshares!T34</f>
        <v>3.9279709841871417</v>
      </c>
      <c r="AD317" s="18">
        <f>$K317*[1]bioshares!U34</f>
        <v>0</v>
      </c>
      <c r="AE317" s="18">
        <f>$K317*[1]bioshares!V34</f>
        <v>16.920258818714995</v>
      </c>
      <c r="AF317" s="18">
        <f>$K317*[1]bioshares!W34</f>
        <v>5.0890843594352368</v>
      </c>
      <c r="AG317" s="18">
        <f>$K317*[1]bioshares!X34</f>
        <v>0.76962161644483407</v>
      </c>
      <c r="AH317" s="18">
        <f>$K317*[1]bioshares!Y34</f>
        <v>16.143180873558624</v>
      </c>
      <c r="AI317" s="18">
        <f>$K317*[1]bioshares!Z34</f>
        <v>0</v>
      </c>
      <c r="AJ317" s="18">
        <f>$K317*[1]bioshares!AA34</f>
        <v>0</v>
      </c>
      <c r="AK317" s="18">
        <f>$K317*[1]bioshares!AB34</f>
        <v>2.2678022188584966E-2</v>
      </c>
      <c r="AL317" s="18">
        <f>$K317*[1]bioshares!AC34</f>
        <v>4.3495688156478041</v>
      </c>
      <c r="AM317" s="18">
        <f>$K317*[1]bioshares!AD34</f>
        <v>0</v>
      </c>
      <c r="AN317" s="18">
        <f>$K317*[1]bioshares!AE34</f>
        <v>25.758442925994999</v>
      </c>
      <c r="AO317" s="18">
        <f>$K317*[1]bioshares!AF34</f>
        <v>12.133382545680828</v>
      </c>
      <c r="AP317" s="18">
        <f>$K317*[1]bioshares!AG34</f>
        <v>27.690526710682793</v>
      </c>
      <c r="AQ317" s="18">
        <f>$K317*[1]bioshares!AH34</f>
        <v>0</v>
      </c>
      <c r="AR317" s="18">
        <f>$K317*[1]bioshares!AI34</f>
        <v>106.61587517324897</v>
      </c>
      <c r="AS317" s="18">
        <f>$K317*[1]bioshares!AJ34</f>
        <v>1.2918837190054229</v>
      </c>
      <c r="AT317" s="18">
        <f>$K317*[1]bioshares!AK34</f>
        <v>3.6071823000347187</v>
      </c>
      <c r="AU317" s="18">
        <f>$K317*[1]bioshares!AL34</f>
        <v>0</v>
      </c>
      <c r="AV317" s="48">
        <f t="shared" si="70"/>
        <v>0</v>
      </c>
    </row>
    <row r="318" spans="9:59" x14ac:dyDescent="0.3">
      <c r="I318">
        <v>2040</v>
      </c>
      <c r="J318" t="s">
        <v>43</v>
      </c>
      <c r="K318" s="48">
        <v>820.19411999999897</v>
      </c>
      <c r="L318">
        <f>$K318*[1]bioshares!C35</f>
        <v>0</v>
      </c>
      <c r="M318" s="18">
        <f>$K318*[1]bioshares!D35</f>
        <v>28.176633082228765</v>
      </c>
      <c r="N318" s="18">
        <f>$K318*[1]bioshares!E35</f>
        <v>14.977725664492709</v>
      </c>
      <c r="O318" s="18">
        <f>$K318*[1]bioshares!F35</f>
        <v>6.4674847968811555</v>
      </c>
      <c r="P318" s="18">
        <f>$K318*[1]bioshares!G35</f>
        <v>0</v>
      </c>
      <c r="Q318" s="18">
        <f>$K318*[1]bioshares!H35</f>
        <v>0</v>
      </c>
      <c r="R318" s="18">
        <f>$K318*[1]bioshares!I35</f>
        <v>0</v>
      </c>
      <c r="S318" s="18">
        <f>$K318*[1]bioshares!J35</f>
        <v>11.449325512970985</v>
      </c>
      <c r="T318" s="18">
        <f>$K318*[1]bioshares!K35</f>
        <v>68.6202975245766</v>
      </c>
      <c r="U318" s="18">
        <f>$K318*[1]bioshares!L35</f>
        <v>4.6866175500234668</v>
      </c>
      <c r="V318" s="18">
        <f>$K318*[1]bioshares!M35</f>
        <v>9.7858926181930599</v>
      </c>
      <c r="W318" s="18">
        <f>$K318*[1]bioshares!N35</f>
        <v>41.352199174844493</v>
      </c>
      <c r="X318" s="18">
        <f>$K318*[1]bioshares!O35</f>
        <v>163.91693315546627</v>
      </c>
      <c r="Y318" s="18">
        <f>$K318*[1]bioshares!P35</f>
        <v>95.455936828675704</v>
      </c>
      <c r="Z318" s="18">
        <f>$K318*[1]bioshares!Q35</f>
        <v>8.5514582391966947</v>
      </c>
      <c r="AA318" s="18">
        <f>$K318*[1]bioshares!R35</f>
        <v>4.4393786289845067</v>
      </c>
      <c r="AB318" s="18">
        <f>$K318*[1]bioshares!S35</f>
        <v>7.5570702290058431</v>
      </c>
      <c r="AC318" s="18">
        <f>$K318*[1]bioshares!T35</f>
        <v>6.0549212853547392</v>
      </c>
      <c r="AD318" s="18">
        <f>$K318*[1]bioshares!U35</f>
        <v>0</v>
      </c>
      <c r="AE318" s="18">
        <f>$K318*[1]bioshares!V35</f>
        <v>25.636885763289811</v>
      </c>
      <c r="AF318" s="18">
        <f>$K318*[1]bioshares!W35</f>
        <v>7.2389124393042898</v>
      </c>
      <c r="AG318" s="18">
        <f>$K318*[1]bioshares!X35</f>
        <v>1.2792483335478646</v>
      </c>
      <c r="AH318" s="18">
        <f>$K318*[1]bioshares!Y35</f>
        <v>23.639579235446739</v>
      </c>
      <c r="AI318" s="18">
        <f>$K318*[1]bioshares!Z35</f>
        <v>0</v>
      </c>
      <c r="AJ318" s="18">
        <f>$K318*[1]bioshares!AA35</f>
        <v>0</v>
      </c>
      <c r="AK318" s="18">
        <f>$K318*[1]bioshares!AB35</f>
        <v>3.5331079784585315E-2</v>
      </c>
      <c r="AL318" s="18">
        <f>$K318*[1]bioshares!AC35</f>
        <v>5.5870802784664333</v>
      </c>
      <c r="AM318" s="18">
        <f>$K318*[1]bioshares!AD35</f>
        <v>0</v>
      </c>
      <c r="AN318" s="18">
        <f>$K318*[1]bioshares!AE35</f>
        <v>41.26779545026929</v>
      </c>
      <c r="AO318" s="18">
        <f>$K318*[1]bioshares!AF35</f>
        <v>17.015754192130487</v>
      </c>
      <c r="AP318" s="18">
        <f>$K318*[1]bioshares!AG35</f>
        <v>43.208422209328482</v>
      </c>
      <c r="AQ318" s="18">
        <f>$K318*[1]bioshares!AH35</f>
        <v>0</v>
      </c>
      <c r="AR318" s="18">
        <f>$K318*[1]bioshares!AI35</f>
        <v>176.66492903633969</v>
      </c>
      <c r="AS318" s="18">
        <f>$K318*[1]bioshares!AJ35</f>
        <v>1.5860842898097423</v>
      </c>
      <c r="AT318" s="18">
        <f>$K318*[1]bioshares!AK35</f>
        <v>5.5422234013866118</v>
      </c>
      <c r="AU318" s="18">
        <f>$K318*[1]bioshares!AL35</f>
        <v>0</v>
      </c>
      <c r="AV318" s="48">
        <f t="shared" si="70"/>
        <v>0</v>
      </c>
    </row>
    <row r="319" spans="9:59" x14ac:dyDescent="0.3">
      <c r="I319">
        <v>2050</v>
      </c>
      <c r="J319" t="s">
        <v>43</v>
      </c>
      <c r="K319" s="48">
        <v>514.55771999999968</v>
      </c>
      <c r="L319">
        <f>$K319*[1]bioshares!C36</f>
        <v>0</v>
      </c>
      <c r="M319" s="18">
        <f>$K319*[1]bioshares!D36</f>
        <v>18.700441727555649</v>
      </c>
      <c r="N319" s="18">
        <f>$K319*[1]bioshares!E36</f>
        <v>9.2201609271636382</v>
      </c>
      <c r="O319" s="18">
        <f>$K319*[1]bioshares!F36</f>
        <v>3.9505423202110239</v>
      </c>
      <c r="P319" s="18">
        <f>$K319*[1]bioshares!G36</f>
        <v>0</v>
      </c>
      <c r="Q319" s="18">
        <f>$K319*[1]bioshares!H36</f>
        <v>0</v>
      </c>
      <c r="R319" s="18">
        <f>$K319*[1]bioshares!I36</f>
        <v>0</v>
      </c>
      <c r="S319" s="18">
        <f>$K319*[1]bioshares!J36</f>
        <v>6.9770427307349712</v>
      </c>
      <c r="T319" s="18">
        <f>$K319*[1]bioshares!K36</f>
        <v>44.580938824196572</v>
      </c>
      <c r="U319" s="18">
        <f>$K319*[1]bioshares!L36</f>
        <v>2.7623956122172766</v>
      </c>
      <c r="V319" s="18">
        <f>$K319*[1]bioshares!M36</f>
        <v>5.5241611323438224</v>
      </c>
      <c r="W319" s="18">
        <f>$K319*[1]bioshares!N36</f>
        <v>26.099862130239664</v>
      </c>
      <c r="X319" s="18">
        <f>$K319*[1]bioshares!O36</f>
        <v>103.08551050458196</v>
      </c>
      <c r="Y319" s="18">
        <f>$K319*[1]bioshares!P36</f>
        <v>60.621949224052287</v>
      </c>
      <c r="Z319" s="18">
        <f>$K319*[1]bioshares!Q36</f>
        <v>5.2870224842078697</v>
      </c>
      <c r="AA319" s="18">
        <f>$K319*[1]bioshares!R36</f>
        <v>2.3907467819410932</v>
      </c>
      <c r="AB319" s="18">
        <f>$K319*[1]bioshares!S36</f>
        <v>4.7006562436226487</v>
      </c>
      <c r="AC319" s="18">
        <f>$K319*[1]bioshares!T36</f>
        <v>3.7260831255392013</v>
      </c>
      <c r="AD319" s="18">
        <f>$K319*[1]bioshares!U36</f>
        <v>0</v>
      </c>
      <c r="AE319" s="18">
        <f>$K319*[1]bioshares!V36</f>
        <v>15.56071326357397</v>
      </c>
      <c r="AF319" s="18">
        <f>$K319*[1]bioshares!W36</f>
        <v>4.3008237067952653</v>
      </c>
      <c r="AG319" s="18">
        <f>$K319*[1]bioshares!X36</f>
        <v>0.84980121984200752</v>
      </c>
      <c r="AH319" s="18">
        <f>$K319*[1]bioshares!Y36</f>
        <v>13.778808555985645</v>
      </c>
      <c r="AI319" s="18">
        <f>$K319*[1]bioshares!Z36</f>
        <v>0</v>
      </c>
      <c r="AJ319" s="18">
        <f>$K319*[1]bioshares!AA36</f>
        <v>0</v>
      </c>
      <c r="AK319" s="18">
        <f>$K319*[1]bioshares!AB36</f>
        <v>2.1976672936806777E-2</v>
      </c>
      <c r="AL319" s="18">
        <f>$K319*[1]bioshares!AC36</f>
        <v>2.7596329205357533</v>
      </c>
      <c r="AM319" s="18">
        <f>$K319*[1]bioshares!AD36</f>
        <v>0</v>
      </c>
      <c r="AN319" s="18">
        <f>$K319*[1]bioshares!AE36</f>
        <v>26.393123875346756</v>
      </c>
      <c r="AO319" s="18">
        <f>$K319*[1]bioshares!AF36</f>
        <v>9.6272781455849845</v>
      </c>
      <c r="AP319" s="18">
        <f>$K319*[1]bioshares!AG36</f>
        <v>26.984919506098773</v>
      </c>
      <c r="AQ319" s="18">
        <f>$K319*[1]bioshares!AH36</f>
        <v>0</v>
      </c>
      <c r="AR319" s="18">
        <f>$K319*[1]bioshares!AI36</f>
        <v>112.47648314249905</v>
      </c>
      <c r="AS319" s="18">
        <f>$K319*[1]bioshares!AJ36</f>
        <v>0.76947093782298259</v>
      </c>
      <c r="AT319" s="18">
        <f>$K319*[1]bioshares!AK36</f>
        <v>3.4071742843699502</v>
      </c>
      <c r="AU319" s="18">
        <f>$K319*[1]bioshares!AL36</f>
        <v>0</v>
      </c>
      <c r="AV319" s="48">
        <f t="shared" si="70"/>
        <v>0</v>
      </c>
    </row>
  </sheetData>
  <autoFilter ref="E4:AU235" xr:uid="{00000000-0009-0000-0000-00000B000000}"/>
  <pageMargins left="0.7" right="0.7" top="0.75" bottom="0.75" header="0.3" footer="0.3"/>
  <pageSetup paperSize="9" orientation="portrait" horizontalDpi="30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C7A50-0C31-4FE8-B953-6F9D79D20370}">
  <dimension ref="A1:AN123"/>
  <sheetViews>
    <sheetView zoomScale="80" zoomScaleNormal="80" workbookViewId="0">
      <selection activeCell="G11" sqref="G11"/>
    </sheetView>
  </sheetViews>
  <sheetFormatPr defaultRowHeight="14.4" x14ac:dyDescent="0.3"/>
  <cols>
    <col min="1" max="1" width="18.33203125" customWidth="1"/>
    <col min="2" max="2" width="10.88671875" customWidth="1"/>
  </cols>
  <sheetData>
    <row r="1" spans="1:40" ht="21" x14ac:dyDescent="0.4">
      <c r="A1" s="1" t="s">
        <v>0</v>
      </c>
    </row>
    <row r="2" spans="1:40" s="3" customFormat="1" x14ac:dyDescent="0.3">
      <c r="A2" s="2" t="s">
        <v>1</v>
      </c>
      <c r="B2" s="2"/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/>
      <c r="AN2" s="2" t="s">
        <v>38</v>
      </c>
    </row>
    <row r="3" spans="1:40" x14ac:dyDescent="0.3">
      <c r="A3" t="s">
        <v>39</v>
      </c>
      <c r="B3">
        <v>2005</v>
      </c>
      <c r="D3">
        <v>8.6618520900826768E-3</v>
      </c>
      <c r="E3">
        <v>4.8321226294244193E-2</v>
      </c>
      <c r="F3">
        <v>5.9439491511530419E-3</v>
      </c>
      <c r="I3">
        <v>3.5968673480555212E-3</v>
      </c>
      <c r="J3">
        <v>4.022087904183045E-2</v>
      </c>
      <c r="K3">
        <v>0.14550320123172625</v>
      </c>
      <c r="L3">
        <v>4.2110765683209532E-2</v>
      </c>
      <c r="M3">
        <v>7.2322954677453977E-3</v>
      </c>
      <c r="N3">
        <v>7.626872589130558E-2</v>
      </c>
      <c r="O3">
        <v>7.4794180985892217E-3</v>
      </c>
      <c r="P3">
        <v>0.22068116120762293</v>
      </c>
      <c r="Q3">
        <v>6.6995581725213136E-3</v>
      </c>
      <c r="R3">
        <v>2.2793800360228255E-3</v>
      </c>
      <c r="S3">
        <v>5.4246062686652004E-2</v>
      </c>
      <c r="T3">
        <v>1.3076125908473988E-2</v>
      </c>
      <c r="V3">
        <v>9.7807446061891776E-2</v>
      </c>
      <c r="W3">
        <v>8.0623318889566538E-3</v>
      </c>
      <c r="X3">
        <v>1.5973550386104189E-3</v>
      </c>
      <c r="Y3">
        <v>5.3010563970593448E-3</v>
      </c>
      <c r="AB3">
        <v>6.9966057013347458E-3</v>
      </c>
      <c r="AC3">
        <v>6.0141452202961888E-2</v>
      </c>
      <c r="AE3">
        <v>5.5780727128180808E-2</v>
      </c>
      <c r="AF3">
        <v>2.1613311077762144E-2</v>
      </c>
      <c r="AG3">
        <v>1.9060921479773257E-2</v>
      </c>
      <c r="AI3">
        <v>2.6875105866148122E-2</v>
      </c>
      <c r="AJ3">
        <v>1.5810990494851255E-3</v>
      </c>
      <c r="AK3">
        <v>1.2861119798600863E-2</v>
      </c>
      <c r="AN3">
        <f>SUM(C3:AL3)</f>
        <v>0.99999999999999989</v>
      </c>
    </row>
    <row r="4" spans="1:40" s="4" customFormat="1" x14ac:dyDescent="0.3">
      <c r="A4" t="s">
        <v>39</v>
      </c>
      <c r="B4">
        <v>2010</v>
      </c>
      <c r="C4"/>
      <c r="D4">
        <v>8.6600693667921169E-3</v>
      </c>
      <c r="E4">
        <v>4.8311281149181991E-2</v>
      </c>
      <c r="F4">
        <v>5.9427258080989856E-3</v>
      </c>
      <c r="G4"/>
      <c r="H4"/>
      <c r="I4">
        <v>3.5961270653621954E-3</v>
      </c>
      <c r="J4">
        <v>4.0212601054964707E-2</v>
      </c>
      <c r="K4">
        <v>0.14547325475573139</v>
      </c>
      <c r="L4">
        <v>4.2102098732771445E-2</v>
      </c>
      <c r="M4">
        <v>7.2308069660438597E-3</v>
      </c>
      <c r="N4">
        <v>7.6253028782584054E-2</v>
      </c>
      <c r="O4">
        <v>7.6836919120086304E-3</v>
      </c>
      <c r="P4">
        <v>0.22063574211690409</v>
      </c>
      <c r="Q4">
        <v>6.6981793151745933E-3</v>
      </c>
      <c r="R4">
        <v>2.2789109095778118E-3</v>
      </c>
      <c r="S4">
        <v>5.4234898132193336E-2</v>
      </c>
      <c r="T4">
        <v>1.3073434669468184E-2</v>
      </c>
      <c r="U4"/>
      <c r="V4">
        <v>9.7787316000760349E-2</v>
      </c>
      <c r="W4">
        <v>8.0606725548228921E-3</v>
      </c>
      <c r="X4">
        <v>1.5970262818963802E-3</v>
      </c>
      <c r="Y4">
        <v>5.2999653698049742E-3</v>
      </c>
      <c r="Z4"/>
      <c r="AA4"/>
      <c r="AB4">
        <v>6.9951657076926339E-3</v>
      </c>
      <c r="AC4">
        <v>6.0129074299661849E-2</v>
      </c>
      <c r="AD4"/>
      <c r="AE4">
        <v>5.5769246719559004E-2</v>
      </c>
      <c r="AF4">
        <v>2.1608862773560718E-2</v>
      </c>
      <c r="AG4">
        <v>1.9056998490981931E-2</v>
      </c>
      <c r="AH4"/>
      <c r="AI4">
        <v>2.6869574615248706E-2</v>
      </c>
      <c r="AJ4">
        <v>1.5807736384678413E-3</v>
      </c>
      <c r="AK4">
        <v>1.2858472810685438E-2</v>
      </c>
      <c r="AL4"/>
      <c r="AM4"/>
      <c r="AN4">
        <f t="shared" ref="AN4:AN36" si="0">SUM(C4:AL4)</f>
        <v>1</v>
      </c>
    </row>
    <row r="5" spans="1:40" x14ac:dyDescent="0.3">
      <c r="A5" t="s">
        <v>39</v>
      </c>
      <c r="B5">
        <v>2020</v>
      </c>
      <c r="D5">
        <v>9.2460567243085861E-3</v>
      </c>
      <c r="E5">
        <v>5.0164918594527722E-2</v>
      </c>
      <c r="F5">
        <v>5.4211892357131372E-3</v>
      </c>
      <c r="I5">
        <v>3.7160135378457864E-3</v>
      </c>
      <c r="J5">
        <v>3.5168908112421342E-2</v>
      </c>
      <c r="K5">
        <v>0.14443228322490509</v>
      </c>
      <c r="L5">
        <v>4.2365838224409418E-2</v>
      </c>
      <c r="M5">
        <v>6.8880154006315843E-3</v>
      </c>
      <c r="N5">
        <v>8.3247202571716E-2</v>
      </c>
      <c r="O5">
        <v>8.6257309881014634E-3</v>
      </c>
      <c r="P5">
        <v>0.22033401975111888</v>
      </c>
      <c r="Q5">
        <v>6.5197602864965898E-3</v>
      </c>
      <c r="R5">
        <v>2.248960090617189E-3</v>
      </c>
      <c r="S5">
        <v>4.7133908966964941E-2</v>
      </c>
      <c r="T5">
        <v>1.3077468306844113E-2</v>
      </c>
      <c r="V5">
        <v>9.8509838441521502E-2</v>
      </c>
      <c r="W5">
        <v>9.2190854300396811E-3</v>
      </c>
      <c r="X5">
        <v>1.0925845315397837E-3</v>
      </c>
      <c r="Y5">
        <v>5.3592069327161049E-3</v>
      </c>
      <c r="AB5">
        <v>2.5363186419793075E-3</v>
      </c>
      <c r="AC5">
        <v>6.142058816946297E-2</v>
      </c>
      <c r="AE5">
        <v>6.0852799635268254E-2</v>
      </c>
      <c r="AF5">
        <v>2.139338225345485E-2</v>
      </c>
      <c r="AG5">
        <v>2.0162290645013521E-2</v>
      </c>
      <c r="AI5">
        <v>2.814656087558999E-2</v>
      </c>
      <c r="AJ5">
        <v>1.6100538174371598E-3</v>
      </c>
      <c r="AK5">
        <v>1.1107016609355119E-2</v>
      </c>
      <c r="AN5">
        <f t="shared" si="0"/>
        <v>1</v>
      </c>
    </row>
    <row r="6" spans="1:40" x14ac:dyDescent="0.3">
      <c r="A6" t="s">
        <v>39</v>
      </c>
      <c r="B6">
        <v>2030</v>
      </c>
      <c r="D6">
        <v>9.9117852151407847E-3</v>
      </c>
      <c r="E6">
        <v>5.3763408711211741E-2</v>
      </c>
      <c r="F6">
        <v>5.6164153036180305E-3</v>
      </c>
      <c r="I6">
        <v>3.765994046215664E-3</v>
      </c>
      <c r="J6">
        <v>3.0749463007503565E-2</v>
      </c>
      <c r="K6">
        <v>0.14304162016876368</v>
      </c>
      <c r="L6">
        <v>4.1862531232744367E-2</v>
      </c>
      <c r="M6">
        <v>6.854636349634899E-3</v>
      </c>
      <c r="N6">
        <v>8.4477097252870809E-2</v>
      </c>
      <c r="O6">
        <v>1.0691039635025315E-2</v>
      </c>
      <c r="P6">
        <v>0.21583472631641995</v>
      </c>
      <c r="Q6">
        <v>6.4713539038116687E-3</v>
      </c>
      <c r="R6">
        <v>2.1341198541608461E-3</v>
      </c>
      <c r="S6">
        <v>4.4796972747448975E-2</v>
      </c>
      <c r="T6">
        <v>1.269623531374493E-2</v>
      </c>
      <c r="V6">
        <v>9.590292412333426E-2</v>
      </c>
      <c r="W6">
        <v>9.8226599595695897E-3</v>
      </c>
      <c r="X6">
        <v>1.0381560859124451E-3</v>
      </c>
      <c r="Y6">
        <v>5.4638224947955024E-3</v>
      </c>
      <c r="AB6">
        <v>2.8207422725895432E-3</v>
      </c>
      <c r="AC6">
        <v>6.2940526200620586E-2</v>
      </c>
      <c r="AE6">
        <v>6.5311908515707187E-2</v>
      </c>
      <c r="AF6">
        <v>2.2473911882864735E-2</v>
      </c>
      <c r="AG6">
        <v>2.0177276630317865E-2</v>
      </c>
      <c r="AI6">
        <v>2.8813276911525503E-2</v>
      </c>
      <c r="AJ6">
        <v>1.6175920173602475E-3</v>
      </c>
      <c r="AK6">
        <v>1.0949803847087379E-2</v>
      </c>
      <c r="AN6">
        <f t="shared" si="0"/>
        <v>1.0000000000000002</v>
      </c>
    </row>
    <row r="7" spans="1:40" x14ac:dyDescent="0.3">
      <c r="A7" t="s">
        <v>39</v>
      </c>
      <c r="B7">
        <v>2040</v>
      </c>
      <c r="D7">
        <v>1.0404599283479673E-2</v>
      </c>
      <c r="E7">
        <v>5.7952204285119935E-2</v>
      </c>
      <c r="F7">
        <v>5.4467440020345408E-3</v>
      </c>
      <c r="I7">
        <v>3.8849284868751458E-3</v>
      </c>
      <c r="J7">
        <v>2.8471570049094085E-2</v>
      </c>
      <c r="K7">
        <v>0.14158757585911139</v>
      </c>
      <c r="L7">
        <v>4.1155681670733947E-2</v>
      </c>
      <c r="M7">
        <v>6.762174636487454E-3</v>
      </c>
      <c r="N7">
        <v>8.4427273539745704E-2</v>
      </c>
      <c r="O7">
        <v>1.4029329579127447E-2</v>
      </c>
      <c r="P7">
        <v>0.21216172890331325</v>
      </c>
      <c r="Q7">
        <v>6.558068609694101E-3</v>
      </c>
      <c r="R7">
        <v>2.0295823466112517E-3</v>
      </c>
      <c r="S7">
        <v>4.3814994057889113E-2</v>
      </c>
      <c r="T7">
        <v>1.2227941245630179E-2</v>
      </c>
      <c r="V7">
        <v>9.2420018625355135E-2</v>
      </c>
      <c r="W7">
        <v>1.0165864384245193E-2</v>
      </c>
      <c r="X7">
        <v>9.9278441872666144E-4</v>
      </c>
      <c r="Y7">
        <v>5.3647775974038792E-3</v>
      </c>
      <c r="AB7">
        <v>3.0227539944636533E-3</v>
      </c>
      <c r="AC7">
        <v>6.434891135550723E-2</v>
      </c>
      <c r="AE7">
        <v>6.9047794756651945E-2</v>
      </c>
      <c r="AF7">
        <v>2.3046115604602749E-2</v>
      </c>
      <c r="AG7">
        <v>1.8835381406029601E-2</v>
      </c>
      <c r="AI7">
        <v>2.9887860984876596E-2</v>
      </c>
      <c r="AJ7">
        <v>1.5877860576189653E-3</v>
      </c>
      <c r="AK7">
        <v>1.0365554259571204E-2</v>
      </c>
      <c r="AN7">
        <f t="shared" si="0"/>
        <v>0.99999999999999989</v>
      </c>
    </row>
    <row r="8" spans="1:40" x14ac:dyDescent="0.3">
      <c r="A8" t="s">
        <v>39</v>
      </c>
      <c r="B8">
        <v>2050</v>
      </c>
      <c r="D8">
        <v>1.0944806734968412E-2</v>
      </c>
      <c r="E8">
        <v>6.29922680409504E-2</v>
      </c>
      <c r="F8">
        <v>5.3004758766027034E-3</v>
      </c>
      <c r="I8">
        <v>4.0212654594947595E-3</v>
      </c>
      <c r="J8">
        <v>2.6364693203477837E-2</v>
      </c>
      <c r="K8">
        <v>0.13983083795099122</v>
      </c>
      <c r="L8">
        <v>4.0625241840718765E-2</v>
      </c>
      <c r="M8">
        <v>6.6862854077483526E-3</v>
      </c>
      <c r="N8">
        <v>8.4277417330041363E-2</v>
      </c>
      <c r="O8">
        <v>1.5526634891754636E-2</v>
      </c>
      <c r="P8">
        <v>0.20919634050496511</v>
      </c>
      <c r="Q8">
        <v>6.6405952387345799E-3</v>
      </c>
      <c r="R8">
        <v>1.9298420903685245E-3</v>
      </c>
      <c r="S8">
        <v>4.2867574027915814E-2</v>
      </c>
      <c r="T8">
        <v>1.181111903608548E-2</v>
      </c>
      <c r="V8">
        <v>8.9284705930092231E-2</v>
      </c>
      <c r="W8">
        <v>1.0442363716349044E-2</v>
      </c>
      <c r="X8">
        <v>9.5009623563749464E-4</v>
      </c>
      <c r="Y8">
        <v>5.2571444598234814E-3</v>
      </c>
      <c r="AB8">
        <v>3.2391175968759134E-3</v>
      </c>
      <c r="AC8">
        <v>6.5991697900688706E-2</v>
      </c>
      <c r="AE8">
        <v>7.2408940650916367E-2</v>
      </c>
      <c r="AF8">
        <v>2.3672651842193651E-2</v>
      </c>
      <c r="AG8">
        <v>1.7608640217013562E-2</v>
      </c>
      <c r="AI8">
        <v>3.0731635192787703E-2</v>
      </c>
      <c r="AJ8">
        <v>1.5618142320689642E-3</v>
      </c>
      <c r="AK8">
        <v>9.8357943907350781E-3</v>
      </c>
      <c r="AN8">
        <f t="shared" si="0"/>
        <v>1</v>
      </c>
    </row>
    <row r="9" spans="1:40" x14ac:dyDescent="0.3">
      <c r="AN9">
        <f t="shared" si="0"/>
        <v>0</v>
      </c>
    </row>
    <row r="10" spans="1:40" x14ac:dyDescent="0.3">
      <c r="A10" t="s">
        <v>40</v>
      </c>
      <c r="B10">
        <v>2005</v>
      </c>
      <c r="D10">
        <v>3.429741147920895E-2</v>
      </c>
      <c r="E10">
        <v>1.7860252934672107E-2</v>
      </c>
      <c r="F10">
        <v>7.2843901309042058E-3</v>
      </c>
      <c r="I10">
        <v>0</v>
      </c>
      <c r="J10">
        <v>2.5630058345497878E-2</v>
      </c>
      <c r="K10">
        <v>0.16042870488463515</v>
      </c>
      <c r="L10">
        <v>3.5600995534035584E-3</v>
      </c>
      <c r="M10">
        <v>1.9329414607647237E-5</v>
      </c>
      <c r="N10">
        <v>3.8558864780133553E-2</v>
      </c>
      <c r="O10">
        <v>0</v>
      </c>
      <c r="P10">
        <v>0.51525287222348803</v>
      </c>
      <c r="Q10">
        <v>1.7487772148656166E-2</v>
      </c>
      <c r="R10">
        <v>5.7006314487714482E-2</v>
      </c>
      <c r="S10">
        <v>2.874665119983582E-2</v>
      </c>
      <c r="T10">
        <v>8.7977715295297509E-5</v>
      </c>
      <c r="V10">
        <v>1.4458101573410742E-2</v>
      </c>
      <c r="W10">
        <v>5.8946834870908594E-3</v>
      </c>
      <c r="X10">
        <v>7.8333484460362771E-4</v>
      </c>
      <c r="Y10">
        <v>1.5661598227956566E-3</v>
      </c>
      <c r="AB10">
        <v>0</v>
      </c>
      <c r="AC10">
        <v>4.1303683415362087E-3</v>
      </c>
      <c r="AE10">
        <v>1.8334608275560479E-2</v>
      </c>
      <c r="AF10">
        <v>1.861937594316887E-4</v>
      </c>
      <c r="AG10">
        <v>8.2291050165952673E-3</v>
      </c>
      <c r="AI10">
        <v>2.5732991844184726E-2</v>
      </c>
      <c r="AJ10">
        <v>6.80799726804327E-7</v>
      </c>
      <c r="AK10">
        <v>1.4463072937011495E-2</v>
      </c>
      <c r="AN10">
        <f t="shared" si="0"/>
        <v>1.0000000000000004</v>
      </c>
    </row>
    <row r="11" spans="1:40" x14ac:dyDescent="0.3">
      <c r="A11" t="s">
        <v>40</v>
      </c>
      <c r="B11">
        <v>2010</v>
      </c>
      <c r="D11">
        <v>3.6699049143924939E-2</v>
      </c>
      <c r="E11">
        <v>1.608398290787685E-2</v>
      </c>
      <c r="F11">
        <v>4.4156992713055383E-3</v>
      </c>
      <c r="I11">
        <v>0</v>
      </c>
      <c r="J11">
        <v>2.6637044201086847E-2</v>
      </c>
      <c r="K11">
        <v>0.18020792005242525</v>
      </c>
      <c r="L11">
        <v>3.8078775139053934E-3</v>
      </c>
      <c r="M11">
        <v>1.1717231019195254E-5</v>
      </c>
      <c r="N11">
        <v>2.3373864943017509E-2</v>
      </c>
      <c r="O11">
        <v>0</v>
      </c>
      <c r="P11">
        <v>0.57630275467988024</v>
      </c>
      <c r="Q11">
        <v>1.0600852143540116E-2</v>
      </c>
      <c r="R11">
        <v>3.4556460708395506E-2</v>
      </c>
      <c r="S11">
        <v>1.7425833113613447E-2</v>
      </c>
      <c r="T11">
        <v>5.3330907095766603E-5</v>
      </c>
      <c r="V11">
        <v>8.7643066111076813E-3</v>
      </c>
      <c r="W11">
        <v>5.4380847459827315E-3</v>
      </c>
      <c r="X11">
        <v>4.748470414605754E-4</v>
      </c>
      <c r="Y11">
        <v>9.4938500876371281E-4</v>
      </c>
      <c r="AB11">
        <v>0</v>
      </c>
      <c r="AC11">
        <v>4.3160245348167611E-3</v>
      </c>
      <c r="AE11">
        <v>1.3164056953797144E-2</v>
      </c>
      <c r="AF11">
        <v>1.1286815135779808E-4</v>
      </c>
      <c r="AG11">
        <v>4.9883727219818689E-3</v>
      </c>
      <c r="AI11">
        <v>2.1165483911996099E-2</v>
      </c>
      <c r="AJ11">
        <v>4.1269163286586881E-7</v>
      </c>
      <c r="AK11">
        <v>1.0449770810015989E-2</v>
      </c>
      <c r="AN11">
        <f t="shared" si="0"/>
        <v>0.99999999999999989</v>
      </c>
    </row>
    <row r="12" spans="1:40" x14ac:dyDescent="0.3">
      <c r="A12" t="s">
        <v>40</v>
      </c>
      <c r="B12">
        <v>2020</v>
      </c>
      <c r="D12">
        <v>1.509309299954752E-2</v>
      </c>
      <c r="E12">
        <v>1.8722305258497596E-2</v>
      </c>
      <c r="F12">
        <v>2.9293002781163306E-2</v>
      </c>
      <c r="I12">
        <v>2.8775481887551268E-4</v>
      </c>
      <c r="J12">
        <v>1.9520509463205563E-2</v>
      </c>
      <c r="K12">
        <v>6.2384518187443998E-2</v>
      </c>
      <c r="L12">
        <v>9.6799879971106752E-4</v>
      </c>
      <c r="M12">
        <v>2.9722907023493235E-3</v>
      </c>
      <c r="N12">
        <v>0.16223287322296967</v>
      </c>
      <c r="O12">
        <v>1.1431194289640177E-3</v>
      </c>
      <c r="P12">
        <v>0.23227822299566758</v>
      </c>
      <c r="Q12">
        <v>1.8052269877665433E-2</v>
      </c>
      <c r="R12">
        <v>8.6602135260228936E-3</v>
      </c>
      <c r="S12">
        <v>4.3693212779152467E-2</v>
      </c>
      <c r="T12">
        <v>6.2459195638211243E-3</v>
      </c>
      <c r="V12">
        <v>9.1543447039429307E-2</v>
      </c>
      <c r="W12">
        <v>3.1324142073540673E-2</v>
      </c>
      <c r="X12">
        <v>1.146011041772671E-4</v>
      </c>
      <c r="Y12">
        <v>3.1264618462606263E-3</v>
      </c>
      <c r="AB12">
        <v>0</v>
      </c>
      <c r="AC12">
        <v>1.3728788308006806E-2</v>
      </c>
      <c r="AE12">
        <v>9.4796422931224325E-2</v>
      </c>
      <c r="AF12">
        <v>7.3366432558697901E-3</v>
      </c>
      <c r="AG12">
        <v>0.12140906147152676</v>
      </c>
      <c r="AI12">
        <v>7.924954067110657E-3</v>
      </c>
      <c r="AJ12">
        <v>3.605587351694864E-4</v>
      </c>
      <c r="AK12">
        <v>6.7876147626270119E-3</v>
      </c>
      <c r="AN12">
        <f t="shared" si="0"/>
        <v>0.99999999999999989</v>
      </c>
    </row>
    <row r="13" spans="1:40" x14ac:dyDescent="0.3">
      <c r="A13" t="s">
        <v>40</v>
      </c>
      <c r="B13">
        <v>2030</v>
      </c>
      <c r="D13">
        <v>1.3736813598597518E-2</v>
      </c>
      <c r="E13">
        <v>2.4621161534470505E-2</v>
      </c>
      <c r="F13">
        <v>1.9003696358131563E-2</v>
      </c>
      <c r="I13">
        <v>2.5430144731872109E-4</v>
      </c>
      <c r="J13">
        <v>2.3401620018498236E-2</v>
      </c>
      <c r="K13">
        <v>6.9781838785105341E-2</v>
      </c>
      <c r="L13">
        <v>1.2826735037199484E-3</v>
      </c>
      <c r="M13">
        <v>3.4710301362627051E-3</v>
      </c>
      <c r="N13">
        <v>0.15866862404154558</v>
      </c>
      <c r="O13">
        <v>1.1180360298993393E-3</v>
      </c>
      <c r="P13">
        <v>0.22465844431492271</v>
      </c>
      <c r="Q13">
        <v>1.5955389942223307E-2</v>
      </c>
      <c r="R13">
        <v>1.0738590595214891E-2</v>
      </c>
      <c r="S13">
        <v>4.1488595318814048E-2</v>
      </c>
      <c r="T13">
        <v>4.7440420578594208E-3</v>
      </c>
      <c r="V13">
        <v>0.10726562151728671</v>
      </c>
      <c r="W13">
        <v>3.3381475971493164E-2</v>
      </c>
      <c r="X13">
        <v>9.5677841005106754E-5</v>
      </c>
      <c r="Y13">
        <v>3.8244776892325419E-3</v>
      </c>
      <c r="AB13">
        <v>0</v>
      </c>
      <c r="AC13">
        <v>1.784028421328945E-2</v>
      </c>
      <c r="AE13">
        <v>0.10185227011335529</v>
      </c>
      <c r="AF13">
        <v>6.1464891343835856E-3</v>
      </c>
      <c r="AG13">
        <v>0.10031620983733723</v>
      </c>
      <c r="AI13">
        <v>7.5191803331366791E-3</v>
      </c>
      <c r="AJ13">
        <v>8.1051283318894806E-4</v>
      </c>
      <c r="AK13">
        <v>8.0229428337075699E-3</v>
      </c>
      <c r="AN13">
        <f t="shared" si="0"/>
        <v>1</v>
      </c>
    </row>
    <row r="14" spans="1:40" x14ac:dyDescent="0.3">
      <c r="A14" t="s">
        <v>40</v>
      </c>
      <c r="B14">
        <v>2040</v>
      </c>
      <c r="D14">
        <v>1.2401894665876923E-2</v>
      </c>
      <c r="E14">
        <v>2.2689722827727837E-2</v>
      </c>
      <c r="F14">
        <v>2.2345279359282717E-2</v>
      </c>
      <c r="I14">
        <v>2.3138485092079862E-4</v>
      </c>
      <c r="J14">
        <v>2.5556191998369164E-2</v>
      </c>
      <c r="K14">
        <v>6.9094658663683459E-2</v>
      </c>
      <c r="L14">
        <v>1.5764404745524767E-3</v>
      </c>
      <c r="M14">
        <v>3.9798756752514423E-3</v>
      </c>
      <c r="N14">
        <v>0.16745255304568593</v>
      </c>
      <c r="O14">
        <v>1.5485646951887162E-3</v>
      </c>
      <c r="P14">
        <v>0.20662552561523714</v>
      </c>
      <c r="Q14">
        <v>1.7301946253086783E-2</v>
      </c>
      <c r="R14">
        <v>1.0569206773859747E-2</v>
      </c>
      <c r="S14">
        <v>4.3244140254031033E-2</v>
      </c>
      <c r="T14">
        <v>3.3363279030844679E-3</v>
      </c>
      <c r="V14">
        <v>0.10503818614665417</v>
      </c>
      <c r="W14">
        <v>3.1401887264889697E-2</v>
      </c>
      <c r="X14">
        <v>1.0174513794469619E-4</v>
      </c>
      <c r="Y14">
        <v>3.3846433405619889E-3</v>
      </c>
      <c r="AB14">
        <v>0</v>
      </c>
      <c r="AC14">
        <v>1.492053018661231E-2</v>
      </c>
      <c r="AE14">
        <v>0.11893979051728436</v>
      </c>
      <c r="AF14">
        <v>6.2403856564015028E-3</v>
      </c>
      <c r="AG14">
        <v>9.7318690259040191E-2</v>
      </c>
      <c r="AI14">
        <v>6.9860067343259762E-3</v>
      </c>
      <c r="AJ14">
        <v>6.7410146348680187E-4</v>
      </c>
      <c r="AK14">
        <v>7.0403202369595007E-3</v>
      </c>
      <c r="AN14">
        <f t="shared" si="0"/>
        <v>0.99999999999999978</v>
      </c>
    </row>
    <row r="15" spans="1:40" x14ac:dyDescent="0.3">
      <c r="A15" t="s">
        <v>40</v>
      </c>
      <c r="B15">
        <v>2050</v>
      </c>
      <c r="D15">
        <v>1.1200517680459954E-2</v>
      </c>
      <c r="E15">
        <v>2.0763590507580906E-2</v>
      </c>
      <c r="F15">
        <v>2.4525800069152351E-2</v>
      </c>
      <c r="I15">
        <v>2.0939685701410507E-4</v>
      </c>
      <c r="J15">
        <v>2.7933198744719775E-2</v>
      </c>
      <c r="K15">
        <v>6.9120655130630967E-2</v>
      </c>
      <c r="L15">
        <v>1.79879166608449E-3</v>
      </c>
      <c r="M15">
        <v>4.3543626092828053E-3</v>
      </c>
      <c r="N15">
        <v>0.17624324200256325</v>
      </c>
      <c r="O15">
        <v>1.8695402046382738E-3</v>
      </c>
      <c r="P15">
        <v>0.19129297274991369</v>
      </c>
      <c r="Q15">
        <v>1.852795753915772E-2</v>
      </c>
      <c r="R15">
        <v>1.043290434267154E-2</v>
      </c>
      <c r="S15">
        <v>4.5385968130081326E-2</v>
      </c>
      <c r="T15">
        <v>1.9039642881827569E-3</v>
      </c>
      <c r="V15">
        <v>0.10436537666602842</v>
      </c>
      <c r="W15">
        <v>2.9347195474970628E-2</v>
      </c>
      <c r="X15">
        <v>1.0876639777218801E-4</v>
      </c>
      <c r="Y15">
        <v>2.9050247414273045E-3</v>
      </c>
      <c r="AB15">
        <v>0</v>
      </c>
      <c r="AC15">
        <v>1.2268305447965528E-2</v>
      </c>
      <c r="AE15">
        <v>0.13659702637321355</v>
      </c>
      <c r="AF15">
        <v>6.4096512034084764E-3</v>
      </c>
      <c r="AG15">
        <v>8.9176970162062025E-2</v>
      </c>
      <c r="AI15">
        <v>6.5079174505173415E-3</v>
      </c>
      <c r="AJ15">
        <v>5.3718910604218684E-4</v>
      </c>
      <c r="AK15">
        <v>6.2137144544585866E-3</v>
      </c>
      <c r="AN15">
        <f t="shared" si="0"/>
        <v>1.0000000000000002</v>
      </c>
    </row>
    <row r="16" spans="1:40" x14ac:dyDescent="0.3">
      <c r="AN16">
        <f t="shared" si="0"/>
        <v>0</v>
      </c>
    </row>
    <row r="17" spans="1:40" x14ac:dyDescent="0.3">
      <c r="A17" t="s">
        <v>41</v>
      </c>
      <c r="B17">
        <v>2005</v>
      </c>
      <c r="D17">
        <v>2.1771792991411638E-2</v>
      </c>
      <c r="E17">
        <v>7.3347666752176617E-3</v>
      </c>
      <c r="F17">
        <v>2.7204213743222787E-2</v>
      </c>
      <c r="I17">
        <v>2.9051558713829575E-4</v>
      </c>
      <c r="J17">
        <v>3.6644958725236293E-2</v>
      </c>
      <c r="K17">
        <v>0.20161478253056</v>
      </c>
      <c r="L17">
        <v>2.894378277521106E-2</v>
      </c>
      <c r="M17">
        <v>3.3869894018960403E-3</v>
      </c>
      <c r="N17">
        <v>7.9352537616525984E-2</v>
      </c>
      <c r="O17">
        <v>1.4453255827560737E-2</v>
      </c>
      <c r="P17">
        <v>0.21110394444968489</v>
      </c>
      <c r="Q17">
        <v>1.397844151828377E-2</v>
      </c>
      <c r="R17">
        <v>9.8461825710418841E-3</v>
      </c>
      <c r="S17">
        <v>4.8086819415435141E-2</v>
      </c>
      <c r="T17">
        <v>2.4133657359430349E-4</v>
      </c>
      <c r="V17">
        <v>6.147499300474818E-2</v>
      </c>
      <c r="W17">
        <v>1.4726181163670188E-2</v>
      </c>
      <c r="X17">
        <v>3.7163884168358566E-4</v>
      </c>
      <c r="Y17">
        <v>6.9627402431037457E-3</v>
      </c>
      <c r="AB17">
        <v>6.8642714285694567E-3</v>
      </c>
      <c r="AC17">
        <v>5.7102918833084959E-3</v>
      </c>
      <c r="AE17">
        <v>0.10286737433906651</v>
      </c>
      <c r="AF17">
        <v>5.8186368631308683E-3</v>
      </c>
      <c r="AG17">
        <v>5.682708428860974E-2</v>
      </c>
      <c r="AI17">
        <v>2.0013699598883102E-2</v>
      </c>
      <c r="AJ17">
        <v>7.9464358942752658E-4</v>
      </c>
      <c r="AK17">
        <v>1.3314124353778186E-2</v>
      </c>
      <c r="AN17">
        <f t="shared" si="0"/>
        <v>1</v>
      </c>
    </row>
    <row r="18" spans="1:40" x14ac:dyDescent="0.3">
      <c r="A18" t="s">
        <v>41</v>
      </c>
      <c r="B18">
        <v>2010</v>
      </c>
      <c r="D18">
        <v>2.1771792991411638E-2</v>
      </c>
      <c r="E18">
        <v>7.3347666752176617E-3</v>
      </c>
      <c r="F18">
        <v>2.7204213743222787E-2</v>
      </c>
      <c r="I18">
        <v>2.9051558713829575E-4</v>
      </c>
      <c r="J18">
        <v>3.6644958725236293E-2</v>
      </c>
      <c r="K18">
        <v>0.20161478253056</v>
      </c>
      <c r="L18">
        <v>2.894378277521106E-2</v>
      </c>
      <c r="M18">
        <v>3.3869894018960403E-3</v>
      </c>
      <c r="N18">
        <v>7.9352537616525984E-2</v>
      </c>
      <c r="O18">
        <v>1.4453255827560737E-2</v>
      </c>
      <c r="P18">
        <v>0.21110394444968489</v>
      </c>
      <c r="Q18">
        <v>1.397844151828377E-2</v>
      </c>
      <c r="R18">
        <v>9.8461825710418841E-3</v>
      </c>
      <c r="S18">
        <v>4.8086819415435141E-2</v>
      </c>
      <c r="T18">
        <v>2.4133657359430349E-4</v>
      </c>
      <c r="V18">
        <v>6.147499300474818E-2</v>
      </c>
      <c r="W18">
        <v>1.4726181163670188E-2</v>
      </c>
      <c r="X18">
        <v>3.7163884168358566E-4</v>
      </c>
      <c r="Y18">
        <v>6.9627402431037457E-3</v>
      </c>
      <c r="AB18">
        <v>6.8642714285694567E-3</v>
      </c>
      <c r="AC18">
        <v>5.7102918833084959E-3</v>
      </c>
      <c r="AE18">
        <v>0.10286737433906651</v>
      </c>
      <c r="AF18">
        <v>5.8186368631308683E-3</v>
      </c>
      <c r="AG18">
        <v>5.682708428860974E-2</v>
      </c>
      <c r="AI18">
        <v>2.0013699598883102E-2</v>
      </c>
      <c r="AJ18">
        <v>7.9464358942752658E-4</v>
      </c>
      <c r="AK18">
        <v>1.3314124353778186E-2</v>
      </c>
      <c r="AN18">
        <f t="shared" si="0"/>
        <v>1</v>
      </c>
    </row>
    <row r="19" spans="1:40" x14ac:dyDescent="0.3">
      <c r="A19" t="s">
        <v>41</v>
      </c>
      <c r="B19">
        <v>2020</v>
      </c>
      <c r="D19">
        <v>2.0490659077875523E-2</v>
      </c>
      <c r="E19">
        <v>6.6162747666605815E-3</v>
      </c>
      <c r="F19">
        <v>2.9883884568743888E-2</v>
      </c>
      <c r="I19">
        <v>3.8288847175843701E-4</v>
      </c>
      <c r="J19">
        <v>3.5929637597461428E-2</v>
      </c>
      <c r="K19">
        <v>0.20393168960998131</v>
      </c>
      <c r="L19">
        <v>2.6064933623357871E-2</v>
      </c>
      <c r="M19">
        <v>3.4439743250948389E-3</v>
      </c>
      <c r="N19">
        <v>8.7444269952469789E-2</v>
      </c>
      <c r="O19">
        <v>1.6290599285762583E-2</v>
      </c>
      <c r="P19">
        <v>0.21577408648042512</v>
      </c>
      <c r="Q19">
        <v>1.8162583887731776E-2</v>
      </c>
      <c r="R19">
        <v>9.2700872116513507E-3</v>
      </c>
      <c r="S19">
        <v>4.7983673745521302E-2</v>
      </c>
      <c r="T19">
        <v>3.3846138699379028E-4</v>
      </c>
      <c r="V19">
        <v>6.1647257755938108E-2</v>
      </c>
      <c r="W19">
        <v>1.3703651448305444E-2</v>
      </c>
      <c r="X19">
        <v>3.0642247139252196E-4</v>
      </c>
      <c r="Y19">
        <v>8.0254147940444984E-3</v>
      </c>
      <c r="AB19">
        <v>1.0231956479537538E-5</v>
      </c>
      <c r="AC19">
        <v>5.0878621279347325E-3</v>
      </c>
      <c r="AE19">
        <v>9.8412073005910219E-2</v>
      </c>
      <c r="AF19">
        <v>6.8585993817868781E-3</v>
      </c>
      <c r="AG19">
        <v>5.2309695085564288E-2</v>
      </c>
      <c r="AI19">
        <v>1.6665546594602221E-2</v>
      </c>
      <c r="AJ19">
        <v>9.1634872294184906E-4</v>
      </c>
      <c r="AK19">
        <v>1.4049192663610436E-2</v>
      </c>
      <c r="AN19">
        <f t="shared" si="0"/>
        <v>1.0000000000000004</v>
      </c>
    </row>
    <row r="20" spans="1:40" x14ac:dyDescent="0.3">
      <c r="A20" t="s">
        <v>41</v>
      </c>
      <c r="B20">
        <v>2030</v>
      </c>
      <c r="D20">
        <v>2.1885397520901417E-2</v>
      </c>
      <c r="E20">
        <v>6.7631836348792992E-3</v>
      </c>
      <c r="F20">
        <v>2.9672998173920051E-2</v>
      </c>
      <c r="I20">
        <v>4.1925994182959164E-4</v>
      </c>
      <c r="J20">
        <v>3.7073006000914933E-2</v>
      </c>
      <c r="K20">
        <v>0.20371288344419825</v>
      </c>
      <c r="L20">
        <v>2.5523163331777992E-2</v>
      </c>
      <c r="M20">
        <v>4.444849976644751E-3</v>
      </c>
      <c r="N20">
        <v>9.1773611995524418E-2</v>
      </c>
      <c r="O20">
        <v>1.7662944482123407E-2</v>
      </c>
      <c r="P20">
        <v>0.2128050839252221</v>
      </c>
      <c r="Q20">
        <v>2.0197416420406053E-2</v>
      </c>
      <c r="R20">
        <v>8.866565756336927E-3</v>
      </c>
      <c r="S20">
        <v>4.7171031177251209E-2</v>
      </c>
      <c r="T20">
        <v>3.0732977510310904E-4</v>
      </c>
      <c r="V20">
        <v>6.2445141127838964E-2</v>
      </c>
      <c r="W20">
        <v>1.3327734485671979E-2</v>
      </c>
      <c r="X20">
        <v>3.3440057115663983E-4</v>
      </c>
      <c r="Y20">
        <v>7.8419690833417075E-3</v>
      </c>
      <c r="AB20">
        <v>1.0789650713206137E-5</v>
      </c>
      <c r="AC20">
        <v>5.208243304185043E-3</v>
      </c>
      <c r="AE20">
        <v>8.7310371805315923E-2</v>
      </c>
      <c r="AF20">
        <v>8.1300161542651791E-3</v>
      </c>
      <c r="AG20">
        <v>5.6671045082735766E-2</v>
      </c>
      <c r="AI20">
        <v>1.616278468445621E-2</v>
      </c>
      <c r="AJ20">
        <v>8.5744090081477781E-4</v>
      </c>
      <c r="AK20">
        <v>1.342133759247131E-2</v>
      </c>
      <c r="AN20">
        <f t="shared" si="0"/>
        <v>1</v>
      </c>
    </row>
    <row r="21" spans="1:40" x14ac:dyDescent="0.3">
      <c r="A21" t="s">
        <v>41</v>
      </c>
      <c r="B21">
        <v>2040</v>
      </c>
      <c r="D21">
        <v>2.3150999433548158E-2</v>
      </c>
      <c r="E21">
        <v>7.124932618978402E-3</v>
      </c>
      <c r="F21">
        <v>2.8305176645572284E-2</v>
      </c>
      <c r="I21">
        <v>4.3869713153770563E-4</v>
      </c>
      <c r="J21">
        <v>3.7196276318121821E-2</v>
      </c>
      <c r="K21">
        <v>0.20495730883021879</v>
      </c>
      <c r="L21">
        <v>2.4335965537982781E-2</v>
      </c>
      <c r="M21">
        <v>5.4043717950237697E-3</v>
      </c>
      <c r="N21">
        <v>9.2710112470081915E-2</v>
      </c>
      <c r="O21">
        <v>1.8210725006546483E-2</v>
      </c>
      <c r="P21">
        <v>0.20668579721989197</v>
      </c>
      <c r="Q21">
        <v>2.0937371060880613E-2</v>
      </c>
      <c r="R21">
        <v>8.1178933047027155E-3</v>
      </c>
      <c r="S21">
        <v>4.8069583420995134E-2</v>
      </c>
      <c r="T21">
        <v>2.5203657028380669E-4</v>
      </c>
      <c r="V21">
        <v>6.3164796451798066E-2</v>
      </c>
      <c r="W21">
        <v>1.5909498233137403E-2</v>
      </c>
      <c r="X21">
        <v>3.8406877530277825E-4</v>
      </c>
      <c r="Y21">
        <v>7.5471950802622227E-3</v>
      </c>
      <c r="AB21">
        <v>1.1474031528632522E-5</v>
      </c>
      <c r="AC21">
        <v>5.820825138743782E-3</v>
      </c>
      <c r="AE21">
        <v>8.1204979330244217E-2</v>
      </c>
      <c r="AF21">
        <v>8.0138469568287757E-3</v>
      </c>
      <c r="AG21">
        <v>6.0682179122895023E-2</v>
      </c>
      <c r="AI21">
        <v>1.7017297427862434E-2</v>
      </c>
      <c r="AJ21">
        <v>8.9674298265815652E-4</v>
      </c>
      <c r="AK21">
        <v>1.3449849104372391E-2</v>
      </c>
      <c r="AN21">
        <f t="shared" si="0"/>
        <v>1</v>
      </c>
    </row>
    <row r="22" spans="1:40" x14ac:dyDescent="0.3">
      <c r="A22" t="s">
        <v>41</v>
      </c>
      <c r="B22">
        <v>2050</v>
      </c>
      <c r="D22">
        <v>2.4494362695153871E-2</v>
      </c>
      <c r="E22">
        <v>7.5082952371684072E-3</v>
      </c>
      <c r="F22">
        <v>2.6859183448976261E-2</v>
      </c>
      <c r="I22">
        <v>4.5969901420027777E-4</v>
      </c>
      <c r="J22">
        <v>3.732627763876261E-2</v>
      </c>
      <c r="K22">
        <v>0.20487605438841733</v>
      </c>
      <c r="L22">
        <v>2.3111882674254923E-2</v>
      </c>
      <c r="M22">
        <v>6.4345602824270546E-3</v>
      </c>
      <c r="N22">
        <v>9.3932021388321699E-2</v>
      </c>
      <c r="O22">
        <v>1.8800433630397163E-2</v>
      </c>
      <c r="P22">
        <v>0.20039193552436677</v>
      </c>
      <c r="Q22">
        <v>2.1891425873126934E-2</v>
      </c>
      <c r="R22">
        <v>7.8788116215016222E-3</v>
      </c>
      <c r="S22">
        <v>4.9043542773703985E-2</v>
      </c>
      <c r="T22">
        <v>1.9348076528456383E-4</v>
      </c>
      <c r="V22">
        <v>6.3873181908271792E-2</v>
      </c>
      <c r="W22">
        <v>1.8663126887069375E-2</v>
      </c>
      <c r="X22">
        <v>4.3278000125917626E-4</v>
      </c>
      <c r="Y22">
        <v>7.2343141103225249E-3</v>
      </c>
      <c r="AB22">
        <v>1.220667699938107E-5</v>
      </c>
      <c r="AC22">
        <v>6.4721096057082346E-3</v>
      </c>
      <c r="AE22">
        <v>7.4907450318532146E-2</v>
      </c>
      <c r="AF22">
        <v>7.8647264219771727E-3</v>
      </c>
      <c r="AG22">
        <v>6.4937208943037103E-2</v>
      </c>
      <c r="AI22">
        <v>1.7977990115451925E-2</v>
      </c>
      <c r="AJ22">
        <v>9.3879498750845409E-4</v>
      </c>
      <c r="AK22">
        <v>1.3484143067799418E-2</v>
      </c>
      <c r="AN22">
        <f t="shared" si="0"/>
        <v>1.0000000000000002</v>
      </c>
    </row>
    <row r="23" spans="1:40" x14ac:dyDescent="0.3">
      <c r="AN23">
        <f t="shared" si="0"/>
        <v>0</v>
      </c>
    </row>
    <row r="24" spans="1:40" x14ac:dyDescent="0.3">
      <c r="A24" t="s">
        <v>42</v>
      </c>
      <c r="B24">
        <v>2005</v>
      </c>
      <c r="D24">
        <v>4.3969181721572791E-2</v>
      </c>
      <c r="E24">
        <v>7.3060573857598289E-3</v>
      </c>
      <c r="F24">
        <v>1.7534537725823588E-2</v>
      </c>
      <c r="I24">
        <v>0</v>
      </c>
      <c r="J24">
        <v>1.4877789585547288E-2</v>
      </c>
      <c r="K24">
        <v>0.1188894792773645</v>
      </c>
      <c r="L24">
        <v>8.5015940488841653E-3</v>
      </c>
      <c r="M24">
        <v>1.6339001062699254E-2</v>
      </c>
      <c r="N24">
        <v>3.7460148777895851E-2</v>
      </c>
      <c r="O24">
        <v>7.438894792773644E-2</v>
      </c>
      <c r="P24">
        <v>0.26248671625929859</v>
      </c>
      <c r="Q24">
        <v>7.5717321997874594E-3</v>
      </c>
      <c r="R24">
        <v>1.4612114771519658E-2</v>
      </c>
      <c r="S24">
        <v>2.7763018065887348E-2</v>
      </c>
      <c r="T24">
        <v>2.5239107332624862E-3</v>
      </c>
      <c r="V24">
        <v>8.1163655685441011E-2</v>
      </c>
      <c r="W24">
        <v>1.9527098831030817E-2</v>
      </c>
      <c r="X24">
        <v>2.6567481402763017E-4</v>
      </c>
      <c r="Y24">
        <v>2.6700318809776833E-2</v>
      </c>
      <c r="AB24">
        <v>0</v>
      </c>
      <c r="AC24">
        <v>3.1880977683315615E-3</v>
      </c>
      <c r="AE24">
        <v>3.1880977683315617E-2</v>
      </c>
      <c r="AF24">
        <v>2.1253985122210411E-2</v>
      </c>
      <c r="AG24">
        <v>4.3172157279489899E-2</v>
      </c>
      <c r="AI24">
        <v>9.5908607863974496E-2</v>
      </c>
      <c r="AJ24">
        <v>1.7800212539851222E-2</v>
      </c>
      <c r="AK24">
        <v>4.914984059511158E-3</v>
      </c>
      <c r="AN24">
        <f t="shared" si="0"/>
        <v>0.99999999999999989</v>
      </c>
    </row>
    <row r="25" spans="1:40" x14ac:dyDescent="0.3">
      <c r="A25" t="s">
        <v>42</v>
      </c>
      <c r="B25">
        <v>2010</v>
      </c>
      <c r="D25">
        <v>4.4379093704050264E-2</v>
      </c>
      <c r="E25">
        <v>7.4856302633337785E-3</v>
      </c>
      <c r="F25">
        <v>1.7243683999465312E-2</v>
      </c>
      <c r="I25">
        <v>0</v>
      </c>
      <c r="J25">
        <v>1.4837588557679453E-2</v>
      </c>
      <c r="K25">
        <v>0.12017110012030478</v>
      </c>
      <c r="L25">
        <v>8.5550060152386042E-3</v>
      </c>
      <c r="M25">
        <v>1.6307980216548588E-2</v>
      </c>
      <c r="N25">
        <v>3.6893463440716485E-2</v>
      </c>
      <c r="O25">
        <v>7.4455286726373485E-2</v>
      </c>
      <c r="P25">
        <v>0.2609276834647774</v>
      </c>
      <c r="Q25">
        <v>7.4856302633337785E-3</v>
      </c>
      <c r="R25">
        <v>1.4436572650715145E-2</v>
      </c>
      <c r="S25">
        <v>2.7670097580537359E-2</v>
      </c>
      <c r="T25">
        <v>2.4060954417858575E-3</v>
      </c>
      <c r="V25">
        <v>8.1272557144766736E-2</v>
      </c>
      <c r="W25">
        <v>1.9516107472263067E-2</v>
      </c>
      <c r="X25">
        <v>2.6734393797620638E-4</v>
      </c>
      <c r="Y25">
        <v>2.6868065766608742E-2</v>
      </c>
      <c r="AB25">
        <v>0</v>
      </c>
      <c r="AC25">
        <v>3.0744552867263734E-3</v>
      </c>
      <c r="AE25">
        <v>3.1947600588156662E-2</v>
      </c>
      <c r="AF25">
        <v>2.1120171100120304E-2</v>
      </c>
      <c r="AG25">
        <v>4.304237401416923E-2</v>
      </c>
      <c r="AI25">
        <v>9.691217751637482E-2</v>
      </c>
      <c r="AJ25">
        <v>1.7912043844405829E-2</v>
      </c>
      <c r="AK25">
        <v>4.812190883571715E-3</v>
      </c>
      <c r="AN25">
        <f t="shared" si="0"/>
        <v>1.0000000000000002</v>
      </c>
    </row>
    <row r="26" spans="1:40" x14ac:dyDescent="0.3">
      <c r="A26" t="s">
        <v>42</v>
      </c>
      <c r="B26">
        <v>2020</v>
      </c>
      <c r="D26">
        <v>4.4029352901934625E-2</v>
      </c>
      <c r="E26">
        <v>8.0053368912608412E-3</v>
      </c>
      <c r="F26">
        <v>1.6277518345563707E-2</v>
      </c>
      <c r="I26">
        <v>0</v>
      </c>
      <c r="J26">
        <v>1.4409606404269514E-2</v>
      </c>
      <c r="K26">
        <v>0.12208138759172782</v>
      </c>
      <c r="L26">
        <v>8.4056037358238821E-3</v>
      </c>
      <c r="M26">
        <v>1.5743829219479654E-2</v>
      </c>
      <c r="N26">
        <v>3.3622414943295528E-2</v>
      </c>
      <c r="O26">
        <v>9.8999332888592403E-2</v>
      </c>
      <c r="P26">
        <v>0.24909939959973315</v>
      </c>
      <c r="Q26">
        <v>7.2048032021347569E-3</v>
      </c>
      <c r="R26">
        <v>1.3609072715143429E-2</v>
      </c>
      <c r="S26">
        <v>2.6551034022681785E-2</v>
      </c>
      <c r="T26">
        <v>2.0013342228152103E-3</v>
      </c>
      <c r="V26">
        <v>7.9786524349566373E-2</v>
      </c>
      <c r="W26">
        <v>1.8812541694462975E-2</v>
      </c>
      <c r="X26">
        <v>2.6684456304202801E-4</v>
      </c>
      <c r="Y26">
        <v>2.6551034022681785E-2</v>
      </c>
      <c r="AB26">
        <v>0</v>
      </c>
      <c r="AC26">
        <v>2.8018679119412942E-3</v>
      </c>
      <c r="AE26">
        <v>3.1354236157438292E-2</v>
      </c>
      <c r="AF26">
        <v>2.0013342228152101E-2</v>
      </c>
      <c r="AG26">
        <v>4.1627751834556373E-2</v>
      </c>
      <c r="AI26">
        <v>9.6330887258172113E-2</v>
      </c>
      <c r="AJ26">
        <v>1.7745163442294865E-2</v>
      </c>
      <c r="AK26">
        <v>4.6697798532354907E-3</v>
      </c>
      <c r="AN26">
        <f t="shared" si="0"/>
        <v>0.99999999999999989</v>
      </c>
    </row>
    <row r="27" spans="1:40" x14ac:dyDescent="0.3">
      <c r="A27" t="s">
        <v>42</v>
      </c>
      <c r="B27">
        <v>2030</v>
      </c>
      <c r="D27">
        <v>4.4324608707089312E-2</v>
      </c>
      <c r="E27">
        <v>7.8916217282651597E-3</v>
      </c>
      <c r="F27">
        <v>1.5783243456530319E-2</v>
      </c>
      <c r="I27">
        <v>0</v>
      </c>
      <c r="J27">
        <v>1.4467973168486125E-2</v>
      </c>
      <c r="K27">
        <v>0.11995265026963042</v>
      </c>
      <c r="L27">
        <v>8.4177298434828362E-3</v>
      </c>
      <c r="M27">
        <v>1.5520189398921479E-2</v>
      </c>
      <c r="N27">
        <v>3.3276338287518088E-2</v>
      </c>
      <c r="O27">
        <v>0.10890437985005919</v>
      </c>
      <c r="P27">
        <v>0.24621859792187295</v>
      </c>
      <c r="Q27">
        <v>7.1024595554386432E-3</v>
      </c>
      <c r="R27">
        <v>1.341575693805077E-2</v>
      </c>
      <c r="S27">
        <v>2.6173878732079443E-2</v>
      </c>
      <c r="T27">
        <v>1.7098513744574512E-3</v>
      </c>
      <c r="V27">
        <v>7.8390109167433913E-2</v>
      </c>
      <c r="W27">
        <v>1.8808365119031962E-2</v>
      </c>
      <c r="X27">
        <v>2.6305405760883863E-4</v>
      </c>
      <c r="Y27">
        <v>2.6436932789688283E-2</v>
      </c>
      <c r="AB27">
        <v>0</v>
      </c>
      <c r="AC27">
        <v>2.6305405760883864E-3</v>
      </c>
      <c r="AE27">
        <v>3.0908851769038539E-2</v>
      </c>
      <c r="AF27">
        <v>2.0123635407076155E-2</v>
      </c>
      <c r="AG27">
        <v>4.0904905958174406E-2</v>
      </c>
      <c r="AI27">
        <v>9.6146258056030512E-2</v>
      </c>
      <c r="AJ27">
        <v>1.7493094830987769E-2</v>
      </c>
      <c r="AK27">
        <v>4.7349730369590955E-3</v>
      </c>
      <c r="AN27">
        <f t="shared" si="0"/>
        <v>1</v>
      </c>
    </row>
    <row r="28" spans="1:40" x14ac:dyDescent="0.3">
      <c r="A28" t="s">
        <v>42</v>
      </c>
      <c r="B28">
        <v>2040</v>
      </c>
      <c r="D28">
        <v>4.5084700546885424E-2</v>
      </c>
      <c r="E28">
        <v>8.26997465652928E-3</v>
      </c>
      <c r="F28">
        <v>1.5206082432973191E-2</v>
      </c>
      <c r="I28">
        <v>0</v>
      </c>
      <c r="J28">
        <v>1.440576230492197E-2</v>
      </c>
      <c r="K28">
        <v>0.12311591303187942</v>
      </c>
      <c r="L28">
        <v>8.536748032546353E-3</v>
      </c>
      <c r="M28">
        <v>1.5206082432973191E-2</v>
      </c>
      <c r="N28">
        <v>3.1479258370014675E-2</v>
      </c>
      <c r="O28">
        <v>0.10951047085500867</v>
      </c>
      <c r="P28">
        <v>0.2416966786714686</v>
      </c>
      <c r="Q28">
        <v>7.0694944644524478E-3</v>
      </c>
      <c r="R28">
        <v>1.3071895424836603E-2</v>
      </c>
      <c r="S28">
        <v>2.587701747365613E-2</v>
      </c>
      <c r="T28">
        <v>1.4672535680939046E-3</v>
      </c>
      <c r="V28">
        <v>7.8564759237028145E-2</v>
      </c>
      <c r="W28">
        <v>1.8674136321195148E-2</v>
      </c>
      <c r="X28">
        <v>2.6677337601707353E-4</v>
      </c>
      <c r="Y28">
        <v>2.6810724289715891E-2</v>
      </c>
      <c r="AB28">
        <v>0</v>
      </c>
      <c r="AC28">
        <v>2.5343470721621983E-3</v>
      </c>
      <c r="AE28">
        <v>3.1079098305989067E-2</v>
      </c>
      <c r="AF28">
        <v>1.974122982526344E-2</v>
      </c>
      <c r="AG28">
        <v>4.0549553154595172E-2</v>
      </c>
      <c r="AI28">
        <v>9.9906629318394044E-2</v>
      </c>
      <c r="AJ28">
        <v>1.7206882753101241E-2</v>
      </c>
      <c r="AK28">
        <v>4.6685340802987869E-3</v>
      </c>
      <c r="AN28">
        <f t="shared" si="0"/>
        <v>1</v>
      </c>
    </row>
    <row r="29" spans="1:40" x14ac:dyDescent="0.3">
      <c r="A29" t="s">
        <v>42</v>
      </c>
      <c r="B29">
        <v>2050</v>
      </c>
      <c r="D29">
        <v>4.5934959349593497E-2</v>
      </c>
      <c r="E29">
        <v>8.6720867208672087E-3</v>
      </c>
      <c r="F29">
        <v>1.4769647696476965E-2</v>
      </c>
      <c r="I29">
        <v>0</v>
      </c>
      <c r="J29">
        <v>1.4498644986449864E-2</v>
      </c>
      <c r="K29">
        <v>0.12615176151761517</v>
      </c>
      <c r="L29">
        <v>8.6720867208672087E-3</v>
      </c>
      <c r="M29">
        <v>1.5176151761517613E-2</v>
      </c>
      <c r="N29">
        <v>3.0216802168021681E-2</v>
      </c>
      <c r="O29">
        <v>0.1092140921409214</v>
      </c>
      <c r="P29">
        <v>0.23915989159891599</v>
      </c>
      <c r="Q29">
        <v>7.046070460704607E-3</v>
      </c>
      <c r="R29">
        <v>1.2737127371273714E-2</v>
      </c>
      <c r="S29">
        <v>2.5609756097560974E-2</v>
      </c>
      <c r="T29">
        <v>1.0840108401084011E-3</v>
      </c>
      <c r="V29">
        <v>7.8861788617886189E-2</v>
      </c>
      <c r="W29">
        <v>1.8699186991869919E-2</v>
      </c>
      <c r="X29">
        <v>2.7100271002710027E-4</v>
      </c>
      <c r="Y29">
        <v>2.7235772357723578E-2</v>
      </c>
      <c r="AB29">
        <v>0</v>
      </c>
      <c r="AC29">
        <v>2.3035230352303521E-3</v>
      </c>
      <c r="AE29">
        <v>3.1165311653116531E-2</v>
      </c>
      <c r="AF29">
        <v>1.9647696476964769E-2</v>
      </c>
      <c r="AG29">
        <v>4.0379403794037941E-2</v>
      </c>
      <c r="AI29">
        <v>0.10176151761517614</v>
      </c>
      <c r="AJ29">
        <v>1.5989159891598916E-2</v>
      </c>
      <c r="AK29">
        <v>4.7425474254742545E-3</v>
      </c>
      <c r="AN29">
        <f t="shared" si="0"/>
        <v>1</v>
      </c>
    </row>
    <row r="30" spans="1:40" x14ac:dyDescent="0.3">
      <c r="AN30">
        <f t="shared" si="0"/>
        <v>0</v>
      </c>
    </row>
    <row r="31" spans="1:40" x14ac:dyDescent="0.3">
      <c r="A31" t="s">
        <v>43</v>
      </c>
      <c r="B31">
        <v>2005</v>
      </c>
      <c r="D31">
        <v>3.158789020449982E-2</v>
      </c>
      <c r="E31">
        <v>1.5520809118027156E-2</v>
      </c>
      <c r="F31">
        <v>1.586771632150457E-2</v>
      </c>
      <c r="I31">
        <v>0</v>
      </c>
      <c r="J31">
        <v>2.9960984246932578E-2</v>
      </c>
      <c r="K31">
        <v>9.6718470138028118E-2</v>
      </c>
      <c r="L31">
        <v>9.1354017739473763E-3</v>
      </c>
      <c r="M31">
        <v>1.895198635587372E-2</v>
      </c>
      <c r="N31">
        <v>7.146388193183266E-2</v>
      </c>
      <c r="O31">
        <v>0.1102285759686063</v>
      </c>
      <c r="P31">
        <v>0.15415916200965571</v>
      </c>
      <c r="Q31">
        <v>1.6071102939920159E-2</v>
      </c>
      <c r="R31">
        <v>9.2872746553171962E-3</v>
      </c>
      <c r="S31">
        <v>1.4412803388993535E-2</v>
      </c>
      <c r="T31">
        <v>1.1865912558224849E-2</v>
      </c>
      <c r="V31">
        <v>4.5250185948682214E-2</v>
      </c>
      <c r="W31">
        <v>1.4537406367098585E-2</v>
      </c>
      <c r="X31">
        <v>9.5332822459335176E-4</v>
      </c>
      <c r="Y31">
        <v>3.6384605853801787E-2</v>
      </c>
      <c r="AB31">
        <v>0</v>
      </c>
      <c r="AC31">
        <v>1.424464522762737E-2</v>
      </c>
      <c r="AE31">
        <v>6.3054067207075362E-2</v>
      </c>
      <c r="AF31">
        <v>3.1766356227294394E-2</v>
      </c>
      <c r="AG31">
        <v>7.0488646992460491E-2</v>
      </c>
      <c r="AI31">
        <v>0.10419189737380288</v>
      </c>
      <c r="AJ31">
        <v>4.5529466431227551E-3</v>
      </c>
      <c r="AK31">
        <v>9.3439423230771718E-3</v>
      </c>
      <c r="AN31">
        <f t="shared" si="0"/>
        <v>1.0000000000000002</v>
      </c>
    </row>
    <row r="32" spans="1:40" x14ac:dyDescent="0.3">
      <c r="A32" t="s">
        <v>43</v>
      </c>
      <c r="B32">
        <v>2010</v>
      </c>
      <c r="D32">
        <v>3.0537466175862078E-2</v>
      </c>
      <c r="E32">
        <v>1.4414466985179021E-2</v>
      </c>
      <c r="F32">
        <v>1.4766680356866284E-2</v>
      </c>
      <c r="I32">
        <v>0</v>
      </c>
      <c r="J32">
        <v>2.7888178631521775E-2</v>
      </c>
      <c r="K32">
        <v>9.2061310758051018E-2</v>
      </c>
      <c r="L32">
        <v>8.4023272091358573E-3</v>
      </c>
      <c r="M32">
        <v>1.7246575027375945E-2</v>
      </c>
      <c r="N32">
        <v>6.7153005067051894E-2</v>
      </c>
      <c r="O32">
        <v>0.10278519051967239</v>
      </c>
      <c r="P32">
        <v>0.14521126815265439</v>
      </c>
      <c r="Q32">
        <v>1.4984701952041749E-2</v>
      </c>
      <c r="R32">
        <v>8.3632704607315422E-3</v>
      </c>
      <c r="S32">
        <v>1.3475974129084497E-2</v>
      </c>
      <c r="T32">
        <v>1.1066775614005438E-2</v>
      </c>
      <c r="V32">
        <v>4.1988599906774192E-2</v>
      </c>
      <c r="W32">
        <v>1.3258217157028251E-2</v>
      </c>
      <c r="X32">
        <v>9.4707221617042301E-4</v>
      </c>
      <c r="Y32">
        <v>3.3197889523812925E-2</v>
      </c>
      <c r="AB32">
        <v>0</v>
      </c>
      <c r="AC32">
        <v>1.2719862312265727E-2</v>
      </c>
      <c r="AE32">
        <v>5.9596232289032526E-2</v>
      </c>
      <c r="AF32">
        <v>2.886589764185387E-2</v>
      </c>
      <c r="AG32">
        <v>6.5990464611793281E-2</v>
      </c>
      <c r="AI32">
        <v>0.16234960238345514</v>
      </c>
      <c r="AJ32">
        <v>4.0341655250386429E-3</v>
      </c>
      <c r="AK32">
        <v>8.6948053935414302E-3</v>
      </c>
      <c r="AN32">
        <f t="shared" si="0"/>
        <v>1.0000000000000002</v>
      </c>
    </row>
    <row r="33" spans="1:40" x14ac:dyDescent="0.3">
      <c r="A33" t="s">
        <v>43</v>
      </c>
      <c r="B33">
        <v>2020</v>
      </c>
      <c r="D33">
        <v>3.5147167037863573E-2</v>
      </c>
      <c r="E33">
        <v>2.293615120939755E-2</v>
      </c>
      <c r="F33">
        <v>1.1067885836845443E-2</v>
      </c>
      <c r="I33">
        <v>0</v>
      </c>
      <c r="J33">
        <v>2.1236347563619588E-2</v>
      </c>
      <c r="K33">
        <v>9.3506330307041807E-2</v>
      </c>
      <c r="L33">
        <v>6.4976342431275827E-3</v>
      </c>
      <c r="M33">
        <v>2.3562621388627102E-2</v>
      </c>
      <c r="N33">
        <v>5.1706570764321315E-2</v>
      </c>
      <c r="O33">
        <v>0.14144561737653433</v>
      </c>
      <c r="P33">
        <v>0.11861378437522735</v>
      </c>
      <c r="Q33">
        <v>1.0851311301891738E-2</v>
      </c>
      <c r="R33">
        <v>7.1610997619975586E-3</v>
      </c>
      <c r="S33">
        <v>9.6365843037523914E-3</v>
      </c>
      <c r="T33">
        <v>7.7035403670865929E-3</v>
      </c>
      <c r="V33">
        <v>3.3916642105102923E-2</v>
      </c>
      <c r="W33">
        <v>1.0710307161044347E-2</v>
      </c>
      <c r="X33">
        <v>1.2638347697046519E-3</v>
      </c>
      <c r="Y33">
        <v>3.4547209091160228E-2</v>
      </c>
      <c r="AB33">
        <v>0</v>
      </c>
      <c r="AC33">
        <v>1.0061241442775686E-2</v>
      </c>
      <c r="AE33">
        <v>5.0746532441485054E-2</v>
      </c>
      <c r="AF33">
        <v>2.5962559479526182E-2</v>
      </c>
      <c r="AG33">
        <v>5.5906051147937633E-2</v>
      </c>
      <c r="AI33">
        <v>0.20539698704898054</v>
      </c>
      <c r="AJ33">
        <v>3.2431558343077168E-3</v>
      </c>
      <c r="AK33">
        <v>7.1728336406410272E-3</v>
      </c>
      <c r="AN33">
        <f t="shared" si="0"/>
        <v>1</v>
      </c>
    </row>
    <row r="34" spans="1:40" x14ac:dyDescent="0.3">
      <c r="A34" t="s">
        <v>43</v>
      </c>
      <c r="B34">
        <v>2030</v>
      </c>
      <c r="D34">
        <v>3.435398897628722E-2</v>
      </c>
      <c r="E34">
        <v>1.837259654030126E-2</v>
      </c>
      <c r="F34">
        <v>1.0361923196618317E-2</v>
      </c>
      <c r="I34">
        <v>0</v>
      </c>
      <c r="J34">
        <v>1.956895101500368E-2</v>
      </c>
      <c r="K34">
        <v>8.9130490471367632E-2</v>
      </c>
      <c r="L34">
        <v>6.0306277351918061E-3</v>
      </c>
      <c r="M34">
        <v>1.6572237867020691E-2</v>
      </c>
      <c r="N34">
        <v>4.9317094457171362E-2</v>
      </c>
      <c r="O34">
        <v>0.19490009181554491</v>
      </c>
      <c r="P34">
        <v>0.1127810458030596</v>
      </c>
      <c r="Q34">
        <v>1.0441213684565199E-2</v>
      </c>
      <c r="R34">
        <v>6.1383727459383202E-3</v>
      </c>
      <c r="S34">
        <v>9.159782621280671E-3</v>
      </c>
      <c r="T34">
        <v>7.4047336357140033E-3</v>
      </c>
      <c r="V34">
        <v>3.1896877574785105E-2</v>
      </c>
      <c r="W34">
        <v>9.5935826112255197E-3</v>
      </c>
      <c r="X34">
        <v>1.4508363460431642E-3</v>
      </c>
      <c r="Y34">
        <v>3.0431985084174801E-2</v>
      </c>
      <c r="AB34">
        <v>4.2751006656438961E-5</v>
      </c>
      <c r="AC34">
        <v>8.1995001082588309E-3</v>
      </c>
      <c r="AE34">
        <v>4.8557998392955382E-2</v>
      </c>
      <c r="AF34">
        <v>2.2872996316081629E-2</v>
      </c>
      <c r="AG34">
        <v>5.2200226363856739E-2</v>
      </c>
      <c r="AI34">
        <v>0.20098472218216099</v>
      </c>
      <c r="AJ34">
        <v>2.4353679968769837E-3</v>
      </c>
      <c r="AK34">
        <v>6.800005451859702E-3</v>
      </c>
      <c r="AN34">
        <f t="shared" si="0"/>
        <v>0.99999999999999989</v>
      </c>
    </row>
    <row r="35" spans="1:40" x14ac:dyDescent="0.3">
      <c r="A35" t="s">
        <v>43</v>
      </c>
      <c r="B35">
        <v>2040</v>
      </c>
      <c r="D35">
        <v>3.4353615071306291E-2</v>
      </c>
      <c r="E35">
        <v>1.8261196098909766E-2</v>
      </c>
      <c r="F35">
        <v>7.8853098786920879E-3</v>
      </c>
      <c r="I35">
        <v>0</v>
      </c>
      <c r="J35">
        <v>1.3959287483030236E-2</v>
      </c>
      <c r="K35">
        <v>8.3663483864742511E-2</v>
      </c>
      <c r="L35">
        <v>5.714034562968426E-3</v>
      </c>
      <c r="M35">
        <v>1.1931190896848994E-2</v>
      </c>
      <c r="N35">
        <v>5.0417575750048717E-2</v>
      </c>
      <c r="O35">
        <v>0.19985138780983516</v>
      </c>
      <c r="P35">
        <v>0.11638212771956452</v>
      </c>
      <c r="Q35">
        <v>1.042613941099298E-2</v>
      </c>
      <c r="R35">
        <v>5.4125950439446119E-3</v>
      </c>
      <c r="S35">
        <v>9.2137581149763087E-3</v>
      </c>
      <c r="T35">
        <v>7.3823027228660781E-3</v>
      </c>
      <c r="V35">
        <v>3.1257095287747054E-2</v>
      </c>
      <c r="W35">
        <v>8.8258526399875911E-3</v>
      </c>
      <c r="X35">
        <v>1.5596897153418586E-3</v>
      </c>
      <c r="Y35">
        <v>2.8821932099984779E-2</v>
      </c>
      <c r="AB35">
        <v>4.3076485094266899E-5</v>
      </c>
      <c r="AC35">
        <v>6.8118999420118259E-3</v>
      </c>
      <c r="AE35">
        <v>5.0314668739967733E-2</v>
      </c>
      <c r="AF35">
        <v>2.0746008508486392E-2</v>
      </c>
      <c r="AG35">
        <v>5.2680726617899354E-2</v>
      </c>
      <c r="AI35">
        <v>0.21539404481019678</v>
      </c>
      <c r="AJ35">
        <v>1.9337913441878176E-3</v>
      </c>
      <c r="AK35">
        <v>6.7572093803679291E-3</v>
      </c>
      <c r="AN35">
        <f t="shared" si="0"/>
        <v>1</v>
      </c>
    </row>
    <row r="36" spans="1:40" x14ac:dyDescent="0.3">
      <c r="A36" t="s">
        <v>43</v>
      </c>
      <c r="B36">
        <v>2050</v>
      </c>
      <c r="D36">
        <v>3.6342748346202366E-2</v>
      </c>
      <c r="E36">
        <v>1.7918613537007362E-2</v>
      </c>
      <c r="F36">
        <v>7.6775494111934158E-3</v>
      </c>
      <c r="I36">
        <v>0</v>
      </c>
      <c r="J36">
        <v>1.3559300462414547E-2</v>
      </c>
      <c r="K36">
        <v>8.6639335280396926E-2</v>
      </c>
      <c r="L36">
        <v>5.3684854096004587E-3</v>
      </c>
      <c r="M36">
        <v>1.0735746287790272E-2</v>
      </c>
      <c r="N36">
        <v>5.0722904575680412E-2</v>
      </c>
      <c r="O36">
        <v>0.2003380893878767</v>
      </c>
      <c r="P36">
        <v>0.11781370071379421</v>
      </c>
      <c r="Q36">
        <v>1.0274887109278767E-2</v>
      </c>
      <c r="R36">
        <v>4.6462169140929314E-3</v>
      </c>
      <c r="S36">
        <v>9.1353332404043065E-3</v>
      </c>
      <c r="T36">
        <v>7.2413316926606477E-3</v>
      </c>
      <c r="V36">
        <v>3.0240948019541868E-2</v>
      </c>
      <c r="W36">
        <v>8.3582920625411422E-3</v>
      </c>
      <c r="X36">
        <v>1.6515177730537364E-3</v>
      </c>
      <c r="Y36">
        <v>2.6777964882123726E-2</v>
      </c>
      <c r="AB36">
        <v>4.2709830370063813E-5</v>
      </c>
      <c r="AC36">
        <v>5.3631163488048628E-3</v>
      </c>
      <c r="AE36">
        <v>5.1292834310885028E-2</v>
      </c>
      <c r="AF36">
        <v>1.8709811885797751E-2</v>
      </c>
      <c r="AG36">
        <v>5.2442939746582345E-2</v>
      </c>
      <c r="AI36">
        <v>0.21858866123415488</v>
      </c>
      <c r="AJ36">
        <v>1.4954025717911355E-3</v>
      </c>
      <c r="AK36">
        <v>6.6215589659600329E-3</v>
      </c>
      <c r="AN36">
        <f t="shared" si="0"/>
        <v>0.99999999999999989</v>
      </c>
    </row>
    <row r="39" spans="1:40" s="3" customFormat="1" x14ac:dyDescent="0.3">
      <c r="A39" s="3" t="s">
        <v>44</v>
      </c>
      <c r="B39" s="3" t="s">
        <v>45</v>
      </c>
      <c r="C39" s="2" t="s">
        <v>2</v>
      </c>
      <c r="D39" s="2" t="s">
        <v>3</v>
      </c>
      <c r="E39" s="2" t="s">
        <v>4</v>
      </c>
      <c r="F39" s="2" t="s">
        <v>5</v>
      </c>
      <c r="G39" s="2" t="s">
        <v>6</v>
      </c>
      <c r="H39" s="2" t="s">
        <v>7</v>
      </c>
      <c r="I39" s="2" t="s">
        <v>8</v>
      </c>
      <c r="J39" s="2" t="s">
        <v>9</v>
      </c>
      <c r="K39" s="2" t="s">
        <v>10</v>
      </c>
      <c r="L39" s="2" t="s">
        <v>11</v>
      </c>
      <c r="M39" s="2" t="s">
        <v>12</v>
      </c>
      <c r="N39" s="2" t="s">
        <v>13</v>
      </c>
      <c r="O39" s="2" t="s">
        <v>14</v>
      </c>
      <c r="P39" s="2" t="s">
        <v>15</v>
      </c>
      <c r="Q39" s="2" t="s">
        <v>16</v>
      </c>
      <c r="R39" s="2" t="s">
        <v>17</v>
      </c>
      <c r="S39" s="2" t="s">
        <v>18</v>
      </c>
      <c r="T39" s="2" t="s">
        <v>19</v>
      </c>
      <c r="U39" s="2" t="s">
        <v>20</v>
      </c>
      <c r="V39" s="2" t="s">
        <v>21</v>
      </c>
      <c r="W39" s="2" t="s">
        <v>22</v>
      </c>
      <c r="X39" s="2" t="s">
        <v>23</v>
      </c>
      <c r="Y39" s="2" t="s">
        <v>24</v>
      </c>
      <c r="Z39" s="2" t="s">
        <v>25</v>
      </c>
      <c r="AA39" s="2" t="s">
        <v>26</v>
      </c>
      <c r="AB39" s="2" t="s">
        <v>27</v>
      </c>
      <c r="AC39" s="2" t="s">
        <v>28</v>
      </c>
      <c r="AD39" s="2" t="s">
        <v>29</v>
      </c>
      <c r="AE39" s="2" t="s">
        <v>30</v>
      </c>
      <c r="AF39" s="2" t="s">
        <v>31</v>
      </c>
      <c r="AG39" s="2" t="s">
        <v>32</v>
      </c>
      <c r="AH39" s="2" t="s">
        <v>33</v>
      </c>
      <c r="AI39" s="2" t="s">
        <v>34</v>
      </c>
      <c r="AJ39" s="2" t="s">
        <v>35</v>
      </c>
      <c r="AK39" s="2" t="s">
        <v>36</v>
      </c>
      <c r="AL39" s="2" t="s">
        <v>37</v>
      </c>
    </row>
    <row r="40" spans="1:40" x14ac:dyDescent="0.3">
      <c r="A40" t="s">
        <v>46</v>
      </c>
      <c r="B40">
        <v>2005</v>
      </c>
      <c r="C40">
        <v>0</v>
      </c>
      <c r="D40">
        <v>0.43348316146163957</v>
      </c>
      <c r="E40">
        <v>0.32686791290692435</v>
      </c>
      <c r="F40">
        <v>0</v>
      </c>
      <c r="G40">
        <v>0</v>
      </c>
      <c r="H40">
        <v>0</v>
      </c>
      <c r="I40">
        <v>0</v>
      </c>
      <c r="J40">
        <v>0.41672971114886542</v>
      </c>
      <c r="K40">
        <v>0.4603471257897026</v>
      </c>
      <c r="L40">
        <v>0.43325791516990897</v>
      </c>
      <c r="M40">
        <v>0</v>
      </c>
      <c r="N40">
        <v>0</v>
      </c>
      <c r="O40">
        <v>0</v>
      </c>
      <c r="P40">
        <v>0.45802903968987141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0.34291612359481927</v>
      </c>
      <c r="X40">
        <v>0</v>
      </c>
      <c r="Y40">
        <v>0</v>
      </c>
      <c r="Z40">
        <v>0</v>
      </c>
      <c r="AA40">
        <v>0</v>
      </c>
      <c r="AB40">
        <v>0</v>
      </c>
      <c r="AC40">
        <v>0.41988890793625522</v>
      </c>
      <c r="AD40">
        <v>0</v>
      </c>
      <c r="AE40">
        <v>0.15571674850672437</v>
      </c>
      <c r="AF40">
        <v>0</v>
      </c>
      <c r="AG40">
        <v>0</v>
      </c>
      <c r="AH40">
        <v>0</v>
      </c>
      <c r="AI40">
        <v>0.2629985011495557</v>
      </c>
      <c r="AJ40">
        <v>0</v>
      </c>
      <c r="AK40">
        <v>0.16100359096685346</v>
      </c>
      <c r="AL40">
        <v>0.15133094405729272</v>
      </c>
    </row>
    <row r="41" spans="1:40" x14ac:dyDescent="0.3">
      <c r="A41" t="s">
        <v>46</v>
      </c>
      <c r="B41">
        <v>2010</v>
      </c>
      <c r="C41">
        <v>0</v>
      </c>
      <c r="D41">
        <v>0.43348316146163957</v>
      </c>
      <c r="E41">
        <v>0.32686791290692435</v>
      </c>
      <c r="F41">
        <v>0</v>
      </c>
      <c r="G41">
        <v>0</v>
      </c>
      <c r="H41">
        <v>0</v>
      </c>
      <c r="I41">
        <v>0</v>
      </c>
      <c r="J41">
        <v>0.41672971114886542</v>
      </c>
      <c r="K41">
        <v>0.4603471257897026</v>
      </c>
      <c r="L41">
        <v>0.43325791516990897</v>
      </c>
      <c r="M41">
        <v>0</v>
      </c>
      <c r="N41">
        <v>0</v>
      </c>
      <c r="O41">
        <v>0</v>
      </c>
      <c r="P41">
        <v>0.45802903968987141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0.34291612359481927</v>
      </c>
      <c r="X41">
        <v>0</v>
      </c>
      <c r="Y41">
        <v>0</v>
      </c>
      <c r="Z41">
        <v>0</v>
      </c>
      <c r="AA41">
        <v>0</v>
      </c>
      <c r="AB41">
        <v>0</v>
      </c>
      <c r="AC41">
        <v>0.41988890793625522</v>
      </c>
      <c r="AD41">
        <v>0</v>
      </c>
      <c r="AE41">
        <v>0.15571674850672437</v>
      </c>
      <c r="AF41">
        <v>0</v>
      </c>
      <c r="AG41">
        <v>0</v>
      </c>
      <c r="AH41">
        <v>0</v>
      </c>
      <c r="AI41">
        <v>0.2629985011495557</v>
      </c>
      <c r="AJ41">
        <v>0</v>
      </c>
      <c r="AK41">
        <v>0.16100359096685346</v>
      </c>
      <c r="AL41">
        <v>0.15133094405729272</v>
      </c>
    </row>
    <row r="42" spans="1:40" x14ac:dyDescent="0.3">
      <c r="A42" t="s">
        <v>46</v>
      </c>
      <c r="B42">
        <v>2020</v>
      </c>
      <c r="C42">
        <v>0</v>
      </c>
      <c r="D42">
        <v>0.2978364145667326</v>
      </c>
      <c r="E42">
        <v>0.3030005360167789</v>
      </c>
      <c r="F42">
        <v>9.5641569929500944E-2</v>
      </c>
      <c r="G42">
        <v>0</v>
      </c>
      <c r="H42">
        <v>0</v>
      </c>
      <c r="I42">
        <v>0</v>
      </c>
      <c r="J42">
        <v>0.24497449754558304</v>
      </c>
      <c r="K42">
        <v>0.25621803961823369</v>
      </c>
      <c r="L42">
        <v>0.22655639645664211</v>
      </c>
      <c r="M42">
        <v>0</v>
      </c>
      <c r="N42">
        <v>0.21355782631524603</v>
      </c>
      <c r="O42">
        <v>0</v>
      </c>
      <c r="P42">
        <v>0.32095413376130749</v>
      </c>
      <c r="Q42">
        <v>0.26636883871384515</v>
      </c>
      <c r="R42">
        <v>0</v>
      </c>
      <c r="S42">
        <v>3.1831819799574758E-2</v>
      </c>
      <c r="T42">
        <v>0</v>
      </c>
      <c r="U42">
        <v>0</v>
      </c>
      <c r="V42">
        <v>0.15820660494775021</v>
      </c>
      <c r="W42">
        <v>0.25332425497397165</v>
      </c>
      <c r="X42">
        <v>0</v>
      </c>
      <c r="Y42">
        <v>0</v>
      </c>
      <c r="Z42">
        <v>0</v>
      </c>
      <c r="AA42">
        <v>0</v>
      </c>
      <c r="AB42">
        <v>0</v>
      </c>
      <c r="AC42">
        <v>0.33715044260688676</v>
      </c>
      <c r="AD42">
        <v>0</v>
      </c>
      <c r="AE42">
        <v>9.884802343746403E-2</v>
      </c>
      <c r="AF42">
        <v>8.9798271963459891E-3</v>
      </c>
      <c r="AG42">
        <v>2.6628694650771546E-2</v>
      </c>
      <c r="AH42">
        <v>0</v>
      </c>
      <c r="AI42">
        <v>0.18740775176733668</v>
      </c>
      <c r="AJ42">
        <v>0</v>
      </c>
      <c r="AK42">
        <v>7.7667370698274951E-2</v>
      </c>
      <c r="AL42">
        <v>0.16505881804696879</v>
      </c>
    </row>
    <row r="43" spans="1:40" x14ac:dyDescent="0.3">
      <c r="A43" t="s">
        <v>46</v>
      </c>
      <c r="B43">
        <v>2030</v>
      </c>
      <c r="C43">
        <v>0</v>
      </c>
      <c r="D43">
        <v>0.29685642703488352</v>
      </c>
      <c r="E43">
        <v>0.33322829159580031</v>
      </c>
      <c r="F43">
        <v>2.1225237388025776E-2</v>
      </c>
      <c r="G43">
        <v>0</v>
      </c>
      <c r="H43">
        <v>0</v>
      </c>
      <c r="I43">
        <v>0</v>
      </c>
      <c r="J43">
        <v>0.28480791897656826</v>
      </c>
      <c r="K43">
        <v>0.17458276465912004</v>
      </c>
      <c r="L43">
        <v>0.2795638900415352</v>
      </c>
      <c r="M43">
        <v>0</v>
      </c>
      <c r="N43">
        <v>0.22928442106140792</v>
      </c>
      <c r="O43">
        <v>0</v>
      </c>
      <c r="P43">
        <v>0.29782986998618122</v>
      </c>
      <c r="Q43">
        <v>0.27568234562842936</v>
      </c>
      <c r="R43">
        <v>0</v>
      </c>
      <c r="S43">
        <v>5.8600770050832147E-2</v>
      </c>
      <c r="T43">
        <v>0</v>
      </c>
      <c r="U43">
        <v>0</v>
      </c>
      <c r="V43">
        <v>0.27541038012148333</v>
      </c>
      <c r="W43">
        <v>0.26999897881921003</v>
      </c>
      <c r="X43">
        <v>0</v>
      </c>
      <c r="Y43">
        <v>0</v>
      </c>
      <c r="Z43">
        <v>0</v>
      </c>
      <c r="AA43">
        <v>0</v>
      </c>
      <c r="AB43">
        <v>0</v>
      </c>
      <c r="AC43">
        <v>0.31242857036764127</v>
      </c>
      <c r="AD43">
        <v>0</v>
      </c>
      <c r="AE43">
        <v>0.12458296689710797</v>
      </c>
      <c r="AF43">
        <v>2.8054280172428035E-3</v>
      </c>
      <c r="AG43">
        <v>1.6261330296457132E-5</v>
      </c>
      <c r="AH43">
        <v>0</v>
      </c>
      <c r="AI43">
        <v>0.18058614763021091</v>
      </c>
      <c r="AJ43">
        <v>0</v>
      </c>
      <c r="AK43">
        <v>0.14013737261834591</v>
      </c>
      <c r="AL43">
        <v>0.34857668248581042</v>
      </c>
    </row>
    <row r="44" spans="1:40" x14ac:dyDescent="0.3">
      <c r="A44" t="s">
        <v>46</v>
      </c>
      <c r="B44">
        <v>2040</v>
      </c>
      <c r="C44">
        <v>0</v>
      </c>
      <c r="D44">
        <v>0.30855310236320072</v>
      </c>
      <c r="E44">
        <v>0.38273370922457239</v>
      </c>
      <c r="F44">
        <v>0.10147719008782707</v>
      </c>
      <c r="G44">
        <v>0</v>
      </c>
      <c r="H44">
        <v>0</v>
      </c>
      <c r="I44">
        <v>0</v>
      </c>
      <c r="J44">
        <v>0.29966763268406915</v>
      </c>
      <c r="K44">
        <v>0.16656271296829009</v>
      </c>
      <c r="L44">
        <v>0.34439957697024237</v>
      </c>
      <c r="M44">
        <v>0</v>
      </c>
      <c r="N44">
        <v>0.23787598345679764</v>
      </c>
      <c r="O44">
        <v>0</v>
      </c>
      <c r="P44">
        <v>0.30183294346041278</v>
      </c>
      <c r="Q44">
        <v>0.2870277366294961</v>
      </c>
      <c r="R44">
        <v>0</v>
      </c>
      <c r="S44">
        <v>7.6398489101097727E-2</v>
      </c>
      <c r="T44">
        <v>0</v>
      </c>
      <c r="U44">
        <v>0</v>
      </c>
      <c r="V44">
        <v>0.29477454279077292</v>
      </c>
      <c r="W44">
        <v>0.3107853210939826</v>
      </c>
      <c r="X44">
        <v>0</v>
      </c>
      <c r="Y44">
        <v>0</v>
      </c>
      <c r="Z44">
        <v>0</v>
      </c>
      <c r="AA44">
        <v>0</v>
      </c>
      <c r="AB44">
        <v>0</v>
      </c>
      <c r="AC44">
        <v>0.30421968974242652</v>
      </c>
      <c r="AD44">
        <v>0</v>
      </c>
      <c r="AE44">
        <v>0.19393111215457692</v>
      </c>
      <c r="AF44">
        <v>9.1971777375390515E-3</v>
      </c>
      <c r="AG44">
        <v>2.5411644955819435E-2</v>
      </c>
      <c r="AH44">
        <v>0</v>
      </c>
      <c r="AI44">
        <v>0.19472842416900984</v>
      </c>
      <c r="AJ44">
        <v>0</v>
      </c>
      <c r="AK44">
        <v>0.23108047816375407</v>
      </c>
      <c r="AL44">
        <v>0.33642970664787625</v>
      </c>
    </row>
    <row r="45" spans="1:40" x14ac:dyDescent="0.3">
      <c r="A45" t="s">
        <v>46</v>
      </c>
      <c r="B45">
        <v>2050</v>
      </c>
      <c r="C45">
        <v>0</v>
      </c>
      <c r="D45">
        <v>0.32334917238279182</v>
      </c>
      <c r="E45">
        <v>0.44290650015095917</v>
      </c>
      <c r="F45">
        <v>0.12026082298301326</v>
      </c>
      <c r="G45">
        <v>0</v>
      </c>
      <c r="H45">
        <v>0</v>
      </c>
      <c r="I45">
        <v>0</v>
      </c>
      <c r="J45">
        <v>0.31102263686541232</v>
      </c>
      <c r="K45">
        <v>0.15904599016837023</v>
      </c>
      <c r="L45">
        <v>0.37909532664837259</v>
      </c>
      <c r="M45">
        <v>0</v>
      </c>
      <c r="N45">
        <v>0.24369789674873868</v>
      </c>
      <c r="O45">
        <v>0</v>
      </c>
      <c r="P45">
        <v>0.30624572951578782</v>
      </c>
      <c r="Q45">
        <v>0.29690391336656941</v>
      </c>
      <c r="R45">
        <v>0</v>
      </c>
      <c r="S45">
        <v>9.4616352008541404E-2</v>
      </c>
      <c r="T45">
        <v>0</v>
      </c>
      <c r="U45">
        <v>0</v>
      </c>
      <c r="V45">
        <v>0.31541664889499066</v>
      </c>
      <c r="W45">
        <v>0.3584202021213192</v>
      </c>
      <c r="X45">
        <v>0</v>
      </c>
      <c r="Y45">
        <v>0</v>
      </c>
      <c r="Z45">
        <v>0</v>
      </c>
      <c r="AA45">
        <v>0</v>
      </c>
      <c r="AB45">
        <v>0</v>
      </c>
      <c r="AC45">
        <v>0.2956834688777179</v>
      </c>
      <c r="AD45">
        <v>0</v>
      </c>
      <c r="AE45">
        <v>0.24605367812368134</v>
      </c>
      <c r="AF45">
        <v>1.8788191714487586E-2</v>
      </c>
      <c r="AG45">
        <v>2.6551562191831107E-2</v>
      </c>
      <c r="AH45">
        <v>0</v>
      </c>
      <c r="AI45">
        <v>0.21109020840755088</v>
      </c>
      <c r="AJ45">
        <v>0</v>
      </c>
      <c r="AK45">
        <v>0.35746022966272156</v>
      </c>
      <c r="AL45">
        <v>0.31822921663666032</v>
      </c>
    </row>
    <row r="46" spans="1:40" x14ac:dyDescent="0.3">
      <c r="A46" t="s">
        <v>47</v>
      </c>
      <c r="B46">
        <v>2005</v>
      </c>
      <c r="C46">
        <v>0</v>
      </c>
      <c r="D46">
        <v>0.46222577088819078</v>
      </c>
      <c r="E46">
        <v>0.32686791290692435</v>
      </c>
      <c r="F46">
        <v>0.22923341485565876</v>
      </c>
      <c r="G46">
        <v>0</v>
      </c>
      <c r="H46">
        <v>0</v>
      </c>
      <c r="I46">
        <v>0</v>
      </c>
      <c r="J46">
        <v>0.42348745288916462</v>
      </c>
      <c r="K46">
        <v>0.4603471257897026</v>
      </c>
      <c r="L46">
        <v>0.43325791516990897</v>
      </c>
      <c r="M46">
        <v>0</v>
      </c>
      <c r="N46">
        <v>0.34093333724282526</v>
      </c>
      <c r="O46">
        <v>0</v>
      </c>
      <c r="P46">
        <v>0.47402762861483472</v>
      </c>
      <c r="Q46">
        <v>2.3485973036096269E-2</v>
      </c>
      <c r="R46">
        <v>0</v>
      </c>
      <c r="S46">
        <v>0.34463959130225696</v>
      </c>
      <c r="T46">
        <v>0</v>
      </c>
      <c r="U46">
        <v>0</v>
      </c>
      <c r="V46">
        <v>0.41183224355691084</v>
      </c>
      <c r="W46">
        <v>0.34291612359481927</v>
      </c>
      <c r="X46">
        <v>0</v>
      </c>
      <c r="Y46">
        <v>0</v>
      </c>
      <c r="Z46">
        <v>0</v>
      </c>
      <c r="AA46">
        <v>0</v>
      </c>
      <c r="AB46">
        <v>0</v>
      </c>
      <c r="AC46">
        <v>0.42348515199405501</v>
      </c>
      <c r="AD46">
        <v>0</v>
      </c>
      <c r="AE46">
        <v>0.15808798755885045</v>
      </c>
      <c r="AF46">
        <v>1</v>
      </c>
      <c r="AG46">
        <v>0.19593559832338223</v>
      </c>
      <c r="AH46">
        <v>0</v>
      </c>
      <c r="AI46">
        <v>0.2629985011495557</v>
      </c>
      <c r="AJ46">
        <v>1</v>
      </c>
      <c r="AK46">
        <v>0.20236807334170875</v>
      </c>
      <c r="AL46">
        <v>0.15133094405729272</v>
      </c>
    </row>
    <row r="47" spans="1:40" x14ac:dyDescent="0.3">
      <c r="A47" t="s">
        <v>47</v>
      </c>
      <c r="B47">
        <v>2010</v>
      </c>
      <c r="C47">
        <v>0</v>
      </c>
      <c r="D47">
        <v>0.46222577088819078</v>
      </c>
      <c r="E47">
        <v>0.32686791290692435</v>
      </c>
      <c r="F47">
        <v>0.22923341485565876</v>
      </c>
      <c r="G47">
        <v>0</v>
      </c>
      <c r="H47">
        <v>0</v>
      </c>
      <c r="I47">
        <v>0</v>
      </c>
      <c r="J47">
        <v>0.42348745288916462</v>
      </c>
      <c r="K47">
        <v>0.4603471257897026</v>
      </c>
      <c r="L47">
        <v>0.43325791516990897</v>
      </c>
      <c r="M47">
        <v>0</v>
      </c>
      <c r="N47">
        <v>0.34093333724282526</v>
      </c>
      <c r="O47">
        <v>0</v>
      </c>
      <c r="P47">
        <v>0.47402762861483472</v>
      </c>
      <c r="Q47">
        <v>2.3485973036096269E-2</v>
      </c>
      <c r="R47">
        <v>0</v>
      </c>
      <c r="S47">
        <v>0.34463959130225696</v>
      </c>
      <c r="T47">
        <v>0</v>
      </c>
      <c r="U47">
        <v>0</v>
      </c>
      <c r="V47">
        <v>0.41183224355691084</v>
      </c>
      <c r="W47">
        <v>0.34291612359481927</v>
      </c>
      <c r="X47">
        <v>0</v>
      </c>
      <c r="Y47">
        <v>0</v>
      </c>
      <c r="Z47">
        <v>0</v>
      </c>
      <c r="AA47">
        <v>0</v>
      </c>
      <c r="AB47">
        <v>0</v>
      </c>
      <c r="AC47">
        <v>0.42348515199405501</v>
      </c>
      <c r="AD47">
        <v>0</v>
      </c>
      <c r="AE47">
        <v>0.15808798755885045</v>
      </c>
      <c r="AF47">
        <v>1</v>
      </c>
      <c r="AG47">
        <v>0.19593559832338223</v>
      </c>
      <c r="AH47">
        <v>0</v>
      </c>
      <c r="AI47">
        <v>0.2629985011495557</v>
      </c>
      <c r="AJ47">
        <v>1</v>
      </c>
      <c r="AK47">
        <v>0.20236807334170875</v>
      </c>
      <c r="AL47">
        <v>0.15133094405729272</v>
      </c>
    </row>
    <row r="48" spans="1:40" x14ac:dyDescent="0.3">
      <c r="A48" t="s">
        <v>47</v>
      </c>
      <c r="B48">
        <v>2020</v>
      </c>
      <c r="C48">
        <v>0</v>
      </c>
      <c r="D48">
        <v>0.3152324973301861</v>
      </c>
      <c r="E48">
        <v>0.3030005360167789</v>
      </c>
      <c r="F48">
        <v>0.1597648507733182</v>
      </c>
      <c r="G48">
        <v>0</v>
      </c>
      <c r="H48">
        <v>0</v>
      </c>
      <c r="I48">
        <v>0</v>
      </c>
      <c r="J48">
        <v>0.255698905630382</v>
      </c>
      <c r="K48">
        <v>0.25621803961823369</v>
      </c>
      <c r="L48">
        <v>0.22655639645664211</v>
      </c>
      <c r="M48">
        <v>0</v>
      </c>
      <c r="N48">
        <v>0.23225883697309782</v>
      </c>
      <c r="O48">
        <v>0</v>
      </c>
      <c r="P48">
        <v>0.36604630482628292</v>
      </c>
      <c r="Q48">
        <v>0.27686307401747218</v>
      </c>
      <c r="R48">
        <v>0</v>
      </c>
      <c r="S48">
        <v>8.779440783072387E-2</v>
      </c>
      <c r="T48">
        <v>0</v>
      </c>
      <c r="U48">
        <v>0</v>
      </c>
      <c r="V48">
        <v>0.1695051138198328</v>
      </c>
      <c r="W48">
        <v>0.25332425497397165</v>
      </c>
      <c r="X48">
        <v>0</v>
      </c>
      <c r="Y48">
        <v>0</v>
      </c>
      <c r="Z48">
        <v>0</v>
      </c>
      <c r="AA48">
        <v>0</v>
      </c>
      <c r="AB48">
        <v>0</v>
      </c>
      <c r="AC48">
        <v>0.33754605317757203</v>
      </c>
      <c r="AD48">
        <v>0</v>
      </c>
      <c r="AE48">
        <v>9.9940536694338597E-2</v>
      </c>
      <c r="AF48">
        <v>5.6324698271094688E-2</v>
      </c>
      <c r="AG48">
        <v>4.0059018610845952E-2</v>
      </c>
      <c r="AH48">
        <v>0</v>
      </c>
      <c r="AI48">
        <v>0.18740775176733668</v>
      </c>
      <c r="AJ48">
        <v>0</v>
      </c>
      <c r="AK48">
        <v>0.12788436606484743</v>
      </c>
      <c r="AL48">
        <v>0.16505881804696879</v>
      </c>
    </row>
    <row r="49" spans="1:38" x14ac:dyDescent="0.3">
      <c r="A49" t="s">
        <v>47</v>
      </c>
      <c r="B49">
        <v>2030</v>
      </c>
      <c r="C49">
        <v>0</v>
      </c>
      <c r="D49">
        <v>0.32632185379040429</v>
      </c>
      <c r="E49">
        <v>0.33322829159580031</v>
      </c>
      <c r="F49">
        <v>0.10435787679898542</v>
      </c>
      <c r="G49">
        <v>0</v>
      </c>
      <c r="H49">
        <v>0</v>
      </c>
      <c r="I49">
        <v>0</v>
      </c>
      <c r="J49">
        <v>0.29443537951667298</v>
      </c>
      <c r="K49">
        <v>0.17458276465912004</v>
      </c>
      <c r="L49">
        <v>0.2795638900415352</v>
      </c>
      <c r="M49">
        <v>0</v>
      </c>
      <c r="N49">
        <v>0.24047170049122482</v>
      </c>
      <c r="O49">
        <v>0</v>
      </c>
      <c r="P49">
        <v>0.32976616699167199</v>
      </c>
      <c r="Q49">
        <v>0.28850859403584711</v>
      </c>
      <c r="R49">
        <v>0</v>
      </c>
      <c r="S49">
        <v>0.11634974322499034</v>
      </c>
      <c r="T49">
        <v>0</v>
      </c>
      <c r="U49">
        <v>0</v>
      </c>
      <c r="V49">
        <v>0.29041201620759988</v>
      </c>
      <c r="W49">
        <v>0.26999897881921003</v>
      </c>
      <c r="X49">
        <v>0</v>
      </c>
      <c r="Y49">
        <v>0</v>
      </c>
      <c r="Z49">
        <v>0</v>
      </c>
      <c r="AA49">
        <v>0</v>
      </c>
      <c r="AB49">
        <v>0</v>
      </c>
      <c r="AC49">
        <v>0.31422194312999119</v>
      </c>
      <c r="AD49">
        <v>0</v>
      </c>
      <c r="AE49">
        <v>0.12595453028619549</v>
      </c>
      <c r="AF49">
        <v>3.4427672024311587E-2</v>
      </c>
      <c r="AG49">
        <v>1.8781761005303321E-2</v>
      </c>
      <c r="AH49">
        <v>0</v>
      </c>
      <c r="AI49">
        <v>0.18058614763021091</v>
      </c>
      <c r="AJ49">
        <v>0</v>
      </c>
      <c r="AK49">
        <v>0.16473820896580293</v>
      </c>
      <c r="AL49">
        <v>0.34857668248581042</v>
      </c>
    </row>
    <row r="50" spans="1:38" x14ac:dyDescent="0.3">
      <c r="A50" t="s">
        <v>47</v>
      </c>
      <c r="B50">
        <v>2040</v>
      </c>
      <c r="C50">
        <v>0</v>
      </c>
      <c r="D50">
        <v>0.34045114590423609</v>
      </c>
      <c r="E50">
        <v>0.38273370922457239</v>
      </c>
      <c r="F50">
        <v>0.16616284480322485</v>
      </c>
      <c r="G50">
        <v>0</v>
      </c>
      <c r="H50">
        <v>0</v>
      </c>
      <c r="I50">
        <v>0</v>
      </c>
      <c r="J50">
        <v>0.30538171511346163</v>
      </c>
      <c r="K50">
        <v>0.16656271296829009</v>
      </c>
      <c r="L50">
        <v>0.34439957697024237</v>
      </c>
      <c r="M50">
        <v>0</v>
      </c>
      <c r="N50">
        <v>0.24471899094383279</v>
      </c>
      <c r="O50">
        <v>0</v>
      </c>
      <c r="P50">
        <v>0.32196564651874759</v>
      </c>
      <c r="Q50">
        <v>0.31772460823934845</v>
      </c>
      <c r="R50">
        <v>0</v>
      </c>
      <c r="S50">
        <v>0.12453162099080793</v>
      </c>
      <c r="T50">
        <v>0</v>
      </c>
      <c r="U50">
        <v>0</v>
      </c>
      <c r="V50">
        <v>0.30504365474748801</v>
      </c>
      <c r="W50">
        <v>0.3107853210939826</v>
      </c>
      <c r="X50">
        <v>0</v>
      </c>
      <c r="Y50">
        <v>0</v>
      </c>
      <c r="Z50">
        <v>0</v>
      </c>
      <c r="AA50">
        <v>0</v>
      </c>
      <c r="AB50">
        <v>0</v>
      </c>
      <c r="AC50">
        <v>0.3051599789506319</v>
      </c>
      <c r="AD50">
        <v>0</v>
      </c>
      <c r="AE50">
        <v>0.1946862473299493</v>
      </c>
      <c r="AF50">
        <v>3.3514967155138478E-2</v>
      </c>
      <c r="AG50">
        <v>4.4842612729101339E-2</v>
      </c>
      <c r="AH50">
        <v>0</v>
      </c>
      <c r="AI50">
        <v>0.19472842416900984</v>
      </c>
      <c r="AJ50">
        <v>2.9379598915435437E-19</v>
      </c>
      <c r="AK50">
        <v>0.24469526098545386</v>
      </c>
      <c r="AL50">
        <v>0.33642970664787625</v>
      </c>
    </row>
    <row r="51" spans="1:38" x14ac:dyDescent="0.3">
      <c r="A51" t="s">
        <v>47</v>
      </c>
      <c r="B51">
        <v>2050</v>
      </c>
      <c r="C51">
        <v>0</v>
      </c>
      <c r="D51">
        <v>0.35894209777096392</v>
      </c>
      <c r="E51">
        <v>0.44290650015095917</v>
      </c>
      <c r="F51">
        <v>0.17584212781927908</v>
      </c>
      <c r="G51">
        <v>0</v>
      </c>
      <c r="H51">
        <v>0</v>
      </c>
      <c r="I51">
        <v>0</v>
      </c>
      <c r="J51">
        <v>0.31381215077838936</v>
      </c>
      <c r="K51">
        <v>0.15904599016837023</v>
      </c>
      <c r="L51">
        <v>0.37909532664837259</v>
      </c>
      <c r="M51">
        <v>0</v>
      </c>
      <c r="N51">
        <v>0.24744681160730544</v>
      </c>
      <c r="O51">
        <v>0</v>
      </c>
      <c r="P51">
        <v>0.31642194819214664</v>
      </c>
      <c r="Q51">
        <v>0.34196501959044667</v>
      </c>
      <c r="R51">
        <v>0</v>
      </c>
      <c r="S51">
        <v>0.1345150712439307</v>
      </c>
      <c r="T51">
        <v>0</v>
      </c>
      <c r="U51">
        <v>0</v>
      </c>
      <c r="V51">
        <v>0.32159655093267142</v>
      </c>
      <c r="W51">
        <v>0.3584202021213192</v>
      </c>
      <c r="X51">
        <v>0</v>
      </c>
      <c r="Y51">
        <v>0</v>
      </c>
      <c r="Z51">
        <v>0</v>
      </c>
      <c r="AA51">
        <v>0</v>
      </c>
      <c r="AB51">
        <v>0</v>
      </c>
      <c r="AC51">
        <v>0.29573792782327879</v>
      </c>
      <c r="AD51">
        <v>0</v>
      </c>
      <c r="AE51">
        <v>0.24641908663473425</v>
      </c>
      <c r="AF51">
        <v>3.3216941905422785E-2</v>
      </c>
      <c r="AG51">
        <v>4.6691970331803556E-2</v>
      </c>
      <c r="AH51">
        <v>0</v>
      </c>
      <c r="AI51">
        <v>0.21109020840755088</v>
      </c>
      <c r="AJ51">
        <v>0</v>
      </c>
      <c r="AK51">
        <v>0.36044919390412083</v>
      </c>
      <c r="AL51">
        <v>0.31822921663666032</v>
      </c>
    </row>
    <row r="52" spans="1:38" x14ac:dyDescent="0.3">
      <c r="A52" t="s">
        <v>48</v>
      </c>
      <c r="B52">
        <v>2005</v>
      </c>
      <c r="C52">
        <v>0</v>
      </c>
      <c r="D52">
        <v>0.10429106765016971</v>
      </c>
      <c r="E52">
        <v>0.34626417418615135</v>
      </c>
      <c r="F52">
        <v>0.77076658514434127</v>
      </c>
      <c r="G52">
        <v>0</v>
      </c>
      <c r="H52">
        <v>0</v>
      </c>
      <c r="I52">
        <v>0</v>
      </c>
      <c r="J52">
        <v>0.15978283596196996</v>
      </c>
      <c r="K52">
        <v>7.9305748420594721E-2</v>
      </c>
      <c r="L52">
        <v>0.13348416966018198</v>
      </c>
      <c r="M52">
        <v>1</v>
      </c>
      <c r="N52">
        <v>0.65906666275717463</v>
      </c>
      <c r="O52">
        <v>0</v>
      </c>
      <c r="P52">
        <v>6.7943331695293915E-2</v>
      </c>
      <c r="Q52">
        <v>0.97651402696390377</v>
      </c>
      <c r="R52">
        <v>1</v>
      </c>
      <c r="S52">
        <v>0.65536040869774304</v>
      </c>
      <c r="T52">
        <v>1</v>
      </c>
      <c r="U52">
        <v>0</v>
      </c>
      <c r="V52">
        <v>0.58816775644308916</v>
      </c>
      <c r="W52">
        <v>0.31416775281036141</v>
      </c>
      <c r="X52">
        <v>1</v>
      </c>
      <c r="Y52">
        <v>1</v>
      </c>
      <c r="Z52">
        <v>0</v>
      </c>
      <c r="AA52">
        <v>0</v>
      </c>
      <c r="AB52">
        <v>0</v>
      </c>
      <c r="AC52">
        <v>0.15662594006968983</v>
      </c>
      <c r="AD52">
        <v>0</v>
      </c>
      <c r="AE52">
        <v>0.6861952639344252</v>
      </c>
      <c r="AF52">
        <v>0</v>
      </c>
      <c r="AG52">
        <v>0.80406440167661775</v>
      </c>
      <c r="AH52">
        <v>0</v>
      </c>
      <c r="AI52">
        <v>0.47400299770088861</v>
      </c>
      <c r="AJ52">
        <v>0</v>
      </c>
      <c r="AK52">
        <v>0.63662833569143773</v>
      </c>
      <c r="AL52">
        <v>0.6973381118854145</v>
      </c>
    </row>
    <row r="53" spans="1:38" x14ac:dyDescent="0.3">
      <c r="A53" t="s">
        <v>48</v>
      </c>
      <c r="B53">
        <v>2010</v>
      </c>
      <c r="C53">
        <v>0</v>
      </c>
      <c r="D53">
        <v>0.10429106765016971</v>
      </c>
      <c r="E53">
        <v>0.34626417418615135</v>
      </c>
      <c r="F53">
        <v>0.77076658514434127</v>
      </c>
      <c r="G53">
        <v>0</v>
      </c>
      <c r="H53">
        <v>0</v>
      </c>
      <c r="I53">
        <v>0</v>
      </c>
      <c r="J53">
        <v>0.15978283596196996</v>
      </c>
      <c r="K53">
        <v>7.9305748420594721E-2</v>
      </c>
      <c r="L53">
        <v>0.13348416966018198</v>
      </c>
      <c r="M53">
        <v>1</v>
      </c>
      <c r="N53">
        <v>0.65906666275717463</v>
      </c>
      <c r="O53">
        <v>0</v>
      </c>
      <c r="P53">
        <v>6.7943331695293915E-2</v>
      </c>
      <c r="Q53">
        <v>0.97651402696390377</v>
      </c>
      <c r="R53">
        <v>1</v>
      </c>
      <c r="S53">
        <v>0.65536040869774304</v>
      </c>
      <c r="T53">
        <v>1</v>
      </c>
      <c r="U53">
        <v>0</v>
      </c>
      <c r="V53">
        <v>0.58816775644308916</v>
      </c>
      <c r="W53">
        <v>0.31416775281036141</v>
      </c>
      <c r="X53">
        <v>1</v>
      </c>
      <c r="Y53">
        <v>1</v>
      </c>
      <c r="Z53">
        <v>0</v>
      </c>
      <c r="AA53">
        <v>0</v>
      </c>
      <c r="AB53">
        <v>0</v>
      </c>
      <c r="AC53">
        <v>0.15662594006968983</v>
      </c>
      <c r="AD53">
        <v>0</v>
      </c>
      <c r="AE53">
        <v>0.6861952639344252</v>
      </c>
      <c r="AF53">
        <v>0</v>
      </c>
      <c r="AG53">
        <v>0.80406440167661775</v>
      </c>
      <c r="AH53">
        <v>0</v>
      </c>
      <c r="AI53">
        <v>0.47400299770088861</v>
      </c>
      <c r="AJ53">
        <v>0</v>
      </c>
      <c r="AK53">
        <v>0.63662833569143773</v>
      </c>
      <c r="AL53">
        <v>0.6973381118854145</v>
      </c>
    </row>
    <row r="54" spans="1:38" x14ac:dyDescent="0.3">
      <c r="A54" t="s">
        <v>48</v>
      </c>
      <c r="B54">
        <v>2020</v>
      </c>
      <c r="C54">
        <v>0</v>
      </c>
      <c r="D54">
        <v>2.3145887117058013E-2</v>
      </c>
      <c r="E54">
        <v>8.2608857250938111E-2</v>
      </c>
      <c r="F54">
        <v>9.5468127786690365E-2</v>
      </c>
      <c r="G54">
        <v>0</v>
      </c>
      <c r="H54">
        <v>0</v>
      </c>
      <c r="I54">
        <v>0</v>
      </c>
      <c r="J54">
        <v>5.5457485909969573E-2</v>
      </c>
      <c r="K54">
        <v>1.3182080359523346E-2</v>
      </c>
      <c r="L54">
        <v>0.54261865854661839</v>
      </c>
      <c r="M54">
        <v>3.9438190523566792E-2</v>
      </c>
      <c r="N54">
        <v>5.2072155810445032E-2</v>
      </c>
      <c r="O54">
        <v>0</v>
      </c>
      <c r="P54">
        <v>3.805222121576373E-2</v>
      </c>
      <c r="Q54">
        <v>0.10388315497790321</v>
      </c>
      <c r="R54">
        <v>1</v>
      </c>
      <c r="S54">
        <v>0.11287528214355476</v>
      </c>
      <c r="T54">
        <v>1.2136790356283027E-2</v>
      </c>
      <c r="U54">
        <v>0</v>
      </c>
      <c r="V54">
        <v>6.9612077748966369E-2</v>
      </c>
      <c r="W54">
        <v>2.4570026224746373E-2</v>
      </c>
      <c r="X54">
        <v>1</v>
      </c>
      <c r="Y54">
        <v>7.7760595392900825E-2</v>
      </c>
      <c r="Z54">
        <v>0</v>
      </c>
      <c r="AA54">
        <v>0</v>
      </c>
      <c r="AB54">
        <v>0</v>
      </c>
      <c r="AC54">
        <v>1.6420521466025781E-2</v>
      </c>
      <c r="AD54">
        <v>0</v>
      </c>
      <c r="AE54">
        <v>3.8466450649389868E-2</v>
      </c>
      <c r="AF54">
        <v>7.2883189649365528E-3</v>
      </c>
      <c r="AG54">
        <v>4.7899382850654697E-2</v>
      </c>
      <c r="AH54">
        <v>0</v>
      </c>
      <c r="AI54">
        <v>3.3950943175089225E-2</v>
      </c>
      <c r="AJ54">
        <v>4.0183775831881839E-2</v>
      </c>
      <c r="AK54">
        <v>0.16550343205008186</v>
      </c>
      <c r="AL54">
        <v>0.16431284048955622</v>
      </c>
    </row>
    <row r="55" spans="1:38" x14ac:dyDescent="0.3">
      <c r="A55" t="s">
        <v>48</v>
      </c>
      <c r="B55">
        <v>2030</v>
      </c>
      <c r="C55">
        <v>0</v>
      </c>
      <c r="D55">
        <v>3.4800316952720789E-2</v>
      </c>
      <c r="E55">
        <v>5.411260760739485E-2</v>
      </c>
      <c r="F55">
        <v>0.15125878508374016</v>
      </c>
      <c r="G55">
        <v>0</v>
      </c>
      <c r="H55">
        <v>0</v>
      </c>
      <c r="I55">
        <v>0</v>
      </c>
      <c r="J55">
        <v>7.3256157671645269E-2</v>
      </c>
      <c r="K55">
        <v>1.4068114530941716E-2</v>
      </c>
      <c r="L55">
        <v>0.43983279456029495</v>
      </c>
      <c r="M55">
        <v>0.34667318149017712</v>
      </c>
      <c r="N55">
        <v>5.1258905617810317E-2</v>
      </c>
      <c r="O55">
        <v>0</v>
      </c>
      <c r="P55">
        <v>4.413670885596508E-2</v>
      </c>
      <c r="Q55">
        <v>0.14744296100291343</v>
      </c>
      <c r="R55">
        <v>1</v>
      </c>
      <c r="S55">
        <v>0.13961667562414393</v>
      </c>
      <c r="T55">
        <v>1.4465867849915869E-2</v>
      </c>
      <c r="U55">
        <v>0</v>
      </c>
      <c r="V55">
        <v>4.5861927580302102E-2</v>
      </c>
      <c r="W55">
        <v>5.6778295179267309E-2</v>
      </c>
      <c r="X55">
        <v>1</v>
      </c>
      <c r="Y55">
        <v>0.22290918688919506</v>
      </c>
      <c r="Z55">
        <v>0</v>
      </c>
      <c r="AA55">
        <v>0</v>
      </c>
      <c r="AB55">
        <v>0</v>
      </c>
      <c r="AC55">
        <v>1.1818281744792493E-2</v>
      </c>
      <c r="AD55">
        <v>0</v>
      </c>
      <c r="AE55">
        <v>4.1369254831747589E-2</v>
      </c>
      <c r="AF55">
        <v>6.1491285935434039E-3</v>
      </c>
      <c r="AG55">
        <v>6.4116131004626695E-2</v>
      </c>
      <c r="AH55">
        <v>0</v>
      </c>
      <c r="AI55">
        <v>2.257053086096374E-2</v>
      </c>
      <c r="AJ55">
        <v>6.2950427270736825E-2</v>
      </c>
      <c r="AK55">
        <v>0.17223163877993616</v>
      </c>
      <c r="AL55">
        <v>0.10410254039737324</v>
      </c>
    </row>
    <row r="56" spans="1:38" x14ac:dyDescent="0.3">
      <c r="A56" t="s">
        <v>48</v>
      </c>
      <c r="B56">
        <v>2040</v>
      </c>
      <c r="C56">
        <v>0</v>
      </c>
      <c r="D56">
        <v>3.8056998608005155E-2</v>
      </c>
      <c r="E56">
        <v>6.0222738878534784E-2</v>
      </c>
      <c r="F56">
        <v>0.11816944022128711</v>
      </c>
      <c r="G56">
        <v>0</v>
      </c>
      <c r="H56">
        <v>0</v>
      </c>
      <c r="I56">
        <v>0</v>
      </c>
      <c r="J56">
        <v>4.7320604759762692E-2</v>
      </c>
      <c r="K56">
        <v>2.1869738941699881E-2</v>
      </c>
      <c r="L56">
        <v>0.31077221996408771</v>
      </c>
      <c r="M56">
        <v>0.61438862143202777</v>
      </c>
      <c r="N56">
        <v>5.0052546297959938E-2</v>
      </c>
      <c r="O56">
        <v>0</v>
      </c>
      <c r="P56">
        <v>4.0234059260002002E-2</v>
      </c>
      <c r="Q56">
        <v>0.12054977363016489</v>
      </c>
      <c r="R56">
        <v>1</v>
      </c>
      <c r="S56">
        <v>0.13367456803957029</v>
      </c>
      <c r="T56">
        <v>1.8466993588015866E-2</v>
      </c>
      <c r="U56">
        <v>0</v>
      </c>
      <c r="V56">
        <v>4.1769817406707946E-2</v>
      </c>
      <c r="W56">
        <v>8.0567152853249419E-2</v>
      </c>
      <c r="X56">
        <v>1</v>
      </c>
      <c r="Y56">
        <v>0.41545441734790184</v>
      </c>
      <c r="Z56">
        <v>0</v>
      </c>
      <c r="AA56">
        <v>0</v>
      </c>
      <c r="AB56">
        <v>0</v>
      </c>
      <c r="AC56">
        <v>1.5312887262494995E-2</v>
      </c>
      <c r="AD56">
        <v>0</v>
      </c>
      <c r="AE56">
        <v>3.7948634031330829E-2</v>
      </c>
      <c r="AF56">
        <v>4.3881695478753526E-3</v>
      </c>
      <c r="AG56">
        <v>6.8829971945447654E-2</v>
      </c>
      <c r="AH56">
        <v>0</v>
      </c>
      <c r="AI56">
        <v>1.8975178413940797E-2</v>
      </c>
      <c r="AJ56">
        <v>6.4324735826916501E-2</v>
      </c>
      <c r="AK56">
        <v>0.14785901830105669</v>
      </c>
      <c r="AL56">
        <v>0.10410528489564927</v>
      </c>
    </row>
    <row r="57" spans="1:38" x14ac:dyDescent="0.3">
      <c r="A57" t="s">
        <v>48</v>
      </c>
      <c r="B57">
        <v>2050</v>
      </c>
      <c r="C57">
        <v>0</v>
      </c>
      <c r="D57">
        <v>4.4144735634731008E-2</v>
      </c>
      <c r="E57">
        <v>6.812027032603038E-2</v>
      </c>
      <c r="F57">
        <v>9.9913037538423996E-2</v>
      </c>
      <c r="G57">
        <v>0</v>
      </c>
      <c r="H57">
        <v>0</v>
      </c>
      <c r="I57">
        <v>0</v>
      </c>
      <c r="J57">
        <v>2.685354475275863E-2</v>
      </c>
      <c r="K57">
        <v>3.0328986502367164E-2</v>
      </c>
      <c r="L57">
        <v>0.2418093467032548</v>
      </c>
      <c r="M57">
        <v>0.81919835463278268</v>
      </c>
      <c r="N57">
        <v>4.7577112119321238E-2</v>
      </c>
      <c r="O57">
        <v>0</v>
      </c>
      <c r="P57">
        <v>3.513750621014318E-2</v>
      </c>
      <c r="Q57">
        <v>9.419931248485397E-2</v>
      </c>
      <c r="R57">
        <v>1</v>
      </c>
      <c r="S57">
        <v>0.12442727842736055</v>
      </c>
      <c r="T57">
        <v>2.8808257734610161E-2</v>
      </c>
      <c r="U57">
        <v>0</v>
      </c>
      <c r="V57">
        <v>3.9294687975700522E-2</v>
      </c>
      <c r="W57">
        <v>0.10693174894987573</v>
      </c>
      <c r="X57">
        <v>1</v>
      </c>
      <c r="Y57">
        <v>0.66790603292100448</v>
      </c>
      <c r="Z57">
        <v>0</v>
      </c>
      <c r="AA57">
        <v>0</v>
      </c>
      <c r="AB57">
        <v>0</v>
      </c>
      <c r="AC57">
        <v>2.0441535616983E-2</v>
      </c>
      <c r="AD57">
        <v>0</v>
      </c>
      <c r="AE57">
        <v>3.4154022976513897E-2</v>
      </c>
      <c r="AF57">
        <v>2.5272109308091496E-3</v>
      </c>
      <c r="AG57">
        <v>7.5561644228712879E-2</v>
      </c>
      <c r="AH57">
        <v>0</v>
      </c>
      <c r="AI57">
        <v>1.7734166751106287E-2</v>
      </c>
      <c r="AJ57">
        <v>6.5174622803841342E-2</v>
      </c>
      <c r="AK57">
        <v>0.10995329862188692</v>
      </c>
      <c r="AL57">
        <v>0.10420999885598588</v>
      </c>
    </row>
    <row r="58" spans="1:38" x14ac:dyDescent="0.3">
      <c r="A58" t="s">
        <v>49</v>
      </c>
      <c r="B58">
        <v>2005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">
      <c r="A59" t="s">
        <v>49</v>
      </c>
      <c r="B59">
        <v>2010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49</v>
      </c>
      <c r="B60">
        <v>2020</v>
      </c>
      <c r="C60">
        <v>0.82133680429323819</v>
      </c>
      <c r="D60">
        <v>0.31326822238723506</v>
      </c>
      <c r="E60">
        <v>0.24770809473144675</v>
      </c>
      <c r="F60">
        <v>0.57429562516644295</v>
      </c>
      <c r="G60">
        <v>0.82133680429323808</v>
      </c>
      <c r="H60">
        <v>0</v>
      </c>
      <c r="I60">
        <v>0.69807067097697839</v>
      </c>
      <c r="J60">
        <v>0.37619661976900309</v>
      </c>
      <c r="K60">
        <v>0.42108880931633874</v>
      </c>
      <c r="L60">
        <v>2.5351327065661075E-3</v>
      </c>
      <c r="M60">
        <v>0.6325485212886649</v>
      </c>
      <c r="N60">
        <v>0.42056320421769483</v>
      </c>
      <c r="O60">
        <v>0</v>
      </c>
      <c r="P60">
        <v>0.23527356440299291</v>
      </c>
      <c r="Q60">
        <v>0.29432939616942755</v>
      </c>
      <c r="R60">
        <v>0</v>
      </c>
      <c r="S60">
        <v>0.65256981872103703</v>
      </c>
      <c r="T60">
        <v>0.64367647304225528</v>
      </c>
      <c r="U60">
        <v>0</v>
      </c>
      <c r="V60">
        <v>0.56095569117200816</v>
      </c>
      <c r="W60">
        <v>0.30743616049994882</v>
      </c>
      <c r="X60">
        <v>0</v>
      </c>
      <c r="Y60">
        <v>0.60627245406413333</v>
      </c>
      <c r="Z60">
        <v>0.82133680429323819</v>
      </c>
      <c r="AA60">
        <v>0.82133680429323819</v>
      </c>
      <c r="AB60">
        <v>0</v>
      </c>
      <c r="AC60">
        <v>0.27887695402465257</v>
      </c>
      <c r="AD60">
        <v>0.51669142534780821</v>
      </c>
      <c r="AE60">
        <v>0.53110259135128057</v>
      </c>
      <c r="AF60">
        <v>0.79708364428432699</v>
      </c>
      <c r="AG60">
        <v>0.71830413684520977</v>
      </c>
      <c r="AH60">
        <v>0.8213368042932383</v>
      </c>
      <c r="AI60">
        <v>0.42821716795996062</v>
      </c>
      <c r="AJ60">
        <v>0.90351576838041425</v>
      </c>
      <c r="AK60">
        <v>0.51930581603614112</v>
      </c>
      <c r="AL60">
        <v>0.25480769185298147</v>
      </c>
    </row>
    <row r="61" spans="1:38" x14ac:dyDescent="0.3">
      <c r="A61" t="s">
        <v>49</v>
      </c>
      <c r="B61">
        <v>2030</v>
      </c>
      <c r="C61">
        <v>0.82133680429323819</v>
      </c>
      <c r="D61">
        <v>0.29391736036708327</v>
      </c>
      <c r="E61">
        <v>0.22344547050440755</v>
      </c>
      <c r="F61">
        <v>0.65595682669149324</v>
      </c>
      <c r="G61">
        <v>0.82133680429323808</v>
      </c>
      <c r="H61">
        <v>0</v>
      </c>
      <c r="I61">
        <v>0.69807067097697828</v>
      </c>
      <c r="J61">
        <v>0.28985387258959699</v>
      </c>
      <c r="K61">
        <v>0.56515304780724496</v>
      </c>
      <c r="L61">
        <v>6.173248805502159E-4</v>
      </c>
      <c r="M61">
        <v>0.43027660538885715</v>
      </c>
      <c r="N61">
        <v>0.40363078391596513</v>
      </c>
      <c r="O61">
        <v>0</v>
      </c>
      <c r="P61">
        <v>0.28486423085766743</v>
      </c>
      <c r="Q61">
        <v>0.22684518519665073</v>
      </c>
      <c r="R61">
        <v>0</v>
      </c>
      <c r="S61">
        <v>0.5766672097955019</v>
      </c>
      <c r="T61">
        <v>0.6420474958843656</v>
      </c>
      <c r="U61">
        <v>0</v>
      </c>
      <c r="V61">
        <v>0.36068880275116638</v>
      </c>
      <c r="W61">
        <v>0.26646014249212752</v>
      </c>
      <c r="X61">
        <v>0</v>
      </c>
      <c r="Y61">
        <v>0.52108446640039818</v>
      </c>
      <c r="Z61">
        <v>0.82133680429323819</v>
      </c>
      <c r="AA61">
        <v>0.82133680429323819</v>
      </c>
      <c r="AB61">
        <v>0</v>
      </c>
      <c r="AC61">
        <v>0.32714295208715394</v>
      </c>
      <c r="AD61">
        <v>0.51669142534780821</v>
      </c>
      <c r="AE61">
        <v>0.49637961681003778</v>
      </c>
      <c r="AF61">
        <v>0.84370853850512806</v>
      </c>
      <c r="AG61">
        <v>0.74072486349282174</v>
      </c>
      <c r="AH61">
        <v>0.82133680429323819</v>
      </c>
      <c r="AI61">
        <v>0.44811656042810366</v>
      </c>
      <c r="AJ61">
        <v>0.88557385508103759</v>
      </c>
      <c r="AK61">
        <v>0.43711725884078534</v>
      </c>
      <c r="AL61">
        <v>9.9535113764248687E-2</v>
      </c>
    </row>
    <row r="62" spans="1:38" x14ac:dyDescent="0.3">
      <c r="A62" t="s">
        <v>49</v>
      </c>
      <c r="B62">
        <v>2040</v>
      </c>
      <c r="C62">
        <v>0.82133680429323819</v>
      </c>
      <c r="D62">
        <v>0.26844776163359119</v>
      </c>
      <c r="E62">
        <v>0.13943431254720712</v>
      </c>
      <c r="F62">
        <v>0.54920604748533697</v>
      </c>
      <c r="G62">
        <v>0.82133680429323819</v>
      </c>
      <c r="H62">
        <v>0</v>
      </c>
      <c r="I62">
        <v>0.69807067097697828</v>
      </c>
      <c r="J62">
        <v>0.27082293747073544</v>
      </c>
      <c r="K62">
        <v>0.57221196950345321</v>
      </c>
      <c r="L62">
        <v>2.5456522824999719E-4</v>
      </c>
      <c r="M62">
        <v>0.25018200424853765</v>
      </c>
      <c r="N62">
        <v>0.39107176908231772</v>
      </c>
      <c r="O62">
        <v>0</v>
      </c>
      <c r="P62">
        <v>0.29225862338530345</v>
      </c>
      <c r="Q62">
        <v>0.21441489524704893</v>
      </c>
      <c r="R62">
        <v>0</v>
      </c>
      <c r="S62">
        <v>0.55635432400891571</v>
      </c>
      <c r="T62">
        <v>0.63917324844946333</v>
      </c>
      <c r="U62">
        <v>0</v>
      </c>
      <c r="V62">
        <v>0.33140151940220447</v>
      </c>
      <c r="W62">
        <v>0.19417475744564044</v>
      </c>
      <c r="X62">
        <v>0</v>
      </c>
      <c r="Y62">
        <v>0.3761391232772896</v>
      </c>
      <c r="Z62">
        <v>0.82133680429323819</v>
      </c>
      <c r="AA62">
        <v>0.82133680429323819</v>
      </c>
      <c r="AB62">
        <v>0</v>
      </c>
      <c r="AC62">
        <v>0.3396472798739551</v>
      </c>
      <c r="AD62">
        <v>0.5166914253478081</v>
      </c>
      <c r="AE62">
        <v>0.40187736853247591</v>
      </c>
      <c r="AF62">
        <v>0.79960257842813054</v>
      </c>
      <c r="AG62">
        <v>0.69152979828798733</v>
      </c>
      <c r="AH62">
        <v>0.82133680429323808</v>
      </c>
      <c r="AI62">
        <v>0.42939518519004044</v>
      </c>
      <c r="AJ62">
        <v>0.88351701114520476</v>
      </c>
      <c r="AK62">
        <v>0.30282344924860322</v>
      </c>
      <c r="AL62">
        <v>0.11149782625036353</v>
      </c>
    </row>
    <row r="63" spans="1:38" x14ac:dyDescent="0.3">
      <c r="A63" t="s">
        <v>49</v>
      </c>
      <c r="B63">
        <v>2050</v>
      </c>
      <c r="C63">
        <v>0.82133680429323819</v>
      </c>
      <c r="D63">
        <v>0.23400855388820849</v>
      </c>
      <c r="E63">
        <v>3.6944868220224136E-2</v>
      </c>
      <c r="F63">
        <v>0.5369437084888119</v>
      </c>
      <c r="G63">
        <v>0.82133680429323819</v>
      </c>
      <c r="H63">
        <v>0</v>
      </c>
      <c r="I63">
        <v>0.69807067097697828</v>
      </c>
      <c r="J63">
        <v>0.254759356438163</v>
      </c>
      <c r="K63">
        <v>0.57778313202571563</v>
      </c>
      <c r="L63">
        <v>0</v>
      </c>
      <c r="M63">
        <v>0.11201865206572044</v>
      </c>
      <c r="N63">
        <v>0.38345783258187893</v>
      </c>
      <c r="O63">
        <v>0</v>
      </c>
      <c r="P63">
        <v>0.2985222729481124</v>
      </c>
      <c r="Q63">
        <v>0.20678244532692125</v>
      </c>
      <c r="R63">
        <v>0</v>
      </c>
      <c r="S63">
        <v>0.53713797951106712</v>
      </c>
      <c r="T63">
        <v>0.63174580578801742</v>
      </c>
      <c r="U63">
        <v>0</v>
      </c>
      <c r="V63">
        <v>0.29755603842422862</v>
      </c>
      <c r="W63">
        <v>0.11064145918389767</v>
      </c>
      <c r="X63">
        <v>0</v>
      </c>
      <c r="Y63">
        <v>0.18500456069864896</v>
      </c>
      <c r="Z63">
        <v>0.82133680429323819</v>
      </c>
      <c r="AA63">
        <v>0.82133680429323819</v>
      </c>
      <c r="AB63">
        <v>0</v>
      </c>
      <c r="AC63">
        <v>0.35131366701420663</v>
      </c>
      <c r="AD63">
        <v>0.5166914253478081</v>
      </c>
      <c r="AE63">
        <v>0.33165214921906944</v>
      </c>
      <c r="AF63">
        <v>0.75267374376771523</v>
      </c>
      <c r="AG63">
        <v>0.67897366828701344</v>
      </c>
      <c r="AH63">
        <v>0.82133680429323819</v>
      </c>
      <c r="AI63">
        <v>0.40558571131978499</v>
      </c>
      <c r="AJ63">
        <v>0.88152861556368223</v>
      </c>
      <c r="AK63">
        <v>0.11658105677986243</v>
      </c>
      <c r="AL63">
        <v>0.12930866083104819</v>
      </c>
    </row>
    <row r="64" spans="1:38" x14ac:dyDescent="0.3">
      <c r="A64" t="s">
        <v>50</v>
      </c>
      <c r="B64">
        <v>2005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50</v>
      </c>
      <c r="B65">
        <v>2010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x14ac:dyDescent="0.3">
      <c r="A66" t="s">
        <v>50</v>
      </c>
      <c r="B66">
        <v>2020</v>
      </c>
      <c r="C66">
        <v>0</v>
      </c>
      <c r="D66">
        <v>5.0516978598788211E-2</v>
      </c>
      <c r="E66">
        <v>6.3681975984057351E-2</v>
      </c>
      <c r="F66">
        <v>7.4829826344047598E-2</v>
      </c>
      <c r="G66">
        <v>0</v>
      </c>
      <c r="H66">
        <v>0</v>
      </c>
      <c r="I66">
        <v>0</v>
      </c>
      <c r="J66">
        <v>6.7672491145062227E-2</v>
      </c>
      <c r="K66">
        <v>5.3293031087670598E-2</v>
      </c>
      <c r="L66">
        <v>1.7334158335313942E-3</v>
      </c>
      <c r="M66">
        <v>0.32801328818776826</v>
      </c>
      <c r="N66">
        <v>0</v>
      </c>
      <c r="O66">
        <v>1</v>
      </c>
      <c r="P66">
        <v>3.5867633276843384E-2</v>
      </c>
      <c r="Q66">
        <v>0</v>
      </c>
      <c r="R66">
        <v>0</v>
      </c>
      <c r="S66">
        <v>0.11492867150510955</v>
      </c>
      <c r="T66">
        <v>0.34418673660146165</v>
      </c>
      <c r="U66">
        <v>0</v>
      </c>
      <c r="V66">
        <v>0</v>
      </c>
      <c r="W66">
        <v>0.16134530332736149</v>
      </c>
      <c r="X66">
        <v>0</v>
      </c>
      <c r="Y66">
        <v>0.31596695054296597</v>
      </c>
      <c r="Z66">
        <v>0</v>
      </c>
      <c r="AA66">
        <v>0</v>
      </c>
      <c r="AB66">
        <v>0</v>
      </c>
      <c r="AC66">
        <v>3.0006028724862899E-2</v>
      </c>
      <c r="AD66">
        <v>0.48330857465219185</v>
      </c>
      <c r="AE66">
        <v>0.23164239786752691</v>
      </c>
      <c r="AF66">
        <v>0</v>
      </c>
      <c r="AG66">
        <v>0.16710876704251809</v>
      </c>
      <c r="AH66">
        <v>0</v>
      </c>
      <c r="AI66">
        <v>0.16301638533027679</v>
      </c>
      <c r="AJ66">
        <v>0</v>
      </c>
      <c r="AK66">
        <v>0.10963901515065469</v>
      </c>
      <c r="AL66">
        <v>0.25076183156352477</v>
      </c>
    </row>
    <row r="67" spans="1:38" x14ac:dyDescent="0.3">
      <c r="A67" t="s">
        <v>50</v>
      </c>
      <c r="B67">
        <v>2030</v>
      </c>
      <c r="C67">
        <v>0</v>
      </c>
      <c r="D67">
        <v>4.8104041854908186E-2</v>
      </c>
      <c r="E67">
        <v>5.5985338696596901E-2</v>
      </c>
      <c r="F67">
        <v>6.7201274037755318E-2</v>
      </c>
      <c r="G67">
        <v>0</v>
      </c>
      <c r="H67">
        <v>0</v>
      </c>
      <c r="I67">
        <v>0</v>
      </c>
      <c r="J67">
        <v>5.7646671245516388E-2</v>
      </c>
      <c r="K67">
        <v>7.161330834357324E-2</v>
      </c>
      <c r="L67">
        <v>4.2210047608437376E-4</v>
      </c>
      <c r="M67">
        <v>0.22305021312096579</v>
      </c>
      <c r="N67">
        <v>0</v>
      </c>
      <c r="O67">
        <v>1</v>
      </c>
      <c r="P67">
        <v>3.9720381447598638E-2</v>
      </c>
      <c r="Q67">
        <v>0</v>
      </c>
      <c r="R67">
        <v>0</v>
      </c>
      <c r="S67">
        <v>0.10876560130453153</v>
      </c>
      <c r="T67">
        <v>0.34348663626571846</v>
      </c>
      <c r="U67">
        <v>0</v>
      </c>
      <c r="V67">
        <v>0</v>
      </c>
      <c r="W67">
        <v>0.13676360469018509</v>
      </c>
      <c r="X67">
        <v>0</v>
      </c>
      <c r="Y67">
        <v>0.2560063467104069</v>
      </c>
      <c r="Z67">
        <v>0</v>
      </c>
      <c r="AA67">
        <v>0</v>
      </c>
      <c r="AB67">
        <v>0</v>
      </c>
      <c r="AC67">
        <v>3.4388252670421088E-2</v>
      </c>
      <c r="AD67">
        <v>0.4833085746521919</v>
      </c>
      <c r="AE67">
        <v>0.21171363117491121</v>
      </c>
      <c r="AF67">
        <v>0</v>
      </c>
      <c r="AG67">
        <v>0.17636098316695178</v>
      </c>
      <c r="AH67">
        <v>0</v>
      </c>
      <c r="AI67">
        <v>0.16814061345051082</v>
      </c>
      <c r="AJ67">
        <v>0</v>
      </c>
      <c r="AK67">
        <v>8.5775520795129581E-2</v>
      </c>
      <c r="AL67">
        <v>9.9208980866757168E-2</v>
      </c>
    </row>
    <row r="68" spans="1:38" x14ac:dyDescent="0.3">
      <c r="A68" t="s">
        <v>50</v>
      </c>
      <c r="B68">
        <v>2040</v>
      </c>
      <c r="C68">
        <v>0</v>
      </c>
      <c r="D68">
        <v>4.4490991490966934E-2</v>
      </c>
      <c r="E68">
        <v>3.4875530125113401E-2</v>
      </c>
      <c r="F68">
        <v>6.4984477402323951E-2</v>
      </c>
      <c r="G68">
        <v>0</v>
      </c>
      <c r="H68">
        <v>0</v>
      </c>
      <c r="I68">
        <v>0</v>
      </c>
      <c r="J68">
        <v>7.6807109971971183E-2</v>
      </c>
      <c r="K68">
        <v>7.2792865618266825E-2</v>
      </c>
      <c r="L68">
        <v>1.7406086717755494E-4</v>
      </c>
      <c r="M68">
        <v>0.13542937431943458</v>
      </c>
      <c r="N68">
        <v>0</v>
      </c>
      <c r="O68">
        <v>1</v>
      </c>
      <c r="P68">
        <v>3.9796000091807102E-2</v>
      </c>
      <c r="Q68">
        <v>0</v>
      </c>
      <c r="R68">
        <v>0</v>
      </c>
      <c r="S68">
        <v>0.1090409978596083</v>
      </c>
      <c r="T68">
        <v>0.34235975796252083</v>
      </c>
      <c r="U68">
        <v>0</v>
      </c>
      <c r="V68">
        <v>0</v>
      </c>
      <c r="W68">
        <v>0.10368744751314493</v>
      </c>
      <c r="X68">
        <v>0</v>
      </c>
      <c r="Y68">
        <v>0.20840645937480853</v>
      </c>
      <c r="Z68">
        <v>0</v>
      </c>
      <c r="AA68">
        <v>0</v>
      </c>
      <c r="AB68">
        <v>0</v>
      </c>
      <c r="AC68">
        <v>3.5660164170491504E-2</v>
      </c>
      <c r="AD68">
        <v>0.48330857465219185</v>
      </c>
      <c r="AE68">
        <v>0.17155663795166698</v>
      </c>
      <c r="AF68">
        <v>0</v>
      </c>
      <c r="AG68">
        <v>0.16938597208164424</v>
      </c>
      <c r="AH68">
        <v>0</v>
      </c>
      <c r="AI68">
        <v>0.16217278805799909</v>
      </c>
      <c r="AJ68">
        <v>0</v>
      </c>
      <c r="AK68">
        <v>7.3541793301132169E-2</v>
      </c>
      <c r="AL68">
        <v>0.11153747555823471</v>
      </c>
    </row>
    <row r="69" spans="1:38" x14ac:dyDescent="0.3">
      <c r="A69" t="s">
        <v>50</v>
      </c>
      <c r="B69">
        <v>2050</v>
      </c>
      <c r="C69">
        <v>0</v>
      </c>
      <c r="D69">
        <v>3.9555440323304811E-2</v>
      </c>
      <c r="E69">
        <v>9.1218611518272472E-3</v>
      </c>
      <c r="F69">
        <v>6.7040303170471729E-2</v>
      </c>
      <c r="G69">
        <v>0</v>
      </c>
      <c r="H69">
        <v>0</v>
      </c>
      <c r="I69">
        <v>0</v>
      </c>
      <c r="J69">
        <v>9.3552311165276833E-2</v>
      </c>
      <c r="K69">
        <v>7.3795901135176784E-2</v>
      </c>
      <c r="L69">
        <v>0</v>
      </c>
      <c r="M69">
        <v>6.8782993301496828E-2</v>
      </c>
      <c r="N69">
        <v>0</v>
      </c>
      <c r="O69">
        <v>1</v>
      </c>
      <c r="P69">
        <v>3.9516562302056663E-2</v>
      </c>
      <c r="Q69">
        <v>0</v>
      </c>
      <c r="R69">
        <v>0</v>
      </c>
      <c r="S69">
        <v>0.10930331880910012</v>
      </c>
      <c r="T69">
        <v>0.33944593647737242</v>
      </c>
      <c r="U69">
        <v>0</v>
      </c>
      <c r="V69">
        <v>0</v>
      </c>
      <c r="W69">
        <v>6.5586387623588246E-2</v>
      </c>
      <c r="X69">
        <v>0</v>
      </c>
      <c r="Y69">
        <v>0.14708940638034657</v>
      </c>
      <c r="Z69">
        <v>0</v>
      </c>
      <c r="AA69">
        <v>0</v>
      </c>
      <c r="AB69">
        <v>0</v>
      </c>
      <c r="AC69">
        <v>3.6823400667813609E-2</v>
      </c>
      <c r="AD69">
        <v>0.48330857465219185</v>
      </c>
      <c r="AE69">
        <v>0.14172106304600127</v>
      </c>
      <c r="AF69">
        <v>0</v>
      </c>
      <c r="AG69">
        <v>0.17222115496063906</v>
      </c>
      <c r="AH69">
        <v>0</v>
      </c>
      <c r="AI69">
        <v>0.15449970511400687</v>
      </c>
      <c r="AJ69">
        <v>0</v>
      </c>
      <c r="AK69">
        <v>5.5556221031408233E-2</v>
      </c>
      <c r="AL69">
        <v>0.13002290703964522</v>
      </c>
    </row>
    <row r="70" spans="1:38" x14ac:dyDescent="0.3">
      <c r="A70" t="s">
        <v>51</v>
      </c>
      <c r="B70">
        <v>2005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x14ac:dyDescent="0.3">
      <c r="A71" t="s">
        <v>51</v>
      </c>
      <c r="B71">
        <v>2010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 x14ac:dyDescent="0.3">
      <c r="A72" t="s">
        <v>51</v>
      </c>
      <c r="B72">
        <v>2020</v>
      </c>
      <c r="C72">
        <v>0.17866319570676176</v>
      </c>
      <c r="D72">
        <v>0</v>
      </c>
      <c r="E72">
        <v>0</v>
      </c>
      <c r="F72">
        <v>0</v>
      </c>
      <c r="G72">
        <v>0.17866319570676181</v>
      </c>
      <c r="H72">
        <v>0</v>
      </c>
      <c r="I72">
        <v>0.30192932902302166</v>
      </c>
      <c r="J72">
        <v>0</v>
      </c>
      <c r="K72">
        <v>0</v>
      </c>
      <c r="L72">
        <v>0</v>
      </c>
      <c r="M72">
        <v>0</v>
      </c>
      <c r="N72">
        <v>8.1547976683516196E-2</v>
      </c>
      <c r="O72">
        <v>0</v>
      </c>
      <c r="P72">
        <v>3.8061425168095264E-3</v>
      </c>
      <c r="Q72">
        <v>5.8555536121351948E-2</v>
      </c>
      <c r="R72">
        <v>0</v>
      </c>
      <c r="S72">
        <v>0</v>
      </c>
      <c r="T72">
        <v>0</v>
      </c>
      <c r="U72">
        <v>0</v>
      </c>
      <c r="V72">
        <v>4.1720512311442574E-2</v>
      </c>
      <c r="W72">
        <v>0</v>
      </c>
      <c r="X72">
        <v>0</v>
      </c>
      <c r="Y72">
        <v>0</v>
      </c>
      <c r="Z72">
        <v>0.17866319570676184</v>
      </c>
      <c r="AA72">
        <v>0.17866319570676184</v>
      </c>
      <c r="AB72">
        <v>0</v>
      </c>
      <c r="AC72">
        <v>0</v>
      </c>
      <c r="AD72">
        <v>0</v>
      </c>
      <c r="AE72">
        <v>0</v>
      </c>
      <c r="AF72">
        <v>0.13032351128329583</v>
      </c>
      <c r="AG72">
        <v>0</v>
      </c>
      <c r="AH72">
        <v>0.17866319570676181</v>
      </c>
      <c r="AI72">
        <v>0</v>
      </c>
      <c r="AJ72">
        <v>5.6300455787704026E-2</v>
      </c>
      <c r="AK72">
        <v>0</v>
      </c>
      <c r="AL72">
        <v>0</v>
      </c>
    </row>
    <row r="73" spans="1:38" x14ac:dyDescent="0.3">
      <c r="A73" t="s">
        <v>51</v>
      </c>
      <c r="B73">
        <v>2030</v>
      </c>
      <c r="C73">
        <v>0.17866319570676181</v>
      </c>
      <c r="D73">
        <v>0</v>
      </c>
      <c r="E73">
        <v>0</v>
      </c>
      <c r="F73">
        <v>0</v>
      </c>
      <c r="G73">
        <v>0.17866319570676181</v>
      </c>
      <c r="H73">
        <v>0</v>
      </c>
      <c r="I73">
        <v>0.30192932902302166</v>
      </c>
      <c r="J73">
        <v>0</v>
      </c>
      <c r="K73">
        <v>0</v>
      </c>
      <c r="L73">
        <v>0</v>
      </c>
      <c r="M73">
        <v>0</v>
      </c>
      <c r="N73">
        <v>7.535418891359183E-2</v>
      </c>
      <c r="O73">
        <v>0</v>
      </c>
      <c r="P73">
        <v>3.68264186091563E-3</v>
      </c>
      <c r="Q73">
        <v>6.1520914136159247E-2</v>
      </c>
      <c r="R73">
        <v>0</v>
      </c>
      <c r="S73">
        <v>0</v>
      </c>
      <c r="T73">
        <v>0</v>
      </c>
      <c r="U73">
        <v>0</v>
      </c>
      <c r="V73">
        <v>2.7626873339448334E-2</v>
      </c>
      <c r="W73">
        <v>0</v>
      </c>
      <c r="X73">
        <v>0</v>
      </c>
      <c r="Y73">
        <v>0</v>
      </c>
      <c r="Z73">
        <v>0.17866319570676181</v>
      </c>
      <c r="AA73">
        <v>0.17866319570676184</v>
      </c>
      <c r="AB73">
        <v>0</v>
      </c>
      <c r="AC73">
        <v>0</v>
      </c>
      <c r="AD73">
        <v>0</v>
      </c>
      <c r="AE73">
        <v>0</v>
      </c>
      <c r="AF73">
        <v>0.11290923285977414</v>
      </c>
      <c r="AG73">
        <v>0</v>
      </c>
      <c r="AH73">
        <v>0.17866319570676181</v>
      </c>
      <c r="AI73">
        <v>0</v>
      </c>
      <c r="AJ73">
        <v>5.1475717648225602E-2</v>
      </c>
      <c r="AK73">
        <v>0</v>
      </c>
      <c r="AL73">
        <v>0</v>
      </c>
    </row>
    <row r="74" spans="1:38" x14ac:dyDescent="0.3">
      <c r="A74" t="s">
        <v>51</v>
      </c>
      <c r="B74">
        <v>2040</v>
      </c>
      <c r="C74">
        <v>0.17866319570676181</v>
      </c>
      <c r="D74">
        <v>0</v>
      </c>
      <c r="E74">
        <v>0</v>
      </c>
      <c r="F74">
        <v>0</v>
      </c>
      <c r="G74">
        <v>0.17866319570676181</v>
      </c>
      <c r="H74">
        <v>0</v>
      </c>
      <c r="I74">
        <v>0.30192932902302166</v>
      </c>
      <c r="J74">
        <v>0</v>
      </c>
      <c r="K74">
        <v>0</v>
      </c>
      <c r="L74">
        <v>0</v>
      </c>
      <c r="M74">
        <v>0</v>
      </c>
      <c r="N74">
        <v>7.628071021909183E-2</v>
      </c>
      <c r="O74">
        <v>0</v>
      </c>
      <c r="P74">
        <v>3.9127272837269703E-3</v>
      </c>
      <c r="Q74">
        <v>6.0282986253941621E-2</v>
      </c>
      <c r="R74">
        <v>0</v>
      </c>
      <c r="S74">
        <v>0</v>
      </c>
      <c r="T74">
        <v>0</v>
      </c>
      <c r="U74">
        <v>0</v>
      </c>
      <c r="V74">
        <v>2.7010465652826648E-2</v>
      </c>
      <c r="W74">
        <v>0</v>
      </c>
      <c r="X74">
        <v>0</v>
      </c>
      <c r="Y74">
        <v>0</v>
      </c>
      <c r="Z74">
        <v>0.17866319570676178</v>
      </c>
      <c r="AA74">
        <v>0.17866319570676187</v>
      </c>
      <c r="AB74">
        <v>0</v>
      </c>
      <c r="AC74">
        <v>0</v>
      </c>
      <c r="AD74">
        <v>0</v>
      </c>
      <c r="AE74">
        <v>0</v>
      </c>
      <c r="AF74">
        <v>0.15329710713131647</v>
      </c>
      <c r="AG74">
        <v>0</v>
      </c>
      <c r="AH74">
        <v>0.17866319570676181</v>
      </c>
      <c r="AI74">
        <v>0</v>
      </c>
      <c r="AJ74">
        <v>5.2158253027878881E-2</v>
      </c>
      <c r="AK74">
        <v>0</v>
      </c>
      <c r="AL74">
        <v>0</v>
      </c>
    </row>
    <row r="75" spans="1:38" x14ac:dyDescent="0.3">
      <c r="A75" t="s">
        <v>51</v>
      </c>
      <c r="B75">
        <v>2050</v>
      </c>
      <c r="C75">
        <v>0.17866319570676187</v>
      </c>
      <c r="D75">
        <v>0</v>
      </c>
      <c r="E75">
        <v>0</v>
      </c>
      <c r="F75">
        <v>0</v>
      </c>
      <c r="G75">
        <v>0.17866319570676184</v>
      </c>
      <c r="H75">
        <v>0</v>
      </c>
      <c r="I75">
        <v>0.30192932902302178</v>
      </c>
      <c r="J75">
        <v>0</v>
      </c>
      <c r="K75">
        <v>0</v>
      </c>
      <c r="L75">
        <v>0</v>
      </c>
      <c r="M75">
        <v>0</v>
      </c>
      <c r="N75">
        <v>7.7820346942755692E-2</v>
      </c>
      <c r="O75">
        <v>0</v>
      </c>
      <c r="P75">
        <v>4.1559808317533182E-3</v>
      </c>
      <c r="Q75">
        <v>6.0149309231208856E-2</v>
      </c>
      <c r="R75">
        <v>0</v>
      </c>
      <c r="S75">
        <v>0</v>
      </c>
      <c r="T75">
        <v>0</v>
      </c>
      <c r="U75">
        <v>0</v>
      </c>
      <c r="V75">
        <v>2.613607377240889E-2</v>
      </c>
      <c r="W75">
        <v>0</v>
      </c>
      <c r="X75">
        <v>0</v>
      </c>
      <c r="Y75">
        <v>0</v>
      </c>
      <c r="Z75">
        <v>0.17866319570676178</v>
      </c>
      <c r="AA75">
        <v>0.17866319570676181</v>
      </c>
      <c r="AB75">
        <v>0</v>
      </c>
      <c r="AC75">
        <v>0</v>
      </c>
      <c r="AD75">
        <v>0</v>
      </c>
      <c r="AE75">
        <v>0</v>
      </c>
      <c r="AF75">
        <v>0.19279391168156518</v>
      </c>
      <c r="AG75">
        <v>0</v>
      </c>
      <c r="AH75">
        <v>0.17866319570676187</v>
      </c>
      <c r="AI75">
        <v>0</v>
      </c>
      <c r="AJ75">
        <v>5.3296761632476389E-2</v>
      </c>
      <c r="AK75">
        <v>0</v>
      </c>
      <c r="AL75">
        <v>0</v>
      </c>
    </row>
    <row r="78" spans="1:38" s="3" customFormat="1" x14ac:dyDescent="0.3">
      <c r="A78" s="3" t="s">
        <v>52</v>
      </c>
      <c r="B78" s="3" t="s">
        <v>45</v>
      </c>
      <c r="C78" s="3" t="s">
        <v>2</v>
      </c>
      <c r="D78" s="3" t="s">
        <v>3</v>
      </c>
      <c r="E78" s="3" t="s">
        <v>4</v>
      </c>
      <c r="F78" s="3" t="s">
        <v>5</v>
      </c>
      <c r="G78" s="3" t="s">
        <v>6</v>
      </c>
      <c r="H78" s="3" t="s">
        <v>7</v>
      </c>
      <c r="I78" s="3" t="s">
        <v>8</v>
      </c>
      <c r="J78" s="3" t="s">
        <v>9</v>
      </c>
      <c r="K78" s="3" t="s">
        <v>10</v>
      </c>
      <c r="L78" s="3" t="s">
        <v>11</v>
      </c>
      <c r="M78" s="3" t="s">
        <v>12</v>
      </c>
      <c r="N78" s="3" t="s">
        <v>13</v>
      </c>
      <c r="O78" s="3" t="s">
        <v>14</v>
      </c>
      <c r="P78" s="3" t="s">
        <v>15</v>
      </c>
      <c r="Q78" s="3" t="s">
        <v>16</v>
      </c>
      <c r="R78" s="3" t="s">
        <v>17</v>
      </c>
      <c r="S78" s="3" t="s">
        <v>18</v>
      </c>
      <c r="T78" s="3" t="s">
        <v>19</v>
      </c>
      <c r="U78" s="3" t="s">
        <v>20</v>
      </c>
      <c r="V78" s="3" t="s">
        <v>21</v>
      </c>
      <c r="W78" s="3" t="s">
        <v>22</v>
      </c>
      <c r="X78" s="3" t="s">
        <v>23</v>
      </c>
      <c r="Y78" s="3" t="s">
        <v>24</v>
      </c>
      <c r="Z78" s="3" t="s">
        <v>25</v>
      </c>
      <c r="AA78" s="3" t="s">
        <v>26</v>
      </c>
      <c r="AB78" s="3" t="s">
        <v>27</v>
      </c>
      <c r="AC78" s="3" t="s">
        <v>28</v>
      </c>
      <c r="AD78" s="3" t="s">
        <v>29</v>
      </c>
      <c r="AE78" s="3" t="s">
        <v>30</v>
      </c>
      <c r="AF78" s="3" t="s">
        <v>31</v>
      </c>
      <c r="AG78" s="3" t="s">
        <v>32</v>
      </c>
      <c r="AH78" s="3" t="s">
        <v>33</v>
      </c>
      <c r="AI78" s="3" t="s">
        <v>34</v>
      </c>
      <c r="AJ78" s="3" t="s">
        <v>35</v>
      </c>
      <c r="AK78" s="3" t="s">
        <v>36</v>
      </c>
      <c r="AL78" s="3" t="s">
        <v>37</v>
      </c>
    </row>
    <row r="79" spans="1:38" x14ac:dyDescent="0.3">
      <c r="A79" t="s">
        <v>53</v>
      </c>
      <c r="B79">
        <v>2005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0.25675675675675674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 x14ac:dyDescent="0.3">
      <c r="A80" t="s">
        <v>53</v>
      </c>
      <c r="B80">
        <v>2010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0.25338753387533874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0.38604280970338761</v>
      </c>
      <c r="AJ80">
        <v>0</v>
      </c>
      <c r="AK80">
        <v>0</v>
      </c>
      <c r="AL80">
        <v>0</v>
      </c>
    </row>
    <row r="81" spans="1:38" x14ac:dyDescent="0.3">
      <c r="A81" t="s">
        <v>53</v>
      </c>
      <c r="B81">
        <v>2020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0.2288861689106487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0.54788161469998498</v>
      </c>
      <c r="AJ81">
        <v>0</v>
      </c>
      <c r="AK81">
        <v>0</v>
      </c>
      <c r="AL81">
        <v>0</v>
      </c>
    </row>
    <row r="82" spans="1:38" x14ac:dyDescent="0.3">
      <c r="A82" t="s">
        <v>53</v>
      </c>
      <c r="B82">
        <v>2030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0.3234349919743178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0.54478983484624899</v>
      </c>
      <c r="AJ82">
        <v>0</v>
      </c>
      <c r="AK82">
        <v>0</v>
      </c>
      <c r="AL82">
        <v>0</v>
      </c>
    </row>
    <row r="83" spans="1:38" x14ac:dyDescent="0.3">
      <c r="A83" t="s">
        <v>53</v>
      </c>
      <c r="B83">
        <v>2040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0.33517350157728709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0.54880174863042774</v>
      </c>
      <c r="AJ83">
        <v>0</v>
      </c>
      <c r="AK83">
        <v>0</v>
      </c>
      <c r="AL83">
        <v>0</v>
      </c>
    </row>
    <row r="84" spans="1:38" x14ac:dyDescent="0.3">
      <c r="A84" t="s">
        <v>53</v>
      </c>
      <c r="B84">
        <v>2050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0.34243369734789392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0.53617817927515821</v>
      </c>
      <c r="AJ84">
        <v>0</v>
      </c>
      <c r="AK84">
        <v>0</v>
      </c>
      <c r="AL84">
        <v>0</v>
      </c>
    </row>
    <row r="85" spans="1:38" x14ac:dyDescent="0.3">
      <c r="A85" t="s">
        <v>54</v>
      </c>
      <c r="B85">
        <v>2005</v>
      </c>
      <c r="C85">
        <v>0.11777203992151217</v>
      </c>
      <c r="D85">
        <v>0.27869510331288777</v>
      </c>
      <c r="E85">
        <v>0.57007837138014639</v>
      </c>
      <c r="F85">
        <v>4.9753532266104426E-2</v>
      </c>
      <c r="G85">
        <v>0.15347566570756083</v>
      </c>
      <c r="H85">
        <v>0.30346220997837758</v>
      </c>
      <c r="I85">
        <v>0</v>
      </c>
      <c r="J85">
        <v>2.0384039751385752E-2</v>
      </c>
      <c r="K85">
        <v>0.24996061156721605</v>
      </c>
      <c r="L85">
        <v>9.2941500662819643E-2</v>
      </c>
      <c r="M85">
        <v>0.15876658796454948</v>
      </c>
      <c r="N85">
        <v>3.605968899873082E-2</v>
      </c>
      <c r="O85">
        <v>0</v>
      </c>
      <c r="P85">
        <v>5.7202478026808251E-2</v>
      </c>
      <c r="Q85">
        <v>1.761044762977278E-2</v>
      </c>
      <c r="R85">
        <v>0.16520052097054347</v>
      </c>
      <c r="S85">
        <v>1.0335084096579294E-3</v>
      </c>
      <c r="T85">
        <v>5.649029559488674E-2</v>
      </c>
      <c r="U85">
        <v>0</v>
      </c>
      <c r="V85">
        <v>0.15702199394230876</v>
      </c>
      <c r="W85">
        <v>5.9429700300119979E-2</v>
      </c>
      <c r="X85">
        <v>0.609375</v>
      </c>
      <c r="Y85">
        <v>0.1404232183855342</v>
      </c>
      <c r="Z85">
        <v>0.37559545146183348</v>
      </c>
      <c r="AA85">
        <v>6.9486810270714988E-2</v>
      </c>
      <c r="AB85">
        <v>0</v>
      </c>
      <c r="AC85">
        <v>0.45383769969120213</v>
      </c>
      <c r="AD85">
        <v>0.14537698851443731</v>
      </c>
      <c r="AE85">
        <v>4.0160424358667554E-2</v>
      </c>
      <c r="AF85">
        <v>0.51393196403601649</v>
      </c>
      <c r="AG85">
        <v>0.18089104484158861</v>
      </c>
      <c r="AH85">
        <v>0.18709985953730218</v>
      </c>
      <c r="AI85">
        <v>4.4319027719664873E-2</v>
      </c>
      <c r="AJ85">
        <v>0.27809222192413641</v>
      </c>
      <c r="AK85">
        <v>2.3912423141486616E-2</v>
      </c>
      <c r="AL85">
        <v>2.0485114374102512E-2</v>
      </c>
    </row>
    <row r="86" spans="1:38" x14ac:dyDescent="0.3">
      <c r="A86" t="s">
        <v>54</v>
      </c>
      <c r="B86">
        <v>2010</v>
      </c>
      <c r="C86">
        <v>0.12371587284846555</v>
      </c>
      <c r="D86">
        <v>0.29645210679390693</v>
      </c>
      <c r="E86">
        <v>0.56523814400915195</v>
      </c>
      <c r="F86">
        <v>4.8101817399842109E-2</v>
      </c>
      <c r="G86">
        <v>0.16111133951580245</v>
      </c>
      <c r="H86">
        <v>0.3146632180315318</v>
      </c>
      <c r="I86">
        <v>0</v>
      </c>
      <c r="J86">
        <v>1.8977440063080168E-2</v>
      </c>
      <c r="K86">
        <v>0.2608160364948805</v>
      </c>
      <c r="L86">
        <v>8.4536598545638997E-2</v>
      </c>
      <c r="M86">
        <v>0.15505027828294737</v>
      </c>
      <c r="N86">
        <v>3.6917198250124794E-2</v>
      </c>
      <c r="O86">
        <v>0</v>
      </c>
      <c r="P86">
        <v>6.0041038913307067E-2</v>
      </c>
      <c r="Q86">
        <v>1.5800651544513693E-2</v>
      </c>
      <c r="R86">
        <v>0.15820552525868092</v>
      </c>
      <c r="S86">
        <v>1.0335084096579294E-3</v>
      </c>
      <c r="T86">
        <v>5.4115482439525943E-2</v>
      </c>
      <c r="U86">
        <v>0</v>
      </c>
      <c r="V86">
        <v>0.15324445376147142</v>
      </c>
      <c r="W86">
        <v>5.4625119361138223E-2</v>
      </c>
      <c r="X86">
        <v>0.6029411764705882</v>
      </c>
      <c r="Y86">
        <v>0.13550840403823436</v>
      </c>
      <c r="Z86">
        <v>0.38838202852592341</v>
      </c>
      <c r="AA86">
        <v>7.3547968845226602E-2</v>
      </c>
      <c r="AB86">
        <v>0</v>
      </c>
      <c r="AC86">
        <v>0.42921791459220465</v>
      </c>
      <c r="AD86">
        <v>0.15253687915476802</v>
      </c>
      <c r="AE86">
        <v>4.4870055617836135E-2</v>
      </c>
      <c r="AF86">
        <v>0.50082554190964101</v>
      </c>
      <c r="AG86">
        <v>0.18023987105506201</v>
      </c>
      <c r="AH86">
        <v>0.19615778432269748</v>
      </c>
      <c r="AI86">
        <v>3.2599170597174952E-2</v>
      </c>
      <c r="AJ86">
        <v>0.25892961947703125</v>
      </c>
      <c r="AK86">
        <v>2.2425511261611211E-2</v>
      </c>
      <c r="AL86">
        <v>1.9886934351544368E-2</v>
      </c>
    </row>
    <row r="87" spans="1:38" x14ac:dyDescent="0.3">
      <c r="A87" t="s">
        <v>54</v>
      </c>
      <c r="B87">
        <v>2020</v>
      </c>
      <c r="C87">
        <v>0.20787969493221214</v>
      </c>
      <c r="D87">
        <v>0.37485367283943782</v>
      </c>
      <c r="E87">
        <v>0.42647673413510118</v>
      </c>
      <c r="F87">
        <v>7.1954937438310357E-2</v>
      </c>
      <c r="G87">
        <v>0.25578048172232692</v>
      </c>
      <c r="H87">
        <v>0.36003807592146592</v>
      </c>
      <c r="I87">
        <v>0</v>
      </c>
      <c r="J87">
        <v>2.4457320185472288E-2</v>
      </c>
      <c r="K87">
        <v>0.35715657816595747</v>
      </c>
      <c r="L87">
        <v>0.10125017319108572</v>
      </c>
      <c r="M87">
        <v>0.11976541909156964</v>
      </c>
      <c r="N87">
        <v>6.2947654505101688E-2</v>
      </c>
      <c r="O87">
        <v>0</v>
      </c>
      <c r="P87">
        <v>0.10246354771714281</v>
      </c>
      <c r="Q87">
        <v>2.3931861204777756E-2</v>
      </c>
      <c r="R87">
        <v>0.19340945541714341</v>
      </c>
      <c r="S87">
        <v>1.7965707058366989E-3</v>
      </c>
      <c r="T87">
        <v>7.8658402290532684E-2</v>
      </c>
      <c r="U87">
        <v>0</v>
      </c>
      <c r="V87">
        <v>0.21796284371579178</v>
      </c>
      <c r="W87">
        <v>6.6274944030001531E-2</v>
      </c>
      <c r="X87">
        <v>0.58904109589041098</v>
      </c>
      <c r="Y87">
        <v>0.13680977152517587</v>
      </c>
      <c r="Z87">
        <v>0.45359673528632033</v>
      </c>
      <c r="AA87">
        <v>0.13560198729676304</v>
      </c>
      <c r="AB87">
        <v>0</v>
      </c>
      <c r="AC87">
        <v>0.52310569918497041</v>
      </c>
      <c r="AD87">
        <v>0.21552797700169771</v>
      </c>
      <c r="AE87">
        <v>7.94908220510952E-2</v>
      </c>
      <c r="AF87">
        <v>0.58881740392207071</v>
      </c>
      <c r="AG87">
        <v>0.26105751291052254</v>
      </c>
      <c r="AH87">
        <v>0.29449991641914847</v>
      </c>
      <c r="AI87">
        <v>4.1301844800460411E-2</v>
      </c>
      <c r="AJ87">
        <v>0.29360423217155029</v>
      </c>
      <c r="AK87">
        <v>3.3791285710148007E-2</v>
      </c>
      <c r="AL87">
        <v>2.9213309477567766E-2</v>
      </c>
    </row>
    <row r="88" spans="1:38" x14ac:dyDescent="0.3">
      <c r="A88" t="s">
        <v>54</v>
      </c>
      <c r="B88">
        <v>2030</v>
      </c>
      <c r="C88">
        <v>0.23086301237728205</v>
      </c>
      <c r="D88">
        <v>0.40523489540882801</v>
      </c>
      <c r="E88">
        <v>0.47166454113710304</v>
      </c>
      <c r="F88">
        <v>6.4911566203116153E-2</v>
      </c>
      <c r="G88">
        <v>0.2802952950970366</v>
      </c>
      <c r="H88">
        <v>0.3732247629408954</v>
      </c>
      <c r="I88">
        <v>0</v>
      </c>
      <c r="J88">
        <v>2.1581927010276836E-2</v>
      </c>
      <c r="K88">
        <v>0.37134994879221095</v>
      </c>
      <c r="L88">
        <v>7.5219333090867688E-2</v>
      </c>
      <c r="M88">
        <v>0.1453562010527859</v>
      </c>
      <c r="N88">
        <v>6.2800298738103083E-2</v>
      </c>
      <c r="O88">
        <v>0</v>
      </c>
      <c r="P88">
        <v>0.10526879699111717</v>
      </c>
      <c r="Q88">
        <v>1.9475399259916849E-2</v>
      </c>
      <c r="R88">
        <v>0.16563575859707008</v>
      </c>
      <c r="S88">
        <v>1.7076892094711833E-3</v>
      </c>
      <c r="T88">
        <v>7.3935430355072246E-2</v>
      </c>
      <c r="U88">
        <v>0</v>
      </c>
      <c r="V88">
        <v>0.19860988186850961</v>
      </c>
      <c r="W88">
        <v>5.2175084374122459E-2</v>
      </c>
      <c r="X88">
        <v>0.50672628470314951</v>
      </c>
      <c r="Y88">
        <v>0.12695817539830548</v>
      </c>
      <c r="Z88">
        <v>0.48694422046267516</v>
      </c>
      <c r="AA88">
        <v>0.15133287145002922</v>
      </c>
      <c r="AB88">
        <v>0</v>
      </c>
      <c r="AC88">
        <v>0.42732140119206341</v>
      </c>
      <c r="AD88">
        <v>0.21305191153808875</v>
      </c>
      <c r="AE88">
        <v>8.9874694729163693E-2</v>
      </c>
      <c r="AF88">
        <v>0.56829255316577887</v>
      </c>
      <c r="AG88">
        <v>0.25560576585951522</v>
      </c>
      <c r="AH88">
        <v>0.32245731340690997</v>
      </c>
      <c r="AI88">
        <v>5.2144169906712404E-2</v>
      </c>
      <c r="AJ88">
        <v>0.21837771817636106</v>
      </c>
      <c r="AK88">
        <v>2.760361659272164E-2</v>
      </c>
      <c r="AL88">
        <v>2.8622893455742204E-2</v>
      </c>
    </row>
    <row r="89" spans="1:38" x14ac:dyDescent="0.3">
      <c r="A89" t="s">
        <v>54</v>
      </c>
      <c r="B89">
        <v>2040</v>
      </c>
      <c r="C89">
        <v>0.28498470079895838</v>
      </c>
      <c r="D89">
        <v>0.46154436230443319</v>
      </c>
      <c r="E89">
        <v>0.46175592493826179</v>
      </c>
      <c r="F89">
        <v>7.7953165738024591E-2</v>
      </c>
      <c r="G89">
        <v>0.33419315323506904</v>
      </c>
      <c r="H89">
        <v>0.41777670885549051</v>
      </c>
      <c r="I89">
        <v>0</v>
      </c>
      <c r="J89">
        <v>2.2581597344920525E-2</v>
      </c>
      <c r="K89">
        <v>0.43913114803387926</v>
      </c>
      <c r="L89">
        <v>4.4133161000695149E-2</v>
      </c>
      <c r="M89">
        <v>0.1690885072655218</v>
      </c>
      <c r="N89">
        <v>6.5023342485881472E-2</v>
      </c>
      <c r="O89">
        <v>0</v>
      </c>
      <c r="P89">
        <v>0.11280974655582172</v>
      </c>
      <c r="Q89">
        <v>1.51169573289715E-2</v>
      </c>
      <c r="R89">
        <v>0.14268504593102141</v>
      </c>
      <c r="S89">
        <v>1.7106104003935445E-3</v>
      </c>
      <c r="T89">
        <v>6.4049732379722196E-2</v>
      </c>
      <c r="U89">
        <v>0</v>
      </c>
      <c r="V89">
        <v>0.18808238791174625</v>
      </c>
      <c r="W89">
        <v>3.5715870411838317E-2</v>
      </c>
      <c r="X89">
        <v>0.50526557632440072</v>
      </c>
      <c r="Y89">
        <v>0.10936914571523272</v>
      </c>
      <c r="Z89">
        <v>0.50720306440325647</v>
      </c>
      <c r="AA89">
        <v>0.19788193017626429</v>
      </c>
      <c r="AB89">
        <v>0</v>
      </c>
      <c r="AC89">
        <v>0.31467233526049471</v>
      </c>
      <c r="AD89">
        <v>0.25254464508983626</v>
      </c>
      <c r="AE89">
        <v>0.10024051182143748</v>
      </c>
      <c r="AF89">
        <v>0.52496628265400813</v>
      </c>
      <c r="AG89">
        <v>0.25251001344753016</v>
      </c>
      <c r="AH89">
        <v>0.37328486625364637</v>
      </c>
      <c r="AI89">
        <v>5.8538853187245631E-2</v>
      </c>
      <c r="AJ89">
        <v>0.11410543700996809</v>
      </c>
      <c r="AK89">
        <v>2.5657434198174532E-2</v>
      </c>
      <c r="AL89">
        <v>2.7375066162639478E-2</v>
      </c>
    </row>
    <row r="90" spans="1:38" x14ac:dyDescent="0.3">
      <c r="A90" t="s">
        <v>54</v>
      </c>
      <c r="B90">
        <v>2050</v>
      </c>
      <c r="C90">
        <v>0.3009669487698482</v>
      </c>
      <c r="D90">
        <v>0.48330807002359955</v>
      </c>
      <c r="E90">
        <v>0.4526249162239932</v>
      </c>
      <c r="F90">
        <v>7.1239510490933855E-2</v>
      </c>
      <c r="G90">
        <v>0.35100337453598945</v>
      </c>
      <c r="H90">
        <v>0.43733948911025955</v>
      </c>
      <c r="I90">
        <v>0</v>
      </c>
      <c r="J90">
        <v>1.4982406300411633E-2</v>
      </c>
      <c r="K90">
        <v>0.45687309201824489</v>
      </c>
      <c r="L90">
        <v>1.4554380667730533E-2</v>
      </c>
      <c r="M90">
        <v>0.1542940320232897</v>
      </c>
      <c r="N90">
        <v>6.7162658918203957E-2</v>
      </c>
      <c r="O90">
        <v>0</v>
      </c>
      <c r="P90">
        <v>0.11964271008881598</v>
      </c>
      <c r="Q90">
        <v>1.2167137904987366E-2</v>
      </c>
      <c r="R90">
        <v>0.11435494200877355</v>
      </c>
      <c r="S90">
        <v>1.7106104003935445E-3</v>
      </c>
      <c r="T90">
        <v>5.3950698280866606E-2</v>
      </c>
      <c r="U90">
        <v>0</v>
      </c>
      <c r="V90">
        <v>0.1772450930574461</v>
      </c>
      <c r="W90">
        <v>1.8696398660356751E-2</v>
      </c>
      <c r="X90">
        <v>0.50149674697697866</v>
      </c>
      <c r="Y90">
        <v>9.2788693361161828E-2</v>
      </c>
      <c r="Z90">
        <v>0.52335334642201359</v>
      </c>
      <c r="AA90">
        <v>0.21045713061796983</v>
      </c>
      <c r="AB90">
        <v>0</v>
      </c>
      <c r="AC90">
        <v>0.14568951180388662</v>
      </c>
      <c r="AD90">
        <v>0.26730138934266678</v>
      </c>
      <c r="AE90">
        <v>0.11059243738666273</v>
      </c>
      <c r="AF90">
        <v>0.48025724602694703</v>
      </c>
      <c r="AG90">
        <v>0.25060196364506054</v>
      </c>
      <c r="AH90">
        <v>0.39066768449133482</v>
      </c>
      <c r="AI90">
        <v>6.7200998469153159E-2</v>
      </c>
      <c r="AJ90">
        <v>0</v>
      </c>
      <c r="AK90">
        <v>2.3600176533096501E-2</v>
      </c>
      <c r="AL90">
        <v>2.6070225479166854E-2</v>
      </c>
    </row>
    <row r="91" spans="1:38" x14ac:dyDescent="0.3">
      <c r="A91" t="s">
        <v>55</v>
      </c>
      <c r="B91">
        <v>2005</v>
      </c>
      <c r="C91">
        <v>0.13886553960894718</v>
      </c>
      <c r="D91">
        <v>0.36687781789750712</v>
      </c>
      <c r="E91">
        <v>3.6469660121962219E-2</v>
      </c>
      <c r="F91">
        <v>0.11640449058484809</v>
      </c>
      <c r="G91">
        <v>0.18177006217878713</v>
      </c>
      <c r="H91">
        <v>0.48803064365925641</v>
      </c>
      <c r="I91">
        <v>0</v>
      </c>
      <c r="J91">
        <v>9.7445653445648955E-2</v>
      </c>
      <c r="K91">
        <v>0.23440545336124635</v>
      </c>
      <c r="L91">
        <v>0.12718310617017425</v>
      </c>
      <c r="M91">
        <v>0.62642064657299967</v>
      </c>
      <c r="N91">
        <v>6.6700002772218853E-2</v>
      </c>
      <c r="O91">
        <v>0.7432432432432432</v>
      </c>
      <c r="P91">
        <v>0.11092642698441871</v>
      </c>
      <c r="Q91">
        <v>3.2440298265370905E-2</v>
      </c>
      <c r="R91">
        <v>0.32558937628175066</v>
      </c>
      <c r="S91">
        <v>1.0335084096579293E-2</v>
      </c>
      <c r="T91">
        <v>0</v>
      </c>
      <c r="U91">
        <v>0</v>
      </c>
      <c r="V91">
        <v>0.10073109045355658</v>
      </c>
      <c r="W91">
        <v>0.31046895156786819</v>
      </c>
      <c r="X91">
        <v>0.390625</v>
      </c>
      <c r="Y91">
        <v>0.6357937555473312</v>
      </c>
      <c r="Z91">
        <v>0.44633540196137161</v>
      </c>
      <c r="AA91">
        <v>8.2849658399698642E-2</v>
      </c>
      <c r="AB91">
        <v>0</v>
      </c>
      <c r="AC91">
        <v>4.6011195360398376E-2</v>
      </c>
      <c r="AD91">
        <v>0.23378581188680841</v>
      </c>
      <c r="AE91">
        <v>0.16891002009674883</v>
      </c>
      <c r="AF91">
        <v>3.7513282046424561E-2</v>
      </c>
      <c r="AG91">
        <v>7.4385102551681292E-2</v>
      </c>
      <c r="AH91">
        <v>0.22196044657373348</v>
      </c>
      <c r="AI91">
        <v>0.26419859105142157</v>
      </c>
      <c r="AJ91">
        <v>0.27482054872502892</v>
      </c>
      <c r="AK91">
        <v>0.21361764673061381</v>
      </c>
      <c r="AL91">
        <v>0.15347044703221063</v>
      </c>
    </row>
    <row r="92" spans="1:38" x14ac:dyDescent="0.3">
      <c r="A92" t="s">
        <v>55</v>
      </c>
      <c r="B92">
        <v>2010</v>
      </c>
      <c r="C92">
        <v>0.13939816658982035</v>
      </c>
      <c r="D92">
        <v>0.3607594099599698</v>
      </c>
      <c r="E92">
        <v>3.8648761983531767E-2</v>
      </c>
      <c r="F92">
        <v>0.11412391971335088</v>
      </c>
      <c r="G92">
        <v>0.18146224555990381</v>
      </c>
      <c r="H92">
        <v>0.4816725182872833</v>
      </c>
      <c r="I92">
        <v>0</v>
      </c>
      <c r="J92">
        <v>9.4887200315400835E-2</v>
      </c>
      <c r="K92">
        <v>0.23267695135100133</v>
      </c>
      <c r="L92">
        <v>0.12266094690935855</v>
      </c>
      <c r="M92">
        <v>0.62423888079540801</v>
      </c>
      <c r="N92">
        <v>7.0308596667372505E-2</v>
      </c>
      <c r="O92">
        <v>0.74661246612466126</v>
      </c>
      <c r="P92">
        <v>0.11423143345966248</v>
      </c>
      <c r="Q92">
        <v>3.1601303089027387E-2</v>
      </c>
      <c r="R92">
        <v>0.31308040788033697</v>
      </c>
      <c r="S92">
        <v>1.0335084096579293E-2</v>
      </c>
      <c r="T92">
        <v>0</v>
      </c>
      <c r="U92">
        <v>0</v>
      </c>
      <c r="V92">
        <v>9.884598965566771E-2</v>
      </c>
      <c r="W92">
        <v>0.29938767342162292</v>
      </c>
      <c r="X92">
        <v>0.39705882352941185</v>
      </c>
      <c r="Y92">
        <v>0.63516942326280745</v>
      </c>
      <c r="Z92">
        <v>0.43836368198601056</v>
      </c>
      <c r="AA92">
        <v>8.3295290017485549E-2</v>
      </c>
      <c r="AB92">
        <v>0</v>
      </c>
      <c r="AC92">
        <v>4.7082577365981634E-2</v>
      </c>
      <c r="AD92">
        <v>0.23379484281665378</v>
      </c>
      <c r="AE92">
        <v>0.17270297448740052</v>
      </c>
      <c r="AF92">
        <v>3.7634289276447012E-2</v>
      </c>
      <c r="AG92">
        <v>7.5979336744522633E-2</v>
      </c>
      <c r="AH92">
        <v>0.22138428430211313</v>
      </c>
      <c r="AI92">
        <v>0.16642734462768263</v>
      </c>
      <c r="AJ92">
        <v>0.26928680425611251</v>
      </c>
      <c r="AK92">
        <v>0.21144053475233426</v>
      </c>
      <c r="AL92">
        <v>0.15100587439816743</v>
      </c>
    </row>
    <row r="93" spans="1:38" x14ac:dyDescent="0.3">
      <c r="A93" t="s">
        <v>55</v>
      </c>
      <c r="B93">
        <v>2020</v>
      </c>
      <c r="C93">
        <v>0.20787969493221214</v>
      </c>
      <c r="D93">
        <v>0.40637881746719606</v>
      </c>
      <c r="E93">
        <v>3.2457521358954598E-2</v>
      </c>
      <c r="F93">
        <v>0.17988734359577588</v>
      </c>
      <c r="G93">
        <v>0.25356593209702544</v>
      </c>
      <c r="H93">
        <v>0.49268368283990072</v>
      </c>
      <c r="I93">
        <v>0</v>
      </c>
      <c r="J93">
        <v>0.14103721306955685</v>
      </c>
      <c r="K93">
        <v>0.29494579005617949</v>
      </c>
      <c r="L93">
        <v>0.17052660747972331</v>
      </c>
      <c r="M93">
        <v>0.52241234953439275</v>
      </c>
      <c r="N93">
        <v>0.12489082516171772</v>
      </c>
      <c r="O93">
        <v>0.77111383108935128</v>
      </c>
      <c r="P93">
        <v>0.18945539164793643</v>
      </c>
      <c r="Q93">
        <v>4.9459179823207369E-2</v>
      </c>
      <c r="R93">
        <v>0.36989558348528678</v>
      </c>
      <c r="S93">
        <v>1.616913635253029E-2</v>
      </c>
      <c r="T93">
        <v>0</v>
      </c>
      <c r="U93">
        <v>0</v>
      </c>
      <c r="V93">
        <v>0.13680103540007543</v>
      </c>
      <c r="W93">
        <v>0.38148504368488689</v>
      </c>
      <c r="X93">
        <v>0.41095890410958902</v>
      </c>
      <c r="Y93">
        <v>0.70910559233745007</v>
      </c>
      <c r="Z93">
        <v>0.45123425229003744</v>
      </c>
      <c r="AA93">
        <v>0.13425939336313172</v>
      </c>
      <c r="AB93">
        <v>0</v>
      </c>
      <c r="AC93">
        <v>6.5388212398121301E-2</v>
      </c>
      <c r="AD93">
        <v>0.29535315366899317</v>
      </c>
      <c r="AE93">
        <v>0.26781242622364693</v>
      </c>
      <c r="AF93">
        <v>4.6678616392463138E-2</v>
      </c>
      <c r="AG93">
        <v>0.11519975658684982</v>
      </c>
      <c r="AH93">
        <v>0.29342313427501998</v>
      </c>
      <c r="AI93">
        <v>0.1786936958713797</v>
      </c>
      <c r="AJ93">
        <v>0.34164856107234942</v>
      </c>
      <c r="AK93">
        <v>0.30653523465634258</v>
      </c>
      <c r="AL93">
        <v>0.22680151176220789</v>
      </c>
    </row>
    <row r="94" spans="1:38" x14ac:dyDescent="0.3">
      <c r="A94" t="s">
        <v>55</v>
      </c>
      <c r="B94">
        <v>2030</v>
      </c>
      <c r="C94">
        <v>0.2014392951135108</v>
      </c>
      <c r="D94">
        <v>0.38383485037038423</v>
      </c>
      <c r="E94">
        <v>4.0014861793219933E-2</v>
      </c>
      <c r="F94">
        <v>0.17058155769656105</v>
      </c>
      <c r="G94">
        <v>0.24409479573026066</v>
      </c>
      <c r="H94">
        <v>0.45699464961300018</v>
      </c>
      <c r="I94">
        <v>0</v>
      </c>
      <c r="J94">
        <v>0.13668553773175329</v>
      </c>
      <c r="K94">
        <v>0.28009192734989069</v>
      </c>
      <c r="L94">
        <v>0.15562620639489866</v>
      </c>
      <c r="M94">
        <v>0.64749580468968271</v>
      </c>
      <c r="N94">
        <v>0.13162688876925649</v>
      </c>
      <c r="O94">
        <v>0.6765650080256822</v>
      </c>
      <c r="P94">
        <v>0.18709829662848099</v>
      </c>
      <c r="Q94">
        <v>4.4943229061346568E-2</v>
      </c>
      <c r="R94">
        <v>0.33127151719414016</v>
      </c>
      <c r="S94">
        <v>1.5369202885240648E-2</v>
      </c>
      <c r="T94">
        <v>0</v>
      </c>
      <c r="U94">
        <v>0</v>
      </c>
      <c r="V94">
        <v>0.13191619314229402</v>
      </c>
      <c r="W94">
        <v>0.35381229091201788</v>
      </c>
      <c r="X94">
        <v>0.36656795063632097</v>
      </c>
      <c r="Y94">
        <v>0.70263897072665416</v>
      </c>
      <c r="Z94">
        <v>0.42311795297934962</v>
      </c>
      <c r="AA94">
        <v>0.13098559461641185</v>
      </c>
      <c r="AB94">
        <v>0</v>
      </c>
      <c r="AC94">
        <v>7.0584338589760459E-2</v>
      </c>
      <c r="AD94">
        <v>0.26062661023105999</v>
      </c>
      <c r="AE94">
        <v>0.26865768962051084</v>
      </c>
      <c r="AF94">
        <v>5.0606075733174043E-2</v>
      </c>
      <c r="AG94">
        <v>0.11806409349196836</v>
      </c>
      <c r="AH94">
        <v>0.2804628725911264</v>
      </c>
      <c r="AI94">
        <v>0.18055891669189966</v>
      </c>
      <c r="AJ94">
        <v>0.33398945132855218</v>
      </c>
      <c r="AK94">
        <v>0.28523737145812361</v>
      </c>
      <c r="AL94">
        <v>0.2159727415296912</v>
      </c>
    </row>
    <row r="95" spans="1:38" x14ac:dyDescent="0.3">
      <c r="A95" t="s">
        <v>55</v>
      </c>
      <c r="B95">
        <v>2040</v>
      </c>
      <c r="C95">
        <v>0.24157643511434884</v>
      </c>
      <c r="D95">
        <v>0.40052507782482127</v>
      </c>
      <c r="E95">
        <v>4.3154759340024468E-2</v>
      </c>
      <c r="F95">
        <v>0.21187270687770784</v>
      </c>
      <c r="G95">
        <v>0.28348225187352877</v>
      </c>
      <c r="H95">
        <v>0.49849003219900023</v>
      </c>
      <c r="I95">
        <v>0</v>
      </c>
      <c r="J95">
        <v>0.17613645929038008</v>
      </c>
      <c r="K95">
        <v>0.30857864456434758</v>
      </c>
      <c r="L95">
        <v>0.13791612812717235</v>
      </c>
      <c r="M95">
        <v>0.83091149273447817</v>
      </c>
      <c r="N95">
        <v>0.14098811279390644</v>
      </c>
      <c r="O95">
        <v>0.66482649842271291</v>
      </c>
      <c r="P95">
        <v>0.19623208014332014</v>
      </c>
      <c r="Q95">
        <v>4.081578478822305E-2</v>
      </c>
      <c r="R95">
        <v>0.28245815214916487</v>
      </c>
      <c r="S95">
        <v>1.3684883203148356E-2</v>
      </c>
      <c r="T95">
        <v>0</v>
      </c>
      <c r="U95">
        <v>0</v>
      </c>
      <c r="V95">
        <v>0.12353937007607999</v>
      </c>
      <c r="W95">
        <v>0.3089422790624014</v>
      </c>
      <c r="X95">
        <v>0.38400183800654453</v>
      </c>
      <c r="Y95">
        <v>0.69777514966318477</v>
      </c>
      <c r="Z95">
        <v>0.4295596529538514</v>
      </c>
      <c r="AA95">
        <v>0.16752504316058739</v>
      </c>
      <c r="AB95">
        <v>0</v>
      </c>
      <c r="AC95">
        <v>7.6354316644090633E-2</v>
      </c>
      <c r="AD95">
        <v>0.30165054830174881</v>
      </c>
      <c r="AE95">
        <v>0.27597465910839503</v>
      </c>
      <c r="AF95">
        <v>5.1660936643230911E-2</v>
      </c>
      <c r="AG95">
        <v>0.12206645199833212</v>
      </c>
      <c r="AH95">
        <v>0.3162172322504711</v>
      </c>
      <c r="AI95">
        <v>0.18366565187498318</v>
      </c>
      <c r="AJ95">
        <v>0.31786514595633963</v>
      </c>
      <c r="AK95">
        <v>0.27756678814388808</v>
      </c>
      <c r="AL95">
        <v>0.20847165770010062</v>
      </c>
    </row>
    <row r="96" spans="1:38" x14ac:dyDescent="0.3">
      <c r="A96" t="s">
        <v>55</v>
      </c>
      <c r="B96">
        <v>2050</v>
      </c>
      <c r="C96">
        <v>0.23857136182975774</v>
      </c>
      <c r="D96">
        <v>0.38742043691393518</v>
      </c>
      <c r="E96">
        <v>4.7093921919259409E-2</v>
      </c>
      <c r="F96">
        <v>0.20557687313098055</v>
      </c>
      <c r="G96">
        <v>0.27951756141538747</v>
      </c>
      <c r="H96">
        <v>0.48978064956918205</v>
      </c>
      <c r="I96">
        <v>0</v>
      </c>
      <c r="J96">
        <v>0.16711145488920667</v>
      </c>
      <c r="K96">
        <v>0.30157592177438036</v>
      </c>
      <c r="L96">
        <v>0.12225679760893646</v>
      </c>
      <c r="M96">
        <v>0.84570596797671038</v>
      </c>
      <c r="N96">
        <v>0.15034576858753912</v>
      </c>
      <c r="O96">
        <v>0.65756630265210614</v>
      </c>
      <c r="P96">
        <v>0.20360483368773008</v>
      </c>
      <c r="Q96">
        <v>3.802230595308552E-2</v>
      </c>
      <c r="R96">
        <v>0.22198312272291337</v>
      </c>
      <c r="S96">
        <v>1.3684883203148356E-2</v>
      </c>
      <c r="T96">
        <v>0</v>
      </c>
      <c r="U96">
        <v>0</v>
      </c>
      <c r="V96">
        <v>0.11730214613422817</v>
      </c>
      <c r="W96">
        <v>0.25427102178085181</v>
      </c>
      <c r="X96">
        <v>0.39741251647232262</v>
      </c>
      <c r="Y96">
        <v>0.69854129530384101</v>
      </c>
      <c r="Z96">
        <v>0.41657585671285619</v>
      </c>
      <c r="AA96">
        <v>0.16748420865932678</v>
      </c>
      <c r="AB96">
        <v>0</v>
      </c>
      <c r="AC96">
        <v>8.7413707082331968E-2</v>
      </c>
      <c r="AD96">
        <v>0.29964996512298958</v>
      </c>
      <c r="AE96">
        <v>0.28272667188656475</v>
      </c>
      <c r="AF96">
        <v>5.4289949550872275E-2</v>
      </c>
      <c r="AG96">
        <v>0.12634391508383552</v>
      </c>
      <c r="AH96">
        <v>0.31057892915288021</v>
      </c>
      <c r="AI96">
        <v>0.19230924030002339</v>
      </c>
      <c r="AJ96">
        <v>0.27170068115360763</v>
      </c>
      <c r="AK96">
        <v>0.27140203013060971</v>
      </c>
      <c r="AL96">
        <v>0.20164521340008651</v>
      </c>
    </row>
    <row r="97" spans="1:38" x14ac:dyDescent="0.3">
      <c r="A97" t="s">
        <v>56</v>
      </c>
      <c r="B97">
        <v>2005</v>
      </c>
      <c r="C97">
        <v>0.74336242046954071</v>
      </c>
      <c r="D97">
        <v>0.35442707878960505</v>
      </c>
      <c r="E97">
        <v>0.39345196849789144</v>
      </c>
      <c r="F97">
        <v>0.83384197714904751</v>
      </c>
      <c r="G97">
        <v>0.66475427211365201</v>
      </c>
      <c r="H97">
        <v>0.20850714636236597</v>
      </c>
      <c r="I97">
        <v>0</v>
      </c>
      <c r="J97">
        <v>0.88217030680296527</v>
      </c>
      <c r="K97">
        <v>0.51563393507153754</v>
      </c>
      <c r="L97">
        <v>0.77987539316700605</v>
      </c>
      <c r="M97">
        <v>0.2148127654624509</v>
      </c>
      <c r="N97">
        <v>0.89724030822905032</v>
      </c>
      <c r="O97">
        <v>0</v>
      </c>
      <c r="P97">
        <v>0.8318710949887731</v>
      </c>
      <c r="Q97">
        <v>0.9499492541048562</v>
      </c>
      <c r="R97">
        <v>0.50921010274770595</v>
      </c>
      <c r="S97">
        <v>0.98863140749376288</v>
      </c>
      <c r="T97">
        <v>0.94350970440511328</v>
      </c>
      <c r="U97">
        <v>0</v>
      </c>
      <c r="V97">
        <v>0.74224691560413458</v>
      </c>
      <c r="W97">
        <v>0.63010134813201191</v>
      </c>
      <c r="X97">
        <v>0</v>
      </c>
      <c r="Y97">
        <v>0.22378302606713457</v>
      </c>
      <c r="Z97">
        <v>0.17806914657679482</v>
      </c>
      <c r="AA97">
        <v>0.84766353132958649</v>
      </c>
      <c r="AB97">
        <v>0</v>
      </c>
      <c r="AC97">
        <v>0.50015110494839943</v>
      </c>
      <c r="AD97">
        <v>0.62083719959875416</v>
      </c>
      <c r="AE97">
        <v>0.79092955554458355</v>
      </c>
      <c r="AF97">
        <v>0.44855475391755883</v>
      </c>
      <c r="AG97">
        <v>0.74472385260673013</v>
      </c>
      <c r="AH97">
        <v>0.5909396938889645</v>
      </c>
      <c r="AI97">
        <v>0.69148238122891348</v>
      </c>
      <c r="AJ97">
        <v>0.44708722935083461</v>
      </c>
      <c r="AK97">
        <v>0.76246993012789954</v>
      </c>
      <c r="AL97">
        <v>0.82604443859368681</v>
      </c>
    </row>
    <row r="98" spans="1:38" x14ac:dyDescent="0.3">
      <c r="A98" t="s">
        <v>56</v>
      </c>
      <c r="B98">
        <v>2010</v>
      </c>
      <c r="C98">
        <v>0.73688596056171418</v>
      </c>
      <c r="D98">
        <v>0.34278848324612327</v>
      </c>
      <c r="E98">
        <v>0.3961130940073162</v>
      </c>
      <c r="F98">
        <v>0.8377742628868069</v>
      </c>
      <c r="G98">
        <v>0.65742641492429377</v>
      </c>
      <c r="H98">
        <v>0.20366426368118484</v>
      </c>
      <c r="I98">
        <v>0</v>
      </c>
      <c r="J98">
        <v>0.8861353596215189</v>
      </c>
      <c r="K98">
        <v>0.50650701215411809</v>
      </c>
      <c r="L98">
        <v>0.79280245454500242</v>
      </c>
      <c r="M98">
        <v>0.22071084092164467</v>
      </c>
      <c r="N98">
        <v>0.89277420508250271</v>
      </c>
      <c r="O98">
        <v>0</v>
      </c>
      <c r="P98">
        <v>0.82572752762703039</v>
      </c>
      <c r="Q98">
        <v>0.95259804536645898</v>
      </c>
      <c r="R98">
        <v>0.52871406686098199</v>
      </c>
      <c r="S98">
        <v>0.98863140749376288</v>
      </c>
      <c r="T98">
        <v>0.94588451756047409</v>
      </c>
      <c r="U98">
        <v>0</v>
      </c>
      <c r="V98">
        <v>0.74790955658286096</v>
      </c>
      <c r="W98">
        <v>0.6459872072172389</v>
      </c>
      <c r="X98">
        <v>0</v>
      </c>
      <c r="Y98">
        <v>0.22932217269895822</v>
      </c>
      <c r="Z98">
        <v>0.17325428948806615</v>
      </c>
      <c r="AA98">
        <v>0.84315674113728789</v>
      </c>
      <c r="AB98">
        <v>0</v>
      </c>
      <c r="AC98">
        <v>0.52369950804181364</v>
      </c>
      <c r="AD98">
        <v>0.61366827802857826</v>
      </c>
      <c r="AE98">
        <v>0.78242696989476346</v>
      </c>
      <c r="AF98">
        <v>0.46154016881391186</v>
      </c>
      <c r="AG98">
        <v>0.74378079220041537</v>
      </c>
      <c r="AH98">
        <v>0.58245793137518942</v>
      </c>
      <c r="AI98">
        <v>0.4149306750717548</v>
      </c>
      <c r="AJ98">
        <v>0.47178357626685635</v>
      </c>
      <c r="AK98">
        <v>0.76613395398605455</v>
      </c>
      <c r="AL98">
        <v>0.8291071912502882</v>
      </c>
    </row>
    <row r="99" spans="1:38" x14ac:dyDescent="0.3">
      <c r="A99" t="s">
        <v>56</v>
      </c>
      <c r="B99">
        <v>2020</v>
      </c>
      <c r="C99">
        <v>0.58424061013557571</v>
      </c>
      <c r="D99">
        <v>0.21876750969336628</v>
      </c>
      <c r="E99">
        <v>0.54106574450594414</v>
      </c>
      <c r="F99">
        <v>0.74815771896591365</v>
      </c>
      <c r="G99">
        <v>0.4906535861806478</v>
      </c>
      <c r="H99">
        <v>0.14727824123863328</v>
      </c>
      <c r="I99">
        <v>0</v>
      </c>
      <c r="J99">
        <v>0.83450546674497095</v>
      </c>
      <c r="K99">
        <v>0.34789763177786304</v>
      </c>
      <c r="L99">
        <v>0.72822321932919098</v>
      </c>
      <c r="M99">
        <v>0.35782223137403757</v>
      </c>
      <c r="N99">
        <v>0.81216152033318056</v>
      </c>
      <c r="O99">
        <v>0</v>
      </c>
      <c r="P99">
        <v>0.70808106063492071</v>
      </c>
      <c r="Q99">
        <v>0.9266089589720149</v>
      </c>
      <c r="R99">
        <v>0.43669496109756994</v>
      </c>
      <c r="S99">
        <v>0.98203429294163302</v>
      </c>
      <c r="T99">
        <v>0.92134159770946744</v>
      </c>
      <c r="U99">
        <v>0</v>
      </c>
      <c r="V99">
        <v>0.64523612088413285</v>
      </c>
      <c r="W99">
        <v>0.55224001228511155</v>
      </c>
      <c r="X99">
        <v>0</v>
      </c>
      <c r="Y99">
        <v>0.15408463613737405</v>
      </c>
      <c r="Z99">
        <v>9.5169012423642257E-2</v>
      </c>
      <c r="AA99">
        <v>0.73013861934010527</v>
      </c>
      <c r="AB99">
        <v>0</v>
      </c>
      <c r="AC99">
        <v>0.41150608841690839</v>
      </c>
      <c r="AD99">
        <v>0.48911886932930915</v>
      </c>
      <c r="AE99">
        <v>0.65269675172525787</v>
      </c>
      <c r="AF99">
        <v>0.36450397968546616</v>
      </c>
      <c r="AG99">
        <v>0.62374273050262763</v>
      </c>
      <c r="AH99">
        <v>0.41207694930583161</v>
      </c>
      <c r="AI99">
        <v>0.23212284462817487</v>
      </c>
      <c r="AJ99">
        <v>0.36474720675610034</v>
      </c>
      <c r="AK99">
        <v>0.65967347963350931</v>
      </c>
      <c r="AL99">
        <v>0.7439851787602243</v>
      </c>
    </row>
    <row r="100" spans="1:38" x14ac:dyDescent="0.3">
      <c r="A100" t="s">
        <v>56</v>
      </c>
      <c r="B100">
        <v>2030</v>
      </c>
      <c r="C100">
        <v>0.56769769250920721</v>
      </c>
      <c r="D100">
        <v>0.21093025422078784</v>
      </c>
      <c r="E100">
        <v>0.48832059706967695</v>
      </c>
      <c r="F100">
        <v>0.76450687610032286</v>
      </c>
      <c r="G100">
        <v>0.47560990917270268</v>
      </c>
      <c r="H100">
        <v>0.16978058744610444</v>
      </c>
      <c r="I100">
        <v>0</v>
      </c>
      <c r="J100">
        <v>0.84173253525796987</v>
      </c>
      <c r="K100">
        <v>0.34855812385789836</v>
      </c>
      <c r="L100">
        <v>0.76915446051423364</v>
      </c>
      <c r="M100">
        <v>0.20714799425753147</v>
      </c>
      <c r="N100">
        <v>0.80557281249264034</v>
      </c>
      <c r="O100">
        <v>0</v>
      </c>
      <c r="P100">
        <v>0.70763290638040188</v>
      </c>
      <c r="Q100">
        <v>0.93558137167873667</v>
      </c>
      <c r="R100">
        <v>0.50309272420878981</v>
      </c>
      <c r="S100">
        <v>0.98292310790528825</v>
      </c>
      <c r="T100">
        <v>0.92606456964492778</v>
      </c>
      <c r="U100">
        <v>0</v>
      </c>
      <c r="V100">
        <v>0.66947392498919644</v>
      </c>
      <c r="W100">
        <v>0.59401262471385963</v>
      </c>
      <c r="X100">
        <v>0.12670576466052941</v>
      </c>
      <c r="Y100">
        <v>0.17040285387504039</v>
      </c>
      <c r="Z100">
        <v>8.9937826557975109E-2</v>
      </c>
      <c r="AA100">
        <v>0.71768153393355893</v>
      </c>
      <c r="AB100">
        <v>1</v>
      </c>
      <c r="AC100">
        <v>0.50209426021817616</v>
      </c>
      <c r="AD100">
        <v>0.5263214782308514</v>
      </c>
      <c r="AE100">
        <v>0.64146761565032551</v>
      </c>
      <c r="AF100">
        <v>0.38110137110104708</v>
      </c>
      <c r="AG100">
        <v>0.62633014064851644</v>
      </c>
      <c r="AH100">
        <v>0.39707981400196363</v>
      </c>
      <c r="AI100">
        <v>0.22250707855513902</v>
      </c>
      <c r="AJ100">
        <v>0.44763283049508668</v>
      </c>
      <c r="AK100">
        <v>0.68715901194915474</v>
      </c>
      <c r="AL100">
        <v>0.75540436501456654</v>
      </c>
    </row>
    <row r="101" spans="1:38" x14ac:dyDescent="0.3">
      <c r="A101" t="s">
        <v>56</v>
      </c>
      <c r="B101">
        <v>2040</v>
      </c>
      <c r="C101">
        <v>0.47343886408669278</v>
      </c>
      <c r="D101">
        <v>0.13793055987074559</v>
      </c>
      <c r="E101">
        <v>0.49508931572171383</v>
      </c>
      <c r="F101">
        <v>0.71017412738426755</v>
      </c>
      <c r="G101">
        <v>0.38232459489140225</v>
      </c>
      <c r="H101">
        <v>8.3733258945509384E-2</v>
      </c>
      <c r="I101">
        <v>0</v>
      </c>
      <c r="J101">
        <v>0.80128194336469938</v>
      </c>
      <c r="K101">
        <v>0.2522902074017731</v>
      </c>
      <c r="L101">
        <v>0.81795071087213245</v>
      </c>
      <c r="M101">
        <v>0</v>
      </c>
      <c r="N101">
        <v>0.79398854472021207</v>
      </c>
      <c r="O101">
        <v>0</v>
      </c>
      <c r="P101">
        <v>0.69095817330085807</v>
      </c>
      <c r="Q101">
        <v>0.94406725788280543</v>
      </c>
      <c r="R101">
        <v>0.5748568019198137</v>
      </c>
      <c r="S101">
        <v>0.98460450639645813</v>
      </c>
      <c r="T101">
        <v>0.93595026762027789</v>
      </c>
      <c r="U101">
        <v>0</v>
      </c>
      <c r="V101">
        <v>0.68837824201217379</v>
      </c>
      <c r="W101">
        <v>0.65534185052576033</v>
      </c>
      <c r="X101">
        <v>0.1107325856690547</v>
      </c>
      <c r="Y101">
        <v>0.19285570462158244</v>
      </c>
      <c r="Z101">
        <v>6.323728264289219E-2</v>
      </c>
      <c r="AA101">
        <v>0.63459302666314821</v>
      </c>
      <c r="AB101">
        <v>1</v>
      </c>
      <c r="AC101">
        <v>0.6089733480954147</v>
      </c>
      <c r="AD101">
        <v>0.44580480660841498</v>
      </c>
      <c r="AE101">
        <v>0.62378482907016741</v>
      </c>
      <c r="AF101">
        <v>0.42337278070276091</v>
      </c>
      <c r="AG101">
        <v>0.62542353455413768</v>
      </c>
      <c r="AH101">
        <v>0.31049790149588252</v>
      </c>
      <c r="AI101">
        <v>0.20899374630734355</v>
      </c>
      <c r="AJ101">
        <v>0.56802941703369225</v>
      </c>
      <c r="AK101">
        <v>0.69677577765793741</v>
      </c>
      <c r="AL101">
        <v>0.76415327613725992</v>
      </c>
    </row>
    <row r="102" spans="1:38" x14ac:dyDescent="0.3">
      <c r="A102" t="s">
        <v>56</v>
      </c>
      <c r="B102">
        <v>2050</v>
      </c>
      <c r="C102">
        <v>0.46046168940039411</v>
      </c>
      <c r="D102">
        <v>0.1292714930624653</v>
      </c>
      <c r="E102">
        <v>0.50028116185674742</v>
      </c>
      <c r="F102">
        <v>0.72318361637808559</v>
      </c>
      <c r="G102">
        <v>0.36947906404862313</v>
      </c>
      <c r="H102">
        <v>7.287986132055832E-2</v>
      </c>
      <c r="I102">
        <v>0</v>
      </c>
      <c r="J102">
        <v>0.81790613881038166</v>
      </c>
      <c r="K102">
        <v>0.24155098620737481</v>
      </c>
      <c r="L102">
        <v>0.86318882172333311</v>
      </c>
      <c r="M102">
        <v>0</v>
      </c>
      <c r="N102">
        <v>0.78249157249425694</v>
      </c>
      <c r="O102">
        <v>0</v>
      </c>
      <c r="P102">
        <v>0.67675245622345381</v>
      </c>
      <c r="Q102">
        <v>0.94981055614192711</v>
      </c>
      <c r="R102">
        <v>0.66366193526831307</v>
      </c>
      <c r="S102">
        <v>0.98460450639645813</v>
      </c>
      <c r="T102">
        <v>0.94604930171913337</v>
      </c>
      <c r="U102">
        <v>0</v>
      </c>
      <c r="V102">
        <v>0.70545276080832575</v>
      </c>
      <c r="W102">
        <v>0.7270325795587913</v>
      </c>
      <c r="X102">
        <v>0.10109073655069881</v>
      </c>
      <c r="Y102">
        <v>0.20867001133499713</v>
      </c>
      <c r="Z102">
        <v>6.007079686513022E-2</v>
      </c>
      <c r="AA102">
        <v>0.62205866072270333</v>
      </c>
      <c r="AB102">
        <v>1</v>
      </c>
      <c r="AC102">
        <v>0.76689678111378135</v>
      </c>
      <c r="AD102">
        <v>0.43304864553434375</v>
      </c>
      <c r="AE102">
        <v>0.60668089072677245</v>
      </c>
      <c r="AF102">
        <v>0.46545280442218068</v>
      </c>
      <c r="AG102">
        <v>0.62305412127110382</v>
      </c>
      <c r="AH102">
        <v>0.29875338635578502</v>
      </c>
      <c r="AI102">
        <v>0.20431158195566515</v>
      </c>
      <c r="AJ102">
        <v>0.72829931884639232</v>
      </c>
      <c r="AK102">
        <v>0.70499779333629387</v>
      </c>
      <c r="AL102">
        <v>0.77228456112074662</v>
      </c>
    </row>
    <row r="105" spans="1:38" s="3" customFormat="1" x14ac:dyDescent="0.3">
      <c r="A105" s="3" t="s">
        <v>57</v>
      </c>
      <c r="B105" s="3" t="s">
        <v>58</v>
      </c>
      <c r="C105" s="3" t="s">
        <v>2</v>
      </c>
      <c r="D105" s="3" t="s">
        <v>3</v>
      </c>
      <c r="E105" s="3" t="s">
        <v>4</v>
      </c>
      <c r="F105" s="3" t="s">
        <v>5</v>
      </c>
      <c r="G105" s="3" t="s">
        <v>6</v>
      </c>
      <c r="H105" s="3" t="s">
        <v>7</v>
      </c>
      <c r="I105" s="3" t="s">
        <v>8</v>
      </c>
      <c r="J105" s="3" t="s">
        <v>9</v>
      </c>
      <c r="K105" s="3" t="s">
        <v>10</v>
      </c>
      <c r="L105" s="3" t="s">
        <v>11</v>
      </c>
      <c r="M105" s="3" t="s">
        <v>12</v>
      </c>
      <c r="N105" s="3" t="s">
        <v>13</v>
      </c>
      <c r="O105" s="3" t="s">
        <v>14</v>
      </c>
      <c r="P105" s="3" t="s">
        <v>15</v>
      </c>
      <c r="Q105" s="3" t="s">
        <v>16</v>
      </c>
      <c r="R105" s="3" t="s">
        <v>17</v>
      </c>
      <c r="S105" s="3" t="s">
        <v>18</v>
      </c>
      <c r="T105" s="3" t="s">
        <v>19</v>
      </c>
      <c r="U105" s="3" t="s">
        <v>20</v>
      </c>
      <c r="V105" s="3" t="s">
        <v>21</v>
      </c>
      <c r="W105" s="3" t="s">
        <v>22</v>
      </c>
      <c r="X105" s="3" t="s">
        <v>23</v>
      </c>
      <c r="Y105" s="3" t="s">
        <v>24</v>
      </c>
      <c r="Z105" s="3" t="s">
        <v>25</v>
      </c>
      <c r="AA105" s="3" t="s">
        <v>26</v>
      </c>
      <c r="AB105" s="3" t="s">
        <v>27</v>
      </c>
      <c r="AC105" s="3" t="s">
        <v>28</v>
      </c>
      <c r="AD105" s="3" t="s">
        <v>29</v>
      </c>
      <c r="AE105" s="3" t="s">
        <v>30</v>
      </c>
      <c r="AF105" s="3" t="s">
        <v>31</v>
      </c>
      <c r="AG105" s="3" t="s">
        <v>32</v>
      </c>
      <c r="AH105" s="3" t="s">
        <v>33</v>
      </c>
      <c r="AI105" s="3" t="s">
        <v>34</v>
      </c>
      <c r="AJ105" s="3" t="s">
        <v>35</v>
      </c>
      <c r="AK105" s="3" t="s">
        <v>36</v>
      </c>
      <c r="AL105" s="3" t="s">
        <v>37</v>
      </c>
    </row>
    <row r="106" spans="1:38" x14ac:dyDescent="0.3">
      <c r="A106" t="s">
        <v>59</v>
      </c>
      <c r="B106">
        <v>2005</v>
      </c>
      <c r="C106">
        <v>0.62860962301251211</v>
      </c>
      <c r="D106">
        <v>0.37558296585476453</v>
      </c>
      <c r="E106">
        <v>0.55074923371047535</v>
      </c>
      <c r="F106">
        <v>0.76821507356457908</v>
      </c>
      <c r="G106">
        <v>1</v>
      </c>
      <c r="H106">
        <v>0.1992120775485525</v>
      </c>
      <c r="I106">
        <v>0.75173620917998429</v>
      </c>
      <c r="J106">
        <v>0.95965091627362575</v>
      </c>
      <c r="K106">
        <v>0.49030208232811889</v>
      </c>
      <c r="L106">
        <v>0.71134959632487949</v>
      </c>
      <c r="M106">
        <v>0.84727863954175442</v>
      </c>
      <c r="N106">
        <v>0.8057488314906025</v>
      </c>
      <c r="O106">
        <v>8.2568807339449546E-2</v>
      </c>
      <c r="P106">
        <v>0.80787508101377115</v>
      </c>
      <c r="Q106">
        <v>0.72284495816997296</v>
      </c>
      <c r="R106">
        <v>0.97896291076327258</v>
      </c>
      <c r="S106">
        <v>0.91281167642751837</v>
      </c>
      <c r="T106">
        <v>0.94862616251159981</v>
      </c>
      <c r="U106">
        <v>0</v>
      </c>
      <c r="V106">
        <v>0.82953219198300276</v>
      </c>
      <c r="W106">
        <v>0.93140514866682189</v>
      </c>
      <c r="X106">
        <v>0.65378112945834399</v>
      </c>
      <c r="Y106">
        <v>0.94545106927422429</v>
      </c>
      <c r="Z106">
        <v>1</v>
      </c>
      <c r="AA106">
        <v>0.66927186159592444</v>
      </c>
      <c r="AB106">
        <v>0.71633155458890641</v>
      </c>
      <c r="AC106">
        <v>0.56208402775697086</v>
      </c>
      <c r="AD106">
        <v>0.32510808691727894</v>
      </c>
      <c r="AE106">
        <v>0.81496856074308699</v>
      </c>
      <c r="AF106">
        <v>0.68931973786444956</v>
      </c>
      <c r="AG106">
        <v>0.78900649005824031</v>
      </c>
      <c r="AH106">
        <v>0.69135631869961134</v>
      </c>
      <c r="AI106">
        <v>0.44943478413563909</v>
      </c>
      <c r="AJ106">
        <v>0.67128561643800211</v>
      </c>
      <c r="AK106">
        <v>0.87893071394677591</v>
      </c>
      <c r="AL106">
        <v>0.93255773343105486</v>
      </c>
    </row>
    <row r="107" spans="1:38" x14ac:dyDescent="0.3">
      <c r="A107" t="s">
        <v>59</v>
      </c>
      <c r="B107">
        <v>2010</v>
      </c>
      <c r="C107">
        <v>0.62860962301251211</v>
      </c>
      <c r="D107">
        <v>0.37558296585476453</v>
      </c>
      <c r="E107">
        <v>0.55074923371047535</v>
      </c>
      <c r="F107">
        <v>0.76821507356457908</v>
      </c>
      <c r="G107">
        <v>1</v>
      </c>
      <c r="H107">
        <v>0.1992120775485525</v>
      </c>
      <c r="I107">
        <v>0.75173620917998429</v>
      </c>
      <c r="J107">
        <v>0.95965091627362575</v>
      </c>
      <c r="K107">
        <v>0.49030208232811889</v>
      </c>
      <c r="L107">
        <v>0.71134959632487949</v>
      </c>
      <c r="M107">
        <v>0.84727863954175442</v>
      </c>
      <c r="N107">
        <v>0.8057488314906025</v>
      </c>
      <c r="O107">
        <v>8.0357142857142863E-2</v>
      </c>
      <c r="P107">
        <v>0.80787508101377115</v>
      </c>
      <c r="Q107">
        <v>0.72284495816997296</v>
      </c>
      <c r="R107">
        <v>0.97896291076327258</v>
      </c>
      <c r="S107">
        <v>0.91281167642751837</v>
      </c>
      <c r="T107">
        <v>0.94862616251159981</v>
      </c>
      <c r="U107">
        <v>0</v>
      </c>
      <c r="V107">
        <v>0.82953219198300276</v>
      </c>
      <c r="W107">
        <v>0.93140514866682189</v>
      </c>
      <c r="X107">
        <v>0.65378112945834399</v>
      </c>
      <c r="Y107">
        <v>0.94545106927422429</v>
      </c>
      <c r="Z107">
        <v>1</v>
      </c>
      <c r="AA107">
        <v>0.66927186159592444</v>
      </c>
      <c r="AB107">
        <v>0.71633155458890641</v>
      </c>
      <c r="AC107">
        <v>0.56208402775697086</v>
      </c>
      <c r="AD107">
        <v>0.32510808691727894</v>
      </c>
      <c r="AE107">
        <v>0.81496856074308699</v>
      </c>
      <c r="AF107">
        <v>0.68931973786444956</v>
      </c>
      <c r="AG107">
        <v>0.78900649005824031</v>
      </c>
      <c r="AH107">
        <v>0.69135631869961134</v>
      </c>
      <c r="AI107">
        <v>0.44943478413563909</v>
      </c>
      <c r="AJ107">
        <v>0.67128561643800211</v>
      </c>
      <c r="AK107">
        <v>0.87893071394677591</v>
      </c>
      <c r="AL107">
        <v>0.93255773343105486</v>
      </c>
    </row>
    <row r="108" spans="1:38" x14ac:dyDescent="0.3">
      <c r="A108" t="s">
        <v>59</v>
      </c>
      <c r="B108">
        <v>2020</v>
      </c>
      <c r="C108">
        <v>0.59408377550643177</v>
      </c>
      <c r="D108">
        <v>0.34522912125845329</v>
      </c>
      <c r="E108">
        <v>0.51737801525605476</v>
      </c>
      <c r="F108">
        <v>0.6867026063669206</v>
      </c>
      <c r="G108">
        <v>1</v>
      </c>
      <c r="H108">
        <v>0.16874840343401054</v>
      </c>
      <c r="I108">
        <v>0.73151997755835563</v>
      </c>
      <c r="J108">
        <v>0.94435380660874324</v>
      </c>
      <c r="K108">
        <v>0.47766029801930915</v>
      </c>
      <c r="L108">
        <v>0.68854292547873142</v>
      </c>
      <c r="M108">
        <v>0.78891684956599117</v>
      </c>
      <c r="N108">
        <v>0.80766716324463361</v>
      </c>
      <c r="O108">
        <v>7.03125E-2</v>
      </c>
      <c r="P108">
        <v>0.79120063682186093</v>
      </c>
      <c r="Q108">
        <v>0.72030652116697991</v>
      </c>
      <c r="R108">
        <v>0.97441925414051156</v>
      </c>
      <c r="S108">
        <v>0.8949395553954842</v>
      </c>
      <c r="T108">
        <v>0.93831313103509684</v>
      </c>
      <c r="U108">
        <v>0</v>
      </c>
      <c r="V108">
        <v>0.82101842725606233</v>
      </c>
      <c r="W108">
        <v>0.92655915191910176</v>
      </c>
      <c r="X108">
        <v>0.93869264811816588</v>
      </c>
      <c r="Y108">
        <v>0.93017861827421211</v>
      </c>
      <c r="Z108">
        <v>1</v>
      </c>
      <c r="AA108">
        <v>0.61319460049023367</v>
      </c>
      <c r="AB108">
        <v>0.10814189893888421</v>
      </c>
      <c r="AC108">
        <v>0.53471963265999622</v>
      </c>
      <c r="AD108">
        <v>0.2508190298203048</v>
      </c>
      <c r="AE108">
        <v>0.7780693582620527</v>
      </c>
      <c r="AF108">
        <v>0.68038917498014218</v>
      </c>
      <c r="AG108">
        <v>0.76157494672292336</v>
      </c>
      <c r="AH108">
        <v>0.6276510602905967</v>
      </c>
      <c r="AI108">
        <v>0.41156846158516136</v>
      </c>
      <c r="AJ108">
        <v>0.63922254674149515</v>
      </c>
      <c r="AK108">
        <v>0.8269553366773591</v>
      </c>
      <c r="AL108">
        <v>0.92024104865948864</v>
      </c>
    </row>
    <row r="109" spans="1:38" x14ac:dyDescent="0.3">
      <c r="A109" t="s">
        <v>59</v>
      </c>
      <c r="B109">
        <v>2030</v>
      </c>
      <c r="C109">
        <v>0.5683808576386119</v>
      </c>
      <c r="D109">
        <v>0.30228039582823762</v>
      </c>
      <c r="E109">
        <v>0.45378344926160058</v>
      </c>
      <c r="F109">
        <v>0.67201396725374174</v>
      </c>
      <c r="G109">
        <v>1</v>
      </c>
      <c r="H109">
        <v>0.1410143261510878</v>
      </c>
      <c r="I109">
        <v>0.69659664004480437</v>
      </c>
      <c r="J109">
        <v>0.92786635287804342</v>
      </c>
      <c r="K109">
        <v>0.45638585165113904</v>
      </c>
      <c r="L109">
        <v>0.65896324854120414</v>
      </c>
      <c r="M109">
        <v>0.75405061796083339</v>
      </c>
      <c r="N109">
        <v>0.76848249041741234</v>
      </c>
      <c r="O109">
        <v>0.12426035502958581</v>
      </c>
      <c r="P109">
        <v>0.75798926022874391</v>
      </c>
      <c r="Q109">
        <v>0.69019542794681266</v>
      </c>
      <c r="R109">
        <v>0.9639535218259474</v>
      </c>
      <c r="S109">
        <v>0.86863200273947017</v>
      </c>
      <c r="T109">
        <v>0.91472922596261441</v>
      </c>
      <c r="U109">
        <v>0</v>
      </c>
      <c r="V109">
        <v>0.7853062891084146</v>
      </c>
      <c r="W109">
        <v>0.92028612846523594</v>
      </c>
      <c r="X109">
        <v>0.92739148681121086</v>
      </c>
      <c r="Y109">
        <v>0.91923797344133096</v>
      </c>
      <c r="Z109">
        <v>1</v>
      </c>
      <c r="AA109">
        <v>0.52956327745848175</v>
      </c>
      <c r="AB109">
        <v>9.1281274061655177E-2</v>
      </c>
      <c r="AC109">
        <v>0.49120405676974999</v>
      </c>
      <c r="AD109">
        <v>0.19506303655388799</v>
      </c>
      <c r="AE109">
        <v>0.75526258562698623</v>
      </c>
      <c r="AF109">
        <v>0.62327781031192619</v>
      </c>
      <c r="AG109">
        <v>0.7413481416385479</v>
      </c>
      <c r="AH109">
        <v>0.5299425927329221</v>
      </c>
      <c r="AI109">
        <v>0.3723314129288321</v>
      </c>
      <c r="AJ109">
        <v>0.60169391812256323</v>
      </c>
      <c r="AK109">
        <v>0.77394784615027556</v>
      </c>
      <c r="AL109">
        <v>0.90561875586611618</v>
      </c>
    </row>
    <row r="110" spans="1:38" x14ac:dyDescent="0.3">
      <c r="A110" t="s">
        <v>59</v>
      </c>
      <c r="B110">
        <v>2040</v>
      </c>
      <c r="C110">
        <v>0.54247037252849239</v>
      </c>
      <c r="D110">
        <v>0.27240353605477391</v>
      </c>
      <c r="E110">
        <v>0.39784267203652851</v>
      </c>
      <c r="F110">
        <v>0.63768192270888624</v>
      </c>
      <c r="G110">
        <v>1</v>
      </c>
      <c r="H110">
        <v>0.12626833360937093</v>
      </c>
      <c r="I110">
        <v>0.66175392893975193</v>
      </c>
      <c r="J110">
        <v>0.91473226179993494</v>
      </c>
      <c r="K110">
        <v>0.4402209045160772</v>
      </c>
      <c r="L110">
        <v>0.63015446323894664</v>
      </c>
      <c r="M110">
        <v>0.72804863710607881</v>
      </c>
      <c r="N110">
        <v>0.75060387163200415</v>
      </c>
      <c r="O110">
        <v>0.22978723404255322</v>
      </c>
      <c r="P110">
        <v>0.72739931086436038</v>
      </c>
      <c r="Q110">
        <v>0.66979127695837537</v>
      </c>
      <c r="R110">
        <v>0.95654200119530675</v>
      </c>
      <c r="S110">
        <v>0.85282075652459322</v>
      </c>
      <c r="T110">
        <v>0.89610733691403088</v>
      </c>
      <c r="U110">
        <v>0</v>
      </c>
      <c r="V110">
        <v>0.75782119234803658</v>
      </c>
      <c r="W110">
        <v>0.91553027411477517</v>
      </c>
      <c r="X110">
        <v>0.91518022453728098</v>
      </c>
      <c r="Y110">
        <v>0.91337412376140814</v>
      </c>
      <c r="Z110">
        <v>1</v>
      </c>
      <c r="AA110">
        <v>0.44926672767322212</v>
      </c>
      <c r="AB110">
        <v>8.0385573964650014E-2</v>
      </c>
      <c r="AC110">
        <v>0.45317350466300982</v>
      </c>
      <c r="AD110">
        <v>0.15818093244828133</v>
      </c>
      <c r="AE110">
        <v>0.74503188686824062</v>
      </c>
      <c r="AF110">
        <v>0.59248511179753038</v>
      </c>
      <c r="AG110">
        <v>0.70938897319555438</v>
      </c>
      <c r="AH110">
        <v>0.42782517222910521</v>
      </c>
      <c r="AI110">
        <v>0.34434722068771917</v>
      </c>
      <c r="AJ110">
        <v>0.56876281836615772</v>
      </c>
      <c r="AK110">
        <v>0.74299919546990012</v>
      </c>
      <c r="AL110">
        <v>0.8893794878560729</v>
      </c>
    </row>
    <row r="111" spans="1:38" x14ac:dyDescent="0.3">
      <c r="A111" t="s">
        <v>59</v>
      </c>
      <c r="B111">
        <v>2050</v>
      </c>
      <c r="C111">
        <v>0.643591568826966</v>
      </c>
      <c r="D111">
        <v>0.24460601547064381</v>
      </c>
      <c r="E111">
        <v>0.34538420970705092</v>
      </c>
      <c r="F111">
        <v>0.60174270148830344</v>
      </c>
      <c r="G111">
        <v>1</v>
      </c>
      <c r="H111">
        <v>0.11552422005331098</v>
      </c>
      <c r="I111">
        <v>0.62474551741477857</v>
      </c>
      <c r="J111">
        <v>0.89935448934548223</v>
      </c>
      <c r="K111">
        <v>0.42491204822357936</v>
      </c>
      <c r="L111">
        <v>0.59927769948486043</v>
      </c>
      <c r="M111">
        <v>0.70024517211161519</v>
      </c>
      <c r="N111">
        <v>0.73212627909146755</v>
      </c>
      <c r="O111">
        <v>0.23550724637681159</v>
      </c>
      <c r="P111">
        <v>0.69487184224200171</v>
      </c>
      <c r="Q111">
        <v>0.6485006387432134</v>
      </c>
      <c r="R111">
        <v>0.94795593492096342</v>
      </c>
      <c r="S111">
        <v>0.83556773607414525</v>
      </c>
      <c r="T111">
        <v>0.8740404902747918</v>
      </c>
      <c r="U111">
        <v>0</v>
      </c>
      <c r="V111">
        <v>0.72825929777068399</v>
      </c>
      <c r="W111">
        <v>0.90994242034592077</v>
      </c>
      <c r="X111">
        <v>0.90114190418119533</v>
      </c>
      <c r="Y111">
        <v>0.90703714109532929</v>
      </c>
      <c r="Z111">
        <v>1</v>
      </c>
      <c r="AA111">
        <v>0.36662264752340917</v>
      </c>
      <c r="AB111">
        <v>7.0689255613386182E-2</v>
      </c>
      <c r="AC111">
        <v>0.41619137943080031</v>
      </c>
      <c r="AD111">
        <v>0.12457551938827999</v>
      </c>
      <c r="AE111">
        <v>0.73313628404928743</v>
      </c>
      <c r="AF111">
        <v>0.5608727850809111</v>
      </c>
      <c r="AG111">
        <v>0.67465672446288361</v>
      </c>
      <c r="AH111">
        <v>0.32867455849906974</v>
      </c>
      <c r="AI111">
        <v>0.32071771003534572</v>
      </c>
      <c r="AJ111">
        <v>0.53556102607927936</v>
      </c>
      <c r="AK111">
        <v>0.70950608091039569</v>
      </c>
      <c r="AL111">
        <v>0.87073994429329804</v>
      </c>
    </row>
    <row r="112" spans="1:38" x14ac:dyDescent="0.3">
      <c r="A112" t="s">
        <v>60</v>
      </c>
      <c r="B112">
        <v>2005</v>
      </c>
      <c r="C112">
        <v>0.37055210374251479</v>
      </c>
      <c r="D112">
        <v>0.43561330863808173</v>
      </c>
      <c r="E112">
        <v>0.33541468348490505</v>
      </c>
      <c r="F112">
        <v>0.23177405981008817</v>
      </c>
      <c r="G112">
        <v>0</v>
      </c>
      <c r="H112">
        <v>0.76490189078293047</v>
      </c>
      <c r="I112">
        <v>0.24806437068324935</v>
      </c>
      <c r="J112">
        <v>3.6060803641914267E-2</v>
      </c>
      <c r="K112">
        <v>0.4803578702222136</v>
      </c>
      <c r="L112">
        <v>0.28609885988096501</v>
      </c>
      <c r="M112">
        <v>0.15271257219722684</v>
      </c>
      <c r="N112">
        <v>0.18749675498976701</v>
      </c>
      <c r="O112">
        <v>0.7339449541284403</v>
      </c>
      <c r="P112">
        <v>0.19211181043358366</v>
      </c>
      <c r="Q112">
        <v>0.23690209383874269</v>
      </c>
      <c r="R112">
        <v>1.4959647064500722E-2</v>
      </c>
      <c r="S112">
        <v>8.4962821836032779E-2</v>
      </c>
      <c r="T112">
        <v>5.1326426536155455E-2</v>
      </c>
      <c r="U112">
        <v>0.9551865972720226</v>
      </c>
      <c r="V112">
        <v>0.16933586867712713</v>
      </c>
      <c r="W112">
        <v>6.8579681089815658E-2</v>
      </c>
      <c r="X112">
        <v>0.34614230175521354</v>
      </c>
      <c r="Y112">
        <v>5.4492584136399277E-2</v>
      </c>
      <c r="Z112">
        <v>0</v>
      </c>
      <c r="AA112">
        <v>0.32911008606912995</v>
      </c>
      <c r="AB112">
        <v>0.28366800034149697</v>
      </c>
      <c r="AC112">
        <v>0.43529287717278986</v>
      </c>
      <c r="AD112">
        <v>0.66045936912782877</v>
      </c>
      <c r="AE112">
        <v>0.17731327267952043</v>
      </c>
      <c r="AF112">
        <v>0.2989692912370559</v>
      </c>
      <c r="AG112">
        <v>0.21053625476393034</v>
      </c>
      <c r="AH112">
        <v>0.30854588324935439</v>
      </c>
      <c r="AI112">
        <v>0.52589251511781554</v>
      </c>
      <c r="AJ112">
        <v>0.31112013703033697</v>
      </c>
      <c r="AK112">
        <v>0.12102475808372706</v>
      </c>
      <c r="AL112">
        <v>6.7001574002825054E-2</v>
      </c>
    </row>
    <row r="113" spans="1:38" x14ac:dyDescent="0.3">
      <c r="A113" t="s">
        <v>60</v>
      </c>
      <c r="B113">
        <v>2010</v>
      </c>
      <c r="C113">
        <v>0.37055210374251479</v>
      </c>
      <c r="D113">
        <v>0.43561330863808173</v>
      </c>
      <c r="E113">
        <v>0.33541468348490505</v>
      </c>
      <c r="F113">
        <v>0.23177405981008817</v>
      </c>
      <c r="G113">
        <v>0</v>
      </c>
      <c r="H113">
        <v>0.76490189078293047</v>
      </c>
      <c r="I113">
        <v>0.24806437068324935</v>
      </c>
      <c r="J113">
        <v>3.6060803641914267E-2</v>
      </c>
      <c r="K113">
        <v>0.4803578702222136</v>
      </c>
      <c r="L113">
        <v>0.28609885988096501</v>
      </c>
      <c r="M113">
        <v>0.15271257219722684</v>
      </c>
      <c r="N113">
        <v>0.18749675498976701</v>
      </c>
      <c r="O113">
        <v>0.7232142857142857</v>
      </c>
      <c r="P113">
        <v>0.19211181043358366</v>
      </c>
      <c r="Q113">
        <v>0.23690209383874269</v>
      </c>
      <c r="R113">
        <v>1.4959647064500722E-2</v>
      </c>
      <c r="S113">
        <v>8.4962821836032779E-2</v>
      </c>
      <c r="T113">
        <v>5.1326426536155455E-2</v>
      </c>
      <c r="U113">
        <v>0.9551865972720226</v>
      </c>
      <c r="V113">
        <v>0.16933586867712713</v>
      </c>
      <c r="W113">
        <v>6.8579681089815658E-2</v>
      </c>
      <c r="X113">
        <v>0.34614230175521354</v>
      </c>
      <c r="Y113">
        <v>5.4492584136399277E-2</v>
      </c>
      <c r="Z113">
        <v>0</v>
      </c>
      <c r="AA113">
        <v>0.32911008606912995</v>
      </c>
      <c r="AB113">
        <v>0.28366800034149697</v>
      </c>
      <c r="AC113">
        <v>0.43529287717278986</v>
      </c>
      <c r="AD113">
        <v>0.66045936912782877</v>
      </c>
      <c r="AE113">
        <v>0.17731327267952043</v>
      </c>
      <c r="AF113">
        <v>0.2989692912370559</v>
      </c>
      <c r="AG113">
        <v>0.21053625476393034</v>
      </c>
      <c r="AH113">
        <v>0.30854588324935439</v>
      </c>
      <c r="AI113">
        <v>0.52589251511781554</v>
      </c>
      <c r="AJ113">
        <v>0.31112013703033697</v>
      </c>
      <c r="AK113">
        <v>0.12102475808372706</v>
      </c>
      <c r="AL113">
        <v>6.7001574002825054E-2</v>
      </c>
    </row>
    <row r="114" spans="1:38" x14ac:dyDescent="0.3">
      <c r="A114" t="s">
        <v>60</v>
      </c>
      <c r="B114">
        <v>2020</v>
      </c>
      <c r="C114">
        <v>0.40483447183417937</v>
      </c>
      <c r="D114">
        <v>0.44919955739001338</v>
      </c>
      <c r="E114">
        <v>0.3588729114686538</v>
      </c>
      <c r="F114">
        <v>0.31328270517609669</v>
      </c>
      <c r="G114">
        <v>0</v>
      </c>
      <c r="H114">
        <v>0.79219326734416051</v>
      </c>
      <c r="I114">
        <v>0.2682643199189777</v>
      </c>
      <c r="J114">
        <v>4.9718778703127998E-2</v>
      </c>
      <c r="K114">
        <v>0.48963434939061079</v>
      </c>
      <c r="L114">
        <v>0.30860386134582624</v>
      </c>
      <c r="M114">
        <v>0.21107093269960206</v>
      </c>
      <c r="N114">
        <v>0.18521011146274652</v>
      </c>
      <c r="O114">
        <v>0.734375</v>
      </c>
      <c r="P114">
        <v>0.20878425124053263</v>
      </c>
      <c r="Q114">
        <v>0.23907189491826553</v>
      </c>
      <c r="R114">
        <v>1.8134148456048275E-2</v>
      </c>
      <c r="S114">
        <v>0.10230926470604798</v>
      </c>
      <c r="T114">
        <v>6.1629558208089012E-2</v>
      </c>
      <c r="U114">
        <v>0.95301262652224183</v>
      </c>
      <c r="V114">
        <v>0.17777439351239616</v>
      </c>
      <c r="W114">
        <v>7.3424331902171541E-2</v>
      </c>
      <c r="X114">
        <v>6.1283071618522526E-2</v>
      </c>
      <c r="Y114">
        <v>6.975076898515209E-2</v>
      </c>
      <c r="Z114">
        <v>0</v>
      </c>
      <c r="AA114">
        <v>0.38461173610468746</v>
      </c>
      <c r="AB114">
        <v>0.89185670174265652</v>
      </c>
      <c r="AC114">
        <v>0.46232401850570859</v>
      </c>
      <c r="AD114">
        <v>0.73208097420182883</v>
      </c>
      <c r="AE114">
        <v>0.21351653196480747</v>
      </c>
      <c r="AF114">
        <v>0.3073973288810154</v>
      </c>
      <c r="AG114">
        <v>0.23788689893739046</v>
      </c>
      <c r="AH114">
        <v>0.37221756002917888</v>
      </c>
      <c r="AI114">
        <v>0.56078268595324865</v>
      </c>
      <c r="AJ114">
        <v>0.34084469638414089</v>
      </c>
      <c r="AK114">
        <v>0.17298000797221949</v>
      </c>
      <c r="AL114">
        <v>7.9234848306535086E-2</v>
      </c>
    </row>
    <row r="115" spans="1:38" x14ac:dyDescent="0.3">
      <c r="A115" t="s">
        <v>60</v>
      </c>
      <c r="B115">
        <v>2030</v>
      </c>
      <c r="C115">
        <v>0.430380643628126</v>
      </c>
      <c r="D115">
        <v>0.4928992473178625</v>
      </c>
      <c r="E115">
        <v>0.40784217528461603</v>
      </c>
      <c r="F115">
        <v>0.3279678594158032</v>
      </c>
      <c r="G115">
        <v>0</v>
      </c>
      <c r="H115">
        <v>0.81423980886483671</v>
      </c>
      <c r="I115">
        <v>0.30311109069425479</v>
      </c>
      <c r="J115">
        <v>6.3096423680919902E-2</v>
      </c>
      <c r="K115">
        <v>0.50705000714212223</v>
      </c>
      <c r="L115">
        <v>0.33758700253975138</v>
      </c>
      <c r="M115">
        <v>0.24593225600248789</v>
      </c>
      <c r="N115">
        <v>0.22129684797312568</v>
      </c>
      <c r="O115">
        <v>0.69822485207100604</v>
      </c>
      <c r="P115">
        <v>0.24198996736968756</v>
      </c>
      <c r="Q115">
        <v>0.26219015892759501</v>
      </c>
      <c r="R115">
        <v>2.5480075962692778E-2</v>
      </c>
      <c r="S115">
        <v>0.12747028205952224</v>
      </c>
      <c r="T115">
        <v>8.5179654738244834E-2</v>
      </c>
      <c r="U115">
        <v>0.94790848515135318</v>
      </c>
      <c r="V115">
        <v>0.21307261585395595</v>
      </c>
      <c r="W115">
        <v>7.9692999027326322E-2</v>
      </c>
      <c r="X115">
        <v>7.2574285165590571E-2</v>
      </c>
      <c r="Y115">
        <v>8.0665460528869221E-2</v>
      </c>
      <c r="Z115">
        <v>0</v>
      </c>
      <c r="AA115">
        <v>0.46706455198574381</v>
      </c>
      <c r="AB115">
        <v>0.90871701502761038</v>
      </c>
      <c r="AC115">
        <v>0.50517034750728562</v>
      </c>
      <c r="AD115">
        <v>0.7842260678273868</v>
      </c>
      <c r="AE115">
        <v>0.23488109347755831</v>
      </c>
      <c r="AF115">
        <v>0.36091294366432192</v>
      </c>
      <c r="AG115">
        <v>0.25796256013005614</v>
      </c>
      <c r="AH115">
        <v>0.4698599565286975</v>
      </c>
      <c r="AI115">
        <v>0.59497237954772109</v>
      </c>
      <c r="AJ115">
        <v>0.37232943912802319</v>
      </c>
      <c r="AK115">
        <v>0.22595960718307628</v>
      </c>
      <c r="AL115">
        <v>9.3641944231552837E-2</v>
      </c>
    </row>
    <row r="116" spans="1:38" x14ac:dyDescent="0.3">
      <c r="A116" t="s">
        <v>60</v>
      </c>
      <c r="B116">
        <v>2040</v>
      </c>
      <c r="C116">
        <v>0.45612348097627375</v>
      </c>
      <c r="D116">
        <v>0.51601704380576285</v>
      </c>
      <c r="E116">
        <v>0.44573223528644779</v>
      </c>
      <c r="F116">
        <v>0.36229649190479413</v>
      </c>
      <c r="G116">
        <v>0</v>
      </c>
      <c r="H116">
        <v>0.82306135079571596</v>
      </c>
      <c r="I116">
        <v>0.33789298596417044</v>
      </c>
      <c r="J116">
        <v>7.3802820183910725E-2</v>
      </c>
      <c r="K116">
        <v>0.51900242714593536</v>
      </c>
      <c r="L116">
        <v>0.36562588822744774</v>
      </c>
      <c r="M116">
        <v>0.27193081202323077</v>
      </c>
      <c r="N116">
        <v>0.23749939829066677</v>
      </c>
      <c r="O116">
        <v>0.61702127659574468</v>
      </c>
      <c r="P116">
        <v>0.27257536841911434</v>
      </c>
      <c r="Q116">
        <v>0.27624603583376428</v>
      </c>
      <c r="R116">
        <v>3.0659992509676989E-2</v>
      </c>
      <c r="S116">
        <v>0.14258896467466642</v>
      </c>
      <c r="T116">
        <v>0.10377475824553183</v>
      </c>
      <c r="U116">
        <v>0.9420070056471328</v>
      </c>
      <c r="V116">
        <v>0.2402219165689044</v>
      </c>
      <c r="W116">
        <v>8.4446031966225896E-2</v>
      </c>
      <c r="X116">
        <v>8.4776716476750641E-2</v>
      </c>
      <c r="Y116">
        <v>8.6514454320943859E-2</v>
      </c>
      <c r="Z116">
        <v>0</v>
      </c>
      <c r="AA116">
        <v>0.54613603642664776</v>
      </c>
      <c r="AB116">
        <v>0.91961255032648381</v>
      </c>
      <c r="AC116">
        <v>0.54270114418585047</v>
      </c>
      <c r="AD116">
        <v>0.8177823896807751</v>
      </c>
      <c r="AE116">
        <v>0.24476535784865644</v>
      </c>
      <c r="AF116">
        <v>0.38940275629260929</v>
      </c>
      <c r="AG116">
        <v>0.28977714027522417</v>
      </c>
      <c r="AH116">
        <v>0.57191867613586966</v>
      </c>
      <c r="AI116">
        <v>0.61762951138418209</v>
      </c>
      <c r="AJ116">
        <v>0.40123106458233082</v>
      </c>
      <c r="AK116">
        <v>0.2568915826456673</v>
      </c>
      <c r="AL116">
        <v>0.10968001182438197</v>
      </c>
    </row>
    <row r="117" spans="1:38" x14ac:dyDescent="0.3">
      <c r="A117" t="s">
        <v>60</v>
      </c>
      <c r="B117">
        <v>2050</v>
      </c>
      <c r="C117">
        <v>8.6043575119269869E-3</v>
      </c>
      <c r="D117">
        <v>0.5376065202466499</v>
      </c>
      <c r="E117">
        <v>0.48073164954092396</v>
      </c>
      <c r="F117">
        <v>0.3982319372451355</v>
      </c>
      <c r="G117">
        <v>0</v>
      </c>
      <c r="H117">
        <v>0.82674097986334938</v>
      </c>
      <c r="I117">
        <v>0.37483250899060117</v>
      </c>
      <c r="J117">
        <v>8.6208915350911242E-2</v>
      </c>
      <c r="K117">
        <v>0.52989299871738338</v>
      </c>
      <c r="L117">
        <v>0.39562266551721154</v>
      </c>
      <c r="M117">
        <v>0.29973039626516695</v>
      </c>
      <c r="N117">
        <v>0.25411184953281563</v>
      </c>
      <c r="O117">
        <v>0.61594202898550721</v>
      </c>
      <c r="P117">
        <v>0.30509761488264564</v>
      </c>
      <c r="Q117">
        <v>0.29080681195766389</v>
      </c>
      <c r="R117">
        <v>3.6654858362044178E-2</v>
      </c>
      <c r="S117">
        <v>0.15906785438484669</v>
      </c>
      <c r="T117">
        <v>0.12580850882522276</v>
      </c>
      <c r="U117">
        <v>0.93472427239689992</v>
      </c>
      <c r="V117">
        <v>0.26940168202368059</v>
      </c>
      <c r="W117">
        <v>9.0030680053485371E-2</v>
      </c>
      <c r="X117">
        <v>9.8804335753735123E-2</v>
      </c>
      <c r="Y117">
        <v>9.2834862387044886E-2</v>
      </c>
      <c r="Z117">
        <v>0</v>
      </c>
      <c r="AA117">
        <v>0.62738447688478716</v>
      </c>
      <c r="AB117">
        <v>0.92930870309544866</v>
      </c>
      <c r="AC117">
        <v>0.57916356233234312</v>
      </c>
      <c r="AD117">
        <v>0.84835633028515545</v>
      </c>
      <c r="AE117">
        <v>0.25624931334142598</v>
      </c>
      <c r="AF117">
        <v>0.4185643399874785</v>
      </c>
      <c r="AG117">
        <v>0.324343383335222</v>
      </c>
      <c r="AH117">
        <v>0.67101108653430241</v>
      </c>
      <c r="AI117">
        <v>0.63494164423931143</v>
      </c>
      <c r="AJ117">
        <v>0.43008448219461937</v>
      </c>
      <c r="AK117">
        <v>0.29036625980816794</v>
      </c>
      <c r="AL117">
        <v>0.128074237912079</v>
      </c>
    </row>
    <row r="118" spans="1:38" x14ac:dyDescent="0.3">
      <c r="A118" t="s">
        <v>61</v>
      </c>
      <c r="B118">
        <v>2005</v>
      </c>
      <c r="C118">
        <v>8.3827324497320682E-4</v>
      </c>
      <c r="D118">
        <v>0.18880372550715369</v>
      </c>
      <c r="E118">
        <v>0.11383608280461954</v>
      </c>
      <c r="F118">
        <v>1.0866625332718984E-5</v>
      </c>
      <c r="G118">
        <v>0</v>
      </c>
      <c r="H118">
        <v>3.5886031668516991E-2</v>
      </c>
      <c r="I118">
        <v>1.9942013676630456E-4</v>
      </c>
      <c r="J118">
        <v>4.2882800844599124E-3</v>
      </c>
      <c r="K118">
        <v>2.9340047449667471E-2</v>
      </c>
      <c r="L118">
        <v>2.5515437941554834E-3</v>
      </c>
      <c r="M118">
        <v>8.7882610188436271E-6</v>
      </c>
      <c r="N118">
        <v>6.7544135196305069E-3</v>
      </c>
      <c r="O118">
        <v>0.18348623853211007</v>
      </c>
      <c r="P118">
        <v>1.3108552645333629E-5</v>
      </c>
      <c r="Q118">
        <v>4.0252947991284309E-2</v>
      </c>
      <c r="R118">
        <v>6.0774421722267821E-3</v>
      </c>
      <c r="S118">
        <v>2.2255017364489018E-3</v>
      </c>
      <c r="T118">
        <v>4.7410952244809245E-5</v>
      </c>
      <c r="U118">
        <v>4.4813402727977326E-2</v>
      </c>
      <c r="V118">
        <v>1.1319393398702411E-3</v>
      </c>
      <c r="W118">
        <v>1.5170243362402073E-5</v>
      </c>
      <c r="X118">
        <v>7.6568786442321411E-5</v>
      </c>
      <c r="Y118">
        <v>5.6346589376476482E-5</v>
      </c>
      <c r="Z118">
        <v>0</v>
      </c>
      <c r="AA118">
        <v>1.6180523349456745E-3</v>
      </c>
      <c r="AB118">
        <v>4.4506959652879962E-7</v>
      </c>
      <c r="AC118">
        <v>2.6230950702393506E-3</v>
      </c>
      <c r="AD118">
        <v>1.4432543954892301E-2</v>
      </c>
      <c r="AE118">
        <v>7.7181665773925177E-3</v>
      </c>
      <c r="AF118">
        <v>1.17109708984945E-2</v>
      </c>
      <c r="AG118">
        <v>4.5725517782942593E-4</v>
      </c>
      <c r="AH118">
        <v>9.7798051034203096E-5</v>
      </c>
      <c r="AI118">
        <v>2.4672700746545376E-2</v>
      </c>
      <c r="AJ118">
        <v>1.7594246531660855E-2</v>
      </c>
      <c r="AK118">
        <v>4.4527969497134174E-5</v>
      </c>
      <c r="AL118">
        <v>4.4069256612012985E-4</v>
      </c>
    </row>
    <row r="119" spans="1:38" x14ac:dyDescent="0.3">
      <c r="A119" t="s">
        <v>61</v>
      </c>
      <c r="B119">
        <v>2010</v>
      </c>
      <c r="C119">
        <v>8.3827324497320682E-4</v>
      </c>
      <c r="D119">
        <v>0.18880372550715369</v>
      </c>
      <c r="E119">
        <v>0.11383608280461954</v>
      </c>
      <c r="F119">
        <v>1.0866625332718984E-5</v>
      </c>
      <c r="G119">
        <v>0</v>
      </c>
      <c r="H119">
        <v>3.5886031668516991E-2</v>
      </c>
      <c r="I119">
        <v>1.9942013676630456E-4</v>
      </c>
      <c r="J119">
        <v>4.2882800844599124E-3</v>
      </c>
      <c r="K119">
        <v>2.9340047449667471E-2</v>
      </c>
      <c r="L119">
        <v>2.5515437941554834E-3</v>
      </c>
      <c r="M119">
        <v>8.7882610188436271E-6</v>
      </c>
      <c r="N119">
        <v>6.7544135196305069E-3</v>
      </c>
      <c r="O119">
        <v>0.19642857142857145</v>
      </c>
      <c r="P119">
        <v>1.3108552645333629E-5</v>
      </c>
      <c r="Q119">
        <v>4.0252947991284309E-2</v>
      </c>
      <c r="R119">
        <v>6.0774421722267821E-3</v>
      </c>
      <c r="S119">
        <v>2.2255017364489018E-3</v>
      </c>
      <c r="T119">
        <v>4.7410952244809245E-5</v>
      </c>
      <c r="U119">
        <v>4.4813402727977326E-2</v>
      </c>
      <c r="V119">
        <v>1.1319393398702411E-3</v>
      </c>
      <c r="W119">
        <v>1.5170243362402073E-5</v>
      </c>
      <c r="X119">
        <v>7.6568786442321411E-5</v>
      </c>
      <c r="Y119">
        <v>5.6346589376476482E-5</v>
      </c>
      <c r="Z119">
        <v>0</v>
      </c>
      <c r="AA119">
        <v>1.6180523349456745E-3</v>
      </c>
      <c r="AB119">
        <v>4.4506959652879962E-7</v>
      </c>
      <c r="AC119">
        <v>2.6230950702393506E-3</v>
      </c>
      <c r="AD119">
        <v>1.4432543954892301E-2</v>
      </c>
      <c r="AE119">
        <v>7.7181665773925177E-3</v>
      </c>
      <c r="AF119">
        <v>1.17109708984945E-2</v>
      </c>
      <c r="AG119">
        <v>4.5725517782942593E-4</v>
      </c>
      <c r="AH119">
        <v>9.7798051034203096E-5</v>
      </c>
      <c r="AI119">
        <v>2.4672700746545376E-2</v>
      </c>
      <c r="AJ119">
        <v>1.7594246531660855E-2</v>
      </c>
      <c r="AK119">
        <v>4.4527969497134174E-5</v>
      </c>
      <c r="AL119">
        <v>4.4069256612012985E-4</v>
      </c>
    </row>
    <row r="120" spans="1:38" x14ac:dyDescent="0.3">
      <c r="A120" t="s">
        <v>61</v>
      </c>
      <c r="B120">
        <v>2020</v>
      </c>
      <c r="C120">
        <v>1.081752659388904E-3</v>
      </c>
      <c r="D120">
        <v>0.20557132135153328</v>
      </c>
      <c r="E120">
        <v>0.1237490732752916</v>
      </c>
      <c r="F120">
        <v>1.4688456982558078E-5</v>
      </c>
      <c r="G120">
        <v>0</v>
      </c>
      <c r="H120">
        <v>3.9058329221828912E-2</v>
      </c>
      <c r="I120">
        <v>2.1570252266666769E-4</v>
      </c>
      <c r="J120">
        <v>5.9274146881288159E-3</v>
      </c>
      <c r="K120">
        <v>3.2705352590079936E-2</v>
      </c>
      <c r="L120">
        <v>2.8532131754422626E-3</v>
      </c>
      <c r="M120">
        <v>1.2217734406709317E-5</v>
      </c>
      <c r="N120">
        <v>7.1227252926198623E-3</v>
      </c>
      <c r="O120">
        <v>0.1953125</v>
      </c>
      <c r="P120">
        <v>1.5111937606605736E-5</v>
      </c>
      <c r="Q120">
        <v>4.0621583914754469E-2</v>
      </c>
      <c r="R120">
        <v>7.4465974034401148E-3</v>
      </c>
      <c r="S120">
        <v>2.751179898467712E-3</v>
      </c>
      <c r="T120">
        <v>5.7310756814084619E-5</v>
      </c>
      <c r="U120">
        <v>4.6987373477758186E-2</v>
      </c>
      <c r="V120">
        <v>1.2071792315415761E-3</v>
      </c>
      <c r="W120">
        <v>1.6516178726649463E-5</v>
      </c>
      <c r="X120">
        <v>2.428026331162229E-5</v>
      </c>
      <c r="Y120">
        <v>7.0612740635765358E-5</v>
      </c>
      <c r="Z120">
        <v>0</v>
      </c>
      <c r="AA120">
        <v>2.1936634050788622E-3</v>
      </c>
      <c r="AB120">
        <v>1.3993184593046943E-6</v>
      </c>
      <c r="AC120">
        <v>2.9563488342952242E-3</v>
      </c>
      <c r="AD120">
        <v>1.7099995977866291E-2</v>
      </c>
      <c r="AE120">
        <v>8.4141097731399873E-3</v>
      </c>
      <c r="AF120">
        <v>1.2213496138842463E-2</v>
      </c>
      <c r="AG120">
        <v>5.3815433968613046E-4</v>
      </c>
      <c r="AH120">
        <v>1.3137968022438113E-4</v>
      </c>
      <c r="AI120">
        <v>2.7648852461589827E-2</v>
      </c>
      <c r="AJ120">
        <v>1.9932756874364122E-2</v>
      </c>
      <c r="AK120">
        <v>6.4655350421314141E-5</v>
      </c>
      <c r="AL120">
        <v>5.2410303397632506E-4</v>
      </c>
    </row>
    <row r="121" spans="1:38" x14ac:dyDescent="0.3">
      <c r="A121" t="s">
        <v>61</v>
      </c>
      <c r="B121">
        <v>2030</v>
      </c>
      <c r="C121">
        <v>1.2384987332619637E-3</v>
      </c>
      <c r="D121">
        <v>0.20482035685389996</v>
      </c>
      <c r="E121">
        <v>0.13837437545378345</v>
      </c>
      <c r="F121">
        <v>1.8173330455051811E-5</v>
      </c>
      <c r="G121">
        <v>0</v>
      </c>
      <c r="H121">
        <v>4.4745864984075498E-2</v>
      </c>
      <c r="I121">
        <v>2.9226926094088842E-4</v>
      </c>
      <c r="J121">
        <v>9.0372234410366625E-3</v>
      </c>
      <c r="K121">
        <v>3.6564141206738628E-2</v>
      </c>
      <c r="L121">
        <v>3.4497489190444125E-3</v>
      </c>
      <c r="M121">
        <v>1.7126036678748612E-5</v>
      </c>
      <c r="N121">
        <v>1.0220661609461985E-2</v>
      </c>
      <c r="O121">
        <v>0.1775147928994083</v>
      </c>
      <c r="P121">
        <v>2.0772401568404018E-5</v>
      </c>
      <c r="Q121">
        <v>4.7614413125592253E-2</v>
      </c>
      <c r="R121">
        <v>1.0566402211359804E-2</v>
      </c>
      <c r="S121">
        <v>3.8977152010076094E-3</v>
      </c>
      <c r="T121">
        <v>9.111929914080263E-5</v>
      </c>
      <c r="U121">
        <v>5.2091514848646804E-2</v>
      </c>
      <c r="V121">
        <v>1.6210950376292911E-3</v>
      </c>
      <c r="W121">
        <v>2.087250743759123E-5</v>
      </c>
      <c r="X121">
        <v>3.4228023198590196E-5</v>
      </c>
      <c r="Y121">
        <v>9.656602979991595E-5</v>
      </c>
      <c r="Z121">
        <v>0</v>
      </c>
      <c r="AA121">
        <v>3.3721705557744545E-3</v>
      </c>
      <c r="AB121">
        <v>1.7109107342893043E-6</v>
      </c>
      <c r="AC121">
        <v>3.6255957229643712E-3</v>
      </c>
      <c r="AD121">
        <v>2.071089561872538E-2</v>
      </c>
      <c r="AE121">
        <v>9.8563208954554841E-3</v>
      </c>
      <c r="AF121">
        <v>1.5809246023751874E-2</v>
      </c>
      <c r="AG121">
        <v>6.8929823139606092E-4</v>
      </c>
      <c r="AH121">
        <v>1.9745073838028126E-4</v>
      </c>
      <c r="AI121">
        <v>3.2696207523446909E-2</v>
      </c>
      <c r="AJ121">
        <v>2.5976642749413626E-2</v>
      </c>
      <c r="AK121">
        <v>9.2546666648175307E-5</v>
      </c>
      <c r="AL121">
        <v>7.3929990233103954E-4</v>
      </c>
    </row>
    <row r="122" spans="1:38" x14ac:dyDescent="0.3">
      <c r="A122" t="s">
        <v>61</v>
      </c>
      <c r="B122">
        <v>2040</v>
      </c>
      <c r="C122">
        <v>1.4061464952339409E-3</v>
      </c>
      <c r="D122">
        <v>0.21157942013946329</v>
      </c>
      <c r="E122">
        <v>0.15642509267702359</v>
      </c>
      <c r="F122">
        <v>2.1585386319529759E-5</v>
      </c>
      <c r="G122">
        <v>0</v>
      </c>
      <c r="H122">
        <v>5.0670315594913001E-2</v>
      </c>
      <c r="I122">
        <v>3.5308509607762079E-4</v>
      </c>
      <c r="J122">
        <v>1.1464918016154417E-2</v>
      </c>
      <c r="K122">
        <v>4.0776668337987321E-2</v>
      </c>
      <c r="L122">
        <v>4.2196485336055637E-3</v>
      </c>
      <c r="M122">
        <v>2.0550870690425793E-5</v>
      </c>
      <c r="N122">
        <v>1.189673007732904E-2</v>
      </c>
      <c r="O122">
        <v>0.15319148936170213</v>
      </c>
      <c r="P122">
        <v>2.5320716525290518E-5</v>
      </c>
      <c r="Q122">
        <v>5.3962687207860335E-2</v>
      </c>
      <c r="R122">
        <v>1.2798006295016271E-2</v>
      </c>
      <c r="S122">
        <v>4.5902788007404155E-3</v>
      </c>
      <c r="T122">
        <v>1.1790484043727762E-4</v>
      </c>
      <c r="U122">
        <v>5.7992994352867221E-2</v>
      </c>
      <c r="V122">
        <v>1.9568910830589144E-3</v>
      </c>
      <c r="W122">
        <v>2.3693918999128683E-5</v>
      </c>
      <c r="X122">
        <v>4.3058985968369849E-5</v>
      </c>
      <c r="Y122">
        <v>1.1142191764809427E-4</v>
      </c>
      <c r="Z122">
        <v>0</v>
      </c>
      <c r="AA122">
        <v>4.5972359001301057E-3</v>
      </c>
      <c r="AB122">
        <v>1.8757088660166773E-6</v>
      </c>
      <c r="AC122">
        <v>4.1253511511395759E-3</v>
      </c>
      <c r="AD122">
        <v>2.4036677870943633E-2</v>
      </c>
      <c r="AE122">
        <v>1.0202755283103037E-2</v>
      </c>
      <c r="AF122">
        <v>1.811213190986025E-2</v>
      </c>
      <c r="AG122">
        <v>8.3388652922142151E-4</v>
      </c>
      <c r="AH122">
        <v>2.5615163502507244E-4</v>
      </c>
      <c r="AI122">
        <v>3.8023267928098799E-2</v>
      </c>
      <c r="AJ122">
        <v>3.0006117051511596E-2</v>
      </c>
      <c r="AK122">
        <v>1.0922188443249037E-4</v>
      </c>
      <c r="AL122">
        <v>9.4050031954509756E-4</v>
      </c>
    </row>
    <row r="123" spans="1:38" x14ac:dyDescent="0.3">
      <c r="A123" t="s">
        <v>61</v>
      </c>
      <c r="B123">
        <v>2050</v>
      </c>
      <c r="C123">
        <v>0.34780407366110705</v>
      </c>
      <c r="D123">
        <v>0.21778746428270623</v>
      </c>
      <c r="E123">
        <v>0.17388414075202516</v>
      </c>
      <c r="F123">
        <v>2.5361266561008485E-5</v>
      </c>
      <c r="G123">
        <v>0</v>
      </c>
      <c r="H123">
        <v>5.7734800083339546E-2</v>
      </c>
      <c r="I123">
        <v>4.2197359462035547E-4</v>
      </c>
      <c r="J123">
        <v>1.4436595303606531E-2</v>
      </c>
      <c r="K123">
        <v>4.5194953059037195E-2</v>
      </c>
      <c r="L123">
        <v>5.0996349979280904E-3</v>
      </c>
      <c r="M123">
        <v>2.4431623217926E-5</v>
      </c>
      <c r="N123">
        <v>1.3761871375716673E-2</v>
      </c>
      <c r="O123">
        <v>0.14855072463768113</v>
      </c>
      <c r="P123">
        <v>3.0542875352710178E-5</v>
      </c>
      <c r="Q123">
        <v>6.0692549299122787E-2</v>
      </c>
      <c r="R123">
        <v>1.5389206716992298E-2</v>
      </c>
      <c r="S123">
        <v>5.3644095410080922E-3</v>
      </c>
      <c r="T123">
        <v>1.5100089998531984E-4</v>
      </c>
      <c r="U123">
        <v>6.5275727603100075E-2</v>
      </c>
      <c r="V123">
        <v>2.3390202056354338E-3</v>
      </c>
      <c r="W123">
        <v>2.6899600593958543E-5</v>
      </c>
      <c r="X123">
        <v>5.3760065069456083E-5</v>
      </c>
      <c r="Y123">
        <v>1.2799651762580196E-4</v>
      </c>
      <c r="Z123">
        <v>0</v>
      </c>
      <c r="AA123">
        <v>5.9928755918036165E-3</v>
      </c>
      <c r="AB123">
        <v>2.0412911651563418E-6</v>
      </c>
      <c r="AC123">
        <v>4.6450582368565904E-3</v>
      </c>
      <c r="AD123">
        <v>2.7068150326564559E-2</v>
      </c>
      <c r="AE123">
        <v>1.0614402609286607E-2</v>
      </c>
      <c r="AF123">
        <v>2.056287493161028E-2</v>
      </c>
      <c r="AG123">
        <v>9.9989220189447927E-4</v>
      </c>
      <c r="AH123">
        <v>3.1435496662788904E-4</v>
      </c>
      <c r="AI123">
        <v>4.4340645725342812E-2</v>
      </c>
      <c r="AJ123">
        <v>3.4354491726101333E-2</v>
      </c>
      <c r="AK123">
        <v>1.2765928143641288E-4</v>
      </c>
      <c r="AL123">
        <v>1.1858177946229946E-3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A363D-A204-4780-92BB-7A1D0DD04C28}">
  <sheetPr>
    <tabColor theme="3" tint="0.59999389629810485"/>
  </sheetPr>
  <dimension ref="A1:AM51"/>
  <sheetViews>
    <sheetView zoomScale="85" zoomScaleNormal="85" workbookViewId="0">
      <selection activeCell="E18" sqref="E18"/>
    </sheetView>
  </sheetViews>
  <sheetFormatPr defaultRowHeight="14.4" x14ac:dyDescent="0.3"/>
  <cols>
    <col min="2" max="2" width="17.6640625" customWidth="1"/>
    <col min="3" max="3" width="14.33203125" bestFit="1" customWidth="1"/>
    <col min="4" max="4" width="10.33203125" bestFit="1" customWidth="1"/>
    <col min="5" max="5" width="12.44140625" bestFit="1" customWidth="1"/>
    <col min="6" max="6" width="17.44140625" bestFit="1" customWidth="1"/>
    <col min="7" max="7" width="23.109375" bestFit="1" customWidth="1"/>
    <col min="8" max="8" width="14.88671875" bestFit="1" customWidth="1"/>
    <col min="9" max="9" width="13" bestFit="1" customWidth="1"/>
    <col min="10" max="10" width="10.33203125" bestFit="1" customWidth="1"/>
    <col min="11" max="11" width="10.6640625" bestFit="1" customWidth="1"/>
    <col min="12" max="15" width="14.88671875" bestFit="1" customWidth="1"/>
    <col min="16" max="16" width="14.5546875" bestFit="1" customWidth="1"/>
    <col min="17" max="17" width="19.109375" bestFit="1" customWidth="1"/>
    <col min="22" max="22" width="17.44140625" customWidth="1"/>
    <col min="23" max="23" width="13.5546875" customWidth="1"/>
    <col min="30" max="30" width="11.6640625" bestFit="1" customWidth="1"/>
  </cols>
  <sheetData>
    <row r="1" spans="1:38" x14ac:dyDescent="0.3">
      <c r="A1" s="52" t="s">
        <v>117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4"/>
      <c r="M1" s="53"/>
      <c r="N1" s="53"/>
      <c r="O1" s="53"/>
      <c r="P1" s="53"/>
      <c r="Q1" s="53"/>
      <c r="R1" s="53"/>
      <c r="S1" s="55"/>
    </row>
    <row r="2" spans="1:38" x14ac:dyDescent="0.3">
      <c r="A2" s="56"/>
      <c r="B2" s="4" t="s">
        <v>118</v>
      </c>
      <c r="C2" s="4"/>
      <c r="D2" s="4"/>
      <c r="E2" s="4"/>
      <c r="F2" s="4"/>
      <c r="G2" s="4"/>
      <c r="H2" s="4"/>
      <c r="L2" s="18"/>
      <c r="S2" s="57"/>
    </row>
    <row r="3" spans="1:38" x14ac:dyDescent="0.3">
      <c r="A3" s="56"/>
      <c r="B3" s="4"/>
      <c r="C3" s="4"/>
      <c r="D3" s="4"/>
      <c r="E3" s="4"/>
      <c r="F3" s="4"/>
      <c r="G3" s="4"/>
      <c r="H3" s="4" t="s">
        <v>119</v>
      </c>
      <c r="L3" s="18"/>
    </row>
    <row r="4" spans="1:38" s="60" customFormat="1" ht="27" thickBot="1" x14ac:dyDescent="0.35">
      <c r="A4" s="58"/>
      <c r="B4" s="59" t="s">
        <v>120</v>
      </c>
      <c r="C4" s="59" t="s">
        <v>68</v>
      </c>
      <c r="D4" s="59" t="s">
        <v>121</v>
      </c>
      <c r="E4" s="59" t="s">
        <v>122</v>
      </c>
      <c r="F4" s="59" t="s">
        <v>66</v>
      </c>
      <c r="G4" s="59" t="s">
        <v>67</v>
      </c>
      <c r="H4" s="59" t="s">
        <v>65</v>
      </c>
      <c r="I4" s="59" t="s">
        <v>123</v>
      </c>
      <c r="J4" s="59" t="s">
        <v>124</v>
      </c>
      <c r="K4" s="59" t="s">
        <v>125</v>
      </c>
      <c r="L4" s="59" t="s">
        <v>126</v>
      </c>
      <c r="M4" s="59" t="s">
        <v>127</v>
      </c>
      <c r="N4" s="59" t="s">
        <v>128</v>
      </c>
      <c r="O4" s="59" t="s">
        <v>129</v>
      </c>
      <c r="P4" s="59" t="s">
        <v>130</v>
      </c>
      <c r="Q4" s="59" t="s">
        <v>131</v>
      </c>
      <c r="R4" s="59" t="s">
        <v>132</v>
      </c>
      <c r="S4" s="59"/>
      <c r="V4"/>
      <c r="AA4"/>
      <c r="AB4"/>
      <c r="AC4"/>
      <c r="AD4"/>
      <c r="AE4"/>
      <c r="AF4"/>
      <c r="AG4"/>
      <c r="AH4"/>
      <c r="AI4"/>
      <c r="AJ4"/>
      <c r="AK4"/>
      <c r="AL4"/>
    </row>
    <row r="5" spans="1:38" x14ac:dyDescent="0.3">
      <c r="A5" s="56"/>
      <c r="B5" t="s">
        <v>133</v>
      </c>
      <c r="C5" t="s">
        <v>134</v>
      </c>
      <c r="G5" s="61" t="s">
        <v>135</v>
      </c>
      <c r="H5" t="s">
        <v>74</v>
      </c>
      <c r="K5">
        <v>1</v>
      </c>
      <c r="L5" s="18">
        <v>6573.7051792828679</v>
      </c>
      <c r="M5" s="18">
        <v>6573.7051792828679</v>
      </c>
      <c r="N5" s="18">
        <v>22788.844621513941</v>
      </c>
      <c r="O5" s="18">
        <v>22788.844621513941</v>
      </c>
      <c r="P5" s="18">
        <v>22788.844621513941</v>
      </c>
      <c r="Q5">
        <v>15</v>
      </c>
      <c r="R5" t="s">
        <v>133</v>
      </c>
      <c r="S5" s="57"/>
    </row>
    <row r="6" spans="1:38" x14ac:dyDescent="0.3">
      <c r="A6" s="56"/>
      <c r="B6" t="s">
        <v>136</v>
      </c>
      <c r="C6" t="s">
        <v>137</v>
      </c>
      <c r="G6" s="61" t="s">
        <v>135</v>
      </c>
      <c r="H6" t="s">
        <v>74</v>
      </c>
      <c r="K6">
        <v>1</v>
      </c>
      <c r="L6" s="18">
        <v>7012.9870129870133</v>
      </c>
      <c r="M6" s="18">
        <v>7012.9870129870133</v>
      </c>
      <c r="N6" s="18">
        <v>12181.818181818182</v>
      </c>
      <c r="O6" s="18">
        <v>12181.818181818182</v>
      </c>
      <c r="P6" s="18">
        <v>12181.818181818182</v>
      </c>
      <c r="Q6">
        <v>15</v>
      </c>
      <c r="R6" t="s">
        <v>136</v>
      </c>
      <c r="S6" s="57"/>
    </row>
    <row r="7" spans="1:38" ht="15" thickBot="1" x14ac:dyDescent="0.35">
      <c r="A7" s="62"/>
      <c r="B7" s="63" t="s">
        <v>138</v>
      </c>
      <c r="C7" s="63" t="s">
        <v>139</v>
      </c>
      <c r="D7" s="63"/>
      <c r="E7" s="63"/>
      <c r="F7" s="63"/>
      <c r="G7" s="64" t="s">
        <v>135</v>
      </c>
      <c r="H7" s="63" t="s">
        <v>74</v>
      </c>
      <c r="I7" s="63"/>
      <c r="J7" s="63"/>
      <c r="K7" s="63">
        <v>1</v>
      </c>
      <c r="L7" s="65">
        <v>283</v>
      </c>
      <c r="M7" s="63">
        <v>283</v>
      </c>
      <c r="N7" s="63">
        <v>517</v>
      </c>
      <c r="O7" s="63">
        <v>517</v>
      </c>
      <c r="P7" s="63">
        <v>517</v>
      </c>
      <c r="Q7" s="63">
        <v>15</v>
      </c>
      <c r="R7" s="63" t="s">
        <v>138</v>
      </c>
      <c r="S7" s="66"/>
      <c r="W7" s="48"/>
      <c r="X7" s="48"/>
      <c r="Y7" s="48"/>
      <c r="Z7" s="48"/>
    </row>
    <row r="8" spans="1:38" x14ac:dyDescent="0.3">
      <c r="G8" s="61"/>
      <c r="L8" s="18"/>
      <c r="W8" s="48"/>
      <c r="X8" s="48"/>
      <c r="Y8" s="48"/>
      <c r="Z8" s="48"/>
    </row>
    <row r="9" spans="1:38" x14ac:dyDescent="0.3">
      <c r="B9" s="67" t="s">
        <v>62</v>
      </c>
    </row>
    <row r="10" spans="1:38" ht="15" thickBot="1" x14ac:dyDescent="0.35">
      <c r="B10" s="59" t="s">
        <v>63</v>
      </c>
      <c r="C10" s="59" t="s">
        <v>64</v>
      </c>
      <c r="D10" s="59" t="s">
        <v>65</v>
      </c>
      <c r="E10" s="59" t="s">
        <v>66</v>
      </c>
      <c r="F10" s="59" t="s">
        <v>67</v>
      </c>
      <c r="G10" s="59" t="s">
        <v>68</v>
      </c>
      <c r="H10" s="59" t="s">
        <v>69</v>
      </c>
      <c r="K10" t="s">
        <v>140</v>
      </c>
      <c r="AE10" s="68"/>
      <c r="AF10" s="68"/>
      <c r="AG10" s="68"/>
      <c r="AH10" s="68"/>
      <c r="AI10" s="68"/>
    </row>
    <row r="11" spans="1:38" x14ac:dyDescent="0.3">
      <c r="C11" t="s">
        <v>77</v>
      </c>
      <c r="E11" t="s">
        <v>78</v>
      </c>
      <c r="F11" s="69" t="s">
        <v>141</v>
      </c>
      <c r="G11" t="s">
        <v>134</v>
      </c>
      <c r="H11" s="70">
        <v>0.8826072727272728</v>
      </c>
      <c r="K11">
        <v>35.163636363636364</v>
      </c>
      <c r="AE11" s="68"/>
      <c r="AF11" s="68"/>
      <c r="AG11" s="68"/>
      <c r="AH11" s="68"/>
      <c r="AI11" s="68"/>
    </row>
    <row r="12" spans="1:38" x14ac:dyDescent="0.3">
      <c r="C12" t="s">
        <v>77</v>
      </c>
      <c r="E12" t="s">
        <v>78</v>
      </c>
      <c r="F12" s="71" t="s">
        <v>142</v>
      </c>
      <c r="G12" t="s">
        <v>134</v>
      </c>
      <c r="H12" s="70">
        <v>0.67010856643356653</v>
      </c>
      <c r="K12">
        <v>92.551515151515162</v>
      </c>
      <c r="AE12" s="68"/>
      <c r="AF12" s="68"/>
      <c r="AG12" s="68"/>
      <c r="AH12" s="68"/>
      <c r="AI12" s="68"/>
    </row>
    <row r="13" spans="1:38" x14ac:dyDescent="0.3">
      <c r="C13" t="s">
        <v>77</v>
      </c>
      <c r="E13" t="s">
        <v>78</v>
      </c>
      <c r="F13" s="71" t="s">
        <v>141</v>
      </c>
      <c r="G13" t="s">
        <v>137</v>
      </c>
      <c r="H13" s="70">
        <v>0.53181333333333336</v>
      </c>
      <c r="K13">
        <v>13.813333333333333</v>
      </c>
    </row>
    <row r="14" spans="1:38" x14ac:dyDescent="0.3">
      <c r="C14" t="s">
        <v>77</v>
      </c>
      <c r="E14" t="s">
        <v>78</v>
      </c>
      <c r="F14" s="71" t="s">
        <v>142</v>
      </c>
      <c r="G14" t="s">
        <v>137</v>
      </c>
      <c r="H14" s="70">
        <v>0.47214626865671638</v>
      </c>
      <c r="K14">
        <v>21.302222222222223</v>
      </c>
    </row>
    <row r="15" spans="1:38" x14ac:dyDescent="0.3">
      <c r="C15" t="s">
        <v>77</v>
      </c>
      <c r="E15" t="s">
        <v>78</v>
      </c>
      <c r="F15" s="71" t="s">
        <v>141</v>
      </c>
      <c r="G15" t="s">
        <v>139</v>
      </c>
      <c r="H15" s="70">
        <v>7.0939929328621911</v>
      </c>
      <c r="K15">
        <v>7.0939929328621911</v>
      </c>
      <c r="AE15" s="68"/>
      <c r="AF15" s="68"/>
      <c r="AG15" s="68"/>
      <c r="AH15" s="68"/>
      <c r="AI15" s="68"/>
    </row>
    <row r="16" spans="1:38" x14ac:dyDescent="0.3">
      <c r="C16" t="s">
        <v>77</v>
      </c>
      <c r="E16" t="s">
        <v>78</v>
      </c>
      <c r="F16" s="71" t="s">
        <v>142</v>
      </c>
      <c r="G16" t="s">
        <v>139</v>
      </c>
      <c r="H16" s="70">
        <v>7.0123791102514517</v>
      </c>
      <c r="K16">
        <v>12.81060070671378</v>
      </c>
      <c r="U16" s="72"/>
      <c r="V16" s="72"/>
      <c r="W16" s="72"/>
      <c r="X16" s="72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</row>
    <row r="17" spans="2:39" x14ac:dyDescent="0.3">
      <c r="U17" s="72"/>
      <c r="V17" s="72"/>
      <c r="W17" s="72"/>
      <c r="X17" s="72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</row>
    <row r="18" spans="2:39" x14ac:dyDescent="0.3">
      <c r="W18" s="72"/>
      <c r="X18" s="72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</row>
    <row r="19" spans="2:39" x14ac:dyDescent="0.3">
      <c r="B19" t="s">
        <v>143</v>
      </c>
      <c r="I19" s="73"/>
      <c r="J19" s="73"/>
      <c r="K19" s="73"/>
      <c r="L19" s="73"/>
      <c r="M19" s="73"/>
      <c r="N19" s="73"/>
      <c r="O19" s="73"/>
      <c r="P19" s="73"/>
      <c r="T19" s="74"/>
      <c r="U19" s="74"/>
      <c r="V19" s="74"/>
      <c r="W19" s="72"/>
      <c r="X19" s="72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</row>
    <row r="20" spans="2:39" x14ac:dyDescent="0.3">
      <c r="I20" s="75"/>
      <c r="J20" s="75"/>
      <c r="K20" s="75"/>
      <c r="L20" s="75"/>
      <c r="M20" s="75"/>
      <c r="N20" s="75"/>
      <c r="O20" s="75"/>
      <c r="P20" s="76"/>
      <c r="W20" s="72"/>
      <c r="X20" s="72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</row>
    <row r="21" spans="2:39" x14ac:dyDescent="0.3">
      <c r="B21" s="77" t="s">
        <v>62</v>
      </c>
      <c r="C21" s="77"/>
      <c r="I21" s="75"/>
      <c r="J21" s="75"/>
      <c r="K21" s="75"/>
      <c r="L21" s="75"/>
      <c r="M21" s="75"/>
      <c r="N21" s="75"/>
      <c r="O21" s="75"/>
      <c r="P21" s="76"/>
      <c r="W21" s="72"/>
      <c r="X21" s="72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</row>
    <row r="22" spans="2:39" x14ac:dyDescent="0.3">
      <c r="B22" s="78" t="s">
        <v>66</v>
      </c>
      <c r="C22" s="78" t="s">
        <v>65</v>
      </c>
      <c r="D22" s="79" t="s">
        <v>67</v>
      </c>
      <c r="E22" s="80" t="s">
        <v>14</v>
      </c>
      <c r="F22" s="80" t="s">
        <v>34</v>
      </c>
      <c r="G22" s="81" t="s">
        <v>68</v>
      </c>
      <c r="H22" s="81" t="s">
        <v>144</v>
      </c>
      <c r="I22" s="75"/>
      <c r="J22" s="75"/>
      <c r="K22" s="75"/>
      <c r="L22" s="75"/>
      <c r="M22" s="75"/>
      <c r="N22" s="75"/>
      <c r="O22" s="75"/>
      <c r="P22" s="76"/>
      <c r="W22" s="72"/>
      <c r="X22" s="72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</row>
    <row r="23" spans="2:39" x14ac:dyDescent="0.3">
      <c r="B23" s="82" t="s">
        <v>75</v>
      </c>
      <c r="C23" s="83" t="s">
        <v>74</v>
      </c>
      <c r="D23" s="83">
        <v>2025</v>
      </c>
      <c r="E23" s="84">
        <v>15</v>
      </c>
      <c r="F23" s="83">
        <v>40</v>
      </c>
      <c r="G23" s="82" t="s">
        <v>145</v>
      </c>
      <c r="H23" s="82"/>
      <c r="I23" s="75"/>
      <c r="J23" s="75"/>
      <c r="K23" s="75"/>
      <c r="L23" s="75"/>
      <c r="M23" s="75"/>
      <c r="N23" s="75"/>
      <c r="O23" s="75"/>
      <c r="P23" s="76"/>
      <c r="W23" s="72"/>
      <c r="X23" s="72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</row>
    <row r="24" spans="2:39" x14ac:dyDescent="0.3">
      <c r="B24" s="82" t="s">
        <v>75</v>
      </c>
      <c r="C24" s="83" t="s">
        <v>74</v>
      </c>
      <c r="D24" s="83">
        <v>2035</v>
      </c>
      <c r="E24" s="84">
        <v>10</v>
      </c>
      <c r="F24" s="83">
        <v>40</v>
      </c>
      <c r="G24" s="82" t="s">
        <v>145</v>
      </c>
      <c r="H24" s="82"/>
      <c r="U24" s="72"/>
      <c r="V24" s="72"/>
      <c r="W24" s="72"/>
      <c r="X24" s="72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</row>
    <row r="25" spans="2:39" x14ac:dyDescent="0.3">
      <c r="B25" s="82" t="s">
        <v>75</v>
      </c>
      <c r="C25" s="83" t="s">
        <v>74</v>
      </c>
      <c r="D25" s="83">
        <v>0</v>
      </c>
      <c r="E25" s="84">
        <v>5</v>
      </c>
      <c r="F25" s="83">
        <v>40</v>
      </c>
      <c r="G25" s="82" t="s">
        <v>145</v>
      </c>
      <c r="H25" s="82"/>
      <c r="U25" s="72"/>
      <c r="V25" s="72"/>
      <c r="W25" s="72"/>
      <c r="X25" s="72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</row>
    <row r="26" spans="2:39" x14ac:dyDescent="0.3">
      <c r="B26" s="49"/>
      <c r="C26" s="85"/>
      <c r="D26" s="85"/>
      <c r="E26" s="86"/>
      <c r="F26" s="85"/>
      <c r="G26" s="49"/>
      <c r="H26" s="49"/>
      <c r="U26" s="72"/>
      <c r="V26" s="72"/>
      <c r="W26" s="72"/>
      <c r="X26" s="72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</row>
    <row r="27" spans="2:39" x14ac:dyDescent="0.3">
      <c r="U27" s="72"/>
      <c r="V27" s="72"/>
      <c r="W27" s="72"/>
      <c r="X27" s="72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</row>
    <row r="28" spans="2:39" x14ac:dyDescent="0.3">
      <c r="U28" s="72"/>
      <c r="V28" s="72"/>
      <c r="W28" s="72"/>
      <c r="X28" s="72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</row>
    <row r="29" spans="2:39" x14ac:dyDescent="0.3">
      <c r="U29" s="72"/>
      <c r="V29" s="72"/>
      <c r="W29" s="72"/>
      <c r="X29" s="72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</row>
    <row r="30" spans="2:39" x14ac:dyDescent="0.3">
      <c r="B30" s="67" t="s">
        <v>62</v>
      </c>
    </row>
    <row r="31" spans="2:39" ht="15" thickBot="1" x14ac:dyDescent="0.35">
      <c r="B31" s="7" t="s">
        <v>63</v>
      </c>
      <c r="C31" s="7" t="s">
        <v>64</v>
      </c>
      <c r="D31" s="7" t="s">
        <v>65</v>
      </c>
      <c r="E31" s="7" t="s">
        <v>66</v>
      </c>
      <c r="F31" s="7" t="s">
        <v>67</v>
      </c>
      <c r="G31" s="8" t="s">
        <v>68</v>
      </c>
      <c r="H31" s="9" t="s">
        <v>69</v>
      </c>
      <c r="I31" s="9" t="s">
        <v>3</v>
      </c>
      <c r="J31" s="9" t="s">
        <v>4</v>
      </c>
      <c r="K31" s="9" t="s">
        <v>5</v>
      </c>
      <c r="L31" s="9" t="s">
        <v>17</v>
      </c>
      <c r="M31" s="9" t="s">
        <v>8</v>
      </c>
      <c r="N31" s="9" t="s">
        <v>9</v>
      </c>
      <c r="O31" s="9" t="s">
        <v>11</v>
      </c>
      <c r="P31" s="9" t="s">
        <v>12</v>
      </c>
      <c r="Q31" s="9" t="s">
        <v>14</v>
      </c>
      <c r="R31" s="9" t="s">
        <v>15</v>
      </c>
      <c r="S31" s="9" t="s">
        <v>10</v>
      </c>
      <c r="T31" s="9" t="s">
        <v>16</v>
      </c>
      <c r="U31" s="9" t="s">
        <v>18</v>
      </c>
      <c r="V31" s="9" t="s">
        <v>19</v>
      </c>
      <c r="W31" s="9" t="s">
        <v>21</v>
      </c>
      <c r="X31" s="9" t="s">
        <v>24</v>
      </c>
      <c r="Y31" s="9" t="s">
        <v>22</v>
      </c>
      <c r="Z31" s="9" t="s">
        <v>23</v>
      </c>
      <c r="AA31" s="9" t="s">
        <v>27</v>
      </c>
      <c r="AB31" s="9" t="s">
        <v>28</v>
      </c>
      <c r="AC31" s="9" t="s">
        <v>30</v>
      </c>
      <c r="AD31" s="9" t="s">
        <v>31</v>
      </c>
      <c r="AE31" s="9" t="s">
        <v>32</v>
      </c>
      <c r="AF31" s="9" t="s">
        <v>36</v>
      </c>
      <c r="AG31" s="9" t="s">
        <v>35</v>
      </c>
      <c r="AH31" s="9" t="s">
        <v>13</v>
      </c>
      <c r="AI31" s="9" t="s">
        <v>34</v>
      </c>
      <c r="AJ31" s="9" t="s">
        <v>37</v>
      </c>
      <c r="AL31" s="10" t="s">
        <v>146</v>
      </c>
      <c r="AM31" s="10" t="s">
        <v>108</v>
      </c>
    </row>
    <row r="32" spans="2:39" x14ac:dyDescent="0.3">
      <c r="B32" t="s">
        <v>73</v>
      </c>
      <c r="D32" t="s">
        <v>74</v>
      </c>
      <c r="E32" t="s">
        <v>75</v>
      </c>
      <c r="F32">
        <v>2015</v>
      </c>
      <c r="G32" t="str">
        <f>BioImport!$C$7</f>
        <v>IMPBIOWOO</v>
      </c>
      <c r="H32">
        <v>0</v>
      </c>
      <c r="I32" s="18">
        <v>0</v>
      </c>
      <c r="J32" s="18">
        <v>9</v>
      </c>
      <c r="K32" s="18">
        <v>0</v>
      </c>
      <c r="L32" s="18">
        <v>0</v>
      </c>
      <c r="M32" s="18">
        <v>0</v>
      </c>
      <c r="N32" s="18">
        <v>0</v>
      </c>
      <c r="O32" s="18">
        <v>30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1</v>
      </c>
      <c r="W32" s="18">
        <v>30</v>
      </c>
      <c r="X32" s="18">
        <v>0</v>
      </c>
      <c r="Y32" s="18">
        <v>0</v>
      </c>
      <c r="Z32" s="18">
        <v>0</v>
      </c>
      <c r="AA32" s="18">
        <v>0</v>
      </c>
      <c r="AB32" s="18">
        <v>3</v>
      </c>
      <c r="AC32" s="18">
        <v>0</v>
      </c>
      <c r="AD32" s="18">
        <v>0</v>
      </c>
      <c r="AE32" s="18">
        <v>0</v>
      </c>
      <c r="AF32" s="18">
        <v>0</v>
      </c>
      <c r="AG32" s="18">
        <v>1</v>
      </c>
      <c r="AH32" s="18">
        <v>0</v>
      </c>
      <c r="AI32" s="18">
        <v>4</v>
      </c>
      <c r="AJ32" s="18">
        <v>73</v>
      </c>
      <c r="AL32" s="18">
        <f>SUM(I32:AJ32)</f>
        <v>151</v>
      </c>
      <c r="AM32" s="18">
        <f>AL32-AJ32</f>
        <v>78</v>
      </c>
    </row>
    <row r="33" spans="2:39" x14ac:dyDescent="0.3">
      <c r="B33" t="s">
        <v>73</v>
      </c>
      <c r="D33" t="s">
        <v>74</v>
      </c>
      <c r="E33" t="s">
        <v>75</v>
      </c>
      <c r="F33">
        <v>2020</v>
      </c>
      <c r="G33" t="str">
        <f>BioImport!$C$7</f>
        <v>IMPBIOWOO</v>
      </c>
      <c r="H33">
        <v>0</v>
      </c>
      <c r="I33" s="18">
        <v>0</v>
      </c>
      <c r="J33" s="18">
        <v>10</v>
      </c>
      <c r="K33" s="18">
        <v>0</v>
      </c>
      <c r="L33" s="18">
        <v>0</v>
      </c>
      <c r="M33" s="18">
        <v>0</v>
      </c>
      <c r="N33" s="18">
        <v>0</v>
      </c>
      <c r="O33" s="18">
        <v>32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1</v>
      </c>
      <c r="W33" s="18">
        <v>32</v>
      </c>
      <c r="X33" s="18">
        <v>0</v>
      </c>
      <c r="Y33" s="18">
        <v>0</v>
      </c>
      <c r="Z33" s="18">
        <v>0</v>
      </c>
      <c r="AA33" s="18">
        <v>0</v>
      </c>
      <c r="AB33" s="18">
        <v>3</v>
      </c>
      <c r="AC33" s="18">
        <v>0</v>
      </c>
      <c r="AD33" s="18">
        <v>0</v>
      </c>
      <c r="AE33" s="18">
        <v>0</v>
      </c>
      <c r="AF33" s="18">
        <v>0</v>
      </c>
      <c r="AG33" s="18">
        <v>1</v>
      </c>
      <c r="AH33" s="18">
        <v>0</v>
      </c>
      <c r="AI33" s="18">
        <v>4</v>
      </c>
      <c r="AJ33" s="18">
        <v>76</v>
      </c>
      <c r="AL33" s="18">
        <f t="shared" ref="AL33:AL35" si="0">SUM(I33:AJ33)</f>
        <v>159</v>
      </c>
      <c r="AM33" s="18">
        <f t="shared" ref="AM33:AM35" si="1">AL33-AJ33</f>
        <v>83</v>
      </c>
    </row>
    <row r="34" spans="2:39" x14ac:dyDescent="0.3">
      <c r="B34" t="s">
        <v>73</v>
      </c>
      <c r="D34" t="s">
        <v>74</v>
      </c>
      <c r="E34" t="s">
        <v>75</v>
      </c>
      <c r="F34">
        <v>2025</v>
      </c>
      <c r="G34" t="str">
        <f>BioImport!$C$7</f>
        <v>IMPBIOWOO</v>
      </c>
      <c r="H34">
        <v>0</v>
      </c>
      <c r="I34" s="18">
        <v>0</v>
      </c>
      <c r="J34" s="18">
        <v>11</v>
      </c>
      <c r="K34" s="18">
        <v>0</v>
      </c>
      <c r="L34" s="18">
        <v>0</v>
      </c>
      <c r="M34" s="18">
        <v>0</v>
      </c>
      <c r="N34" s="18">
        <v>0</v>
      </c>
      <c r="O34" s="18">
        <v>34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1</v>
      </c>
      <c r="W34" s="18">
        <v>34</v>
      </c>
      <c r="X34" s="18">
        <v>0</v>
      </c>
      <c r="Y34" s="18">
        <v>0</v>
      </c>
      <c r="Z34" s="18">
        <v>0</v>
      </c>
      <c r="AA34" s="18">
        <v>0</v>
      </c>
      <c r="AB34" s="18">
        <v>4</v>
      </c>
      <c r="AC34" s="18">
        <v>0</v>
      </c>
      <c r="AD34" s="18">
        <v>0</v>
      </c>
      <c r="AE34" s="18">
        <v>0</v>
      </c>
      <c r="AF34" s="18">
        <v>0</v>
      </c>
      <c r="AG34" s="18">
        <v>1</v>
      </c>
      <c r="AH34" s="18">
        <v>0</v>
      </c>
      <c r="AI34" s="18">
        <v>4</v>
      </c>
      <c r="AJ34" s="18">
        <v>79</v>
      </c>
      <c r="AL34" s="18">
        <f t="shared" si="0"/>
        <v>168</v>
      </c>
      <c r="AM34" s="18">
        <f t="shared" si="1"/>
        <v>89</v>
      </c>
    </row>
    <row r="35" spans="2:39" x14ac:dyDescent="0.3">
      <c r="B35" t="s">
        <v>73</v>
      </c>
      <c r="D35" t="s">
        <v>74</v>
      </c>
      <c r="E35" t="s">
        <v>75</v>
      </c>
      <c r="F35">
        <v>2030</v>
      </c>
      <c r="G35" t="str">
        <f>BioImport!$C$7</f>
        <v>IMPBIOWOO</v>
      </c>
      <c r="H35">
        <v>0</v>
      </c>
      <c r="I35" s="18">
        <v>0</v>
      </c>
      <c r="J35" s="18">
        <v>12</v>
      </c>
      <c r="K35" s="18">
        <v>0</v>
      </c>
      <c r="L35" s="18">
        <v>0</v>
      </c>
      <c r="M35" s="18">
        <v>0</v>
      </c>
      <c r="N35" s="18">
        <v>0</v>
      </c>
      <c r="O35" s="18">
        <v>36</v>
      </c>
      <c r="P35" s="18">
        <v>0</v>
      </c>
      <c r="Q35" s="18">
        <v>0</v>
      </c>
      <c r="R35" s="18">
        <v>0</v>
      </c>
      <c r="S35" s="18">
        <v>0</v>
      </c>
      <c r="T35" s="18">
        <v>1</v>
      </c>
      <c r="U35" s="18">
        <v>0</v>
      </c>
      <c r="V35" s="18">
        <v>1</v>
      </c>
      <c r="W35" s="18">
        <v>36</v>
      </c>
      <c r="X35" s="18">
        <v>0</v>
      </c>
      <c r="Y35" s="18">
        <v>0</v>
      </c>
      <c r="Z35" s="18">
        <v>0</v>
      </c>
      <c r="AA35" s="18">
        <v>0</v>
      </c>
      <c r="AB35" s="18">
        <v>4</v>
      </c>
      <c r="AC35" s="18">
        <v>0</v>
      </c>
      <c r="AD35" s="18">
        <v>0</v>
      </c>
      <c r="AE35" s="18">
        <v>0</v>
      </c>
      <c r="AF35" s="18">
        <v>0</v>
      </c>
      <c r="AG35" s="18">
        <v>1</v>
      </c>
      <c r="AH35" s="18">
        <v>0</v>
      </c>
      <c r="AI35" s="18">
        <v>4</v>
      </c>
      <c r="AJ35" s="18">
        <v>83</v>
      </c>
      <c r="AL35" s="18">
        <f t="shared" si="0"/>
        <v>178</v>
      </c>
      <c r="AM35" s="18">
        <f t="shared" si="1"/>
        <v>95</v>
      </c>
    </row>
    <row r="36" spans="2:39" x14ac:dyDescent="0.3">
      <c r="B36" t="s">
        <v>73</v>
      </c>
      <c r="D36" t="s">
        <v>74</v>
      </c>
      <c r="E36" t="s">
        <v>75</v>
      </c>
      <c r="F36">
        <v>0</v>
      </c>
      <c r="G36" t="s">
        <v>139</v>
      </c>
      <c r="H36">
        <v>5</v>
      </c>
    </row>
    <row r="38" spans="2:39" x14ac:dyDescent="0.3">
      <c r="B38" s="67" t="s">
        <v>147</v>
      </c>
    </row>
    <row r="39" spans="2:39" ht="15" thickBot="1" x14ac:dyDescent="0.35">
      <c r="B39" s="7" t="s">
        <v>66</v>
      </c>
      <c r="C39" s="7" t="s">
        <v>67</v>
      </c>
      <c r="D39" s="7" t="s">
        <v>148</v>
      </c>
      <c r="E39" s="9" t="s">
        <v>69</v>
      </c>
      <c r="F39" s="8" t="s">
        <v>68</v>
      </c>
      <c r="G39" s="8" t="s">
        <v>149</v>
      </c>
      <c r="H39" s="8" t="s">
        <v>150</v>
      </c>
      <c r="I39" s="8" t="s">
        <v>151</v>
      </c>
    </row>
    <row r="40" spans="2:39" x14ac:dyDescent="0.3">
      <c r="B40" s="87" t="s">
        <v>78</v>
      </c>
      <c r="C40" s="88">
        <v>2015</v>
      </c>
      <c r="D40" s="87" t="s">
        <v>152</v>
      </c>
      <c r="E40" s="88" t="s">
        <v>153</v>
      </c>
      <c r="F40" s="87" t="s">
        <v>48</v>
      </c>
      <c r="G40" s="87" t="s">
        <v>154</v>
      </c>
      <c r="H40" s="87" t="s">
        <v>73</v>
      </c>
      <c r="I40" s="87" t="s">
        <v>155</v>
      </c>
    </row>
    <row r="41" spans="2:39" x14ac:dyDescent="0.3">
      <c r="B41" s="87" t="s">
        <v>78</v>
      </c>
      <c r="C41" s="88">
        <v>2030</v>
      </c>
      <c r="D41" s="87" t="s">
        <v>152</v>
      </c>
      <c r="E41" s="88" t="s">
        <v>153</v>
      </c>
      <c r="F41" s="87" t="s">
        <v>48</v>
      </c>
      <c r="G41" s="87" t="s">
        <v>154</v>
      </c>
      <c r="H41" s="87" t="s">
        <v>73</v>
      </c>
      <c r="I41" s="87" t="s">
        <v>155</v>
      </c>
    </row>
    <row r="42" spans="2:39" x14ac:dyDescent="0.3">
      <c r="B42" s="87" t="s">
        <v>78</v>
      </c>
      <c r="C42" s="88">
        <v>2040</v>
      </c>
      <c r="D42" s="87" t="s">
        <v>152</v>
      </c>
      <c r="E42" s="88" t="s">
        <v>153</v>
      </c>
      <c r="F42" s="87" t="s">
        <v>48</v>
      </c>
      <c r="G42" s="87" t="s">
        <v>154</v>
      </c>
      <c r="H42" s="87" t="s">
        <v>73</v>
      </c>
      <c r="I42" s="87" t="s">
        <v>155</v>
      </c>
    </row>
    <row r="43" spans="2:39" x14ac:dyDescent="0.3">
      <c r="B43" s="87" t="s">
        <v>78</v>
      </c>
      <c r="C43" s="88">
        <v>2015</v>
      </c>
      <c r="D43" s="87" t="s">
        <v>152</v>
      </c>
      <c r="E43" s="88" t="s">
        <v>153</v>
      </c>
      <c r="F43" s="87" t="s">
        <v>47</v>
      </c>
      <c r="G43" s="87" t="s">
        <v>154</v>
      </c>
      <c r="H43" s="87" t="s">
        <v>73</v>
      </c>
      <c r="I43" s="87" t="s">
        <v>155</v>
      </c>
    </row>
    <row r="44" spans="2:39" x14ac:dyDescent="0.3">
      <c r="B44" s="87" t="s">
        <v>78</v>
      </c>
      <c r="C44" s="88">
        <v>2030</v>
      </c>
      <c r="D44" s="87" t="s">
        <v>152</v>
      </c>
      <c r="E44" s="88" t="s">
        <v>153</v>
      </c>
      <c r="F44" s="87" t="s">
        <v>47</v>
      </c>
      <c r="G44" s="87" t="s">
        <v>154</v>
      </c>
      <c r="H44" s="87" t="s">
        <v>73</v>
      </c>
      <c r="I44" s="87" t="s">
        <v>155</v>
      </c>
    </row>
    <row r="45" spans="2:39" x14ac:dyDescent="0.3">
      <c r="B45" s="87" t="s">
        <v>78</v>
      </c>
      <c r="C45" s="88">
        <v>2040</v>
      </c>
      <c r="D45" s="87" t="s">
        <v>152</v>
      </c>
      <c r="E45" s="88" t="s">
        <v>153</v>
      </c>
      <c r="F45" s="87" t="s">
        <v>47</v>
      </c>
      <c r="G45" s="87" t="s">
        <v>154</v>
      </c>
      <c r="H45" s="87" t="s">
        <v>73</v>
      </c>
      <c r="I45" s="87" t="s">
        <v>155</v>
      </c>
    </row>
    <row r="46" spans="2:39" x14ac:dyDescent="0.3">
      <c r="B46" s="87" t="s">
        <v>78</v>
      </c>
      <c r="C46" s="88">
        <v>2015</v>
      </c>
      <c r="D46" s="87" t="s">
        <v>156</v>
      </c>
      <c r="E46" s="89">
        <v>7.77</v>
      </c>
      <c r="F46" s="87" t="s">
        <v>48</v>
      </c>
      <c r="G46" s="87" t="s">
        <v>154</v>
      </c>
      <c r="H46" s="87" t="s">
        <v>73</v>
      </c>
      <c r="I46" s="87" t="s">
        <v>155</v>
      </c>
    </row>
    <row r="47" spans="2:39" x14ac:dyDescent="0.3">
      <c r="B47" s="87" t="s">
        <v>78</v>
      </c>
      <c r="C47" s="88">
        <v>2030</v>
      </c>
      <c r="D47" s="87" t="s">
        <v>156</v>
      </c>
      <c r="E47" s="89">
        <f>E46*1.15</f>
        <v>8.9354999999999993</v>
      </c>
      <c r="F47" s="87" t="s">
        <v>48</v>
      </c>
      <c r="G47" s="87" t="s">
        <v>154</v>
      </c>
      <c r="H47" s="87" t="s">
        <v>73</v>
      </c>
      <c r="I47" s="87" t="s">
        <v>155</v>
      </c>
    </row>
    <row r="48" spans="2:39" x14ac:dyDescent="0.3">
      <c r="B48" s="87" t="s">
        <v>78</v>
      </c>
      <c r="C48" s="88">
        <v>2040</v>
      </c>
      <c r="D48" s="87" t="s">
        <v>156</v>
      </c>
      <c r="E48" s="89">
        <f>E47*1.12</f>
        <v>10.007759999999999</v>
      </c>
      <c r="F48" s="87" t="s">
        <v>48</v>
      </c>
      <c r="G48" s="87" t="s">
        <v>154</v>
      </c>
      <c r="H48" s="87" t="s">
        <v>73</v>
      </c>
      <c r="I48" s="87" t="s">
        <v>155</v>
      </c>
    </row>
    <row r="49" spans="2:9" x14ac:dyDescent="0.3">
      <c r="B49" s="87" t="s">
        <v>78</v>
      </c>
      <c r="C49" s="88">
        <v>2015</v>
      </c>
      <c r="D49" s="87" t="s">
        <v>156</v>
      </c>
      <c r="E49" s="89">
        <f>E46*1.15</f>
        <v>8.9354999999999993</v>
      </c>
      <c r="F49" s="87" t="s">
        <v>47</v>
      </c>
      <c r="G49" s="87" t="s">
        <v>154</v>
      </c>
      <c r="H49" s="87" t="s">
        <v>73</v>
      </c>
      <c r="I49" s="87" t="s">
        <v>155</v>
      </c>
    </row>
    <row r="50" spans="2:9" x14ac:dyDescent="0.3">
      <c r="B50" s="87" t="s">
        <v>78</v>
      </c>
      <c r="C50" s="88">
        <v>2030</v>
      </c>
      <c r="D50" s="87" t="s">
        <v>156</v>
      </c>
      <c r="E50" s="89">
        <f>E49*1.15</f>
        <v>10.275824999999999</v>
      </c>
      <c r="F50" s="87" t="s">
        <v>47</v>
      </c>
      <c r="G50" s="87" t="s">
        <v>154</v>
      </c>
      <c r="H50" s="87" t="s">
        <v>73</v>
      </c>
      <c r="I50" s="87" t="s">
        <v>155</v>
      </c>
    </row>
    <row r="51" spans="2:9" x14ac:dyDescent="0.3">
      <c r="B51" s="87" t="s">
        <v>78</v>
      </c>
      <c r="C51" s="88">
        <v>2040</v>
      </c>
      <c r="D51" s="87" t="s">
        <v>156</v>
      </c>
      <c r="E51" s="89">
        <f>E50*1.12</f>
        <v>11.508924</v>
      </c>
      <c r="F51" s="87" t="s">
        <v>47</v>
      </c>
      <c r="G51" s="87" t="s">
        <v>154</v>
      </c>
      <c r="H51" s="87" t="s">
        <v>73</v>
      </c>
      <c r="I51" s="87" t="s">
        <v>155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BIO</vt:lpstr>
      <vt:lpstr>bioshares</vt:lpstr>
      <vt:lpstr>BioImport</vt:lpstr>
    </vt:vector>
  </TitlesOfParts>
  <Company>VTT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Markkanen</dc:creator>
  <cp:lastModifiedBy>Johanna Markkanen</cp:lastModifiedBy>
  <dcterms:created xsi:type="dcterms:W3CDTF">2025-06-23T06:51:58Z</dcterms:created>
  <dcterms:modified xsi:type="dcterms:W3CDTF">2025-06-23T06:53:17Z</dcterms:modified>
</cp:coreProperties>
</file>