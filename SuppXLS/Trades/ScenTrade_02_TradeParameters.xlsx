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PETVTT\SuppXLS\Trades\"/>
    </mc:Choice>
  </mc:AlternateContent>
  <xr:revisionPtr revIDLastSave="0" documentId="13_ncr:1_{1FCBDBEA-69B9-47FC-B56F-1DF77B7B9A1A}" xr6:coauthVersionLast="47" xr6:coauthVersionMax="47" xr10:uidLastSave="{00000000-0000-0000-0000-000000000000}"/>
  <bookViews>
    <workbookView xWindow="-120" yWindow="-120" windowWidth="29040" windowHeight="15720" tabRatio="747" xr2:uid="{00000000-000D-0000-FFFF-FFFF00000000}"/>
  </bookViews>
  <sheets>
    <sheet name="trade_param migrated" sheetId="30" r:id="rId1"/>
    <sheet name="Sheet1" sheetId="31" r:id="rId2"/>
  </sheets>
  <definedNames>
    <definedName name="_xlnm._FilterDatabase" localSheetId="1" hidden="1">'trade_param migrated'!$B$4:$F$674</definedName>
    <definedName name="_xlnm._FilterDatabase" localSheetId="0" hidden="1">'trade_param migrated'!$AF$4:$AJ$94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97" i="30" l="1"/>
  <c r="AN98" i="30" s="1"/>
  <c r="AM97" i="30"/>
  <c r="AM96" i="30"/>
  <c r="AM98" i="30" s="1"/>
  <c r="AJ89" i="30"/>
  <c r="AD89" i="30"/>
  <c r="AJ68" i="30"/>
  <c r="AJ76" i="30"/>
  <c r="AJ88" i="30"/>
  <c r="AD88" i="30"/>
  <c r="AD76" i="30"/>
  <c r="AD68" i="30"/>
  <c r="AJ24" i="30"/>
  <c r="AD24" i="30"/>
  <c r="AJ54" i="30"/>
  <c r="AJ48" i="30"/>
  <c r="AD48" i="30"/>
  <c r="AD54" i="30"/>
  <c r="F412" i="30" l="1"/>
  <c r="F413" i="30" s="1"/>
  <c r="F414" i="30" s="1"/>
  <c r="F415" i="30" s="1"/>
  <c r="F416" i="30" s="1"/>
  <c r="F417" i="30" s="1"/>
  <c r="F41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AD10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0.00216733298495319</t>
        </r>
      </text>
    </comment>
    <comment ref="AJ10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0.00216733298495319</t>
        </r>
      </text>
    </comment>
  </commentList>
</comments>
</file>

<file path=xl/sharedStrings.xml><?xml version="1.0" encoding="utf-8"?>
<sst xmlns="http://schemas.openxmlformats.org/spreadsheetml/2006/main" count="4498" uniqueCount="307">
  <si>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</si>
  <si>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</si>
  <si>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</si>
  <si>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</si>
  <si>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</si>
  <si>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</si>
  <si>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</si>
  <si>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</si>
  <si>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</si>
  <si>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</si>
  <si>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</si>
  <si>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</si>
  <si>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</si>
  <si>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</si>
  <si>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</si>
  <si>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</si>
  <si>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</si>
  <si>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</si>
  <si>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</si>
  <si>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</si>
  <si>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</si>
  <si>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</si>
  <si>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</si>
  <si>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</si>
  <si>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</si>
  <si>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</si>
  <si>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</si>
  <si>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</si>
  <si>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</si>
  <si>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AL</t>
  </si>
  <si>
    <t>HR</t>
  </si>
  <si>
    <t>ME</t>
  </si>
  <si>
    <t>MK</t>
  </si>
  <si>
    <t>RS</t>
  </si>
  <si>
    <t>NCAP_COST</t>
  </si>
  <si>
    <t>LimType</t>
  </si>
  <si>
    <t>Year</t>
  </si>
  <si>
    <t>ACT_COST</t>
  </si>
  <si>
    <t>CAP_BND</t>
  </si>
  <si>
    <t>FX</t>
  </si>
  <si>
    <t>UP</t>
  </si>
  <si>
    <t>BA</t>
  </si>
  <si>
    <t>PSET_PN</t>
  </si>
  <si>
    <t>EL</t>
  </si>
  <si>
    <t>Region</t>
  </si>
  <si>
    <t>Curr</t>
  </si>
  <si>
    <t>NCAP_FOM</t>
  </si>
  <si>
    <t>TB_SNKCO2N_AT_CZ_01</t>
  </si>
  <si>
    <t>EUR10</t>
  </si>
  <si>
    <t>TB_ELCHIG_AL_ME_01</t>
  </si>
  <si>
    <t>TB_ELCHIG_AT_CH_01</t>
  </si>
  <si>
    <t>TB_SNKCO2N_AT_DE_01</t>
  </si>
  <si>
    <t>TB_ELCHIG_AT_CZ_01</t>
  </si>
  <si>
    <t>TB_SNKCO2N_AT_HU_01</t>
  </si>
  <si>
    <t>TB_ELCHIG_AT_DE_01</t>
  </si>
  <si>
    <t>TB_SNKCO2N_AT_SI_01</t>
  </si>
  <si>
    <t>TB_ELCHIG_AT_HU_01</t>
  </si>
  <si>
    <t>TB_SNKCO2N_AT_SK_01</t>
  </si>
  <si>
    <t>TB_ELCHIG_AT_IT_01</t>
  </si>
  <si>
    <t>TB_SNKCO2N_BE_DE_01</t>
  </si>
  <si>
    <t>TB_ELCHIG_AT_SI_01</t>
  </si>
  <si>
    <t>TB_SNKCO2N_BE_FR_01</t>
  </si>
  <si>
    <t>TB_ELCHIG_AT_SK_01</t>
  </si>
  <si>
    <t>TB_SNKCO2N_BE_LU_01</t>
  </si>
  <si>
    <t>TB_ELCHIG_BE_DE_01</t>
  </si>
  <si>
    <t>TB_SNKCO2N_BE_NL_01</t>
  </si>
  <si>
    <t>TB_ELCHIG_BE_FR_01</t>
  </si>
  <si>
    <t>TB_SNKCO2N_BE_UK_01</t>
  </si>
  <si>
    <t>TB_ELCHIG_BE_LU_01</t>
  </si>
  <si>
    <t>TB_SNKCO2N_BG_EL_01</t>
  </si>
  <si>
    <t>TB_ELCHIG_BE_NL_01</t>
  </si>
  <si>
    <t>TB_SNKCO2N_BG_RO_01</t>
  </si>
  <si>
    <t>TB_ELCHIG_BE_UK_01</t>
  </si>
  <si>
    <t>TB_SNKCO2N_CY_EL_01</t>
  </si>
  <si>
    <t>TB_ELCHIG_BG_EL_01</t>
  </si>
  <si>
    <t>TB_ELCHIG_BG_RO_01</t>
  </si>
  <si>
    <t>TB_SNKCO2N_CZ_DE_01</t>
  </si>
  <si>
    <t>TB_ELCHIG_AL_RS_01</t>
  </si>
  <si>
    <t>TB_ELCHIG_BG_MK_01</t>
  </si>
  <si>
    <t>TB_SNKCO2N_CZ_PL_01</t>
  </si>
  <si>
    <t>TB_ELCHIG_BG_RS_01</t>
  </si>
  <si>
    <t>TB_SNKCO2N_CZ_SK_01</t>
  </si>
  <si>
    <t>TB_ELCHIG_CH_DE_01</t>
  </si>
  <si>
    <t>TB_ELCHIG_CH_FR_01</t>
  </si>
  <si>
    <t>TB_ELCHIG_CH_IT_01</t>
  </si>
  <si>
    <t>TB_SNKCO2N_DE_DK_01</t>
  </si>
  <si>
    <t>TB_SNKCO2N_DE_LU_01</t>
  </si>
  <si>
    <t>TB_ELCHIG_CZ_DE_01</t>
  </si>
  <si>
    <t>TB_SNKCO2N_DE_NL_01</t>
  </si>
  <si>
    <t>TB_ELCHIG_BA_HR_01</t>
  </si>
  <si>
    <t>TB_ELCHIG_CZ_PL_01</t>
  </si>
  <si>
    <t>TB_SNKCO2N_DE_PL_01</t>
  </si>
  <si>
    <t>TB_ELCHIG_BA_ME_01</t>
  </si>
  <si>
    <t>TB_ELCHIG_CZ_SK_01</t>
  </si>
  <si>
    <t>TB_ELCHIG_BA_RS_01</t>
  </si>
  <si>
    <t>TB_SNKCO2N_DK_NL_01</t>
  </si>
  <si>
    <t>TB_SNKCO2N_DK_NO_01</t>
  </si>
  <si>
    <t>TB_SNKCO2N_DK_PL_01</t>
  </si>
  <si>
    <t>TB_SNKCO2N_DK_SE_01</t>
  </si>
  <si>
    <t>TB_ELCHIG_DE_DK_01</t>
  </si>
  <si>
    <t>TB_SNKCO2N_DK_UK_01</t>
  </si>
  <si>
    <t>TB_ELCHIG_DE_FR_01</t>
  </si>
  <si>
    <t>TB_SNKCO2N_EE_FI_01</t>
  </si>
  <si>
    <t>TB_ELCHIG_DE_LU_01</t>
  </si>
  <si>
    <t>TB_SNKCO2N_EE_LV_01</t>
  </si>
  <si>
    <t>TB_ELCHIG_DE_NL_01</t>
  </si>
  <si>
    <t>TB_SNKCO2N_ES_FR_01</t>
  </si>
  <si>
    <t>TB_ELCHIG_DE_NO_01</t>
  </si>
  <si>
    <t>TB_SNKCO2N_ES_PT_01</t>
  </si>
  <si>
    <t>TB_ELCHIG_DE_PL_01</t>
  </si>
  <si>
    <t>TB_ELCHIG_DE_SE_01</t>
  </si>
  <si>
    <t>TB_SNKCO2N_FI_NO_01</t>
  </si>
  <si>
    <t>TB_ELCHIG_DE_UK_01</t>
  </si>
  <si>
    <t>TB_SNKCO2N_FI_SE_01</t>
  </si>
  <si>
    <t>TB_ELCHIG_DK_NL_01</t>
  </si>
  <si>
    <t>TB_ELCHIG_DK_NO_01</t>
  </si>
  <si>
    <t>TB_SNKCO2N_FR_IT_01</t>
  </si>
  <si>
    <t>TB_ELCHIG_DK_SE_01</t>
  </si>
  <si>
    <t>TB_SNKCO2N_FR_LU_01</t>
  </si>
  <si>
    <t>TB_ELCHIG_EE_FI_01</t>
  </si>
  <si>
    <t>TB_SNKCO2N_FR_UK_01</t>
  </si>
  <si>
    <t>TB_ELCHIG_EE_LV_01</t>
  </si>
  <si>
    <t>TB_ELCHIG_ES_FR_01</t>
  </si>
  <si>
    <t>TB_ELCHIG_ES_PT_01</t>
  </si>
  <si>
    <t>TB_SNKCO2N_EL_IT_01</t>
  </si>
  <si>
    <t>TB_ELCHIG_FI_NO_01</t>
  </si>
  <si>
    <t>TB_SNKCO2N_HU_RO_01</t>
  </si>
  <si>
    <t>TB_ELCHIG_FI_SE_01</t>
  </si>
  <si>
    <t>TB_SNKCO2N_HU_SI_01</t>
  </si>
  <si>
    <t>TB_SNKCO2N_HU_SK_01</t>
  </si>
  <si>
    <t>TB_SNKCO2N_IE_UK_01</t>
  </si>
  <si>
    <t>TB_ELCHIG_FR_IE_01</t>
  </si>
  <si>
    <t>TB_SNKCO2N_IT_MT_01</t>
  </si>
  <si>
    <t>TB_ELCHIG_FR_IT_01</t>
  </si>
  <si>
    <t>TB_SNKCO2N_IT_SI_01</t>
  </si>
  <si>
    <t>TB_ELCHIG_FR_LU_01</t>
  </si>
  <si>
    <t>TB_SNKCO2N_LT_LV_01</t>
  </si>
  <si>
    <t>TB_ELCHIG_FR_UK_01</t>
  </si>
  <si>
    <t>TB_SNKCO2N_LT_PL_01</t>
  </si>
  <si>
    <t>TB_ELCHIG_EL_IT_01</t>
  </si>
  <si>
    <t>TB_ELCHIG_EL_AL_01</t>
  </si>
  <si>
    <t>TB_ELCHIG_EL_MK_01</t>
  </si>
  <si>
    <t>TB_ELCHIG_HU_RO_01</t>
  </si>
  <si>
    <t>TB_SNKCO2N_LV_SE_01</t>
  </si>
  <si>
    <t>TB_ELCHIG_HU_SI_01</t>
  </si>
  <si>
    <t>TB_ELCHIG_HU_SK_01</t>
  </si>
  <si>
    <t>TB_ELCHIG_HU_HR_01</t>
  </si>
  <si>
    <t>TB_ELCHIG_HU_RS_01</t>
  </si>
  <si>
    <t>TB_SNKCO2N_NL_UK_01</t>
  </si>
  <si>
    <t>TB_ELCHIG_IE_UK_01</t>
  </si>
  <si>
    <t>TB_ELCHIG_IS_NO_01</t>
  </si>
  <si>
    <t>TB_ELCHIG_IS_UK_01</t>
  </si>
  <si>
    <t>TB_SNKCO2N_NO_SE_01</t>
  </si>
  <si>
    <t>TB_SNKCO2N_NO_UK_01</t>
  </si>
  <si>
    <t>TB_ELCHIG_IT_MT_01</t>
  </si>
  <si>
    <t>TB_ELCHIG_IT_SI_01</t>
  </si>
  <si>
    <t>TB_SNKCO2N_PL_SK_01</t>
  </si>
  <si>
    <t>TB_ELCHIG_IT_AL_01</t>
  </si>
  <si>
    <t>TB_ELCHIG_IT_HR_01</t>
  </si>
  <si>
    <t>TB_ELCHIG_IT_ME_01</t>
  </si>
  <si>
    <t>TB_ELCHIG_LT_LV_01</t>
  </si>
  <si>
    <t>TB_ELCHIG_LT_PL_01</t>
  </si>
  <si>
    <t>TB_ELCHIG_LT_SE_01</t>
  </si>
  <si>
    <t>TB_ELCHIG_LV_SE_01</t>
  </si>
  <si>
    <t>TB_ELCHIG_HR_RS_01</t>
  </si>
  <si>
    <t>TB_ELCHIG_NL_NO_01</t>
  </si>
  <si>
    <t>TB_ELCHIG_NL_UK_01</t>
  </si>
  <si>
    <t>TB_ELCHIG_NO_SE_01</t>
  </si>
  <si>
    <t>TB_ELCHIG_NO_UK_01</t>
  </si>
  <si>
    <t>TB_ELCHIG_PL_SE_01</t>
  </si>
  <si>
    <t>TB_ELCHIG_PL_SK_01</t>
  </si>
  <si>
    <t>TB_ELCHIG_RO_RS_01</t>
  </si>
  <si>
    <t>TB_ELCHIG_ME_RS_01</t>
  </si>
  <si>
    <t>TB_ELCHIG_MK_RS_01</t>
  </si>
  <si>
    <t>TB_ELCHIG_SI_HR_01</t>
  </si>
  <si>
    <t>TB_ELCHIG_AL_MK_01</t>
  </si>
  <si>
    <t>TU_GASNAT_AT_DE_01</t>
  </si>
  <si>
    <t>TU_GASNAT_AT_HU_01</t>
  </si>
  <si>
    <t>TU_GASNAT_AT_IT_01</t>
  </si>
  <si>
    <t>TU_GASNAT_AT_SK_01</t>
  </si>
  <si>
    <t>TU_GASNAT_AT_SI_01</t>
  </si>
  <si>
    <t>TU_GASNAT_BE_FR_01</t>
  </si>
  <si>
    <t>TU_GASNAT_BE_DE_01</t>
  </si>
  <si>
    <t>TU_GASNAT_BE_LU_01</t>
  </si>
  <si>
    <t>TU_GASNAT_BE_NL_01</t>
  </si>
  <si>
    <t>TU_GASNAT_BE_UK_01</t>
  </si>
  <si>
    <t>TU_GASNAT_BG_EL_01</t>
  </si>
  <si>
    <t>TU_GASNAT_BG_MK_01</t>
  </si>
  <si>
    <t>TU_GASNAT_CZ_DE_01</t>
  </si>
  <si>
    <t>TU_GASNAT_CZ_SK_01</t>
  </si>
  <si>
    <t>TU_GASNAT_DK_DE_01</t>
  </si>
  <si>
    <t>TU_GASNAT_DK_NL_01</t>
  </si>
  <si>
    <t>TU_GASNAT_DK_SE_01</t>
  </si>
  <si>
    <t>TU_GASNAT_FR_BE_01</t>
  </si>
  <si>
    <t>TU_GASNAT_FR_ES_01</t>
  </si>
  <si>
    <t>TU_GASNAT_FR_CH_01</t>
  </si>
  <si>
    <t>TU_GASNAT_DE_AT_01</t>
  </si>
  <si>
    <t>TU_GASNAT_DE_BE_01</t>
  </si>
  <si>
    <t>TU_GASNAT_DE_CZ_01</t>
  </si>
  <si>
    <t>TU_GASNAT_DE_DK_01</t>
  </si>
  <si>
    <t>TU_GASNAT_DE_FR_01</t>
  </si>
  <si>
    <t>TU_GASNAT_DE_LU_01</t>
  </si>
  <si>
    <t>TU_GASNAT_DE_NL_01</t>
  </si>
  <si>
    <t>TU_GASNAT_DE_PL_01</t>
  </si>
  <si>
    <t>TU_GASNAT_DE_CH_01</t>
  </si>
  <si>
    <t>TU_GASNAT_HU_RO_01</t>
  </si>
  <si>
    <t>TU_GASNAT_HU_HR_01</t>
  </si>
  <si>
    <t>TU_GASNAT_HU_RS_01</t>
  </si>
  <si>
    <t>TU_GASNAT_IE_UK_01</t>
  </si>
  <si>
    <t>TU_GASNAT_IT_AT_01</t>
  </si>
  <si>
    <t>TU_GASNAT_IT_SK_01</t>
  </si>
  <si>
    <t>TU_GASNAT_IT_SI_01</t>
  </si>
  <si>
    <t>TU_GASNAT_IT_CH_01</t>
  </si>
  <si>
    <t>TU_GASNAT_LV_EE_01</t>
  </si>
  <si>
    <t>TU_GASNAT_LV_LT_01</t>
  </si>
  <si>
    <t>TU_GASNAT_LT_LV_01</t>
  </si>
  <si>
    <t>TU_GASNAT_NL_BE_01</t>
  </si>
  <si>
    <t>TU_GASNAT_NL_DE_01</t>
  </si>
  <si>
    <t>TU_GASNAT_NL_UK_01</t>
  </si>
  <si>
    <t>TU_GASNAT_PT_ES_01</t>
  </si>
  <si>
    <t>TU_GASNAT_RO_BG_01</t>
  </si>
  <si>
    <t>TU_GASNAT_SK_AT_01</t>
  </si>
  <si>
    <t>TU_GASNAT_SK_CZ_01</t>
  </si>
  <si>
    <t>TU_GASNAT_SI_HU_01</t>
  </si>
  <si>
    <t>TU_GASNAT_SI_IT_01</t>
  </si>
  <si>
    <t>TU_GASNAT_SI_HR_01</t>
  </si>
  <si>
    <t>TU_GASNAT_ES_FR_01</t>
  </si>
  <si>
    <t>TU_GASNAT_ES_PT_01</t>
  </si>
  <si>
    <t>TU_GASNAT_UK_BE_01</t>
  </si>
  <si>
    <t>TU_GASNAT_UK_IE_01</t>
  </si>
  <si>
    <t>TU_GASNAT_UK_NL_01</t>
  </si>
  <si>
    <t>TU_GASNAT_NO_BE_01</t>
  </si>
  <si>
    <t>TU_GASNAT_NO_FR_01</t>
  </si>
  <si>
    <t>TU_GASNAT_NO_DE_01</t>
  </si>
  <si>
    <t>TU_GASNAT_NO_NL_01</t>
  </si>
  <si>
    <t>TU_GASNAT_NO_UK_01</t>
  </si>
  <si>
    <t>TU_GASNAT_CH_FR_01</t>
  </si>
  <si>
    <t>TU_GASNAT_CH_IT_01</t>
  </si>
  <si>
    <t>TU_GASNAT_HR_IT_01</t>
  </si>
  <si>
    <t>TU_GASNAT_ME_HR_01</t>
  </si>
  <si>
    <t>TU_GASNAT_RS_BA_01</t>
  </si>
  <si>
    <t>~TFM_DINS-AT</t>
  </si>
  <si>
    <t>Process</t>
  </si>
  <si>
    <t>Curr\Attribute</t>
  </si>
  <si>
    <t>€/tCO2</t>
  </si>
  <si>
    <t>TB_SNKFCO2_AT_CZ_01</t>
  </si>
  <si>
    <t>TB_SNKFCO2_AT_DE_01</t>
  </si>
  <si>
    <t>TB_SNKFCO2_AT_HU_01</t>
  </si>
  <si>
    <t>TB_SNKFCO2_AT_SI_01</t>
  </si>
  <si>
    <t>TB_SNKFCO2_AT_SK_01</t>
  </si>
  <si>
    <t>TB_SNKFCO2_BE_DE_01</t>
  </si>
  <si>
    <t>TB_SNKFCO2_BE_FR_01</t>
  </si>
  <si>
    <t>TB_SNKFCO2_BE_LU_01</t>
  </si>
  <si>
    <t>TB_SNKFCO2_BE_NL_01</t>
  </si>
  <si>
    <t>TB_SNKFCO2_BE_UK_01</t>
  </si>
  <si>
    <t>TB_SNKFCO2_BG_EL_01</t>
  </si>
  <si>
    <t>TB_SNKFCO2_BG_RO_01</t>
  </si>
  <si>
    <t>TB_SNKFCO2_CY_EL_01</t>
  </si>
  <si>
    <t>TB_SNKFCO2_CZ_DE_01</t>
  </si>
  <si>
    <t>TB_SNKFCO2_CZ_PL_01</t>
  </si>
  <si>
    <t>TB_SNKFCO2_CZ_SK_01</t>
  </si>
  <si>
    <t>TB_SNKFCO2_DE_DK_01</t>
  </si>
  <si>
    <t>TB_SNKFCO2_DE_LU_01</t>
  </si>
  <si>
    <t>TB_SNKFCO2_DE_NL_01</t>
  </si>
  <si>
    <t>TB_SNKFCO2_DE_PL_01</t>
  </si>
  <si>
    <t>TB_SNKFCO2_DK_NL_01</t>
  </si>
  <si>
    <t>TB_SNKFCO2_DK_NO_01</t>
  </si>
  <si>
    <t>TB_SNKFCO2_DK_PL_01</t>
  </si>
  <si>
    <t>TB_SNKFCO2_DK_SE_01</t>
  </si>
  <si>
    <t>TB_SNKFCO2_DK_UK_01</t>
  </si>
  <si>
    <t>TB_SNKFCO2_EE_FI_01</t>
  </si>
  <si>
    <t>TB_SNKFCO2_EE_LV_01</t>
  </si>
  <si>
    <t>TB_SNKFCO2_EL_IT_01</t>
  </si>
  <si>
    <t>TB_SNKFCO2_ES_FR_01</t>
  </si>
  <si>
    <t>TB_SNKFCO2_ES_PT_01</t>
  </si>
  <si>
    <t>TB_SNKFCO2_FI_SE_01</t>
  </si>
  <si>
    <t>TB_SNKFCO2_FR_IT_01</t>
  </si>
  <si>
    <t>TB_SNKFCO2_FR_LU_01</t>
  </si>
  <si>
    <t>TB_SNKFCO2_FR_UK_01</t>
  </si>
  <si>
    <t>TB_SNKFCO2_HU_RO_01</t>
  </si>
  <si>
    <t>TB_SNKFCO2_HU_SI_01</t>
  </si>
  <si>
    <t>TB_SNKFCO2_HU_SK_01</t>
  </si>
  <si>
    <t>TB_SNKFCO2_IE_UK_01</t>
  </si>
  <si>
    <t>TB_SNKFCO2_IT_MT_01</t>
  </si>
  <si>
    <t>TB_SNKFCO2_IT_SI_01</t>
  </si>
  <si>
    <t>TB_SNKFCO2_LT_LV_01</t>
  </si>
  <si>
    <t>TB_SNKFCO2_LT_PL_01</t>
  </si>
  <si>
    <t>TB_SNKFCO2_LV_SE_01</t>
  </si>
  <si>
    <t>TB_SNKFCO2_NL_UK_01</t>
  </si>
  <si>
    <t>TB_SNKFCO2_NO_SE_01</t>
  </si>
  <si>
    <t>TB_SNKFCO2_NO_UK_01</t>
  </si>
  <si>
    <t>TB_SNKFCO2_PL_SK_01</t>
  </si>
  <si>
    <t>Trade of atmospheric and biogenic captured CO2; SNKCO2N</t>
  </si>
  <si>
    <t>Trade of fossil captured CO2; SNKFCO2</t>
  </si>
  <si>
    <t>Elc trage capacity bounds</t>
  </si>
  <si>
    <t>Gas trade capacity bounds</t>
  </si>
  <si>
    <t>Elc trade new cap costs</t>
  </si>
  <si>
    <t>Elc trade new cap OM costs</t>
  </si>
  <si>
    <t>LEGEND</t>
  </si>
  <si>
    <t>EUR20</t>
  </si>
  <si>
    <t>coast</t>
  </si>
  <si>
    <t>short term</t>
  </si>
  <si>
    <t>long term</t>
  </si>
  <si>
    <t>inland</t>
  </si>
  <si>
    <t>€(2025)/tCO2</t>
  </si>
  <si>
    <t>EUR25&gt;EUR20</t>
  </si>
  <si>
    <t>TB_SNKFCO2_FI_NO_01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</si>
</sst>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5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3" fillId="0" borderId="0" applyNumberFormat="0" applyFill="0" applyBorder="0" applyAlignment="0" applyProtection="0"/>
    <xf numFmtId="0" fontId="2" fillId="0" borderId="0"/>
  </cellStyleXfs>
  <cellXfs count="25">
    <xf numFmtId="0" fontId="0" fillId="0" borderId="0" xfId="0"/>
    <xf numFmtId="0" fontId="19" fillId="24" borderId="10" xfId="0" applyFont="1" applyFill="1" applyBorder="1" applyAlignment="1">
      <alignment horizontal="left" vertical="center"/>
    </xf>
    <xf numFmtId="0" fontId="20" fillId="0" borderId="0" xfId="53" applyFont="1" applyAlignment="1">
      <alignment horizontal="left" vertical="center"/>
    </xf>
    <xf numFmtId="2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19" fillId="24" borderId="0" xfId="0" applyFont="1" applyFill="1" applyBorder="1" applyAlignment="1">
      <alignment horizontal="left" vertical="center"/>
    </xf>
    <xf numFmtId="0" fontId="0" fillId="25" borderId="0" xfId="0" applyFill="1"/>
    <xf numFmtId="0" fontId="23" fillId="0" borderId="0" xfId="0" applyFont="1"/>
    <xf numFmtId="0" fontId="23" fillId="26" borderId="0" xfId="0" applyFont="1" applyFill="1"/>
    <xf numFmtId="0" fontId="0" fillId="26" borderId="0" xfId="0" applyFill="1"/>
    <xf numFmtId="0" fontId="23" fillId="27" borderId="0" xfId="0" applyFont="1" applyFill="1"/>
    <xf numFmtId="0" fontId="0" fillId="0" borderId="0" xfId="0" applyFill="1"/>
    <xf numFmtId="0" fontId="23" fillId="28" borderId="0" xfId="0" applyFont="1" applyFill="1"/>
    <xf numFmtId="0" fontId="23" fillId="0" borderId="0" xfId="0" applyFont="1" applyFill="1"/>
    <xf numFmtId="0" fontId="23" fillId="29" borderId="0" xfId="0" applyFont="1" applyFill="1"/>
    <xf numFmtId="2" fontId="0" fillId="0" borderId="0" xfId="0" applyNumberFormat="1" applyFill="1"/>
    <xf numFmtId="2" fontId="0" fillId="25" borderId="0" xfId="0" applyNumberFormat="1" applyFill="1"/>
    <xf numFmtId="0" fontId="0" fillId="30" borderId="0" xfId="0" applyFill="1"/>
    <xf numFmtId="2" fontId="0" fillId="30" borderId="0" xfId="0" applyNumberFormat="1" applyFill="1"/>
    <xf numFmtId="1" fontId="0" fillId="0" borderId="0" xfId="0" applyNumberFormat="1"/>
    <xf numFmtId="165" fontId="0" fillId="0" borderId="0" xfId="0" applyNumberFormat="1" applyFill="1"/>
    <xf numFmtId="165" fontId="23" fillId="0" borderId="0" xfId="0" applyNumberFormat="1" applyFont="1" applyFill="1"/>
    <xf numFmtId="0" fontId="0" fillId="0" borderId="0" xfId="0" applyFont="1" applyFill="1"/>
    <xf numFmtId="165" fontId="0" fillId="0" borderId="0" xfId="0" applyNumberFormat="1" applyFont="1" applyFill="1"/>
  </cellXfs>
  <cellStyles count="5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10 2" xfId="53" xr:uid="{00000000-0005-0000-0000-000026000000}"/>
    <cellStyle name="Normal 2" xfId="38" xr:uid="{00000000-0005-0000-0000-000027000000}"/>
    <cellStyle name="Normal 2 2" xfId="39" xr:uid="{00000000-0005-0000-0000-000028000000}"/>
    <cellStyle name="Normal 3" xfId="40" xr:uid="{00000000-0005-0000-0000-000029000000}"/>
    <cellStyle name="Normal 3 2" xfId="41" xr:uid="{00000000-0005-0000-0000-00002A000000}"/>
    <cellStyle name="Normal 4" xfId="42" xr:uid="{00000000-0005-0000-0000-00002B000000}"/>
    <cellStyle name="Normal 4 2" xfId="43" xr:uid="{00000000-0005-0000-0000-00002C000000}"/>
    <cellStyle name="Normale_Scen_UC_IND-StrucConst" xfId="44" xr:uid="{00000000-0005-0000-0000-00002D000000}"/>
    <cellStyle name="Note 2" xfId="45" xr:uid="{00000000-0005-0000-0000-00002E000000}"/>
    <cellStyle name="Output 2" xfId="46" xr:uid="{00000000-0005-0000-0000-00002F000000}"/>
    <cellStyle name="Percent 2" xfId="47" xr:uid="{00000000-0005-0000-0000-000030000000}"/>
    <cellStyle name="Percent 3" xfId="48" xr:uid="{00000000-0005-0000-0000-000031000000}"/>
    <cellStyle name="Percent 3 2" xfId="49" xr:uid="{00000000-0005-0000-0000-000032000000}"/>
    <cellStyle name="Title 2" xfId="50" xr:uid="{00000000-0005-0000-0000-000033000000}"/>
    <cellStyle name="Total 2" xfId="51" xr:uid="{00000000-0005-0000-0000-000034000000}"/>
    <cellStyle name="Warning Text 2" xfId="52" xr:uid="{00000000-0005-0000-0000-000035000000}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75"/>
  <sheetViews>
    <sheetView tabSelected="1" zoomScale="80" zoomScaleNormal="80" workbookViewId="0"/>
  </sheetViews>
  <sheetFormatPr defaultRowHeight="15" x14ac:dyDescent="0.25"/>
  <cols>
    <col min="2" max="2" width="20.85546875" bestFit="1" customWidth="1"/>
    <col min="8" max="8" width="22.28515625" bestFit="1" customWidth="1"/>
    <col min="9" max="9" width="8.42578125" bestFit="1" customWidth="1"/>
    <col min="10" max="10" width="5" bestFit="1" customWidth="1"/>
    <col min="11" max="11" width="11" bestFit="1" customWidth="1"/>
    <col min="12" max="12" width="9.42578125" bestFit="1" customWidth="1"/>
    <col min="14" max="14" width="20.85546875" bestFit="1" customWidth="1"/>
    <col min="15" max="15" width="5" bestFit="1" customWidth="1"/>
    <col min="16" max="17" width="7.140625" bestFit="1" customWidth="1"/>
    <col min="18" max="18" width="11.5703125" bestFit="1" customWidth="1"/>
    <col min="20" max="20" width="20.85546875" bestFit="1" customWidth="1"/>
    <col min="21" max="21" width="5" bestFit="1" customWidth="1"/>
    <col min="22" max="23" width="7.140625" bestFit="1" customWidth="1"/>
    <col min="24" max="24" width="11.28515625" bestFit="1" customWidth="1"/>
    <col min="26" max="26" width="23.42578125" bestFit="1" customWidth="1"/>
    <col min="27" max="27" width="8.140625" customWidth="1"/>
    <col min="28" max="28" width="12" bestFit="1" customWidth="1"/>
    <col min="29" max="29" width="7.140625" bestFit="1" customWidth="1"/>
    <col min="30" max="30" width="12" bestFit="1" customWidth="1"/>
    <col min="32" max="32" width="23.42578125" bestFit="1" customWidth="1"/>
    <col min="33" max="33" width="8" customWidth="1"/>
    <col min="34" max="34" width="12" bestFit="1" customWidth="1"/>
    <col min="35" max="35" width="10.42578125" customWidth="1"/>
    <col min="36" max="36" width="12" bestFit="1" customWidth="1"/>
    <col min="38" max="38" width="14" customWidth="1"/>
    <col min="39" max="39" width="10.28515625" customWidth="1"/>
    <col min="40" max="40" width="9.7109375" customWidth="1"/>
    <col min="45" max="45" width="11" bestFit="1" customWidth="1"/>
  </cols>
  <sheetData>
    <row r="1" spans="1:38" x14ac:dyDescent="0.25">
      <c r="A1" s="8" t="s">
        <v>298</v>
      </c>
      <c r="B1" s="13" t="s">
        <v>294</v>
      </c>
      <c r="C1" s="13"/>
      <c r="D1" s="13"/>
      <c r="E1" s="13"/>
      <c r="F1" s="13"/>
      <c r="G1" s="14"/>
      <c r="H1" s="15" t="s">
        <v>295</v>
      </c>
      <c r="I1" s="15"/>
      <c r="J1" s="15"/>
      <c r="K1" s="15"/>
      <c r="L1" s="15"/>
      <c r="M1" s="14"/>
      <c r="N1" s="13" t="s">
        <v>296</v>
      </c>
      <c r="O1" s="13"/>
      <c r="P1" s="13"/>
      <c r="Q1" s="13"/>
      <c r="R1" s="13"/>
      <c r="S1" s="14"/>
      <c r="T1" s="13" t="s">
        <v>297</v>
      </c>
      <c r="U1" s="13"/>
      <c r="V1" s="13"/>
      <c r="W1" s="13"/>
      <c r="X1" s="13"/>
      <c r="Z1" s="9" t="s">
        <v>293</v>
      </c>
      <c r="AA1" s="10"/>
      <c r="AB1" s="10"/>
      <c r="AC1" s="10"/>
      <c r="AD1" s="10"/>
      <c r="AF1" s="11" t="s">
        <v>292</v>
      </c>
      <c r="AG1" s="11"/>
      <c r="AH1" s="11"/>
      <c r="AI1" s="11"/>
      <c r="AJ1" s="11"/>
    </row>
    <row r="2" spans="1:38" x14ac:dyDescent="0.25">
      <c r="M2" s="12"/>
    </row>
    <row r="3" spans="1:38" x14ac:dyDescent="0.25">
      <c r="B3" s="2" t="s">
        <v>241</v>
      </c>
      <c r="H3" s="2" t="s">
        <v>241</v>
      </c>
      <c r="N3" s="2" t="s">
        <v>241</v>
      </c>
      <c r="T3" s="2" t="s">
        <v>241</v>
      </c>
      <c r="Z3" s="2" t="s">
        <v>241</v>
      </c>
      <c r="AF3" s="2" t="s">
        <v>241</v>
      </c>
    </row>
    <row r="4" spans="1:38" ht="15.75" thickBot="1" x14ac:dyDescent="0.3">
      <c r="B4" s="1" t="s">
        <v>42</v>
      </c>
      <c r="C4" s="1" t="s">
        <v>36</v>
      </c>
      <c r="D4" s="1" t="s">
        <v>35</v>
      </c>
      <c r="E4" s="1" t="s">
        <v>44</v>
      </c>
      <c r="F4" s="1" t="s">
        <v>38</v>
      </c>
      <c r="H4" s="1" t="s">
        <v>42</v>
      </c>
      <c r="I4" s="1" t="s">
        <v>36</v>
      </c>
      <c r="J4" s="1" t="s">
        <v>35</v>
      </c>
      <c r="K4" s="1" t="s">
        <v>44</v>
      </c>
      <c r="L4" s="1" t="s">
        <v>38</v>
      </c>
      <c r="N4" s="1" t="s">
        <v>42</v>
      </c>
      <c r="O4" s="1" t="s">
        <v>36</v>
      </c>
      <c r="P4" s="1" t="s">
        <v>44</v>
      </c>
      <c r="Q4" s="1" t="s">
        <v>45</v>
      </c>
      <c r="R4" s="1" t="s">
        <v>34</v>
      </c>
      <c r="T4" s="1" t="s">
        <v>42</v>
      </c>
      <c r="U4" s="1" t="s">
        <v>36</v>
      </c>
      <c r="V4" s="1" t="s">
        <v>44</v>
      </c>
      <c r="W4" s="1" t="s">
        <v>45</v>
      </c>
      <c r="X4" s="1" t="s">
        <v>46</v>
      </c>
      <c r="Z4" s="1" t="s">
        <v>42</v>
      </c>
      <c r="AA4" s="1" t="s">
        <v>36</v>
      </c>
      <c r="AB4" s="1" t="s">
        <v>44</v>
      </c>
      <c r="AC4" s="1" t="s">
        <v>45</v>
      </c>
      <c r="AD4" s="1" t="s">
        <v>37</v>
      </c>
      <c r="AF4" s="1" t="s">
        <v>42</v>
      </c>
      <c r="AG4" s="1" t="s">
        <v>36</v>
      </c>
      <c r="AH4" s="1" t="s">
        <v>44</v>
      </c>
      <c r="AI4" s="1" t="s">
        <v>45</v>
      </c>
      <c r="AJ4" s="1" t="s">
        <v>37</v>
      </c>
      <c r="AL4" s="6" t="s">
        <v>244</v>
      </c>
    </row>
    <row r="5" spans="1:38" x14ac:dyDescent="0.25">
      <c r="B5" t="s">
        <v>49</v>
      </c>
      <c r="C5">
        <v>2010</v>
      </c>
      <c r="D5" t="s">
        <v>39</v>
      </c>
      <c r="E5" t="s">
        <v>29</v>
      </c>
      <c r="F5" s="3">
        <v>0.25</v>
      </c>
      <c r="H5" t="s">
        <v>176</v>
      </c>
      <c r="I5">
        <v>2010</v>
      </c>
      <c r="J5" t="s">
        <v>39</v>
      </c>
      <c r="K5" t="s">
        <v>0</v>
      </c>
      <c r="L5" s="3">
        <v>570.53880000000004</v>
      </c>
      <c r="N5" t="s">
        <v>49</v>
      </c>
      <c r="O5">
        <v>2010</v>
      </c>
      <c r="P5" t="s">
        <v>29</v>
      </c>
      <c r="Q5" t="s">
        <v>48</v>
      </c>
      <c r="R5">
        <v>57.5</v>
      </c>
      <c r="T5" t="s">
        <v>49</v>
      </c>
      <c r="U5">
        <v>2010</v>
      </c>
      <c r="V5" t="s">
        <v>29</v>
      </c>
      <c r="W5" t="s">
        <v>48</v>
      </c>
      <c r="X5">
        <v>2.5</v>
      </c>
      <c r="Z5" t="s">
        <v>245</v>
      </c>
      <c r="AA5">
        <v>2010</v>
      </c>
      <c r="AB5" t="s">
        <v>0</v>
      </c>
      <c r="AC5" t="s">
        <v>48</v>
      </c>
      <c r="AD5" s="5">
        <v>1.13031026133299E-3</v>
      </c>
      <c r="AF5" t="s">
        <v>47</v>
      </c>
      <c r="AG5">
        <v>2010</v>
      </c>
      <c r="AH5" t="s">
        <v>0</v>
      </c>
      <c r="AI5" t="s">
        <v>48</v>
      </c>
      <c r="AJ5" s="5">
        <v>1.13031026133299E-3</v>
      </c>
    </row>
    <row r="6" spans="1:38" x14ac:dyDescent="0.25">
      <c r="B6" t="s">
        <v>49</v>
      </c>
      <c r="C6">
        <v>2010</v>
      </c>
      <c r="D6" t="s">
        <v>39</v>
      </c>
      <c r="E6" t="s">
        <v>31</v>
      </c>
      <c r="F6" s="3">
        <v>0.25</v>
      </c>
      <c r="H6" t="s">
        <v>176</v>
      </c>
      <c r="I6">
        <v>2015</v>
      </c>
      <c r="J6" t="s">
        <v>39</v>
      </c>
      <c r="K6" t="s">
        <v>0</v>
      </c>
      <c r="L6" s="3">
        <v>570.53880000000004</v>
      </c>
      <c r="N6" t="s">
        <v>49</v>
      </c>
      <c r="O6">
        <v>2010</v>
      </c>
      <c r="P6" t="s">
        <v>31</v>
      </c>
      <c r="Q6" t="s">
        <v>48</v>
      </c>
      <c r="R6">
        <v>57.5</v>
      </c>
      <c r="T6" t="s">
        <v>49</v>
      </c>
      <c r="U6">
        <v>2010</v>
      </c>
      <c r="V6" t="s">
        <v>31</v>
      </c>
      <c r="W6" t="s">
        <v>48</v>
      </c>
      <c r="X6">
        <v>2.5</v>
      </c>
      <c r="Z6" t="s">
        <v>245</v>
      </c>
      <c r="AA6">
        <v>2010</v>
      </c>
      <c r="AB6" t="s">
        <v>5</v>
      </c>
      <c r="AC6" t="s">
        <v>48</v>
      </c>
      <c r="AD6" s="5">
        <v>1.13031026133299E-3</v>
      </c>
      <c r="AF6" t="s">
        <v>47</v>
      </c>
      <c r="AG6">
        <v>2010</v>
      </c>
      <c r="AH6" t="s">
        <v>5</v>
      </c>
      <c r="AI6" t="s">
        <v>48</v>
      </c>
      <c r="AJ6" s="5">
        <v>1.13031026133299E-3</v>
      </c>
    </row>
    <row r="7" spans="1:38" x14ac:dyDescent="0.25">
      <c r="B7" t="s">
        <v>49</v>
      </c>
      <c r="C7">
        <v>2015</v>
      </c>
      <c r="D7" t="s">
        <v>39</v>
      </c>
      <c r="E7" t="s">
        <v>29</v>
      </c>
      <c r="F7" s="3">
        <v>0.25</v>
      </c>
      <c r="H7" t="s">
        <v>176</v>
      </c>
      <c r="I7">
        <v>2020</v>
      </c>
      <c r="J7" t="s">
        <v>39</v>
      </c>
      <c r="K7" t="s">
        <v>0</v>
      </c>
      <c r="L7" s="3">
        <v>570.53880000000004</v>
      </c>
      <c r="N7" t="s">
        <v>175</v>
      </c>
      <c r="O7">
        <v>2010</v>
      </c>
      <c r="P7" t="s">
        <v>29</v>
      </c>
      <c r="Q7" t="s">
        <v>48</v>
      </c>
      <c r="R7">
        <v>57.5</v>
      </c>
      <c r="T7" t="s">
        <v>175</v>
      </c>
      <c r="U7">
        <v>2010</v>
      </c>
      <c r="V7" t="s">
        <v>29</v>
      </c>
      <c r="W7" t="s">
        <v>48</v>
      </c>
      <c r="X7">
        <v>2.5</v>
      </c>
      <c r="Z7" t="s">
        <v>246</v>
      </c>
      <c r="AA7">
        <v>2010</v>
      </c>
      <c r="AB7" t="s">
        <v>0</v>
      </c>
      <c r="AC7" t="s">
        <v>48</v>
      </c>
      <c r="AD7" s="5">
        <v>3.1204481610489199E-3</v>
      </c>
      <c r="AF7" t="s">
        <v>51</v>
      </c>
      <c r="AG7">
        <v>2010</v>
      </c>
      <c r="AH7" t="s">
        <v>0</v>
      </c>
      <c r="AI7" t="s">
        <v>48</v>
      </c>
      <c r="AJ7" s="5">
        <v>3.1204481610489199E-3</v>
      </c>
    </row>
    <row r="8" spans="1:38" x14ac:dyDescent="0.25">
      <c r="B8" t="s">
        <v>49</v>
      </c>
      <c r="C8">
        <v>2015</v>
      </c>
      <c r="D8" t="s">
        <v>39</v>
      </c>
      <c r="E8" t="s">
        <v>31</v>
      </c>
      <c r="F8" s="3">
        <v>0.25</v>
      </c>
      <c r="H8" t="s">
        <v>177</v>
      </c>
      <c r="I8">
        <v>2010</v>
      </c>
      <c r="J8" t="s">
        <v>39</v>
      </c>
      <c r="K8" t="s">
        <v>0</v>
      </c>
      <c r="L8" s="3">
        <v>170.82</v>
      </c>
      <c r="N8" t="s">
        <v>175</v>
      </c>
      <c r="O8">
        <v>2010</v>
      </c>
      <c r="P8" t="s">
        <v>32</v>
      </c>
      <c r="Q8" t="s">
        <v>48</v>
      </c>
      <c r="R8">
        <v>57.5</v>
      </c>
      <c r="T8" t="s">
        <v>175</v>
      </c>
      <c r="U8">
        <v>2010</v>
      </c>
      <c r="V8" t="s">
        <v>32</v>
      </c>
      <c r="W8" t="s">
        <v>48</v>
      </c>
      <c r="X8">
        <v>2.5</v>
      </c>
      <c r="Z8" t="s">
        <v>246</v>
      </c>
      <c r="AA8">
        <v>2010</v>
      </c>
      <c r="AB8" t="s">
        <v>6</v>
      </c>
      <c r="AC8" t="s">
        <v>48</v>
      </c>
      <c r="AD8" s="5">
        <v>3.1204481610489199E-3</v>
      </c>
      <c r="AF8" t="s">
        <v>51</v>
      </c>
      <c r="AG8">
        <v>2010</v>
      </c>
      <c r="AH8" t="s">
        <v>6</v>
      </c>
      <c r="AI8" t="s">
        <v>48</v>
      </c>
      <c r="AJ8" s="5">
        <v>3.1204481610489199E-3</v>
      </c>
    </row>
    <row r="9" spans="1:38" x14ac:dyDescent="0.25">
      <c r="B9" t="s">
        <v>49</v>
      </c>
      <c r="C9">
        <v>2020</v>
      </c>
      <c r="D9" t="s">
        <v>39</v>
      </c>
      <c r="E9" t="s">
        <v>29</v>
      </c>
      <c r="F9" s="3">
        <v>0.25</v>
      </c>
      <c r="H9" t="s">
        <v>177</v>
      </c>
      <c r="I9">
        <v>2015</v>
      </c>
      <c r="J9" t="s">
        <v>39</v>
      </c>
      <c r="K9" t="s">
        <v>0</v>
      </c>
      <c r="L9" s="3">
        <v>170.82</v>
      </c>
      <c r="N9" t="s">
        <v>77</v>
      </c>
      <c r="O9">
        <v>2010</v>
      </c>
      <c r="P9" t="s">
        <v>29</v>
      </c>
      <c r="Q9" t="s">
        <v>48</v>
      </c>
      <c r="R9">
        <v>57.5</v>
      </c>
      <c r="T9" t="s">
        <v>77</v>
      </c>
      <c r="U9">
        <v>2010</v>
      </c>
      <c r="V9" t="s">
        <v>29</v>
      </c>
      <c r="W9" t="s">
        <v>48</v>
      </c>
      <c r="X9">
        <v>2.5</v>
      </c>
      <c r="Z9" t="s">
        <v>247</v>
      </c>
      <c r="AA9">
        <v>2010</v>
      </c>
      <c r="AB9" t="s">
        <v>0</v>
      </c>
      <c r="AC9" t="s">
        <v>48</v>
      </c>
      <c r="AD9" s="5">
        <v>1.89614296336975E-3</v>
      </c>
      <c r="AF9" t="s">
        <v>53</v>
      </c>
      <c r="AG9">
        <v>2010</v>
      </c>
      <c r="AH9" t="s">
        <v>0</v>
      </c>
      <c r="AI9" t="s">
        <v>48</v>
      </c>
      <c r="AJ9" s="5">
        <v>1.89614296336975E-3</v>
      </c>
    </row>
    <row r="10" spans="1:38" x14ac:dyDescent="0.25">
      <c r="B10" t="s">
        <v>49</v>
      </c>
      <c r="C10">
        <v>2020</v>
      </c>
      <c r="D10" t="s">
        <v>39</v>
      </c>
      <c r="E10" t="s">
        <v>31</v>
      </c>
      <c r="F10" s="3">
        <v>0.25</v>
      </c>
      <c r="H10" t="s">
        <v>177</v>
      </c>
      <c r="I10">
        <v>2020</v>
      </c>
      <c r="J10" t="s">
        <v>39</v>
      </c>
      <c r="K10" t="s">
        <v>0</v>
      </c>
      <c r="L10" s="3">
        <v>170.82</v>
      </c>
      <c r="N10" t="s">
        <v>77</v>
      </c>
      <c r="O10">
        <v>2010</v>
      </c>
      <c r="P10" t="s">
        <v>33</v>
      </c>
      <c r="Q10" t="s">
        <v>48</v>
      </c>
      <c r="R10">
        <v>57.5</v>
      </c>
      <c r="T10" t="s">
        <v>77</v>
      </c>
      <c r="U10">
        <v>2010</v>
      </c>
      <c r="V10" t="s">
        <v>33</v>
      </c>
      <c r="W10" t="s">
        <v>48</v>
      </c>
      <c r="X10">
        <v>2.5</v>
      </c>
      <c r="Z10" t="s">
        <v>247</v>
      </c>
      <c r="AA10">
        <v>2010</v>
      </c>
      <c r="AB10" t="s">
        <v>12</v>
      </c>
      <c r="AC10" t="s">
        <v>48</v>
      </c>
      <c r="AD10" s="5">
        <v>1.89614296336975E-3</v>
      </c>
      <c r="AF10" t="s">
        <v>53</v>
      </c>
      <c r="AG10">
        <v>2010</v>
      </c>
      <c r="AH10" t="s">
        <v>12</v>
      </c>
      <c r="AI10" t="s">
        <v>48</v>
      </c>
      <c r="AJ10" s="5">
        <v>1.89614296336975E-3</v>
      </c>
    </row>
    <row r="11" spans="1:38" x14ac:dyDescent="0.25">
      <c r="B11" t="s">
        <v>49</v>
      </c>
      <c r="C11">
        <v>2025</v>
      </c>
      <c r="D11" t="s">
        <v>40</v>
      </c>
      <c r="E11" t="s">
        <v>29</v>
      </c>
      <c r="F11" s="3">
        <v>0.5</v>
      </c>
      <c r="H11" t="s">
        <v>178</v>
      </c>
      <c r="I11">
        <v>2010</v>
      </c>
      <c r="J11" t="s">
        <v>39</v>
      </c>
      <c r="K11" t="s">
        <v>0</v>
      </c>
      <c r="L11" s="3">
        <v>1463.50035</v>
      </c>
      <c r="N11" t="s">
        <v>50</v>
      </c>
      <c r="O11">
        <v>2010</v>
      </c>
      <c r="P11" t="s">
        <v>0</v>
      </c>
      <c r="Q11" t="s">
        <v>48</v>
      </c>
      <c r="R11">
        <v>57.5</v>
      </c>
      <c r="T11" t="s">
        <v>50</v>
      </c>
      <c r="U11">
        <v>2010</v>
      </c>
      <c r="V11" t="s">
        <v>0</v>
      </c>
      <c r="W11" t="s">
        <v>48</v>
      </c>
      <c r="X11">
        <v>2.5</v>
      </c>
      <c r="Z11" t="s">
        <v>248</v>
      </c>
      <c r="AA11">
        <v>2010</v>
      </c>
      <c r="AB11" t="s">
        <v>0</v>
      </c>
      <c r="AC11" t="s">
        <v>48</v>
      </c>
      <c r="AD11" s="5">
        <v>8.3033029750465698E-4</v>
      </c>
      <c r="AF11" t="s">
        <v>55</v>
      </c>
      <c r="AG11">
        <v>2010</v>
      </c>
      <c r="AH11" t="s">
        <v>0</v>
      </c>
      <c r="AI11" t="s">
        <v>48</v>
      </c>
      <c r="AJ11" s="5">
        <v>8.3033029750465698E-4</v>
      </c>
    </row>
    <row r="12" spans="1:38" x14ac:dyDescent="0.25">
      <c r="B12" t="s">
        <v>49</v>
      </c>
      <c r="C12">
        <v>2025</v>
      </c>
      <c r="D12" t="s">
        <v>40</v>
      </c>
      <c r="E12" t="s">
        <v>31</v>
      </c>
      <c r="F12" s="3">
        <v>0.5</v>
      </c>
      <c r="H12" t="s">
        <v>178</v>
      </c>
      <c r="I12">
        <v>2015</v>
      </c>
      <c r="J12" t="s">
        <v>39</v>
      </c>
      <c r="K12" t="s">
        <v>0</v>
      </c>
      <c r="L12" s="3">
        <v>1509.62175</v>
      </c>
      <c r="N12" t="s">
        <v>50</v>
      </c>
      <c r="O12">
        <v>2010</v>
      </c>
      <c r="P12" t="s">
        <v>3</v>
      </c>
      <c r="Q12" t="s">
        <v>48</v>
      </c>
      <c r="R12">
        <v>57.5</v>
      </c>
      <c r="T12" t="s">
        <v>50</v>
      </c>
      <c r="U12">
        <v>2010</v>
      </c>
      <c r="V12" t="s">
        <v>3</v>
      </c>
      <c r="W12" t="s">
        <v>48</v>
      </c>
      <c r="X12">
        <v>2.5</v>
      </c>
      <c r="Z12" t="s">
        <v>248</v>
      </c>
      <c r="AA12">
        <v>2010</v>
      </c>
      <c r="AB12" t="s">
        <v>26</v>
      </c>
      <c r="AC12" t="s">
        <v>48</v>
      </c>
      <c r="AD12" s="5">
        <v>8.3033029750465698E-4</v>
      </c>
      <c r="AF12" t="s">
        <v>55</v>
      </c>
      <c r="AG12">
        <v>2010</v>
      </c>
      <c r="AH12" t="s">
        <v>26</v>
      </c>
      <c r="AI12" t="s">
        <v>48</v>
      </c>
      <c r="AJ12" s="5">
        <v>8.3033029750465698E-4</v>
      </c>
    </row>
    <row r="13" spans="1:38" x14ac:dyDescent="0.25">
      <c r="B13" t="s">
        <v>175</v>
      </c>
      <c r="C13">
        <v>2010</v>
      </c>
      <c r="D13" t="s">
        <v>39</v>
      </c>
      <c r="E13" t="s">
        <v>29</v>
      </c>
      <c r="F13" s="3">
        <v>0</v>
      </c>
      <c r="H13" t="s">
        <v>178</v>
      </c>
      <c r="I13">
        <v>2020</v>
      </c>
      <c r="J13" t="s">
        <v>39</v>
      </c>
      <c r="K13" t="s">
        <v>0</v>
      </c>
      <c r="L13" s="3">
        <v>1509.62175</v>
      </c>
      <c r="N13" t="s">
        <v>52</v>
      </c>
      <c r="O13">
        <v>2010</v>
      </c>
      <c r="P13" t="s">
        <v>0</v>
      </c>
      <c r="Q13" t="s">
        <v>48</v>
      </c>
      <c r="R13">
        <v>57.5</v>
      </c>
      <c r="T13" t="s">
        <v>52</v>
      </c>
      <c r="U13">
        <v>2010</v>
      </c>
      <c r="V13" t="s">
        <v>0</v>
      </c>
      <c r="W13" t="s">
        <v>48</v>
      </c>
      <c r="X13">
        <v>2.5</v>
      </c>
      <c r="Z13" t="s">
        <v>249</v>
      </c>
      <c r="AA13">
        <v>2010</v>
      </c>
      <c r="AB13" t="s">
        <v>0</v>
      </c>
      <c r="AC13" t="s">
        <v>48</v>
      </c>
      <c r="AD13" s="5">
        <v>1.6434807335793801E-3</v>
      </c>
      <c r="AF13" t="s">
        <v>57</v>
      </c>
      <c r="AG13">
        <v>2010</v>
      </c>
      <c r="AH13" t="s">
        <v>0</v>
      </c>
      <c r="AI13" t="s">
        <v>48</v>
      </c>
      <c r="AJ13" s="5">
        <v>1.6434807335793801E-3</v>
      </c>
    </row>
    <row r="14" spans="1:38" x14ac:dyDescent="0.25">
      <c r="B14" t="s">
        <v>175</v>
      </c>
      <c r="C14">
        <v>2010</v>
      </c>
      <c r="D14" t="s">
        <v>39</v>
      </c>
      <c r="E14" t="s">
        <v>32</v>
      </c>
      <c r="F14" s="3">
        <v>0</v>
      </c>
      <c r="H14" t="s">
        <v>180</v>
      </c>
      <c r="I14">
        <v>2010</v>
      </c>
      <c r="J14" t="s">
        <v>39</v>
      </c>
      <c r="K14" t="s">
        <v>0</v>
      </c>
      <c r="L14" s="3">
        <v>143.4888</v>
      </c>
      <c r="N14" t="s">
        <v>52</v>
      </c>
      <c r="O14">
        <v>2010</v>
      </c>
      <c r="P14" t="s">
        <v>5</v>
      </c>
      <c r="Q14" t="s">
        <v>48</v>
      </c>
      <c r="R14">
        <v>57.5</v>
      </c>
      <c r="T14" t="s">
        <v>52</v>
      </c>
      <c r="U14">
        <v>2010</v>
      </c>
      <c r="V14" t="s">
        <v>5</v>
      </c>
      <c r="W14" t="s">
        <v>48</v>
      </c>
      <c r="X14">
        <v>2.5</v>
      </c>
      <c r="Z14" t="s">
        <v>249</v>
      </c>
      <c r="AA14">
        <v>2010</v>
      </c>
      <c r="AB14" t="s">
        <v>27</v>
      </c>
      <c r="AC14" t="s">
        <v>48</v>
      </c>
      <c r="AD14" s="5">
        <v>1.6434807335793801E-3</v>
      </c>
      <c r="AF14" t="s">
        <v>57</v>
      </c>
      <c r="AG14">
        <v>2010</v>
      </c>
      <c r="AH14" t="s">
        <v>27</v>
      </c>
      <c r="AI14" t="s">
        <v>48</v>
      </c>
      <c r="AJ14" s="5">
        <v>1.6434807335793801E-3</v>
      </c>
    </row>
    <row r="15" spans="1:38" x14ac:dyDescent="0.25">
      <c r="B15" t="s">
        <v>175</v>
      </c>
      <c r="C15">
        <v>2015</v>
      </c>
      <c r="D15" t="s">
        <v>39</v>
      </c>
      <c r="E15" t="s">
        <v>29</v>
      </c>
      <c r="F15" s="3">
        <v>0</v>
      </c>
      <c r="H15" t="s">
        <v>180</v>
      </c>
      <c r="I15">
        <v>2015</v>
      </c>
      <c r="J15" t="s">
        <v>39</v>
      </c>
      <c r="K15" t="s">
        <v>0</v>
      </c>
      <c r="L15" s="3">
        <v>149.4675</v>
      </c>
      <c r="N15" t="s">
        <v>54</v>
      </c>
      <c r="O15">
        <v>2010</v>
      </c>
      <c r="P15" t="s">
        <v>0</v>
      </c>
      <c r="Q15" t="s">
        <v>48</v>
      </c>
      <c r="R15">
        <v>57.5</v>
      </c>
      <c r="T15" t="s">
        <v>54</v>
      </c>
      <c r="U15">
        <v>2010</v>
      </c>
      <c r="V15" t="s">
        <v>0</v>
      </c>
      <c r="W15" t="s">
        <v>48</v>
      </c>
      <c r="X15">
        <v>2.5</v>
      </c>
      <c r="Z15" t="s">
        <v>250</v>
      </c>
      <c r="AA15">
        <v>2010</v>
      </c>
      <c r="AB15" t="s">
        <v>1</v>
      </c>
      <c r="AC15" t="s">
        <v>48</v>
      </c>
      <c r="AD15" s="5">
        <v>1.8392132621281199E-3</v>
      </c>
      <c r="AF15" t="s">
        <v>59</v>
      </c>
      <c r="AG15">
        <v>2010</v>
      </c>
      <c r="AH15" t="s">
        <v>1</v>
      </c>
      <c r="AI15" t="s">
        <v>48</v>
      </c>
      <c r="AJ15" s="5">
        <v>1.8392132621281199E-3</v>
      </c>
    </row>
    <row r="16" spans="1:38" x14ac:dyDescent="0.25">
      <c r="B16" t="s">
        <v>175</v>
      </c>
      <c r="C16">
        <v>2015</v>
      </c>
      <c r="D16" t="s">
        <v>39</v>
      </c>
      <c r="E16" t="s">
        <v>32</v>
      </c>
      <c r="F16" s="3">
        <v>0</v>
      </c>
      <c r="H16" t="s">
        <v>180</v>
      </c>
      <c r="I16">
        <v>2020</v>
      </c>
      <c r="J16" t="s">
        <v>39</v>
      </c>
      <c r="K16" t="s">
        <v>0</v>
      </c>
      <c r="L16" s="3">
        <v>149.4675</v>
      </c>
      <c r="N16" t="s">
        <v>54</v>
      </c>
      <c r="O16">
        <v>2010</v>
      </c>
      <c r="P16" t="s">
        <v>6</v>
      </c>
      <c r="Q16" t="s">
        <v>48</v>
      </c>
      <c r="R16">
        <v>57.5</v>
      </c>
      <c r="T16" t="s">
        <v>54</v>
      </c>
      <c r="U16">
        <v>2010</v>
      </c>
      <c r="V16" t="s">
        <v>6</v>
      </c>
      <c r="W16" t="s">
        <v>48</v>
      </c>
      <c r="X16">
        <v>2.5</v>
      </c>
      <c r="Z16" t="s">
        <v>250</v>
      </c>
      <c r="AA16">
        <v>2010</v>
      </c>
      <c r="AB16" t="s">
        <v>6</v>
      </c>
      <c r="AC16" t="s">
        <v>48</v>
      </c>
      <c r="AD16" s="5">
        <v>1.8392132621281199E-3</v>
      </c>
      <c r="AF16" t="s">
        <v>59</v>
      </c>
      <c r="AG16">
        <v>2010</v>
      </c>
      <c r="AH16" t="s">
        <v>6</v>
      </c>
      <c r="AI16" t="s">
        <v>48</v>
      </c>
      <c r="AJ16" s="5">
        <v>1.8392132621281199E-3</v>
      </c>
    </row>
    <row r="17" spans="2:36" x14ac:dyDescent="0.25">
      <c r="B17" t="s">
        <v>175</v>
      </c>
      <c r="C17">
        <v>2020</v>
      </c>
      <c r="D17" t="s">
        <v>39</v>
      </c>
      <c r="E17" t="s">
        <v>29</v>
      </c>
      <c r="F17" s="3">
        <v>0.25</v>
      </c>
      <c r="H17" t="s">
        <v>179</v>
      </c>
      <c r="I17">
        <v>2010</v>
      </c>
      <c r="J17" t="s">
        <v>39</v>
      </c>
      <c r="K17" t="s">
        <v>0</v>
      </c>
      <c r="L17" s="3">
        <v>957.73080000000004</v>
      </c>
      <c r="N17" t="s">
        <v>56</v>
      </c>
      <c r="O17">
        <v>2010</v>
      </c>
      <c r="P17" t="s">
        <v>0</v>
      </c>
      <c r="Q17" t="s">
        <v>48</v>
      </c>
      <c r="R17">
        <v>57.5</v>
      </c>
      <c r="T17" t="s">
        <v>56</v>
      </c>
      <c r="U17">
        <v>2010</v>
      </c>
      <c r="V17" t="s">
        <v>0</v>
      </c>
      <c r="W17" t="s">
        <v>48</v>
      </c>
      <c r="X17">
        <v>2.5</v>
      </c>
      <c r="Z17" t="s">
        <v>251</v>
      </c>
      <c r="AA17">
        <v>2010</v>
      </c>
      <c r="AB17" t="s">
        <v>1</v>
      </c>
      <c r="AC17" t="s">
        <v>48</v>
      </c>
      <c r="AD17" s="5">
        <v>1.80145596016245E-3</v>
      </c>
      <c r="AF17" t="s">
        <v>61</v>
      </c>
      <c r="AG17">
        <v>2010</v>
      </c>
      <c r="AH17" t="s">
        <v>1</v>
      </c>
      <c r="AI17" t="s">
        <v>48</v>
      </c>
      <c r="AJ17" s="5">
        <v>1.80145596016245E-3</v>
      </c>
    </row>
    <row r="18" spans="2:36" x14ac:dyDescent="0.25">
      <c r="B18" t="s">
        <v>175</v>
      </c>
      <c r="C18">
        <v>2020</v>
      </c>
      <c r="D18" t="s">
        <v>39</v>
      </c>
      <c r="E18" t="s">
        <v>32</v>
      </c>
      <c r="F18" s="3">
        <v>0.25</v>
      </c>
      <c r="H18" t="s">
        <v>179</v>
      </c>
      <c r="I18">
        <v>2015</v>
      </c>
      <c r="J18" t="s">
        <v>39</v>
      </c>
      <c r="K18" t="s">
        <v>0</v>
      </c>
      <c r="L18" s="3">
        <v>957.73080000000004</v>
      </c>
      <c r="N18" t="s">
        <v>56</v>
      </c>
      <c r="O18">
        <v>2010</v>
      </c>
      <c r="P18" t="s">
        <v>12</v>
      </c>
      <c r="Q18" t="s">
        <v>48</v>
      </c>
      <c r="R18">
        <v>57.5</v>
      </c>
      <c r="T18" t="s">
        <v>56</v>
      </c>
      <c r="U18">
        <v>2010</v>
      </c>
      <c r="V18" t="s">
        <v>12</v>
      </c>
      <c r="W18" t="s">
        <v>48</v>
      </c>
      <c r="X18">
        <v>2.5</v>
      </c>
      <c r="Z18" t="s">
        <v>251</v>
      </c>
      <c r="AA18">
        <v>2010</v>
      </c>
      <c r="AB18" t="s">
        <v>11</v>
      </c>
      <c r="AC18" t="s">
        <v>48</v>
      </c>
      <c r="AD18" s="5">
        <v>1.80145596016245E-3</v>
      </c>
      <c r="AF18" t="s">
        <v>61</v>
      </c>
      <c r="AG18">
        <v>2010</v>
      </c>
      <c r="AH18" t="s">
        <v>11</v>
      </c>
      <c r="AI18" t="s">
        <v>48</v>
      </c>
      <c r="AJ18" s="5">
        <v>1.80145596016245E-3</v>
      </c>
    </row>
    <row r="19" spans="2:36" x14ac:dyDescent="0.25">
      <c r="B19" t="s">
        <v>175</v>
      </c>
      <c r="C19">
        <v>2025</v>
      </c>
      <c r="D19" t="s">
        <v>40</v>
      </c>
      <c r="E19" t="s">
        <v>29</v>
      </c>
      <c r="F19" s="3">
        <v>0.5</v>
      </c>
      <c r="H19" t="s">
        <v>179</v>
      </c>
      <c r="I19">
        <v>2020</v>
      </c>
      <c r="J19" t="s">
        <v>39</v>
      </c>
      <c r="K19" t="s">
        <v>0</v>
      </c>
      <c r="L19" s="3">
        <v>957.73080000000004</v>
      </c>
      <c r="N19" t="s">
        <v>58</v>
      </c>
      <c r="O19">
        <v>2010</v>
      </c>
      <c r="P19" t="s">
        <v>0</v>
      </c>
      <c r="Q19" t="s">
        <v>48</v>
      </c>
      <c r="R19">
        <v>57.5</v>
      </c>
      <c r="T19" t="s">
        <v>58</v>
      </c>
      <c r="U19">
        <v>2010</v>
      </c>
      <c r="V19" t="s">
        <v>0</v>
      </c>
      <c r="W19" t="s">
        <v>48</v>
      </c>
      <c r="X19">
        <v>2.5</v>
      </c>
      <c r="Z19" t="s">
        <v>252</v>
      </c>
      <c r="AA19">
        <v>2010</v>
      </c>
      <c r="AB19" t="s">
        <v>1</v>
      </c>
      <c r="AC19" t="s">
        <v>48</v>
      </c>
      <c r="AD19" s="21">
        <v>9.1738679739311699E-4</v>
      </c>
      <c r="AE19" s="12"/>
      <c r="AF19" s="12" t="s">
        <v>63</v>
      </c>
      <c r="AG19" s="12">
        <v>2010</v>
      </c>
      <c r="AH19" s="12" t="s">
        <v>1</v>
      </c>
      <c r="AI19" s="12" t="s">
        <v>48</v>
      </c>
      <c r="AJ19" s="21">
        <v>9.1738679739311699E-4</v>
      </c>
    </row>
    <row r="20" spans="2:36" x14ac:dyDescent="0.25">
      <c r="B20" t="s">
        <v>175</v>
      </c>
      <c r="C20">
        <v>2025</v>
      </c>
      <c r="D20" t="s">
        <v>40</v>
      </c>
      <c r="E20" t="s">
        <v>32</v>
      </c>
      <c r="F20" s="3">
        <v>0.5</v>
      </c>
      <c r="H20" t="s">
        <v>182</v>
      </c>
      <c r="I20">
        <v>2010</v>
      </c>
      <c r="J20" t="s">
        <v>39</v>
      </c>
      <c r="K20" t="s">
        <v>1</v>
      </c>
      <c r="L20" s="3">
        <v>448.40249999999997</v>
      </c>
      <c r="N20" t="s">
        <v>58</v>
      </c>
      <c r="O20">
        <v>2010</v>
      </c>
      <c r="P20" t="s">
        <v>15</v>
      </c>
      <c r="Q20" t="s">
        <v>48</v>
      </c>
      <c r="R20">
        <v>57.5</v>
      </c>
      <c r="T20" t="s">
        <v>58</v>
      </c>
      <c r="U20">
        <v>2010</v>
      </c>
      <c r="V20" t="s">
        <v>15</v>
      </c>
      <c r="W20" t="s">
        <v>48</v>
      </c>
      <c r="X20">
        <v>2.5</v>
      </c>
      <c r="Z20" t="s">
        <v>252</v>
      </c>
      <c r="AA20">
        <v>2010</v>
      </c>
      <c r="AB20" t="s">
        <v>17</v>
      </c>
      <c r="AC20" t="s">
        <v>48</v>
      </c>
      <c r="AD20" s="21">
        <v>9.1738679739311699E-4</v>
      </c>
      <c r="AE20" s="12"/>
      <c r="AF20" s="12" t="s">
        <v>63</v>
      </c>
      <c r="AG20" s="12">
        <v>2010</v>
      </c>
      <c r="AH20" s="12" t="s">
        <v>17</v>
      </c>
      <c r="AI20" s="12" t="s">
        <v>48</v>
      </c>
      <c r="AJ20" s="21">
        <v>9.1738679739311699E-4</v>
      </c>
    </row>
    <row r="21" spans="2:36" x14ac:dyDescent="0.25">
      <c r="B21" t="s">
        <v>77</v>
      </c>
      <c r="C21">
        <v>2010</v>
      </c>
      <c r="D21" t="s">
        <v>39</v>
      </c>
      <c r="E21" t="s">
        <v>29</v>
      </c>
      <c r="F21" s="3">
        <v>0.3</v>
      </c>
      <c r="H21" t="s">
        <v>182</v>
      </c>
      <c r="I21">
        <v>2015</v>
      </c>
      <c r="J21" t="s">
        <v>39</v>
      </c>
      <c r="K21" t="s">
        <v>1</v>
      </c>
      <c r="L21" s="3">
        <v>448.40249999999997</v>
      </c>
      <c r="N21" t="s">
        <v>60</v>
      </c>
      <c r="O21">
        <v>2010</v>
      </c>
      <c r="P21" t="s">
        <v>0</v>
      </c>
      <c r="Q21" t="s">
        <v>48</v>
      </c>
      <c r="R21">
        <v>57.5</v>
      </c>
      <c r="T21" t="s">
        <v>60</v>
      </c>
      <c r="U21">
        <v>2010</v>
      </c>
      <c r="V21" t="s">
        <v>0</v>
      </c>
      <c r="W21" t="s">
        <v>48</v>
      </c>
      <c r="X21">
        <v>2.5</v>
      </c>
      <c r="Z21" t="s">
        <v>253</v>
      </c>
      <c r="AA21">
        <v>2010</v>
      </c>
      <c r="AB21" t="s">
        <v>1</v>
      </c>
      <c r="AC21" t="s">
        <v>48</v>
      </c>
      <c r="AD21" s="21">
        <v>9.5090599560139401E-4</v>
      </c>
      <c r="AE21" s="12"/>
      <c r="AF21" s="12" t="s">
        <v>65</v>
      </c>
      <c r="AG21" s="12">
        <v>2010</v>
      </c>
      <c r="AH21" s="12" t="s">
        <v>1</v>
      </c>
      <c r="AI21" s="12" t="s">
        <v>48</v>
      </c>
      <c r="AJ21" s="21">
        <v>9.5090599560139401E-4</v>
      </c>
    </row>
    <row r="22" spans="2:36" x14ac:dyDescent="0.25">
      <c r="B22" t="s">
        <v>77</v>
      </c>
      <c r="C22">
        <v>2010</v>
      </c>
      <c r="D22" t="s">
        <v>39</v>
      </c>
      <c r="E22" t="s">
        <v>33</v>
      </c>
      <c r="F22" s="3">
        <v>0.3</v>
      </c>
      <c r="H22" t="s">
        <v>182</v>
      </c>
      <c r="I22">
        <v>2020</v>
      </c>
      <c r="J22" t="s">
        <v>39</v>
      </c>
      <c r="K22" t="s">
        <v>1</v>
      </c>
      <c r="L22" s="3">
        <v>448.40249999999997</v>
      </c>
      <c r="N22" t="s">
        <v>60</v>
      </c>
      <c r="O22">
        <v>2010</v>
      </c>
      <c r="P22" t="s">
        <v>26</v>
      </c>
      <c r="Q22" t="s">
        <v>48</v>
      </c>
      <c r="R22">
        <v>57.5</v>
      </c>
      <c r="T22" t="s">
        <v>60</v>
      </c>
      <c r="U22">
        <v>2010</v>
      </c>
      <c r="V22" t="s">
        <v>26</v>
      </c>
      <c r="W22" t="s">
        <v>48</v>
      </c>
      <c r="X22">
        <v>2.5</v>
      </c>
      <c r="Z22" t="s">
        <v>253</v>
      </c>
      <c r="AA22">
        <v>2010</v>
      </c>
      <c r="AB22" t="s">
        <v>20</v>
      </c>
      <c r="AC22" t="s">
        <v>48</v>
      </c>
      <c r="AD22" s="21">
        <v>9.5090599560139401E-4</v>
      </c>
      <c r="AE22" s="12"/>
      <c r="AF22" s="12" t="s">
        <v>65</v>
      </c>
      <c r="AG22" s="12">
        <v>2010</v>
      </c>
      <c r="AH22" s="12" t="s">
        <v>20</v>
      </c>
      <c r="AI22" s="12" t="s">
        <v>48</v>
      </c>
      <c r="AJ22" s="21">
        <v>9.5090599560139401E-4</v>
      </c>
    </row>
    <row r="23" spans="2:36" x14ac:dyDescent="0.25">
      <c r="B23" t="s">
        <v>77</v>
      </c>
      <c r="C23">
        <v>2015</v>
      </c>
      <c r="D23" t="s">
        <v>39</v>
      </c>
      <c r="E23" t="s">
        <v>29</v>
      </c>
      <c r="F23" s="3">
        <v>0.5</v>
      </c>
      <c r="H23" t="s">
        <v>181</v>
      </c>
      <c r="I23">
        <v>2010</v>
      </c>
      <c r="J23" t="s">
        <v>39</v>
      </c>
      <c r="K23" t="s">
        <v>1</v>
      </c>
      <c r="L23" s="3">
        <v>1140.6505500000001</v>
      </c>
      <c r="N23" t="s">
        <v>62</v>
      </c>
      <c r="O23">
        <v>2010</v>
      </c>
      <c r="P23" t="s">
        <v>0</v>
      </c>
      <c r="Q23" t="s">
        <v>48</v>
      </c>
      <c r="R23">
        <v>57.5</v>
      </c>
      <c r="T23" t="s">
        <v>62</v>
      </c>
      <c r="U23">
        <v>2010</v>
      </c>
      <c r="V23" t="s">
        <v>0</v>
      </c>
      <c r="W23" t="s">
        <v>48</v>
      </c>
      <c r="X23">
        <v>2.5</v>
      </c>
      <c r="Z23" t="s">
        <v>254</v>
      </c>
      <c r="AA23">
        <v>2010</v>
      </c>
      <c r="AB23" t="s">
        <v>1</v>
      </c>
      <c r="AC23" t="s">
        <v>48</v>
      </c>
      <c r="AD23" s="21">
        <v>1.7500000000000002E-2</v>
      </c>
      <c r="AE23" s="12"/>
      <c r="AF23" s="12" t="s">
        <v>67</v>
      </c>
      <c r="AG23" s="12">
        <v>2010</v>
      </c>
      <c r="AH23" s="12" t="s">
        <v>1</v>
      </c>
      <c r="AI23" s="12" t="s">
        <v>48</v>
      </c>
      <c r="AJ23" s="21">
        <v>1.7500000000000002E-2</v>
      </c>
    </row>
    <row r="24" spans="2:36" x14ac:dyDescent="0.25">
      <c r="B24" t="s">
        <v>77</v>
      </c>
      <c r="C24">
        <v>2015</v>
      </c>
      <c r="D24" t="s">
        <v>39</v>
      </c>
      <c r="E24" t="s">
        <v>33</v>
      </c>
      <c r="F24" s="3">
        <v>0.5</v>
      </c>
      <c r="H24" t="s">
        <v>181</v>
      </c>
      <c r="I24">
        <v>2015</v>
      </c>
      <c r="J24" t="s">
        <v>39</v>
      </c>
      <c r="K24" t="s">
        <v>1</v>
      </c>
      <c r="L24" s="3">
        <v>1140.6505500000001</v>
      </c>
      <c r="N24" t="s">
        <v>62</v>
      </c>
      <c r="O24">
        <v>2010</v>
      </c>
      <c r="P24" t="s">
        <v>27</v>
      </c>
      <c r="Q24" t="s">
        <v>48</v>
      </c>
      <c r="R24">
        <v>57.5</v>
      </c>
      <c r="T24" t="s">
        <v>62</v>
      </c>
      <c r="U24">
        <v>2010</v>
      </c>
      <c r="V24" t="s">
        <v>27</v>
      </c>
      <c r="W24" t="s">
        <v>48</v>
      </c>
      <c r="X24">
        <v>2.5</v>
      </c>
      <c r="Z24" t="s">
        <v>254</v>
      </c>
      <c r="AA24">
        <v>2010</v>
      </c>
      <c r="AB24" t="s">
        <v>28</v>
      </c>
      <c r="AC24" t="s">
        <v>48</v>
      </c>
      <c r="AD24" s="22">
        <f>AD23</f>
        <v>1.7500000000000002E-2</v>
      </c>
      <c r="AE24" s="12"/>
      <c r="AF24" s="12" t="s">
        <v>67</v>
      </c>
      <c r="AG24" s="12">
        <v>2010</v>
      </c>
      <c r="AH24" s="12" t="s">
        <v>28</v>
      </c>
      <c r="AI24" s="12" t="s">
        <v>48</v>
      </c>
      <c r="AJ24" s="22">
        <f>AJ23</f>
        <v>1.7500000000000002E-2</v>
      </c>
    </row>
    <row r="25" spans="2:36" x14ac:dyDescent="0.25">
      <c r="B25" t="s">
        <v>77</v>
      </c>
      <c r="C25">
        <v>2020</v>
      </c>
      <c r="D25" t="s">
        <v>39</v>
      </c>
      <c r="E25" t="s">
        <v>29</v>
      </c>
      <c r="F25" s="3">
        <v>0.5</v>
      </c>
      <c r="H25" t="s">
        <v>181</v>
      </c>
      <c r="I25">
        <v>2020</v>
      </c>
      <c r="J25" t="s">
        <v>39</v>
      </c>
      <c r="K25" t="s">
        <v>1</v>
      </c>
      <c r="L25" s="3">
        <v>1140.6505500000001</v>
      </c>
      <c r="N25" t="s">
        <v>89</v>
      </c>
      <c r="O25">
        <v>2010</v>
      </c>
      <c r="P25" t="s">
        <v>41</v>
      </c>
      <c r="Q25" t="s">
        <v>48</v>
      </c>
      <c r="R25">
        <v>57.5</v>
      </c>
      <c r="T25" t="s">
        <v>89</v>
      </c>
      <c r="U25">
        <v>2010</v>
      </c>
      <c r="V25" t="s">
        <v>41</v>
      </c>
      <c r="W25" t="s">
        <v>48</v>
      </c>
      <c r="X25">
        <v>2.5</v>
      </c>
      <c r="Z25" t="s">
        <v>255</v>
      </c>
      <c r="AA25">
        <v>2010</v>
      </c>
      <c r="AB25" t="s">
        <v>2</v>
      </c>
      <c r="AC25" t="s">
        <v>48</v>
      </c>
      <c r="AD25" s="21">
        <v>3.1761599618766699E-3</v>
      </c>
      <c r="AE25" s="12"/>
      <c r="AF25" s="12" t="s">
        <v>69</v>
      </c>
      <c r="AG25" s="12">
        <v>2010</v>
      </c>
      <c r="AH25" s="12" t="s">
        <v>2</v>
      </c>
      <c r="AI25" s="12" t="s">
        <v>48</v>
      </c>
      <c r="AJ25" s="21">
        <v>3.1761599618766699E-3</v>
      </c>
    </row>
    <row r="26" spans="2:36" x14ac:dyDescent="0.25">
      <c r="B26" t="s">
        <v>77</v>
      </c>
      <c r="C26">
        <v>2020</v>
      </c>
      <c r="D26" t="s">
        <v>39</v>
      </c>
      <c r="E26" t="s">
        <v>33</v>
      </c>
      <c r="F26" s="3">
        <v>0.5</v>
      </c>
      <c r="H26" t="s">
        <v>183</v>
      </c>
      <c r="I26">
        <v>2010</v>
      </c>
      <c r="J26" t="s">
        <v>39</v>
      </c>
      <c r="K26" t="s">
        <v>1</v>
      </c>
      <c r="L26" s="3">
        <v>85.41</v>
      </c>
      <c r="N26" t="s">
        <v>89</v>
      </c>
      <c r="O26">
        <v>2010</v>
      </c>
      <c r="P26" t="s">
        <v>30</v>
      </c>
      <c r="Q26" t="s">
        <v>48</v>
      </c>
      <c r="R26">
        <v>57.5</v>
      </c>
      <c r="T26" t="s">
        <v>89</v>
      </c>
      <c r="U26">
        <v>2010</v>
      </c>
      <c r="V26" t="s">
        <v>30</v>
      </c>
      <c r="W26" t="s">
        <v>48</v>
      </c>
      <c r="X26">
        <v>2.5</v>
      </c>
      <c r="Z26" t="s">
        <v>255</v>
      </c>
      <c r="AA26">
        <v>2010</v>
      </c>
      <c r="AB26" t="s">
        <v>43</v>
      </c>
      <c r="AC26" t="s">
        <v>48</v>
      </c>
      <c r="AD26" s="21">
        <v>3.1761599618766699E-3</v>
      </c>
      <c r="AE26" s="12"/>
      <c r="AF26" s="12" t="s">
        <v>69</v>
      </c>
      <c r="AG26" s="12">
        <v>2010</v>
      </c>
      <c r="AH26" s="12" t="s">
        <v>43</v>
      </c>
      <c r="AI26" s="12" t="s">
        <v>48</v>
      </c>
      <c r="AJ26" s="21">
        <v>3.1761599618766699E-3</v>
      </c>
    </row>
    <row r="27" spans="2:36" x14ac:dyDescent="0.25">
      <c r="B27" t="s">
        <v>77</v>
      </c>
      <c r="C27">
        <v>2025</v>
      </c>
      <c r="D27" t="s">
        <v>40</v>
      </c>
      <c r="E27" t="s">
        <v>29</v>
      </c>
      <c r="F27" s="3">
        <v>0.75</v>
      </c>
      <c r="H27" t="s">
        <v>183</v>
      </c>
      <c r="I27">
        <v>2015</v>
      </c>
      <c r="J27" t="s">
        <v>39</v>
      </c>
      <c r="K27" t="s">
        <v>1</v>
      </c>
      <c r="L27" s="3">
        <v>85.41</v>
      </c>
      <c r="N27" t="s">
        <v>92</v>
      </c>
      <c r="O27">
        <v>2010</v>
      </c>
      <c r="P27" t="s">
        <v>41</v>
      </c>
      <c r="Q27" t="s">
        <v>48</v>
      </c>
      <c r="R27">
        <v>57.5</v>
      </c>
      <c r="T27" t="s">
        <v>92</v>
      </c>
      <c r="U27">
        <v>2010</v>
      </c>
      <c r="V27" t="s">
        <v>41</v>
      </c>
      <c r="W27" t="s">
        <v>48</v>
      </c>
      <c r="X27">
        <v>2.5</v>
      </c>
      <c r="Z27" t="s">
        <v>256</v>
      </c>
      <c r="AA27">
        <v>2010</v>
      </c>
      <c r="AB27" t="s">
        <v>2</v>
      </c>
      <c r="AC27" t="s">
        <v>48</v>
      </c>
      <c r="AD27" s="21">
        <v>1.9861212033069498E-3</v>
      </c>
      <c r="AE27" s="12"/>
      <c r="AF27" s="12" t="s">
        <v>71</v>
      </c>
      <c r="AG27" s="12">
        <v>2010</v>
      </c>
      <c r="AH27" s="12" t="s">
        <v>2</v>
      </c>
      <c r="AI27" s="12" t="s">
        <v>48</v>
      </c>
      <c r="AJ27" s="21">
        <v>1.9861212033069498E-3</v>
      </c>
    </row>
    <row r="28" spans="2:36" x14ac:dyDescent="0.25">
      <c r="B28" t="s">
        <v>77</v>
      </c>
      <c r="C28">
        <v>2025</v>
      </c>
      <c r="D28" t="s">
        <v>40</v>
      </c>
      <c r="E28" t="s">
        <v>33</v>
      </c>
      <c r="F28" s="3">
        <v>0.7</v>
      </c>
      <c r="H28" t="s">
        <v>183</v>
      </c>
      <c r="I28">
        <v>2020</v>
      </c>
      <c r="J28" t="s">
        <v>39</v>
      </c>
      <c r="K28" t="s">
        <v>1</v>
      </c>
      <c r="L28" s="3">
        <v>85.41</v>
      </c>
      <c r="N28" t="s">
        <v>92</v>
      </c>
      <c r="O28">
        <v>2010</v>
      </c>
      <c r="P28" t="s">
        <v>31</v>
      </c>
      <c r="Q28" t="s">
        <v>48</v>
      </c>
      <c r="R28">
        <v>57.5</v>
      </c>
      <c r="T28" t="s">
        <v>92</v>
      </c>
      <c r="U28">
        <v>2010</v>
      </c>
      <c r="V28" t="s">
        <v>31</v>
      </c>
      <c r="W28" t="s">
        <v>48</v>
      </c>
      <c r="X28">
        <v>2.5</v>
      </c>
      <c r="Z28" t="s">
        <v>256</v>
      </c>
      <c r="AA28">
        <v>2010</v>
      </c>
      <c r="AB28" t="s">
        <v>24</v>
      </c>
      <c r="AC28" t="s">
        <v>48</v>
      </c>
      <c r="AD28" s="21">
        <v>1.9861212033069498E-3</v>
      </c>
      <c r="AE28" s="12"/>
      <c r="AF28" s="12" t="s">
        <v>71</v>
      </c>
      <c r="AG28" s="12">
        <v>2010</v>
      </c>
      <c r="AH28" s="12" t="s">
        <v>24</v>
      </c>
      <c r="AI28" s="12" t="s">
        <v>48</v>
      </c>
      <c r="AJ28" s="21">
        <v>1.9861212033069498E-3</v>
      </c>
    </row>
    <row r="29" spans="2:36" x14ac:dyDescent="0.25">
      <c r="B29" t="s">
        <v>50</v>
      </c>
      <c r="C29">
        <v>2010</v>
      </c>
      <c r="D29" t="s">
        <v>39</v>
      </c>
      <c r="E29" t="s">
        <v>0</v>
      </c>
      <c r="F29" s="3">
        <v>1.2</v>
      </c>
      <c r="H29" t="s">
        <v>184</v>
      </c>
      <c r="I29">
        <v>2010</v>
      </c>
      <c r="J29" t="s">
        <v>39</v>
      </c>
      <c r="K29" t="s">
        <v>1</v>
      </c>
      <c r="L29" s="3">
        <v>409.96800000000002</v>
      </c>
      <c r="N29" t="s">
        <v>94</v>
      </c>
      <c r="O29">
        <v>2010</v>
      </c>
      <c r="P29" t="s">
        <v>41</v>
      </c>
      <c r="Q29" t="s">
        <v>48</v>
      </c>
      <c r="R29">
        <v>57.5</v>
      </c>
      <c r="T29" t="s">
        <v>94</v>
      </c>
      <c r="U29">
        <v>2010</v>
      </c>
      <c r="V29" t="s">
        <v>41</v>
      </c>
      <c r="W29" t="s">
        <v>48</v>
      </c>
      <c r="X29">
        <v>2.5</v>
      </c>
      <c r="Z29" t="s">
        <v>257</v>
      </c>
      <c r="AA29">
        <v>2010</v>
      </c>
      <c r="AB29" t="s">
        <v>4</v>
      </c>
      <c r="AC29" t="s">
        <v>48</v>
      </c>
      <c r="AD29" s="21">
        <v>1.0015235809325901E-2</v>
      </c>
      <c r="AE29" s="12"/>
      <c r="AF29" s="12" t="s">
        <v>73</v>
      </c>
      <c r="AG29" s="12">
        <v>2010</v>
      </c>
      <c r="AH29" s="12" t="s">
        <v>4</v>
      </c>
      <c r="AI29" s="12" t="s">
        <v>48</v>
      </c>
      <c r="AJ29" s="21">
        <v>1.0015235809325901E-2</v>
      </c>
    </row>
    <row r="30" spans="2:36" x14ac:dyDescent="0.25">
      <c r="B30" t="s">
        <v>50</v>
      </c>
      <c r="C30">
        <v>2010</v>
      </c>
      <c r="D30" s="12" t="s">
        <v>39</v>
      </c>
      <c r="E30" s="12" t="s">
        <v>3</v>
      </c>
      <c r="F30" s="16">
        <v>1.2</v>
      </c>
      <c r="G30" s="12"/>
      <c r="H30" s="12" t="s">
        <v>184</v>
      </c>
      <c r="I30" s="12">
        <v>2015</v>
      </c>
      <c r="J30" s="12" t="s">
        <v>39</v>
      </c>
      <c r="K30" s="12" t="s">
        <v>1</v>
      </c>
      <c r="L30" s="16">
        <v>419.9325</v>
      </c>
      <c r="M30" s="12"/>
      <c r="N30" s="12" t="s">
        <v>94</v>
      </c>
      <c r="O30" s="12">
        <v>2010</v>
      </c>
      <c r="P30" s="12" t="s">
        <v>33</v>
      </c>
      <c r="Q30" s="12" t="s">
        <v>48</v>
      </c>
      <c r="R30" s="12">
        <v>57.5</v>
      </c>
      <c r="S30" s="12"/>
      <c r="T30" s="12" t="s">
        <v>94</v>
      </c>
      <c r="U30" s="12">
        <v>2010</v>
      </c>
      <c r="V30" s="12" t="s">
        <v>33</v>
      </c>
      <c r="W30" s="12" t="s">
        <v>48</v>
      </c>
      <c r="X30" s="12">
        <v>2.5</v>
      </c>
      <c r="Z30" t="s">
        <v>257</v>
      </c>
      <c r="AA30">
        <v>2010</v>
      </c>
      <c r="AB30" t="s">
        <v>43</v>
      </c>
      <c r="AC30" t="s">
        <v>48</v>
      </c>
      <c r="AD30" s="21">
        <v>1.0015235809325901E-2</v>
      </c>
      <c r="AE30" s="12"/>
      <c r="AF30" s="12" t="s">
        <v>73</v>
      </c>
      <c r="AG30" s="12">
        <v>2010</v>
      </c>
      <c r="AH30" s="12" t="s">
        <v>43</v>
      </c>
      <c r="AI30" s="12" t="s">
        <v>48</v>
      </c>
      <c r="AJ30" s="21">
        <v>1.0015235809325901E-2</v>
      </c>
    </row>
    <row r="31" spans="2:36" x14ac:dyDescent="0.25">
      <c r="B31" t="s">
        <v>50</v>
      </c>
      <c r="C31">
        <v>2015</v>
      </c>
      <c r="D31" s="12" t="s">
        <v>39</v>
      </c>
      <c r="E31" s="12" t="s">
        <v>0</v>
      </c>
      <c r="F31" s="16">
        <v>1.2</v>
      </c>
      <c r="G31" s="12"/>
      <c r="H31" s="12" t="s">
        <v>184</v>
      </c>
      <c r="I31" s="12">
        <v>2020</v>
      </c>
      <c r="J31" s="12" t="s">
        <v>39</v>
      </c>
      <c r="K31" s="12" t="s">
        <v>1</v>
      </c>
      <c r="L31" s="16">
        <v>419.9325</v>
      </c>
      <c r="M31" s="12"/>
      <c r="N31" s="12" t="s">
        <v>64</v>
      </c>
      <c r="O31" s="12">
        <v>2010</v>
      </c>
      <c r="P31" s="12" t="s">
        <v>1</v>
      </c>
      <c r="Q31" s="12" t="s">
        <v>48</v>
      </c>
      <c r="R31" s="12">
        <v>414</v>
      </c>
      <c r="S31" s="12"/>
      <c r="T31" s="12" t="s">
        <v>64</v>
      </c>
      <c r="U31" s="12">
        <v>2010</v>
      </c>
      <c r="V31" s="12" t="s">
        <v>1</v>
      </c>
      <c r="W31" s="12" t="s">
        <v>48</v>
      </c>
      <c r="X31" s="12">
        <v>18</v>
      </c>
      <c r="Z31" t="s">
        <v>258</v>
      </c>
      <c r="AA31">
        <v>2010</v>
      </c>
      <c r="AB31" t="s">
        <v>5</v>
      </c>
      <c r="AC31" t="s">
        <v>48</v>
      </c>
      <c r="AD31" s="21">
        <v>2.3564561626668399E-3</v>
      </c>
      <c r="AE31" s="12"/>
      <c r="AF31" s="12" t="s">
        <v>76</v>
      </c>
      <c r="AG31" s="12">
        <v>2010</v>
      </c>
      <c r="AH31" s="12" t="s">
        <v>5</v>
      </c>
      <c r="AI31" s="12" t="s">
        <v>48</v>
      </c>
      <c r="AJ31" s="21">
        <v>2.3564561626668399E-3</v>
      </c>
    </row>
    <row r="32" spans="2:36" x14ac:dyDescent="0.25">
      <c r="B32" t="s">
        <v>50</v>
      </c>
      <c r="C32">
        <v>2015</v>
      </c>
      <c r="D32" s="12" t="s">
        <v>39</v>
      </c>
      <c r="E32" s="12" t="s">
        <v>3</v>
      </c>
      <c r="F32" s="16">
        <v>1.2</v>
      </c>
      <c r="G32" s="12"/>
      <c r="H32" s="12" t="s">
        <v>185</v>
      </c>
      <c r="I32" s="12">
        <v>2010</v>
      </c>
      <c r="J32" s="12" t="s">
        <v>39</v>
      </c>
      <c r="K32" s="12" t="s">
        <v>1</v>
      </c>
      <c r="L32" s="16">
        <v>968.54939999999999</v>
      </c>
      <c r="M32" s="12"/>
      <c r="N32" s="12" t="s">
        <v>64</v>
      </c>
      <c r="O32" s="12">
        <v>2010</v>
      </c>
      <c r="P32" s="12" t="s">
        <v>6</v>
      </c>
      <c r="Q32" s="12" t="s">
        <v>48</v>
      </c>
      <c r="R32" s="12">
        <v>414</v>
      </c>
      <c r="S32" s="12"/>
      <c r="T32" s="12" t="s">
        <v>64</v>
      </c>
      <c r="U32" s="12">
        <v>2010</v>
      </c>
      <c r="V32" s="12" t="s">
        <v>6</v>
      </c>
      <c r="W32" s="12" t="s">
        <v>48</v>
      </c>
      <c r="X32" s="12">
        <v>18</v>
      </c>
      <c r="Z32" t="s">
        <v>258</v>
      </c>
      <c r="AA32">
        <v>2010</v>
      </c>
      <c r="AB32" t="s">
        <v>6</v>
      </c>
      <c r="AC32" t="s">
        <v>48</v>
      </c>
      <c r="AD32" s="21">
        <v>2.3564561626668399E-3</v>
      </c>
      <c r="AE32" s="12"/>
      <c r="AF32" s="12" t="s">
        <v>76</v>
      </c>
      <c r="AG32" s="12">
        <v>2010</v>
      </c>
      <c r="AH32" s="12" t="s">
        <v>6</v>
      </c>
      <c r="AI32" s="12" t="s">
        <v>48</v>
      </c>
      <c r="AJ32" s="21">
        <v>2.3564561626668399E-3</v>
      </c>
    </row>
    <row r="33" spans="2:36" x14ac:dyDescent="0.25">
      <c r="B33" t="s">
        <v>50</v>
      </c>
      <c r="C33">
        <v>2020</v>
      </c>
      <c r="D33" s="12" t="s">
        <v>39</v>
      </c>
      <c r="E33" s="12" t="s">
        <v>0</v>
      </c>
      <c r="F33" s="16">
        <v>1.4</v>
      </c>
      <c r="G33" s="12"/>
      <c r="H33" s="12" t="s">
        <v>185</v>
      </c>
      <c r="I33" s="12">
        <v>2015</v>
      </c>
      <c r="J33" s="12" t="s">
        <v>39</v>
      </c>
      <c r="K33" s="12" t="s">
        <v>1</v>
      </c>
      <c r="L33" s="16">
        <v>968.54939999999999</v>
      </c>
      <c r="M33" s="12"/>
      <c r="N33" s="12" t="s">
        <v>66</v>
      </c>
      <c r="O33" s="12">
        <v>2010</v>
      </c>
      <c r="P33" s="12" t="s">
        <v>1</v>
      </c>
      <c r="Q33" s="12" t="s">
        <v>48</v>
      </c>
      <c r="R33" s="12">
        <v>57.5</v>
      </c>
      <c r="S33" s="12"/>
      <c r="T33" s="12" t="s">
        <v>66</v>
      </c>
      <c r="U33" s="12">
        <v>2010</v>
      </c>
      <c r="V33" s="12" t="s">
        <v>1</v>
      </c>
      <c r="W33" s="12" t="s">
        <v>48</v>
      </c>
      <c r="X33" s="12">
        <v>2.5</v>
      </c>
      <c r="Z33" t="s">
        <v>259</v>
      </c>
      <c r="AA33">
        <v>2010</v>
      </c>
      <c r="AB33" t="s">
        <v>5</v>
      </c>
      <c r="AC33" t="s">
        <v>48</v>
      </c>
      <c r="AD33" s="21">
        <v>1.4654235517428699E-3</v>
      </c>
      <c r="AE33" s="12"/>
      <c r="AF33" s="12" t="s">
        <v>79</v>
      </c>
      <c r="AG33" s="12">
        <v>2010</v>
      </c>
      <c r="AH33" s="12" t="s">
        <v>5</v>
      </c>
      <c r="AI33" s="12" t="s">
        <v>48</v>
      </c>
      <c r="AJ33" s="21">
        <v>1.4654235517428699E-3</v>
      </c>
    </row>
    <row r="34" spans="2:36" x14ac:dyDescent="0.25">
      <c r="B34" t="s">
        <v>50</v>
      </c>
      <c r="C34">
        <v>2020</v>
      </c>
      <c r="D34" s="12" t="s">
        <v>39</v>
      </c>
      <c r="E34" s="12" t="s">
        <v>3</v>
      </c>
      <c r="F34" s="16">
        <v>1.4</v>
      </c>
      <c r="G34" s="12"/>
      <c r="H34" s="12" t="s">
        <v>185</v>
      </c>
      <c r="I34" s="12">
        <v>2020</v>
      </c>
      <c r="J34" s="12" t="s">
        <v>39</v>
      </c>
      <c r="K34" s="12" t="s">
        <v>1</v>
      </c>
      <c r="L34" s="16">
        <v>968.54939999999999</v>
      </c>
      <c r="M34" s="12"/>
      <c r="N34" s="12" t="s">
        <v>66</v>
      </c>
      <c r="O34" s="12">
        <v>2010</v>
      </c>
      <c r="P34" s="12" t="s">
        <v>11</v>
      </c>
      <c r="Q34" s="12" t="s">
        <v>48</v>
      </c>
      <c r="R34" s="12">
        <v>57.5</v>
      </c>
      <c r="S34" s="12"/>
      <c r="T34" s="12" t="s">
        <v>66</v>
      </c>
      <c r="U34" s="12">
        <v>2010</v>
      </c>
      <c r="V34" s="12" t="s">
        <v>11</v>
      </c>
      <c r="W34" s="12" t="s">
        <v>48</v>
      </c>
      <c r="X34" s="12">
        <v>2.5</v>
      </c>
      <c r="Z34" t="s">
        <v>259</v>
      </c>
      <c r="AA34">
        <v>2010</v>
      </c>
      <c r="AB34" t="s">
        <v>22</v>
      </c>
      <c r="AC34" t="s">
        <v>48</v>
      </c>
      <c r="AD34" s="21">
        <v>1.4654235517428699E-3</v>
      </c>
      <c r="AE34" s="12"/>
      <c r="AF34" s="12" t="s">
        <v>79</v>
      </c>
      <c r="AG34" s="12">
        <v>2010</v>
      </c>
      <c r="AH34" s="12" t="s">
        <v>22</v>
      </c>
      <c r="AI34" s="12" t="s">
        <v>48</v>
      </c>
      <c r="AJ34" s="21">
        <v>1.4654235517428699E-3</v>
      </c>
    </row>
    <row r="35" spans="2:36" x14ac:dyDescent="0.25">
      <c r="B35" t="s">
        <v>50</v>
      </c>
      <c r="C35">
        <v>2025</v>
      </c>
      <c r="D35" s="12" t="s">
        <v>40</v>
      </c>
      <c r="E35" s="12" t="s">
        <v>0</v>
      </c>
      <c r="F35" s="16">
        <v>1.4</v>
      </c>
      <c r="G35" s="12"/>
      <c r="H35" s="12" t="s">
        <v>186</v>
      </c>
      <c r="I35" s="12">
        <v>2010</v>
      </c>
      <c r="J35" s="12" t="s">
        <v>39</v>
      </c>
      <c r="K35" s="12" t="s">
        <v>2</v>
      </c>
      <c r="L35" s="16">
        <v>129.11144999999999</v>
      </c>
      <c r="M35" s="12"/>
      <c r="N35" s="12" t="s">
        <v>68</v>
      </c>
      <c r="O35" s="12">
        <v>2010</v>
      </c>
      <c r="P35" s="12" t="s">
        <v>1</v>
      </c>
      <c r="Q35" s="12" t="s">
        <v>48</v>
      </c>
      <c r="R35" s="12">
        <v>57.5</v>
      </c>
      <c r="S35" s="12"/>
      <c r="T35" s="12" t="s">
        <v>68</v>
      </c>
      <c r="U35" s="12">
        <v>2010</v>
      </c>
      <c r="V35" s="12" t="s">
        <v>1</v>
      </c>
      <c r="W35" s="12" t="s">
        <v>48</v>
      </c>
      <c r="X35" s="12">
        <v>2.5</v>
      </c>
      <c r="Z35" t="s">
        <v>260</v>
      </c>
      <c r="AA35">
        <v>2010</v>
      </c>
      <c r="AB35" t="s">
        <v>5</v>
      </c>
      <c r="AC35" t="s">
        <v>48</v>
      </c>
      <c r="AD35" s="21">
        <v>1.85974225349658E-3</v>
      </c>
      <c r="AE35" s="12"/>
      <c r="AF35" s="12" t="s">
        <v>81</v>
      </c>
      <c r="AG35" s="12">
        <v>2010</v>
      </c>
      <c r="AH35" s="12" t="s">
        <v>5</v>
      </c>
      <c r="AI35" s="12" t="s">
        <v>48</v>
      </c>
      <c r="AJ35" s="21">
        <v>1.85974225349658E-3</v>
      </c>
    </row>
    <row r="36" spans="2:36" x14ac:dyDescent="0.25">
      <c r="B36" t="s">
        <v>50</v>
      </c>
      <c r="C36">
        <v>2025</v>
      </c>
      <c r="D36" s="12" t="s">
        <v>40</v>
      </c>
      <c r="E36" s="12" t="s">
        <v>3</v>
      </c>
      <c r="F36" s="16">
        <v>1.4</v>
      </c>
      <c r="G36" s="12"/>
      <c r="H36" s="12" t="s">
        <v>186</v>
      </c>
      <c r="I36" s="12">
        <v>2015</v>
      </c>
      <c r="J36" s="12" t="s">
        <v>39</v>
      </c>
      <c r="K36" s="12" t="s">
        <v>2</v>
      </c>
      <c r="L36" s="16">
        <v>129.11144999999999</v>
      </c>
      <c r="M36" s="12"/>
      <c r="N36" s="12" t="s">
        <v>68</v>
      </c>
      <c r="O36" s="12">
        <v>2010</v>
      </c>
      <c r="P36" s="12" t="s">
        <v>17</v>
      </c>
      <c r="Q36" s="12" t="s">
        <v>48</v>
      </c>
      <c r="R36" s="12">
        <v>57.5</v>
      </c>
      <c r="S36" s="12"/>
      <c r="T36" s="12" t="s">
        <v>68</v>
      </c>
      <c r="U36" s="12">
        <v>2010</v>
      </c>
      <c r="V36" s="12" t="s">
        <v>17</v>
      </c>
      <c r="W36" s="12" t="s">
        <v>48</v>
      </c>
      <c r="X36" s="12">
        <v>2.5</v>
      </c>
      <c r="Z36" t="s">
        <v>260</v>
      </c>
      <c r="AA36">
        <v>2010</v>
      </c>
      <c r="AB36" t="s">
        <v>27</v>
      </c>
      <c r="AC36" t="s">
        <v>48</v>
      </c>
      <c r="AD36" s="21">
        <v>1.85974225349658E-3</v>
      </c>
      <c r="AE36" s="12"/>
      <c r="AF36" s="12" t="s">
        <v>81</v>
      </c>
      <c r="AG36" s="12">
        <v>2010</v>
      </c>
      <c r="AH36" s="12" t="s">
        <v>27</v>
      </c>
      <c r="AI36" s="12" t="s">
        <v>48</v>
      </c>
      <c r="AJ36" s="21">
        <v>1.85974225349658E-3</v>
      </c>
    </row>
    <row r="37" spans="2:36" x14ac:dyDescent="0.25">
      <c r="B37" t="s">
        <v>52</v>
      </c>
      <c r="C37">
        <v>2010</v>
      </c>
      <c r="D37" s="12" t="s">
        <v>39</v>
      </c>
      <c r="E37" s="12" t="s">
        <v>0</v>
      </c>
      <c r="F37" s="16">
        <v>2.1800000000000002</v>
      </c>
      <c r="G37" s="12"/>
      <c r="H37" s="12" t="s">
        <v>186</v>
      </c>
      <c r="I37" s="12">
        <v>2020</v>
      </c>
      <c r="J37" s="12" t="s">
        <v>39</v>
      </c>
      <c r="K37" s="12" t="s">
        <v>2</v>
      </c>
      <c r="L37" s="16">
        <v>129.11144999999999</v>
      </c>
      <c r="M37" s="12"/>
      <c r="N37" s="12" t="s">
        <v>70</v>
      </c>
      <c r="O37" s="12">
        <v>2010</v>
      </c>
      <c r="P37" s="12" t="s">
        <v>1</v>
      </c>
      <c r="Q37" s="12" t="s">
        <v>48</v>
      </c>
      <c r="R37" s="12">
        <v>57.5</v>
      </c>
      <c r="S37" s="12"/>
      <c r="T37" s="12" t="s">
        <v>70</v>
      </c>
      <c r="U37" s="12">
        <v>2010</v>
      </c>
      <c r="V37" s="12" t="s">
        <v>1</v>
      </c>
      <c r="W37" s="12" t="s">
        <v>48</v>
      </c>
      <c r="X37" s="12">
        <v>2.5</v>
      </c>
      <c r="Z37" t="s">
        <v>261</v>
      </c>
      <c r="AA37">
        <v>2010</v>
      </c>
      <c r="AB37" t="s">
        <v>6</v>
      </c>
      <c r="AC37" t="s">
        <v>48</v>
      </c>
      <c r="AD37" s="21">
        <v>3.7126218141681701E-3</v>
      </c>
      <c r="AE37" s="12"/>
      <c r="AF37" s="12" t="s">
        <v>85</v>
      </c>
      <c r="AG37" s="12">
        <v>2010</v>
      </c>
      <c r="AH37" s="12" t="s">
        <v>6</v>
      </c>
      <c r="AI37" s="12" t="s">
        <v>48</v>
      </c>
      <c r="AJ37" s="21">
        <v>3.7126218141681701E-3</v>
      </c>
    </row>
    <row r="38" spans="2:36" x14ac:dyDescent="0.25">
      <c r="B38" t="s">
        <v>52</v>
      </c>
      <c r="C38">
        <v>2010</v>
      </c>
      <c r="D38" s="12" t="s">
        <v>39</v>
      </c>
      <c r="E38" s="12" t="s">
        <v>5</v>
      </c>
      <c r="F38" s="16">
        <v>2.1800000000000002</v>
      </c>
      <c r="G38" s="12"/>
      <c r="H38" s="12" t="s">
        <v>187</v>
      </c>
      <c r="I38" s="12">
        <v>2010</v>
      </c>
      <c r="J38" s="12" t="s">
        <v>39</v>
      </c>
      <c r="K38" s="12" t="s">
        <v>2</v>
      </c>
      <c r="L38" s="16">
        <v>39.430950000000003</v>
      </c>
      <c r="M38" s="12"/>
      <c r="N38" s="12" t="s">
        <v>70</v>
      </c>
      <c r="O38" s="12">
        <v>2010</v>
      </c>
      <c r="P38" s="12" t="s">
        <v>20</v>
      </c>
      <c r="Q38" s="12" t="s">
        <v>48</v>
      </c>
      <c r="R38" s="12">
        <v>57.5</v>
      </c>
      <c r="S38" s="12"/>
      <c r="T38" s="12" t="s">
        <v>70</v>
      </c>
      <c r="U38" s="12">
        <v>2010</v>
      </c>
      <c r="V38" s="12" t="s">
        <v>20</v>
      </c>
      <c r="W38" s="12" t="s">
        <v>48</v>
      </c>
      <c r="X38" s="12">
        <v>2.5</v>
      </c>
      <c r="Z38" t="s">
        <v>261</v>
      </c>
      <c r="AA38">
        <v>2010</v>
      </c>
      <c r="AB38" t="s">
        <v>7</v>
      </c>
      <c r="AC38" t="s">
        <v>48</v>
      </c>
      <c r="AD38" s="21">
        <v>8.0000000000000002E-3</v>
      </c>
      <c r="AE38" s="12"/>
      <c r="AF38" s="12" t="s">
        <v>85</v>
      </c>
      <c r="AG38" s="12">
        <v>2010</v>
      </c>
      <c r="AH38" s="12" t="s">
        <v>7</v>
      </c>
      <c r="AI38" s="12" t="s">
        <v>48</v>
      </c>
      <c r="AJ38" s="21">
        <v>8.0000000000000002E-3</v>
      </c>
    </row>
    <row r="39" spans="2:36" x14ac:dyDescent="0.25">
      <c r="B39" t="s">
        <v>52</v>
      </c>
      <c r="C39">
        <v>2015</v>
      </c>
      <c r="D39" s="12" t="s">
        <v>39</v>
      </c>
      <c r="E39" s="12" t="s">
        <v>0</v>
      </c>
      <c r="F39" s="16">
        <v>2.1800000000000002</v>
      </c>
      <c r="G39" s="12"/>
      <c r="H39" s="12" t="s">
        <v>187</v>
      </c>
      <c r="I39" s="12">
        <v>2015</v>
      </c>
      <c r="J39" s="12" t="s">
        <v>39</v>
      </c>
      <c r="K39" s="12" t="s">
        <v>2</v>
      </c>
      <c r="L39" s="16">
        <v>39.430950000000003</v>
      </c>
      <c r="M39" s="12"/>
      <c r="N39" s="12" t="s">
        <v>72</v>
      </c>
      <c r="O39" s="12">
        <v>2010</v>
      </c>
      <c r="P39" s="12" t="s">
        <v>1</v>
      </c>
      <c r="Q39" s="12" t="s">
        <v>48</v>
      </c>
      <c r="R39" s="12">
        <v>414</v>
      </c>
      <c r="S39" s="12"/>
      <c r="T39" s="12" t="s">
        <v>72</v>
      </c>
      <c r="U39" s="12">
        <v>2010</v>
      </c>
      <c r="V39" s="12" t="s">
        <v>1</v>
      </c>
      <c r="W39" s="12" t="s">
        <v>48</v>
      </c>
      <c r="X39" s="12">
        <v>18</v>
      </c>
      <c r="Z39" t="s">
        <v>262</v>
      </c>
      <c r="AA39">
        <v>2010</v>
      </c>
      <c r="AB39" t="s">
        <v>6</v>
      </c>
      <c r="AC39" t="s">
        <v>48</v>
      </c>
      <c r="AD39" s="21">
        <v>1.92909598274404E-3</v>
      </c>
      <c r="AE39" s="12"/>
      <c r="AF39" s="12" t="s">
        <v>86</v>
      </c>
      <c r="AG39" s="12">
        <v>2010</v>
      </c>
      <c r="AH39" s="12" t="s">
        <v>6</v>
      </c>
      <c r="AI39" s="12" t="s">
        <v>48</v>
      </c>
      <c r="AJ39" s="21">
        <v>1.92909598274404E-3</v>
      </c>
    </row>
    <row r="40" spans="2:36" x14ac:dyDescent="0.25">
      <c r="B40" t="s">
        <v>52</v>
      </c>
      <c r="C40">
        <v>2015</v>
      </c>
      <c r="D40" s="12" t="s">
        <v>39</v>
      </c>
      <c r="E40" s="12" t="s">
        <v>5</v>
      </c>
      <c r="F40" s="16">
        <v>2.1800000000000002</v>
      </c>
      <c r="G40" s="12"/>
      <c r="H40" s="12" t="s">
        <v>187</v>
      </c>
      <c r="I40" s="12">
        <v>2020</v>
      </c>
      <c r="J40" s="12" t="s">
        <v>39</v>
      </c>
      <c r="K40" s="12" t="s">
        <v>2</v>
      </c>
      <c r="L40" s="16">
        <v>39.430950000000003</v>
      </c>
      <c r="M40" s="12"/>
      <c r="N40" s="12" t="s">
        <v>72</v>
      </c>
      <c r="O40" s="12">
        <v>2010</v>
      </c>
      <c r="P40" s="12" t="s">
        <v>28</v>
      </c>
      <c r="Q40" s="12" t="s">
        <v>48</v>
      </c>
      <c r="R40" s="12">
        <v>414</v>
      </c>
      <c r="S40" s="12"/>
      <c r="T40" s="12" t="s">
        <v>72</v>
      </c>
      <c r="U40" s="12">
        <v>2010</v>
      </c>
      <c r="V40" s="12" t="s">
        <v>28</v>
      </c>
      <c r="W40" s="12" t="s">
        <v>48</v>
      </c>
      <c r="X40" s="12">
        <v>18</v>
      </c>
      <c r="Z40" t="s">
        <v>262</v>
      </c>
      <c r="AA40">
        <v>2010</v>
      </c>
      <c r="AB40" t="s">
        <v>17</v>
      </c>
      <c r="AC40" t="s">
        <v>48</v>
      </c>
      <c r="AD40" s="21">
        <v>1.92909598274404E-3</v>
      </c>
      <c r="AE40" s="12"/>
      <c r="AF40" s="12" t="s">
        <v>86</v>
      </c>
      <c r="AG40" s="12">
        <v>2010</v>
      </c>
      <c r="AH40" s="12" t="s">
        <v>17</v>
      </c>
      <c r="AI40" s="12" t="s">
        <v>48</v>
      </c>
      <c r="AJ40" s="21">
        <v>1.92909598274404E-3</v>
      </c>
    </row>
    <row r="41" spans="2:36" x14ac:dyDescent="0.25">
      <c r="B41" t="s">
        <v>52</v>
      </c>
      <c r="C41">
        <v>2020</v>
      </c>
      <c r="D41" s="12" t="s">
        <v>39</v>
      </c>
      <c r="E41" s="12" t="s">
        <v>0</v>
      </c>
      <c r="F41" s="16">
        <v>2.1800000000000002</v>
      </c>
      <c r="G41" s="12"/>
      <c r="H41" s="12" t="s">
        <v>236</v>
      </c>
      <c r="I41" s="12">
        <v>2010</v>
      </c>
      <c r="J41" s="12" t="s">
        <v>39</v>
      </c>
      <c r="K41" s="12" t="s">
        <v>3</v>
      </c>
      <c r="L41" s="16">
        <v>60.925800000000002</v>
      </c>
      <c r="M41" s="12"/>
      <c r="N41" s="12" t="s">
        <v>74</v>
      </c>
      <c r="O41" s="12">
        <v>2010</v>
      </c>
      <c r="P41" s="12" t="s">
        <v>2</v>
      </c>
      <c r="Q41" s="12" t="s">
        <v>48</v>
      </c>
      <c r="R41" s="12">
        <v>57.5</v>
      </c>
      <c r="S41" s="12"/>
      <c r="T41" s="12" t="s">
        <v>74</v>
      </c>
      <c r="U41" s="12">
        <v>2010</v>
      </c>
      <c r="V41" s="12" t="s">
        <v>2</v>
      </c>
      <c r="W41" s="12" t="s">
        <v>48</v>
      </c>
      <c r="X41" s="12">
        <v>2.5</v>
      </c>
      <c r="Z41" t="s">
        <v>263</v>
      </c>
      <c r="AA41">
        <v>2010</v>
      </c>
      <c r="AB41" t="s">
        <v>6</v>
      </c>
      <c r="AC41" t="s">
        <v>48</v>
      </c>
      <c r="AD41" s="21">
        <v>2.6918290867920499E-3</v>
      </c>
      <c r="AE41" s="12"/>
      <c r="AF41" s="12" t="s">
        <v>88</v>
      </c>
      <c r="AG41" s="12">
        <v>2010</v>
      </c>
      <c r="AH41" s="12" t="s">
        <v>6</v>
      </c>
      <c r="AI41" s="12" t="s">
        <v>48</v>
      </c>
      <c r="AJ41" s="21">
        <v>2.6918290867920499E-3</v>
      </c>
    </row>
    <row r="42" spans="2:36" x14ac:dyDescent="0.25">
      <c r="B42" t="s">
        <v>52</v>
      </c>
      <c r="C42">
        <v>2020</v>
      </c>
      <c r="D42" s="12" t="s">
        <v>39</v>
      </c>
      <c r="E42" s="12" t="s">
        <v>5</v>
      </c>
      <c r="F42" s="16">
        <v>2.1800000000000002</v>
      </c>
      <c r="G42" s="12"/>
      <c r="H42" s="12" t="s">
        <v>236</v>
      </c>
      <c r="I42" s="12">
        <v>2015</v>
      </c>
      <c r="J42" s="12" t="s">
        <v>39</v>
      </c>
      <c r="K42" s="12" t="s">
        <v>3</v>
      </c>
      <c r="L42" s="16">
        <v>60.925800000000002</v>
      </c>
      <c r="M42" s="12"/>
      <c r="N42" s="12" t="s">
        <v>74</v>
      </c>
      <c r="O42" s="12">
        <v>2010</v>
      </c>
      <c r="P42" s="12" t="s">
        <v>43</v>
      </c>
      <c r="Q42" s="12" t="s">
        <v>48</v>
      </c>
      <c r="R42" s="12">
        <v>57.5</v>
      </c>
      <c r="S42" s="12"/>
      <c r="T42" s="12" t="s">
        <v>74</v>
      </c>
      <c r="U42" s="12">
        <v>2010</v>
      </c>
      <c r="V42" s="12" t="s">
        <v>43</v>
      </c>
      <c r="W42" s="12" t="s">
        <v>48</v>
      </c>
      <c r="X42" s="12">
        <v>2.5</v>
      </c>
      <c r="Z42" t="s">
        <v>263</v>
      </c>
      <c r="AA42">
        <v>2010</v>
      </c>
      <c r="AB42" t="s">
        <v>20</v>
      </c>
      <c r="AC42" t="s">
        <v>48</v>
      </c>
      <c r="AD42" s="21">
        <v>2.6918290867920499E-3</v>
      </c>
      <c r="AE42" s="12"/>
      <c r="AF42" s="12" t="s">
        <v>88</v>
      </c>
      <c r="AG42" s="12">
        <v>2010</v>
      </c>
      <c r="AH42" s="12" t="s">
        <v>20</v>
      </c>
      <c r="AI42" s="12" t="s">
        <v>48</v>
      </c>
      <c r="AJ42" s="21">
        <v>2.6918290867920499E-3</v>
      </c>
    </row>
    <row r="43" spans="2:36" x14ac:dyDescent="0.25">
      <c r="B43" t="s">
        <v>52</v>
      </c>
      <c r="C43">
        <v>2025</v>
      </c>
      <c r="D43" s="12" t="s">
        <v>40</v>
      </c>
      <c r="E43" s="12" t="s">
        <v>0</v>
      </c>
      <c r="F43" s="16">
        <v>2.1800000000000002</v>
      </c>
      <c r="G43" s="12"/>
      <c r="H43" s="12" t="s">
        <v>236</v>
      </c>
      <c r="I43" s="12">
        <v>2020</v>
      </c>
      <c r="J43" s="12" t="s">
        <v>39</v>
      </c>
      <c r="K43" s="12" t="s">
        <v>3</v>
      </c>
      <c r="L43" s="16">
        <v>60.925800000000002</v>
      </c>
      <c r="M43" s="12"/>
      <c r="N43" s="12" t="s">
        <v>78</v>
      </c>
      <c r="O43" s="12">
        <v>2010</v>
      </c>
      <c r="P43" s="12" t="s">
        <v>2</v>
      </c>
      <c r="Q43" s="12" t="s">
        <v>48</v>
      </c>
      <c r="R43" s="12">
        <v>57.5</v>
      </c>
      <c r="S43" s="12"/>
      <c r="T43" s="12" t="s">
        <v>78</v>
      </c>
      <c r="U43" s="12">
        <v>2010</v>
      </c>
      <c r="V43" s="12" t="s">
        <v>2</v>
      </c>
      <c r="W43" s="12" t="s">
        <v>48</v>
      </c>
      <c r="X43" s="12">
        <v>2.5</v>
      </c>
      <c r="Z43" t="s">
        <v>264</v>
      </c>
      <c r="AA43">
        <v>2010</v>
      </c>
      <c r="AB43" t="s">
        <v>6</v>
      </c>
      <c r="AC43" t="s">
        <v>48</v>
      </c>
      <c r="AD43" s="21">
        <v>1.5661030818619199E-3</v>
      </c>
      <c r="AE43" s="12"/>
      <c r="AF43" s="12" t="s">
        <v>91</v>
      </c>
      <c r="AG43" s="12">
        <v>2010</v>
      </c>
      <c r="AH43" s="12" t="s">
        <v>6</v>
      </c>
      <c r="AI43" s="12" t="s">
        <v>48</v>
      </c>
      <c r="AJ43" s="21">
        <v>1.5661030818619199E-3</v>
      </c>
    </row>
    <row r="44" spans="2:36" x14ac:dyDescent="0.25">
      <c r="B44" t="s">
        <v>52</v>
      </c>
      <c r="C44">
        <v>2025</v>
      </c>
      <c r="D44" s="12" t="s">
        <v>40</v>
      </c>
      <c r="E44" s="12" t="s">
        <v>5</v>
      </c>
      <c r="F44" s="16">
        <v>2.1800000000000002</v>
      </c>
      <c r="G44" s="12"/>
      <c r="H44" s="12" t="s">
        <v>237</v>
      </c>
      <c r="I44" s="12">
        <v>2010</v>
      </c>
      <c r="J44" s="12" t="s">
        <v>39</v>
      </c>
      <c r="K44" s="12" t="s">
        <v>3</v>
      </c>
      <c r="L44" s="16">
        <v>925.41735000000006</v>
      </c>
      <c r="M44" s="12"/>
      <c r="N44" s="12" t="s">
        <v>78</v>
      </c>
      <c r="O44" s="12">
        <v>2010</v>
      </c>
      <c r="P44" s="12" t="s">
        <v>32</v>
      </c>
      <c r="Q44" s="12" t="s">
        <v>48</v>
      </c>
      <c r="R44" s="12">
        <v>57.5</v>
      </c>
      <c r="S44" s="12"/>
      <c r="T44" s="12" t="s">
        <v>78</v>
      </c>
      <c r="U44" s="12">
        <v>2010</v>
      </c>
      <c r="V44" s="12" t="s">
        <v>32</v>
      </c>
      <c r="W44" s="12" t="s">
        <v>48</v>
      </c>
      <c r="X44" s="12">
        <v>2.5</v>
      </c>
      <c r="Z44" t="s">
        <v>264</v>
      </c>
      <c r="AA44">
        <v>2010</v>
      </c>
      <c r="AB44" t="s">
        <v>22</v>
      </c>
      <c r="AC44" t="s">
        <v>48</v>
      </c>
      <c r="AD44" s="21">
        <v>1.5661030818619199E-3</v>
      </c>
      <c r="AE44" s="12"/>
      <c r="AF44" s="12" t="s">
        <v>91</v>
      </c>
      <c r="AG44" s="12">
        <v>2010</v>
      </c>
      <c r="AH44" s="12" t="s">
        <v>22</v>
      </c>
      <c r="AI44" s="12" t="s">
        <v>48</v>
      </c>
      <c r="AJ44" s="21">
        <v>1.5661030818619199E-3</v>
      </c>
    </row>
    <row r="45" spans="2:36" x14ac:dyDescent="0.25">
      <c r="B45" t="s">
        <v>54</v>
      </c>
      <c r="C45">
        <v>2010</v>
      </c>
      <c r="D45" s="12" t="s">
        <v>39</v>
      </c>
      <c r="E45" s="12" t="s">
        <v>0</v>
      </c>
      <c r="F45" s="16">
        <v>2.2000000000000002</v>
      </c>
      <c r="G45" s="12"/>
      <c r="H45" s="12" t="s">
        <v>237</v>
      </c>
      <c r="I45" s="12">
        <v>2015</v>
      </c>
      <c r="J45" s="12" t="s">
        <v>39</v>
      </c>
      <c r="K45" s="12" t="s">
        <v>3</v>
      </c>
      <c r="L45" s="16">
        <v>925.41735000000006</v>
      </c>
      <c r="M45" s="12"/>
      <c r="N45" s="12" t="s">
        <v>75</v>
      </c>
      <c r="O45" s="12">
        <v>2010</v>
      </c>
      <c r="P45" s="12" t="s">
        <v>2</v>
      </c>
      <c r="Q45" s="12" t="s">
        <v>48</v>
      </c>
      <c r="R45" s="12">
        <v>57.5</v>
      </c>
      <c r="S45" s="12"/>
      <c r="T45" s="12" t="s">
        <v>75</v>
      </c>
      <c r="U45" s="12">
        <v>2010</v>
      </c>
      <c r="V45" s="12" t="s">
        <v>2</v>
      </c>
      <c r="W45" s="12" t="s">
        <v>48</v>
      </c>
      <c r="X45" s="12">
        <v>2.5</v>
      </c>
      <c r="Z45" t="s">
        <v>265</v>
      </c>
      <c r="AA45">
        <v>2010</v>
      </c>
      <c r="AB45" t="s">
        <v>7</v>
      </c>
      <c r="AC45" t="s">
        <v>48</v>
      </c>
      <c r="AD45" s="21">
        <v>3.32826456748827E-3</v>
      </c>
      <c r="AE45" s="12"/>
      <c r="AF45" s="12" t="s">
        <v>95</v>
      </c>
      <c r="AG45" s="12">
        <v>2010</v>
      </c>
      <c r="AH45" s="12" t="s">
        <v>7</v>
      </c>
      <c r="AI45" s="12" t="s">
        <v>48</v>
      </c>
      <c r="AJ45" s="21">
        <v>3.32826456748827E-3</v>
      </c>
    </row>
    <row r="46" spans="2:36" x14ac:dyDescent="0.25">
      <c r="B46" t="s">
        <v>54</v>
      </c>
      <c r="C46">
        <v>2010</v>
      </c>
      <c r="D46" s="12" t="s">
        <v>39</v>
      </c>
      <c r="E46" s="12" t="s">
        <v>6</v>
      </c>
      <c r="F46" s="16">
        <v>2.2000000000000002</v>
      </c>
      <c r="G46" s="12"/>
      <c r="H46" s="12" t="s">
        <v>237</v>
      </c>
      <c r="I46" s="12">
        <v>2020</v>
      </c>
      <c r="J46" s="12" t="s">
        <v>39</v>
      </c>
      <c r="K46" s="12" t="s">
        <v>3</v>
      </c>
      <c r="L46" s="16">
        <v>925.41735000000006</v>
      </c>
      <c r="M46" s="12"/>
      <c r="N46" s="12" t="s">
        <v>75</v>
      </c>
      <c r="O46" s="12">
        <v>2010</v>
      </c>
      <c r="P46" s="12" t="s">
        <v>24</v>
      </c>
      <c r="Q46" s="12" t="s">
        <v>48</v>
      </c>
      <c r="R46" s="12">
        <v>57.5</v>
      </c>
      <c r="S46" s="12"/>
      <c r="T46" s="12" t="s">
        <v>75</v>
      </c>
      <c r="U46" s="12">
        <v>2010</v>
      </c>
      <c r="V46" s="12" t="s">
        <v>24</v>
      </c>
      <c r="W46" s="12" t="s">
        <v>48</v>
      </c>
      <c r="X46" s="12">
        <v>2.5</v>
      </c>
      <c r="Z46" t="s">
        <v>265</v>
      </c>
      <c r="AA46">
        <v>2010</v>
      </c>
      <c r="AB46" t="s">
        <v>20</v>
      </c>
      <c r="AC46" t="s">
        <v>48</v>
      </c>
      <c r="AD46" s="21">
        <v>3.32826456748827E-3</v>
      </c>
      <c r="AE46" s="12"/>
      <c r="AF46" s="12" t="s">
        <v>95</v>
      </c>
      <c r="AG46" s="12">
        <v>2010</v>
      </c>
      <c r="AH46" s="12" t="s">
        <v>20</v>
      </c>
      <c r="AI46" s="12" t="s">
        <v>48</v>
      </c>
      <c r="AJ46" s="21">
        <v>3.32826456748827E-3</v>
      </c>
    </row>
    <row r="47" spans="2:36" x14ac:dyDescent="0.25">
      <c r="B47" t="s">
        <v>54</v>
      </c>
      <c r="C47">
        <v>2015</v>
      </c>
      <c r="D47" s="12" t="s">
        <v>39</v>
      </c>
      <c r="E47" s="12" t="s">
        <v>0</v>
      </c>
      <c r="F47" s="16">
        <v>2.2000000000000002</v>
      </c>
      <c r="G47" s="12"/>
      <c r="H47" s="12" t="s">
        <v>188</v>
      </c>
      <c r="I47" s="12">
        <v>2010</v>
      </c>
      <c r="J47" s="12" t="s">
        <v>39</v>
      </c>
      <c r="K47" s="12" t="s">
        <v>5</v>
      </c>
      <c r="L47" s="16">
        <v>1981.5119999999999</v>
      </c>
      <c r="M47" s="12"/>
      <c r="N47" s="12" t="s">
        <v>80</v>
      </c>
      <c r="O47" s="12">
        <v>2010</v>
      </c>
      <c r="P47" s="12" t="s">
        <v>2</v>
      </c>
      <c r="Q47" s="12" t="s">
        <v>48</v>
      </c>
      <c r="R47" s="12">
        <v>57.5</v>
      </c>
      <c r="S47" s="12"/>
      <c r="T47" s="12" t="s">
        <v>80</v>
      </c>
      <c r="U47" s="12">
        <v>2010</v>
      </c>
      <c r="V47" s="12" t="s">
        <v>2</v>
      </c>
      <c r="W47" s="12" t="s">
        <v>48</v>
      </c>
      <c r="X47" s="12">
        <v>2.5</v>
      </c>
      <c r="Z47" t="s">
        <v>266</v>
      </c>
      <c r="AA47">
        <v>2010</v>
      </c>
      <c r="AB47" t="s">
        <v>7</v>
      </c>
      <c r="AC47" t="s">
        <v>48</v>
      </c>
      <c r="AD47" s="21">
        <v>1.7500000000000002E-2</v>
      </c>
      <c r="AE47" s="12"/>
      <c r="AF47" s="12" t="s">
        <v>96</v>
      </c>
      <c r="AG47" s="12">
        <v>2010</v>
      </c>
      <c r="AH47" s="12" t="s">
        <v>7</v>
      </c>
      <c r="AI47" s="12" t="s">
        <v>48</v>
      </c>
      <c r="AJ47" s="21">
        <v>1.7500000000000002E-2</v>
      </c>
    </row>
    <row r="48" spans="2:36" x14ac:dyDescent="0.25">
      <c r="B48" t="s">
        <v>54</v>
      </c>
      <c r="C48">
        <v>2015</v>
      </c>
      <c r="D48" s="12" t="s">
        <v>39</v>
      </c>
      <c r="E48" s="12" t="s">
        <v>6</v>
      </c>
      <c r="F48" s="16">
        <v>2.2000000000000002</v>
      </c>
      <c r="G48" s="12"/>
      <c r="H48" s="12" t="s">
        <v>188</v>
      </c>
      <c r="I48" s="12">
        <v>2015</v>
      </c>
      <c r="J48" s="12" t="s">
        <v>39</v>
      </c>
      <c r="K48" s="12" t="s">
        <v>5</v>
      </c>
      <c r="L48" s="16">
        <v>2419.9499999999998</v>
      </c>
      <c r="M48" s="12"/>
      <c r="N48" s="12" t="s">
        <v>80</v>
      </c>
      <c r="O48" s="12">
        <v>2010</v>
      </c>
      <c r="P48" s="12" t="s">
        <v>33</v>
      </c>
      <c r="Q48" s="12" t="s">
        <v>48</v>
      </c>
      <c r="R48" s="12">
        <v>57.5</v>
      </c>
      <c r="S48" s="12"/>
      <c r="T48" s="12" t="s">
        <v>80</v>
      </c>
      <c r="U48" s="12">
        <v>2010</v>
      </c>
      <c r="V48" s="12" t="s">
        <v>33</v>
      </c>
      <c r="W48" s="12" t="s">
        <v>48</v>
      </c>
      <c r="X48" s="12">
        <v>2.5</v>
      </c>
      <c r="Z48" t="s">
        <v>266</v>
      </c>
      <c r="AA48">
        <v>2010</v>
      </c>
      <c r="AB48" t="s">
        <v>21</v>
      </c>
      <c r="AC48" t="s">
        <v>48</v>
      </c>
      <c r="AD48" s="22">
        <f>AD47</f>
        <v>1.7500000000000002E-2</v>
      </c>
      <c r="AE48" s="12"/>
      <c r="AF48" s="12" t="s">
        <v>96</v>
      </c>
      <c r="AG48" s="12">
        <v>2010</v>
      </c>
      <c r="AH48" s="12" t="s">
        <v>21</v>
      </c>
      <c r="AI48" s="12" t="s">
        <v>48</v>
      </c>
      <c r="AJ48" s="22">
        <f>AJ47</f>
        <v>1.7500000000000002E-2</v>
      </c>
    </row>
    <row r="49" spans="2:38" x14ac:dyDescent="0.25">
      <c r="B49" t="s">
        <v>54</v>
      </c>
      <c r="C49">
        <v>2020</v>
      </c>
      <c r="D49" s="12" t="s">
        <v>39</v>
      </c>
      <c r="E49" s="12" t="s">
        <v>0</v>
      </c>
      <c r="F49" s="16">
        <v>6.88</v>
      </c>
      <c r="G49" s="12"/>
      <c r="H49" s="12" t="s">
        <v>188</v>
      </c>
      <c r="I49" s="12">
        <v>2020</v>
      </c>
      <c r="J49" s="12" t="s">
        <v>39</v>
      </c>
      <c r="K49" s="12" t="s">
        <v>5</v>
      </c>
      <c r="L49" s="16">
        <v>2419.9499999999998</v>
      </c>
      <c r="M49" s="12"/>
      <c r="N49" s="12" t="s">
        <v>82</v>
      </c>
      <c r="O49" s="12">
        <v>2010</v>
      </c>
      <c r="P49" s="12" t="s">
        <v>3</v>
      </c>
      <c r="Q49" s="12" t="s">
        <v>48</v>
      </c>
      <c r="R49" s="12">
        <v>57.5</v>
      </c>
      <c r="S49" s="12"/>
      <c r="T49" s="12" t="s">
        <v>82</v>
      </c>
      <c r="U49" s="12">
        <v>2010</v>
      </c>
      <c r="V49" s="12" t="s">
        <v>3</v>
      </c>
      <c r="W49" s="12" t="s">
        <v>48</v>
      </c>
      <c r="X49" s="12">
        <v>2.5</v>
      </c>
      <c r="Z49" t="s">
        <v>267</v>
      </c>
      <c r="AA49">
        <v>2010</v>
      </c>
      <c r="AB49" t="s">
        <v>7</v>
      </c>
      <c r="AC49" t="s">
        <v>48</v>
      </c>
      <c r="AD49" s="21">
        <v>4.3152208950506801E-3</v>
      </c>
      <c r="AE49" s="12"/>
      <c r="AF49" s="12" t="s">
        <v>97</v>
      </c>
      <c r="AG49" s="12">
        <v>2010</v>
      </c>
      <c r="AH49" s="12" t="s">
        <v>7</v>
      </c>
      <c r="AI49" s="12" t="s">
        <v>48</v>
      </c>
      <c r="AJ49" s="21">
        <v>4.3152208950506801E-3</v>
      </c>
    </row>
    <row r="50" spans="2:38" x14ac:dyDescent="0.25">
      <c r="B50" t="s">
        <v>54</v>
      </c>
      <c r="C50">
        <v>2020</v>
      </c>
      <c r="D50" s="12" t="s">
        <v>39</v>
      </c>
      <c r="E50" s="12" t="s">
        <v>6</v>
      </c>
      <c r="F50" s="16">
        <v>6.88</v>
      </c>
      <c r="G50" s="12"/>
      <c r="H50" s="12" t="s">
        <v>189</v>
      </c>
      <c r="I50" s="12">
        <v>2010</v>
      </c>
      <c r="J50" s="12" t="s">
        <v>39</v>
      </c>
      <c r="K50" s="12" t="s">
        <v>5</v>
      </c>
      <c r="L50" s="16">
        <v>185.05500000000001</v>
      </c>
      <c r="M50" s="12"/>
      <c r="N50" s="12" t="s">
        <v>82</v>
      </c>
      <c r="O50" s="12">
        <v>2010</v>
      </c>
      <c r="P50" s="12" t="s">
        <v>6</v>
      </c>
      <c r="Q50" s="12" t="s">
        <v>48</v>
      </c>
      <c r="R50" s="12">
        <v>57.5</v>
      </c>
      <c r="S50" s="12"/>
      <c r="T50" s="12" t="s">
        <v>82</v>
      </c>
      <c r="U50" s="12">
        <v>2010</v>
      </c>
      <c r="V50" s="12" t="s">
        <v>6</v>
      </c>
      <c r="W50" s="12" t="s">
        <v>48</v>
      </c>
      <c r="X50" s="12">
        <v>2.5</v>
      </c>
      <c r="Z50" t="s">
        <v>267</v>
      </c>
      <c r="AA50">
        <v>2010</v>
      </c>
      <c r="AB50" t="s">
        <v>22</v>
      </c>
      <c r="AC50" t="s">
        <v>48</v>
      </c>
      <c r="AD50" s="21">
        <v>4.3152208950506801E-3</v>
      </c>
      <c r="AE50" s="12"/>
      <c r="AF50" s="12" t="s">
        <v>97</v>
      </c>
      <c r="AG50" s="12">
        <v>2010</v>
      </c>
      <c r="AH50" s="12" t="s">
        <v>22</v>
      </c>
      <c r="AI50" s="12" t="s">
        <v>48</v>
      </c>
      <c r="AJ50" s="21">
        <v>4.3152208950506801E-3</v>
      </c>
    </row>
    <row r="51" spans="2:38" x14ac:dyDescent="0.25">
      <c r="B51" t="s">
        <v>54</v>
      </c>
      <c r="C51">
        <v>2025</v>
      </c>
      <c r="D51" s="12" t="s">
        <v>40</v>
      </c>
      <c r="E51" s="12" t="s">
        <v>0</v>
      </c>
      <c r="F51" s="16">
        <v>6.88</v>
      </c>
      <c r="G51" s="12"/>
      <c r="H51" s="12" t="s">
        <v>189</v>
      </c>
      <c r="I51" s="12">
        <v>2015</v>
      </c>
      <c r="J51" s="12" t="s">
        <v>39</v>
      </c>
      <c r="K51" s="12" t="s">
        <v>5</v>
      </c>
      <c r="L51" s="16">
        <v>185.05500000000001</v>
      </c>
      <c r="M51" s="12"/>
      <c r="N51" s="12" t="s">
        <v>83</v>
      </c>
      <c r="O51" s="12">
        <v>2010</v>
      </c>
      <c r="P51" s="12" t="s">
        <v>3</v>
      </c>
      <c r="Q51" s="12" t="s">
        <v>48</v>
      </c>
      <c r="R51" s="12">
        <v>57.5</v>
      </c>
      <c r="S51" s="12"/>
      <c r="T51" s="12" t="s">
        <v>83</v>
      </c>
      <c r="U51" s="12">
        <v>2010</v>
      </c>
      <c r="V51" s="12" t="s">
        <v>3</v>
      </c>
      <c r="W51" s="12" t="s">
        <v>48</v>
      </c>
      <c r="X51" s="12">
        <v>2.5</v>
      </c>
      <c r="Z51" t="s">
        <v>268</v>
      </c>
      <c r="AA51">
        <v>2010</v>
      </c>
      <c r="AB51" t="s">
        <v>7</v>
      </c>
      <c r="AC51" t="s">
        <v>48</v>
      </c>
      <c r="AD51" s="21">
        <v>8.0000000000000002E-3</v>
      </c>
      <c r="AE51" s="12"/>
      <c r="AF51" s="12" t="s">
        <v>98</v>
      </c>
      <c r="AG51" s="12">
        <v>2010</v>
      </c>
      <c r="AH51" s="12" t="s">
        <v>7</v>
      </c>
      <c r="AI51" s="12" t="s">
        <v>48</v>
      </c>
      <c r="AJ51" s="21">
        <v>8.0000000000000002E-3</v>
      </c>
    </row>
    <row r="52" spans="2:38" x14ac:dyDescent="0.25">
      <c r="B52" t="s">
        <v>54</v>
      </c>
      <c r="C52">
        <v>2025</v>
      </c>
      <c r="D52" s="12" t="s">
        <v>40</v>
      </c>
      <c r="E52" s="12" t="s">
        <v>6</v>
      </c>
      <c r="F52" s="16">
        <v>6.88</v>
      </c>
      <c r="G52" s="12"/>
      <c r="H52" s="12" t="s">
        <v>189</v>
      </c>
      <c r="I52" s="12">
        <v>2020</v>
      </c>
      <c r="J52" s="12" t="s">
        <v>39</v>
      </c>
      <c r="K52" s="12" t="s">
        <v>5</v>
      </c>
      <c r="L52" s="16">
        <v>185.05500000000001</v>
      </c>
      <c r="M52" s="12"/>
      <c r="N52" s="12" t="s">
        <v>83</v>
      </c>
      <c r="O52" s="12">
        <v>2010</v>
      </c>
      <c r="P52" s="12" t="s">
        <v>11</v>
      </c>
      <c r="Q52" s="12" t="s">
        <v>48</v>
      </c>
      <c r="R52" s="12">
        <v>57.5</v>
      </c>
      <c r="S52" s="12"/>
      <c r="T52" s="12" t="s">
        <v>83</v>
      </c>
      <c r="U52" s="12">
        <v>2010</v>
      </c>
      <c r="V52" s="12" t="s">
        <v>11</v>
      </c>
      <c r="W52" s="12" t="s">
        <v>48</v>
      </c>
      <c r="X52" s="12">
        <v>2.5</v>
      </c>
      <c r="Z52" t="s">
        <v>268</v>
      </c>
      <c r="AA52">
        <v>2010</v>
      </c>
      <c r="AB52" t="s">
        <v>25</v>
      </c>
      <c r="AC52" t="s">
        <v>48</v>
      </c>
      <c r="AD52" s="21">
        <v>8.0000000000000002E-3</v>
      </c>
      <c r="AE52" s="12"/>
      <c r="AF52" s="12" t="s">
        <v>98</v>
      </c>
      <c r="AG52" s="12">
        <v>2010</v>
      </c>
      <c r="AH52" s="12" t="s">
        <v>25</v>
      </c>
      <c r="AI52" s="12" t="s">
        <v>48</v>
      </c>
      <c r="AJ52" s="21">
        <v>8.0000000000000002E-3</v>
      </c>
    </row>
    <row r="53" spans="2:38" x14ac:dyDescent="0.25">
      <c r="B53" t="s">
        <v>56</v>
      </c>
      <c r="C53">
        <v>2010</v>
      </c>
      <c r="D53" s="12" t="s">
        <v>39</v>
      </c>
      <c r="E53" s="12" t="s">
        <v>0</v>
      </c>
      <c r="F53" s="16">
        <v>0.8</v>
      </c>
      <c r="G53" s="12"/>
      <c r="H53" s="12" t="s">
        <v>196</v>
      </c>
      <c r="I53" s="12">
        <v>2010</v>
      </c>
      <c r="J53" s="12" t="s">
        <v>39</v>
      </c>
      <c r="K53" s="12" t="s">
        <v>6</v>
      </c>
      <c r="L53" s="16">
        <v>165.126</v>
      </c>
      <c r="M53" s="12"/>
      <c r="N53" s="12" t="s">
        <v>84</v>
      </c>
      <c r="O53" s="12">
        <v>2010</v>
      </c>
      <c r="P53" s="12" t="s">
        <v>3</v>
      </c>
      <c r="Q53" s="12" t="s">
        <v>48</v>
      </c>
      <c r="R53" s="12">
        <v>57.5</v>
      </c>
      <c r="S53" s="12"/>
      <c r="T53" s="12" t="s">
        <v>84</v>
      </c>
      <c r="U53" s="12">
        <v>2010</v>
      </c>
      <c r="V53" s="12" t="s">
        <v>3</v>
      </c>
      <c r="W53" s="12" t="s">
        <v>48</v>
      </c>
      <c r="X53" s="12">
        <v>2.5</v>
      </c>
      <c r="Z53" t="s">
        <v>269</v>
      </c>
      <c r="AA53">
        <v>2010</v>
      </c>
      <c r="AB53" t="s">
        <v>7</v>
      </c>
      <c r="AC53" t="s">
        <v>48</v>
      </c>
      <c r="AD53" s="21">
        <v>1.7500000000000002E-2</v>
      </c>
      <c r="AE53" s="12"/>
      <c r="AF53" s="12" t="s">
        <v>100</v>
      </c>
      <c r="AG53" s="12">
        <v>2010</v>
      </c>
      <c r="AH53" s="12" t="s">
        <v>7</v>
      </c>
      <c r="AI53" s="12" t="s">
        <v>48</v>
      </c>
      <c r="AJ53" s="21">
        <v>1.7500000000000002E-2</v>
      </c>
    </row>
    <row r="54" spans="2:38" x14ac:dyDescent="0.25">
      <c r="B54" t="s">
        <v>56</v>
      </c>
      <c r="C54">
        <v>2010</v>
      </c>
      <c r="D54" s="12" t="s">
        <v>39</v>
      </c>
      <c r="E54" s="12" t="s">
        <v>12</v>
      </c>
      <c r="F54" s="16">
        <v>0.8</v>
      </c>
      <c r="G54" s="12"/>
      <c r="H54" s="12" t="s">
        <v>196</v>
      </c>
      <c r="I54" s="12">
        <v>2015</v>
      </c>
      <c r="J54" s="12" t="s">
        <v>39</v>
      </c>
      <c r="K54" s="12" t="s">
        <v>6</v>
      </c>
      <c r="L54" s="16">
        <v>255.51824999999999</v>
      </c>
      <c r="M54" s="12"/>
      <c r="N54" s="12" t="s">
        <v>84</v>
      </c>
      <c r="O54" s="12">
        <v>2010</v>
      </c>
      <c r="P54" s="12" t="s">
        <v>15</v>
      </c>
      <c r="Q54" s="12" t="s">
        <v>48</v>
      </c>
      <c r="R54" s="12">
        <v>57.5</v>
      </c>
      <c r="S54" s="12"/>
      <c r="T54" s="12" t="s">
        <v>84</v>
      </c>
      <c r="U54" s="12">
        <v>2010</v>
      </c>
      <c r="V54" s="12" t="s">
        <v>15</v>
      </c>
      <c r="W54" s="12" t="s">
        <v>48</v>
      </c>
      <c r="X54" s="12">
        <v>2.5</v>
      </c>
      <c r="Z54" t="s">
        <v>269</v>
      </c>
      <c r="AA54">
        <v>2010</v>
      </c>
      <c r="AB54" t="s">
        <v>28</v>
      </c>
      <c r="AC54" t="s">
        <v>48</v>
      </c>
      <c r="AD54" s="22">
        <f>AD53</f>
        <v>1.7500000000000002E-2</v>
      </c>
      <c r="AE54" s="12"/>
      <c r="AF54" s="12" t="s">
        <v>100</v>
      </c>
      <c r="AG54" s="12">
        <v>2010</v>
      </c>
      <c r="AH54" s="12" t="s">
        <v>28</v>
      </c>
      <c r="AI54" s="12" t="s">
        <v>48</v>
      </c>
      <c r="AJ54" s="22">
        <f>AJ53</f>
        <v>1.7500000000000002E-2</v>
      </c>
    </row>
    <row r="55" spans="2:38" x14ac:dyDescent="0.25">
      <c r="B55" t="s">
        <v>56</v>
      </c>
      <c r="C55">
        <v>2015</v>
      </c>
      <c r="D55" s="12" t="s">
        <v>39</v>
      </c>
      <c r="E55" s="12" t="s">
        <v>0</v>
      </c>
      <c r="F55" s="16">
        <v>1.5</v>
      </c>
      <c r="G55" s="12"/>
      <c r="H55" s="12" t="s">
        <v>196</v>
      </c>
      <c r="I55" s="12">
        <v>2020</v>
      </c>
      <c r="J55" s="12" t="s">
        <v>39</v>
      </c>
      <c r="K55" s="12" t="s">
        <v>6</v>
      </c>
      <c r="L55" s="16">
        <v>255.51824999999999</v>
      </c>
      <c r="M55" s="12"/>
      <c r="N55" s="12" t="s">
        <v>87</v>
      </c>
      <c r="O55" s="12">
        <v>2010</v>
      </c>
      <c r="P55" s="12" t="s">
        <v>5</v>
      </c>
      <c r="Q55" s="12" t="s">
        <v>48</v>
      </c>
      <c r="R55" s="12">
        <v>57.5</v>
      </c>
      <c r="S55" s="12"/>
      <c r="T55" s="12" t="s">
        <v>87</v>
      </c>
      <c r="U55" s="12">
        <v>2010</v>
      </c>
      <c r="V55" s="12" t="s">
        <v>5</v>
      </c>
      <c r="W55" s="12" t="s">
        <v>48</v>
      </c>
      <c r="X55" s="12">
        <v>2.5</v>
      </c>
      <c r="Z55" t="s">
        <v>271</v>
      </c>
      <c r="AA55">
        <v>2010</v>
      </c>
      <c r="AB55" t="s">
        <v>8</v>
      </c>
      <c r="AC55" t="s">
        <v>48</v>
      </c>
      <c r="AD55" s="21">
        <v>1.5332358715018199E-3</v>
      </c>
      <c r="AE55" s="12"/>
      <c r="AF55" s="12" t="s">
        <v>104</v>
      </c>
      <c r="AG55" s="12">
        <v>2010</v>
      </c>
      <c r="AH55" s="12" t="s">
        <v>8</v>
      </c>
      <c r="AI55" s="12" t="s">
        <v>48</v>
      </c>
      <c r="AJ55" s="21">
        <v>1.5332358715018199E-3</v>
      </c>
    </row>
    <row r="56" spans="2:38" x14ac:dyDescent="0.25">
      <c r="B56" t="s">
        <v>56</v>
      </c>
      <c r="C56">
        <v>2015</v>
      </c>
      <c r="D56" s="12" t="s">
        <v>39</v>
      </c>
      <c r="E56" s="12" t="s">
        <v>12</v>
      </c>
      <c r="F56" s="16">
        <v>1.5</v>
      </c>
      <c r="G56" s="12"/>
      <c r="H56" s="12" t="s">
        <v>197</v>
      </c>
      <c r="I56" s="12">
        <v>2010</v>
      </c>
      <c r="J56" s="12" t="s">
        <v>39</v>
      </c>
      <c r="K56" s="12" t="s">
        <v>6</v>
      </c>
      <c r="L56" s="16">
        <v>746.05634999999995</v>
      </c>
      <c r="M56" s="12"/>
      <c r="N56" s="12" t="s">
        <v>87</v>
      </c>
      <c r="O56" s="12">
        <v>2010</v>
      </c>
      <c r="P56" s="12" t="s">
        <v>6</v>
      </c>
      <c r="Q56" s="12" t="s">
        <v>48</v>
      </c>
      <c r="R56" s="12">
        <v>57.5</v>
      </c>
      <c r="S56" s="12"/>
      <c r="T56" s="12" t="s">
        <v>87</v>
      </c>
      <c r="U56" s="12">
        <v>2010</v>
      </c>
      <c r="V56" s="12" t="s">
        <v>6</v>
      </c>
      <c r="W56" s="12" t="s">
        <v>48</v>
      </c>
      <c r="X56" s="12">
        <v>2.5</v>
      </c>
      <c r="Z56" t="s">
        <v>271</v>
      </c>
      <c r="AA56">
        <v>2010</v>
      </c>
      <c r="AB56" t="s">
        <v>18</v>
      </c>
      <c r="AC56" t="s">
        <v>48</v>
      </c>
      <c r="AD56" s="21">
        <v>1.5332358715018199E-3</v>
      </c>
      <c r="AE56" s="12"/>
      <c r="AF56" s="12" t="s">
        <v>104</v>
      </c>
      <c r="AG56" s="12">
        <v>2010</v>
      </c>
      <c r="AH56" s="12" t="s">
        <v>18</v>
      </c>
      <c r="AI56" s="12" t="s">
        <v>48</v>
      </c>
      <c r="AJ56" s="21">
        <v>1.5332358715018199E-3</v>
      </c>
      <c r="AL56" s="3"/>
    </row>
    <row r="57" spans="2:38" x14ac:dyDescent="0.25">
      <c r="B57" t="s">
        <v>56</v>
      </c>
      <c r="C57">
        <v>2020</v>
      </c>
      <c r="D57" s="12" t="s">
        <v>39</v>
      </c>
      <c r="E57" s="12" t="s">
        <v>0</v>
      </c>
      <c r="F57" s="16">
        <v>1.5</v>
      </c>
      <c r="G57" s="12"/>
      <c r="H57" s="12" t="s">
        <v>197</v>
      </c>
      <c r="I57" s="12">
        <v>2015</v>
      </c>
      <c r="J57" s="12" t="s">
        <v>39</v>
      </c>
      <c r="K57" s="12" t="s">
        <v>6</v>
      </c>
      <c r="L57" s="16">
        <v>746.05634999999995</v>
      </c>
      <c r="M57" s="12"/>
      <c r="N57" s="12" t="s">
        <v>90</v>
      </c>
      <c r="O57" s="12">
        <v>2010</v>
      </c>
      <c r="P57" s="12" t="s">
        <v>5</v>
      </c>
      <c r="Q57" s="12" t="s">
        <v>48</v>
      </c>
      <c r="R57" s="12">
        <v>57.5</v>
      </c>
      <c r="S57" s="12"/>
      <c r="T57" s="12" t="s">
        <v>90</v>
      </c>
      <c r="U57" s="12">
        <v>2010</v>
      </c>
      <c r="V57" s="12" t="s">
        <v>5</v>
      </c>
      <c r="W57" s="12" t="s">
        <v>48</v>
      </c>
      <c r="X57" s="12">
        <v>2.5</v>
      </c>
      <c r="Z57" t="s">
        <v>272</v>
      </c>
      <c r="AA57">
        <v>2010</v>
      </c>
      <c r="AB57" t="s">
        <v>43</v>
      </c>
      <c r="AC57" t="s">
        <v>48</v>
      </c>
      <c r="AD57" s="21">
        <v>5.9042325807519497E-3</v>
      </c>
      <c r="AE57" s="12"/>
      <c r="AF57" s="12" t="s">
        <v>124</v>
      </c>
      <c r="AG57" s="12">
        <v>2010</v>
      </c>
      <c r="AH57" s="12" t="s">
        <v>43</v>
      </c>
      <c r="AI57" s="12" t="s">
        <v>48</v>
      </c>
      <c r="AJ57" s="21">
        <v>5.9042325807519497E-3</v>
      </c>
    </row>
    <row r="58" spans="2:38" x14ac:dyDescent="0.25">
      <c r="B58" t="s">
        <v>56</v>
      </c>
      <c r="C58">
        <v>2020</v>
      </c>
      <c r="D58" s="12" t="s">
        <v>39</v>
      </c>
      <c r="E58" s="12" t="s">
        <v>12</v>
      </c>
      <c r="F58" s="16">
        <v>1.5</v>
      </c>
      <c r="G58" s="12"/>
      <c r="H58" s="12" t="s">
        <v>197</v>
      </c>
      <c r="I58" s="12">
        <v>2020</v>
      </c>
      <c r="J58" s="12" t="s">
        <v>39</v>
      </c>
      <c r="K58" s="12" t="s">
        <v>6</v>
      </c>
      <c r="L58" s="16">
        <v>746.05634999999995</v>
      </c>
      <c r="M58" s="12"/>
      <c r="N58" s="12" t="s">
        <v>90</v>
      </c>
      <c r="O58" s="12">
        <v>2010</v>
      </c>
      <c r="P58" s="12" t="s">
        <v>22</v>
      </c>
      <c r="Q58" s="12" t="s">
        <v>48</v>
      </c>
      <c r="R58" s="12">
        <v>57.5</v>
      </c>
      <c r="S58" s="12"/>
      <c r="T58" s="12" t="s">
        <v>90</v>
      </c>
      <c r="U58" s="12">
        <v>2010</v>
      </c>
      <c r="V58" s="12" t="s">
        <v>22</v>
      </c>
      <c r="W58" s="12" t="s">
        <v>48</v>
      </c>
      <c r="X58" s="12">
        <v>2.5</v>
      </c>
      <c r="Z58" t="s">
        <v>272</v>
      </c>
      <c r="AA58">
        <v>2010</v>
      </c>
      <c r="AB58" t="s">
        <v>15</v>
      </c>
      <c r="AC58" t="s">
        <v>48</v>
      </c>
      <c r="AD58" s="21">
        <v>5.9042325807519497E-3</v>
      </c>
      <c r="AE58" s="12"/>
      <c r="AF58" s="12" t="s">
        <v>124</v>
      </c>
      <c r="AG58" s="12">
        <v>2010</v>
      </c>
      <c r="AH58" s="12" t="s">
        <v>15</v>
      </c>
      <c r="AI58" s="12" t="s">
        <v>48</v>
      </c>
      <c r="AJ58" s="21">
        <v>5.9042325807519497E-3</v>
      </c>
    </row>
    <row r="59" spans="2:38" x14ac:dyDescent="0.25">
      <c r="B59" t="s">
        <v>56</v>
      </c>
      <c r="C59">
        <v>2025</v>
      </c>
      <c r="D59" s="12" t="s">
        <v>40</v>
      </c>
      <c r="E59" s="12" t="s">
        <v>0</v>
      </c>
      <c r="F59" s="16">
        <v>1.5</v>
      </c>
      <c r="G59" s="12"/>
      <c r="H59" s="12" t="s">
        <v>204</v>
      </c>
      <c r="I59" s="12">
        <v>2010</v>
      </c>
      <c r="J59" s="12" t="s">
        <v>39</v>
      </c>
      <c r="K59" s="12" t="s">
        <v>6</v>
      </c>
      <c r="L59" s="16">
        <v>871.75139999999999</v>
      </c>
      <c r="M59" s="12"/>
      <c r="N59" s="12" t="s">
        <v>93</v>
      </c>
      <c r="O59" s="12">
        <v>2010</v>
      </c>
      <c r="P59" s="12" t="s">
        <v>5</v>
      </c>
      <c r="Q59" s="12" t="s">
        <v>48</v>
      </c>
      <c r="R59" s="12">
        <v>57.5</v>
      </c>
      <c r="S59" s="12"/>
      <c r="T59" s="12" t="s">
        <v>93</v>
      </c>
      <c r="U59" s="12">
        <v>2010</v>
      </c>
      <c r="V59" s="12" t="s">
        <v>5</v>
      </c>
      <c r="W59" s="12" t="s">
        <v>48</v>
      </c>
      <c r="X59" s="12">
        <v>2.5</v>
      </c>
      <c r="Z59" t="s">
        <v>273</v>
      </c>
      <c r="AA59">
        <v>2010</v>
      </c>
      <c r="AB59" t="s">
        <v>9</v>
      </c>
      <c r="AC59" t="s">
        <v>48</v>
      </c>
      <c r="AD59" s="21">
        <v>4.3336247339074204E-3</v>
      </c>
      <c r="AE59" s="12"/>
      <c r="AF59" s="12" t="s">
        <v>106</v>
      </c>
      <c r="AG59" s="12">
        <v>2010</v>
      </c>
      <c r="AH59" s="12" t="s">
        <v>9</v>
      </c>
      <c r="AI59" s="12" t="s">
        <v>48</v>
      </c>
      <c r="AJ59" s="21">
        <v>4.3336247339074204E-3</v>
      </c>
    </row>
    <row r="60" spans="2:38" x14ac:dyDescent="0.25">
      <c r="B60" t="s">
        <v>56</v>
      </c>
      <c r="C60">
        <v>2025</v>
      </c>
      <c r="D60" s="12" t="s">
        <v>40</v>
      </c>
      <c r="E60" s="12" t="s">
        <v>12</v>
      </c>
      <c r="F60" s="16">
        <v>1.5</v>
      </c>
      <c r="G60" s="12"/>
      <c r="H60" s="12" t="s">
        <v>204</v>
      </c>
      <c r="I60" s="12">
        <v>2015</v>
      </c>
      <c r="J60" s="12" t="s">
        <v>39</v>
      </c>
      <c r="K60" s="12" t="s">
        <v>6</v>
      </c>
      <c r="L60" s="16">
        <v>871.75139999999999</v>
      </c>
      <c r="M60" s="12"/>
      <c r="N60" s="12" t="s">
        <v>93</v>
      </c>
      <c r="O60" s="12">
        <v>2010</v>
      </c>
      <c r="P60" s="12" t="s">
        <v>27</v>
      </c>
      <c r="Q60" s="12" t="s">
        <v>48</v>
      </c>
      <c r="R60" s="12">
        <v>57.5</v>
      </c>
      <c r="S60" s="12"/>
      <c r="T60" s="12" t="s">
        <v>93</v>
      </c>
      <c r="U60" s="12">
        <v>2010</v>
      </c>
      <c r="V60" s="12" t="s">
        <v>27</v>
      </c>
      <c r="W60" s="12" t="s">
        <v>48</v>
      </c>
      <c r="X60" s="12">
        <v>2.5</v>
      </c>
      <c r="Z60" t="s">
        <v>273</v>
      </c>
      <c r="AA60">
        <v>2010</v>
      </c>
      <c r="AB60" t="s">
        <v>11</v>
      </c>
      <c r="AC60" t="s">
        <v>48</v>
      </c>
      <c r="AD60" s="21">
        <v>4.3336247339074204E-3</v>
      </c>
      <c r="AE60" s="12"/>
      <c r="AF60" s="12" t="s">
        <v>106</v>
      </c>
      <c r="AG60" s="12">
        <v>2010</v>
      </c>
      <c r="AH60" s="12" t="s">
        <v>11</v>
      </c>
      <c r="AI60" s="12" t="s">
        <v>48</v>
      </c>
      <c r="AJ60" s="21">
        <v>4.3336247339074204E-3</v>
      </c>
    </row>
    <row r="61" spans="2:38" x14ac:dyDescent="0.25">
      <c r="B61" t="s">
        <v>58</v>
      </c>
      <c r="C61">
        <v>2010</v>
      </c>
      <c r="D61" s="12" t="s">
        <v>39</v>
      </c>
      <c r="E61" s="12" t="s">
        <v>0</v>
      </c>
      <c r="F61" s="16">
        <v>0.28499999999999998</v>
      </c>
      <c r="G61" s="12"/>
      <c r="H61" s="12" t="s">
        <v>204</v>
      </c>
      <c r="I61" s="12">
        <v>2020</v>
      </c>
      <c r="J61" s="12" t="s">
        <v>39</v>
      </c>
      <c r="K61" s="12" t="s">
        <v>6</v>
      </c>
      <c r="L61" s="16">
        <v>871.75139999999999</v>
      </c>
      <c r="M61" s="12"/>
      <c r="N61" s="12" t="s">
        <v>99</v>
      </c>
      <c r="O61" s="12">
        <v>2010</v>
      </c>
      <c r="P61" s="12" t="s">
        <v>6</v>
      </c>
      <c r="Q61" s="12" t="s">
        <v>48</v>
      </c>
      <c r="R61" s="12">
        <v>414</v>
      </c>
      <c r="S61" s="12"/>
      <c r="T61" s="12" t="s">
        <v>99</v>
      </c>
      <c r="U61" s="12">
        <v>2010</v>
      </c>
      <c r="V61" s="12" t="s">
        <v>6</v>
      </c>
      <c r="W61" s="12" t="s">
        <v>48</v>
      </c>
      <c r="X61" s="12">
        <v>18</v>
      </c>
      <c r="Z61" t="s">
        <v>274</v>
      </c>
      <c r="AA61">
        <v>2010</v>
      </c>
      <c r="AB61" t="s">
        <v>9</v>
      </c>
      <c r="AC61" t="s">
        <v>48</v>
      </c>
      <c r="AD61" s="21">
        <v>2.8019193026427099E-3</v>
      </c>
      <c r="AE61" s="12"/>
      <c r="AF61" s="12" t="s">
        <v>108</v>
      </c>
      <c r="AG61" s="12">
        <v>2010</v>
      </c>
      <c r="AH61" s="12" t="s">
        <v>9</v>
      </c>
      <c r="AI61" s="12" t="s">
        <v>48</v>
      </c>
      <c r="AJ61" s="21">
        <v>2.8019193026427099E-3</v>
      </c>
    </row>
    <row r="62" spans="2:38" x14ac:dyDescent="0.25">
      <c r="B62" t="s">
        <v>58</v>
      </c>
      <c r="C62">
        <v>2010</v>
      </c>
      <c r="D62" s="12" t="s">
        <v>39</v>
      </c>
      <c r="E62" s="12" t="s">
        <v>15</v>
      </c>
      <c r="F62" s="16">
        <v>0.28499999999999998</v>
      </c>
      <c r="G62" s="12"/>
      <c r="H62" s="12" t="s">
        <v>198</v>
      </c>
      <c r="I62" s="12">
        <v>2010</v>
      </c>
      <c r="J62" s="12" t="s">
        <v>39</v>
      </c>
      <c r="K62" s="12" t="s">
        <v>6</v>
      </c>
      <c r="L62" s="16">
        <v>631.32225000000005</v>
      </c>
      <c r="M62" s="12"/>
      <c r="N62" s="12" t="s">
        <v>99</v>
      </c>
      <c r="O62" s="12">
        <v>2010</v>
      </c>
      <c r="P62" s="12" t="s">
        <v>7</v>
      </c>
      <c r="Q62" s="12" t="s">
        <v>48</v>
      </c>
      <c r="R62" s="12">
        <v>414</v>
      </c>
      <c r="S62" s="12"/>
      <c r="T62" s="12" t="s">
        <v>99</v>
      </c>
      <c r="U62" s="12">
        <v>2010</v>
      </c>
      <c r="V62" s="12" t="s">
        <v>7</v>
      </c>
      <c r="W62" s="12" t="s">
        <v>48</v>
      </c>
      <c r="X62" s="12">
        <v>18</v>
      </c>
      <c r="Z62" t="s">
        <v>274</v>
      </c>
      <c r="AA62">
        <v>2010</v>
      </c>
      <c r="AB62" t="s">
        <v>23</v>
      </c>
      <c r="AC62" t="s">
        <v>48</v>
      </c>
      <c r="AD62" s="21">
        <v>2.8019193026427099E-3</v>
      </c>
      <c r="AE62" s="12"/>
      <c r="AF62" s="12" t="s">
        <v>108</v>
      </c>
      <c r="AG62" s="12">
        <v>2010</v>
      </c>
      <c r="AH62" s="12" t="s">
        <v>23</v>
      </c>
      <c r="AI62" s="12" t="s">
        <v>48</v>
      </c>
      <c r="AJ62" s="21">
        <v>2.8019193026427099E-3</v>
      </c>
    </row>
    <row r="63" spans="2:38" x14ac:dyDescent="0.25">
      <c r="B63" t="s">
        <v>58</v>
      </c>
      <c r="C63">
        <v>2015</v>
      </c>
      <c r="D63" s="12" t="s">
        <v>39</v>
      </c>
      <c r="E63" s="12" t="s">
        <v>0</v>
      </c>
      <c r="F63" s="16">
        <v>0.3</v>
      </c>
      <c r="G63" s="12"/>
      <c r="H63" s="12" t="s">
        <v>198</v>
      </c>
      <c r="I63" s="12">
        <v>2015</v>
      </c>
      <c r="J63" s="12" t="s">
        <v>39</v>
      </c>
      <c r="K63" s="12" t="s">
        <v>6</v>
      </c>
      <c r="L63" s="16">
        <v>896.80499999999995</v>
      </c>
      <c r="M63" s="12"/>
      <c r="N63" s="12" t="s">
        <v>101</v>
      </c>
      <c r="O63" s="12">
        <v>2010</v>
      </c>
      <c r="P63" s="12" t="s">
        <v>6</v>
      </c>
      <c r="Q63" s="12" t="s">
        <v>48</v>
      </c>
      <c r="R63" s="12">
        <v>57.5</v>
      </c>
      <c r="S63" s="12"/>
      <c r="T63" s="12" t="s">
        <v>101</v>
      </c>
      <c r="U63" s="12">
        <v>2010</v>
      </c>
      <c r="V63" s="12" t="s">
        <v>6</v>
      </c>
      <c r="W63" s="12" t="s">
        <v>48</v>
      </c>
      <c r="X63" s="12">
        <v>2.5</v>
      </c>
      <c r="Z63" t="s">
        <v>276</v>
      </c>
      <c r="AA63">
        <v>2010</v>
      </c>
      <c r="AB63" t="s">
        <v>11</v>
      </c>
      <c r="AC63" t="s">
        <v>48</v>
      </c>
      <c r="AD63" s="21">
        <v>4.2123910074859704E-3</v>
      </c>
      <c r="AE63" s="12"/>
      <c r="AF63" s="12" t="s">
        <v>116</v>
      </c>
      <c r="AG63" s="12">
        <v>2010</v>
      </c>
      <c r="AH63" s="12" t="s">
        <v>11</v>
      </c>
      <c r="AI63" s="12" t="s">
        <v>48</v>
      </c>
      <c r="AJ63" s="21">
        <v>4.2123910074859704E-3</v>
      </c>
    </row>
    <row r="64" spans="2:38" x14ac:dyDescent="0.25">
      <c r="B64" t="s">
        <v>58</v>
      </c>
      <c r="C64">
        <v>2015</v>
      </c>
      <c r="D64" s="12" t="s">
        <v>39</v>
      </c>
      <c r="E64" s="12" t="s">
        <v>15</v>
      </c>
      <c r="F64" s="16">
        <v>0.3</v>
      </c>
      <c r="G64" s="12"/>
      <c r="H64" s="12" t="s">
        <v>198</v>
      </c>
      <c r="I64" s="12">
        <v>2020</v>
      </c>
      <c r="J64" s="12" t="s">
        <v>39</v>
      </c>
      <c r="K64" s="12" t="s">
        <v>6</v>
      </c>
      <c r="L64" s="16">
        <v>896.80499999999995</v>
      </c>
      <c r="M64" s="12"/>
      <c r="N64" s="12" t="s">
        <v>101</v>
      </c>
      <c r="O64" s="12">
        <v>2010</v>
      </c>
      <c r="P64" s="12" t="s">
        <v>11</v>
      </c>
      <c r="Q64" s="12" t="s">
        <v>48</v>
      </c>
      <c r="R64" s="12">
        <v>57.5</v>
      </c>
      <c r="S64" s="12"/>
      <c r="T64" s="12" t="s">
        <v>101</v>
      </c>
      <c r="U64" s="12">
        <v>2010</v>
      </c>
      <c r="V64" s="12" t="s">
        <v>11</v>
      </c>
      <c r="W64" s="12" t="s">
        <v>48</v>
      </c>
      <c r="X64" s="12">
        <v>2.5</v>
      </c>
      <c r="Z64" t="s">
        <v>276</v>
      </c>
      <c r="AA64">
        <v>2010</v>
      </c>
      <c r="AB64" t="s">
        <v>15</v>
      </c>
      <c r="AC64" t="s">
        <v>48</v>
      </c>
      <c r="AD64" s="21">
        <v>4.2123910074859704E-3</v>
      </c>
      <c r="AE64" s="12"/>
      <c r="AF64" s="12" t="s">
        <v>116</v>
      </c>
      <c r="AG64" s="12">
        <v>2010</v>
      </c>
      <c r="AH64" s="12" t="s">
        <v>15</v>
      </c>
      <c r="AI64" s="12" t="s">
        <v>48</v>
      </c>
      <c r="AJ64" s="21">
        <v>4.2123910074859704E-3</v>
      </c>
    </row>
    <row r="65" spans="2:36" x14ac:dyDescent="0.25">
      <c r="B65" t="s">
        <v>58</v>
      </c>
      <c r="C65">
        <v>2020</v>
      </c>
      <c r="D65" s="12" t="s">
        <v>39</v>
      </c>
      <c r="E65" s="12" t="s">
        <v>0</v>
      </c>
      <c r="F65" s="16">
        <v>0.3</v>
      </c>
      <c r="G65" s="12"/>
      <c r="H65" s="12" t="s">
        <v>199</v>
      </c>
      <c r="I65" s="12">
        <v>2010</v>
      </c>
      <c r="J65" s="12" t="s">
        <v>39</v>
      </c>
      <c r="K65" s="12" t="s">
        <v>6</v>
      </c>
      <c r="L65" s="16">
        <v>68.328000000000003</v>
      </c>
      <c r="M65" s="12"/>
      <c r="N65" s="12" t="s">
        <v>103</v>
      </c>
      <c r="O65" s="12">
        <v>2010</v>
      </c>
      <c r="P65" s="12" t="s">
        <v>6</v>
      </c>
      <c r="Q65" s="12" t="s">
        <v>48</v>
      </c>
      <c r="R65" s="12">
        <v>57.5</v>
      </c>
      <c r="S65" s="12"/>
      <c r="T65" s="12" t="s">
        <v>103</v>
      </c>
      <c r="U65" s="12">
        <v>2010</v>
      </c>
      <c r="V65" s="12" t="s">
        <v>6</v>
      </c>
      <c r="W65" s="12" t="s">
        <v>48</v>
      </c>
      <c r="X65" s="12">
        <v>2.5</v>
      </c>
      <c r="Z65" t="s">
        <v>277</v>
      </c>
      <c r="AA65">
        <v>2010</v>
      </c>
      <c r="AB65" t="s">
        <v>11</v>
      </c>
      <c r="AC65" t="s">
        <v>48</v>
      </c>
      <c r="AD65" s="21">
        <v>2.4424517226336101E-3</v>
      </c>
      <c r="AE65" s="12"/>
      <c r="AF65" s="12" t="s">
        <v>118</v>
      </c>
      <c r="AG65" s="12">
        <v>2010</v>
      </c>
      <c r="AH65" s="12" t="s">
        <v>11</v>
      </c>
      <c r="AI65" s="12" t="s">
        <v>48</v>
      </c>
      <c r="AJ65" s="21">
        <v>2.4424517226336101E-3</v>
      </c>
    </row>
    <row r="66" spans="2:36" x14ac:dyDescent="0.25">
      <c r="B66" t="s">
        <v>58</v>
      </c>
      <c r="C66">
        <v>2020</v>
      </c>
      <c r="D66" s="12" t="s">
        <v>39</v>
      </c>
      <c r="E66" s="12" t="s">
        <v>15</v>
      </c>
      <c r="F66" s="16">
        <v>0.3</v>
      </c>
      <c r="G66" s="12"/>
      <c r="H66" s="12" t="s">
        <v>199</v>
      </c>
      <c r="I66" s="12">
        <v>2015</v>
      </c>
      <c r="J66" s="12" t="s">
        <v>39</v>
      </c>
      <c r="K66" s="12" t="s">
        <v>6</v>
      </c>
      <c r="L66" s="16">
        <v>68.328000000000003</v>
      </c>
      <c r="M66" s="12"/>
      <c r="N66" s="12" t="s">
        <v>103</v>
      </c>
      <c r="O66" s="12">
        <v>2010</v>
      </c>
      <c r="P66" s="12" t="s">
        <v>17</v>
      </c>
      <c r="Q66" s="12" t="s">
        <v>48</v>
      </c>
      <c r="R66" s="12">
        <v>57.5</v>
      </c>
      <c r="S66" s="12"/>
      <c r="T66" s="12" t="s">
        <v>103</v>
      </c>
      <c r="U66" s="12">
        <v>2010</v>
      </c>
      <c r="V66" s="12" t="s">
        <v>17</v>
      </c>
      <c r="W66" s="12" t="s">
        <v>48</v>
      </c>
      <c r="X66" s="12">
        <v>2.5</v>
      </c>
      <c r="Z66" t="s">
        <v>277</v>
      </c>
      <c r="AA66">
        <v>2010</v>
      </c>
      <c r="AB66" t="s">
        <v>17</v>
      </c>
      <c r="AC66" t="s">
        <v>48</v>
      </c>
      <c r="AD66" s="21">
        <v>2.4424517226336101E-3</v>
      </c>
      <c r="AE66" s="12"/>
      <c r="AF66" s="12" t="s">
        <v>118</v>
      </c>
      <c r="AG66" s="12">
        <v>2010</v>
      </c>
      <c r="AH66" s="12" t="s">
        <v>17</v>
      </c>
      <c r="AI66" s="12" t="s">
        <v>48</v>
      </c>
      <c r="AJ66" s="21">
        <v>2.4424517226336101E-3</v>
      </c>
    </row>
    <row r="67" spans="2:36" x14ac:dyDescent="0.25">
      <c r="B67" t="s">
        <v>58</v>
      </c>
      <c r="C67">
        <v>2025</v>
      </c>
      <c r="D67" s="12" t="s">
        <v>40</v>
      </c>
      <c r="E67" s="12" t="s">
        <v>0</v>
      </c>
      <c r="F67" s="16">
        <v>2.2000000000000002</v>
      </c>
      <c r="G67" s="12"/>
      <c r="H67" s="12" t="s">
        <v>199</v>
      </c>
      <c r="I67" s="12">
        <v>2020</v>
      </c>
      <c r="J67" s="12" t="s">
        <v>39</v>
      </c>
      <c r="K67" s="12" t="s">
        <v>6</v>
      </c>
      <c r="L67" s="16">
        <v>68.328000000000003</v>
      </c>
      <c r="M67" s="12"/>
      <c r="N67" s="12" t="s">
        <v>105</v>
      </c>
      <c r="O67" s="12">
        <v>2010</v>
      </c>
      <c r="P67" s="12" t="s">
        <v>6</v>
      </c>
      <c r="Q67" s="12" t="s">
        <v>48</v>
      </c>
      <c r="R67" s="12">
        <v>57.5</v>
      </c>
      <c r="S67" s="12"/>
      <c r="T67" s="12" t="s">
        <v>105</v>
      </c>
      <c r="U67" s="12">
        <v>2010</v>
      </c>
      <c r="V67" s="12" t="s">
        <v>6</v>
      </c>
      <c r="W67" s="12" t="s">
        <v>48</v>
      </c>
      <c r="X67" s="12">
        <v>2.5</v>
      </c>
      <c r="Z67" t="s">
        <v>278</v>
      </c>
      <c r="AA67">
        <v>2010</v>
      </c>
      <c r="AB67" t="s">
        <v>11</v>
      </c>
      <c r="AC67" t="s">
        <v>48</v>
      </c>
      <c r="AD67" s="21">
        <v>1.7500000000000002E-2</v>
      </c>
      <c r="AE67" s="12"/>
      <c r="AF67" s="12" t="s">
        <v>120</v>
      </c>
      <c r="AG67" s="12">
        <v>2010</v>
      </c>
      <c r="AH67" s="12" t="s">
        <v>11</v>
      </c>
      <c r="AI67" s="12" t="s">
        <v>48</v>
      </c>
      <c r="AJ67" s="21">
        <v>1.7500000000000002E-2</v>
      </c>
    </row>
    <row r="68" spans="2:36" x14ac:dyDescent="0.25">
      <c r="B68" t="s">
        <v>58</v>
      </c>
      <c r="C68">
        <v>2025</v>
      </c>
      <c r="D68" s="12" t="s">
        <v>40</v>
      </c>
      <c r="E68" s="12" t="s">
        <v>15</v>
      </c>
      <c r="F68" s="16">
        <v>2.2000000000000002</v>
      </c>
      <c r="G68" s="12"/>
      <c r="H68" s="12" t="s">
        <v>200</v>
      </c>
      <c r="I68" s="12">
        <v>2010</v>
      </c>
      <c r="J68" s="12" t="s">
        <v>39</v>
      </c>
      <c r="K68" s="12" t="s">
        <v>6</v>
      </c>
      <c r="L68" s="16">
        <v>573.95519999999999</v>
      </c>
      <c r="M68" s="12"/>
      <c r="N68" s="12" t="s">
        <v>105</v>
      </c>
      <c r="O68" s="12">
        <v>2010</v>
      </c>
      <c r="P68" s="12" t="s">
        <v>20</v>
      </c>
      <c r="Q68" s="12" t="s">
        <v>48</v>
      </c>
      <c r="R68" s="12">
        <v>57.5</v>
      </c>
      <c r="S68" s="12"/>
      <c r="T68" s="12" t="s">
        <v>105</v>
      </c>
      <c r="U68" s="12">
        <v>2010</v>
      </c>
      <c r="V68" s="12" t="s">
        <v>20</v>
      </c>
      <c r="W68" s="12" t="s">
        <v>48</v>
      </c>
      <c r="X68" s="12">
        <v>2.5</v>
      </c>
      <c r="Z68" t="s">
        <v>278</v>
      </c>
      <c r="AA68">
        <v>2010</v>
      </c>
      <c r="AB68" t="s">
        <v>28</v>
      </c>
      <c r="AC68" t="s">
        <v>48</v>
      </c>
      <c r="AD68" s="22">
        <f>AD67</f>
        <v>1.7500000000000002E-2</v>
      </c>
      <c r="AE68" s="12"/>
      <c r="AF68" s="12" t="s">
        <v>120</v>
      </c>
      <c r="AG68" s="12">
        <v>2010</v>
      </c>
      <c r="AH68" s="12" t="s">
        <v>28</v>
      </c>
      <c r="AI68" s="12" t="s">
        <v>48</v>
      </c>
      <c r="AJ68" s="22">
        <f>AJ67</f>
        <v>1.7500000000000002E-2</v>
      </c>
    </row>
    <row r="69" spans="2:36" x14ac:dyDescent="0.25">
      <c r="B69" t="s">
        <v>60</v>
      </c>
      <c r="C69">
        <v>2010</v>
      </c>
      <c r="D69" s="12" t="s">
        <v>39</v>
      </c>
      <c r="E69" s="12" t="s">
        <v>0</v>
      </c>
      <c r="F69" s="16">
        <v>0.9</v>
      </c>
      <c r="G69" s="12"/>
      <c r="H69" s="12" t="s">
        <v>200</v>
      </c>
      <c r="I69" s="12">
        <v>2015</v>
      </c>
      <c r="J69" s="12" t="s">
        <v>39</v>
      </c>
      <c r="K69" s="12" t="s">
        <v>6</v>
      </c>
      <c r="L69" s="16">
        <v>837.01800000000003</v>
      </c>
      <c r="M69" s="12"/>
      <c r="N69" s="12" t="s">
        <v>107</v>
      </c>
      <c r="O69" s="12">
        <v>2010</v>
      </c>
      <c r="P69" s="12" t="s">
        <v>6</v>
      </c>
      <c r="Q69" s="12" t="s">
        <v>48</v>
      </c>
      <c r="R69" s="12">
        <v>414</v>
      </c>
      <c r="S69" s="12"/>
      <c r="T69" s="12" t="s">
        <v>107</v>
      </c>
      <c r="U69" s="12">
        <v>2010</v>
      </c>
      <c r="V69" s="12" t="s">
        <v>6</v>
      </c>
      <c r="W69" s="12" t="s">
        <v>48</v>
      </c>
      <c r="X69" s="12">
        <v>18</v>
      </c>
      <c r="Z69" t="s">
        <v>279</v>
      </c>
      <c r="AA69">
        <v>2010</v>
      </c>
      <c r="AB69" t="s">
        <v>12</v>
      </c>
      <c r="AC69" t="s">
        <v>48</v>
      </c>
      <c r="AD69" s="21">
        <v>2.6838204738955599E-3</v>
      </c>
      <c r="AE69" s="12"/>
      <c r="AF69" s="12" t="s">
        <v>126</v>
      </c>
      <c r="AG69" s="12">
        <v>2010</v>
      </c>
      <c r="AH69" s="12" t="s">
        <v>12</v>
      </c>
      <c r="AI69" s="12" t="s">
        <v>48</v>
      </c>
      <c r="AJ69" s="21">
        <v>2.6838204738955599E-3</v>
      </c>
    </row>
    <row r="70" spans="2:36" x14ac:dyDescent="0.25">
      <c r="B70" t="s">
        <v>60</v>
      </c>
      <c r="C70">
        <v>2010</v>
      </c>
      <c r="D70" s="12" t="s">
        <v>39</v>
      </c>
      <c r="E70" s="12" t="s">
        <v>26</v>
      </c>
      <c r="F70" s="16">
        <v>0.9</v>
      </c>
      <c r="G70" s="12"/>
      <c r="H70" s="12" t="s">
        <v>200</v>
      </c>
      <c r="I70" s="12">
        <v>2020</v>
      </c>
      <c r="J70" s="12" t="s">
        <v>39</v>
      </c>
      <c r="K70" s="12" t="s">
        <v>6</v>
      </c>
      <c r="L70" s="16">
        <v>837.01800000000003</v>
      </c>
      <c r="M70" s="12"/>
      <c r="N70" s="12" t="s">
        <v>107</v>
      </c>
      <c r="O70" s="12">
        <v>2010</v>
      </c>
      <c r="P70" s="12" t="s">
        <v>21</v>
      </c>
      <c r="Q70" s="12" t="s">
        <v>48</v>
      </c>
      <c r="R70" s="12">
        <v>414</v>
      </c>
      <c r="S70" s="12"/>
      <c r="T70" s="12" t="s">
        <v>107</v>
      </c>
      <c r="U70" s="12">
        <v>2010</v>
      </c>
      <c r="V70" s="12" t="s">
        <v>21</v>
      </c>
      <c r="W70" s="12" t="s">
        <v>48</v>
      </c>
      <c r="X70" s="12">
        <v>18</v>
      </c>
      <c r="Z70" t="s">
        <v>279</v>
      </c>
      <c r="AA70">
        <v>2010</v>
      </c>
      <c r="AB70" t="s">
        <v>24</v>
      </c>
      <c r="AC70" t="s">
        <v>48</v>
      </c>
      <c r="AD70" s="21">
        <v>2.6838204738955599E-3</v>
      </c>
      <c r="AE70" s="12"/>
      <c r="AF70" s="12" t="s">
        <v>126</v>
      </c>
      <c r="AG70" s="12">
        <v>2010</v>
      </c>
      <c r="AH70" s="12" t="s">
        <v>24</v>
      </c>
      <c r="AI70" s="12" t="s">
        <v>48</v>
      </c>
      <c r="AJ70" s="21">
        <v>2.6838204738955599E-3</v>
      </c>
    </row>
    <row r="71" spans="2:36" x14ac:dyDescent="0.25">
      <c r="B71" t="s">
        <v>60</v>
      </c>
      <c r="C71">
        <v>2015</v>
      </c>
      <c r="D71" s="12" t="s">
        <v>39</v>
      </c>
      <c r="E71" s="12" t="s">
        <v>0</v>
      </c>
      <c r="F71" s="16">
        <v>0.9</v>
      </c>
      <c r="G71" s="12"/>
      <c r="H71" s="12" t="s">
        <v>201</v>
      </c>
      <c r="I71" s="12">
        <v>2010</v>
      </c>
      <c r="J71" s="12" t="s">
        <v>39</v>
      </c>
      <c r="K71" s="12" t="s">
        <v>6</v>
      </c>
      <c r="L71" s="16">
        <v>75.160799999999995</v>
      </c>
      <c r="M71" s="12"/>
      <c r="N71" s="12" t="s">
        <v>109</v>
      </c>
      <c r="O71" s="12">
        <v>2010</v>
      </c>
      <c r="P71" s="12" t="s">
        <v>6</v>
      </c>
      <c r="Q71" s="12" t="s">
        <v>48</v>
      </c>
      <c r="R71" s="12">
        <v>57.5</v>
      </c>
      <c r="S71" s="12"/>
      <c r="T71" s="12" t="s">
        <v>109</v>
      </c>
      <c r="U71" s="12">
        <v>2010</v>
      </c>
      <c r="V71" s="12" t="s">
        <v>6</v>
      </c>
      <c r="W71" s="12" t="s">
        <v>48</v>
      </c>
      <c r="X71" s="12">
        <v>2.5</v>
      </c>
      <c r="Z71" t="s">
        <v>280</v>
      </c>
      <c r="AA71">
        <v>2010</v>
      </c>
      <c r="AB71" t="s">
        <v>12</v>
      </c>
      <c r="AC71" t="s">
        <v>48</v>
      </c>
      <c r="AD71" s="21">
        <v>2.0430841874913E-3</v>
      </c>
      <c r="AE71" s="12"/>
      <c r="AF71" s="12" t="s">
        <v>128</v>
      </c>
      <c r="AG71" s="12">
        <v>2010</v>
      </c>
      <c r="AH71" s="12" t="s">
        <v>12</v>
      </c>
      <c r="AI71" s="12" t="s">
        <v>48</v>
      </c>
      <c r="AJ71" s="21">
        <v>2.0430841874913E-3</v>
      </c>
    </row>
    <row r="72" spans="2:36" x14ac:dyDescent="0.25">
      <c r="B72" t="s">
        <v>60</v>
      </c>
      <c r="C72">
        <v>2015</v>
      </c>
      <c r="D72" s="12" t="s">
        <v>39</v>
      </c>
      <c r="E72" s="12" t="s">
        <v>26</v>
      </c>
      <c r="F72" s="16">
        <v>0.9</v>
      </c>
      <c r="G72" s="12"/>
      <c r="H72" s="12" t="s">
        <v>201</v>
      </c>
      <c r="I72" s="12">
        <v>2015</v>
      </c>
      <c r="J72" s="12" t="s">
        <v>39</v>
      </c>
      <c r="K72" s="12" t="s">
        <v>6</v>
      </c>
      <c r="L72" s="16">
        <v>75.160799999999995</v>
      </c>
      <c r="M72" s="12"/>
      <c r="N72" s="12" t="s">
        <v>109</v>
      </c>
      <c r="O72" s="12">
        <v>2010</v>
      </c>
      <c r="P72" s="12" t="s">
        <v>22</v>
      </c>
      <c r="Q72" s="12" t="s">
        <v>48</v>
      </c>
      <c r="R72" s="12">
        <v>57.5</v>
      </c>
      <c r="S72" s="12"/>
      <c r="T72" s="12" t="s">
        <v>109</v>
      </c>
      <c r="U72" s="12">
        <v>2010</v>
      </c>
      <c r="V72" s="12" t="s">
        <v>22</v>
      </c>
      <c r="W72" s="12" t="s">
        <v>48</v>
      </c>
      <c r="X72" s="12">
        <v>2.5</v>
      </c>
      <c r="Z72" t="s">
        <v>280</v>
      </c>
      <c r="AA72">
        <v>2010</v>
      </c>
      <c r="AB72" t="s">
        <v>26</v>
      </c>
      <c r="AC72" t="s">
        <v>48</v>
      </c>
      <c r="AD72" s="21">
        <v>2.0430841874913E-3</v>
      </c>
      <c r="AE72" s="12"/>
      <c r="AF72" s="12" t="s">
        <v>128</v>
      </c>
      <c r="AG72" s="12">
        <v>2010</v>
      </c>
      <c r="AH72" s="12" t="s">
        <v>26</v>
      </c>
      <c r="AI72" s="12" t="s">
        <v>48</v>
      </c>
      <c r="AJ72" s="21">
        <v>2.0430841874913E-3</v>
      </c>
    </row>
    <row r="73" spans="2:36" x14ac:dyDescent="0.25">
      <c r="B73" t="s">
        <v>60</v>
      </c>
      <c r="C73">
        <v>2020</v>
      </c>
      <c r="D73" s="12" t="s">
        <v>39</v>
      </c>
      <c r="E73" s="12" t="s">
        <v>0</v>
      </c>
      <c r="F73" s="16">
        <v>1.2</v>
      </c>
      <c r="G73" s="12"/>
      <c r="H73" s="12" t="s">
        <v>201</v>
      </c>
      <c r="I73" s="12">
        <v>2020</v>
      </c>
      <c r="J73" s="12" t="s">
        <v>39</v>
      </c>
      <c r="K73" s="12" t="s">
        <v>6</v>
      </c>
      <c r="L73" s="16">
        <v>75.160799999999995</v>
      </c>
      <c r="M73" s="12"/>
      <c r="N73" s="12" t="s">
        <v>110</v>
      </c>
      <c r="O73" s="12">
        <v>2010</v>
      </c>
      <c r="P73" s="12" t="s">
        <v>6</v>
      </c>
      <c r="Q73" s="12" t="s">
        <v>48</v>
      </c>
      <c r="R73" s="12">
        <v>414</v>
      </c>
      <c r="S73" s="12"/>
      <c r="T73" s="12" t="s">
        <v>110</v>
      </c>
      <c r="U73" s="12">
        <v>2010</v>
      </c>
      <c r="V73" s="12" t="s">
        <v>6</v>
      </c>
      <c r="W73" s="12" t="s">
        <v>48</v>
      </c>
      <c r="X73" s="12">
        <v>18</v>
      </c>
      <c r="Z73" t="s">
        <v>281</v>
      </c>
      <c r="AA73">
        <v>2010</v>
      </c>
      <c r="AB73" t="s">
        <v>12</v>
      </c>
      <c r="AC73" t="s">
        <v>48</v>
      </c>
      <c r="AD73" s="21">
        <v>1.2298224828839899E-3</v>
      </c>
      <c r="AE73" s="12"/>
      <c r="AF73" s="12" t="s">
        <v>129</v>
      </c>
      <c r="AG73" s="12">
        <v>2010</v>
      </c>
      <c r="AH73" s="12" t="s">
        <v>12</v>
      </c>
      <c r="AI73" s="12" t="s">
        <v>48</v>
      </c>
      <c r="AJ73" s="21">
        <v>1.2298224828839899E-3</v>
      </c>
    </row>
    <row r="74" spans="2:36" x14ac:dyDescent="0.25">
      <c r="B74" t="s">
        <v>60</v>
      </c>
      <c r="C74">
        <v>2020</v>
      </c>
      <c r="D74" s="12" t="s">
        <v>39</v>
      </c>
      <c r="E74" s="12" t="s">
        <v>26</v>
      </c>
      <c r="F74" s="16">
        <v>1.2</v>
      </c>
      <c r="G74" s="12"/>
      <c r="H74" s="12" t="s">
        <v>202</v>
      </c>
      <c r="I74" s="12">
        <v>2010</v>
      </c>
      <c r="J74" s="12" t="s">
        <v>39</v>
      </c>
      <c r="K74" s="12" t="s">
        <v>6</v>
      </c>
      <c r="L74" s="16">
        <v>1017.8025</v>
      </c>
      <c r="M74" s="12"/>
      <c r="N74" s="12" t="s">
        <v>110</v>
      </c>
      <c r="O74" s="12">
        <v>2010</v>
      </c>
      <c r="P74" s="12" t="s">
        <v>25</v>
      </c>
      <c r="Q74" s="12" t="s">
        <v>48</v>
      </c>
      <c r="R74" s="12">
        <v>414</v>
      </c>
      <c r="S74" s="12"/>
      <c r="T74" s="12" t="s">
        <v>110</v>
      </c>
      <c r="U74" s="12">
        <v>2010</v>
      </c>
      <c r="V74" s="12" t="s">
        <v>25</v>
      </c>
      <c r="W74" s="12" t="s">
        <v>48</v>
      </c>
      <c r="X74" s="12">
        <v>18</v>
      </c>
      <c r="Z74" t="s">
        <v>281</v>
      </c>
      <c r="AA74">
        <v>2010</v>
      </c>
      <c r="AB74" t="s">
        <v>27</v>
      </c>
      <c r="AC74" t="s">
        <v>48</v>
      </c>
      <c r="AD74" s="21">
        <v>1.2298224828839899E-3</v>
      </c>
      <c r="AE74" s="12"/>
      <c r="AF74" s="12" t="s">
        <v>129</v>
      </c>
      <c r="AG74" s="12">
        <v>2010</v>
      </c>
      <c r="AH74" s="12" t="s">
        <v>27</v>
      </c>
      <c r="AI74" s="12" t="s">
        <v>48</v>
      </c>
      <c r="AJ74" s="21">
        <v>1.2298224828839899E-3</v>
      </c>
    </row>
    <row r="75" spans="2:36" x14ac:dyDescent="0.25">
      <c r="B75" t="s">
        <v>60</v>
      </c>
      <c r="C75">
        <v>2025</v>
      </c>
      <c r="D75" s="12" t="s">
        <v>40</v>
      </c>
      <c r="E75" s="12" t="s">
        <v>0</v>
      </c>
      <c r="F75" s="16">
        <v>1.2</v>
      </c>
      <c r="G75" s="12"/>
      <c r="H75" s="12" t="s">
        <v>202</v>
      </c>
      <c r="I75" s="12">
        <v>2015</v>
      </c>
      <c r="J75" s="12" t="s">
        <v>39</v>
      </c>
      <c r="K75" s="12" t="s">
        <v>6</v>
      </c>
      <c r="L75" s="16">
        <v>1017.8025</v>
      </c>
      <c r="M75" s="12"/>
      <c r="N75" s="12" t="s">
        <v>112</v>
      </c>
      <c r="O75" s="12">
        <v>2010</v>
      </c>
      <c r="P75" s="12" t="s">
        <v>6</v>
      </c>
      <c r="Q75" s="12" t="s">
        <v>48</v>
      </c>
      <c r="R75" s="12">
        <v>414</v>
      </c>
      <c r="S75" s="12"/>
      <c r="T75" s="12" t="s">
        <v>112</v>
      </c>
      <c r="U75" s="12">
        <v>2010</v>
      </c>
      <c r="V75" s="12" t="s">
        <v>6</v>
      </c>
      <c r="W75" s="12" t="s">
        <v>48</v>
      </c>
      <c r="X75" s="12">
        <v>18</v>
      </c>
      <c r="Z75" t="s">
        <v>282</v>
      </c>
      <c r="AA75">
        <v>2010</v>
      </c>
      <c r="AB75" t="s">
        <v>13</v>
      </c>
      <c r="AC75" t="s">
        <v>48</v>
      </c>
      <c r="AD75" s="21">
        <v>1.7500000000000002E-2</v>
      </c>
      <c r="AE75" s="12"/>
      <c r="AF75" s="12" t="s">
        <v>130</v>
      </c>
      <c r="AG75" s="12">
        <v>2010</v>
      </c>
      <c r="AH75" s="12" t="s">
        <v>13</v>
      </c>
      <c r="AI75" s="12" t="s">
        <v>48</v>
      </c>
      <c r="AJ75" s="21">
        <v>1.7500000000000002E-2</v>
      </c>
    </row>
    <row r="76" spans="2:36" x14ac:dyDescent="0.25">
      <c r="B76" t="s">
        <v>60</v>
      </c>
      <c r="C76">
        <v>2025</v>
      </c>
      <c r="D76" s="12" t="s">
        <v>40</v>
      </c>
      <c r="E76" s="12" t="s">
        <v>26</v>
      </c>
      <c r="F76" s="16">
        <v>1.2</v>
      </c>
      <c r="G76" s="12"/>
      <c r="H76" s="12" t="s">
        <v>202</v>
      </c>
      <c r="I76" s="12">
        <v>2020</v>
      </c>
      <c r="J76" s="12" t="s">
        <v>39</v>
      </c>
      <c r="K76" s="12" t="s">
        <v>6</v>
      </c>
      <c r="L76" s="16">
        <v>1017.8025</v>
      </c>
      <c r="M76" s="12"/>
      <c r="N76" s="12" t="s">
        <v>112</v>
      </c>
      <c r="O76" s="12">
        <v>2010</v>
      </c>
      <c r="P76" s="12" t="s">
        <v>28</v>
      </c>
      <c r="Q76" s="12" t="s">
        <v>48</v>
      </c>
      <c r="R76" s="12">
        <v>414</v>
      </c>
      <c r="S76" s="12"/>
      <c r="T76" s="12" t="s">
        <v>112</v>
      </c>
      <c r="U76" s="12">
        <v>2010</v>
      </c>
      <c r="V76" s="12" t="s">
        <v>28</v>
      </c>
      <c r="W76" s="12" t="s">
        <v>48</v>
      </c>
      <c r="X76" s="12">
        <v>18</v>
      </c>
      <c r="Z76" t="s">
        <v>282</v>
      </c>
      <c r="AA76">
        <v>2010</v>
      </c>
      <c r="AB76" t="s">
        <v>28</v>
      </c>
      <c r="AC76" t="s">
        <v>48</v>
      </c>
      <c r="AD76" s="22">
        <f>AD75</f>
        <v>1.7500000000000002E-2</v>
      </c>
      <c r="AE76" s="12"/>
      <c r="AF76" s="12" t="s">
        <v>130</v>
      </c>
      <c r="AG76" s="12">
        <v>2010</v>
      </c>
      <c r="AH76" s="12" t="s">
        <v>28</v>
      </c>
      <c r="AI76" s="12" t="s">
        <v>48</v>
      </c>
      <c r="AJ76" s="22">
        <f>AJ75</f>
        <v>1.7500000000000002E-2</v>
      </c>
    </row>
    <row r="77" spans="2:36" x14ac:dyDescent="0.25">
      <c r="B77" t="s">
        <v>62</v>
      </c>
      <c r="C77">
        <v>2010</v>
      </c>
      <c r="D77" s="12" t="s">
        <v>39</v>
      </c>
      <c r="E77" s="12" t="s">
        <v>0</v>
      </c>
      <c r="F77" s="16">
        <v>0</v>
      </c>
      <c r="G77" s="12"/>
      <c r="H77" s="12" t="s">
        <v>203</v>
      </c>
      <c r="I77" s="12">
        <v>2010</v>
      </c>
      <c r="J77" s="12" t="s">
        <v>39</v>
      </c>
      <c r="K77" s="12" t="s">
        <v>6</v>
      </c>
      <c r="L77" s="16">
        <v>46.690800000000003</v>
      </c>
      <c r="M77" s="12"/>
      <c r="N77" s="12" t="s">
        <v>114</v>
      </c>
      <c r="O77" s="12">
        <v>2010</v>
      </c>
      <c r="P77" s="12" t="s">
        <v>7</v>
      </c>
      <c r="Q77" s="12" t="s">
        <v>48</v>
      </c>
      <c r="R77" s="12">
        <v>414</v>
      </c>
      <c r="S77" s="12"/>
      <c r="T77" s="12" t="s">
        <v>114</v>
      </c>
      <c r="U77" s="12">
        <v>2010</v>
      </c>
      <c r="V77" s="12" t="s">
        <v>7</v>
      </c>
      <c r="W77" s="12" t="s">
        <v>48</v>
      </c>
      <c r="X77" s="12">
        <v>18</v>
      </c>
      <c r="Z77" t="s">
        <v>283</v>
      </c>
      <c r="AA77">
        <v>2010</v>
      </c>
      <c r="AB77" t="s">
        <v>15</v>
      </c>
      <c r="AC77" t="s">
        <v>48</v>
      </c>
      <c r="AD77" s="21">
        <v>8.0000000000000002E-3</v>
      </c>
      <c r="AE77" s="12"/>
      <c r="AF77" s="12" t="s">
        <v>132</v>
      </c>
      <c r="AG77" s="12">
        <v>2010</v>
      </c>
      <c r="AH77" s="12" t="s">
        <v>15</v>
      </c>
      <c r="AI77" s="12" t="s">
        <v>48</v>
      </c>
      <c r="AJ77" s="21">
        <v>8.0000000000000002E-3</v>
      </c>
    </row>
    <row r="78" spans="2:36" x14ac:dyDescent="0.25">
      <c r="B78" t="s">
        <v>62</v>
      </c>
      <c r="C78">
        <v>2010</v>
      </c>
      <c r="D78" s="12" t="s">
        <v>39</v>
      </c>
      <c r="E78" s="12" t="s">
        <v>27</v>
      </c>
      <c r="F78" s="16">
        <v>0</v>
      </c>
      <c r="G78" s="12"/>
      <c r="H78" s="12" t="s">
        <v>203</v>
      </c>
      <c r="I78" s="12">
        <v>2015</v>
      </c>
      <c r="J78" s="12" t="s">
        <v>39</v>
      </c>
      <c r="K78" s="12" t="s">
        <v>6</v>
      </c>
      <c r="L78" s="16">
        <v>46.690800000000003</v>
      </c>
      <c r="M78" s="12"/>
      <c r="N78" s="12" t="s">
        <v>114</v>
      </c>
      <c r="O78" s="12">
        <v>2010</v>
      </c>
      <c r="P78" s="12" t="s">
        <v>20</v>
      </c>
      <c r="Q78" s="12" t="s">
        <v>48</v>
      </c>
      <c r="R78" s="12">
        <v>414</v>
      </c>
      <c r="S78" s="12"/>
      <c r="T78" s="12" t="s">
        <v>114</v>
      </c>
      <c r="U78" s="12">
        <v>2010</v>
      </c>
      <c r="V78" s="12" t="s">
        <v>20</v>
      </c>
      <c r="W78" s="12" t="s">
        <v>48</v>
      </c>
      <c r="X78" s="12">
        <v>18</v>
      </c>
      <c r="Z78" t="s">
        <v>283</v>
      </c>
      <c r="AA78">
        <v>2010</v>
      </c>
      <c r="AB78" t="s">
        <v>19</v>
      </c>
      <c r="AC78" t="s">
        <v>48</v>
      </c>
      <c r="AD78" s="21">
        <v>8.0000000000000002E-3</v>
      </c>
      <c r="AE78" s="12"/>
      <c r="AF78" s="12" t="s">
        <v>132</v>
      </c>
      <c r="AG78" s="12">
        <v>2010</v>
      </c>
      <c r="AH78" s="12" t="s">
        <v>19</v>
      </c>
      <c r="AI78" s="12" t="s">
        <v>48</v>
      </c>
      <c r="AJ78" s="21">
        <v>8.0000000000000002E-3</v>
      </c>
    </row>
    <row r="79" spans="2:36" x14ac:dyDescent="0.25">
      <c r="B79" t="s">
        <v>62</v>
      </c>
      <c r="C79">
        <v>2015</v>
      </c>
      <c r="D79" s="12" t="s">
        <v>39</v>
      </c>
      <c r="E79" s="12" t="s">
        <v>0</v>
      </c>
      <c r="F79" s="16">
        <v>0</v>
      </c>
      <c r="G79" s="12"/>
      <c r="H79" s="12" t="s">
        <v>203</v>
      </c>
      <c r="I79" s="12">
        <v>2020</v>
      </c>
      <c r="J79" s="12" t="s">
        <v>39</v>
      </c>
      <c r="K79" s="12" t="s">
        <v>6</v>
      </c>
      <c r="L79" s="16">
        <v>46.690800000000003</v>
      </c>
      <c r="M79" s="12"/>
      <c r="N79" s="12" t="s">
        <v>115</v>
      </c>
      <c r="O79" s="12">
        <v>2010</v>
      </c>
      <c r="P79" s="12" t="s">
        <v>7</v>
      </c>
      <c r="Q79" s="12" t="s">
        <v>48</v>
      </c>
      <c r="R79" s="12">
        <v>414</v>
      </c>
      <c r="S79" s="12"/>
      <c r="T79" s="12" t="s">
        <v>115</v>
      </c>
      <c r="U79" s="12">
        <v>2010</v>
      </c>
      <c r="V79" s="12" t="s">
        <v>7</v>
      </c>
      <c r="W79" s="12" t="s">
        <v>48</v>
      </c>
      <c r="X79" s="12">
        <v>18</v>
      </c>
      <c r="Z79" t="s">
        <v>284</v>
      </c>
      <c r="AA79">
        <v>2010</v>
      </c>
      <c r="AB79" t="s">
        <v>15</v>
      </c>
      <c r="AC79" t="s">
        <v>48</v>
      </c>
      <c r="AD79" s="21">
        <v>2.8775285118330701E-3</v>
      </c>
      <c r="AE79" s="12"/>
      <c r="AF79" s="12" t="s">
        <v>134</v>
      </c>
      <c r="AG79" s="12">
        <v>2010</v>
      </c>
      <c r="AH79" s="12" t="s">
        <v>15</v>
      </c>
      <c r="AI79" s="12" t="s">
        <v>48</v>
      </c>
      <c r="AJ79" s="21">
        <v>2.8775285118330701E-3</v>
      </c>
    </row>
    <row r="80" spans="2:36" x14ac:dyDescent="0.25">
      <c r="B80" t="s">
        <v>62</v>
      </c>
      <c r="C80">
        <v>2015</v>
      </c>
      <c r="D80" s="12" t="s">
        <v>39</v>
      </c>
      <c r="E80" s="12" t="s">
        <v>27</v>
      </c>
      <c r="F80" s="16">
        <v>0</v>
      </c>
      <c r="G80" s="12"/>
      <c r="H80" s="12" t="s">
        <v>190</v>
      </c>
      <c r="I80" s="12">
        <v>2010</v>
      </c>
      <c r="J80" s="12" t="s">
        <v>39</v>
      </c>
      <c r="K80" s="12" t="s">
        <v>7</v>
      </c>
      <c r="L80" s="16">
        <v>121.99395</v>
      </c>
      <c r="M80" s="12"/>
      <c r="N80" s="12" t="s">
        <v>115</v>
      </c>
      <c r="O80" s="12">
        <v>2010</v>
      </c>
      <c r="P80" s="12" t="s">
        <v>21</v>
      </c>
      <c r="Q80" s="12" t="s">
        <v>48</v>
      </c>
      <c r="R80" s="12">
        <v>414</v>
      </c>
      <c r="S80" s="12"/>
      <c r="T80" s="12" t="s">
        <v>115</v>
      </c>
      <c r="U80" s="12">
        <v>2010</v>
      </c>
      <c r="V80" s="12" t="s">
        <v>21</v>
      </c>
      <c r="W80" s="12" t="s">
        <v>48</v>
      </c>
      <c r="X80" s="12">
        <v>18</v>
      </c>
      <c r="Z80" t="s">
        <v>284</v>
      </c>
      <c r="AA80">
        <v>2010</v>
      </c>
      <c r="AB80" t="s">
        <v>26</v>
      </c>
      <c r="AC80" t="s">
        <v>48</v>
      </c>
      <c r="AD80" s="21">
        <v>2.8775285118330701E-3</v>
      </c>
      <c r="AE80" s="12"/>
      <c r="AF80" s="12" t="s">
        <v>134</v>
      </c>
      <c r="AG80" s="12">
        <v>2010</v>
      </c>
      <c r="AH80" s="12" t="s">
        <v>26</v>
      </c>
      <c r="AI80" s="12" t="s">
        <v>48</v>
      </c>
      <c r="AJ80" s="21">
        <v>2.8775285118330701E-3</v>
      </c>
    </row>
    <row r="81" spans="2:46" x14ac:dyDescent="0.25">
      <c r="B81" t="s">
        <v>62</v>
      </c>
      <c r="C81">
        <v>2020</v>
      </c>
      <c r="D81" s="12" t="s">
        <v>39</v>
      </c>
      <c r="E81" s="12" t="s">
        <v>0</v>
      </c>
      <c r="F81" s="16">
        <v>0</v>
      </c>
      <c r="G81" s="12"/>
      <c r="H81" s="12" t="s">
        <v>190</v>
      </c>
      <c r="I81" s="12">
        <v>2015</v>
      </c>
      <c r="J81" s="12" t="s">
        <v>39</v>
      </c>
      <c r="K81" s="12" t="s">
        <v>7</v>
      </c>
      <c r="L81" s="16">
        <v>121.99395</v>
      </c>
      <c r="M81" s="12"/>
      <c r="N81" s="12" t="s">
        <v>117</v>
      </c>
      <c r="O81" s="12">
        <v>2010</v>
      </c>
      <c r="P81" s="12" t="s">
        <v>7</v>
      </c>
      <c r="Q81" s="12" t="s">
        <v>48</v>
      </c>
      <c r="R81" s="12">
        <v>414</v>
      </c>
      <c r="S81" s="12"/>
      <c r="T81" s="12" t="s">
        <v>117</v>
      </c>
      <c r="U81" s="12">
        <v>2010</v>
      </c>
      <c r="V81" s="12" t="s">
        <v>7</v>
      </c>
      <c r="W81" s="12" t="s">
        <v>48</v>
      </c>
      <c r="X81" s="12">
        <v>18</v>
      </c>
      <c r="Z81" t="s">
        <v>285</v>
      </c>
      <c r="AA81">
        <v>2010</v>
      </c>
      <c r="AB81" t="s">
        <v>16</v>
      </c>
      <c r="AC81" t="s">
        <v>48</v>
      </c>
      <c r="AD81" s="21">
        <v>8.0887772442375899E-4</v>
      </c>
      <c r="AE81" s="12"/>
      <c r="AF81" s="12" t="s">
        <v>136</v>
      </c>
      <c r="AG81" s="12">
        <v>2010</v>
      </c>
      <c r="AH81" s="12" t="s">
        <v>16</v>
      </c>
      <c r="AI81" s="12" t="s">
        <v>48</v>
      </c>
      <c r="AJ81" s="21">
        <v>8.0887772442375899E-4</v>
      </c>
    </row>
    <row r="82" spans="2:46" x14ac:dyDescent="0.25">
      <c r="B82" t="s">
        <v>62</v>
      </c>
      <c r="C82">
        <v>2020</v>
      </c>
      <c r="D82" s="12" t="s">
        <v>39</v>
      </c>
      <c r="E82" s="12" t="s">
        <v>27</v>
      </c>
      <c r="F82" s="16">
        <v>0</v>
      </c>
      <c r="G82" s="12"/>
      <c r="H82" s="12" t="s">
        <v>190</v>
      </c>
      <c r="I82" s="12">
        <v>2020</v>
      </c>
      <c r="J82" s="12" t="s">
        <v>39</v>
      </c>
      <c r="K82" s="12" t="s">
        <v>7</v>
      </c>
      <c r="L82" s="16">
        <v>121.99395</v>
      </c>
      <c r="M82" s="12"/>
      <c r="N82" s="12" t="s">
        <v>117</v>
      </c>
      <c r="O82" s="12">
        <v>2010</v>
      </c>
      <c r="P82" s="12" t="s">
        <v>25</v>
      </c>
      <c r="Q82" s="12" t="s">
        <v>48</v>
      </c>
      <c r="R82" s="12">
        <v>414</v>
      </c>
      <c r="S82" s="12"/>
      <c r="T82" s="12" t="s">
        <v>117</v>
      </c>
      <c r="U82" s="12">
        <v>2010</v>
      </c>
      <c r="V82" s="12" t="s">
        <v>25</v>
      </c>
      <c r="W82" s="12" t="s">
        <v>48</v>
      </c>
      <c r="X82" s="12">
        <v>18</v>
      </c>
      <c r="Z82" t="s">
        <v>285</v>
      </c>
      <c r="AA82">
        <v>2010</v>
      </c>
      <c r="AB82" t="s">
        <v>18</v>
      </c>
      <c r="AC82" t="s">
        <v>48</v>
      </c>
      <c r="AD82" s="21">
        <v>8.0887772442375899E-4</v>
      </c>
      <c r="AE82" s="12"/>
      <c r="AF82" s="12" t="s">
        <v>136</v>
      </c>
      <c r="AG82" s="12">
        <v>2010</v>
      </c>
      <c r="AH82" s="12" t="s">
        <v>18</v>
      </c>
      <c r="AI82" s="12" t="s">
        <v>48</v>
      </c>
      <c r="AJ82" s="21">
        <v>8.0887772442375899E-4</v>
      </c>
    </row>
    <row r="83" spans="2:46" x14ac:dyDescent="0.25">
      <c r="B83" t="s">
        <v>62</v>
      </c>
      <c r="C83">
        <v>2025</v>
      </c>
      <c r="D83" s="12" t="s">
        <v>40</v>
      </c>
      <c r="E83" s="12" t="s">
        <v>0</v>
      </c>
      <c r="F83" s="16">
        <v>1.5</v>
      </c>
      <c r="G83" s="12"/>
      <c r="H83" s="12" t="s">
        <v>191</v>
      </c>
      <c r="I83" s="12">
        <v>2010</v>
      </c>
      <c r="J83" s="12" t="s">
        <v>39</v>
      </c>
      <c r="K83" s="12" t="s">
        <v>7</v>
      </c>
      <c r="L83" s="16">
        <v>89.7</v>
      </c>
      <c r="M83" s="12"/>
      <c r="N83" s="12" t="s">
        <v>119</v>
      </c>
      <c r="O83" s="12">
        <v>2010</v>
      </c>
      <c r="P83" s="12" t="s">
        <v>8</v>
      </c>
      <c r="Q83" s="12" t="s">
        <v>48</v>
      </c>
      <c r="R83" s="12">
        <v>414</v>
      </c>
      <c r="S83" s="12"/>
      <c r="T83" s="12" t="s">
        <v>119</v>
      </c>
      <c r="U83" s="12">
        <v>2010</v>
      </c>
      <c r="V83" s="12" t="s">
        <v>8</v>
      </c>
      <c r="W83" s="12" t="s">
        <v>48</v>
      </c>
      <c r="X83" s="12">
        <v>18</v>
      </c>
      <c r="Z83" t="s">
        <v>286</v>
      </c>
      <c r="AA83">
        <v>2010</v>
      </c>
      <c r="AB83" t="s">
        <v>16</v>
      </c>
      <c r="AC83" t="s">
        <v>48</v>
      </c>
      <c r="AD83" s="21">
        <v>2.6634889315132501E-3</v>
      </c>
      <c r="AE83" s="12"/>
      <c r="AF83" s="12" t="s">
        <v>138</v>
      </c>
      <c r="AG83" s="12">
        <v>2010</v>
      </c>
      <c r="AH83" s="12" t="s">
        <v>16</v>
      </c>
      <c r="AI83" s="12" t="s">
        <v>48</v>
      </c>
      <c r="AJ83" s="21">
        <v>2.6634889315132501E-3</v>
      </c>
    </row>
    <row r="84" spans="2:46" x14ac:dyDescent="0.25">
      <c r="B84" t="s">
        <v>62</v>
      </c>
      <c r="C84">
        <v>2025</v>
      </c>
      <c r="D84" s="12" t="s">
        <v>40</v>
      </c>
      <c r="E84" s="12" t="s">
        <v>27</v>
      </c>
      <c r="F84" s="16">
        <v>1.5</v>
      </c>
      <c r="G84" s="12"/>
      <c r="H84" s="12" t="s">
        <v>191</v>
      </c>
      <c r="I84" s="12">
        <v>2015</v>
      </c>
      <c r="J84" s="12" t="s">
        <v>39</v>
      </c>
      <c r="K84" s="12" t="s">
        <v>7</v>
      </c>
      <c r="L84" s="16">
        <v>89.7</v>
      </c>
      <c r="M84" s="12"/>
      <c r="N84" s="12" t="s">
        <v>119</v>
      </c>
      <c r="O84" s="12">
        <v>2010</v>
      </c>
      <c r="P84" s="12" t="s">
        <v>10</v>
      </c>
      <c r="Q84" s="12" t="s">
        <v>48</v>
      </c>
      <c r="R84" s="12">
        <v>414</v>
      </c>
      <c r="S84" s="12"/>
      <c r="T84" s="12" t="s">
        <v>119</v>
      </c>
      <c r="U84" s="12">
        <v>2010</v>
      </c>
      <c r="V84" s="12" t="s">
        <v>10</v>
      </c>
      <c r="W84" s="12" t="s">
        <v>48</v>
      </c>
      <c r="X84" s="12">
        <v>18</v>
      </c>
      <c r="Z84" t="s">
        <v>286</v>
      </c>
      <c r="AA84">
        <v>2010</v>
      </c>
      <c r="AB84" t="s">
        <v>22</v>
      </c>
      <c r="AC84" t="s">
        <v>48</v>
      </c>
      <c r="AD84" s="21">
        <v>2.6634889315132501E-3</v>
      </c>
      <c r="AE84" s="12"/>
      <c r="AF84" s="12" t="s">
        <v>138</v>
      </c>
      <c r="AG84" s="12">
        <v>2010</v>
      </c>
      <c r="AH84" s="12" t="s">
        <v>22</v>
      </c>
      <c r="AI84" s="12" t="s">
        <v>48</v>
      </c>
      <c r="AJ84" s="21">
        <v>2.6634889315132501E-3</v>
      </c>
    </row>
    <row r="85" spans="2:46" x14ac:dyDescent="0.25">
      <c r="B85" t="s">
        <v>89</v>
      </c>
      <c r="C85">
        <v>2010</v>
      </c>
      <c r="D85" s="12" t="s">
        <v>39</v>
      </c>
      <c r="E85" s="12" t="s">
        <v>41</v>
      </c>
      <c r="F85" s="16">
        <v>0.7</v>
      </c>
      <c r="G85" s="12"/>
      <c r="H85" s="12" t="s">
        <v>191</v>
      </c>
      <c r="I85" s="12">
        <v>2020</v>
      </c>
      <c r="J85" s="12" t="s">
        <v>39</v>
      </c>
      <c r="K85" s="12" t="s">
        <v>7</v>
      </c>
      <c r="L85" s="16">
        <v>89.7</v>
      </c>
      <c r="M85" s="12"/>
      <c r="N85" s="12" t="s">
        <v>121</v>
      </c>
      <c r="O85" s="12">
        <v>2010</v>
      </c>
      <c r="P85" s="12" t="s">
        <v>8</v>
      </c>
      <c r="Q85" s="12" t="s">
        <v>48</v>
      </c>
      <c r="R85" s="12">
        <v>57.5</v>
      </c>
      <c r="S85" s="12"/>
      <c r="T85" s="12" t="s">
        <v>121</v>
      </c>
      <c r="U85" s="12">
        <v>2010</v>
      </c>
      <c r="V85" s="12" t="s">
        <v>8</v>
      </c>
      <c r="W85" s="12" t="s">
        <v>48</v>
      </c>
      <c r="X85" s="12">
        <v>2.5</v>
      </c>
      <c r="Z85" t="s">
        <v>287</v>
      </c>
      <c r="AA85">
        <v>2010</v>
      </c>
      <c r="AB85" t="s">
        <v>18</v>
      </c>
      <c r="AC85" t="s">
        <v>48</v>
      </c>
      <c r="AD85" s="21">
        <v>8.0000000000000002E-3</v>
      </c>
      <c r="AE85" s="12"/>
      <c r="AF85" s="12" t="s">
        <v>143</v>
      </c>
      <c r="AG85" s="12">
        <v>2010</v>
      </c>
      <c r="AH85" s="12" t="s">
        <v>18</v>
      </c>
      <c r="AI85" s="12" t="s">
        <v>48</v>
      </c>
      <c r="AJ85" s="21">
        <v>8.0000000000000002E-3</v>
      </c>
    </row>
    <row r="86" spans="2:46" x14ac:dyDescent="0.25">
      <c r="B86" t="s">
        <v>89</v>
      </c>
      <c r="C86">
        <v>2010</v>
      </c>
      <c r="D86" s="12" t="s">
        <v>39</v>
      </c>
      <c r="E86" s="12" t="s">
        <v>30</v>
      </c>
      <c r="F86" s="16">
        <v>0.7</v>
      </c>
      <c r="G86" s="12"/>
      <c r="H86" s="12" t="s">
        <v>192</v>
      </c>
      <c r="I86" s="12">
        <v>2010</v>
      </c>
      <c r="J86" s="12" t="s">
        <v>39</v>
      </c>
      <c r="K86" s="12" t="s">
        <v>7</v>
      </c>
      <c r="L86" s="16">
        <v>129.11144999999999</v>
      </c>
      <c r="M86" s="12"/>
      <c r="N86" s="12" t="s">
        <v>121</v>
      </c>
      <c r="O86" s="12">
        <v>2010</v>
      </c>
      <c r="P86" s="12" t="s">
        <v>18</v>
      </c>
      <c r="Q86" s="12" t="s">
        <v>48</v>
      </c>
      <c r="R86" s="12">
        <v>57.5</v>
      </c>
      <c r="S86" s="12"/>
      <c r="T86" s="12" t="s">
        <v>121</v>
      </c>
      <c r="U86" s="12">
        <v>2010</v>
      </c>
      <c r="V86" s="12" t="s">
        <v>18</v>
      </c>
      <c r="W86" s="12" t="s">
        <v>48</v>
      </c>
      <c r="X86" s="12">
        <v>2.5</v>
      </c>
      <c r="Z86" t="s">
        <v>287</v>
      </c>
      <c r="AA86">
        <v>2010</v>
      </c>
      <c r="AB86" t="s">
        <v>25</v>
      </c>
      <c r="AC86" t="s">
        <v>48</v>
      </c>
      <c r="AD86" s="21">
        <v>8.0000000000000002E-3</v>
      </c>
      <c r="AE86" s="12"/>
      <c r="AF86" s="12" t="s">
        <v>143</v>
      </c>
      <c r="AG86" s="12">
        <v>2010</v>
      </c>
      <c r="AH86" s="12" t="s">
        <v>25</v>
      </c>
      <c r="AI86" s="12" t="s">
        <v>48</v>
      </c>
      <c r="AJ86" s="21">
        <v>8.0000000000000002E-3</v>
      </c>
    </row>
    <row r="87" spans="2:46" x14ac:dyDescent="0.25">
      <c r="B87" t="s">
        <v>89</v>
      </c>
      <c r="C87">
        <v>2015</v>
      </c>
      <c r="D87" s="12" t="s">
        <v>39</v>
      </c>
      <c r="E87" s="12" t="s">
        <v>41</v>
      </c>
      <c r="F87" s="16">
        <v>0.9</v>
      </c>
      <c r="G87" s="12"/>
      <c r="H87" s="12" t="s">
        <v>192</v>
      </c>
      <c r="I87" s="12">
        <v>2015</v>
      </c>
      <c r="J87" s="12" t="s">
        <v>39</v>
      </c>
      <c r="K87" s="12" t="s">
        <v>7</v>
      </c>
      <c r="L87" s="16">
        <v>129.11144999999999</v>
      </c>
      <c r="M87" s="12"/>
      <c r="N87" s="12" t="s">
        <v>140</v>
      </c>
      <c r="O87" s="12">
        <v>2010</v>
      </c>
      <c r="P87" s="12" t="s">
        <v>29</v>
      </c>
      <c r="Q87" s="12" t="s">
        <v>48</v>
      </c>
      <c r="R87" s="12">
        <v>57.5</v>
      </c>
      <c r="S87" s="12"/>
      <c r="T87" s="12" t="s">
        <v>140</v>
      </c>
      <c r="U87" s="12">
        <v>2010</v>
      </c>
      <c r="V87" s="12" t="s">
        <v>29</v>
      </c>
      <c r="W87" s="12" t="s">
        <v>48</v>
      </c>
      <c r="X87" s="12">
        <v>2.5</v>
      </c>
      <c r="Z87" t="s">
        <v>288</v>
      </c>
      <c r="AA87">
        <v>2010</v>
      </c>
      <c r="AB87" t="s">
        <v>20</v>
      </c>
      <c r="AC87" t="s">
        <v>48</v>
      </c>
      <c r="AD87" s="21">
        <v>1.7500000000000002E-2</v>
      </c>
      <c r="AE87" s="12"/>
      <c r="AF87" s="12" t="s">
        <v>148</v>
      </c>
      <c r="AG87" s="12">
        <v>2010</v>
      </c>
      <c r="AH87" s="12" t="s">
        <v>20</v>
      </c>
      <c r="AI87" s="12" t="s">
        <v>48</v>
      </c>
      <c r="AJ87" s="21">
        <v>1.7500000000000002E-2</v>
      </c>
    </row>
    <row r="88" spans="2:46" x14ac:dyDescent="0.25">
      <c r="B88" t="s">
        <v>89</v>
      </c>
      <c r="C88">
        <v>2015</v>
      </c>
      <c r="D88" s="12" t="s">
        <v>39</v>
      </c>
      <c r="E88" s="12" t="s">
        <v>30</v>
      </c>
      <c r="F88" s="16">
        <v>0.9</v>
      </c>
      <c r="G88" s="12"/>
      <c r="H88" s="12" t="s">
        <v>192</v>
      </c>
      <c r="I88" s="12">
        <v>2020</v>
      </c>
      <c r="J88" s="12" t="s">
        <v>39</v>
      </c>
      <c r="K88" s="12" t="s">
        <v>7</v>
      </c>
      <c r="L88" s="16">
        <v>129.11144999999999</v>
      </c>
      <c r="M88" s="12"/>
      <c r="N88" s="12" t="s">
        <v>140</v>
      </c>
      <c r="O88" s="12">
        <v>2010</v>
      </c>
      <c r="P88" s="12" t="s">
        <v>43</v>
      </c>
      <c r="Q88" s="12" t="s">
        <v>48</v>
      </c>
      <c r="R88" s="12">
        <v>57.5</v>
      </c>
      <c r="S88" s="12"/>
      <c r="T88" s="12" t="s">
        <v>140</v>
      </c>
      <c r="U88" s="12">
        <v>2010</v>
      </c>
      <c r="V88" s="12" t="s">
        <v>43</v>
      </c>
      <c r="W88" s="12" t="s">
        <v>48</v>
      </c>
      <c r="X88" s="12">
        <v>2.5</v>
      </c>
      <c r="Z88" t="s">
        <v>288</v>
      </c>
      <c r="AA88">
        <v>2010</v>
      </c>
      <c r="AB88" t="s">
        <v>28</v>
      </c>
      <c r="AC88" t="s">
        <v>48</v>
      </c>
      <c r="AD88" s="22">
        <f>AD87</f>
        <v>1.7500000000000002E-2</v>
      </c>
      <c r="AE88" s="12"/>
      <c r="AF88" s="12" t="s">
        <v>148</v>
      </c>
      <c r="AG88" s="12">
        <v>2010</v>
      </c>
      <c r="AH88" s="12" t="s">
        <v>28</v>
      </c>
      <c r="AI88" s="12" t="s">
        <v>48</v>
      </c>
      <c r="AJ88" s="22">
        <f>AJ87</f>
        <v>1.7500000000000002E-2</v>
      </c>
    </row>
    <row r="89" spans="2:46" x14ac:dyDescent="0.25">
      <c r="B89" t="s">
        <v>89</v>
      </c>
      <c r="C89">
        <v>2020</v>
      </c>
      <c r="D89" s="12" t="s">
        <v>39</v>
      </c>
      <c r="E89" s="12" t="s">
        <v>41</v>
      </c>
      <c r="F89" s="16">
        <v>1.6</v>
      </c>
      <c r="G89" s="12"/>
      <c r="H89" s="12" t="s">
        <v>226</v>
      </c>
      <c r="I89" s="12">
        <v>2010</v>
      </c>
      <c r="J89" s="12" t="s">
        <v>39</v>
      </c>
      <c r="K89" s="12" t="s">
        <v>9</v>
      </c>
      <c r="L89" s="16">
        <v>3.5587499999999999</v>
      </c>
      <c r="M89" s="12"/>
      <c r="N89" s="12" t="s">
        <v>139</v>
      </c>
      <c r="O89" s="12">
        <v>2010</v>
      </c>
      <c r="P89" s="12" t="s">
        <v>43</v>
      </c>
      <c r="Q89" s="12" t="s">
        <v>48</v>
      </c>
      <c r="R89" s="12">
        <v>414</v>
      </c>
      <c r="S89" s="12"/>
      <c r="T89" s="12" t="s">
        <v>139</v>
      </c>
      <c r="U89" s="12">
        <v>2010</v>
      </c>
      <c r="V89" s="12" t="s">
        <v>43</v>
      </c>
      <c r="W89" s="12" t="s">
        <v>48</v>
      </c>
      <c r="X89" s="12">
        <v>18</v>
      </c>
      <c r="Z89" t="s">
        <v>289</v>
      </c>
      <c r="AA89">
        <v>2010</v>
      </c>
      <c r="AB89" t="s">
        <v>21</v>
      </c>
      <c r="AC89" t="s">
        <v>48</v>
      </c>
      <c r="AD89" s="22">
        <f>AD90</f>
        <v>4.7214876097347097E-3</v>
      </c>
      <c r="AE89" s="12"/>
      <c r="AF89" s="12" t="s">
        <v>152</v>
      </c>
      <c r="AG89" s="12">
        <v>2010</v>
      </c>
      <c r="AH89" s="12" t="s">
        <v>21</v>
      </c>
      <c r="AI89" s="12" t="s">
        <v>48</v>
      </c>
      <c r="AJ89" s="22">
        <f>AJ90</f>
        <v>4.7214876097347097E-3</v>
      </c>
    </row>
    <row r="90" spans="2:46" x14ac:dyDescent="0.25">
      <c r="B90" t="s">
        <v>89</v>
      </c>
      <c r="C90">
        <v>2020</v>
      </c>
      <c r="D90" s="12" t="s">
        <v>39</v>
      </c>
      <c r="E90" s="12" t="s">
        <v>30</v>
      </c>
      <c r="F90" s="16">
        <v>1.6</v>
      </c>
      <c r="G90" s="12"/>
      <c r="H90" s="12" t="s">
        <v>226</v>
      </c>
      <c r="I90" s="12">
        <v>2015</v>
      </c>
      <c r="J90" s="12" t="s">
        <v>39</v>
      </c>
      <c r="K90" s="12" t="s">
        <v>9</v>
      </c>
      <c r="L90" s="16">
        <v>138.0795</v>
      </c>
      <c r="M90" s="12"/>
      <c r="N90" s="12" t="s">
        <v>139</v>
      </c>
      <c r="O90" s="12">
        <v>2010</v>
      </c>
      <c r="P90" s="12" t="s">
        <v>15</v>
      </c>
      <c r="Q90" s="12" t="s">
        <v>48</v>
      </c>
      <c r="R90" s="12">
        <v>414</v>
      </c>
      <c r="S90" s="12"/>
      <c r="T90" s="12" t="s">
        <v>139</v>
      </c>
      <c r="U90" s="12">
        <v>2010</v>
      </c>
      <c r="V90" s="12" t="s">
        <v>15</v>
      </c>
      <c r="W90" s="12" t="s">
        <v>48</v>
      </c>
      <c r="X90" s="12">
        <v>18</v>
      </c>
      <c r="Z90" t="s">
        <v>289</v>
      </c>
      <c r="AA90">
        <v>2010</v>
      </c>
      <c r="AB90" t="s">
        <v>25</v>
      </c>
      <c r="AC90" t="s">
        <v>48</v>
      </c>
      <c r="AD90" s="21">
        <v>4.7214876097347097E-3</v>
      </c>
      <c r="AE90" s="12"/>
      <c r="AF90" s="12" t="s">
        <v>152</v>
      </c>
      <c r="AG90" s="12">
        <v>2010</v>
      </c>
      <c r="AH90" s="12" t="s">
        <v>25</v>
      </c>
      <c r="AI90" s="12" t="s">
        <v>48</v>
      </c>
      <c r="AJ90" s="21">
        <v>4.7214876097347097E-3</v>
      </c>
    </row>
    <row r="91" spans="2:46" x14ac:dyDescent="0.25">
      <c r="B91" t="s">
        <v>89</v>
      </c>
      <c r="C91">
        <v>2025</v>
      </c>
      <c r="D91" s="12" t="s">
        <v>40</v>
      </c>
      <c r="E91" s="12" t="s">
        <v>41</v>
      </c>
      <c r="F91" s="16">
        <v>1.6</v>
      </c>
      <c r="G91" s="12"/>
      <c r="H91" s="12" t="s">
        <v>226</v>
      </c>
      <c r="I91" s="12">
        <v>2020</v>
      </c>
      <c r="J91" s="12" t="s">
        <v>39</v>
      </c>
      <c r="K91" s="12" t="s">
        <v>9</v>
      </c>
      <c r="L91" s="16">
        <v>138.0795</v>
      </c>
      <c r="M91" s="12"/>
      <c r="N91" s="12" t="s">
        <v>141</v>
      </c>
      <c r="O91" s="12">
        <v>2010</v>
      </c>
      <c r="P91" s="12" t="s">
        <v>43</v>
      </c>
      <c r="Q91" s="12" t="s">
        <v>48</v>
      </c>
      <c r="R91" s="12">
        <v>57.5</v>
      </c>
      <c r="S91" s="12"/>
      <c r="T91" s="12" t="s">
        <v>141</v>
      </c>
      <c r="U91" s="12">
        <v>2010</v>
      </c>
      <c r="V91" s="12" t="s">
        <v>43</v>
      </c>
      <c r="W91" s="12" t="s">
        <v>48</v>
      </c>
      <c r="X91" s="12">
        <v>2.5</v>
      </c>
      <c r="Z91" t="s">
        <v>290</v>
      </c>
      <c r="AA91">
        <v>2010</v>
      </c>
      <c r="AB91" t="s">
        <v>21</v>
      </c>
      <c r="AC91" t="s">
        <v>48</v>
      </c>
      <c r="AD91" s="21">
        <v>8.0000000000000002E-3</v>
      </c>
      <c r="AE91" s="12"/>
      <c r="AF91" s="12" t="s">
        <v>153</v>
      </c>
      <c r="AG91" s="12">
        <v>2010</v>
      </c>
      <c r="AH91" s="12" t="s">
        <v>21</v>
      </c>
      <c r="AI91" s="12" t="s">
        <v>48</v>
      </c>
      <c r="AJ91" s="21">
        <v>8.0000000000000002E-3</v>
      </c>
      <c r="AL91" t="s">
        <v>305</v>
      </c>
    </row>
    <row r="92" spans="2:46" x14ac:dyDescent="0.25">
      <c r="B92" t="s">
        <v>89</v>
      </c>
      <c r="C92">
        <v>2025</v>
      </c>
      <c r="D92" s="12" t="s">
        <v>40</v>
      </c>
      <c r="E92" s="12" t="s">
        <v>30</v>
      </c>
      <c r="F92" s="16">
        <v>1.6</v>
      </c>
      <c r="G92" s="12"/>
      <c r="H92" s="12" t="s">
        <v>227</v>
      </c>
      <c r="I92" s="12">
        <v>2010</v>
      </c>
      <c r="J92" s="12" t="s">
        <v>39</v>
      </c>
      <c r="K92" s="12" t="s">
        <v>9</v>
      </c>
      <c r="L92" s="16">
        <v>197.2971</v>
      </c>
      <c r="M92" s="12"/>
      <c r="N92" s="12" t="s">
        <v>141</v>
      </c>
      <c r="O92" s="12">
        <v>2010</v>
      </c>
      <c r="P92" s="12" t="s">
        <v>32</v>
      </c>
      <c r="Q92" s="12" t="s">
        <v>48</v>
      </c>
      <c r="R92" s="12">
        <v>57.5</v>
      </c>
      <c r="S92" s="12"/>
      <c r="T92" s="12" t="s">
        <v>141</v>
      </c>
      <c r="U92" s="12">
        <v>2010</v>
      </c>
      <c r="V92" s="12" t="s">
        <v>32</v>
      </c>
      <c r="W92" s="12" t="s">
        <v>48</v>
      </c>
      <c r="X92" s="12">
        <v>2.5</v>
      </c>
      <c r="Z92" t="s">
        <v>290</v>
      </c>
      <c r="AA92">
        <v>2010</v>
      </c>
      <c r="AB92" t="s">
        <v>28</v>
      </c>
      <c r="AC92" t="s">
        <v>48</v>
      </c>
      <c r="AD92" s="21">
        <v>8.0000000000000002E-3</v>
      </c>
      <c r="AE92" s="12"/>
      <c r="AF92" s="12" t="s">
        <v>153</v>
      </c>
      <c r="AG92" s="12">
        <v>2010</v>
      </c>
      <c r="AH92" s="12" t="s">
        <v>28</v>
      </c>
      <c r="AI92" s="12" t="s">
        <v>48</v>
      </c>
      <c r="AJ92" s="21">
        <v>8.0000000000000002E-3</v>
      </c>
      <c r="AL92">
        <v>0.81399999999999995</v>
      </c>
    </row>
    <row r="93" spans="2:46" x14ac:dyDescent="0.25">
      <c r="B93" t="s">
        <v>92</v>
      </c>
      <c r="C93">
        <v>2010</v>
      </c>
      <c r="D93" s="12" t="s">
        <v>39</v>
      </c>
      <c r="E93" s="12" t="s">
        <v>41</v>
      </c>
      <c r="F93" s="16">
        <v>0.5</v>
      </c>
      <c r="G93" s="12"/>
      <c r="H93" s="12" t="s">
        <v>227</v>
      </c>
      <c r="I93" s="12">
        <v>2015</v>
      </c>
      <c r="J93" s="12" t="s">
        <v>39</v>
      </c>
      <c r="K93" s="12" t="s">
        <v>9</v>
      </c>
      <c r="L93" s="16">
        <v>243.27615</v>
      </c>
      <c r="M93" s="12"/>
      <c r="N93" s="12" t="s">
        <v>122</v>
      </c>
      <c r="O93" s="12">
        <v>2010</v>
      </c>
      <c r="P93" s="12" t="s">
        <v>9</v>
      </c>
      <c r="Q93" s="12" t="s">
        <v>48</v>
      </c>
      <c r="R93" s="12">
        <v>57.5</v>
      </c>
      <c r="S93" s="12"/>
      <c r="T93" s="12" t="s">
        <v>122</v>
      </c>
      <c r="U93" s="12">
        <v>2010</v>
      </c>
      <c r="V93" s="12" t="s">
        <v>9</v>
      </c>
      <c r="W93" s="12" t="s">
        <v>48</v>
      </c>
      <c r="X93" s="12">
        <v>2.5</v>
      </c>
      <c r="Z93" t="s">
        <v>291</v>
      </c>
      <c r="AA93">
        <v>2010</v>
      </c>
      <c r="AB93" t="s">
        <v>22</v>
      </c>
      <c r="AC93" t="s">
        <v>48</v>
      </c>
      <c r="AD93" s="5">
        <v>1.5469982219263601E-3</v>
      </c>
      <c r="AF93" t="s">
        <v>156</v>
      </c>
      <c r="AG93">
        <v>2010</v>
      </c>
      <c r="AH93" t="s">
        <v>22</v>
      </c>
      <c r="AI93" t="s">
        <v>48</v>
      </c>
      <c r="AJ93" s="5">
        <v>1.5469982219263601E-3</v>
      </c>
    </row>
    <row r="94" spans="2:46" x14ac:dyDescent="0.25">
      <c r="B94" t="s">
        <v>92</v>
      </c>
      <c r="C94">
        <v>2010</v>
      </c>
      <c r="D94" s="12" t="s">
        <v>39</v>
      </c>
      <c r="E94" s="12" t="s">
        <v>31</v>
      </c>
      <c r="F94" s="16">
        <v>0.5</v>
      </c>
      <c r="G94" s="12"/>
      <c r="H94" s="12" t="s">
        <v>227</v>
      </c>
      <c r="I94" s="12">
        <v>2020</v>
      </c>
      <c r="J94" s="12" t="s">
        <v>39</v>
      </c>
      <c r="K94" s="12" t="s">
        <v>9</v>
      </c>
      <c r="L94" s="16">
        <v>243.27615</v>
      </c>
      <c r="M94" s="12"/>
      <c r="N94" s="12" t="s">
        <v>122</v>
      </c>
      <c r="O94" s="12">
        <v>2010</v>
      </c>
      <c r="P94" s="12" t="s">
        <v>11</v>
      </c>
      <c r="Q94" s="12" t="s">
        <v>48</v>
      </c>
      <c r="R94" s="12">
        <v>57.5</v>
      </c>
      <c r="S94" s="12"/>
      <c r="T94" s="12" t="s">
        <v>122</v>
      </c>
      <c r="U94" s="12">
        <v>2010</v>
      </c>
      <c r="V94" s="12" t="s">
        <v>11</v>
      </c>
      <c r="W94" s="12" t="s">
        <v>48</v>
      </c>
      <c r="X94" s="12">
        <v>2.5</v>
      </c>
      <c r="Z94" t="s">
        <v>291</v>
      </c>
      <c r="AA94">
        <v>2010</v>
      </c>
      <c r="AB94" t="s">
        <v>27</v>
      </c>
      <c r="AC94" t="s">
        <v>48</v>
      </c>
      <c r="AD94" s="5">
        <v>1.5469982219263601E-3</v>
      </c>
      <c r="AF94" t="s">
        <v>156</v>
      </c>
      <c r="AG94">
        <v>2010</v>
      </c>
      <c r="AH94" t="s">
        <v>27</v>
      </c>
      <c r="AI94" t="s">
        <v>48</v>
      </c>
      <c r="AJ94" s="5">
        <v>1.5469982219263601E-3</v>
      </c>
    </row>
    <row r="95" spans="2:46" x14ac:dyDescent="0.25">
      <c r="B95" t="s">
        <v>92</v>
      </c>
      <c r="C95">
        <v>2015</v>
      </c>
      <c r="D95" s="12" t="s">
        <v>39</v>
      </c>
      <c r="E95" s="12" t="s">
        <v>41</v>
      </c>
      <c r="F95" s="16">
        <v>0.5</v>
      </c>
      <c r="G95" s="12"/>
      <c r="H95" s="12" t="s">
        <v>193</v>
      </c>
      <c r="I95" s="12">
        <v>2010</v>
      </c>
      <c r="J95" s="12" t="s">
        <v>39</v>
      </c>
      <c r="K95" s="12" t="s">
        <v>11</v>
      </c>
      <c r="L95" s="16">
        <v>233.16929999999999</v>
      </c>
      <c r="M95" s="12"/>
      <c r="N95" s="12" t="s">
        <v>123</v>
      </c>
      <c r="O95" s="12">
        <v>2010</v>
      </c>
      <c r="P95" s="12" t="s">
        <v>9</v>
      </c>
      <c r="Q95" s="12" t="s">
        <v>48</v>
      </c>
      <c r="R95" s="12">
        <v>57.5</v>
      </c>
      <c r="S95" s="12"/>
      <c r="T95" s="12" t="s">
        <v>123</v>
      </c>
      <c r="U95" s="12">
        <v>2010</v>
      </c>
      <c r="V95" s="12" t="s">
        <v>9</v>
      </c>
      <c r="W95" s="12" t="s">
        <v>48</v>
      </c>
      <c r="X95" s="12">
        <v>2.5</v>
      </c>
      <c r="Z95" s="23" t="s">
        <v>306</v>
      </c>
      <c r="AA95" s="23">
        <v>2010</v>
      </c>
      <c r="AB95" s="23" t="s">
        <v>10</v>
      </c>
      <c r="AC95" s="23" t="s">
        <v>48</v>
      </c>
      <c r="AD95" s="24">
        <v>8.791199999999999E-2</v>
      </c>
      <c r="AE95" s="12"/>
      <c r="AF95" s="23" t="s">
        <v>111</v>
      </c>
      <c r="AG95" s="23">
        <v>2010</v>
      </c>
      <c r="AH95" s="23" t="s">
        <v>10</v>
      </c>
      <c r="AI95" s="23" t="s">
        <v>48</v>
      </c>
      <c r="AJ95" s="24">
        <v>8.791199999999999E-2</v>
      </c>
      <c r="AL95" t="s">
        <v>304</v>
      </c>
      <c r="AM95" t="s">
        <v>301</v>
      </c>
      <c r="AN95" t="s">
        <v>302</v>
      </c>
      <c r="AO95" s="12"/>
      <c r="AP95" s="12"/>
      <c r="AQ95" s="12"/>
      <c r="AR95" s="12"/>
      <c r="AS95" s="12"/>
      <c r="AT95" s="12"/>
    </row>
    <row r="96" spans="2:46" x14ac:dyDescent="0.25">
      <c r="B96" t="s">
        <v>92</v>
      </c>
      <c r="C96">
        <v>2015</v>
      </c>
      <c r="D96" s="12" t="s">
        <v>39</v>
      </c>
      <c r="E96" s="12" t="s">
        <v>31</v>
      </c>
      <c r="F96" s="16">
        <v>0.5</v>
      </c>
      <c r="G96" s="12"/>
      <c r="H96" s="12" t="s">
        <v>193</v>
      </c>
      <c r="I96" s="12">
        <v>2015</v>
      </c>
      <c r="J96" s="12" t="s">
        <v>39</v>
      </c>
      <c r="K96" s="12" t="s">
        <v>11</v>
      </c>
      <c r="L96" s="16">
        <v>233.16929999999999</v>
      </c>
      <c r="M96" s="12"/>
      <c r="N96" s="12" t="s">
        <v>123</v>
      </c>
      <c r="O96" s="12">
        <v>2010</v>
      </c>
      <c r="P96" s="12" t="s">
        <v>23</v>
      </c>
      <c r="Q96" s="12" t="s">
        <v>48</v>
      </c>
      <c r="R96" s="12">
        <v>57.5</v>
      </c>
      <c r="S96" s="12"/>
      <c r="T96" s="12" t="s">
        <v>123</v>
      </c>
      <c r="U96" s="12">
        <v>2010</v>
      </c>
      <c r="V96" s="12" t="s">
        <v>23</v>
      </c>
      <c r="W96" s="12" t="s">
        <v>48</v>
      </c>
      <c r="X96" s="12">
        <v>2.5</v>
      </c>
      <c r="Z96" s="23" t="s">
        <v>306</v>
      </c>
      <c r="AA96" s="23">
        <v>2030</v>
      </c>
      <c r="AB96" s="23" t="s">
        <v>10</v>
      </c>
      <c r="AC96" s="23" t="s">
        <v>299</v>
      </c>
      <c r="AD96" s="24">
        <v>7.3259999999999992E-2</v>
      </c>
      <c r="AE96" s="12"/>
      <c r="AF96" s="23" t="s">
        <v>111</v>
      </c>
      <c r="AG96" s="23">
        <v>2030</v>
      </c>
      <c r="AH96" s="23" t="s">
        <v>10</v>
      </c>
      <c r="AI96" s="23" t="s">
        <v>299</v>
      </c>
      <c r="AJ96" s="24">
        <v>7.3259999999999992E-2</v>
      </c>
      <c r="AL96" t="s">
        <v>300</v>
      </c>
      <c r="AM96">
        <f>AVERAGE(64,89)</f>
        <v>76.5</v>
      </c>
      <c r="AN96">
        <v>42</v>
      </c>
      <c r="AO96" s="12"/>
      <c r="AP96" s="12"/>
      <c r="AQ96" s="12"/>
      <c r="AR96" s="12"/>
      <c r="AS96" s="12"/>
      <c r="AT96" s="12"/>
    </row>
    <row r="97" spans="2:46" x14ac:dyDescent="0.25">
      <c r="B97" t="s">
        <v>92</v>
      </c>
      <c r="C97">
        <v>2020</v>
      </c>
      <c r="D97" s="12" t="s">
        <v>39</v>
      </c>
      <c r="E97" s="12" t="s">
        <v>41</v>
      </c>
      <c r="F97" s="16">
        <v>1</v>
      </c>
      <c r="G97" s="12"/>
      <c r="H97" s="12" t="s">
        <v>193</v>
      </c>
      <c r="I97" s="12">
        <v>2020</v>
      </c>
      <c r="J97" s="12" t="s">
        <v>39</v>
      </c>
      <c r="K97" s="12" t="s">
        <v>11</v>
      </c>
      <c r="L97" s="16">
        <v>233.16929999999999</v>
      </c>
      <c r="M97" s="12"/>
      <c r="N97" s="12" t="s">
        <v>125</v>
      </c>
      <c r="O97" s="12">
        <v>2010</v>
      </c>
      <c r="P97" s="12" t="s">
        <v>10</v>
      </c>
      <c r="Q97" s="12" t="s">
        <v>48</v>
      </c>
      <c r="R97" s="12">
        <v>57.5</v>
      </c>
      <c r="S97" s="12"/>
      <c r="T97" s="12" t="s">
        <v>125</v>
      </c>
      <c r="U97" s="12">
        <v>2010</v>
      </c>
      <c r="V97" s="12" t="s">
        <v>10</v>
      </c>
      <c r="W97" s="12" t="s">
        <v>48</v>
      </c>
      <c r="X97" s="12">
        <v>2.5</v>
      </c>
      <c r="Z97" s="23" t="s">
        <v>306</v>
      </c>
      <c r="AA97" s="12">
        <v>2040</v>
      </c>
      <c r="AB97" s="12" t="s">
        <v>10</v>
      </c>
      <c r="AC97" s="12" t="s">
        <v>299</v>
      </c>
      <c r="AD97" s="24">
        <v>5.6979999999999989E-2</v>
      </c>
      <c r="AE97" s="12"/>
      <c r="AF97" s="23" t="s">
        <v>111</v>
      </c>
      <c r="AG97" s="23">
        <v>2040</v>
      </c>
      <c r="AH97" s="23" t="s">
        <v>10</v>
      </c>
      <c r="AI97" s="23" t="s">
        <v>299</v>
      </c>
      <c r="AJ97" s="24">
        <v>5.6979999999999989E-2</v>
      </c>
      <c r="AL97" t="s">
        <v>303</v>
      </c>
      <c r="AM97">
        <f>AVERAGE(66,170)</f>
        <v>118</v>
      </c>
      <c r="AN97">
        <f>AVERAGE(43,100)</f>
        <v>71.5</v>
      </c>
      <c r="AO97" s="12"/>
      <c r="AP97" s="12"/>
      <c r="AQ97" s="12"/>
      <c r="AR97" s="12"/>
      <c r="AS97" s="12"/>
      <c r="AT97" s="12"/>
    </row>
    <row r="98" spans="2:46" x14ac:dyDescent="0.25">
      <c r="B98" t="s">
        <v>92</v>
      </c>
      <c r="C98">
        <v>2020</v>
      </c>
      <c r="D98" s="12" t="s">
        <v>39</v>
      </c>
      <c r="E98" s="12" t="s">
        <v>31</v>
      </c>
      <c r="F98" s="16">
        <v>1</v>
      </c>
      <c r="G98" s="12"/>
      <c r="H98" s="12" t="s">
        <v>195</v>
      </c>
      <c r="I98" s="12">
        <v>2010</v>
      </c>
      <c r="J98" s="12" t="s">
        <v>39</v>
      </c>
      <c r="K98" s="12" t="s">
        <v>11</v>
      </c>
      <c r="L98" s="16">
        <v>298.935</v>
      </c>
      <c r="M98" s="12"/>
      <c r="N98" s="12" t="s">
        <v>125</v>
      </c>
      <c r="O98" s="12">
        <v>2010</v>
      </c>
      <c r="P98" s="12" t="s">
        <v>21</v>
      </c>
      <c r="Q98" s="12" t="s">
        <v>48</v>
      </c>
      <c r="R98" s="12">
        <v>57.5</v>
      </c>
      <c r="S98" s="12"/>
      <c r="T98" s="12" t="s">
        <v>125</v>
      </c>
      <c r="U98" s="12">
        <v>2010</v>
      </c>
      <c r="V98" s="12" t="s">
        <v>21</v>
      </c>
      <c r="W98" s="12" t="s">
        <v>48</v>
      </c>
      <c r="X98" s="12">
        <v>2.5</v>
      </c>
      <c r="Z98" s="23" t="s">
        <v>306</v>
      </c>
      <c r="AA98" s="12">
        <v>2050</v>
      </c>
      <c r="AB98" s="12" t="s">
        <v>10</v>
      </c>
      <c r="AC98" s="12" t="s">
        <v>299</v>
      </c>
      <c r="AD98" s="24">
        <v>4.0699999999999993E-2</v>
      </c>
      <c r="AE98" s="12"/>
      <c r="AF98" s="23" t="s">
        <v>111</v>
      </c>
      <c r="AG98" s="23">
        <v>2050</v>
      </c>
      <c r="AH98" s="23" t="s">
        <v>10</v>
      </c>
      <c r="AI98" s="23" t="s">
        <v>299</v>
      </c>
      <c r="AJ98" s="24">
        <v>4.0699999999999993E-2</v>
      </c>
      <c r="AM98" s="20">
        <f>AM96*0.75+AM97*0.25</f>
        <v>86.875</v>
      </c>
      <c r="AN98" s="20">
        <f>AN96*0.75+AN97*0.25</f>
        <v>49.375</v>
      </c>
      <c r="AO98" s="12"/>
      <c r="AP98" s="12"/>
      <c r="AQ98" s="12"/>
      <c r="AR98" s="12"/>
      <c r="AS98" s="12"/>
      <c r="AT98" s="12"/>
    </row>
    <row r="99" spans="2:46" x14ac:dyDescent="0.25">
      <c r="B99" t="s">
        <v>92</v>
      </c>
      <c r="C99">
        <v>2025</v>
      </c>
      <c r="D99" s="12" t="s">
        <v>40</v>
      </c>
      <c r="E99" s="12" t="s">
        <v>41</v>
      </c>
      <c r="F99" s="16">
        <v>1</v>
      </c>
      <c r="G99" s="12"/>
      <c r="H99" s="12" t="s">
        <v>195</v>
      </c>
      <c r="I99" s="12">
        <v>2015</v>
      </c>
      <c r="J99" s="12" t="s">
        <v>39</v>
      </c>
      <c r="K99" s="12" t="s">
        <v>11</v>
      </c>
      <c r="L99" s="16">
        <v>298.935</v>
      </c>
      <c r="M99" s="12"/>
      <c r="N99" s="12" t="s">
        <v>127</v>
      </c>
      <c r="O99" s="12">
        <v>2010</v>
      </c>
      <c r="P99" s="12" t="s">
        <v>10</v>
      </c>
      <c r="Q99" s="12" t="s">
        <v>48</v>
      </c>
      <c r="R99" s="12">
        <v>57.5</v>
      </c>
      <c r="S99" s="12"/>
      <c r="T99" s="12" t="s">
        <v>127</v>
      </c>
      <c r="U99" s="12">
        <v>2010</v>
      </c>
      <c r="V99" s="12" t="s">
        <v>10</v>
      </c>
      <c r="W99" s="12" t="s">
        <v>48</v>
      </c>
      <c r="X99" s="12">
        <v>2.5</v>
      </c>
      <c r="Z99" s="23" t="s">
        <v>306</v>
      </c>
      <c r="AA99" s="12">
        <v>0</v>
      </c>
      <c r="AB99" s="12" t="s">
        <v>10</v>
      </c>
      <c r="AC99" s="12" t="s">
        <v>299</v>
      </c>
      <c r="AD99" s="24">
        <v>5</v>
      </c>
      <c r="AE99" s="12"/>
      <c r="AF99" s="23" t="s">
        <v>111</v>
      </c>
      <c r="AG99" s="23">
        <v>0</v>
      </c>
      <c r="AH99" s="23" t="s">
        <v>10</v>
      </c>
      <c r="AI99" s="23" t="s">
        <v>299</v>
      </c>
      <c r="AJ99" s="24">
        <v>5</v>
      </c>
    </row>
    <row r="100" spans="2:46" x14ac:dyDescent="0.25">
      <c r="B100" t="s">
        <v>92</v>
      </c>
      <c r="C100">
        <v>2025</v>
      </c>
      <c r="D100" s="12" t="s">
        <v>40</v>
      </c>
      <c r="E100" s="12" t="s">
        <v>31</v>
      </c>
      <c r="F100" s="16">
        <v>1</v>
      </c>
      <c r="G100" s="12"/>
      <c r="H100" s="12" t="s">
        <v>195</v>
      </c>
      <c r="I100" s="12">
        <v>2020</v>
      </c>
      <c r="J100" s="12" t="s">
        <v>39</v>
      </c>
      <c r="K100" s="12" t="s">
        <v>11</v>
      </c>
      <c r="L100" s="16">
        <v>298.935</v>
      </c>
      <c r="M100" s="12"/>
      <c r="N100" s="12" t="s">
        <v>127</v>
      </c>
      <c r="O100" s="12">
        <v>2010</v>
      </c>
      <c r="P100" s="12" t="s">
        <v>25</v>
      </c>
      <c r="Q100" s="12" t="s">
        <v>48</v>
      </c>
      <c r="R100" s="12">
        <v>57.5</v>
      </c>
      <c r="S100" s="12"/>
      <c r="T100" s="12" t="s">
        <v>127</v>
      </c>
      <c r="U100" s="12">
        <v>2010</v>
      </c>
      <c r="V100" s="12" t="s">
        <v>25</v>
      </c>
      <c r="W100" s="12" t="s">
        <v>48</v>
      </c>
      <c r="X100" s="12">
        <v>2.5</v>
      </c>
      <c r="Z100" s="12" t="s">
        <v>270</v>
      </c>
      <c r="AA100" s="12">
        <v>2010</v>
      </c>
      <c r="AB100" s="12" t="s">
        <v>8</v>
      </c>
      <c r="AC100" s="12" t="s">
        <v>48</v>
      </c>
      <c r="AD100" s="21">
        <v>8.791199999999999E-2</v>
      </c>
      <c r="AE100" s="12"/>
      <c r="AF100" s="12" t="s">
        <v>102</v>
      </c>
      <c r="AG100" s="12">
        <v>2010</v>
      </c>
      <c r="AH100" s="12" t="s">
        <v>8</v>
      </c>
      <c r="AI100" s="12" t="s">
        <v>48</v>
      </c>
      <c r="AJ100" s="21">
        <v>8.791199999999999E-2</v>
      </c>
    </row>
    <row r="101" spans="2:46" x14ac:dyDescent="0.25">
      <c r="B101" t="s">
        <v>94</v>
      </c>
      <c r="C101">
        <v>2010</v>
      </c>
      <c r="D101" s="12" t="s">
        <v>39</v>
      </c>
      <c r="E101" s="12" t="s">
        <v>41</v>
      </c>
      <c r="F101" s="16">
        <v>0.7</v>
      </c>
      <c r="G101" s="12"/>
      <c r="H101" s="12" t="s">
        <v>194</v>
      </c>
      <c r="I101" s="12">
        <v>2010</v>
      </c>
      <c r="J101" s="12" t="s">
        <v>39</v>
      </c>
      <c r="K101" s="12" t="s">
        <v>11</v>
      </c>
      <c r="L101" s="16">
        <v>112.74120000000001</v>
      </c>
      <c r="M101" s="12"/>
      <c r="N101" s="12" t="s">
        <v>131</v>
      </c>
      <c r="O101" s="12">
        <v>2010</v>
      </c>
      <c r="P101" s="12" t="s">
        <v>11</v>
      </c>
      <c r="Q101" s="12" t="s">
        <v>48</v>
      </c>
      <c r="R101" s="12">
        <v>414</v>
      </c>
      <c r="S101" s="12"/>
      <c r="T101" s="12" t="s">
        <v>131</v>
      </c>
      <c r="U101" s="12">
        <v>2010</v>
      </c>
      <c r="V101" s="12" t="s">
        <v>11</v>
      </c>
      <c r="W101" s="12" t="s">
        <v>48</v>
      </c>
      <c r="X101" s="12">
        <v>18</v>
      </c>
      <c r="Z101" s="12" t="s">
        <v>270</v>
      </c>
      <c r="AA101" s="12">
        <v>2010</v>
      </c>
      <c r="AB101" s="12" t="s">
        <v>10</v>
      </c>
      <c r="AC101" s="12" t="s">
        <v>48</v>
      </c>
      <c r="AD101" s="21">
        <v>8.791199999999999E-2</v>
      </c>
      <c r="AE101" s="12"/>
      <c r="AF101" s="12" t="s">
        <v>102</v>
      </c>
      <c r="AG101" s="12">
        <v>2010</v>
      </c>
      <c r="AH101" s="12" t="s">
        <v>10</v>
      </c>
      <c r="AI101" s="12" t="s">
        <v>48</v>
      </c>
      <c r="AJ101" s="21">
        <v>8.791199999999999E-2</v>
      </c>
    </row>
    <row r="102" spans="2:46" x14ac:dyDescent="0.25">
      <c r="B102" t="s">
        <v>94</v>
      </c>
      <c r="C102">
        <v>2010</v>
      </c>
      <c r="D102" s="12" t="s">
        <v>39</v>
      </c>
      <c r="E102" s="12" t="s">
        <v>33</v>
      </c>
      <c r="F102" s="16">
        <v>0.7</v>
      </c>
      <c r="G102" s="12"/>
      <c r="H102" s="12" t="s">
        <v>194</v>
      </c>
      <c r="I102" s="12">
        <v>2015</v>
      </c>
      <c r="J102" s="12" t="s">
        <v>39</v>
      </c>
      <c r="K102" s="12" t="s">
        <v>11</v>
      </c>
      <c r="L102" s="16">
        <v>134.52074999999999</v>
      </c>
      <c r="M102" s="12"/>
      <c r="N102" s="12" t="s">
        <v>131</v>
      </c>
      <c r="O102" s="12">
        <v>2010</v>
      </c>
      <c r="P102" s="12" t="s">
        <v>13</v>
      </c>
      <c r="Q102" s="12" t="s">
        <v>48</v>
      </c>
      <c r="R102" s="12">
        <v>414</v>
      </c>
      <c r="S102" s="12"/>
      <c r="T102" s="12" t="s">
        <v>131</v>
      </c>
      <c r="U102" s="12">
        <v>2010</v>
      </c>
      <c r="V102" s="12" t="s">
        <v>13</v>
      </c>
      <c r="W102" s="12" t="s">
        <v>48</v>
      </c>
      <c r="X102" s="12">
        <v>18</v>
      </c>
      <c r="Z102" s="12" t="s">
        <v>275</v>
      </c>
      <c r="AA102" s="23">
        <v>2010</v>
      </c>
      <c r="AB102" s="23" t="s">
        <v>10</v>
      </c>
      <c r="AC102" s="23" t="s">
        <v>48</v>
      </c>
      <c r="AD102" s="21">
        <v>8.791199999999999E-2</v>
      </c>
      <c r="AE102" s="12"/>
      <c r="AF102" s="12" t="s">
        <v>113</v>
      </c>
      <c r="AG102" s="23">
        <v>2010</v>
      </c>
      <c r="AH102" s="23" t="s">
        <v>10</v>
      </c>
      <c r="AI102" s="23" t="s">
        <v>48</v>
      </c>
      <c r="AJ102" s="21">
        <v>8.791199999999999E-2</v>
      </c>
    </row>
    <row r="103" spans="2:46" x14ac:dyDescent="0.25">
      <c r="B103" t="s">
        <v>94</v>
      </c>
      <c r="C103">
        <v>2015</v>
      </c>
      <c r="D103" s="12" t="s">
        <v>39</v>
      </c>
      <c r="E103" s="12" t="s">
        <v>41</v>
      </c>
      <c r="F103" s="16">
        <v>0.7</v>
      </c>
      <c r="G103" s="12"/>
      <c r="H103" s="12" t="s">
        <v>194</v>
      </c>
      <c r="I103" s="12">
        <v>2020</v>
      </c>
      <c r="J103" s="12" t="s">
        <v>39</v>
      </c>
      <c r="K103" s="12" t="s">
        <v>11</v>
      </c>
      <c r="L103" s="16">
        <v>134.52074999999999</v>
      </c>
      <c r="M103" s="12"/>
      <c r="N103" s="12" t="s">
        <v>133</v>
      </c>
      <c r="O103" s="12">
        <v>2010</v>
      </c>
      <c r="P103" s="12" t="s">
        <v>11</v>
      </c>
      <c r="Q103" s="12" t="s">
        <v>48</v>
      </c>
      <c r="R103" s="12">
        <v>57.5</v>
      </c>
      <c r="S103" s="12"/>
      <c r="T103" s="12" t="s">
        <v>133</v>
      </c>
      <c r="U103" s="12">
        <v>2010</v>
      </c>
      <c r="V103" s="12" t="s">
        <v>11</v>
      </c>
      <c r="W103" s="12" t="s">
        <v>48</v>
      </c>
      <c r="X103" s="12">
        <v>2.5</v>
      </c>
      <c r="Z103" s="12" t="s">
        <v>275</v>
      </c>
      <c r="AA103" s="23">
        <v>2030</v>
      </c>
      <c r="AB103" s="23" t="s">
        <v>10</v>
      </c>
      <c r="AC103" s="23" t="s">
        <v>299</v>
      </c>
      <c r="AD103" s="21">
        <v>7.3259999999999992E-2</v>
      </c>
      <c r="AE103" s="12"/>
      <c r="AF103" s="12" t="s">
        <v>113</v>
      </c>
      <c r="AG103" s="23">
        <v>2030</v>
      </c>
      <c r="AH103" s="23" t="s">
        <v>10</v>
      </c>
      <c r="AI103" s="23" t="s">
        <v>299</v>
      </c>
      <c r="AJ103" s="21">
        <v>7.3259999999999992E-2</v>
      </c>
    </row>
    <row r="104" spans="2:46" x14ac:dyDescent="0.25">
      <c r="B104" t="s">
        <v>94</v>
      </c>
      <c r="C104">
        <v>2015</v>
      </c>
      <c r="D104" s="12" t="s">
        <v>39</v>
      </c>
      <c r="E104" s="12" t="s">
        <v>33</v>
      </c>
      <c r="F104" s="16">
        <v>0.7</v>
      </c>
      <c r="G104" s="12"/>
      <c r="H104" s="12" t="s">
        <v>238</v>
      </c>
      <c r="I104" s="12">
        <v>2010</v>
      </c>
      <c r="J104" s="12" t="s">
        <v>39</v>
      </c>
      <c r="K104" s="12" t="s">
        <v>30</v>
      </c>
      <c r="L104" s="16">
        <v>19.5</v>
      </c>
      <c r="M104" s="12"/>
      <c r="N104" s="12" t="s">
        <v>133</v>
      </c>
      <c r="O104" s="12">
        <v>2010</v>
      </c>
      <c r="P104" s="12" t="s">
        <v>15</v>
      </c>
      <c r="Q104" s="12" t="s">
        <v>48</v>
      </c>
      <c r="R104" s="12">
        <v>57.5</v>
      </c>
      <c r="S104" s="12"/>
      <c r="T104" s="12" t="s">
        <v>133</v>
      </c>
      <c r="U104" s="12">
        <v>2010</v>
      </c>
      <c r="V104" s="12" t="s">
        <v>15</v>
      </c>
      <c r="W104" s="12" t="s">
        <v>48</v>
      </c>
      <c r="X104" s="12">
        <v>2.5</v>
      </c>
      <c r="Z104" s="12" t="s">
        <v>275</v>
      </c>
      <c r="AA104" s="12">
        <v>2040</v>
      </c>
      <c r="AB104" s="12" t="s">
        <v>10</v>
      </c>
      <c r="AC104" s="12" t="s">
        <v>299</v>
      </c>
      <c r="AD104" s="21">
        <v>5.6979999999999989E-2</v>
      </c>
      <c r="AE104" s="12"/>
      <c r="AF104" s="12" t="s">
        <v>113</v>
      </c>
      <c r="AG104" s="12">
        <v>2040</v>
      </c>
      <c r="AH104" s="12" t="s">
        <v>10</v>
      </c>
      <c r="AI104" s="12" t="s">
        <v>299</v>
      </c>
      <c r="AJ104" s="21">
        <v>5.6979999999999989E-2</v>
      </c>
    </row>
    <row r="105" spans="2:46" x14ac:dyDescent="0.25">
      <c r="B105" t="s">
        <v>94</v>
      </c>
      <c r="C105">
        <v>2020</v>
      </c>
      <c r="D105" s="12" t="s">
        <v>39</v>
      </c>
      <c r="E105" s="12" t="s">
        <v>41</v>
      </c>
      <c r="F105" s="16">
        <v>0.7</v>
      </c>
      <c r="G105" s="12"/>
      <c r="H105" s="12" t="s">
        <v>238</v>
      </c>
      <c r="I105" s="12">
        <v>2015</v>
      </c>
      <c r="J105" s="12" t="s">
        <v>39</v>
      </c>
      <c r="K105" s="12" t="s">
        <v>30</v>
      </c>
      <c r="L105" s="16">
        <v>19.5</v>
      </c>
      <c r="M105" s="12"/>
      <c r="N105" s="12" t="s">
        <v>135</v>
      </c>
      <c r="O105" s="12">
        <v>2010</v>
      </c>
      <c r="P105" s="12" t="s">
        <v>11</v>
      </c>
      <c r="Q105" s="12" t="s">
        <v>48</v>
      </c>
      <c r="R105" s="12">
        <v>57.5</v>
      </c>
      <c r="S105" s="12"/>
      <c r="T105" s="12" t="s">
        <v>135</v>
      </c>
      <c r="U105" s="12">
        <v>2010</v>
      </c>
      <c r="V105" s="12" t="s">
        <v>11</v>
      </c>
      <c r="W105" s="12" t="s">
        <v>48</v>
      </c>
      <c r="X105" s="12">
        <v>2.5</v>
      </c>
      <c r="Z105" s="12" t="s">
        <v>275</v>
      </c>
      <c r="AA105" s="12">
        <v>2050</v>
      </c>
      <c r="AB105" s="12" t="s">
        <v>10</v>
      </c>
      <c r="AC105" s="12" t="s">
        <v>299</v>
      </c>
      <c r="AD105" s="21">
        <v>4.0699999999999993E-2</v>
      </c>
      <c r="AE105" s="12"/>
      <c r="AF105" s="12" t="s">
        <v>113</v>
      </c>
      <c r="AG105" s="12">
        <v>2050</v>
      </c>
      <c r="AH105" s="12" t="s">
        <v>10</v>
      </c>
      <c r="AI105" s="12" t="s">
        <v>299</v>
      </c>
      <c r="AJ105" s="21">
        <v>4.0699999999999993E-2</v>
      </c>
    </row>
    <row r="106" spans="2:46" x14ac:dyDescent="0.25">
      <c r="B106" t="s">
        <v>94</v>
      </c>
      <c r="C106">
        <v>2020</v>
      </c>
      <c r="D106" s="12" t="s">
        <v>39</v>
      </c>
      <c r="E106" s="12" t="s">
        <v>33</v>
      </c>
      <c r="F106" s="16">
        <v>0.7</v>
      </c>
      <c r="G106" s="12"/>
      <c r="H106" s="12" t="s">
        <v>238</v>
      </c>
      <c r="I106" s="12">
        <v>2020</v>
      </c>
      <c r="J106" s="12" t="s">
        <v>39</v>
      </c>
      <c r="K106" s="12" t="s">
        <v>30</v>
      </c>
      <c r="L106" s="16">
        <v>19.5</v>
      </c>
      <c r="M106" s="12"/>
      <c r="N106" s="12" t="s">
        <v>135</v>
      </c>
      <c r="O106" s="12">
        <v>2010</v>
      </c>
      <c r="P106" s="12" t="s">
        <v>17</v>
      </c>
      <c r="Q106" s="12" t="s">
        <v>48</v>
      </c>
      <c r="R106" s="12">
        <v>57.5</v>
      </c>
      <c r="S106" s="12"/>
      <c r="T106" s="12" t="s">
        <v>135</v>
      </c>
      <c r="U106" s="12">
        <v>2010</v>
      </c>
      <c r="V106" s="12" t="s">
        <v>17</v>
      </c>
      <c r="W106" s="12" t="s">
        <v>48</v>
      </c>
      <c r="X106" s="12">
        <v>2.5</v>
      </c>
      <c r="Z106" s="12" t="s">
        <v>275</v>
      </c>
      <c r="AA106" s="12">
        <v>0</v>
      </c>
      <c r="AB106" s="12" t="s">
        <v>10</v>
      </c>
      <c r="AC106" s="12" t="s">
        <v>299</v>
      </c>
      <c r="AD106" s="21">
        <v>5</v>
      </c>
      <c r="AE106" s="12"/>
      <c r="AF106" s="12" t="s">
        <v>113</v>
      </c>
      <c r="AG106" s="12">
        <v>0</v>
      </c>
      <c r="AH106" s="12" t="s">
        <v>10</v>
      </c>
      <c r="AI106" s="12" t="s">
        <v>299</v>
      </c>
      <c r="AJ106" s="21">
        <v>5</v>
      </c>
    </row>
    <row r="107" spans="2:46" x14ac:dyDescent="0.25">
      <c r="B107" t="s">
        <v>94</v>
      </c>
      <c r="C107">
        <v>2025</v>
      </c>
      <c r="D107" s="12" t="s">
        <v>40</v>
      </c>
      <c r="E107" s="12" t="s">
        <v>41</v>
      </c>
      <c r="F107" s="16">
        <v>0.75</v>
      </c>
      <c r="G107" s="12"/>
      <c r="H107" s="12" t="s">
        <v>206</v>
      </c>
      <c r="I107" s="12">
        <v>2010</v>
      </c>
      <c r="J107" s="12" t="s">
        <v>39</v>
      </c>
      <c r="K107" s="12" t="s">
        <v>12</v>
      </c>
      <c r="L107" s="16">
        <v>122.99039999999999</v>
      </c>
      <c r="M107" s="12"/>
      <c r="N107" s="12" t="s">
        <v>137</v>
      </c>
      <c r="O107" s="12">
        <v>2010</v>
      </c>
      <c r="P107" s="12" t="s">
        <v>11</v>
      </c>
      <c r="Q107" s="12" t="s">
        <v>48</v>
      </c>
      <c r="R107" s="12">
        <v>414</v>
      </c>
      <c r="S107" s="12"/>
      <c r="T107" s="12" t="s">
        <v>137</v>
      </c>
      <c r="U107" s="12">
        <v>2010</v>
      </c>
      <c r="V107" s="12" t="s">
        <v>11</v>
      </c>
      <c r="W107" s="12" t="s">
        <v>48</v>
      </c>
      <c r="X107" s="12">
        <v>18</v>
      </c>
    </row>
    <row r="108" spans="2:46" x14ac:dyDescent="0.25">
      <c r="B108" t="s">
        <v>94</v>
      </c>
      <c r="C108">
        <v>2025</v>
      </c>
      <c r="D108" s="12" t="s">
        <v>40</v>
      </c>
      <c r="E108" s="12" t="s">
        <v>33</v>
      </c>
      <c r="F108" s="16">
        <v>0.7</v>
      </c>
      <c r="G108" s="12"/>
      <c r="H108" s="12" t="s">
        <v>206</v>
      </c>
      <c r="I108" s="12">
        <v>2015</v>
      </c>
      <c r="J108" s="12" t="s">
        <v>39</v>
      </c>
      <c r="K108" s="12" t="s">
        <v>12</v>
      </c>
      <c r="L108" s="16">
        <v>270.46499999999997</v>
      </c>
      <c r="M108" s="12"/>
      <c r="N108" s="12" t="s">
        <v>137</v>
      </c>
      <c r="O108" s="12">
        <v>2010</v>
      </c>
      <c r="P108" s="12" t="s">
        <v>28</v>
      </c>
      <c r="Q108" s="12" t="s">
        <v>48</v>
      </c>
      <c r="R108" s="12">
        <v>414</v>
      </c>
      <c r="S108" s="12"/>
      <c r="T108" s="12" t="s">
        <v>137</v>
      </c>
      <c r="U108" s="12">
        <v>2010</v>
      </c>
      <c r="V108" s="12" t="s">
        <v>28</v>
      </c>
      <c r="W108" s="12" t="s">
        <v>48</v>
      </c>
      <c r="X108" s="12">
        <v>18</v>
      </c>
    </row>
    <row r="109" spans="2:46" x14ac:dyDescent="0.25">
      <c r="B109" t="s">
        <v>64</v>
      </c>
      <c r="C109">
        <v>2010</v>
      </c>
      <c r="D109" s="12" t="s">
        <v>39</v>
      </c>
      <c r="E109" s="12" t="s">
        <v>1</v>
      </c>
      <c r="F109" s="16">
        <v>0</v>
      </c>
      <c r="G109" s="12"/>
      <c r="H109" s="12" t="s">
        <v>206</v>
      </c>
      <c r="I109" s="12">
        <v>2020</v>
      </c>
      <c r="J109" s="12" t="s">
        <v>39</v>
      </c>
      <c r="K109" s="12" t="s">
        <v>12</v>
      </c>
      <c r="L109" s="16">
        <v>270.46499999999997</v>
      </c>
      <c r="M109" s="12"/>
      <c r="N109" s="12" t="s">
        <v>164</v>
      </c>
      <c r="O109" s="12">
        <v>2010</v>
      </c>
      <c r="P109" s="12" t="s">
        <v>30</v>
      </c>
      <c r="Q109" s="12" t="s">
        <v>48</v>
      </c>
      <c r="R109" s="12">
        <v>57.5</v>
      </c>
      <c r="S109" s="12"/>
      <c r="T109" s="12" t="s">
        <v>164</v>
      </c>
      <c r="U109" s="12">
        <v>2010</v>
      </c>
      <c r="V109" s="12" t="s">
        <v>30</v>
      </c>
      <c r="W109" s="12" t="s">
        <v>48</v>
      </c>
      <c r="X109" s="12">
        <v>2.5</v>
      </c>
      <c r="Z109" s="12"/>
      <c r="AA109" s="12"/>
      <c r="AB109" s="12"/>
      <c r="AC109" s="12"/>
      <c r="AD109" s="12"/>
      <c r="AE109" s="12"/>
      <c r="AF109" s="12"/>
    </row>
    <row r="110" spans="2:46" x14ac:dyDescent="0.25">
      <c r="B110" t="s">
        <v>64</v>
      </c>
      <c r="C110">
        <v>2010</v>
      </c>
      <c r="D110" s="12" t="s">
        <v>39</v>
      </c>
      <c r="E110" s="12" t="s">
        <v>6</v>
      </c>
      <c r="F110" s="16">
        <v>0</v>
      </c>
      <c r="G110" s="12"/>
      <c r="H110" s="12" t="s">
        <v>205</v>
      </c>
      <c r="I110" s="12">
        <v>2010</v>
      </c>
      <c r="J110" s="12" t="s">
        <v>39</v>
      </c>
      <c r="K110" s="12" t="s">
        <v>12</v>
      </c>
      <c r="L110" s="16">
        <v>0</v>
      </c>
      <c r="M110" s="12"/>
      <c r="N110" s="12" t="s">
        <v>164</v>
      </c>
      <c r="O110" s="12">
        <v>2010</v>
      </c>
      <c r="P110" s="12" t="s">
        <v>33</v>
      </c>
      <c r="Q110" s="12" t="s">
        <v>48</v>
      </c>
      <c r="R110" s="12">
        <v>57.5</v>
      </c>
      <c r="S110" s="12"/>
      <c r="T110" s="12" t="s">
        <v>164</v>
      </c>
      <c r="U110" s="12">
        <v>2010</v>
      </c>
      <c r="V110" s="12" t="s">
        <v>33</v>
      </c>
      <c r="W110" s="12" t="s">
        <v>48</v>
      </c>
      <c r="X110" s="12">
        <v>2.5</v>
      </c>
    </row>
    <row r="111" spans="2:46" x14ac:dyDescent="0.25">
      <c r="B111" t="s">
        <v>64</v>
      </c>
      <c r="C111">
        <v>2015</v>
      </c>
      <c r="D111" s="12" t="s">
        <v>39</v>
      </c>
      <c r="E111" s="12" t="s">
        <v>1</v>
      </c>
      <c r="F111" s="16">
        <v>0</v>
      </c>
      <c r="G111" s="12"/>
      <c r="H111" s="12" t="s">
        <v>205</v>
      </c>
      <c r="I111" s="12">
        <v>2015</v>
      </c>
      <c r="J111" s="12" t="s">
        <v>39</v>
      </c>
      <c r="K111" s="12" t="s">
        <v>12</v>
      </c>
      <c r="L111" s="16">
        <v>59.786999999999999</v>
      </c>
      <c r="M111" s="12"/>
      <c r="N111" s="12" t="s">
        <v>146</v>
      </c>
      <c r="O111" s="12">
        <v>2010</v>
      </c>
      <c r="P111" s="12" t="s">
        <v>30</v>
      </c>
      <c r="Q111" s="12" t="s">
        <v>48</v>
      </c>
      <c r="R111" s="12">
        <v>57.5</v>
      </c>
      <c r="S111" s="12"/>
      <c r="T111" s="12" t="s">
        <v>146</v>
      </c>
      <c r="U111" s="12">
        <v>2010</v>
      </c>
      <c r="V111" s="12" t="s">
        <v>30</v>
      </c>
      <c r="W111" s="12" t="s">
        <v>48</v>
      </c>
      <c r="X111" s="12">
        <v>2.5</v>
      </c>
    </row>
    <row r="112" spans="2:46" x14ac:dyDescent="0.25">
      <c r="B112" t="s">
        <v>64</v>
      </c>
      <c r="C112">
        <v>2015</v>
      </c>
      <c r="D112" s="12" t="s">
        <v>39</v>
      </c>
      <c r="E112" s="12" t="s">
        <v>6</v>
      </c>
      <c r="F112" s="16">
        <v>0</v>
      </c>
      <c r="G112" s="12"/>
      <c r="H112" s="12" t="s">
        <v>205</v>
      </c>
      <c r="I112" s="12">
        <v>2020</v>
      </c>
      <c r="J112" s="12" t="s">
        <v>39</v>
      </c>
      <c r="K112" s="12" t="s">
        <v>12</v>
      </c>
      <c r="L112" s="16">
        <v>59.786999999999999</v>
      </c>
      <c r="M112" s="12"/>
      <c r="N112" s="12" t="s">
        <v>146</v>
      </c>
      <c r="O112" s="12">
        <v>2010</v>
      </c>
      <c r="P112" s="12" t="s">
        <v>12</v>
      </c>
      <c r="Q112" s="12" t="s">
        <v>48</v>
      </c>
      <c r="R112" s="12">
        <v>57.5</v>
      </c>
      <c r="S112" s="12"/>
      <c r="T112" s="12" t="s">
        <v>146</v>
      </c>
      <c r="U112" s="12">
        <v>2010</v>
      </c>
      <c r="V112" s="12" t="s">
        <v>12</v>
      </c>
      <c r="W112" s="12" t="s">
        <v>48</v>
      </c>
      <c r="X112" s="12">
        <v>2.5</v>
      </c>
    </row>
    <row r="113" spans="2:24" x14ac:dyDescent="0.25">
      <c r="B113" t="s">
        <v>64</v>
      </c>
      <c r="C113">
        <v>2020</v>
      </c>
      <c r="D113" s="12" t="s">
        <v>39</v>
      </c>
      <c r="E113" s="12" t="s">
        <v>1</v>
      </c>
      <c r="F113" s="16">
        <v>0</v>
      </c>
      <c r="G113" s="12"/>
      <c r="H113" s="12" t="s">
        <v>207</v>
      </c>
      <c r="I113" s="12">
        <v>2010</v>
      </c>
      <c r="J113" s="12" t="s">
        <v>39</v>
      </c>
      <c r="K113" s="12" t="s">
        <v>12</v>
      </c>
      <c r="L113" s="16">
        <v>184.48560000000001</v>
      </c>
      <c r="M113" s="12"/>
      <c r="N113" s="12" t="s">
        <v>142</v>
      </c>
      <c r="O113" s="12">
        <v>2010</v>
      </c>
      <c r="P113" s="12" t="s">
        <v>12</v>
      </c>
      <c r="Q113" s="12" t="s">
        <v>48</v>
      </c>
      <c r="R113" s="12">
        <v>57.5</v>
      </c>
      <c r="S113" s="12"/>
      <c r="T113" s="12" t="s">
        <v>142</v>
      </c>
      <c r="U113" s="12">
        <v>2010</v>
      </c>
      <c r="V113" s="12" t="s">
        <v>12</v>
      </c>
      <c r="W113" s="12" t="s">
        <v>48</v>
      </c>
      <c r="X113" s="12">
        <v>2.5</v>
      </c>
    </row>
    <row r="114" spans="2:24" x14ac:dyDescent="0.25">
      <c r="B114" t="s">
        <v>64</v>
      </c>
      <c r="C114">
        <v>2020</v>
      </c>
      <c r="D114" s="12" t="s">
        <v>39</v>
      </c>
      <c r="E114" s="12" t="s">
        <v>6</v>
      </c>
      <c r="F114" s="16">
        <v>0</v>
      </c>
      <c r="G114" s="12"/>
      <c r="H114" s="12" t="s">
        <v>207</v>
      </c>
      <c r="I114" s="12">
        <v>2015</v>
      </c>
      <c r="J114" s="12" t="s">
        <v>39</v>
      </c>
      <c r="K114" s="12" t="s">
        <v>12</v>
      </c>
      <c r="L114" s="16">
        <v>184.48560000000001</v>
      </c>
      <c r="M114" s="12"/>
      <c r="N114" s="12" t="s">
        <v>142</v>
      </c>
      <c r="O114" s="12">
        <v>2010</v>
      </c>
      <c r="P114" s="12" t="s">
        <v>24</v>
      </c>
      <c r="Q114" s="12" t="s">
        <v>48</v>
      </c>
      <c r="R114" s="12">
        <v>57.5</v>
      </c>
      <c r="S114" s="12"/>
      <c r="T114" s="12" t="s">
        <v>142</v>
      </c>
      <c r="U114" s="12">
        <v>2010</v>
      </c>
      <c r="V114" s="12" t="s">
        <v>24</v>
      </c>
      <c r="W114" s="12" t="s">
        <v>48</v>
      </c>
      <c r="X114" s="12">
        <v>2.5</v>
      </c>
    </row>
    <row r="115" spans="2:24" x14ac:dyDescent="0.25">
      <c r="B115" t="s">
        <v>64</v>
      </c>
      <c r="C115">
        <v>2025</v>
      </c>
      <c r="D115" s="12" t="s">
        <v>40</v>
      </c>
      <c r="E115" s="12" t="s">
        <v>1</v>
      </c>
      <c r="F115" s="16">
        <v>1</v>
      </c>
      <c r="G115" s="12"/>
      <c r="H115" s="12" t="s">
        <v>207</v>
      </c>
      <c r="I115" s="12">
        <v>2020</v>
      </c>
      <c r="J115" s="12" t="s">
        <v>39</v>
      </c>
      <c r="K115" s="12" t="s">
        <v>12</v>
      </c>
      <c r="L115" s="16">
        <v>184.48560000000001</v>
      </c>
      <c r="M115" s="12"/>
      <c r="N115" s="12" t="s">
        <v>147</v>
      </c>
      <c r="O115" s="12">
        <v>2010</v>
      </c>
      <c r="P115" s="12" t="s">
        <v>12</v>
      </c>
      <c r="Q115" s="12" t="s">
        <v>48</v>
      </c>
      <c r="R115" s="12">
        <v>57.5</v>
      </c>
      <c r="S115" s="12"/>
      <c r="T115" s="12" t="s">
        <v>147</v>
      </c>
      <c r="U115" s="12">
        <v>2010</v>
      </c>
      <c r="V115" s="12" t="s">
        <v>12</v>
      </c>
      <c r="W115" s="12" t="s">
        <v>48</v>
      </c>
      <c r="X115" s="12">
        <v>2.5</v>
      </c>
    </row>
    <row r="116" spans="2:24" x14ac:dyDescent="0.25">
      <c r="B116" t="s">
        <v>64</v>
      </c>
      <c r="C116">
        <v>2025</v>
      </c>
      <c r="D116" s="12" t="s">
        <v>40</v>
      </c>
      <c r="E116" s="12" t="s">
        <v>6</v>
      </c>
      <c r="F116" s="16">
        <v>1</v>
      </c>
      <c r="G116" s="12"/>
      <c r="H116" s="12" t="s">
        <v>208</v>
      </c>
      <c r="I116" s="12">
        <v>2010</v>
      </c>
      <c r="J116" s="12" t="s">
        <v>39</v>
      </c>
      <c r="K116" s="12" t="s">
        <v>13</v>
      </c>
      <c r="L116" s="16">
        <v>437.58390000000003</v>
      </c>
      <c r="M116" s="12"/>
      <c r="N116" s="12" t="s">
        <v>147</v>
      </c>
      <c r="O116" s="12">
        <v>2010</v>
      </c>
      <c r="P116" s="12" t="s">
        <v>33</v>
      </c>
      <c r="Q116" s="12" t="s">
        <v>48</v>
      </c>
      <c r="R116" s="12">
        <v>57.5</v>
      </c>
      <c r="S116" s="12"/>
      <c r="T116" s="12" t="s">
        <v>147</v>
      </c>
      <c r="U116" s="12">
        <v>2010</v>
      </c>
      <c r="V116" s="12" t="s">
        <v>33</v>
      </c>
      <c r="W116" s="12" t="s">
        <v>48</v>
      </c>
      <c r="X116" s="12">
        <v>2.5</v>
      </c>
    </row>
    <row r="117" spans="2:24" x14ac:dyDescent="0.25">
      <c r="B117" t="s">
        <v>66</v>
      </c>
      <c r="C117">
        <v>2010</v>
      </c>
      <c r="D117" s="12" t="s">
        <v>39</v>
      </c>
      <c r="E117" s="12" t="s">
        <v>1</v>
      </c>
      <c r="F117" s="16">
        <v>3.4</v>
      </c>
      <c r="G117" s="12"/>
      <c r="H117" s="12" t="s">
        <v>208</v>
      </c>
      <c r="I117" s="12">
        <v>2015</v>
      </c>
      <c r="J117" s="12" t="s">
        <v>39</v>
      </c>
      <c r="K117" s="12" t="s">
        <v>13</v>
      </c>
      <c r="L117" s="16">
        <v>437.58390000000003</v>
      </c>
      <c r="M117" s="12"/>
      <c r="N117" s="12" t="s">
        <v>144</v>
      </c>
      <c r="O117" s="12">
        <v>2010</v>
      </c>
      <c r="P117" s="12" t="s">
        <v>12</v>
      </c>
      <c r="Q117" s="12" t="s">
        <v>48</v>
      </c>
      <c r="R117" s="12">
        <v>57.5</v>
      </c>
      <c r="S117" s="12"/>
      <c r="T117" s="12" t="s">
        <v>144</v>
      </c>
      <c r="U117" s="12">
        <v>2010</v>
      </c>
      <c r="V117" s="12" t="s">
        <v>12</v>
      </c>
      <c r="W117" s="12" t="s">
        <v>48</v>
      </c>
      <c r="X117" s="12">
        <v>2.5</v>
      </c>
    </row>
    <row r="118" spans="2:24" x14ac:dyDescent="0.25">
      <c r="B118" t="s">
        <v>66</v>
      </c>
      <c r="C118">
        <v>2010</v>
      </c>
      <c r="D118" s="12" t="s">
        <v>39</v>
      </c>
      <c r="E118" s="12" t="s">
        <v>11</v>
      </c>
      <c r="F118" s="16">
        <v>3.4</v>
      </c>
      <c r="G118" s="12"/>
      <c r="H118" s="12" t="s">
        <v>208</v>
      </c>
      <c r="I118" s="12">
        <v>2020</v>
      </c>
      <c r="J118" s="12" t="s">
        <v>39</v>
      </c>
      <c r="K118" s="12" t="s">
        <v>13</v>
      </c>
      <c r="L118" s="16">
        <v>437.58390000000003</v>
      </c>
      <c r="M118" s="12"/>
      <c r="N118" s="12" t="s">
        <v>144</v>
      </c>
      <c r="O118" s="12">
        <v>2010</v>
      </c>
      <c r="P118" s="12" t="s">
        <v>26</v>
      </c>
      <c r="Q118" s="12" t="s">
        <v>48</v>
      </c>
      <c r="R118" s="12">
        <v>57.5</v>
      </c>
      <c r="S118" s="12"/>
      <c r="T118" s="12" t="s">
        <v>144</v>
      </c>
      <c r="U118" s="12">
        <v>2010</v>
      </c>
      <c r="V118" s="12" t="s">
        <v>26</v>
      </c>
      <c r="W118" s="12" t="s">
        <v>48</v>
      </c>
      <c r="X118" s="12">
        <v>2.5</v>
      </c>
    </row>
    <row r="119" spans="2:24" x14ac:dyDescent="0.25">
      <c r="B119" t="s">
        <v>66</v>
      </c>
      <c r="C119">
        <v>2015</v>
      </c>
      <c r="D119" s="12" t="s">
        <v>39</v>
      </c>
      <c r="E119" s="12" t="s">
        <v>1</v>
      </c>
      <c r="F119" s="16">
        <v>3.7</v>
      </c>
      <c r="G119" s="12"/>
      <c r="H119" s="12" t="s">
        <v>209</v>
      </c>
      <c r="I119" s="12">
        <v>2010</v>
      </c>
      <c r="J119" s="12" t="s">
        <v>39</v>
      </c>
      <c r="K119" s="12" t="s">
        <v>15</v>
      </c>
      <c r="L119" s="16">
        <v>129.11144999999999</v>
      </c>
      <c r="M119" s="12"/>
      <c r="N119" s="12" t="s">
        <v>145</v>
      </c>
      <c r="O119" s="12">
        <v>2010</v>
      </c>
      <c r="P119" s="12" t="s">
        <v>12</v>
      </c>
      <c r="Q119" s="12" t="s">
        <v>48</v>
      </c>
      <c r="R119" s="12">
        <v>57.5</v>
      </c>
      <c r="S119" s="12"/>
      <c r="T119" s="12" t="s">
        <v>145</v>
      </c>
      <c r="U119" s="12">
        <v>2010</v>
      </c>
      <c r="V119" s="12" t="s">
        <v>12</v>
      </c>
      <c r="W119" s="12" t="s">
        <v>48</v>
      </c>
      <c r="X119" s="12">
        <v>2.5</v>
      </c>
    </row>
    <row r="120" spans="2:24" x14ac:dyDescent="0.25">
      <c r="B120" t="s">
        <v>66</v>
      </c>
      <c r="C120">
        <v>2015</v>
      </c>
      <c r="D120" s="12" t="s">
        <v>39</v>
      </c>
      <c r="E120" s="12" t="s">
        <v>11</v>
      </c>
      <c r="F120" s="16">
        <v>3.7</v>
      </c>
      <c r="G120" s="12"/>
      <c r="H120" s="12" t="s">
        <v>209</v>
      </c>
      <c r="I120" s="12">
        <v>2015</v>
      </c>
      <c r="J120" s="12" t="s">
        <v>39</v>
      </c>
      <c r="K120" s="12" t="s">
        <v>15</v>
      </c>
      <c r="L120" s="16">
        <v>129.11144999999999</v>
      </c>
      <c r="M120" s="12"/>
      <c r="N120" s="12" t="s">
        <v>145</v>
      </c>
      <c r="O120" s="12">
        <v>2010</v>
      </c>
      <c r="P120" s="12" t="s">
        <v>27</v>
      </c>
      <c r="Q120" s="12" t="s">
        <v>48</v>
      </c>
      <c r="R120" s="12">
        <v>57.5</v>
      </c>
      <c r="S120" s="12"/>
      <c r="T120" s="12" t="s">
        <v>145</v>
      </c>
      <c r="U120" s="12">
        <v>2010</v>
      </c>
      <c r="V120" s="12" t="s">
        <v>27</v>
      </c>
      <c r="W120" s="12" t="s">
        <v>48</v>
      </c>
      <c r="X120" s="12">
        <v>2.5</v>
      </c>
    </row>
    <row r="121" spans="2:24" x14ac:dyDescent="0.25">
      <c r="B121" t="s">
        <v>66</v>
      </c>
      <c r="C121">
        <v>2020</v>
      </c>
      <c r="D121" s="12" t="s">
        <v>39</v>
      </c>
      <c r="E121" s="12" t="s">
        <v>1</v>
      </c>
      <c r="F121" s="16">
        <v>3.7</v>
      </c>
      <c r="G121" s="12"/>
      <c r="H121" s="12" t="s">
        <v>209</v>
      </c>
      <c r="I121" s="12">
        <v>2020</v>
      </c>
      <c r="J121" s="12" t="s">
        <v>39</v>
      </c>
      <c r="K121" s="12" t="s">
        <v>15</v>
      </c>
      <c r="L121" s="16">
        <v>129.11144999999999</v>
      </c>
      <c r="M121" s="12"/>
      <c r="N121" s="12" t="s">
        <v>149</v>
      </c>
      <c r="O121" s="12">
        <v>2010</v>
      </c>
      <c r="P121" s="12" t="s">
        <v>13</v>
      </c>
      <c r="Q121" s="12" t="s">
        <v>48</v>
      </c>
      <c r="R121" s="12">
        <v>414</v>
      </c>
      <c r="S121" s="12"/>
      <c r="T121" s="12" t="s">
        <v>149</v>
      </c>
      <c r="U121" s="12">
        <v>2010</v>
      </c>
      <c r="V121" s="12" t="s">
        <v>13</v>
      </c>
      <c r="W121" s="12" t="s">
        <v>48</v>
      </c>
      <c r="X121" s="12">
        <v>18</v>
      </c>
    </row>
    <row r="122" spans="2:24" x14ac:dyDescent="0.25">
      <c r="B122" t="s">
        <v>66</v>
      </c>
      <c r="C122">
        <v>2020</v>
      </c>
      <c r="D122" s="12" t="s">
        <v>39</v>
      </c>
      <c r="E122" s="12" t="s">
        <v>11</v>
      </c>
      <c r="F122" s="16">
        <v>3.7</v>
      </c>
      <c r="G122" s="12"/>
      <c r="H122" s="12" t="s">
        <v>212</v>
      </c>
      <c r="I122" s="12">
        <v>2010</v>
      </c>
      <c r="J122" s="12" t="s">
        <v>39</v>
      </c>
      <c r="K122" s="12" t="s">
        <v>15</v>
      </c>
      <c r="L122" s="16">
        <v>74.733750000000001</v>
      </c>
      <c r="M122" s="12"/>
      <c r="N122" s="12" t="s">
        <v>149</v>
      </c>
      <c r="O122" s="12">
        <v>2010</v>
      </c>
      <c r="P122" s="12" t="s">
        <v>28</v>
      </c>
      <c r="Q122" s="12" t="s">
        <v>48</v>
      </c>
      <c r="R122" s="12">
        <v>414</v>
      </c>
      <c r="S122" s="12"/>
      <c r="T122" s="12" t="s">
        <v>149</v>
      </c>
      <c r="U122" s="12">
        <v>2010</v>
      </c>
      <c r="V122" s="12" t="s">
        <v>28</v>
      </c>
      <c r="W122" s="12" t="s">
        <v>48</v>
      </c>
      <c r="X122" s="12">
        <v>18</v>
      </c>
    </row>
    <row r="123" spans="2:24" x14ac:dyDescent="0.25">
      <c r="B123" t="s">
        <v>66</v>
      </c>
      <c r="C123">
        <v>2025</v>
      </c>
      <c r="D123" s="12" t="s">
        <v>40</v>
      </c>
      <c r="E123" s="12" t="s">
        <v>1</v>
      </c>
      <c r="F123" s="16">
        <v>3.7</v>
      </c>
      <c r="G123" s="12"/>
      <c r="H123" s="12" t="s">
        <v>212</v>
      </c>
      <c r="I123" s="12">
        <v>2015</v>
      </c>
      <c r="J123" s="12" t="s">
        <v>39</v>
      </c>
      <c r="K123" s="12" t="s">
        <v>15</v>
      </c>
      <c r="L123" s="16">
        <v>74.733750000000001</v>
      </c>
      <c r="M123" s="12"/>
      <c r="N123" s="12" t="s">
        <v>150</v>
      </c>
      <c r="O123" s="12">
        <v>2010</v>
      </c>
      <c r="P123" s="12" t="s">
        <v>14</v>
      </c>
      <c r="Q123" s="12" t="s">
        <v>48</v>
      </c>
      <c r="R123" s="12">
        <v>414</v>
      </c>
      <c r="S123" s="12"/>
      <c r="T123" s="12" t="s">
        <v>150</v>
      </c>
      <c r="U123" s="12">
        <v>2010</v>
      </c>
      <c r="V123" s="12" t="s">
        <v>14</v>
      </c>
      <c r="W123" s="12" t="s">
        <v>48</v>
      </c>
      <c r="X123" s="12">
        <v>18</v>
      </c>
    </row>
    <row r="124" spans="2:24" x14ac:dyDescent="0.25">
      <c r="B124" t="s">
        <v>66</v>
      </c>
      <c r="C124">
        <v>2025</v>
      </c>
      <c r="D124" s="12" t="s">
        <v>40</v>
      </c>
      <c r="E124" s="12" t="s">
        <v>11</v>
      </c>
      <c r="F124" s="16">
        <v>3.7</v>
      </c>
      <c r="G124" s="12"/>
      <c r="H124" s="12" t="s">
        <v>212</v>
      </c>
      <c r="I124" s="12">
        <v>2020</v>
      </c>
      <c r="J124" s="12" t="s">
        <v>39</v>
      </c>
      <c r="K124" s="12" t="s">
        <v>15</v>
      </c>
      <c r="L124" s="16">
        <v>74.733750000000001</v>
      </c>
      <c r="M124" s="12"/>
      <c r="N124" s="12" t="s">
        <v>151</v>
      </c>
      <c r="O124" s="12">
        <v>2010</v>
      </c>
      <c r="P124" s="12" t="s">
        <v>14</v>
      </c>
      <c r="Q124" s="12" t="s">
        <v>48</v>
      </c>
      <c r="R124" s="12">
        <v>414</v>
      </c>
      <c r="S124" s="12"/>
      <c r="T124" s="12" t="s">
        <v>151</v>
      </c>
      <c r="U124" s="12">
        <v>2010</v>
      </c>
      <c r="V124" s="12" t="s">
        <v>14</v>
      </c>
      <c r="W124" s="12" t="s">
        <v>48</v>
      </c>
      <c r="X124" s="12">
        <v>18</v>
      </c>
    </row>
    <row r="125" spans="2:24" x14ac:dyDescent="0.25">
      <c r="B125" t="s">
        <v>68</v>
      </c>
      <c r="C125">
        <v>2010</v>
      </c>
      <c r="D125" s="12" t="s">
        <v>39</v>
      </c>
      <c r="E125" s="12" t="s">
        <v>1</v>
      </c>
      <c r="F125" s="16">
        <v>0.3</v>
      </c>
      <c r="G125" s="12"/>
      <c r="H125" s="12" t="s">
        <v>211</v>
      </c>
      <c r="I125" s="12">
        <v>2010</v>
      </c>
      <c r="J125" s="12" t="s">
        <v>39</v>
      </c>
      <c r="K125" s="12" t="s">
        <v>15</v>
      </c>
      <c r="L125" s="16">
        <v>80.712450000000004</v>
      </c>
      <c r="M125" s="12"/>
      <c r="N125" s="12" t="s">
        <v>157</v>
      </c>
      <c r="O125" s="12">
        <v>2010</v>
      </c>
      <c r="P125" s="12" t="s">
        <v>29</v>
      </c>
      <c r="Q125" s="12" t="s">
        <v>48</v>
      </c>
      <c r="R125" s="12">
        <v>414</v>
      </c>
      <c r="S125" s="12"/>
      <c r="T125" s="12" t="s">
        <v>157</v>
      </c>
      <c r="U125" s="12">
        <v>2010</v>
      </c>
      <c r="V125" s="12" t="s">
        <v>29</v>
      </c>
      <c r="W125" s="12" t="s">
        <v>48</v>
      </c>
      <c r="X125" s="12">
        <v>18</v>
      </c>
    </row>
    <row r="126" spans="2:24" x14ac:dyDescent="0.25">
      <c r="B126" t="s">
        <v>68</v>
      </c>
      <c r="C126">
        <v>2010</v>
      </c>
      <c r="D126" s="12" t="s">
        <v>39</v>
      </c>
      <c r="E126" s="12" t="s">
        <v>17</v>
      </c>
      <c r="F126" s="16">
        <v>0.3</v>
      </c>
      <c r="G126" s="12"/>
      <c r="H126" s="12" t="s">
        <v>211</v>
      </c>
      <c r="I126" s="12">
        <v>2015</v>
      </c>
      <c r="J126" s="12" t="s">
        <v>39</v>
      </c>
      <c r="K126" s="12" t="s">
        <v>15</v>
      </c>
      <c r="L126" s="16">
        <v>80.712450000000004</v>
      </c>
      <c r="M126" s="12"/>
      <c r="N126" s="12" t="s">
        <v>157</v>
      </c>
      <c r="O126" s="12">
        <v>2010</v>
      </c>
      <c r="P126" s="12" t="s">
        <v>15</v>
      </c>
      <c r="Q126" s="12" t="s">
        <v>48</v>
      </c>
      <c r="R126" s="12">
        <v>414</v>
      </c>
      <c r="S126" s="12"/>
      <c r="T126" s="12" t="s">
        <v>157</v>
      </c>
      <c r="U126" s="12">
        <v>2010</v>
      </c>
      <c r="V126" s="12" t="s">
        <v>15</v>
      </c>
      <c r="W126" s="12" t="s">
        <v>48</v>
      </c>
      <c r="X126" s="12">
        <v>18</v>
      </c>
    </row>
    <row r="127" spans="2:24" x14ac:dyDescent="0.25">
      <c r="B127" t="s">
        <v>68</v>
      </c>
      <c r="C127">
        <v>2015</v>
      </c>
      <c r="D127" s="12" t="s">
        <v>39</v>
      </c>
      <c r="E127" s="12" t="s">
        <v>1</v>
      </c>
      <c r="F127" s="16">
        <v>0.6</v>
      </c>
      <c r="G127" s="12"/>
      <c r="H127" s="12" t="s">
        <v>211</v>
      </c>
      <c r="I127" s="12">
        <v>2020</v>
      </c>
      <c r="J127" s="12" t="s">
        <v>39</v>
      </c>
      <c r="K127" s="12" t="s">
        <v>15</v>
      </c>
      <c r="L127" s="16">
        <v>80.712450000000004</v>
      </c>
      <c r="M127" s="12"/>
      <c r="N127" s="12" t="s">
        <v>158</v>
      </c>
      <c r="O127" s="12">
        <v>2010</v>
      </c>
      <c r="P127" s="12" t="s">
        <v>30</v>
      </c>
      <c r="Q127" s="12" t="s">
        <v>48</v>
      </c>
      <c r="R127" s="12">
        <v>414</v>
      </c>
      <c r="S127" s="12"/>
      <c r="T127" s="12" t="s">
        <v>158</v>
      </c>
      <c r="U127" s="12">
        <v>2010</v>
      </c>
      <c r="V127" s="12" t="s">
        <v>30</v>
      </c>
      <c r="W127" s="12" t="s">
        <v>48</v>
      </c>
      <c r="X127" s="12">
        <v>18</v>
      </c>
    </row>
    <row r="128" spans="2:24" x14ac:dyDescent="0.25">
      <c r="B128" t="s">
        <v>68</v>
      </c>
      <c r="C128">
        <v>2015</v>
      </c>
      <c r="D128" s="12" t="s">
        <v>39</v>
      </c>
      <c r="E128" s="12" t="s">
        <v>17</v>
      </c>
      <c r="F128" s="16">
        <v>0.6</v>
      </c>
      <c r="G128" s="12"/>
      <c r="H128" s="12" t="s">
        <v>210</v>
      </c>
      <c r="I128" s="12">
        <v>2010</v>
      </c>
      <c r="J128" s="12" t="s">
        <v>39</v>
      </c>
      <c r="K128" s="12" t="s">
        <v>15</v>
      </c>
      <c r="L128" s="16">
        <v>0</v>
      </c>
      <c r="M128" s="12"/>
      <c r="N128" s="12" t="s">
        <v>158</v>
      </c>
      <c r="O128" s="12">
        <v>2010</v>
      </c>
      <c r="P128" s="12" t="s">
        <v>15</v>
      </c>
      <c r="Q128" s="12" t="s">
        <v>48</v>
      </c>
      <c r="R128" s="12">
        <v>414</v>
      </c>
      <c r="S128" s="12"/>
      <c r="T128" s="12" t="s">
        <v>158</v>
      </c>
      <c r="U128" s="12">
        <v>2010</v>
      </c>
      <c r="V128" s="12" t="s">
        <v>15</v>
      </c>
      <c r="W128" s="12" t="s">
        <v>48</v>
      </c>
      <c r="X128" s="12">
        <v>18</v>
      </c>
    </row>
    <row r="129" spans="2:24" x14ac:dyDescent="0.25">
      <c r="B129" t="s">
        <v>68</v>
      </c>
      <c r="C129">
        <v>2020</v>
      </c>
      <c r="D129" s="12" t="s">
        <v>39</v>
      </c>
      <c r="E129" s="12" t="s">
        <v>1</v>
      </c>
      <c r="F129" s="16">
        <v>0.6</v>
      </c>
      <c r="G129" s="12"/>
      <c r="H129" s="12" t="s">
        <v>210</v>
      </c>
      <c r="I129" s="12">
        <v>2015</v>
      </c>
      <c r="J129" s="12" t="s">
        <v>39</v>
      </c>
      <c r="K129" s="12" t="s">
        <v>15</v>
      </c>
      <c r="L129" s="16">
        <v>0</v>
      </c>
      <c r="M129" s="12"/>
      <c r="N129" s="12" t="s">
        <v>159</v>
      </c>
      <c r="O129" s="12">
        <v>2010</v>
      </c>
      <c r="P129" s="12" t="s">
        <v>15</v>
      </c>
      <c r="Q129" s="12" t="s">
        <v>48</v>
      </c>
      <c r="R129" s="12">
        <v>414</v>
      </c>
      <c r="S129" s="12"/>
      <c r="T129" s="12" t="s">
        <v>159</v>
      </c>
      <c r="U129" s="12">
        <v>2010</v>
      </c>
      <c r="V129" s="12" t="s">
        <v>15</v>
      </c>
      <c r="W129" s="12" t="s">
        <v>48</v>
      </c>
      <c r="X129" s="12">
        <v>18</v>
      </c>
    </row>
    <row r="130" spans="2:24" x14ac:dyDescent="0.25">
      <c r="B130" t="s">
        <v>68</v>
      </c>
      <c r="C130">
        <v>2020</v>
      </c>
      <c r="D130" s="12" t="s">
        <v>39</v>
      </c>
      <c r="E130" s="12" t="s">
        <v>17</v>
      </c>
      <c r="F130" s="16">
        <v>0.6</v>
      </c>
      <c r="G130" s="12"/>
      <c r="H130" s="12" t="s">
        <v>210</v>
      </c>
      <c r="I130" s="12">
        <v>2020</v>
      </c>
      <c r="J130" s="12" t="s">
        <v>39</v>
      </c>
      <c r="K130" s="12" t="s">
        <v>15</v>
      </c>
      <c r="L130" s="16">
        <v>80.712450000000004</v>
      </c>
      <c r="M130" s="12"/>
      <c r="N130" s="12" t="s">
        <v>159</v>
      </c>
      <c r="O130" s="12">
        <v>2010</v>
      </c>
      <c r="P130" s="12" t="s">
        <v>31</v>
      </c>
      <c r="Q130" s="12" t="s">
        <v>48</v>
      </c>
      <c r="R130" s="12">
        <v>414</v>
      </c>
      <c r="S130" s="12"/>
      <c r="T130" s="12" t="s">
        <v>159</v>
      </c>
      <c r="U130" s="12">
        <v>2010</v>
      </c>
      <c r="V130" s="12" t="s">
        <v>31</v>
      </c>
      <c r="W130" s="12" t="s">
        <v>48</v>
      </c>
      <c r="X130" s="12">
        <v>18</v>
      </c>
    </row>
    <row r="131" spans="2:24" x14ac:dyDescent="0.25">
      <c r="B131" t="s">
        <v>68</v>
      </c>
      <c r="C131">
        <v>2025</v>
      </c>
      <c r="D131" s="12" t="s">
        <v>40</v>
      </c>
      <c r="E131" s="12" t="s">
        <v>1</v>
      </c>
      <c r="F131" s="16">
        <v>0.6</v>
      </c>
      <c r="G131" s="12"/>
      <c r="H131" s="12" t="s">
        <v>215</v>
      </c>
      <c r="I131" s="12">
        <v>2010</v>
      </c>
      <c r="J131" s="12" t="s">
        <v>39</v>
      </c>
      <c r="K131" s="12" t="s">
        <v>16</v>
      </c>
      <c r="L131" s="16">
        <v>78.861900000000006</v>
      </c>
      <c r="M131" s="12"/>
      <c r="N131" s="12" t="s">
        <v>154</v>
      </c>
      <c r="O131" s="12">
        <v>2010</v>
      </c>
      <c r="P131" s="12" t="s">
        <v>15</v>
      </c>
      <c r="Q131" s="12" t="s">
        <v>48</v>
      </c>
      <c r="R131" s="12">
        <v>287.5</v>
      </c>
      <c r="S131" s="12"/>
      <c r="T131" s="12" t="s">
        <v>154</v>
      </c>
      <c r="U131" s="12">
        <v>2010</v>
      </c>
      <c r="V131" s="12" t="s">
        <v>15</v>
      </c>
      <c r="W131" s="12" t="s">
        <v>48</v>
      </c>
      <c r="X131" s="12">
        <v>12.5</v>
      </c>
    </row>
    <row r="132" spans="2:24" x14ac:dyDescent="0.25">
      <c r="B132" t="s">
        <v>68</v>
      </c>
      <c r="C132">
        <v>2025</v>
      </c>
      <c r="D132" s="12" t="s">
        <v>40</v>
      </c>
      <c r="E132" s="12" t="s">
        <v>17</v>
      </c>
      <c r="F132" s="16">
        <v>0.6</v>
      </c>
      <c r="G132" s="12"/>
      <c r="H132" s="12" t="s">
        <v>215</v>
      </c>
      <c r="I132" s="12">
        <v>2015</v>
      </c>
      <c r="J132" s="12" t="s">
        <v>39</v>
      </c>
      <c r="K132" s="12" t="s">
        <v>16</v>
      </c>
      <c r="L132" s="16">
        <v>78.861900000000006</v>
      </c>
      <c r="M132" s="12"/>
      <c r="N132" s="12" t="s">
        <v>154</v>
      </c>
      <c r="O132" s="12">
        <v>2010</v>
      </c>
      <c r="P132" s="12" t="s">
        <v>19</v>
      </c>
      <c r="Q132" s="12" t="s">
        <v>48</v>
      </c>
      <c r="R132" s="12">
        <v>287.5</v>
      </c>
      <c r="S132" s="12"/>
      <c r="T132" s="12" t="s">
        <v>154</v>
      </c>
      <c r="U132" s="12">
        <v>2010</v>
      </c>
      <c r="V132" s="12" t="s">
        <v>19</v>
      </c>
      <c r="W132" s="12" t="s">
        <v>48</v>
      </c>
      <c r="X132" s="12">
        <v>12.5</v>
      </c>
    </row>
    <row r="133" spans="2:24" x14ac:dyDescent="0.25">
      <c r="B133" t="s">
        <v>70</v>
      </c>
      <c r="C133">
        <v>2010</v>
      </c>
      <c r="D133" s="12" t="s">
        <v>39</v>
      </c>
      <c r="E133" s="12" t="s">
        <v>1</v>
      </c>
      <c r="F133" s="16">
        <v>2.4</v>
      </c>
      <c r="G133" s="12"/>
      <c r="H133" s="12" t="s">
        <v>215</v>
      </c>
      <c r="I133" s="12">
        <v>2020</v>
      </c>
      <c r="J133" s="12" t="s">
        <v>39</v>
      </c>
      <c r="K133" s="12" t="s">
        <v>16</v>
      </c>
      <c r="L133" s="16">
        <v>78.861900000000006</v>
      </c>
      <c r="M133" s="12"/>
      <c r="N133" s="12" t="s">
        <v>155</v>
      </c>
      <c r="O133" s="12">
        <v>2010</v>
      </c>
      <c r="P133" s="12" t="s">
        <v>15</v>
      </c>
      <c r="Q133" s="12" t="s">
        <v>48</v>
      </c>
      <c r="R133" s="12">
        <v>57.5</v>
      </c>
      <c r="S133" s="12"/>
      <c r="T133" s="12" t="s">
        <v>155</v>
      </c>
      <c r="U133" s="12">
        <v>2010</v>
      </c>
      <c r="V133" s="12" t="s">
        <v>15</v>
      </c>
      <c r="W133" s="12" t="s">
        <v>48</v>
      </c>
      <c r="X133" s="12">
        <v>2.5</v>
      </c>
    </row>
    <row r="134" spans="2:24" x14ac:dyDescent="0.25">
      <c r="B134" t="s">
        <v>70</v>
      </c>
      <c r="C134">
        <v>2010</v>
      </c>
      <c r="D134" s="12" t="s">
        <v>39</v>
      </c>
      <c r="E134" s="12" t="s">
        <v>20</v>
      </c>
      <c r="F134" s="16">
        <v>2.4</v>
      </c>
      <c r="G134" s="12"/>
      <c r="H134" s="12" t="s">
        <v>213</v>
      </c>
      <c r="I134" s="12">
        <v>2010</v>
      </c>
      <c r="J134" s="12" t="s">
        <v>39</v>
      </c>
      <c r="K134" s="12" t="s">
        <v>18</v>
      </c>
      <c r="L134" s="16">
        <v>15.6</v>
      </c>
      <c r="M134" s="12"/>
      <c r="N134" s="12" t="s">
        <v>155</v>
      </c>
      <c r="O134" s="12">
        <v>2010</v>
      </c>
      <c r="P134" s="12" t="s">
        <v>26</v>
      </c>
      <c r="Q134" s="12" t="s">
        <v>48</v>
      </c>
      <c r="R134" s="12">
        <v>57.5</v>
      </c>
      <c r="S134" s="12"/>
      <c r="T134" s="12" t="s">
        <v>155</v>
      </c>
      <c r="U134" s="12">
        <v>2010</v>
      </c>
      <c r="V134" s="12" t="s">
        <v>26</v>
      </c>
      <c r="W134" s="12" t="s">
        <v>48</v>
      </c>
      <c r="X134" s="12">
        <v>2.5</v>
      </c>
    </row>
    <row r="135" spans="2:24" x14ac:dyDescent="0.25">
      <c r="B135" t="s">
        <v>70</v>
      </c>
      <c r="C135">
        <v>2015</v>
      </c>
      <c r="D135" s="12" t="s">
        <v>39</v>
      </c>
      <c r="E135" s="12" t="s">
        <v>1</v>
      </c>
      <c r="F135" s="16">
        <v>2.4</v>
      </c>
      <c r="G135" s="12"/>
      <c r="H135" s="12" t="s">
        <v>213</v>
      </c>
      <c r="I135" s="12">
        <v>2015</v>
      </c>
      <c r="J135" s="12" t="s">
        <v>39</v>
      </c>
      <c r="K135" s="12" t="s">
        <v>18</v>
      </c>
      <c r="L135" s="16">
        <v>104.62725</v>
      </c>
      <c r="M135" s="12"/>
      <c r="N135" s="12" t="s">
        <v>160</v>
      </c>
      <c r="O135" s="12">
        <v>2010</v>
      </c>
      <c r="P135" s="12" t="s">
        <v>16</v>
      </c>
      <c r="Q135" s="12" t="s">
        <v>48</v>
      </c>
      <c r="R135" s="12">
        <v>57.5</v>
      </c>
      <c r="S135" s="12"/>
      <c r="T135" s="12" t="s">
        <v>160</v>
      </c>
      <c r="U135" s="12">
        <v>2010</v>
      </c>
      <c r="V135" s="12" t="s">
        <v>16</v>
      </c>
      <c r="W135" s="12" t="s">
        <v>48</v>
      </c>
      <c r="X135" s="12">
        <v>2.5</v>
      </c>
    </row>
    <row r="136" spans="2:24" x14ac:dyDescent="0.25">
      <c r="B136" t="s">
        <v>70</v>
      </c>
      <c r="C136">
        <v>2015</v>
      </c>
      <c r="D136" s="12" t="s">
        <v>39</v>
      </c>
      <c r="E136" s="12" t="s">
        <v>20</v>
      </c>
      <c r="F136" s="16">
        <v>2.4</v>
      </c>
      <c r="G136" s="12"/>
      <c r="H136" s="12" t="s">
        <v>213</v>
      </c>
      <c r="I136" s="12">
        <v>2020</v>
      </c>
      <c r="J136" s="12" t="s">
        <v>39</v>
      </c>
      <c r="K136" s="12" t="s">
        <v>18</v>
      </c>
      <c r="L136" s="16">
        <v>104.62725</v>
      </c>
      <c r="M136" s="12"/>
      <c r="N136" s="12" t="s">
        <v>160</v>
      </c>
      <c r="O136" s="12">
        <v>2010</v>
      </c>
      <c r="P136" s="12" t="s">
        <v>18</v>
      </c>
      <c r="Q136" s="12" t="s">
        <v>48</v>
      </c>
      <c r="R136" s="12">
        <v>57.5</v>
      </c>
      <c r="S136" s="12"/>
      <c r="T136" s="12" t="s">
        <v>160</v>
      </c>
      <c r="U136" s="12">
        <v>2010</v>
      </c>
      <c r="V136" s="12" t="s">
        <v>18</v>
      </c>
      <c r="W136" s="12" t="s">
        <v>48</v>
      </c>
      <c r="X136" s="12">
        <v>2.5</v>
      </c>
    </row>
    <row r="137" spans="2:24" x14ac:dyDescent="0.25">
      <c r="B137" t="s">
        <v>70</v>
      </c>
      <c r="C137">
        <v>2020</v>
      </c>
      <c r="D137" s="12" t="s">
        <v>39</v>
      </c>
      <c r="E137" s="12" t="s">
        <v>1</v>
      </c>
      <c r="F137" s="16">
        <v>2.4</v>
      </c>
      <c r="G137" s="12"/>
      <c r="H137" s="12" t="s">
        <v>214</v>
      </c>
      <c r="I137" s="12">
        <v>2010</v>
      </c>
      <c r="J137" s="12" t="s">
        <v>39</v>
      </c>
      <c r="K137" s="12" t="s">
        <v>18</v>
      </c>
      <c r="L137" s="16">
        <v>78.861900000000006</v>
      </c>
      <c r="M137" s="12"/>
      <c r="N137" s="12" t="s">
        <v>161</v>
      </c>
      <c r="O137" s="12">
        <v>2010</v>
      </c>
      <c r="P137" s="12" t="s">
        <v>16</v>
      </c>
      <c r="Q137" s="12" t="s">
        <v>48</v>
      </c>
      <c r="R137" s="12">
        <v>57.5</v>
      </c>
      <c r="S137" s="12"/>
      <c r="T137" s="12" t="s">
        <v>161</v>
      </c>
      <c r="U137" s="12">
        <v>2010</v>
      </c>
      <c r="V137" s="12" t="s">
        <v>16</v>
      </c>
      <c r="W137" s="12" t="s">
        <v>48</v>
      </c>
      <c r="X137" s="12">
        <v>2.5</v>
      </c>
    </row>
    <row r="138" spans="2:24" x14ac:dyDescent="0.25">
      <c r="B138" t="s">
        <v>70</v>
      </c>
      <c r="C138">
        <v>2020</v>
      </c>
      <c r="D138" s="12" t="s">
        <v>39</v>
      </c>
      <c r="E138" s="12" t="s">
        <v>20</v>
      </c>
      <c r="F138" s="16">
        <v>2.4</v>
      </c>
      <c r="G138" s="12"/>
      <c r="H138" s="12" t="s">
        <v>214</v>
      </c>
      <c r="I138" s="12">
        <v>2015</v>
      </c>
      <c r="J138" s="12" t="s">
        <v>39</v>
      </c>
      <c r="K138" s="12" t="s">
        <v>18</v>
      </c>
      <c r="L138" s="16">
        <v>78.861900000000006</v>
      </c>
      <c r="M138" s="12"/>
      <c r="N138" s="12" t="s">
        <v>161</v>
      </c>
      <c r="O138" s="12">
        <v>2010</v>
      </c>
      <c r="P138" s="12" t="s">
        <v>22</v>
      </c>
      <c r="Q138" s="12" t="s">
        <v>48</v>
      </c>
      <c r="R138" s="12">
        <v>57.5</v>
      </c>
      <c r="S138" s="12"/>
      <c r="T138" s="12" t="s">
        <v>161</v>
      </c>
      <c r="U138" s="12">
        <v>2010</v>
      </c>
      <c r="V138" s="12" t="s">
        <v>22</v>
      </c>
      <c r="W138" s="12" t="s">
        <v>48</v>
      </c>
      <c r="X138" s="12">
        <v>2.5</v>
      </c>
    </row>
    <row r="139" spans="2:24" x14ac:dyDescent="0.25">
      <c r="B139" t="s">
        <v>70</v>
      </c>
      <c r="C139">
        <v>2025</v>
      </c>
      <c r="D139" s="12" t="s">
        <v>40</v>
      </c>
      <c r="E139" s="12" t="s">
        <v>1</v>
      </c>
      <c r="F139" s="16">
        <v>2.4</v>
      </c>
      <c r="G139" s="12"/>
      <c r="H139" s="12" t="s">
        <v>214</v>
      </c>
      <c r="I139" s="12">
        <v>2020</v>
      </c>
      <c r="J139" s="12" t="s">
        <v>39</v>
      </c>
      <c r="K139" s="12" t="s">
        <v>18</v>
      </c>
      <c r="L139" s="16">
        <v>78.861900000000006</v>
      </c>
      <c r="M139" s="12"/>
      <c r="N139" s="12" t="s">
        <v>162</v>
      </c>
      <c r="O139" s="12">
        <v>2010</v>
      </c>
      <c r="P139" s="12" t="s">
        <v>16</v>
      </c>
      <c r="Q139" s="12" t="s">
        <v>48</v>
      </c>
      <c r="R139" s="12">
        <v>414</v>
      </c>
      <c r="S139" s="12"/>
      <c r="T139" s="12" t="s">
        <v>162</v>
      </c>
      <c r="U139" s="12">
        <v>2010</v>
      </c>
      <c r="V139" s="12" t="s">
        <v>16</v>
      </c>
      <c r="W139" s="12" t="s">
        <v>48</v>
      </c>
      <c r="X139" s="12">
        <v>18</v>
      </c>
    </row>
    <row r="140" spans="2:24" x14ac:dyDescent="0.25">
      <c r="B140" t="s">
        <v>70</v>
      </c>
      <c r="C140">
        <v>2025</v>
      </c>
      <c r="D140" s="12" t="s">
        <v>40</v>
      </c>
      <c r="E140" s="12" t="s">
        <v>20</v>
      </c>
      <c r="F140" s="16">
        <v>2.4</v>
      </c>
      <c r="G140" s="12"/>
      <c r="H140" s="12" t="s">
        <v>239</v>
      </c>
      <c r="I140" s="12">
        <v>2010</v>
      </c>
      <c r="J140" s="12" t="s">
        <v>39</v>
      </c>
      <c r="K140" s="12" t="s">
        <v>31</v>
      </c>
      <c r="L140" s="16">
        <v>0</v>
      </c>
      <c r="M140" s="12"/>
      <c r="N140" s="12" t="s">
        <v>162</v>
      </c>
      <c r="O140" s="12">
        <v>2010</v>
      </c>
      <c r="P140" s="12" t="s">
        <v>25</v>
      </c>
      <c r="Q140" s="12" t="s">
        <v>48</v>
      </c>
      <c r="R140" s="12">
        <v>414</v>
      </c>
      <c r="S140" s="12"/>
      <c r="T140" s="12" t="s">
        <v>162</v>
      </c>
      <c r="U140" s="12">
        <v>2010</v>
      </c>
      <c r="V140" s="12" t="s">
        <v>25</v>
      </c>
      <c r="W140" s="12" t="s">
        <v>48</v>
      </c>
      <c r="X140" s="12">
        <v>18</v>
      </c>
    </row>
    <row r="141" spans="2:24" x14ac:dyDescent="0.25">
      <c r="B141" t="s">
        <v>72</v>
      </c>
      <c r="C141">
        <v>2010</v>
      </c>
      <c r="D141" s="12" t="s">
        <v>39</v>
      </c>
      <c r="E141" s="12" t="s">
        <v>1</v>
      </c>
      <c r="F141" s="16">
        <v>0</v>
      </c>
      <c r="G141" s="12"/>
      <c r="H141" s="12" t="s">
        <v>239</v>
      </c>
      <c r="I141" s="12">
        <v>2015</v>
      </c>
      <c r="J141" s="12" t="s">
        <v>39</v>
      </c>
      <c r="K141" s="12" t="s">
        <v>31</v>
      </c>
      <c r="L141" s="16">
        <v>313.88175000000001</v>
      </c>
      <c r="M141" s="12"/>
      <c r="N141" s="12" t="s">
        <v>163</v>
      </c>
      <c r="O141" s="12">
        <v>2010</v>
      </c>
      <c r="P141" s="12" t="s">
        <v>18</v>
      </c>
      <c r="Q141" s="12" t="s">
        <v>48</v>
      </c>
      <c r="R141" s="12">
        <v>414</v>
      </c>
      <c r="S141" s="12"/>
      <c r="T141" s="12" t="s">
        <v>163</v>
      </c>
      <c r="U141" s="12">
        <v>2010</v>
      </c>
      <c r="V141" s="12" t="s">
        <v>18</v>
      </c>
      <c r="W141" s="12" t="s">
        <v>48</v>
      </c>
      <c r="X141" s="12">
        <v>18</v>
      </c>
    </row>
    <row r="142" spans="2:24" x14ac:dyDescent="0.25">
      <c r="B142" t="s">
        <v>72</v>
      </c>
      <c r="C142">
        <v>2010</v>
      </c>
      <c r="D142" s="12" t="s">
        <v>39</v>
      </c>
      <c r="E142" s="12" t="s">
        <v>28</v>
      </c>
      <c r="F142" s="16">
        <v>0</v>
      </c>
      <c r="G142" s="12"/>
      <c r="H142" s="12" t="s">
        <v>239</v>
      </c>
      <c r="I142" s="12">
        <v>2020</v>
      </c>
      <c r="J142" s="12" t="s">
        <v>39</v>
      </c>
      <c r="K142" s="12" t="s">
        <v>31</v>
      </c>
      <c r="L142" s="16">
        <v>313.88175000000001</v>
      </c>
      <c r="M142" s="12"/>
      <c r="N142" s="12" t="s">
        <v>163</v>
      </c>
      <c r="O142" s="12">
        <v>2010</v>
      </c>
      <c r="P142" s="12" t="s">
        <v>25</v>
      </c>
      <c r="Q142" s="12" t="s">
        <v>48</v>
      </c>
      <c r="R142" s="12">
        <v>414</v>
      </c>
      <c r="S142" s="12"/>
      <c r="T142" s="12" t="s">
        <v>163</v>
      </c>
      <c r="U142" s="12">
        <v>2010</v>
      </c>
      <c r="V142" s="12" t="s">
        <v>25</v>
      </c>
      <c r="W142" s="12" t="s">
        <v>48</v>
      </c>
      <c r="X142" s="12">
        <v>18</v>
      </c>
    </row>
    <row r="143" spans="2:24" x14ac:dyDescent="0.25">
      <c r="B143" t="s">
        <v>72</v>
      </c>
      <c r="C143">
        <v>2015</v>
      </c>
      <c r="D143" s="12" t="s">
        <v>39</v>
      </c>
      <c r="E143" s="12" t="s">
        <v>1</v>
      </c>
      <c r="F143" s="16">
        <v>0</v>
      </c>
      <c r="G143" s="12"/>
      <c r="H143" s="12" t="s">
        <v>216</v>
      </c>
      <c r="I143" s="12">
        <v>2010</v>
      </c>
      <c r="J143" s="12" t="s">
        <v>39</v>
      </c>
      <c r="K143" s="12" t="s">
        <v>20</v>
      </c>
      <c r="L143" s="16">
        <v>1944.2163</v>
      </c>
      <c r="M143" s="12"/>
      <c r="N143" s="12" t="s">
        <v>172</v>
      </c>
      <c r="O143" s="12">
        <v>2010</v>
      </c>
      <c r="P143" s="12" t="s">
        <v>31</v>
      </c>
      <c r="Q143" s="12" t="s">
        <v>48</v>
      </c>
      <c r="R143" s="12">
        <v>57.5</v>
      </c>
      <c r="S143" s="12"/>
      <c r="T143" s="12" t="s">
        <v>172</v>
      </c>
      <c r="U143" s="12">
        <v>2010</v>
      </c>
      <c r="V143" s="12" t="s">
        <v>31</v>
      </c>
      <c r="W143" s="12" t="s">
        <v>48</v>
      </c>
      <c r="X143" s="12">
        <v>2.5</v>
      </c>
    </row>
    <row r="144" spans="2:24" x14ac:dyDescent="0.25">
      <c r="B144" t="s">
        <v>72</v>
      </c>
      <c r="C144">
        <v>2015</v>
      </c>
      <c r="D144" s="12" t="s">
        <v>39</v>
      </c>
      <c r="E144" s="12" t="s">
        <v>28</v>
      </c>
      <c r="F144" s="16">
        <v>0</v>
      </c>
      <c r="G144" s="12"/>
      <c r="H144" s="12" t="s">
        <v>216</v>
      </c>
      <c r="I144" s="12">
        <v>2015</v>
      </c>
      <c r="J144" s="12" t="s">
        <v>39</v>
      </c>
      <c r="K144" s="12" t="s">
        <v>20</v>
      </c>
      <c r="L144" s="16">
        <v>2320.3049999999998</v>
      </c>
      <c r="M144" s="12"/>
      <c r="N144" s="12" t="s">
        <v>172</v>
      </c>
      <c r="O144" s="12">
        <v>2010</v>
      </c>
      <c r="P144" s="12" t="s">
        <v>33</v>
      </c>
      <c r="Q144" s="12" t="s">
        <v>48</v>
      </c>
      <c r="R144" s="12">
        <v>57.5</v>
      </c>
      <c r="S144" s="12"/>
      <c r="T144" s="12" t="s">
        <v>172</v>
      </c>
      <c r="U144" s="12">
        <v>2010</v>
      </c>
      <c r="V144" s="12" t="s">
        <v>33</v>
      </c>
      <c r="W144" s="12" t="s">
        <v>48</v>
      </c>
      <c r="X144" s="12">
        <v>2.5</v>
      </c>
    </row>
    <row r="145" spans="2:24" x14ac:dyDescent="0.25">
      <c r="B145" t="s">
        <v>72</v>
      </c>
      <c r="C145">
        <v>2020</v>
      </c>
      <c r="D145" s="12" t="s">
        <v>39</v>
      </c>
      <c r="E145" s="12" t="s">
        <v>1</v>
      </c>
      <c r="F145" s="16">
        <v>0</v>
      </c>
      <c r="G145" s="12"/>
      <c r="H145" s="12" t="s">
        <v>216</v>
      </c>
      <c r="I145" s="12">
        <v>2020</v>
      </c>
      <c r="J145" s="12" t="s">
        <v>39</v>
      </c>
      <c r="K145" s="12" t="s">
        <v>20</v>
      </c>
      <c r="L145" s="16">
        <v>2320.3049999999998</v>
      </c>
      <c r="M145" s="12"/>
      <c r="N145" s="12" t="s">
        <v>173</v>
      </c>
      <c r="O145" s="12">
        <v>2010</v>
      </c>
      <c r="P145" s="12" t="s">
        <v>32</v>
      </c>
      <c r="Q145" s="12" t="s">
        <v>48</v>
      </c>
      <c r="R145" s="12">
        <v>57.5</v>
      </c>
      <c r="S145" s="12"/>
      <c r="T145" s="12" t="s">
        <v>173</v>
      </c>
      <c r="U145" s="12">
        <v>2010</v>
      </c>
      <c r="V145" s="12" t="s">
        <v>32</v>
      </c>
      <c r="W145" s="12" t="s">
        <v>48</v>
      </c>
      <c r="X145" s="12">
        <v>2.5</v>
      </c>
    </row>
    <row r="146" spans="2:24" x14ac:dyDescent="0.25">
      <c r="B146" t="s">
        <v>72</v>
      </c>
      <c r="C146">
        <v>2020</v>
      </c>
      <c r="D146" s="12" t="s">
        <v>39</v>
      </c>
      <c r="E146" s="12" t="s">
        <v>28</v>
      </c>
      <c r="F146" s="16">
        <v>0</v>
      </c>
      <c r="G146" s="12"/>
      <c r="H146" s="12" t="s">
        <v>217</v>
      </c>
      <c r="I146" s="12">
        <v>2010</v>
      </c>
      <c r="J146" s="12" t="s">
        <v>39</v>
      </c>
      <c r="K146" s="12" t="s">
        <v>20</v>
      </c>
      <c r="L146" s="16">
        <v>3734.26755</v>
      </c>
      <c r="M146" s="12"/>
      <c r="N146" s="12" t="s">
        <v>173</v>
      </c>
      <c r="O146" s="12">
        <v>2010</v>
      </c>
      <c r="P146" s="12" t="s">
        <v>33</v>
      </c>
      <c r="Q146" s="12" t="s">
        <v>48</v>
      </c>
      <c r="R146" s="12">
        <v>57.5</v>
      </c>
      <c r="S146" s="12"/>
      <c r="T146" s="12" t="s">
        <v>173</v>
      </c>
      <c r="U146" s="12">
        <v>2010</v>
      </c>
      <c r="V146" s="12" t="s">
        <v>33</v>
      </c>
      <c r="W146" s="12" t="s">
        <v>48</v>
      </c>
      <c r="X146" s="12">
        <v>2.5</v>
      </c>
    </row>
    <row r="147" spans="2:24" x14ac:dyDescent="0.25">
      <c r="B147" t="s">
        <v>72</v>
      </c>
      <c r="C147">
        <v>2025</v>
      </c>
      <c r="D147" s="12" t="s">
        <v>40</v>
      </c>
      <c r="E147" s="12" t="s">
        <v>1</v>
      </c>
      <c r="F147" s="16">
        <v>1</v>
      </c>
      <c r="G147" s="12"/>
      <c r="H147" s="12" t="s">
        <v>217</v>
      </c>
      <c r="I147" s="12">
        <v>2015</v>
      </c>
      <c r="J147" s="12" t="s">
        <v>39</v>
      </c>
      <c r="K147" s="12" t="s">
        <v>20</v>
      </c>
      <c r="L147" s="16">
        <v>3734.26755</v>
      </c>
      <c r="M147" s="12"/>
      <c r="N147" s="12" t="s">
        <v>165</v>
      </c>
      <c r="O147" s="12">
        <v>2010</v>
      </c>
      <c r="P147" s="12" t="s">
        <v>20</v>
      </c>
      <c r="Q147" s="12" t="s">
        <v>48</v>
      </c>
      <c r="R147" s="12">
        <v>414</v>
      </c>
      <c r="S147" s="12"/>
      <c r="T147" s="12" t="s">
        <v>165</v>
      </c>
      <c r="U147" s="12">
        <v>2010</v>
      </c>
      <c r="V147" s="12" t="s">
        <v>20</v>
      </c>
      <c r="W147" s="12" t="s">
        <v>48</v>
      </c>
      <c r="X147" s="12">
        <v>18</v>
      </c>
    </row>
    <row r="148" spans="2:24" x14ac:dyDescent="0.25">
      <c r="B148" t="s">
        <v>72</v>
      </c>
      <c r="C148">
        <v>2025</v>
      </c>
      <c r="D148" s="12" t="s">
        <v>40</v>
      </c>
      <c r="E148" s="12" t="s">
        <v>28</v>
      </c>
      <c r="F148" s="16">
        <v>1</v>
      </c>
      <c r="G148" s="12"/>
      <c r="H148" s="12" t="s">
        <v>217</v>
      </c>
      <c r="I148" s="12">
        <v>2020</v>
      </c>
      <c r="J148" s="12" t="s">
        <v>39</v>
      </c>
      <c r="K148" s="12" t="s">
        <v>20</v>
      </c>
      <c r="L148" s="16">
        <v>3734.26755</v>
      </c>
      <c r="M148" s="12"/>
      <c r="N148" s="12" t="s">
        <v>165</v>
      </c>
      <c r="O148" s="12">
        <v>2010</v>
      </c>
      <c r="P148" s="12" t="s">
        <v>21</v>
      </c>
      <c r="Q148" s="12" t="s">
        <v>48</v>
      </c>
      <c r="R148" s="12">
        <v>414</v>
      </c>
      <c r="S148" s="12"/>
      <c r="T148" s="12" t="s">
        <v>165</v>
      </c>
      <c r="U148" s="12">
        <v>2010</v>
      </c>
      <c r="V148" s="12" t="s">
        <v>21</v>
      </c>
      <c r="W148" s="12" t="s">
        <v>48</v>
      </c>
      <c r="X148" s="12">
        <v>18</v>
      </c>
    </row>
    <row r="149" spans="2:24" x14ac:dyDescent="0.25">
      <c r="B149" t="s">
        <v>74</v>
      </c>
      <c r="C149">
        <v>2010</v>
      </c>
      <c r="D149" s="12" t="s">
        <v>39</v>
      </c>
      <c r="E149" s="12" t="s">
        <v>2</v>
      </c>
      <c r="F149" s="16">
        <v>0.6</v>
      </c>
      <c r="G149" s="12"/>
      <c r="H149" s="12" t="s">
        <v>218</v>
      </c>
      <c r="I149" s="12">
        <v>2010</v>
      </c>
      <c r="J149" s="12" t="s">
        <v>39</v>
      </c>
      <c r="K149" s="12" t="s">
        <v>20</v>
      </c>
      <c r="L149" s="16">
        <v>1162.1454000000001</v>
      </c>
      <c r="M149" s="12"/>
      <c r="N149" s="12" t="s">
        <v>166</v>
      </c>
      <c r="O149" s="12">
        <v>2010</v>
      </c>
      <c r="P149" s="12" t="s">
        <v>20</v>
      </c>
      <c r="Q149" s="12" t="s">
        <v>48</v>
      </c>
      <c r="R149" s="12">
        <v>414</v>
      </c>
      <c r="S149" s="12"/>
      <c r="T149" s="12" t="s">
        <v>166</v>
      </c>
      <c r="U149" s="12">
        <v>2010</v>
      </c>
      <c r="V149" s="12" t="s">
        <v>20</v>
      </c>
      <c r="W149" s="12" t="s">
        <v>48</v>
      </c>
      <c r="X149" s="12">
        <v>18</v>
      </c>
    </row>
    <row r="150" spans="2:24" x14ac:dyDescent="0.25">
      <c r="B150" t="s">
        <v>74</v>
      </c>
      <c r="C150">
        <v>2010</v>
      </c>
      <c r="D150" s="12" t="s">
        <v>39</v>
      </c>
      <c r="E150" s="12" t="s">
        <v>43</v>
      </c>
      <c r="F150" s="16">
        <v>0.6</v>
      </c>
      <c r="G150" s="12"/>
      <c r="H150" s="12" t="s">
        <v>218</v>
      </c>
      <c r="I150" s="12">
        <v>2015</v>
      </c>
      <c r="J150" s="12" t="s">
        <v>39</v>
      </c>
      <c r="K150" s="12" t="s">
        <v>20</v>
      </c>
      <c r="L150" s="16">
        <v>1162.1454000000001</v>
      </c>
      <c r="M150" s="12"/>
      <c r="N150" s="12" t="s">
        <v>166</v>
      </c>
      <c r="O150" s="12">
        <v>2010</v>
      </c>
      <c r="P150" s="12" t="s">
        <v>28</v>
      </c>
      <c r="Q150" s="12" t="s">
        <v>48</v>
      </c>
      <c r="R150" s="12">
        <v>414</v>
      </c>
      <c r="S150" s="12"/>
      <c r="T150" s="12" t="s">
        <v>166</v>
      </c>
      <c r="U150" s="12">
        <v>2010</v>
      </c>
      <c r="V150" s="12" t="s">
        <v>28</v>
      </c>
      <c r="W150" s="12" t="s">
        <v>48</v>
      </c>
      <c r="X150" s="12">
        <v>18</v>
      </c>
    </row>
    <row r="151" spans="2:24" x14ac:dyDescent="0.25">
      <c r="B151" t="s">
        <v>74</v>
      </c>
      <c r="C151">
        <v>2015</v>
      </c>
      <c r="D151" s="12" t="s">
        <v>39</v>
      </c>
      <c r="E151" s="12" t="s">
        <v>2</v>
      </c>
      <c r="F151" s="16">
        <v>1.5</v>
      </c>
      <c r="G151" s="12"/>
      <c r="H151" s="12" t="s">
        <v>218</v>
      </c>
      <c r="I151" s="12">
        <v>2020</v>
      </c>
      <c r="J151" s="12" t="s">
        <v>39</v>
      </c>
      <c r="K151" s="12" t="s">
        <v>20</v>
      </c>
      <c r="L151" s="16">
        <v>1162.1454000000001</v>
      </c>
      <c r="M151" s="12"/>
      <c r="N151" s="12" t="s">
        <v>167</v>
      </c>
      <c r="O151" s="12">
        <v>2010</v>
      </c>
      <c r="P151" s="12" t="s">
        <v>21</v>
      </c>
      <c r="Q151" s="12" t="s">
        <v>48</v>
      </c>
      <c r="R151" s="12">
        <v>57.5</v>
      </c>
      <c r="S151" s="12"/>
      <c r="T151" s="12" t="s">
        <v>167</v>
      </c>
      <c r="U151" s="12">
        <v>2010</v>
      </c>
      <c r="V151" s="12" t="s">
        <v>21</v>
      </c>
      <c r="W151" s="12" t="s">
        <v>48</v>
      </c>
      <c r="X151" s="12">
        <v>2.5</v>
      </c>
    </row>
    <row r="152" spans="2:24" x14ac:dyDescent="0.25">
      <c r="B152" t="s">
        <v>74</v>
      </c>
      <c r="C152">
        <v>2015</v>
      </c>
      <c r="D152" s="12" t="s">
        <v>39</v>
      </c>
      <c r="E152" s="12" t="s">
        <v>43</v>
      </c>
      <c r="F152" s="16">
        <v>1.5</v>
      </c>
      <c r="G152" s="12"/>
      <c r="H152" s="12" t="s">
        <v>231</v>
      </c>
      <c r="I152" s="12">
        <v>2010</v>
      </c>
      <c r="J152" s="12" t="s">
        <v>39</v>
      </c>
      <c r="K152" s="12" t="s">
        <v>21</v>
      </c>
      <c r="L152" s="16">
        <v>599.00879999999995</v>
      </c>
      <c r="M152" s="12"/>
      <c r="N152" s="12" t="s">
        <v>167</v>
      </c>
      <c r="O152" s="12">
        <v>2010</v>
      </c>
      <c r="P152" s="12" t="s">
        <v>25</v>
      </c>
      <c r="Q152" s="12" t="s">
        <v>48</v>
      </c>
      <c r="R152" s="12">
        <v>57.5</v>
      </c>
      <c r="S152" s="12"/>
      <c r="T152" s="12" t="s">
        <v>167</v>
      </c>
      <c r="U152" s="12">
        <v>2010</v>
      </c>
      <c r="V152" s="12" t="s">
        <v>25</v>
      </c>
      <c r="W152" s="12" t="s">
        <v>48</v>
      </c>
      <c r="X152" s="12">
        <v>2.5</v>
      </c>
    </row>
    <row r="153" spans="2:24" x14ac:dyDescent="0.25">
      <c r="B153" t="s">
        <v>74</v>
      </c>
      <c r="C153">
        <v>2020</v>
      </c>
      <c r="D153" s="12" t="s">
        <v>39</v>
      </c>
      <c r="E153" s="12" t="s">
        <v>2</v>
      </c>
      <c r="F153" s="16">
        <v>1.5</v>
      </c>
      <c r="G153" s="12"/>
      <c r="H153" s="12" t="s">
        <v>231</v>
      </c>
      <c r="I153" s="12">
        <v>2015</v>
      </c>
      <c r="J153" s="12" t="s">
        <v>39</v>
      </c>
      <c r="K153" s="12" t="s">
        <v>21</v>
      </c>
      <c r="L153" s="16">
        <v>599.00879999999995</v>
      </c>
      <c r="M153" s="12"/>
      <c r="N153" s="12" t="s">
        <v>168</v>
      </c>
      <c r="O153" s="12">
        <v>2010</v>
      </c>
      <c r="P153" s="12" t="s">
        <v>21</v>
      </c>
      <c r="Q153" s="12" t="s">
        <v>48</v>
      </c>
      <c r="R153" s="12">
        <v>828</v>
      </c>
      <c r="S153" s="12"/>
      <c r="T153" s="12" t="s">
        <v>168</v>
      </c>
      <c r="U153" s="12">
        <v>2010</v>
      </c>
      <c r="V153" s="12" t="s">
        <v>21</v>
      </c>
      <c r="W153" s="12" t="s">
        <v>48</v>
      </c>
      <c r="X153" s="12">
        <v>36</v>
      </c>
    </row>
    <row r="154" spans="2:24" x14ac:dyDescent="0.25">
      <c r="B154" t="s">
        <v>74</v>
      </c>
      <c r="C154">
        <v>2020</v>
      </c>
      <c r="D154" s="12" t="s">
        <v>39</v>
      </c>
      <c r="E154" s="12" t="s">
        <v>43</v>
      </c>
      <c r="F154" s="16">
        <v>1.5</v>
      </c>
      <c r="G154" s="12"/>
      <c r="H154" s="12" t="s">
        <v>231</v>
      </c>
      <c r="I154" s="12">
        <v>2020</v>
      </c>
      <c r="J154" s="12" t="s">
        <v>39</v>
      </c>
      <c r="K154" s="12" t="s">
        <v>21</v>
      </c>
      <c r="L154" s="16">
        <v>599.00879999999995</v>
      </c>
      <c r="M154" s="12"/>
      <c r="N154" s="12" t="s">
        <v>168</v>
      </c>
      <c r="O154" s="12">
        <v>2010</v>
      </c>
      <c r="P154" s="12" t="s">
        <v>28</v>
      </c>
      <c r="Q154" s="12" t="s">
        <v>48</v>
      </c>
      <c r="R154" s="12">
        <v>828</v>
      </c>
      <c r="S154" s="12"/>
      <c r="T154" s="12" t="s">
        <v>168</v>
      </c>
      <c r="U154" s="12">
        <v>2010</v>
      </c>
      <c r="V154" s="12" t="s">
        <v>28</v>
      </c>
      <c r="W154" s="12" t="s">
        <v>48</v>
      </c>
      <c r="X154" s="12">
        <v>36</v>
      </c>
    </row>
    <row r="155" spans="2:24" x14ac:dyDescent="0.25">
      <c r="B155" t="s">
        <v>74</v>
      </c>
      <c r="C155">
        <v>2025</v>
      </c>
      <c r="D155" s="12" t="s">
        <v>40</v>
      </c>
      <c r="E155" s="12" t="s">
        <v>2</v>
      </c>
      <c r="F155" s="16">
        <v>1.5</v>
      </c>
      <c r="G155" s="12"/>
      <c r="H155" s="12" t="s">
        <v>233</v>
      </c>
      <c r="I155" s="12">
        <v>2010</v>
      </c>
      <c r="J155" s="12" t="s">
        <v>39</v>
      </c>
      <c r="K155" s="12" t="s">
        <v>21</v>
      </c>
      <c r="L155" s="16">
        <v>1797.16875</v>
      </c>
      <c r="M155" s="12"/>
      <c r="N155" s="12" t="s">
        <v>169</v>
      </c>
      <c r="O155" s="12">
        <v>2010</v>
      </c>
      <c r="P155" s="12" t="s">
        <v>22</v>
      </c>
      <c r="Q155" s="12" t="s">
        <v>48</v>
      </c>
      <c r="R155" s="12">
        <v>414</v>
      </c>
      <c r="S155" s="12"/>
      <c r="T155" s="12" t="s">
        <v>169</v>
      </c>
      <c r="U155" s="12">
        <v>2010</v>
      </c>
      <c r="V155" s="12" t="s">
        <v>22</v>
      </c>
      <c r="W155" s="12" t="s">
        <v>48</v>
      </c>
      <c r="X155" s="12">
        <v>18</v>
      </c>
    </row>
    <row r="156" spans="2:24" x14ac:dyDescent="0.25">
      <c r="B156" t="s">
        <v>74</v>
      </c>
      <c r="C156">
        <v>2025</v>
      </c>
      <c r="D156" s="12" t="s">
        <v>40</v>
      </c>
      <c r="E156" s="12" t="s">
        <v>43</v>
      </c>
      <c r="F156" s="16">
        <v>1.5</v>
      </c>
      <c r="G156" s="12"/>
      <c r="H156" s="12" t="s">
        <v>233</v>
      </c>
      <c r="I156" s="12">
        <v>2015</v>
      </c>
      <c r="J156" s="12" t="s">
        <v>39</v>
      </c>
      <c r="K156" s="12" t="s">
        <v>21</v>
      </c>
      <c r="L156" s="16">
        <v>1797.16875</v>
      </c>
      <c r="M156" s="12"/>
      <c r="N156" s="12" t="s">
        <v>169</v>
      </c>
      <c r="O156" s="12">
        <v>2010</v>
      </c>
      <c r="P156" s="12" t="s">
        <v>25</v>
      </c>
      <c r="Q156" s="12" t="s">
        <v>48</v>
      </c>
      <c r="R156" s="12">
        <v>414</v>
      </c>
      <c r="S156" s="12"/>
      <c r="T156" s="12" t="s">
        <v>169</v>
      </c>
      <c r="U156" s="12">
        <v>2010</v>
      </c>
      <c r="V156" s="12" t="s">
        <v>25</v>
      </c>
      <c r="W156" s="12" t="s">
        <v>48</v>
      </c>
      <c r="X156" s="12">
        <v>18</v>
      </c>
    </row>
    <row r="157" spans="2:24" x14ac:dyDescent="0.25">
      <c r="B157" t="s">
        <v>78</v>
      </c>
      <c r="C157">
        <v>2010</v>
      </c>
      <c r="D157" s="12" t="s">
        <v>39</v>
      </c>
      <c r="E157" s="12" t="s">
        <v>2</v>
      </c>
      <c r="F157" s="16">
        <v>0.45</v>
      </c>
      <c r="G157" s="12"/>
      <c r="H157" s="12" t="s">
        <v>233</v>
      </c>
      <c r="I157" s="12">
        <v>2020</v>
      </c>
      <c r="J157" s="12" t="s">
        <v>39</v>
      </c>
      <c r="K157" s="12" t="s">
        <v>21</v>
      </c>
      <c r="L157" s="16">
        <v>1797.16875</v>
      </c>
      <c r="M157" s="12"/>
      <c r="N157" s="12" t="s">
        <v>170</v>
      </c>
      <c r="O157" s="12">
        <v>2010</v>
      </c>
      <c r="P157" s="12" t="s">
        <v>22</v>
      </c>
      <c r="Q157" s="12" t="s">
        <v>48</v>
      </c>
      <c r="R157" s="12">
        <v>57.5</v>
      </c>
      <c r="S157" s="12"/>
      <c r="T157" s="12" t="s">
        <v>170</v>
      </c>
      <c r="U157" s="12">
        <v>2010</v>
      </c>
      <c r="V157" s="12" t="s">
        <v>22</v>
      </c>
      <c r="W157" s="12" t="s">
        <v>48</v>
      </c>
      <c r="X157" s="12">
        <v>2.5</v>
      </c>
    </row>
    <row r="158" spans="2:24" x14ac:dyDescent="0.25">
      <c r="B158" t="s">
        <v>78</v>
      </c>
      <c r="C158">
        <v>2010</v>
      </c>
      <c r="D158" s="12" t="s">
        <v>39</v>
      </c>
      <c r="E158" s="12" t="s">
        <v>32</v>
      </c>
      <c r="F158" s="16">
        <v>0.45</v>
      </c>
      <c r="G158" s="12"/>
      <c r="H158" s="12" t="s">
        <v>232</v>
      </c>
      <c r="I158" s="12">
        <v>2010</v>
      </c>
      <c r="J158" s="12" t="s">
        <v>39</v>
      </c>
      <c r="K158" s="12" t="s">
        <v>21</v>
      </c>
      <c r="L158" s="16">
        <v>826.8</v>
      </c>
      <c r="M158" s="12"/>
      <c r="N158" s="12" t="s">
        <v>170</v>
      </c>
      <c r="O158" s="12">
        <v>2010</v>
      </c>
      <c r="P158" s="12" t="s">
        <v>27</v>
      </c>
      <c r="Q158" s="12" t="s">
        <v>48</v>
      </c>
      <c r="R158" s="12">
        <v>57.5</v>
      </c>
      <c r="S158" s="12"/>
      <c r="T158" s="12" t="s">
        <v>170</v>
      </c>
      <c r="U158" s="12">
        <v>2010</v>
      </c>
      <c r="V158" s="12" t="s">
        <v>27</v>
      </c>
      <c r="W158" s="12" t="s">
        <v>48</v>
      </c>
      <c r="X158" s="12">
        <v>2.5</v>
      </c>
    </row>
    <row r="159" spans="2:24" x14ac:dyDescent="0.25">
      <c r="B159" t="s">
        <v>78</v>
      </c>
      <c r="C159">
        <v>2015</v>
      </c>
      <c r="D159" s="12" t="s">
        <v>39</v>
      </c>
      <c r="E159" s="12" t="s">
        <v>2</v>
      </c>
      <c r="F159" s="16">
        <v>0.45</v>
      </c>
      <c r="G159" s="12"/>
      <c r="H159" s="12" t="s">
        <v>232</v>
      </c>
      <c r="I159" s="12">
        <v>2015</v>
      </c>
      <c r="J159" s="12" t="s">
        <v>39</v>
      </c>
      <c r="K159" s="12" t="s">
        <v>21</v>
      </c>
      <c r="L159" s="16">
        <v>826.8</v>
      </c>
      <c r="M159" s="12"/>
      <c r="N159" s="12" t="s">
        <v>171</v>
      </c>
      <c r="O159" s="12">
        <v>2010</v>
      </c>
      <c r="P159" s="12" t="s">
        <v>24</v>
      </c>
      <c r="Q159" s="12" t="s">
        <v>48</v>
      </c>
      <c r="R159" s="12">
        <v>57.5</v>
      </c>
      <c r="S159" s="12"/>
      <c r="T159" s="12" t="s">
        <v>171</v>
      </c>
      <c r="U159" s="12">
        <v>2010</v>
      </c>
      <c r="V159" s="12" t="s">
        <v>24</v>
      </c>
      <c r="W159" s="12" t="s">
        <v>48</v>
      </c>
      <c r="X159" s="12">
        <v>2.5</v>
      </c>
    </row>
    <row r="160" spans="2:24" x14ac:dyDescent="0.25">
      <c r="B160" t="s">
        <v>78</v>
      </c>
      <c r="C160">
        <v>2015</v>
      </c>
      <c r="D160" s="12" t="s">
        <v>39</v>
      </c>
      <c r="E160" s="12" t="s">
        <v>32</v>
      </c>
      <c r="F160" s="16">
        <v>0.45</v>
      </c>
      <c r="G160" s="12"/>
      <c r="H160" s="12" t="s">
        <v>232</v>
      </c>
      <c r="I160" s="12">
        <v>2020</v>
      </c>
      <c r="J160" s="12" t="s">
        <v>39</v>
      </c>
      <c r="K160" s="12" t="s">
        <v>21</v>
      </c>
      <c r="L160" s="16">
        <v>826.8</v>
      </c>
      <c r="M160" s="12"/>
      <c r="N160" s="12" t="s">
        <v>171</v>
      </c>
      <c r="O160" s="12">
        <v>2010</v>
      </c>
      <c r="P160" s="12" t="s">
        <v>33</v>
      </c>
      <c r="Q160" s="12" t="s">
        <v>48</v>
      </c>
      <c r="R160" s="12">
        <v>57.5</v>
      </c>
      <c r="S160" s="12"/>
      <c r="T160" s="12" t="s">
        <v>171</v>
      </c>
      <c r="U160" s="12">
        <v>2010</v>
      </c>
      <c r="V160" s="12" t="s">
        <v>33</v>
      </c>
      <c r="W160" s="12" t="s">
        <v>48</v>
      </c>
      <c r="X160" s="12">
        <v>2.5</v>
      </c>
    </row>
    <row r="161" spans="2:24" x14ac:dyDescent="0.25">
      <c r="B161" t="s">
        <v>78</v>
      </c>
      <c r="C161">
        <v>2020</v>
      </c>
      <c r="D161" s="12" t="s">
        <v>39</v>
      </c>
      <c r="E161" s="12" t="s">
        <v>2</v>
      </c>
      <c r="F161" s="16">
        <v>0.45</v>
      </c>
      <c r="G161" s="12"/>
      <c r="H161" s="12" t="s">
        <v>234</v>
      </c>
      <c r="I161" s="12">
        <v>2010</v>
      </c>
      <c r="J161" s="12" t="s">
        <v>39</v>
      </c>
      <c r="K161" s="12" t="s">
        <v>21</v>
      </c>
      <c r="L161" s="16">
        <v>1183.7826</v>
      </c>
      <c r="M161" s="12"/>
      <c r="N161" s="12" t="s">
        <v>174</v>
      </c>
      <c r="O161" s="12">
        <v>2010</v>
      </c>
      <c r="P161" s="12" t="s">
        <v>30</v>
      </c>
      <c r="Q161" s="12" t="s">
        <v>48</v>
      </c>
      <c r="R161" s="12">
        <v>57.5</v>
      </c>
      <c r="S161" s="12"/>
      <c r="T161" s="12" t="s">
        <v>174</v>
      </c>
      <c r="U161" s="12">
        <v>2010</v>
      </c>
      <c r="V161" s="12" t="s">
        <v>30</v>
      </c>
      <c r="W161" s="12" t="s">
        <v>48</v>
      </c>
      <c r="X161" s="12">
        <v>2.5</v>
      </c>
    </row>
    <row r="162" spans="2:24" x14ac:dyDescent="0.25">
      <c r="B162" t="s">
        <v>78</v>
      </c>
      <c r="C162">
        <v>2020</v>
      </c>
      <c r="D162" s="12" t="s">
        <v>39</v>
      </c>
      <c r="E162" s="12" t="s">
        <v>32</v>
      </c>
      <c r="F162" s="16">
        <v>0.45</v>
      </c>
      <c r="G162" s="12"/>
      <c r="H162" s="12" t="s">
        <v>234</v>
      </c>
      <c r="I162" s="12">
        <v>2015</v>
      </c>
      <c r="J162" s="12" t="s">
        <v>39</v>
      </c>
      <c r="K162" s="12" t="s">
        <v>21</v>
      </c>
      <c r="L162" s="16">
        <v>1183.7826</v>
      </c>
      <c r="M162" s="12"/>
      <c r="N162" s="12" t="s">
        <v>174</v>
      </c>
      <c r="O162" s="12">
        <v>2010</v>
      </c>
      <c r="P162" s="12" t="s">
        <v>26</v>
      </c>
      <c r="Q162" s="12" t="s">
        <v>48</v>
      </c>
      <c r="R162" s="12">
        <v>57.5</v>
      </c>
      <c r="S162" s="12"/>
      <c r="T162" s="12" t="s">
        <v>174</v>
      </c>
      <c r="U162" s="12">
        <v>2010</v>
      </c>
      <c r="V162" s="12" t="s">
        <v>26</v>
      </c>
      <c r="W162" s="12" t="s">
        <v>48</v>
      </c>
      <c r="X162" s="12">
        <v>2.5</v>
      </c>
    </row>
    <row r="163" spans="2:24" x14ac:dyDescent="0.25">
      <c r="B163" t="s">
        <v>78</v>
      </c>
      <c r="C163">
        <v>2025</v>
      </c>
      <c r="D163" s="12" t="s">
        <v>40</v>
      </c>
      <c r="E163" s="12" t="s">
        <v>2</v>
      </c>
      <c r="F163" s="16">
        <v>0.45</v>
      </c>
      <c r="G163" s="12"/>
      <c r="H163" s="12" t="s">
        <v>234</v>
      </c>
      <c r="I163" s="12">
        <v>2020</v>
      </c>
      <c r="J163" s="12" t="s">
        <v>39</v>
      </c>
      <c r="K163" s="12" t="s">
        <v>21</v>
      </c>
      <c r="L163" s="16">
        <v>1183.7826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2:24" x14ac:dyDescent="0.25">
      <c r="B164" t="s">
        <v>78</v>
      </c>
      <c r="C164">
        <v>2025</v>
      </c>
      <c r="D164" s="12" t="s">
        <v>40</v>
      </c>
      <c r="E164" s="12" t="s">
        <v>32</v>
      </c>
      <c r="F164" s="16">
        <v>0.45</v>
      </c>
      <c r="G164" s="12"/>
      <c r="H164" s="12" t="s">
        <v>235</v>
      </c>
      <c r="I164" s="12">
        <v>2010</v>
      </c>
      <c r="J164" s="12" t="s">
        <v>39</v>
      </c>
      <c r="K164" s="12" t="s">
        <v>21</v>
      </c>
      <c r="L164" s="16">
        <v>1850.97705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2:24" x14ac:dyDescent="0.25">
      <c r="B165" t="s">
        <v>75</v>
      </c>
      <c r="C165">
        <v>2010</v>
      </c>
      <c r="D165" s="12" t="s">
        <v>39</v>
      </c>
      <c r="E165" s="12" t="s">
        <v>2</v>
      </c>
      <c r="F165" s="16">
        <v>0.95</v>
      </c>
      <c r="G165" s="12"/>
      <c r="H165" s="12" t="s">
        <v>235</v>
      </c>
      <c r="I165" s="12">
        <v>2015</v>
      </c>
      <c r="J165" s="12" t="s">
        <v>39</v>
      </c>
      <c r="K165" s="12" t="s">
        <v>21</v>
      </c>
      <c r="L165" s="16">
        <v>1850.97705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2:24" x14ac:dyDescent="0.25">
      <c r="B166" t="s">
        <v>75</v>
      </c>
      <c r="C166">
        <v>2010</v>
      </c>
      <c r="D166" s="12" t="s">
        <v>39</v>
      </c>
      <c r="E166" s="12" t="s">
        <v>24</v>
      </c>
      <c r="F166" s="16">
        <v>0.95</v>
      </c>
      <c r="G166" s="12"/>
      <c r="H166" s="12" t="s">
        <v>235</v>
      </c>
      <c r="I166" s="12">
        <v>2020</v>
      </c>
      <c r="J166" s="12" t="s">
        <v>39</v>
      </c>
      <c r="K166" s="12" t="s">
        <v>21</v>
      </c>
      <c r="L166" s="16">
        <v>1850.97705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2:24" x14ac:dyDescent="0.25">
      <c r="B167" t="s">
        <v>75</v>
      </c>
      <c r="C167">
        <v>2015</v>
      </c>
      <c r="D167" s="12" t="s">
        <v>39</v>
      </c>
      <c r="E167" s="12" t="s">
        <v>2</v>
      </c>
      <c r="F167" s="16">
        <v>0.95</v>
      </c>
      <c r="G167" s="12"/>
      <c r="H167" s="12" t="s">
        <v>219</v>
      </c>
      <c r="I167" s="12">
        <v>2010</v>
      </c>
      <c r="J167" s="12" t="s">
        <v>39</v>
      </c>
      <c r="K167" s="12" t="s">
        <v>23</v>
      </c>
      <c r="L167" s="16">
        <v>100.35675000000001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2:24" x14ac:dyDescent="0.25">
      <c r="B168" t="s">
        <v>75</v>
      </c>
      <c r="C168">
        <v>2015</v>
      </c>
      <c r="D168" s="12" t="s">
        <v>39</v>
      </c>
      <c r="E168" s="12" t="s">
        <v>24</v>
      </c>
      <c r="F168" s="16">
        <v>0.95</v>
      </c>
      <c r="G168" s="12"/>
      <c r="H168" s="12" t="s">
        <v>219</v>
      </c>
      <c r="I168" s="12">
        <v>2015</v>
      </c>
      <c r="J168" s="12" t="s">
        <v>39</v>
      </c>
      <c r="K168" s="12" t="s">
        <v>23</v>
      </c>
      <c r="L168" s="16">
        <v>149.4675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2:24" x14ac:dyDescent="0.25">
      <c r="B169" t="s">
        <v>75</v>
      </c>
      <c r="C169">
        <v>2020</v>
      </c>
      <c r="D169" s="12" t="s">
        <v>39</v>
      </c>
      <c r="E169" s="12" t="s">
        <v>2</v>
      </c>
      <c r="F169" s="16">
        <v>0.95</v>
      </c>
      <c r="G169" s="12"/>
      <c r="H169" s="12" t="s">
        <v>219</v>
      </c>
      <c r="I169" s="12">
        <v>2020</v>
      </c>
      <c r="J169" s="12" t="s">
        <v>39</v>
      </c>
      <c r="K169" s="12" t="s">
        <v>23</v>
      </c>
      <c r="L169" s="16">
        <v>149.4675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2:24" x14ac:dyDescent="0.25">
      <c r="B170" t="s">
        <v>75</v>
      </c>
      <c r="C170">
        <v>2020</v>
      </c>
      <c r="D170" s="12" t="s">
        <v>39</v>
      </c>
      <c r="E170" s="12" t="s">
        <v>24</v>
      </c>
      <c r="F170" s="16">
        <v>0.95</v>
      </c>
      <c r="G170" s="12"/>
      <c r="H170" s="12" t="s">
        <v>220</v>
      </c>
      <c r="I170" s="12">
        <v>2010</v>
      </c>
      <c r="J170" s="12" t="s">
        <v>39</v>
      </c>
      <c r="K170" s="12" t="s">
        <v>24</v>
      </c>
      <c r="L170" s="16">
        <v>1176.5227500000001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2:24" x14ac:dyDescent="0.25">
      <c r="B171" t="s">
        <v>75</v>
      </c>
      <c r="C171">
        <v>2025</v>
      </c>
      <c r="D171" s="12" t="s">
        <v>40</v>
      </c>
      <c r="E171" s="12" t="s">
        <v>2</v>
      </c>
      <c r="F171" s="16">
        <v>0.95</v>
      </c>
      <c r="G171" s="12"/>
      <c r="H171" s="12" t="s">
        <v>220</v>
      </c>
      <c r="I171" s="12">
        <v>2015</v>
      </c>
      <c r="J171" s="12" t="s">
        <v>39</v>
      </c>
      <c r="K171" s="12" t="s">
        <v>24</v>
      </c>
      <c r="L171" s="16">
        <v>1176.5227500000001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2:24" x14ac:dyDescent="0.25">
      <c r="B172" t="s">
        <v>75</v>
      </c>
      <c r="C172">
        <v>2025</v>
      </c>
      <c r="D172" s="12" t="s">
        <v>40</v>
      </c>
      <c r="E172" s="12" t="s">
        <v>24</v>
      </c>
      <c r="F172" s="16">
        <v>0.95</v>
      </c>
      <c r="G172" s="12"/>
      <c r="H172" s="12" t="s">
        <v>220</v>
      </c>
      <c r="I172" s="12">
        <v>2020</v>
      </c>
      <c r="J172" s="12" t="s">
        <v>39</v>
      </c>
      <c r="K172" s="12" t="s">
        <v>24</v>
      </c>
      <c r="L172" s="16">
        <v>1176.5227500000001</v>
      </c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2:24" x14ac:dyDescent="0.25">
      <c r="B173" t="s">
        <v>80</v>
      </c>
      <c r="C173">
        <v>2010</v>
      </c>
      <c r="D173" s="12" t="s">
        <v>39</v>
      </c>
      <c r="E173" s="12" t="s">
        <v>2</v>
      </c>
      <c r="F173" s="16">
        <v>1</v>
      </c>
      <c r="G173" s="12"/>
      <c r="H173" s="12" t="s">
        <v>240</v>
      </c>
      <c r="I173" s="12">
        <v>2010</v>
      </c>
      <c r="J173" s="12" t="s">
        <v>39</v>
      </c>
      <c r="K173" s="12" t="s">
        <v>33</v>
      </c>
      <c r="L173" s="16">
        <v>28.7547</v>
      </c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2:24" x14ac:dyDescent="0.25">
      <c r="B174" t="s">
        <v>80</v>
      </c>
      <c r="C174">
        <v>2010</v>
      </c>
      <c r="D174" s="12" t="s">
        <v>39</v>
      </c>
      <c r="E174" s="12" t="s">
        <v>33</v>
      </c>
      <c r="F174" s="16">
        <v>1</v>
      </c>
      <c r="G174" s="12"/>
      <c r="H174" s="12" t="s">
        <v>240</v>
      </c>
      <c r="I174" s="12">
        <v>2015</v>
      </c>
      <c r="J174" s="12" t="s">
        <v>39</v>
      </c>
      <c r="K174" s="12" t="s">
        <v>33</v>
      </c>
      <c r="L174" s="16">
        <v>28.7547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2:24" x14ac:dyDescent="0.25">
      <c r="B175" t="s">
        <v>80</v>
      </c>
      <c r="C175">
        <v>2015</v>
      </c>
      <c r="D175" s="12" t="s">
        <v>39</v>
      </c>
      <c r="E175" s="12" t="s">
        <v>2</v>
      </c>
      <c r="F175" s="16">
        <v>1</v>
      </c>
      <c r="G175" s="12"/>
      <c r="H175" s="12" t="s">
        <v>240</v>
      </c>
      <c r="I175" s="12">
        <v>2020</v>
      </c>
      <c r="J175" s="12" t="s">
        <v>39</v>
      </c>
      <c r="K175" s="12" t="s">
        <v>33</v>
      </c>
      <c r="L175" s="16">
        <v>28.7547</v>
      </c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2:24" x14ac:dyDescent="0.25">
      <c r="B176" t="s">
        <v>80</v>
      </c>
      <c r="C176">
        <v>2015</v>
      </c>
      <c r="D176" s="12" t="s">
        <v>39</v>
      </c>
      <c r="E176" s="12" t="s">
        <v>33</v>
      </c>
      <c r="F176" s="16">
        <v>1</v>
      </c>
      <c r="G176" s="12"/>
      <c r="H176" s="12" t="s">
        <v>225</v>
      </c>
      <c r="I176" s="12">
        <v>2010</v>
      </c>
      <c r="J176" s="12" t="s">
        <v>39</v>
      </c>
      <c r="K176" s="12" t="s">
        <v>26</v>
      </c>
      <c r="L176" s="16">
        <v>71.744399999999999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2:24" x14ac:dyDescent="0.25">
      <c r="B177" t="s">
        <v>80</v>
      </c>
      <c r="C177">
        <v>2020</v>
      </c>
      <c r="D177" s="12" t="s">
        <v>39</v>
      </c>
      <c r="E177" s="12" t="s">
        <v>2</v>
      </c>
      <c r="F177" s="16">
        <v>1</v>
      </c>
      <c r="G177" s="12"/>
      <c r="H177" s="12" t="s">
        <v>225</v>
      </c>
      <c r="I177" s="12">
        <v>2015</v>
      </c>
      <c r="J177" s="12" t="s">
        <v>39</v>
      </c>
      <c r="K177" s="12" t="s">
        <v>26</v>
      </c>
      <c r="L177" s="16">
        <v>280.99889999999999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2:24" x14ac:dyDescent="0.25">
      <c r="B178" t="s">
        <v>80</v>
      </c>
      <c r="C178">
        <v>2020</v>
      </c>
      <c r="D178" s="12" t="s">
        <v>39</v>
      </c>
      <c r="E178" s="12" t="s">
        <v>33</v>
      </c>
      <c r="F178" s="16">
        <v>1</v>
      </c>
      <c r="G178" s="12"/>
      <c r="H178" s="12" t="s">
        <v>225</v>
      </c>
      <c r="I178" s="12">
        <v>2020</v>
      </c>
      <c r="J178" s="12" t="s">
        <v>39</v>
      </c>
      <c r="K178" s="12" t="s">
        <v>26</v>
      </c>
      <c r="L178" s="16">
        <v>280.99889999999999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2:24" x14ac:dyDescent="0.25">
      <c r="B179" t="s">
        <v>80</v>
      </c>
      <c r="C179">
        <v>2025</v>
      </c>
      <c r="D179" s="12" t="s">
        <v>40</v>
      </c>
      <c r="E179" s="12" t="s">
        <v>2</v>
      </c>
      <c r="F179" s="16">
        <v>1</v>
      </c>
      <c r="G179" s="12"/>
      <c r="H179" s="12" t="s">
        <v>223</v>
      </c>
      <c r="I179" s="12">
        <v>2010</v>
      </c>
      <c r="J179" s="12" t="s">
        <v>39</v>
      </c>
      <c r="K179" s="12" t="s">
        <v>26</v>
      </c>
      <c r="L179" s="16">
        <v>71.744399999999999</v>
      </c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2:24" x14ac:dyDescent="0.25">
      <c r="B180" t="s">
        <v>80</v>
      </c>
      <c r="C180">
        <v>2025</v>
      </c>
      <c r="D180" s="12" t="s">
        <v>40</v>
      </c>
      <c r="E180" s="12" t="s">
        <v>33</v>
      </c>
      <c r="F180" s="16">
        <v>1</v>
      </c>
      <c r="G180" s="12"/>
      <c r="H180" s="12" t="s">
        <v>223</v>
      </c>
      <c r="I180" s="12">
        <v>2015</v>
      </c>
      <c r="J180" s="12" t="s">
        <v>39</v>
      </c>
      <c r="K180" s="12" t="s">
        <v>26</v>
      </c>
      <c r="L180" s="16">
        <v>71.744399999999999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2:24" x14ac:dyDescent="0.25">
      <c r="B181" t="s">
        <v>82</v>
      </c>
      <c r="C181">
        <v>2010</v>
      </c>
      <c r="D181" s="12" t="s">
        <v>39</v>
      </c>
      <c r="E181" s="12" t="s">
        <v>3</v>
      </c>
      <c r="F181" s="16">
        <v>4.4000000000000004</v>
      </c>
      <c r="G181" s="12"/>
      <c r="H181" s="12" t="s">
        <v>223</v>
      </c>
      <c r="I181" s="12">
        <v>2020</v>
      </c>
      <c r="J181" s="12" t="s">
        <v>39</v>
      </c>
      <c r="K181" s="12" t="s">
        <v>26</v>
      </c>
      <c r="L181" s="16">
        <v>71.744399999999999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2:24" x14ac:dyDescent="0.25">
      <c r="B182" t="s">
        <v>82</v>
      </c>
      <c r="C182">
        <v>2010</v>
      </c>
      <c r="D182" s="12" t="s">
        <v>39</v>
      </c>
      <c r="E182" s="12" t="s">
        <v>6</v>
      </c>
      <c r="F182" s="16">
        <v>4.4000000000000004</v>
      </c>
      <c r="G182" s="12"/>
      <c r="H182" s="12" t="s">
        <v>224</v>
      </c>
      <c r="I182" s="12">
        <v>2010</v>
      </c>
      <c r="J182" s="12" t="s">
        <v>39</v>
      </c>
      <c r="K182" s="12" t="s">
        <v>26</v>
      </c>
      <c r="L182" s="16">
        <v>94.378050000000002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2:24" x14ac:dyDescent="0.25">
      <c r="B183" t="s">
        <v>82</v>
      </c>
      <c r="C183">
        <v>2015</v>
      </c>
      <c r="D183" s="12" t="s">
        <v>39</v>
      </c>
      <c r="E183" s="12" t="s">
        <v>3</v>
      </c>
      <c r="F183" s="16">
        <v>4.4000000000000004</v>
      </c>
      <c r="G183" s="12"/>
      <c r="H183" s="12" t="s">
        <v>224</v>
      </c>
      <c r="I183" s="12">
        <v>2015</v>
      </c>
      <c r="J183" s="12" t="s">
        <v>39</v>
      </c>
      <c r="K183" s="12" t="s">
        <v>26</v>
      </c>
      <c r="L183" s="16">
        <v>94.378050000000002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2:24" x14ac:dyDescent="0.25">
      <c r="B184" t="s">
        <v>82</v>
      </c>
      <c r="C184">
        <v>2015</v>
      </c>
      <c r="D184" s="12" t="s">
        <v>39</v>
      </c>
      <c r="E184" s="12" t="s">
        <v>6</v>
      </c>
      <c r="F184" s="16">
        <v>4.4000000000000004</v>
      </c>
      <c r="G184" s="12"/>
      <c r="H184" s="12" t="s">
        <v>224</v>
      </c>
      <c r="I184" s="12">
        <v>2020</v>
      </c>
      <c r="J184" s="12" t="s">
        <v>39</v>
      </c>
      <c r="K184" s="12" t="s">
        <v>26</v>
      </c>
      <c r="L184" s="16">
        <v>94.378050000000002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2:24" x14ac:dyDescent="0.25">
      <c r="B185" t="s">
        <v>82</v>
      </c>
      <c r="C185">
        <v>2020</v>
      </c>
      <c r="D185" s="12" t="s">
        <v>39</v>
      </c>
      <c r="E185" s="12" t="s">
        <v>3</v>
      </c>
      <c r="F185" s="16">
        <v>4.4000000000000004</v>
      </c>
      <c r="G185" s="12"/>
      <c r="H185" s="12" t="s">
        <v>221</v>
      </c>
      <c r="I185" s="12">
        <v>2010</v>
      </c>
      <c r="J185" s="12" t="s">
        <v>39</v>
      </c>
      <c r="K185" s="12" t="s">
        <v>27</v>
      </c>
      <c r="L185" s="16">
        <v>2166.7093500000001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2:24" x14ac:dyDescent="0.25">
      <c r="B186" t="s">
        <v>82</v>
      </c>
      <c r="C186">
        <v>2020</v>
      </c>
      <c r="D186" s="12" t="s">
        <v>39</v>
      </c>
      <c r="E186" s="12" t="s">
        <v>6</v>
      </c>
      <c r="F186" s="16">
        <v>4.4000000000000004</v>
      </c>
      <c r="G186" s="12"/>
      <c r="H186" s="12" t="s">
        <v>221</v>
      </c>
      <c r="I186" s="12">
        <v>2015</v>
      </c>
      <c r="J186" s="12" t="s">
        <v>39</v>
      </c>
      <c r="K186" s="12" t="s">
        <v>27</v>
      </c>
      <c r="L186" s="16">
        <v>2166.7093500000001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2:24" x14ac:dyDescent="0.25">
      <c r="B187" t="s">
        <v>82</v>
      </c>
      <c r="C187">
        <v>2025</v>
      </c>
      <c r="D187" s="12" t="s">
        <v>40</v>
      </c>
      <c r="E187" s="12" t="s">
        <v>3</v>
      </c>
      <c r="F187" s="16">
        <v>4.4000000000000004</v>
      </c>
      <c r="G187" s="12"/>
      <c r="H187" s="12" t="s">
        <v>221</v>
      </c>
      <c r="I187" s="12">
        <v>2020</v>
      </c>
      <c r="J187" s="12" t="s">
        <v>39</v>
      </c>
      <c r="K187" s="12" t="s">
        <v>27</v>
      </c>
      <c r="L187" s="16">
        <v>2166.7093500000001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2:24" x14ac:dyDescent="0.25">
      <c r="B188" t="s">
        <v>82</v>
      </c>
      <c r="C188">
        <v>2025</v>
      </c>
      <c r="D188" s="12" t="s">
        <v>40</v>
      </c>
      <c r="E188" s="12" t="s">
        <v>6</v>
      </c>
      <c r="F188" s="16">
        <v>4.4000000000000004</v>
      </c>
      <c r="G188" s="12"/>
      <c r="H188" s="12" t="s">
        <v>222</v>
      </c>
      <c r="I188" s="12">
        <v>2010</v>
      </c>
      <c r="J188" s="12" t="s">
        <v>39</v>
      </c>
      <c r="K188" s="12" t="s">
        <v>27</v>
      </c>
      <c r="L188" s="16">
        <v>2220.66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2:24" x14ac:dyDescent="0.25">
      <c r="B189" t="s">
        <v>83</v>
      </c>
      <c r="C189">
        <v>2010</v>
      </c>
      <c r="D189" s="12" t="s">
        <v>39</v>
      </c>
      <c r="E189" s="12" t="s">
        <v>3</v>
      </c>
      <c r="F189" s="16">
        <v>3.5</v>
      </c>
      <c r="G189" s="12"/>
      <c r="H189" s="12" t="s">
        <v>222</v>
      </c>
      <c r="I189" s="12">
        <v>2015</v>
      </c>
      <c r="J189" s="12" t="s">
        <v>39</v>
      </c>
      <c r="K189" s="12" t="s">
        <v>27</v>
      </c>
      <c r="L189" s="16">
        <v>2220.66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2:24" x14ac:dyDescent="0.25">
      <c r="B190" t="s">
        <v>83</v>
      </c>
      <c r="C190">
        <v>2010</v>
      </c>
      <c r="D190" s="12" t="s">
        <v>39</v>
      </c>
      <c r="E190" s="12" t="s">
        <v>11</v>
      </c>
      <c r="F190" s="16">
        <v>3.5</v>
      </c>
      <c r="G190" s="12"/>
      <c r="H190" s="12" t="s">
        <v>222</v>
      </c>
      <c r="I190" s="12">
        <v>2020</v>
      </c>
      <c r="J190" s="12" t="s">
        <v>39</v>
      </c>
      <c r="K190" s="12" t="s">
        <v>27</v>
      </c>
      <c r="L190" s="16">
        <v>2220.66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2:24" x14ac:dyDescent="0.25">
      <c r="B191" t="s">
        <v>83</v>
      </c>
      <c r="C191">
        <v>2015</v>
      </c>
      <c r="D191" s="12" t="s">
        <v>39</v>
      </c>
      <c r="E191" s="12" t="s">
        <v>3</v>
      </c>
      <c r="F191" s="16">
        <v>3.5</v>
      </c>
      <c r="G191" s="12"/>
      <c r="H191" s="12" t="s">
        <v>228</v>
      </c>
      <c r="I191" s="12">
        <v>2010</v>
      </c>
      <c r="J191" s="12" t="s">
        <v>39</v>
      </c>
      <c r="K191" s="12" t="s">
        <v>28</v>
      </c>
      <c r="L191" s="16">
        <v>817.80074999999999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2:24" x14ac:dyDescent="0.25">
      <c r="B192" t="s">
        <v>83</v>
      </c>
      <c r="C192">
        <v>2015</v>
      </c>
      <c r="D192" s="12" t="s">
        <v>39</v>
      </c>
      <c r="E192" s="12" t="s">
        <v>11</v>
      </c>
      <c r="F192" s="16">
        <v>3.5</v>
      </c>
      <c r="G192" s="12"/>
      <c r="H192" s="12" t="s">
        <v>228</v>
      </c>
      <c r="I192" s="12">
        <v>2015</v>
      </c>
      <c r="J192" s="12" t="s">
        <v>39</v>
      </c>
      <c r="K192" s="12" t="s">
        <v>28</v>
      </c>
      <c r="L192" s="16">
        <v>817.80074999999999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2:24" x14ac:dyDescent="0.25">
      <c r="B193" t="s">
        <v>83</v>
      </c>
      <c r="C193">
        <v>2020</v>
      </c>
      <c r="D193" s="12" t="s">
        <v>39</v>
      </c>
      <c r="E193" s="12" t="s">
        <v>3</v>
      </c>
      <c r="F193" s="16">
        <v>3.5</v>
      </c>
      <c r="G193" s="12"/>
      <c r="H193" s="12" t="s">
        <v>228</v>
      </c>
      <c r="I193" s="12">
        <v>2020</v>
      </c>
      <c r="J193" s="12" t="s">
        <v>39</v>
      </c>
      <c r="K193" s="12" t="s">
        <v>28</v>
      </c>
      <c r="L193" s="16">
        <v>817.80074999999999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2:24" x14ac:dyDescent="0.25">
      <c r="B194" t="s">
        <v>83</v>
      </c>
      <c r="C194">
        <v>2020</v>
      </c>
      <c r="D194" s="12" t="s">
        <v>39</v>
      </c>
      <c r="E194" s="12" t="s">
        <v>11</v>
      </c>
      <c r="F194" s="16">
        <v>3.5</v>
      </c>
      <c r="G194" s="12"/>
      <c r="H194" s="12" t="s">
        <v>229</v>
      </c>
      <c r="I194" s="12">
        <v>2010</v>
      </c>
      <c r="J194" s="12" t="s">
        <v>39</v>
      </c>
      <c r="K194" s="12" t="s">
        <v>28</v>
      </c>
      <c r="L194" s="16">
        <v>437.58390000000003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2:24" x14ac:dyDescent="0.25">
      <c r="B195" t="s">
        <v>83</v>
      </c>
      <c r="C195">
        <v>2025</v>
      </c>
      <c r="D195" s="12" t="s">
        <v>40</v>
      </c>
      <c r="E195" s="12" t="s">
        <v>3</v>
      </c>
      <c r="F195" s="16">
        <v>3.5</v>
      </c>
      <c r="G195" s="12"/>
      <c r="H195" s="12" t="s">
        <v>229</v>
      </c>
      <c r="I195" s="12">
        <v>2015</v>
      </c>
      <c r="J195" s="12" t="s">
        <v>39</v>
      </c>
      <c r="K195" s="12" t="s">
        <v>28</v>
      </c>
      <c r="L195" s="16">
        <v>437.58390000000003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2:24" x14ac:dyDescent="0.25">
      <c r="B196" t="s">
        <v>83</v>
      </c>
      <c r="C196">
        <v>2025</v>
      </c>
      <c r="D196" s="12" t="s">
        <v>40</v>
      </c>
      <c r="E196" s="12" t="s">
        <v>11</v>
      </c>
      <c r="F196" s="16">
        <v>3.5</v>
      </c>
      <c r="G196" s="12"/>
      <c r="H196" s="12" t="s">
        <v>229</v>
      </c>
      <c r="I196" s="12">
        <v>2020</v>
      </c>
      <c r="J196" s="12" t="s">
        <v>39</v>
      </c>
      <c r="K196" s="12" t="s">
        <v>28</v>
      </c>
      <c r="L196" s="16">
        <v>437.58390000000003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2:24" x14ac:dyDescent="0.25">
      <c r="B197" t="s">
        <v>84</v>
      </c>
      <c r="C197">
        <v>2010</v>
      </c>
      <c r="D197" s="12" t="s">
        <v>39</v>
      </c>
      <c r="E197" s="12" t="s">
        <v>3</v>
      </c>
      <c r="F197" s="16">
        <v>4.6399999999999997</v>
      </c>
      <c r="G197" s="12"/>
      <c r="H197" s="12" t="s">
        <v>230</v>
      </c>
      <c r="I197" s="12">
        <v>2010</v>
      </c>
      <c r="J197" s="12" t="s">
        <v>39</v>
      </c>
      <c r="K197" s="12" t="s">
        <v>28</v>
      </c>
      <c r="L197" s="16">
        <v>23.4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2:24" x14ac:dyDescent="0.25">
      <c r="B198" t="s">
        <v>84</v>
      </c>
      <c r="C198">
        <v>2010</v>
      </c>
      <c r="D198" s="12" t="s">
        <v>39</v>
      </c>
      <c r="E198" s="12" t="s">
        <v>15</v>
      </c>
      <c r="F198" s="16">
        <v>4.6399999999999997</v>
      </c>
      <c r="G198" s="12"/>
      <c r="H198" s="12" t="s">
        <v>230</v>
      </c>
      <c r="I198" s="12">
        <v>2015</v>
      </c>
      <c r="J198" s="12" t="s">
        <v>39</v>
      </c>
      <c r="K198" s="12" t="s">
        <v>28</v>
      </c>
      <c r="L198" s="16">
        <v>23.4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2:24" x14ac:dyDescent="0.25">
      <c r="B199" t="s">
        <v>84</v>
      </c>
      <c r="C199">
        <v>2015</v>
      </c>
      <c r="D199" s="12" t="s">
        <v>39</v>
      </c>
      <c r="E199" s="12" t="s">
        <v>3</v>
      </c>
      <c r="F199" s="16">
        <v>4.6399999999999997</v>
      </c>
      <c r="G199" s="12"/>
      <c r="H199" s="12" t="s">
        <v>230</v>
      </c>
      <c r="I199" s="12">
        <v>2020</v>
      </c>
      <c r="J199" s="12" t="s">
        <v>39</v>
      </c>
      <c r="K199" s="12" t="s">
        <v>28</v>
      </c>
      <c r="L199" s="16">
        <v>23.4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2:24" x14ac:dyDescent="0.25">
      <c r="B200" t="s">
        <v>84</v>
      </c>
      <c r="C200">
        <v>2015</v>
      </c>
      <c r="D200" s="12" t="s">
        <v>39</v>
      </c>
      <c r="E200" s="12" t="s">
        <v>15</v>
      </c>
      <c r="F200" s="16">
        <v>4.6399999999999997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2:24" x14ac:dyDescent="0.25">
      <c r="B201" t="s">
        <v>84</v>
      </c>
      <c r="C201">
        <v>2020</v>
      </c>
      <c r="D201" s="12" t="s">
        <v>39</v>
      </c>
      <c r="E201" s="12" t="s">
        <v>3</v>
      </c>
      <c r="F201" s="16">
        <v>5.64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2:24" x14ac:dyDescent="0.25">
      <c r="B202" t="s">
        <v>84</v>
      </c>
      <c r="C202">
        <v>2020</v>
      </c>
      <c r="D202" s="12" t="s">
        <v>39</v>
      </c>
      <c r="E202" s="12" t="s">
        <v>15</v>
      </c>
      <c r="F202" s="16">
        <v>5.64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2:24" x14ac:dyDescent="0.25">
      <c r="B203" t="s">
        <v>84</v>
      </c>
      <c r="C203">
        <v>2025</v>
      </c>
      <c r="D203" s="12" t="s">
        <v>40</v>
      </c>
      <c r="E203" s="12" t="s">
        <v>3</v>
      </c>
      <c r="F203" s="16">
        <v>6.54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2:24" x14ac:dyDescent="0.25">
      <c r="B204" t="s">
        <v>84</v>
      </c>
      <c r="C204">
        <v>2025</v>
      </c>
      <c r="D204" s="12" t="s">
        <v>40</v>
      </c>
      <c r="E204" s="12" t="s">
        <v>15</v>
      </c>
      <c r="F204" s="16">
        <v>6.54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2:24" x14ac:dyDescent="0.25">
      <c r="B205" t="s">
        <v>87</v>
      </c>
      <c r="C205">
        <v>2010</v>
      </c>
      <c r="D205" s="12" t="s">
        <v>39</v>
      </c>
      <c r="E205" s="12" t="s">
        <v>5</v>
      </c>
      <c r="F205" s="16">
        <v>2.2999999999999998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2:24" x14ac:dyDescent="0.25">
      <c r="B206" t="s">
        <v>87</v>
      </c>
      <c r="C206">
        <v>2010</v>
      </c>
      <c r="D206" s="12" t="s">
        <v>39</v>
      </c>
      <c r="E206" s="12" t="s">
        <v>6</v>
      </c>
      <c r="F206" s="16">
        <v>2.2999999999999998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2:24" x14ac:dyDescent="0.25">
      <c r="B207" t="s">
        <v>87</v>
      </c>
      <c r="C207">
        <v>2015</v>
      </c>
      <c r="D207" s="12" t="s">
        <v>39</v>
      </c>
      <c r="E207" s="12" t="s">
        <v>5</v>
      </c>
      <c r="F207" s="16">
        <v>2.2999999999999998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2:24" x14ac:dyDescent="0.25">
      <c r="B208" t="s">
        <v>87</v>
      </c>
      <c r="C208">
        <v>2015</v>
      </c>
      <c r="D208" s="12" t="s">
        <v>39</v>
      </c>
      <c r="E208" s="12" t="s">
        <v>6</v>
      </c>
      <c r="F208" s="16">
        <v>2.2999999999999998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2:24" x14ac:dyDescent="0.25">
      <c r="B209" t="s">
        <v>87</v>
      </c>
      <c r="C209">
        <v>2020</v>
      </c>
      <c r="D209" s="12" t="s">
        <v>39</v>
      </c>
      <c r="E209" s="12" t="s">
        <v>5</v>
      </c>
      <c r="F209" s="16">
        <v>3.8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2:24" x14ac:dyDescent="0.25">
      <c r="B210" t="s">
        <v>87</v>
      </c>
      <c r="C210">
        <v>2020</v>
      </c>
      <c r="D210" s="12" t="s">
        <v>39</v>
      </c>
      <c r="E210" s="12" t="s">
        <v>6</v>
      </c>
      <c r="F210" s="16">
        <v>3.8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2:24" x14ac:dyDescent="0.25">
      <c r="B211" t="s">
        <v>87</v>
      </c>
      <c r="C211">
        <v>2025</v>
      </c>
      <c r="D211" s="12" t="s">
        <v>40</v>
      </c>
      <c r="E211" s="12" t="s">
        <v>5</v>
      </c>
      <c r="F211" s="16">
        <v>3.8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2:24" x14ac:dyDescent="0.25">
      <c r="B212" t="s">
        <v>87</v>
      </c>
      <c r="C212">
        <v>2025</v>
      </c>
      <c r="D212" s="12" t="s">
        <v>40</v>
      </c>
      <c r="E212" s="12" t="s">
        <v>6</v>
      </c>
      <c r="F212" s="16">
        <v>3.8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2:24" x14ac:dyDescent="0.25">
      <c r="B213" t="s">
        <v>90</v>
      </c>
      <c r="C213">
        <v>2010</v>
      </c>
      <c r="D213" s="12" t="s">
        <v>39</v>
      </c>
      <c r="E213" s="12" t="s">
        <v>5</v>
      </c>
      <c r="F213" s="16">
        <v>2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2:24" x14ac:dyDescent="0.25">
      <c r="B214" t="s">
        <v>90</v>
      </c>
      <c r="C214">
        <v>2010</v>
      </c>
      <c r="D214" s="12" t="s">
        <v>39</v>
      </c>
      <c r="E214" s="12" t="s">
        <v>22</v>
      </c>
      <c r="F214" s="16">
        <v>2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2:24" x14ac:dyDescent="0.25">
      <c r="B215" t="s">
        <v>90</v>
      </c>
      <c r="C215">
        <v>2015</v>
      </c>
      <c r="D215" s="12" t="s">
        <v>39</v>
      </c>
      <c r="E215" s="12" t="s">
        <v>5</v>
      </c>
      <c r="F215" s="16">
        <v>2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2:24" x14ac:dyDescent="0.25">
      <c r="B216" t="s">
        <v>90</v>
      </c>
      <c r="C216">
        <v>2015</v>
      </c>
      <c r="D216" s="12" t="s">
        <v>39</v>
      </c>
      <c r="E216" s="12" t="s">
        <v>22</v>
      </c>
      <c r="F216" s="16">
        <v>2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2:24" x14ac:dyDescent="0.25">
      <c r="B217" t="s">
        <v>90</v>
      </c>
      <c r="C217">
        <v>2020</v>
      </c>
      <c r="D217" s="12" t="s">
        <v>39</v>
      </c>
      <c r="E217" s="12" t="s">
        <v>5</v>
      </c>
      <c r="F217" s="16">
        <v>2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2:24" x14ac:dyDescent="0.25">
      <c r="B218" t="s">
        <v>90</v>
      </c>
      <c r="C218">
        <v>2020</v>
      </c>
      <c r="D218" s="12" t="s">
        <v>39</v>
      </c>
      <c r="E218" s="12" t="s">
        <v>22</v>
      </c>
      <c r="F218" s="16">
        <v>2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2:24" x14ac:dyDescent="0.25">
      <c r="B219" t="s">
        <v>90</v>
      </c>
      <c r="C219">
        <v>2025</v>
      </c>
      <c r="D219" s="12" t="s">
        <v>40</v>
      </c>
      <c r="E219" s="12" t="s">
        <v>5</v>
      </c>
      <c r="F219" s="16">
        <v>2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2:24" x14ac:dyDescent="0.25">
      <c r="B220" t="s">
        <v>90</v>
      </c>
      <c r="C220">
        <v>2025</v>
      </c>
      <c r="D220" s="12" t="s">
        <v>40</v>
      </c>
      <c r="E220" s="12" t="s">
        <v>22</v>
      </c>
      <c r="F220" s="16">
        <v>2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2:24" x14ac:dyDescent="0.25">
      <c r="B221" t="s">
        <v>93</v>
      </c>
      <c r="C221">
        <v>2010</v>
      </c>
      <c r="D221" s="12" t="s">
        <v>39</v>
      </c>
      <c r="E221" s="12" t="s">
        <v>5</v>
      </c>
      <c r="F221" s="16">
        <v>2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2:24" x14ac:dyDescent="0.25">
      <c r="B222" t="s">
        <v>93</v>
      </c>
      <c r="C222">
        <v>2010</v>
      </c>
      <c r="D222" s="12" t="s">
        <v>39</v>
      </c>
      <c r="E222" s="12" t="s">
        <v>27</v>
      </c>
      <c r="F222" s="16">
        <v>2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2:24" x14ac:dyDescent="0.25">
      <c r="B223" t="s">
        <v>93</v>
      </c>
      <c r="C223">
        <v>2015</v>
      </c>
      <c r="D223" s="12" t="s">
        <v>39</v>
      </c>
      <c r="E223" s="12" t="s">
        <v>5</v>
      </c>
      <c r="F223" s="16">
        <v>2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2:24" x14ac:dyDescent="0.25">
      <c r="B224" t="s">
        <v>93</v>
      </c>
      <c r="C224">
        <v>2015</v>
      </c>
      <c r="D224" s="12" t="s">
        <v>39</v>
      </c>
      <c r="E224" s="12" t="s">
        <v>27</v>
      </c>
      <c r="F224" s="16">
        <v>2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2:24" x14ac:dyDescent="0.25">
      <c r="B225" t="s">
        <v>93</v>
      </c>
      <c r="C225">
        <v>2020</v>
      </c>
      <c r="D225" s="12" t="s">
        <v>39</v>
      </c>
      <c r="E225" s="12" t="s">
        <v>5</v>
      </c>
      <c r="F225" s="16">
        <v>2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2:24" x14ac:dyDescent="0.25">
      <c r="B226" t="s">
        <v>93</v>
      </c>
      <c r="C226">
        <v>2020</v>
      </c>
      <c r="D226" s="12" t="s">
        <v>39</v>
      </c>
      <c r="E226" s="12" t="s">
        <v>27</v>
      </c>
      <c r="F226" s="16">
        <v>2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2:24" x14ac:dyDescent="0.25">
      <c r="B227" t="s">
        <v>93</v>
      </c>
      <c r="C227">
        <v>2025</v>
      </c>
      <c r="D227" s="12" t="s">
        <v>40</v>
      </c>
      <c r="E227" s="12" t="s">
        <v>5</v>
      </c>
      <c r="F227" s="16">
        <v>2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2:24" x14ac:dyDescent="0.25">
      <c r="B228" t="s">
        <v>93</v>
      </c>
      <c r="C228">
        <v>2025</v>
      </c>
      <c r="D228" s="12" t="s">
        <v>40</v>
      </c>
      <c r="E228" s="12" t="s">
        <v>27</v>
      </c>
      <c r="F228" s="16">
        <v>2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2:24" x14ac:dyDescent="0.25">
      <c r="B229" t="s">
        <v>99</v>
      </c>
      <c r="C229">
        <v>2010</v>
      </c>
      <c r="D229" s="12" t="s">
        <v>39</v>
      </c>
      <c r="E229" s="12" t="s">
        <v>6</v>
      </c>
      <c r="F229" s="16">
        <v>2.0499999999999998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2:24" x14ac:dyDescent="0.25">
      <c r="B230" t="s">
        <v>99</v>
      </c>
      <c r="C230">
        <v>2010</v>
      </c>
      <c r="D230" s="12" t="s">
        <v>39</v>
      </c>
      <c r="E230" s="12" t="s">
        <v>7</v>
      </c>
      <c r="F230" s="16">
        <v>2.0499999999999998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2:24" x14ac:dyDescent="0.25">
      <c r="B231" t="s">
        <v>99</v>
      </c>
      <c r="C231">
        <v>2015</v>
      </c>
      <c r="D231" s="12" t="s">
        <v>39</v>
      </c>
      <c r="E231" s="12" t="s">
        <v>6</v>
      </c>
      <c r="F231" s="16">
        <v>2.5499999999999998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2:24" x14ac:dyDescent="0.25">
      <c r="B232" t="s">
        <v>99</v>
      </c>
      <c r="C232">
        <v>2015</v>
      </c>
      <c r="D232" s="12" t="s">
        <v>39</v>
      </c>
      <c r="E232" s="12" t="s">
        <v>7</v>
      </c>
      <c r="F232" s="16">
        <v>2.5499999999999998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2:24" x14ac:dyDescent="0.25">
      <c r="B233" t="s">
        <v>99</v>
      </c>
      <c r="C233">
        <v>2020</v>
      </c>
      <c r="D233" s="12" t="s">
        <v>39</v>
      </c>
      <c r="E233" s="12" t="s">
        <v>6</v>
      </c>
      <c r="F233" s="16">
        <v>3.15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2:24" x14ac:dyDescent="0.25">
      <c r="B234" t="s">
        <v>99</v>
      </c>
      <c r="C234">
        <v>2020</v>
      </c>
      <c r="D234" s="12" t="s">
        <v>39</v>
      </c>
      <c r="E234" s="12" t="s">
        <v>7</v>
      </c>
      <c r="F234" s="16">
        <v>3.15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2:24" x14ac:dyDescent="0.25">
      <c r="B235" t="s">
        <v>99</v>
      </c>
      <c r="C235">
        <v>2025</v>
      </c>
      <c r="D235" s="12" t="s">
        <v>40</v>
      </c>
      <c r="E235" s="12" t="s">
        <v>6</v>
      </c>
      <c r="F235" s="16">
        <v>3.15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2:24" x14ac:dyDescent="0.25">
      <c r="B236" t="s">
        <v>99</v>
      </c>
      <c r="C236">
        <v>2025</v>
      </c>
      <c r="D236" s="12" t="s">
        <v>40</v>
      </c>
      <c r="E236" s="12" t="s">
        <v>7</v>
      </c>
      <c r="F236" s="16">
        <v>3.15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2:24" x14ac:dyDescent="0.25">
      <c r="B237" t="s">
        <v>101</v>
      </c>
      <c r="C237">
        <v>2010</v>
      </c>
      <c r="D237" s="12" t="s">
        <v>39</v>
      </c>
      <c r="E237" s="12" t="s">
        <v>6</v>
      </c>
      <c r="F237" s="16">
        <v>5.6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2:24" x14ac:dyDescent="0.25">
      <c r="B238" t="s">
        <v>101</v>
      </c>
      <c r="C238">
        <v>2010</v>
      </c>
      <c r="D238" s="12" t="s">
        <v>39</v>
      </c>
      <c r="E238" s="12" t="s">
        <v>11</v>
      </c>
      <c r="F238" s="16">
        <v>5.6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2:24" x14ac:dyDescent="0.25">
      <c r="B239" t="s">
        <v>101</v>
      </c>
      <c r="C239">
        <v>2015</v>
      </c>
      <c r="D239" s="12" t="s">
        <v>39</v>
      </c>
      <c r="E239" s="12" t="s">
        <v>6</v>
      </c>
      <c r="F239" s="16">
        <v>5.6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2:24" x14ac:dyDescent="0.25">
      <c r="B240" t="s">
        <v>101</v>
      </c>
      <c r="C240">
        <v>2015</v>
      </c>
      <c r="D240" s="12" t="s">
        <v>39</v>
      </c>
      <c r="E240" s="12" t="s">
        <v>11</v>
      </c>
      <c r="F240" s="16">
        <v>5.6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2:24" x14ac:dyDescent="0.25">
      <c r="B241" t="s">
        <v>101</v>
      </c>
      <c r="C241">
        <v>2020</v>
      </c>
      <c r="D241" s="12" t="s">
        <v>39</v>
      </c>
      <c r="E241" s="12" t="s">
        <v>6</v>
      </c>
      <c r="F241" s="16">
        <v>5.6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2:24" x14ac:dyDescent="0.25">
      <c r="B242" t="s">
        <v>101</v>
      </c>
      <c r="C242">
        <v>2020</v>
      </c>
      <c r="D242" s="12" t="s">
        <v>39</v>
      </c>
      <c r="E242" s="12" t="s">
        <v>11</v>
      </c>
      <c r="F242" s="16">
        <v>5.6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2:24" x14ac:dyDescent="0.25">
      <c r="B243" t="s">
        <v>101</v>
      </c>
      <c r="C243">
        <v>2025</v>
      </c>
      <c r="D243" s="12" t="s">
        <v>40</v>
      </c>
      <c r="E243" s="12" t="s">
        <v>6</v>
      </c>
      <c r="F243" s="16">
        <v>5.6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2:24" x14ac:dyDescent="0.25">
      <c r="B244" t="s">
        <v>101</v>
      </c>
      <c r="C244">
        <v>2025</v>
      </c>
      <c r="D244" s="12" t="s">
        <v>40</v>
      </c>
      <c r="E244" s="12" t="s">
        <v>11</v>
      </c>
      <c r="F244" s="16">
        <v>5.6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2:24" x14ac:dyDescent="0.25">
      <c r="B245" t="s">
        <v>103</v>
      </c>
      <c r="C245">
        <v>2010</v>
      </c>
      <c r="D245" s="12" t="s">
        <v>39</v>
      </c>
      <c r="E245" s="12" t="s">
        <v>6</v>
      </c>
      <c r="F245" s="16">
        <v>0.98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2:24" x14ac:dyDescent="0.25">
      <c r="B246" t="s">
        <v>103</v>
      </c>
      <c r="C246">
        <v>2010</v>
      </c>
      <c r="D246" s="12" t="s">
        <v>39</v>
      </c>
      <c r="E246" s="12" t="s">
        <v>17</v>
      </c>
      <c r="F246" s="16">
        <v>0.98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2:24" x14ac:dyDescent="0.25">
      <c r="B247" t="s">
        <v>103</v>
      </c>
      <c r="C247">
        <v>2015</v>
      </c>
      <c r="D247" s="12" t="s">
        <v>39</v>
      </c>
      <c r="E247" s="12" t="s">
        <v>6</v>
      </c>
      <c r="F247" s="16">
        <v>0.98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2:24" x14ac:dyDescent="0.25">
      <c r="B248" t="s">
        <v>103</v>
      </c>
      <c r="C248">
        <v>2015</v>
      </c>
      <c r="D248" s="12" t="s">
        <v>39</v>
      </c>
      <c r="E248" s="12" t="s">
        <v>17</v>
      </c>
      <c r="F248" s="16">
        <v>0.98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2:24" x14ac:dyDescent="0.25">
      <c r="B249" t="s">
        <v>103</v>
      </c>
      <c r="C249">
        <v>2020</v>
      </c>
      <c r="D249" s="12" t="s">
        <v>39</v>
      </c>
      <c r="E249" s="12" t="s">
        <v>6</v>
      </c>
      <c r="F249" s="16">
        <v>0.98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2:24" x14ac:dyDescent="0.25">
      <c r="B250" t="s">
        <v>103</v>
      </c>
      <c r="C250">
        <v>2020</v>
      </c>
      <c r="D250" s="12" t="s">
        <v>39</v>
      </c>
      <c r="E250" s="12" t="s">
        <v>17</v>
      </c>
      <c r="F250" s="16">
        <v>0.98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2:24" x14ac:dyDescent="0.25">
      <c r="B251" t="s">
        <v>103</v>
      </c>
      <c r="C251">
        <v>2025</v>
      </c>
      <c r="D251" s="12" t="s">
        <v>40</v>
      </c>
      <c r="E251" s="12" t="s">
        <v>6</v>
      </c>
      <c r="F251" s="16">
        <v>0.98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2:24" x14ac:dyDescent="0.25">
      <c r="B252" t="s">
        <v>103</v>
      </c>
      <c r="C252">
        <v>2025</v>
      </c>
      <c r="D252" s="12" t="s">
        <v>40</v>
      </c>
      <c r="E252" s="12" t="s">
        <v>17</v>
      </c>
      <c r="F252" s="16">
        <v>0.98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2:24" x14ac:dyDescent="0.25">
      <c r="B253" t="s">
        <v>105</v>
      </c>
      <c r="C253">
        <v>2010</v>
      </c>
      <c r="D253" s="12" t="s">
        <v>39</v>
      </c>
      <c r="E253" s="12" t="s">
        <v>6</v>
      </c>
      <c r="F253" s="16">
        <v>3.85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2:24" x14ac:dyDescent="0.25">
      <c r="B254" t="s">
        <v>105</v>
      </c>
      <c r="C254">
        <v>2010</v>
      </c>
      <c r="D254" s="12" t="s">
        <v>39</v>
      </c>
      <c r="E254" s="12" t="s">
        <v>20</v>
      </c>
      <c r="F254" s="16">
        <v>3.85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2:24" x14ac:dyDescent="0.25">
      <c r="B255" t="s">
        <v>105</v>
      </c>
      <c r="C255">
        <v>2015</v>
      </c>
      <c r="D255" s="12" t="s">
        <v>39</v>
      </c>
      <c r="E255" s="12" t="s">
        <v>6</v>
      </c>
      <c r="F255" s="16">
        <v>5.35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2:24" x14ac:dyDescent="0.25">
      <c r="B256" t="s">
        <v>105</v>
      </c>
      <c r="C256">
        <v>2015</v>
      </c>
      <c r="D256" s="12" t="s">
        <v>39</v>
      </c>
      <c r="E256" s="12" t="s">
        <v>20</v>
      </c>
      <c r="F256" s="16">
        <v>5.35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2:24" x14ac:dyDescent="0.25">
      <c r="B257" t="s">
        <v>105</v>
      </c>
      <c r="C257">
        <v>2020</v>
      </c>
      <c r="D257" s="12" t="s">
        <v>39</v>
      </c>
      <c r="E257" s="12" t="s">
        <v>6</v>
      </c>
      <c r="F257" s="16">
        <v>5.35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2:24" x14ac:dyDescent="0.25">
      <c r="B258" t="s">
        <v>105</v>
      </c>
      <c r="C258">
        <v>2020</v>
      </c>
      <c r="D258" s="12" t="s">
        <v>39</v>
      </c>
      <c r="E258" s="12" t="s">
        <v>20</v>
      </c>
      <c r="F258" s="16">
        <v>5.35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2:24" x14ac:dyDescent="0.25">
      <c r="B259" t="s">
        <v>105</v>
      </c>
      <c r="C259">
        <v>2025</v>
      </c>
      <c r="D259" s="12" t="s">
        <v>40</v>
      </c>
      <c r="E259" s="12" t="s">
        <v>6</v>
      </c>
      <c r="F259" s="16">
        <v>5.35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2:24" x14ac:dyDescent="0.25">
      <c r="B260" t="s">
        <v>105</v>
      </c>
      <c r="C260">
        <v>2025</v>
      </c>
      <c r="D260" s="12" t="s">
        <v>40</v>
      </c>
      <c r="E260" s="12" t="s">
        <v>20</v>
      </c>
      <c r="F260" s="16">
        <v>5.35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2:24" x14ac:dyDescent="0.25">
      <c r="B261" t="s">
        <v>107</v>
      </c>
      <c r="C261">
        <v>2010</v>
      </c>
      <c r="D261" s="12" t="s">
        <v>39</v>
      </c>
      <c r="E261" s="12" t="s">
        <v>6</v>
      </c>
      <c r="F261" s="16">
        <v>0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2:24" x14ac:dyDescent="0.25">
      <c r="B262" t="s">
        <v>107</v>
      </c>
      <c r="C262">
        <v>2010</v>
      </c>
      <c r="D262" s="12" t="s">
        <v>39</v>
      </c>
      <c r="E262" s="12" t="s">
        <v>21</v>
      </c>
      <c r="F262" s="16">
        <v>0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2:24" x14ac:dyDescent="0.25">
      <c r="B263" t="s">
        <v>107</v>
      </c>
      <c r="C263">
        <v>2015</v>
      </c>
      <c r="D263" s="12" t="s">
        <v>39</v>
      </c>
      <c r="E263" s="12" t="s">
        <v>6</v>
      </c>
      <c r="F263" s="16">
        <v>0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2:24" x14ac:dyDescent="0.25">
      <c r="B264" t="s">
        <v>107</v>
      </c>
      <c r="C264">
        <v>2015</v>
      </c>
      <c r="D264" s="12" t="s">
        <v>39</v>
      </c>
      <c r="E264" s="12" t="s">
        <v>21</v>
      </c>
      <c r="F264" s="16">
        <v>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2:24" x14ac:dyDescent="0.25">
      <c r="B265" t="s">
        <v>107</v>
      </c>
      <c r="C265">
        <v>2020</v>
      </c>
      <c r="D265" s="12" t="s">
        <v>39</v>
      </c>
      <c r="E265" s="12" t="s">
        <v>6</v>
      </c>
      <c r="F265" s="16">
        <v>1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2:24" x14ac:dyDescent="0.25">
      <c r="B266" t="s">
        <v>107</v>
      </c>
      <c r="C266">
        <v>2020</v>
      </c>
      <c r="D266" s="12" t="s">
        <v>39</v>
      </c>
      <c r="E266" s="12" t="s">
        <v>21</v>
      </c>
      <c r="F266" s="16">
        <v>1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2:24" x14ac:dyDescent="0.25">
      <c r="B267" t="s">
        <v>107</v>
      </c>
      <c r="C267">
        <v>2025</v>
      </c>
      <c r="D267" s="12" t="s">
        <v>40</v>
      </c>
      <c r="E267" s="12" t="s">
        <v>6</v>
      </c>
      <c r="F267" s="16">
        <v>2.4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2:24" x14ac:dyDescent="0.25">
      <c r="B268" t="s">
        <v>107</v>
      </c>
      <c r="C268">
        <v>2025</v>
      </c>
      <c r="D268" s="12" t="s">
        <v>40</v>
      </c>
      <c r="E268" s="12" t="s">
        <v>21</v>
      </c>
      <c r="F268" s="16">
        <v>2.4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2:24" x14ac:dyDescent="0.25">
      <c r="B269" t="s">
        <v>109</v>
      </c>
      <c r="C269">
        <v>2010</v>
      </c>
      <c r="D269" s="12" t="s">
        <v>39</v>
      </c>
      <c r="E269" s="12" t="s">
        <v>6</v>
      </c>
      <c r="F269" s="16">
        <v>1.2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2:24" x14ac:dyDescent="0.25">
      <c r="B270" t="s">
        <v>109</v>
      </c>
      <c r="C270">
        <v>2010</v>
      </c>
      <c r="D270" s="12" t="s">
        <v>39</v>
      </c>
      <c r="E270" s="12" t="s">
        <v>22</v>
      </c>
      <c r="F270" s="16">
        <v>1.2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2:24" x14ac:dyDescent="0.25">
      <c r="B271" t="s">
        <v>109</v>
      </c>
      <c r="C271">
        <v>2015</v>
      </c>
      <c r="D271" s="12" t="s">
        <v>39</v>
      </c>
      <c r="E271" s="12" t="s">
        <v>6</v>
      </c>
      <c r="F271" s="16">
        <v>1.6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2:24" x14ac:dyDescent="0.25">
      <c r="B272" t="s">
        <v>109</v>
      </c>
      <c r="C272">
        <v>2015</v>
      </c>
      <c r="D272" s="12" t="s">
        <v>39</v>
      </c>
      <c r="E272" s="12" t="s">
        <v>22</v>
      </c>
      <c r="F272" s="16">
        <v>1.6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2:24" x14ac:dyDescent="0.25">
      <c r="B273" t="s">
        <v>109</v>
      </c>
      <c r="C273">
        <v>2020</v>
      </c>
      <c r="D273" s="12" t="s">
        <v>39</v>
      </c>
      <c r="E273" s="12" t="s">
        <v>6</v>
      </c>
      <c r="F273" s="16">
        <v>3.1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2:24" x14ac:dyDescent="0.25">
      <c r="B274" t="s">
        <v>109</v>
      </c>
      <c r="C274">
        <v>2020</v>
      </c>
      <c r="D274" s="12" t="s">
        <v>39</v>
      </c>
      <c r="E274" s="12" t="s">
        <v>22</v>
      </c>
      <c r="F274" s="16">
        <v>3.1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2:24" x14ac:dyDescent="0.25">
      <c r="B275" t="s">
        <v>109</v>
      </c>
      <c r="C275">
        <v>2025</v>
      </c>
      <c r="D275" s="12" t="s">
        <v>40</v>
      </c>
      <c r="E275" s="12" t="s">
        <v>6</v>
      </c>
      <c r="F275" s="16">
        <v>3.1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2:24" x14ac:dyDescent="0.25">
      <c r="B276" t="s">
        <v>109</v>
      </c>
      <c r="C276">
        <v>2025</v>
      </c>
      <c r="D276" s="12" t="s">
        <v>40</v>
      </c>
      <c r="E276" s="12" t="s">
        <v>22</v>
      </c>
      <c r="F276" s="16">
        <v>3.1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2:24" x14ac:dyDescent="0.25">
      <c r="B277" t="s">
        <v>110</v>
      </c>
      <c r="C277">
        <v>2010</v>
      </c>
      <c r="D277" s="12" t="s">
        <v>39</v>
      </c>
      <c r="E277" s="12" t="s">
        <v>6</v>
      </c>
      <c r="F277" s="16">
        <v>0.6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2:24" x14ac:dyDescent="0.25">
      <c r="B278" t="s">
        <v>110</v>
      </c>
      <c r="C278">
        <v>2010</v>
      </c>
      <c r="D278" s="12" t="s">
        <v>39</v>
      </c>
      <c r="E278" s="12" t="s">
        <v>25</v>
      </c>
      <c r="F278" s="16">
        <v>0.6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2:24" x14ac:dyDescent="0.25">
      <c r="B279" t="s">
        <v>110</v>
      </c>
      <c r="C279">
        <v>2015</v>
      </c>
      <c r="D279" s="12" t="s">
        <v>39</v>
      </c>
      <c r="E279" s="12" t="s">
        <v>6</v>
      </c>
      <c r="F279" s="16">
        <v>0.6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2:24" x14ac:dyDescent="0.25">
      <c r="B280" t="s">
        <v>110</v>
      </c>
      <c r="C280">
        <v>2015</v>
      </c>
      <c r="D280" s="12" t="s">
        <v>39</v>
      </c>
      <c r="E280" s="12" t="s">
        <v>25</v>
      </c>
      <c r="F280" s="16">
        <v>0.6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2:24" x14ac:dyDescent="0.25">
      <c r="B281" t="s">
        <v>110</v>
      </c>
      <c r="C281">
        <v>2020</v>
      </c>
      <c r="D281" s="12" t="s">
        <v>39</v>
      </c>
      <c r="E281" s="12" t="s">
        <v>6</v>
      </c>
      <c r="F281" s="16">
        <v>0.6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2:24" x14ac:dyDescent="0.25">
      <c r="B282" t="s">
        <v>110</v>
      </c>
      <c r="C282">
        <v>2020</v>
      </c>
      <c r="D282" s="12" t="s">
        <v>39</v>
      </c>
      <c r="E282" s="12" t="s">
        <v>25</v>
      </c>
      <c r="F282" s="16">
        <v>0.6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2:24" x14ac:dyDescent="0.25">
      <c r="B283" t="s">
        <v>110</v>
      </c>
      <c r="C283">
        <v>2025</v>
      </c>
      <c r="D283" s="12" t="s">
        <v>40</v>
      </c>
      <c r="E283" s="12" t="s">
        <v>6</v>
      </c>
      <c r="F283" s="16">
        <v>0.6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2:24" x14ac:dyDescent="0.25">
      <c r="B284" t="s">
        <v>110</v>
      </c>
      <c r="C284">
        <v>2025</v>
      </c>
      <c r="D284" s="12" t="s">
        <v>40</v>
      </c>
      <c r="E284" s="12" t="s">
        <v>25</v>
      </c>
      <c r="F284" s="16">
        <v>0.6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2:24" x14ac:dyDescent="0.25">
      <c r="B285" t="s">
        <v>112</v>
      </c>
      <c r="C285">
        <v>2010</v>
      </c>
      <c r="D285" s="12" t="s">
        <v>39</v>
      </c>
      <c r="E285" s="12" t="s">
        <v>6</v>
      </c>
      <c r="F285" s="16">
        <v>0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2:24" x14ac:dyDescent="0.25">
      <c r="B286" t="s">
        <v>112</v>
      </c>
      <c r="C286">
        <v>2010</v>
      </c>
      <c r="D286" s="12" t="s">
        <v>39</v>
      </c>
      <c r="E286" s="12" t="s">
        <v>28</v>
      </c>
      <c r="F286" s="16">
        <v>0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2:24" x14ac:dyDescent="0.25">
      <c r="B287" t="s">
        <v>112</v>
      </c>
      <c r="C287">
        <v>2015</v>
      </c>
      <c r="D287" s="12" t="s">
        <v>39</v>
      </c>
      <c r="E287" s="12" t="s">
        <v>6</v>
      </c>
      <c r="F287" s="16">
        <v>0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2:24" x14ac:dyDescent="0.25">
      <c r="B288" t="s">
        <v>112</v>
      </c>
      <c r="C288">
        <v>2015</v>
      </c>
      <c r="D288" s="12" t="s">
        <v>39</v>
      </c>
      <c r="E288" s="12" t="s">
        <v>28</v>
      </c>
      <c r="F288" s="16">
        <v>0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2:24" x14ac:dyDescent="0.25">
      <c r="B289" t="s">
        <v>112</v>
      </c>
      <c r="C289">
        <v>2020</v>
      </c>
      <c r="D289" s="12" t="s">
        <v>39</v>
      </c>
      <c r="E289" s="12" t="s">
        <v>6</v>
      </c>
      <c r="F289" s="16">
        <v>0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2:24" x14ac:dyDescent="0.25">
      <c r="B290" t="s">
        <v>112</v>
      </c>
      <c r="C290">
        <v>2020</v>
      </c>
      <c r="D290" s="12" t="s">
        <v>39</v>
      </c>
      <c r="E290" s="12" t="s">
        <v>28</v>
      </c>
      <c r="F290" s="16">
        <v>0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2:24" x14ac:dyDescent="0.25">
      <c r="B291" t="s">
        <v>112</v>
      </c>
      <c r="C291">
        <v>2025</v>
      </c>
      <c r="D291" s="12" t="s">
        <v>40</v>
      </c>
      <c r="E291" s="12" t="s">
        <v>6</v>
      </c>
      <c r="F291" s="16">
        <v>0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2:24" x14ac:dyDescent="0.25">
      <c r="B292" t="s">
        <v>112</v>
      </c>
      <c r="C292">
        <v>2025</v>
      </c>
      <c r="D292" s="12" t="s">
        <v>40</v>
      </c>
      <c r="E292" s="12" t="s">
        <v>28</v>
      </c>
      <c r="F292" s="16">
        <v>0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2:24" x14ac:dyDescent="0.25">
      <c r="B293" t="s">
        <v>114</v>
      </c>
      <c r="C293">
        <v>2010</v>
      </c>
      <c r="D293" s="12" t="s">
        <v>39</v>
      </c>
      <c r="E293" s="12" t="s">
        <v>7</v>
      </c>
      <c r="F293" s="16">
        <v>0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2:24" x14ac:dyDescent="0.25">
      <c r="B294" t="s">
        <v>114</v>
      </c>
      <c r="C294">
        <v>2010</v>
      </c>
      <c r="D294" s="12" t="s">
        <v>39</v>
      </c>
      <c r="E294" s="12" t="s">
        <v>20</v>
      </c>
      <c r="F294" s="16">
        <v>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2:24" x14ac:dyDescent="0.25">
      <c r="B295" t="s">
        <v>114</v>
      </c>
      <c r="C295">
        <v>2015</v>
      </c>
      <c r="D295" s="12" t="s">
        <v>39</v>
      </c>
      <c r="E295" s="12" t="s">
        <v>7</v>
      </c>
      <c r="F295" s="16">
        <v>0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2:24" x14ac:dyDescent="0.25">
      <c r="B296" t="s">
        <v>114</v>
      </c>
      <c r="C296">
        <v>2015</v>
      </c>
      <c r="D296" s="12" t="s">
        <v>39</v>
      </c>
      <c r="E296" s="12" t="s">
        <v>20</v>
      </c>
      <c r="F296" s="16">
        <v>0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2:24" x14ac:dyDescent="0.25">
      <c r="B297" t="s">
        <v>114</v>
      </c>
      <c r="C297">
        <v>2020</v>
      </c>
      <c r="D297" s="12" t="s">
        <v>39</v>
      </c>
      <c r="E297" s="12" t="s">
        <v>7</v>
      </c>
      <c r="F297" s="16">
        <v>0.6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2:24" x14ac:dyDescent="0.25">
      <c r="B298" t="s">
        <v>114</v>
      </c>
      <c r="C298">
        <v>2020</v>
      </c>
      <c r="D298" s="12" t="s">
        <v>39</v>
      </c>
      <c r="E298" s="12" t="s">
        <v>20</v>
      </c>
      <c r="F298" s="16">
        <v>0.6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2:24" x14ac:dyDescent="0.25">
      <c r="B299" t="s">
        <v>114</v>
      </c>
      <c r="C299">
        <v>2025</v>
      </c>
      <c r="D299" s="12" t="s">
        <v>40</v>
      </c>
      <c r="E299" s="12" t="s">
        <v>7</v>
      </c>
      <c r="F299" s="16">
        <v>0.6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2:24" x14ac:dyDescent="0.25">
      <c r="B300" t="s">
        <v>114</v>
      </c>
      <c r="C300">
        <v>2025</v>
      </c>
      <c r="D300" s="12" t="s">
        <v>40</v>
      </c>
      <c r="E300" s="12" t="s">
        <v>20</v>
      </c>
      <c r="F300" s="16">
        <v>0.6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2:24" x14ac:dyDescent="0.25">
      <c r="B301" t="s">
        <v>115</v>
      </c>
      <c r="C301">
        <v>2010</v>
      </c>
      <c r="D301" s="12" t="s">
        <v>39</v>
      </c>
      <c r="E301" s="12" t="s">
        <v>7</v>
      </c>
      <c r="F301" s="16">
        <v>1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2:24" x14ac:dyDescent="0.25">
      <c r="B302" t="s">
        <v>115</v>
      </c>
      <c r="C302">
        <v>2010</v>
      </c>
      <c r="D302" s="12" t="s">
        <v>39</v>
      </c>
      <c r="E302" s="12" t="s">
        <v>21</v>
      </c>
      <c r="F302" s="16">
        <v>1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2:24" x14ac:dyDescent="0.25">
      <c r="B303" t="s">
        <v>115</v>
      </c>
      <c r="C303">
        <v>2015</v>
      </c>
      <c r="D303" s="12" t="s">
        <v>39</v>
      </c>
      <c r="E303" s="12" t="s">
        <v>7</v>
      </c>
      <c r="F303" s="16">
        <v>1.6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2:24" x14ac:dyDescent="0.25">
      <c r="B304" t="s">
        <v>115</v>
      </c>
      <c r="C304">
        <v>2015</v>
      </c>
      <c r="D304" s="12" t="s">
        <v>39</v>
      </c>
      <c r="E304" s="12" t="s">
        <v>21</v>
      </c>
      <c r="F304" s="16">
        <v>1.6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2:24" x14ac:dyDescent="0.25">
      <c r="B305" t="s">
        <v>115</v>
      </c>
      <c r="C305">
        <v>2020</v>
      </c>
      <c r="D305" s="12" t="s">
        <v>39</v>
      </c>
      <c r="E305" s="12" t="s">
        <v>7</v>
      </c>
      <c r="F305" s="16">
        <v>1.6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2:24" x14ac:dyDescent="0.25">
      <c r="B306" t="s">
        <v>115</v>
      </c>
      <c r="C306">
        <v>2020</v>
      </c>
      <c r="D306" s="12" t="s">
        <v>39</v>
      </c>
      <c r="E306" s="12" t="s">
        <v>21</v>
      </c>
      <c r="F306" s="16">
        <v>1.6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2:24" x14ac:dyDescent="0.25">
      <c r="B307" t="s">
        <v>115</v>
      </c>
      <c r="C307">
        <v>2025</v>
      </c>
      <c r="D307" s="12" t="s">
        <v>40</v>
      </c>
      <c r="E307" s="12" t="s">
        <v>7</v>
      </c>
      <c r="F307" s="16">
        <v>1.6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2:24" x14ac:dyDescent="0.25">
      <c r="B308" t="s">
        <v>115</v>
      </c>
      <c r="C308">
        <v>2025</v>
      </c>
      <c r="D308" s="12" t="s">
        <v>40</v>
      </c>
      <c r="E308" s="12" t="s">
        <v>21</v>
      </c>
      <c r="F308" s="16">
        <v>1.6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2:24" x14ac:dyDescent="0.25">
      <c r="B309" t="s">
        <v>117</v>
      </c>
      <c r="C309">
        <v>2010</v>
      </c>
      <c r="D309" s="12" t="s">
        <v>39</v>
      </c>
      <c r="E309" s="12" t="s">
        <v>7</v>
      </c>
      <c r="F309" s="16">
        <v>2.44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2:24" x14ac:dyDescent="0.25">
      <c r="B310" t="s">
        <v>117</v>
      </c>
      <c r="C310">
        <v>2010</v>
      </c>
      <c r="D310" s="12" t="s">
        <v>39</v>
      </c>
      <c r="E310" s="12" t="s">
        <v>25</v>
      </c>
      <c r="F310" s="16">
        <v>2.44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2:24" x14ac:dyDescent="0.25">
      <c r="B311" t="s">
        <v>117</v>
      </c>
      <c r="C311">
        <v>2015</v>
      </c>
      <c r="D311" s="12" t="s">
        <v>39</v>
      </c>
      <c r="E311" s="12" t="s">
        <v>7</v>
      </c>
      <c r="F311" s="16">
        <v>2.44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2:24" x14ac:dyDescent="0.25">
      <c r="B312" t="s">
        <v>117</v>
      </c>
      <c r="C312">
        <v>2015</v>
      </c>
      <c r="D312" s="12" t="s">
        <v>39</v>
      </c>
      <c r="E312" s="12" t="s">
        <v>25</v>
      </c>
      <c r="F312" s="16">
        <v>2.44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2:24" x14ac:dyDescent="0.25">
      <c r="B313" t="s">
        <v>117</v>
      </c>
      <c r="C313">
        <v>2020</v>
      </c>
      <c r="D313" s="12" t="s">
        <v>39</v>
      </c>
      <c r="E313" s="12" t="s">
        <v>7</v>
      </c>
      <c r="F313" s="16">
        <v>2.44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2:24" x14ac:dyDescent="0.25">
      <c r="B314" t="s">
        <v>117</v>
      </c>
      <c r="C314">
        <v>2020</v>
      </c>
      <c r="D314" s="12" t="s">
        <v>39</v>
      </c>
      <c r="E314" s="12" t="s">
        <v>25</v>
      </c>
      <c r="F314" s="16">
        <v>2.44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2:24" x14ac:dyDescent="0.25">
      <c r="B315" t="s">
        <v>117</v>
      </c>
      <c r="C315">
        <v>2025</v>
      </c>
      <c r="D315" s="12" t="s">
        <v>40</v>
      </c>
      <c r="E315" s="12" t="s">
        <v>7</v>
      </c>
      <c r="F315" s="16">
        <v>2.44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2:24" x14ac:dyDescent="0.25">
      <c r="B316" t="s">
        <v>117</v>
      </c>
      <c r="C316">
        <v>2025</v>
      </c>
      <c r="D316" s="12" t="s">
        <v>40</v>
      </c>
      <c r="E316" s="12" t="s">
        <v>25</v>
      </c>
      <c r="F316" s="16">
        <v>2.44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2:24" x14ac:dyDescent="0.25">
      <c r="B317" s="18" t="s">
        <v>119</v>
      </c>
      <c r="C317" s="18">
        <v>2010</v>
      </c>
      <c r="D317" s="18" t="s">
        <v>39</v>
      </c>
      <c r="E317" s="18" t="s">
        <v>8</v>
      </c>
      <c r="F317" s="19">
        <v>0.35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2:24" x14ac:dyDescent="0.25">
      <c r="B318" s="18" t="s">
        <v>119</v>
      </c>
      <c r="C318" s="18">
        <v>2010</v>
      </c>
      <c r="D318" s="18" t="s">
        <v>39</v>
      </c>
      <c r="E318" s="18" t="s">
        <v>10</v>
      </c>
      <c r="F318" s="19">
        <v>0.35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2:24" x14ac:dyDescent="0.25">
      <c r="B319" s="18" t="s">
        <v>119</v>
      </c>
      <c r="C319" s="18">
        <v>2015</v>
      </c>
      <c r="D319" s="18" t="s">
        <v>39</v>
      </c>
      <c r="E319" s="18" t="s">
        <v>8</v>
      </c>
      <c r="F319" s="19">
        <v>1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2:24" x14ac:dyDescent="0.25">
      <c r="B320" s="18" t="s">
        <v>119</v>
      </c>
      <c r="C320" s="18">
        <v>2015</v>
      </c>
      <c r="D320" s="18" t="s">
        <v>39</v>
      </c>
      <c r="E320" s="18" t="s">
        <v>10</v>
      </c>
      <c r="F320" s="19">
        <v>1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2:24" x14ac:dyDescent="0.25">
      <c r="B321" s="18" t="s">
        <v>119</v>
      </c>
      <c r="C321" s="18">
        <v>2020</v>
      </c>
      <c r="D321" s="18" t="s">
        <v>39</v>
      </c>
      <c r="E321" s="18" t="s">
        <v>8</v>
      </c>
      <c r="F321" s="19">
        <v>1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2:24" x14ac:dyDescent="0.25">
      <c r="B322" s="18" t="s">
        <v>119</v>
      </c>
      <c r="C322" s="18">
        <v>2020</v>
      </c>
      <c r="D322" s="18" t="s">
        <v>39</v>
      </c>
      <c r="E322" s="18" t="s">
        <v>10</v>
      </c>
      <c r="F322" s="19">
        <v>1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2:24" x14ac:dyDescent="0.25">
      <c r="B323" s="18" t="s">
        <v>119</v>
      </c>
      <c r="C323" s="18">
        <v>2025</v>
      </c>
      <c r="D323" s="18" t="s">
        <v>40</v>
      </c>
      <c r="E323" s="18" t="s">
        <v>8</v>
      </c>
      <c r="F323" s="19">
        <v>1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2:24" x14ac:dyDescent="0.25">
      <c r="B324" s="18" t="s">
        <v>119</v>
      </c>
      <c r="C324" s="18">
        <v>2025</v>
      </c>
      <c r="D324" s="18" t="s">
        <v>40</v>
      </c>
      <c r="E324" s="18" t="s">
        <v>10</v>
      </c>
      <c r="F324" s="19">
        <v>1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2:24" x14ac:dyDescent="0.25">
      <c r="B325" s="18" t="s">
        <v>119</v>
      </c>
      <c r="C325" s="18">
        <v>2030</v>
      </c>
      <c r="D325" s="18" t="s">
        <v>40</v>
      </c>
      <c r="E325" s="18" t="s">
        <v>8</v>
      </c>
      <c r="F325" s="19">
        <v>1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2:24" x14ac:dyDescent="0.25">
      <c r="B326" s="18" t="s">
        <v>119</v>
      </c>
      <c r="C326" s="18">
        <v>2030</v>
      </c>
      <c r="D326" s="18" t="s">
        <v>40</v>
      </c>
      <c r="E326" s="18" t="s">
        <v>10</v>
      </c>
      <c r="F326" s="19">
        <v>1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2:24" x14ac:dyDescent="0.25">
      <c r="B327" s="18" t="s">
        <v>119</v>
      </c>
      <c r="C327" s="18">
        <v>2035</v>
      </c>
      <c r="D327" s="18" t="s">
        <v>40</v>
      </c>
      <c r="E327" s="18" t="s">
        <v>8</v>
      </c>
      <c r="F327" s="19">
        <v>1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2:24" x14ac:dyDescent="0.25">
      <c r="B328" s="18" t="s">
        <v>119</v>
      </c>
      <c r="C328" s="18">
        <v>2035</v>
      </c>
      <c r="D328" s="18" t="s">
        <v>40</v>
      </c>
      <c r="E328" s="18" t="s">
        <v>10</v>
      </c>
      <c r="F328" s="19">
        <v>1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2:24" x14ac:dyDescent="0.25">
      <c r="B329" s="18" t="s">
        <v>119</v>
      </c>
      <c r="C329" s="18">
        <v>2040</v>
      </c>
      <c r="D329" s="18" t="s">
        <v>40</v>
      </c>
      <c r="E329" s="18" t="s">
        <v>8</v>
      </c>
      <c r="F329" s="19">
        <v>1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2:24" x14ac:dyDescent="0.25">
      <c r="B330" s="18" t="s">
        <v>119</v>
      </c>
      <c r="C330" s="18">
        <v>2040</v>
      </c>
      <c r="D330" s="18" t="s">
        <v>40</v>
      </c>
      <c r="E330" s="18" t="s">
        <v>10</v>
      </c>
      <c r="F330" s="19">
        <v>1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2:24" x14ac:dyDescent="0.25">
      <c r="B331" s="18" t="s">
        <v>119</v>
      </c>
      <c r="C331" s="18">
        <v>2045</v>
      </c>
      <c r="D331" s="18" t="s">
        <v>40</v>
      </c>
      <c r="E331" s="18" t="s">
        <v>8</v>
      </c>
      <c r="F331" s="19">
        <v>1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2:24" x14ac:dyDescent="0.25">
      <c r="B332" s="18" t="s">
        <v>119</v>
      </c>
      <c r="C332" s="18">
        <v>2045</v>
      </c>
      <c r="D332" s="18" t="s">
        <v>40</v>
      </c>
      <c r="E332" s="18" t="s">
        <v>10</v>
      </c>
      <c r="F332" s="19">
        <v>1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2:24" x14ac:dyDescent="0.25">
      <c r="B333" s="18" t="s">
        <v>119</v>
      </c>
      <c r="C333" s="18">
        <v>2050</v>
      </c>
      <c r="D333" s="18" t="s">
        <v>40</v>
      </c>
      <c r="E333" s="18" t="s">
        <v>8</v>
      </c>
      <c r="F333" s="19">
        <v>1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2:24" x14ac:dyDescent="0.25">
      <c r="B334" s="18" t="s">
        <v>119</v>
      </c>
      <c r="C334" s="18">
        <v>2050</v>
      </c>
      <c r="D334" s="18" t="s">
        <v>40</v>
      </c>
      <c r="E334" s="18" t="s">
        <v>10</v>
      </c>
      <c r="F334" s="19">
        <v>1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2:24" x14ac:dyDescent="0.25">
      <c r="B335" t="s">
        <v>121</v>
      </c>
      <c r="C335">
        <v>2010</v>
      </c>
      <c r="D335" s="12" t="s">
        <v>39</v>
      </c>
      <c r="E335" s="12" t="s">
        <v>8</v>
      </c>
      <c r="F335" s="16">
        <v>1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2:24" x14ac:dyDescent="0.25">
      <c r="B336" t="s">
        <v>121</v>
      </c>
      <c r="C336">
        <v>2010</v>
      </c>
      <c r="D336" s="12" t="s">
        <v>39</v>
      </c>
      <c r="E336" s="12" t="s">
        <v>18</v>
      </c>
      <c r="F336" s="16">
        <v>1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2:24" x14ac:dyDescent="0.25">
      <c r="B337" t="s">
        <v>121</v>
      </c>
      <c r="C337">
        <v>2015</v>
      </c>
      <c r="D337" s="12" t="s">
        <v>39</v>
      </c>
      <c r="E337" s="12" t="s">
        <v>8</v>
      </c>
      <c r="F337" s="16">
        <v>1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2:24" x14ac:dyDescent="0.25">
      <c r="B338" t="s">
        <v>121</v>
      </c>
      <c r="C338">
        <v>2015</v>
      </c>
      <c r="D338" s="12" t="s">
        <v>39</v>
      </c>
      <c r="E338" s="12" t="s">
        <v>18</v>
      </c>
      <c r="F338" s="16">
        <v>1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2:24" x14ac:dyDescent="0.25">
      <c r="B339" t="s">
        <v>121</v>
      </c>
      <c r="C339">
        <v>2020</v>
      </c>
      <c r="D339" s="12" t="s">
        <v>39</v>
      </c>
      <c r="E339" s="12" t="s">
        <v>8</v>
      </c>
      <c r="F339" s="16">
        <v>1.4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2:24" x14ac:dyDescent="0.25">
      <c r="B340" t="s">
        <v>121</v>
      </c>
      <c r="C340">
        <v>2020</v>
      </c>
      <c r="D340" s="12" t="s">
        <v>39</v>
      </c>
      <c r="E340" s="12" t="s">
        <v>18</v>
      </c>
      <c r="F340" s="16">
        <v>1.4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2:24" x14ac:dyDescent="0.25">
      <c r="B341" t="s">
        <v>121</v>
      </c>
      <c r="C341">
        <v>2025</v>
      </c>
      <c r="D341" s="12" t="s">
        <v>40</v>
      </c>
      <c r="E341" s="12" t="s">
        <v>8</v>
      </c>
      <c r="F341" s="16">
        <v>1.4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2:24" x14ac:dyDescent="0.25">
      <c r="B342" t="s">
        <v>121</v>
      </c>
      <c r="C342">
        <v>2025</v>
      </c>
      <c r="D342" s="12" t="s">
        <v>40</v>
      </c>
      <c r="E342" s="12" t="s">
        <v>18</v>
      </c>
      <c r="F342" s="16">
        <v>1.4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2:24" x14ac:dyDescent="0.25">
      <c r="B343" t="s">
        <v>140</v>
      </c>
      <c r="C343">
        <v>2010</v>
      </c>
      <c r="D343" s="12" t="s">
        <v>39</v>
      </c>
      <c r="E343" s="12" t="s">
        <v>29</v>
      </c>
      <c r="F343" s="16">
        <v>0.3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2:24" x14ac:dyDescent="0.25">
      <c r="B344" t="s">
        <v>140</v>
      </c>
      <c r="C344">
        <v>2010</v>
      </c>
      <c r="D344" s="12" t="s">
        <v>39</v>
      </c>
      <c r="E344" s="12" t="s">
        <v>43</v>
      </c>
      <c r="F344" s="16">
        <v>0.3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2:24" x14ac:dyDescent="0.25">
      <c r="B345" t="s">
        <v>140</v>
      </c>
      <c r="C345">
        <v>2015</v>
      </c>
      <c r="D345" s="12" t="s">
        <v>39</v>
      </c>
      <c r="E345" s="12" t="s">
        <v>29</v>
      </c>
      <c r="F345" s="16">
        <v>0.3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2:24" x14ac:dyDescent="0.25">
      <c r="B346" t="s">
        <v>140</v>
      </c>
      <c r="C346">
        <v>2015</v>
      </c>
      <c r="D346" s="12" t="s">
        <v>39</v>
      </c>
      <c r="E346" s="12" t="s">
        <v>43</v>
      </c>
      <c r="F346" s="16">
        <v>0.3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2:24" x14ac:dyDescent="0.25">
      <c r="B347" t="s">
        <v>140</v>
      </c>
      <c r="C347">
        <v>2020</v>
      </c>
      <c r="D347" s="12" t="s">
        <v>39</v>
      </c>
      <c r="E347" s="12" t="s">
        <v>29</v>
      </c>
      <c r="F347" s="16">
        <v>0.3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2:24" x14ac:dyDescent="0.25">
      <c r="B348" t="s">
        <v>140</v>
      </c>
      <c r="C348">
        <v>2020</v>
      </c>
      <c r="D348" s="12" t="s">
        <v>39</v>
      </c>
      <c r="E348" s="12" t="s">
        <v>43</v>
      </c>
      <c r="F348" s="16">
        <v>0.3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2:24" x14ac:dyDescent="0.25">
      <c r="B349" t="s">
        <v>140</v>
      </c>
      <c r="C349">
        <v>2025</v>
      </c>
      <c r="D349" s="12" t="s">
        <v>40</v>
      </c>
      <c r="E349" s="12" t="s">
        <v>29</v>
      </c>
      <c r="F349" s="16">
        <v>0.3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2:24" x14ac:dyDescent="0.25">
      <c r="B350" t="s">
        <v>140</v>
      </c>
      <c r="C350">
        <v>2025</v>
      </c>
      <c r="D350" s="12" t="s">
        <v>40</v>
      </c>
      <c r="E350" s="12" t="s">
        <v>43</v>
      </c>
      <c r="F350" s="16">
        <v>0.3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2:24" x14ac:dyDescent="0.25">
      <c r="B351" t="s">
        <v>139</v>
      </c>
      <c r="C351">
        <v>2010</v>
      </c>
      <c r="D351" s="12" t="s">
        <v>39</v>
      </c>
      <c r="E351" s="12" t="s">
        <v>43</v>
      </c>
      <c r="F351" s="16">
        <v>0.5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2:24" x14ac:dyDescent="0.25">
      <c r="B352" t="s">
        <v>139</v>
      </c>
      <c r="C352">
        <v>2010</v>
      </c>
      <c r="D352" s="12" t="s">
        <v>39</v>
      </c>
      <c r="E352" s="12" t="s">
        <v>15</v>
      </c>
      <c r="F352" s="16">
        <v>0.5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2:24" x14ac:dyDescent="0.25">
      <c r="B353" t="s">
        <v>139</v>
      </c>
      <c r="C353">
        <v>2015</v>
      </c>
      <c r="D353" s="12" t="s">
        <v>39</v>
      </c>
      <c r="E353" s="12" t="s">
        <v>43</v>
      </c>
      <c r="F353" s="16">
        <v>0.5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2:24" x14ac:dyDescent="0.25">
      <c r="B354" t="s">
        <v>139</v>
      </c>
      <c r="C354">
        <v>2015</v>
      </c>
      <c r="D354" s="12" t="s">
        <v>39</v>
      </c>
      <c r="E354" s="12" t="s">
        <v>15</v>
      </c>
      <c r="F354" s="16">
        <v>0.5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2:24" x14ac:dyDescent="0.25">
      <c r="B355" t="s">
        <v>139</v>
      </c>
      <c r="C355">
        <v>2020</v>
      </c>
      <c r="D355" s="12" t="s">
        <v>39</v>
      </c>
      <c r="E355" s="12" t="s">
        <v>43</v>
      </c>
      <c r="F355" s="16">
        <v>0.5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2:24" x14ac:dyDescent="0.25">
      <c r="B356" t="s">
        <v>139</v>
      </c>
      <c r="C356">
        <v>2020</v>
      </c>
      <c r="D356" s="12" t="s">
        <v>39</v>
      </c>
      <c r="E356" s="12" t="s">
        <v>15</v>
      </c>
      <c r="F356" s="16">
        <v>0.5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2:24" x14ac:dyDescent="0.25">
      <c r="B357" t="s">
        <v>139</v>
      </c>
      <c r="C357">
        <v>2025</v>
      </c>
      <c r="D357" s="12" t="s">
        <v>40</v>
      </c>
      <c r="E357" s="12" t="s">
        <v>43</v>
      </c>
      <c r="F357" s="16">
        <v>0.5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2:24" x14ac:dyDescent="0.25">
      <c r="B358" t="s">
        <v>139</v>
      </c>
      <c r="C358">
        <v>2025</v>
      </c>
      <c r="D358" s="12" t="s">
        <v>40</v>
      </c>
      <c r="E358" s="12" t="s">
        <v>15</v>
      </c>
      <c r="F358" s="16">
        <v>0.5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2:24" x14ac:dyDescent="0.25">
      <c r="B359" t="s">
        <v>141</v>
      </c>
      <c r="C359">
        <v>2010</v>
      </c>
      <c r="D359" s="12" t="s">
        <v>39</v>
      </c>
      <c r="E359" s="12" t="s">
        <v>43</v>
      </c>
      <c r="F359" s="16">
        <v>0.6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2:24" x14ac:dyDescent="0.25">
      <c r="B360" t="s">
        <v>141</v>
      </c>
      <c r="C360">
        <v>2010</v>
      </c>
      <c r="D360" s="12" t="s">
        <v>39</v>
      </c>
      <c r="E360" s="12" t="s">
        <v>32</v>
      </c>
      <c r="F360" s="16">
        <v>0.6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2:24" x14ac:dyDescent="0.25">
      <c r="B361" t="s">
        <v>141</v>
      </c>
      <c r="C361">
        <v>2015</v>
      </c>
      <c r="D361" s="12" t="s">
        <v>39</v>
      </c>
      <c r="E361" s="12" t="s">
        <v>43</v>
      </c>
      <c r="F361" s="16">
        <v>0.6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2:24" x14ac:dyDescent="0.25">
      <c r="B362" t="s">
        <v>141</v>
      </c>
      <c r="C362">
        <v>2015</v>
      </c>
      <c r="D362" s="12" t="s">
        <v>39</v>
      </c>
      <c r="E362" s="12" t="s">
        <v>32</v>
      </c>
      <c r="F362" s="16">
        <v>0.6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2:24" x14ac:dyDescent="0.25">
      <c r="B363" t="s">
        <v>141</v>
      </c>
      <c r="C363">
        <v>2020</v>
      </c>
      <c r="D363" s="12" t="s">
        <v>39</v>
      </c>
      <c r="E363" s="12" t="s">
        <v>43</v>
      </c>
      <c r="F363" s="16">
        <v>0.6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2:24" x14ac:dyDescent="0.25">
      <c r="B364" t="s">
        <v>141</v>
      </c>
      <c r="C364">
        <v>2020</v>
      </c>
      <c r="D364" s="12" t="s">
        <v>39</v>
      </c>
      <c r="E364" s="12" t="s">
        <v>32</v>
      </c>
      <c r="F364" s="16">
        <v>0.6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2:24" x14ac:dyDescent="0.25">
      <c r="B365" t="s">
        <v>141</v>
      </c>
      <c r="C365">
        <v>2025</v>
      </c>
      <c r="D365" s="12" t="s">
        <v>40</v>
      </c>
      <c r="E365" s="12" t="s">
        <v>43</v>
      </c>
      <c r="F365" s="16">
        <v>0.6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2:24" x14ac:dyDescent="0.25">
      <c r="B366" t="s">
        <v>141</v>
      </c>
      <c r="C366">
        <v>2025</v>
      </c>
      <c r="D366" s="12" t="s">
        <v>40</v>
      </c>
      <c r="E366" s="12" t="s">
        <v>32</v>
      </c>
      <c r="F366" s="16">
        <v>0.6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2:24" x14ac:dyDescent="0.25">
      <c r="B367" t="s">
        <v>122</v>
      </c>
      <c r="C367">
        <v>2010</v>
      </c>
      <c r="D367" s="12" t="s">
        <v>39</v>
      </c>
      <c r="E367" s="12" t="s">
        <v>9</v>
      </c>
      <c r="F367" s="16">
        <v>1.4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2:24" x14ac:dyDescent="0.25">
      <c r="B368" t="s">
        <v>122</v>
      </c>
      <c r="C368">
        <v>2010</v>
      </c>
      <c r="D368" s="12" t="s">
        <v>39</v>
      </c>
      <c r="E368" s="12" t="s">
        <v>11</v>
      </c>
      <c r="F368" s="16">
        <v>1.4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2:24" x14ac:dyDescent="0.25">
      <c r="B369" t="s">
        <v>122</v>
      </c>
      <c r="C369">
        <v>2015</v>
      </c>
      <c r="D369" s="12" t="s">
        <v>39</v>
      </c>
      <c r="E369" s="12" t="s">
        <v>9</v>
      </c>
      <c r="F369" s="16">
        <v>2.8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2:24" x14ac:dyDescent="0.25">
      <c r="B370" t="s">
        <v>122</v>
      </c>
      <c r="C370">
        <v>2015</v>
      </c>
      <c r="D370" s="12" t="s">
        <v>39</v>
      </c>
      <c r="E370" s="12" t="s">
        <v>11</v>
      </c>
      <c r="F370" s="16">
        <v>2.8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2:24" x14ac:dyDescent="0.25">
      <c r="B371" t="s">
        <v>122</v>
      </c>
      <c r="C371">
        <v>2020</v>
      </c>
      <c r="D371" s="12" t="s">
        <v>39</v>
      </c>
      <c r="E371" s="12" t="s">
        <v>9</v>
      </c>
      <c r="F371" s="16">
        <v>2.8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2:24" x14ac:dyDescent="0.25">
      <c r="B372" t="s">
        <v>122</v>
      </c>
      <c r="C372">
        <v>2020</v>
      </c>
      <c r="D372" s="12" t="s">
        <v>39</v>
      </c>
      <c r="E372" s="12" t="s">
        <v>11</v>
      </c>
      <c r="F372" s="16">
        <v>2.8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2:24" x14ac:dyDescent="0.25">
      <c r="B373" t="s">
        <v>122</v>
      </c>
      <c r="C373">
        <v>2025</v>
      </c>
      <c r="D373" s="12" t="s">
        <v>40</v>
      </c>
      <c r="E373" s="12" t="s">
        <v>9</v>
      </c>
      <c r="F373" s="16">
        <v>4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2:24" x14ac:dyDescent="0.25">
      <c r="B374" t="s">
        <v>122</v>
      </c>
      <c r="C374">
        <v>2025</v>
      </c>
      <c r="D374" s="12" t="s">
        <v>40</v>
      </c>
      <c r="E374" s="12" t="s">
        <v>11</v>
      </c>
      <c r="F374" s="16">
        <v>4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2:24" x14ac:dyDescent="0.25">
      <c r="B375" t="s">
        <v>123</v>
      </c>
      <c r="C375">
        <v>2010</v>
      </c>
      <c r="D375" s="12" t="s">
        <v>39</v>
      </c>
      <c r="E375" s="12" t="s">
        <v>9</v>
      </c>
      <c r="F375" s="16">
        <v>1.5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2:24" x14ac:dyDescent="0.25">
      <c r="B376" t="s">
        <v>123</v>
      </c>
      <c r="C376">
        <v>2010</v>
      </c>
      <c r="D376" s="12" t="s">
        <v>39</v>
      </c>
      <c r="E376" s="12" t="s">
        <v>23</v>
      </c>
      <c r="F376" s="16">
        <v>1.5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2:24" x14ac:dyDescent="0.25">
      <c r="B377" t="s">
        <v>123</v>
      </c>
      <c r="C377">
        <v>2015</v>
      </c>
      <c r="D377" s="12" t="s">
        <v>39</v>
      </c>
      <c r="E377" s="12" t="s">
        <v>9</v>
      </c>
      <c r="F377" s="16">
        <v>3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2:24" x14ac:dyDescent="0.25">
      <c r="B378" t="s">
        <v>123</v>
      </c>
      <c r="C378">
        <v>2015</v>
      </c>
      <c r="D378" s="12" t="s">
        <v>39</v>
      </c>
      <c r="E378" s="12" t="s">
        <v>23</v>
      </c>
      <c r="F378" s="16">
        <v>3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2:24" x14ac:dyDescent="0.25">
      <c r="B379" t="s">
        <v>123</v>
      </c>
      <c r="C379">
        <v>2020</v>
      </c>
      <c r="D379" s="12" t="s">
        <v>39</v>
      </c>
      <c r="E379" s="12" t="s">
        <v>9</v>
      </c>
      <c r="F379" s="16">
        <v>3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2:24" x14ac:dyDescent="0.25">
      <c r="B380" t="s">
        <v>123</v>
      </c>
      <c r="C380">
        <v>2020</v>
      </c>
      <c r="D380" s="12" t="s">
        <v>39</v>
      </c>
      <c r="E380" s="12" t="s">
        <v>23</v>
      </c>
      <c r="F380" s="16">
        <v>3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2:24" x14ac:dyDescent="0.25">
      <c r="B381" t="s">
        <v>123</v>
      </c>
      <c r="C381">
        <v>2025</v>
      </c>
      <c r="D381" s="12" t="s">
        <v>40</v>
      </c>
      <c r="E381" s="12" t="s">
        <v>9</v>
      </c>
      <c r="F381" s="16">
        <v>3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2:24" x14ac:dyDescent="0.25">
      <c r="B382" t="s">
        <v>123</v>
      </c>
      <c r="C382">
        <v>2025</v>
      </c>
      <c r="D382" s="12" t="s">
        <v>40</v>
      </c>
      <c r="E382" s="12" t="s">
        <v>23</v>
      </c>
      <c r="F382" s="16">
        <v>3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2:24" x14ac:dyDescent="0.25">
      <c r="B383" s="18" t="s">
        <v>125</v>
      </c>
      <c r="C383" s="18">
        <v>2010</v>
      </c>
      <c r="D383" s="18" t="s">
        <v>39</v>
      </c>
      <c r="E383" s="18" t="s">
        <v>10</v>
      </c>
      <c r="F383" s="19">
        <v>0.1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2:24" x14ac:dyDescent="0.25">
      <c r="B384" s="18" t="s">
        <v>125</v>
      </c>
      <c r="C384" s="18">
        <v>2010</v>
      </c>
      <c r="D384" s="18" t="s">
        <v>39</v>
      </c>
      <c r="E384" s="18" t="s">
        <v>21</v>
      </c>
      <c r="F384" s="19">
        <v>0.1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2:24" x14ac:dyDescent="0.25">
      <c r="B385" s="18" t="s">
        <v>125</v>
      </c>
      <c r="C385" s="18">
        <v>2015</v>
      </c>
      <c r="D385" s="18" t="s">
        <v>39</v>
      </c>
      <c r="E385" s="18" t="s">
        <v>10</v>
      </c>
      <c r="F385" s="19">
        <v>0.1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2:24" x14ac:dyDescent="0.25">
      <c r="B386" s="18" t="s">
        <v>125</v>
      </c>
      <c r="C386" s="18">
        <v>2015</v>
      </c>
      <c r="D386" s="18" t="s">
        <v>39</v>
      </c>
      <c r="E386" s="18" t="s">
        <v>21</v>
      </c>
      <c r="F386" s="19">
        <v>0.1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2:24" x14ac:dyDescent="0.25">
      <c r="B387" s="18" t="s">
        <v>125</v>
      </c>
      <c r="C387" s="18">
        <v>2020</v>
      </c>
      <c r="D387" s="18" t="s">
        <v>39</v>
      </c>
      <c r="E387" s="18" t="s">
        <v>10</v>
      </c>
      <c r="F387" s="19">
        <v>0.1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2:24" x14ac:dyDescent="0.25">
      <c r="B388" s="18" t="s">
        <v>125</v>
      </c>
      <c r="C388" s="18">
        <v>2020</v>
      </c>
      <c r="D388" s="18" t="s">
        <v>39</v>
      </c>
      <c r="E388" s="18" t="s">
        <v>21</v>
      </c>
      <c r="F388" s="19">
        <v>0.1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2:24" x14ac:dyDescent="0.25">
      <c r="B389" s="18" t="s">
        <v>125</v>
      </c>
      <c r="C389" s="18">
        <v>2025</v>
      </c>
      <c r="D389" s="18" t="s">
        <v>40</v>
      </c>
      <c r="E389" s="18" t="s">
        <v>10</v>
      </c>
      <c r="F389" s="19">
        <v>0.1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2:24" x14ac:dyDescent="0.25">
      <c r="B390" s="18" t="s">
        <v>125</v>
      </c>
      <c r="C390" s="18">
        <v>2025</v>
      </c>
      <c r="D390" s="18" t="s">
        <v>40</v>
      </c>
      <c r="E390" s="18" t="s">
        <v>21</v>
      </c>
      <c r="F390" s="19">
        <v>0.1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2:24" x14ac:dyDescent="0.25">
      <c r="B391" s="18" t="s">
        <v>125</v>
      </c>
      <c r="C391" s="18">
        <v>2030</v>
      </c>
      <c r="D391" s="18" t="s">
        <v>40</v>
      </c>
      <c r="E391" s="18" t="s">
        <v>10</v>
      </c>
      <c r="F391" s="19">
        <v>0.1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2:24" x14ac:dyDescent="0.25">
      <c r="B392" s="18" t="s">
        <v>125</v>
      </c>
      <c r="C392" s="18">
        <v>2030</v>
      </c>
      <c r="D392" s="18" t="s">
        <v>40</v>
      </c>
      <c r="E392" s="18" t="s">
        <v>21</v>
      </c>
      <c r="F392" s="19">
        <v>0.1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2:24" x14ac:dyDescent="0.25">
      <c r="B393" s="18" t="s">
        <v>125</v>
      </c>
      <c r="C393" s="18">
        <v>2035</v>
      </c>
      <c r="D393" s="18" t="s">
        <v>40</v>
      </c>
      <c r="E393" s="18" t="s">
        <v>10</v>
      </c>
      <c r="F393" s="19">
        <v>0.1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2:24" x14ac:dyDescent="0.25">
      <c r="B394" s="18" t="s">
        <v>125</v>
      </c>
      <c r="C394" s="18">
        <v>2035</v>
      </c>
      <c r="D394" s="18" t="s">
        <v>40</v>
      </c>
      <c r="E394" s="18" t="s">
        <v>21</v>
      </c>
      <c r="F394" s="19">
        <v>0.1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2:24" x14ac:dyDescent="0.25">
      <c r="B395" s="18" t="s">
        <v>125</v>
      </c>
      <c r="C395" s="18">
        <v>2040</v>
      </c>
      <c r="D395" s="18" t="s">
        <v>40</v>
      </c>
      <c r="E395" s="18" t="s">
        <v>10</v>
      </c>
      <c r="F395" s="19">
        <v>0.1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2:24" x14ac:dyDescent="0.25">
      <c r="B396" s="18" t="s">
        <v>125</v>
      </c>
      <c r="C396" s="18">
        <v>2040</v>
      </c>
      <c r="D396" s="18" t="s">
        <v>40</v>
      </c>
      <c r="E396" s="18" t="s">
        <v>21</v>
      </c>
      <c r="F396" s="19">
        <v>0.1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2:24" x14ac:dyDescent="0.25">
      <c r="B397" s="18" t="s">
        <v>125</v>
      </c>
      <c r="C397" s="18">
        <v>2045</v>
      </c>
      <c r="D397" s="18" t="s">
        <v>40</v>
      </c>
      <c r="E397" s="18" t="s">
        <v>10</v>
      </c>
      <c r="F397" s="19">
        <v>0.1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2:24" x14ac:dyDescent="0.25">
      <c r="B398" s="18" t="s">
        <v>125</v>
      </c>
      <c r="C398" s="18">
        <v>2045</v>
      </c>
      <c r="D398" s="18" t="s">
        <v>40</v>
      </c>
      <c r="E398" s="18" t="s">
        <v>21</v>
      </c>
      <c r="F398" s="19">
        <v>0.1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2:24" x14ac:dyDescent="0.25">
      <c r="B399" s="18" t="s">
        <v>125</v>
      </c>
      <c r="C399" s="18">
        <v>2050</v>
      </c>
      <c r="D399" s="18" t="s">
        <v>40</v>
      </c>
      <c r="E399" s="18" t="s">
        <v>10</v>
      </c>
      <c r="F399" s="19">
        <v>0.1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2:24" x14ac:dyDescent="0.25">
      <c r="B400" s="18" t="s">
        <v>125</v>
      </c>
      <c r="C400" s="18">
        <v>2050</v>
      </c>
      <c r="D400" s="18" t="s">
        <v>40</v>
      </c>
      <c r="E400" s="18" t="s">
        <v>21</v>
      </c>
      <c r="F400" s="19">
        <v>0.1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2:24" x14ac:dyDescent="0.25">
      <c r="B401" s="7" t="s">
        <v>127</v>
      </c>
      <c r="C401" s="7">
        <v>2010</v>
      </c>
      <c r="D401" s="7" t="s">
        <v>39</v>
      </c>
      <c r="E401" s="7" t="s">
        <v>10</v>
      </c>
      <c r="F401" s="17">
        <v>2.0499999999999998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2:24" x14ac:dyDescent="0.25">
      <c r="B402" s="7" t="s">
        <v>127</v>
      </c>
      <c r="C402" s="7">
        <v>2010</v>
      </c>
      <c r="D402" s="7" t="s">
        <v>39</v>
      </c>
      <c r="E402" s="7" t="s">
        <v>25</v>
      </c>
      <c r="F402" s="17">
        <v>2.0499999999999998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2:24" x14ac:dyDescent="0.25">
      <c r="B403" s="7" t="s">
        <v>127</v>
      </c>
      <c r="C403" s="7">
        <v>2015</v>
      </c>
      <c r="D403" s="7" t="s">
        <v>39</v>
      </c>
      <c r="E403" s="7" t="s">
        <v>10</v>
      </c>
      <c r="F403" s="17">
        <v>2.5499999999999998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2:24" x14ac:dyDescent="0.25">
      <c r="B404" s="7" t="s">
        <v>127</v>
      </c>
      <c r="C404" s="7">
        <v>2015</v>
      </c>
      <c r="D404" s="7" t="s">
        <v>39</v>
      </c>
      <c r="E404" s="7" t="s">
        <v>25</v>
      </c>
      <c r="F404" s="17">
        <v>2.5499999999999998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2:24" x14ac:dyDescent="0.25">
      <c r="B405" s="7" t="s">
        <v>127</v>
      </c>
      <c r="C405" s="7">
        <v>2020</v>
      </c>
      <c r="D405" s="7" t="s">
        <v>39</v>
      </c>
      <c r="E405" s="7" t="s">
        <v>10</v>
      </c>
      <c r="F405" s="17">
        <v>2.5499999999999998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2:24" x14ac:dyDescent="0.25">
      <c r="B406" s="7" t="s">
        <v>127</v>
      </c>
      <c r="C406" s="7">
        <v>2020</v>
      </c>
      <c r="D406" s="7" t="s">
        <v>39</v>
      </c>
      <c r="E406" s="7" t="s">
        <v>25</v>
      </c>
      <c r="F406" s="17">
        <v>2.5499999999999998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2:24" x14ac:dyDescent="0.25">
      <c r="B407" s="7" t="s">
        <v>127</v>
      </c>
      <c r="C407" s="7">
        <v>2025</v>
      </c>
      <c r="D407" s="7" t="s">
        <v>40</v>
      </c>
      <c r="E407" s="7" t="s">
        <v>10</v>
      </c>
      <c r="F407" s="17">
        <v>2.5499999999999998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2:24" x14ac:dyDescent="0.25">
      <c r="B408" s="7" t="s">
        <v>127</v>
      </c>
      <c r="C408" s="7">
        <v>2025</v>
      </c>
      <c r="D408" s="7" t="s">
        <v>40</v>
      </c>
      <c r="E408" s="7" t="s">
        <v>25</v>
      </c>
      <c r="F408" s="17">
        <v>2.5499999999999998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2:24" x14ac:dyDescent="0.25">
      <c r="B409" s="7" t="s">
        <v>127</v>
      </c>
      <c r="C409" s="7">
        <v>2030</v>
      </c>
      <c r="D409" s="7" t="s">
        <v>40</v>
      </c>
      <c r="E409" s="7" t="s">
        <v>10</v>
      </c>
      <c r="F409" s="17">
        <v>2.5499999999999998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2:24" x14ac:dyDescent="0.25">
      <c r="B410" s="7" t="s">
        <v>127</v>
      </c>
      <c r="C410" s="7">
        <v>2030</v>
      </c>
      <c r="D410" s="7" t="s">
        <v>40</v>
      </c>
      <c r="E410" s="7" t="s">
        <v>25</v>
      </c>
      <c r="F410" s="17">
        <v>2.5499999999999998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2:24" x14ac:dyDescent="0.25">
      <c r="B411" s="7" t="s">
        <v>127</v>
      </c>
      <c r="C411" s="7">
        <v>2035</v>
      </c>
      <c r="D411" s="7" t="s">
        <v>40</v>
      </c>
      <c r="E411" s="7" t="s">
        <v>10</v>
      </c>
      <c r="F411" s="17">
        <v>3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2:24" x14ac:dyDescent="0.25">
      <c r="B412" s="7" t="s">
        <v>127</v>
      </c>
      <c r="C412" s="7">
        <v>2035</v>
      </c>
      <c r="D412" s="7" t="s">
        <v>40</v>
      </c>
      <c r="E412" s="7" t="s">
        <v>25</v>
      </c>
      <c r="F412" s="17">
        <f>F411</f>
        <v>3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2:24" x14ac:dyDescent="0.25">
      <c r="B413" s="7" t="s">
        <v>127</v>
      </c>
      <c r="C413" s="7">
        <v>2040</v>
      </c>
      <c r="D413" s="7" t="s">
        <v>40</v>
      </c>
      <c r="E413" s="7" t="s">
        <v>10</v>
      </c>
      <c r="F413" s="17">
        <f>F412</f>
        <v>3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2:24" x14ac:dyDescent="0.25">
      <c r="B414" s="7" t="s">
        <v>127</v>
      </c>
      <c r="C414" s="7">
        <v>2040</v>
      </c>
      <c r="D414" s="7" t="s">
        <v>40</v>
      </c>
      <c r="E414" s="7" t="s">
        <v>25</v>
      </c>
      <c r="F414" s="17">
        <f>F413</f>
        <v>3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2:24" x14ac:dyDescent="0.25">
      <c r="B415" s="7" t="s">
        <v>127</v>
      </c>
      <c r="C415" s="7">
        <v>2045</v>
      </c>
      <c r="D415" s="7" t="s">
        <v>40</v>
      </c>
      <c r="E415" s="7" t="s">
        <v>10</v>
      </c>
      <c r="F415" s="17">
        <f t="shared" ref="F415:F418" si="0">F414</f>
        <v>3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2:24" x14ac:dyDescent="0.25">
      <c r="B416" s="7" t="s">
        <v>127</v>
      </c>
      <c r="C416" s="7">
        <v>2045</v>
      </c>
      <c r="D416" s="7" t="s">
        <v>40</v>
      </c>
      <c r="E416" s="7" t="s">
        <v>25</v>
      </c>
      <c r="F416" s="17">
        <f t="shared" si="0"/>
        <v>3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2:24" x14ac:dyDescent="0.25">
      <c r="B417" s="7" t="s">
        <v>127</v>
      </c>
      <c r="C417" s="7">
        <v>2050</v>
      </c>
      <c r="D417" s="7" t="s">
        <v>40</v>
      </c>
      <c r="E417" s="7" t="s">
        <v>10</v>
      </c>
      <c r="F417" s="17">
        <f t="shared" si="0"/>
        <v>3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2:24" x14ac:dyDescent="0.25">
      <c r="B418" s="7" t="s">
        <v>127</v>
      </c>
      <c r="C418" s="7">
        <v>2050</v>
      </c>
      <c r="D418" s="7" t="s">
        <v>40</v>
      </c>
      <c r="E418" s="7" t="s">
        <v>25</v>
      </c>
      <c r="F418" s="17">
        <f t="shared" si="0"/>
        <v>3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2:24" x14ac:dyDescent="0.25">
      <c r="B419" t="s">
        <v>131</v>
      </c>
      <c r="C419">
        <v>2010</v>
      </c>
      <c r="D419" s="12" t="s">
        <v>39</v>
      </c>
      <c r="E419" s="12" t="s">
        <v>11</v>
      </c>
      <c r="F419" s="16">
        <v>0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2:24" x14ac:dyDescent="0.25">
      <c r="B420" t="s">
        <v>131</v>
      </c>
      <c r="C420">
        <v>2010</v>
      </c>
      <c r="D420" s="12" t="s">
        <v>39</v>
      </c>
      <c r="E420" s="12" t="s">
        <v>13</v>
      </c>
      <c r="F420" s="16">
        <v>0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2:24" x14ac:dyDescent="0.25">
      <c r="B421" t="s">
        <v>131</v>
      </c>
      <c r="C421">
        <v>2015</v>
      </c>
      <c r="D421" s="12" t="s">
        <v>39</v>
      </c>
      <c r="E421" s="12" t="s">
        <v>11</v>
      </c>
      <c r="F421" s="16">
        <v>0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2:24" x14ac:dyDescent="0.25">
      <c r="B422" t="s">
        <v>131</v>
      </c>
      <c r="C422">
        <v>2015</v>
      </c>
      <c r="D422" s="12" t="s">
        <v>39</v>
      </c>
      <c r="E422" s="12" t="s">
        <v>13</v>
      </c>
      <c r="F422" s="16">
        <v>0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2:24" x14ac:dyDescent="0.25">
      <c r="B423" t="s">
        <v>131</v>
      </c>
      <c r="C423">
        <v>2020</v>
      </c>
      <c r="D423" s="12" t="s">
        <v>39</v>
      </c>
      <c r="E423" s="12" t="s">
        <v>11</v>
      </c>
      <c r="F423" s="16">
        <v>0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2:24" x14ac:dyDescent="0.25">
      <c r="B424" t="s">
        <v>131</v>
      </c>
      <c r="C424">
        <v>2020</v>
      </c>
      <c r="D424" s="12" t="s">
        <v>39</v>
      </c>
      <c r="E424" s="12" t="s">
        <v>13</v>
      </c>
      <c r="F424" s="16">
        <v>0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2:24" x14ac:dyDescent="0.25">
      <c r="B425" t="s">
        <v>131</v>
      </c>
      <c r="C425">
        <v>2025</v>
      </c>
      <c r="D425" s="12" t="s">
        <v>40</v>
      </c>
      <c r="E425" s="12" t="s">
        <v>11</v>
      </c>
      <c r="F425" s="16">
        <v>1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2:24" x14ac:dyDescent="0.25">
      <c r="B426" t="s">
        <v>131</v>
      </c>
      <c r="C426">
        <v>2025</v>
      </c>
      <c r="D426" s="12" t="s">
        <v>40</v>
      </c>
      <c r="E426" s="12" t="s">
        <v>13</v>
      </c>
      <c r="F426" s="16">
        <v>1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2:24" x14ac:dyDescent="0.25">
      <c r="B427" t="s">
        <v>133</v>
      </c>
      <c r="C427">
        <v>2010</v>
      </c>
      <c r="D427" s="12" t="s">
        <v>39</v>
      </c>
      <c r="E427" s="12" t="s">
        <v>11</v>
      </c>
      <c r="F427" s="16">
        <v>2.65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2:24" x14ac:dyDescent="0.25">
      <c r="B428" t="s">
        <v>133</v>
      </c>
      <c r="C428">
        <v>2010</v>
      </c>
      <c r="D428" s="12" t="s">
        <v>39</v>
      </c>
      <c r="E428" s="12" t="s">
        <v>15</v>
      </c>
      <c r="F428" s="16">
        <v>2.65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2:24" x14ac:dyDescent="0.25">
      <c r="B429" t="s">
        <v>133</v>
      </c>
      <c r="C429">
        <v>2015</v>
      </c>
      <c r="D429" s="12" t="s">
        <v>39</v>
      </c>
      <c r="E429" s="12" t="s">
        <v>11</v>
      </c>
      <c r="F429" s="16">
        <v>3.25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2:24" x14ac:dyDescent="0.25">
      <c r="B430" t="s">
        <v>133</v>
      </c>
      <c r="C430">
        <v>2015</v>
      </c>
      <c r="D430" s="12" t="s">
        <v>39</v>
      </c>
      <c r="E430" s="12" t="s">
        <v>15</v>
      </c>
      <c r="F430" s="16">
        <v>3.25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2:24" x14ac:dyDescent="0.25">
      <c r="B431" t="s">
        <v>133</v>
      </c>
      <c r="C431">
        <v>2020</v>
      </c>
      <c r="D431" s="12" t="s">
        <v>39</v>
      </c>
      <c r="E431" s="12" t="s">
        <v>11</v>
      </c>
      <c r="F431" s="16">
        <v>4.2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2:24" x14ac:dyDescent="0.25">
      <c r="B432" t="s">
        <v>133</v>
      </c>
      <c r="C432">
        <v>2020</v>
      </c>
      <c r="D432" s="12" t="s">
        <v>39</v>
      </c>
      <c r="E432" s="12" t="s">
        <v>15</v>
      </c>
      <c r="F432" s="16">
        <v>4.2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2:24" x14ac:dyDescent="0.25">
      <c r="B433" t="s">
        <v>133</v>
      </c>
      <c r="C433">
        <v>2025</v>
      </c>
      <c r="D433" s="12" t="s">
        <v>40</v>
      </c>
      <c r="E433" s="12" t="s">
        <v>11</v>
      </c>
      <c r="F433" s="16">
        <v>4.2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2:24" x14ac:dyDescent="0.25">
      <c r="B434" t="s">
        <v>133</v>
      </c>
      <c r="C434">
        <v>2025</v>
      </c>
      <c r="D434" s="12" t="s">
        <v>40</v>
      </c>
      <c r="E434" s="12" t="s">
        <v>15</v>
      </c>
      <c r="F434" s="16">
        <v>4.2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2:24" x14ac:dyDescent="0.25">
      <c r="B435" t="s">
        <v>135</v>
      </c>
      <c r="C435">
        <v>2010</v>
      </c>
      <c r="D435" s="12" t="s">
        <v>39</v>
      </c>
      <c r="E435" s="12" t="s">
        <v>11</v>
      </c>
      <c r="F435" s="16">
        <v>0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2:24" x14ac:dyDescent="0.25">
      <c r="B436" t="s">
        <v>135</v>
      </c>
      <c r="C436">
        <v>2010</v>
      </c>
      <c r="D436" s="12" t="s">
        <v>39</v>
      </c>
      <c r="E436" s="12" t="s">
        <v>17</v>
      </c>
      <c r="F436" s="16">
        <v>0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2:24" x14ac:dyDescent="0.25">
      <c r="B437" t="s">
        <v>135</v>
      </c>
      <c r="C437">
        <v>2015</v>
      </c>
      <c r="D437" s="12" t="s">
        <v>39</v>
      </c>
      <c r="E437" s="12" t="s">
        <v>11</v>
      </c>
      <c r="F437" s="16">
        <v>0.3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2:24" x14ac:dyDescent="0.25">
      <c r="B438" t="s">
        <v>135</v>
      </c>
      <c r="C438">
        <v>2015</v>
      </c>
      <c r="D438" s="12" t="s">
        <v>39</v>
      </c>
      <c r="E438" s="12" t="s">
        <v>17</v>
      </c>
      <c r="F438" s="16">
        <v>0.3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2:24" x14ac:dyDescent="0.25">
      <c r="B439" t="s">
        <v>135</v>
      </c>
      <c r="C439">
        <v>2020</v>
      </c>
      <c r="D439" s="12" t="s">
        <v>39</v>
      </c>
      <c r="E439" s="12" t="s">
        <v>11</v>
      </c>
      <c r="F439" s="16">
        <v>0.3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2:24" x14ac:dyDescent="0.25">
      <c r="B440" t="s">
        <v>135</v>
      </c>
      <c r="C440">
        <v>2020</v>
      </c>
      <c r="D440" s="12" t="s">
        <v>39</v>
      </c>
      <c r="E440" s="12" t="s">
        <v>17</v>
      </c>
      <c r="F440" s="16">
        <v>0.3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2:24" x14ac:dyDescent="0.25">
      <c r="B441" t="s">
        <v>135</v>
      </c>
      <c r="C441">
        <v>2025</v>
      </c>
      <c r="D441" s="12" t="s">
        <v>40</v>
      </c>
      <c r="E441" s="12" t="s">
        <v>11</v>
      </c>
      <c r="F441" s="16">
        <v>0.3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2:24" x14ac:dyDescent="0.25">
      <c r="B442" t="s">
        <v>135</v>
      </c>
      <c r="C442">
        <v>2025</v>
      </c>
      <c r="D442" s="12" t="s">
        <v>40</v>
      </c>
      <c r="E442" s="12" t="s">
        <v>17</v>
      </c>
      <c r="F442" s="16">
        <v>0.3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2:24" x14ac:dyDescent="0.25">
      <c r="B443" t="s">
        <v>137</v>
      </c>
      <c r="C443">
        <v>2010</v>
      </c>
      <c r="D443" s="12" t="s">
        <v>39</v>
      </c>
      <c r="E443" s="12" t="s">
        <v>11</v>
      </c>
      <c r="F443" s="16">
        <v>2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2:24" x14ac:dyDescent="0.25">
      <c r="B444" t="s">
        <v>137</v>
      </c>
      <c r="C444">
        <v>2010</v>
      </c>
      <c r="D444" s="12" t="s">
        <v>39</v>
      </c>
      <c r="E444" s="12" t="s">
        <v>28</v>
      </c>
      <c r="F444" s="16">
        <v>2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2:24" x14ac:dyDescent="0.25">
      <c r="B445" t="s">
        <v>137</v>
      </c>
      <c r="C445">
        <v>2015</v>
      </c>
      <c r="D445" s="12" t="s">
        <v>39</v>
      </c>
      <c r="E445" s="12" t="s">
        <v>11</v>
      </c>
      <c r="F445" s="16">
        <v>2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2:24" x14ac:dyDescent="0.25">
      <c r="B446" t="s">
        <v>137</v>
      </c>
      <c r="C446">
        <v>2015</v>
      </c>
      <c r="D446" s="12" t="s">
        <v>39</v>
      </c>
      <c r="E446" s="12" t="s">
        <v>28</v>
      </c>
      <c r="F446" s="16">
        <v>2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2:24" x14ac:dyDescent="0.25">
      <c r="B447" t="s">
        <v>137</v>
      </c>
      <c r="C447">
        <v>2020</v>
      </c>
      <c r="D447" s="12" t="s">
        <v>39</v>
      </c>
      <c r="E447" s="12" t="s">
        <v>11</v>
      </c>
      <c r="F447" s="16">
        <v>2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2:24" x14ac:dyDescent="0.25">
      <c r="B448" t="s">
        <v>137</v>
      </c>
      <c r="C448">
        <v>2020</v>
      </c>
      <c r="D448" s="12" t="s">
        <v>39</v>
      </c>
      <c r="E448" s="12" t="s">
        <v>28</v>
      </c>
      <c r="F448" s="16">
        <v>2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2:24" x14ac:dyDescent="0.25">
      <c r="B449" t="s">
        <v>137</v>
      </c>
      <c r="C449">
        <v>2025</v>
      </c>
      <c r="D449" s="12" t="s">
        <v>40</v>
      </c>
      <c r="E449" s="12" t="s">
        <v>11</v>
      </c>
      <c r="F449" s="16">
        <v>3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2:24" x14ac:dyDescent="0.25">
      <c r="B450" t="s">
        <v>137</v>
      </c>
      <c r="C450">
        <v>2025</v>
      </c>
      <c r="D450" s="12" t="s">
        <v>40</v>
      </c>
      <c r="E450" s="12" t="s">
        <v>28</v>
      </c>
      <c r="F450" s="16">
        <v>3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2:24" x14ac:dyDescent="0.25">
      <c r="B451" t="s">
        <v>164</v>
      </c>
      <c r="C451">
        <v>2010</v>
      </c>
      <c r="D451" s="12" t="s">
        <v>39</v>
      </c>
      <c r="E451" s="12" t="s">
        <v>30</v>
      </c>
      <c r="F451" s="16">
        <v>0.6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2:24" x14ac:dyDescent="0.25">
      <c r="B452" t="s">
        <v>164</v>
      </c>
      <c r="C452">
        <v>2010</v>
      </c>
      <c r="D452" s="12" t="s">
        <v>39</v>
      </c>
      <c r="E452" s="12" t="s">
        <v>33</v>
      </c>
      <c r="F452" s="16">
        <v>0.6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2:24" x14ac:dyDescent="0.25">
      <c r="B453" t="s">
        <v>164</v>
      </c>
      <c r="C453">
        <v>2015</v>
      </c>
      <c r="D453" s="12" t="s">
        <v>39</v>
      </c>
      <c r="E453" s="12" t="s">
        <v>30</v>
      </c>
      <c r="F453" s="16">
        <v>0.6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2:24" x14ac:dyDescent="0.25">
      <c r="B454" t="s">
        <v>164</v>
      </c>
      <c r="C454">
        <v>2015</v>
      </c>
      <c r="D454" s="12" t="s">
        <v>39</v>
      </c>
      <c r="E454" s="12" t="s">
        <v>33</v>
      </c>
      <c r="F454" s="16">
        <v>0.6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2:24" x14ac:dyDescent="0.25">
      <c r="B455" t="s">
        <v>164</v>
      </c>
      <c r="C455">
        <v>2020</v>
      </c>
      <c r="D455" s="12" t="s">
        <v>39</v>
      </c>
      <c r="E455" s="12" t="s">
        <v>30</v>
      </c>
      <c r="F455" s="16">
        <v>0.6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2:24" x14ac:dyDescent="0.25">
      <c r="B456" t="s">
        <v>164</v>
      </c>
      <c r="C456">
        <v>2020</v>
      </c>
      <c r="D456" s="12" t="s">
        <v>39</v>
      </c>
      <c r="E456" s="12" t="s">
        <v>33</v>
      </c>
      <c r="F456" s="16">
        <v>0.6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2:24" x14ac:dyDescent="0.25">
      <c r="B457" t="s">
        <v>164</v>
      </c>
      <c r="C457">
        <v>2025</v>
      </c>
      <c r="D457" s="12" t="s">
        <v>40</v>
      </c>
      <c r="E457" s="12" t="s">
        <v>30</v>
      </c>
      <c r="F457" s="16">
        <v>0.68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2:24" x14ac:dyDescent="0.25">
      <c r="B458" t="s">
        <v>164</v>
      </c>
      <c r="C458">
        <v>2025</v>
      </c>
      <c r="D458" s="12" t="s">
        <v>40</v>
      </c>
      <c r="E458" s="12" t="s">
        <v>33</v>
      </c>
      <c r="F458" s="16">
        <v>0.6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2:24" x14ac:dyDescent="0.25">
      <c r="B459" t="s">
        <v>146</v>
      </c>
      <c r="C459">
        <v>2010</v>
      </c>
      <c r="D459" s="12" t="s">
        <v>39</v>
      </c>
      <c r="E459" s="12" t="s">
        <v>30</v>
      </c>
      <c r="F459" s="16">
        <v>1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2:24" x14ac:dyDescent="0.25">
      <c r="B460" t="s">
        <v>146</v>
      </c>
      <c r="C460">
        <v>2010</v>
      </c>
      <c r="D460" s="12" t="s">
        <v>39</v>
      </c>
      <c r="E460" s="12" t="s">
        <v>12</v>
      </c>
      <c r="F460" s="16">
        <v>1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2:24" x14ac:dyDescent="0.25">
      <c r="B461" t="s">
        <v>146</v>
      </c>
      <c r="C461">
        <v>2015</v>
      </c>
      <c r="D461" s="12" t="s">
        <v>39</v>
      </c>
      <c r="E461" s="12" t="s">
        <v>30</v>
      </c>
      <c r="F461" s="16">
        <v>3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2:24" x14ac:dyDescent="0.25">
      <c r="B462" t="s">
        <v>146</v>
      </c>
      <c r="C462">
        <v>2015</v>
      </c>
      <c r="D462" s="12" t="s">
        <v>39</v>
      </c>
      <c r="E462" s="12" t="s">
        <v>12</v>
      </c>
      <c r="F462" s="16">
        <v>3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2:24" x14ac:dyDescent="0.25">
      <c r="B463" t="s">
        <v>146</v>
      </c>
      <c r="C463">
        <v>2020</v>
      </c>
      <c r="D463" s="12" t="s">
        <v>39</v>
      </c>
      <c r="E463" s="12" t="s">
        <v>30</v>
      </c>
      <c r="F463" s="16">
        <v>3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2:24" x14ac:dyDescent="0.25">
      <c r="B464" t="s">
        <v>146</v>
      </c>
      <c r="C464">
        <v>2020</v>
      </c>
      <c r="D464" s="12" t="s">
        <v>39</v>
      </c>
      <c r="E464" s="12" t="s">
        <v>12</v>
      </c>
      <c r="F464" s="16">
        <v>3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2:24" x14ac:dyDescent="0.25">
      <c r="B465" t="s">
        <v>146</v>
      </c>
      <c r="C465">
        <v>2025</v>
      </c>
      <c r="D465" s="12" t="s">
        <v>40</v>
      </c>
      <c r="E465" s="12" t="s">
        <v>30</v>
      </c>
      <c r="F465" s="16">
        <v>3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2:24" x14ac:dyDescent="0.25">
      <c r="B466" t="s">
        <v>146</v>
      </c>
      <c r="C466">
        <v>2025</v>
      </c>
      <c r="D466" s="12" t="s">
        <v>40</v>
      </c>
      <c r="E466" s="12" t="s">
        <v>12</v>
      </c>
      <c r="F466" s="16">
        <v>3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2:24" x14ac:dyDescent="0.25">
      <c r="B467" t="s">
        <v>142</v>
      </c>
      <c r="C467">
        <v>2010</v>
      </c>
      <c r="D467" s="12" t="s">
        <v>39</v>
      </c>
      <c r="E467" s="12" t="s">
        <v>12</v>
      </c>
      <c r="F467" s="16">
        <v>1.4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2:24" x14ac:dyDescent="0.25">
      <c r="B468" t="s">
        <v>142</v>
      </c>
      <c r="C468">
        <v>2010</v>
      </c>
      <c r="D468" s="12" t="s">
        <v>39</v>
      </c>
      <c r="E468" s="12" t="s">
        <v>24</v>
      </c>
      <c r="F468" s="16">
        <v>1.4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2:24" x14ac:dyDescent="0.25">
      <c r="B469" t="s">
        <v>142</v>
      </c>
      <c r="C469">
        <v>2015</v>
      </c>
      <c r="D469" s="12" t="s">
        <v>39</v>
      </c>
      <c r="E469" s="12" t="s">
        <v>12</v>
      </c>
      <c r="F469" s="16">
        <v>1.4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2:24" x14ac:dyDescent="0.25">
      <c r="B470" t="s">
        <v>142</v>
      </c>
      <c r="C470">
        <v>2015</v>
      </c>
      <c r="D470" s="12" t="s">
        <v>39</v>
      </c>
      <c r="E470" s="12" t="s">
        <v>24</v>
      </c>
      <c r="F470" s="16">
        <v>1.4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2:24" x14ac:dyDescent="0.25">
      <c r="B471" t="s">
        <v>142</v>
      </c>
      <c r="C471">
        <v>2020</v>
      </c>
      <c r="D471" s="12" t="s">
        <v>39</v>
      </c>
      <c r="E471" s="12" t="s">
        <v>12</v>
      </c>
      <c r="F471" s="16">
        <v>1.4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2:24" x14ac:dyDescent="0.25">
      <c r="B472" t="s">
        <v>142</v>
      </c>
      <c r="C472">
        <v>2020</v>
      </c>
      <c r="D472" s="12" t="s">
        <v>39</v>
      </c>
      <c r="E472" s="12" t="s">
        <v>24</v>
      </c>
      <c r="F472" s="16">
        <v>1.4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2:24" x14ac:dyDescent="0.25">
      <c r="B473" t="s">
        <v>142</v>
      </c>
      <c r="C473">
        <v>2025</v>
      </c>
      <c r="D473" s="12" t="s">
        <v>40</v>
      </c>
      <c r="E473" s="12" t="s">
        <v>12</v>
      </c>
      <c r="F473" s="16">
        <v>1.4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2:24" x14ac:dyDescent="0.25">
      <c r="B474" t="s">
        <v>142</v>
      </c>
      <c r="C474">
        <v>2025</v>
      </c>
      <c r="D474" s="12" t="s">
        <v>40</v>
      </c>
      <c r="E474" s="12" t="s">
        <v>24</v>
      </c>
      <c r="F474" s="16">
        <v>1.4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2:24" x14ac:dyDescent="0.25">
      <c r="B475" t="s">
        <v>147</v>
      </c>
      <c r="C475">
        <v>2010</v>
      </c>
      <c r="D475" s="12" t="s">
        <v>39</v>
      </c>
      <c r="E475" s="12" t="s">
        <v>12</v>
      </c>
      <c r="F475" s="16">
        <v>0.6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2:24" x14ac:dyDescent="0.25">
      <c r="B476" t="s">
        <v>147</v>
      </c>
      <c r="C476">
        <v>2010</v>
      </c>
      <c r="D476" s="12" t="s">
        <v>39</v>
      </c>
      <c r="E476" s="12" t="s">
        <v>33</v>
      </c>
      <c r="F476" s="16">
        <v>0.6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2:24" x14ac:dyDescent="0.25">
      <c r="B477" t="s">
        <v>147</v>
      </c>
      <c r="C477">
        <v>2015</v>
      </c>
      <c r="D477" s="12" t="s">
        <v>39</v>
      </c>
      <c r="E477" s="12" t="s">
        <v>12</v>
      </c>
      <c r="F477" s="16">
        <v>0.6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2:24" x14ac:dyDescent="0.25">
      <c r="B478" t="s">
        <v>147</v>
      </c>
      <c r="C478">
        <v>2015</v>
      </c>
      <c r="D478" s="12" t="s">
        <v>39</v>
      </c>
      <c r="E478" s="12" t="s">
        <v>33</v>
      </c>
      <c r="F478" s="16">
        <v>0.6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2:24" x14ac:dyDescent="0.25">
      <c r="B479" t="s">
        <v>147</v>
      </c>
      <c r="C479">
        <v>2020</v>
      </c>
      <c r="D479" s="12" t="s">
        <v>39</v>
      </c>
      <c r="E479" s="12" t="s">
        <v>12</v>
      </c>
      <c r="F479" s="16">
        <v>0.6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2:24" x14ac:dyDescent="0.25">
      <c r="B480" t="s">
        <v>147</v>
      </c>
      <c r="C480">
        <v>2020</v>
      </c>
      <c r="D480" s="12" t="s">
        <v>39</v>
      </c>
      <c r="E480" s="12" t="s">
        <v>33</v>
      </c>
      <c r="F480" s="16">
        <v>0.6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2:24" x14ac:dyDescent="0.25">
      <c r="B481" t="s">
        <v>147</v>
      </c>
      <c r="C481">
        <v>2025</v>
      </c>
      <c r="D481" s="12" t="s">
        <v>40</v>
      </c>
      <c r="E481" s="12" t="s">
        <v>12</v>
      </c>
      <c r="F481" s="16">
        <v>0.6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2:24" x14ac:dyDescent="0.25">
      <c r="B482" t="s">
        <v>147</v>
      </c>
      <c r="C482">
        <v>2025</v>
      </c>
      <c r="D482" s="12" t="s">
        <v>40</v>
      </c>
      <c r="E482" s="12" t="s">
        <v>33</v>
      </c>
      <c r="F482" s="16">
        <v>0.6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2:24" x14ac:dyDescent="0.25">
      <c r="B483" t="s">
        <v>144</v>
      </c>
      <c r="C483">
        <v>2010</v>
      </c>
      <c r="D483" s="12" t="s">
        <v>39</v>
      </c>
      <c r="E483" s="12" t="s">
        <v>12</v>
      </c>
      <c r="F483" s="16">
        <v>0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2:24" x14ac:dyDescent="0.25">
      <c r="B484" t="s">
        <v>144</v>
      </c>
      <c r="C484">
        <v>2010</v>
      </c>
      <c r="D484" s="12" t="s">
        <v>39</v>
      </c>
      <c r="E484" s="12" t="s">
        <v>26</v>
      </c>
      <c r="F484" s="16">
        <v>0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2:24" x14ac:dyDescent="0.25">
      <c r="B485" t="s">
        <v>144</v>
      </c>
      <c r="C485">
        <v>2015</v>
      </c>
      <c r="D485" s="12" t="s">
        <v>39</v>
      </c>
      <c r="E485" s="12" t="s">
        <v>12</v>
      </c>
      <c r="F485" s="16">
        <v>0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2:24" x14ac:dyDescent="0.25">
      <c r="B486" t="s">
        <v>144</v>
      </c>
      <c r="C486">
        <v>2015</v>
      </c>
      <c r="D486" s="12" t="s">
        <v>39</v>
      </c>
      <c r="E486" s="12" t="s">
        <v>26</v>
      </c>
      <c r="F486" s="16">
        <v>0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2:24" x14ac:dyDescent="0.25">
      <c r="B487" t="s">
        <v>144</v>
      </c>
      <c r="C487">
        <v>2020</v>
      </c>
      <c r="D487" s="12" t="s">
        <v>39</v>
      </c>
      <c r="E487" s="12" t="s">
        <v>12</v>
      </c>
      <c r="F487" s="16">
        <v>0.9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2:24" x14ac:dyDescent="0.25">
      <c r="B488" t="s">
        <v>144</v>
      </c>
      <c r="C488">
        <v>2020</v>
      </c>
      <c r="D488" s="12" t="s">
        <v>39</v>
      </c>
      <c r="E488" s="12" t="s">
        <v>26</v>
      </c>
      <c r="F488" s="16">
        <v>0.9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2:24" x14ac:dyDescent="0.25">
      <c r="B489" t="s">
        <v>144</v>
      </c>
      <c r="C489">
        <v>2025</v>
      </c>
      <c r="D489" s="12" t="s">
        <v>40</v>
      </c>
      <c r="E489" s="12" t="s">
        <v>12</v>
      </c>
      <c r="F489" s="16">
        <v>0.9</v>
      </c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2:24" x14ac:dyDescent="0.25">
      <c r="B490" t="s">
        <v>144</v>
      </c>
      <c r="C490">
        <v>2025</v>
      </c>
      <c r="D490" s="12" t="s">
        <v>40</v>
      </c>
      <c r="E490" s="12" t="s">
        <v>26</v>
      </c>
      <c r="F490" s="16">
        <v>0.9</v>
      </c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2:24" x14ac:dyDescent="0.25">
      <c r="B491" t="s">
        <v>145</v>
      </c>
      <c r="C491">
        <v>2010</v>
      </c>
      <c r="D491" s="12" t="s">
        <v>39</v>
      </c>
      <c r="E491" s="12" t="s">
        <v>12</v>
      </c>
      <c r="F491" s="16">
        <v>1.5</v>
      </c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2:24" x14ac:dyDescent="0.25">
      <c r="B492" t="s">
        <v>145</v>
      </c>
      <c r="C492">
        <v>2010</v>
      </c>
      <c r="D492" s="12" t="s">
        <v>39</v>
      </c>
      <c r="E492" s="12" t="s">
        <v>27</v>
      </c>
      <c r="F492" s="16">
        <v>1.5</v>
      </c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2:24" x14ac:dyDescent="0.25">
      <c r="B493" t="s">
        <v>145</v>
      </c>
      <c r="C493">
        <v>2015</v>
      </c>
      <c r="D493" s="12" t="s">
        <v>39</v>
      </c>
      <c r="E493" s="12" t="s">
        <v>12</v>
      </c>
      <c r="F493" s="16">
        <v>1.5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2:24" x14ac:dyDescent="0.25">
      <c r="B494" t="s">
        <v>145</v>
      </c>
      <c r="C494">
        <v>2015</v>
      </c>
      <c r="D494" s="12" t="s">
        <v>39</v>
      </c>
      <c r="E494" s="12" t="s">
        <v>27</v>
      </c>
      <c r="F494" s="16">
        <v>1.5</v>
      </c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2:24" x14ac:dyDescent="0.25">
      <c r="B495" t="s">
        <v>145</v>
      </c>
      <c r="C495">
        <v>2020</v>
      </c>
      <c r="D495" s="12" t="s">
        <v>39</v>
      </c>
      <c r="E495" s="12" t="s">
        <v>12</v>
      </c>
      <c r="F495" s="16">
        <v>3</v>
      </c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2:24" x14ac:dyDescent="0.25">
      <c r="B496" t="s">
        <v>145</v>
      </c>
      <c r="C496">
        <v>2020</v>
      </c>
      <c r="D496" s="12" t="s">
        <v>39</v>
      </c>
      <c r="E496" s="12" t="s">
        <v>27</v>
      </c>
      <c r="F496" s="16">
        <v>3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2:24" x14ac:dyDescent="0.25">
      <c r="B497" t="s">
        <v>145</v>
      </c>
      <c r="C497">
        <v>2025</v>
      </c>
      <c r="D497" s="12" t="s">
        <v>40</v>
      </c>
      <c r="E497" s="12" t="s">
        <v>12</v>
      </c>
      <c r="F497" s="16">
        <v>3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2:24" x14ac:dyDescent="0.25">
      <c r="B498" t="s">
        <v>145</v>
      </c>
      <c r="C498">
        <v>2025</v>
      </c>
      <c r="D498" s="12" t="s">
        <v>40</v>
      </c>
      <c r="E498" s="12" t="s">
        <v>27</v>
      </c>
      <c r="F498" s="16">
        <v>3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2:24" x14ac:dyDescent="0.25">
      <c r="B499" t="s">
        <v>149</v>
      </c>
      <c r="C499">
        <v>2010</v>
      </c>
      <c r="D499" s="12" t="s">
        <v>39</v>
      </c>
      <c r="E499" s="12" t="s">
        <v>13</v>
      </c>
      <c r="F499" s="16">
        <v>0.45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2:24" x14ac:dyDescent="0.25">
      <c r="B500" t="s">
        <v>149</v>
      </c>
      <c r="C500">
        <v>2010</v>
      </c>
      <c r="D500" s="12" t="s">
        <v>39</v>
      </c>
      <c r="E500" s="12" t="s">
        <v>28</v>
      </c>
      <c r="F500" s="16">
        <v>0.45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2:24" x14ac:dyDescent="0.25">
      <c r="B501" t="s">
        <v>149</v>
      </c>
      <c r="C501">
        <v>2015</v>
      </c>
      <c r="D501" s="12" t="s">
        <v>39</v>
      </c>
      <c r="E501" s="12" t="s">
        <v>13</v>
      </c>
      <c r="F501" s="16">
        <v>1.5</v>
      </c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2:24" x14ac:dyDescent="0.25">
      <c r="B502" t="s">
        <v>149</v>
      </c>
      <c r="C502">
        <v>2015</v>
      </c>
      <c r="D502" s="12" t="s">
        <v>39</v>
      </c>
      <c r="E502" s="12" t="s">
        <v>28</v>
      </c>
      <c r="F502" s="16">
        <v>1.5</v>
      </c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2:24" x14ac:dyDescent="0.25">
      <c r="B503" t="s">
        <v>149</v>
      </c>
      <c r="C503">
        <v>2020</v>
      </c>
      <c r="D503" s="12" t="s">
        <v>39</v>
      </c>
      <c r="E503" s="12" t="s">
        <v>13</v>
      </c>
      <c r="F503" s="16">
        <v>1.85</v>
      </c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2:24" x14ac:dyDescent="0.25">
      <c r="B504" t="s">
        <v>149</v>
      </c>
      <c r="C504">
        <v>2020</v>
      </c>
      <c r="D504" s="12" t="s">
        <v>39</v>
      </c>
      <c r="E504" s="12" t="s">
        <v>28</v>
      </c>
      <c r="F504" s="16">
        <v>1.85</v>
      </c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2:24" x14ac:dyDescent="0.25">
      <c r="B505" t="s">
        <v>149</v>
      </c>
      <c r="C505">
        <v>2025</v>
      </c>
      <c r="D505" s="12" t="s">
        <v>40</v>
      </c>
      <c r="E505" s="12" t="s">
        <v>13</v>
      </c>
      <c r="F505" s="16">
        <v>1.85</v>
      </c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2:24" x14ac:dyDescent="0.25">
      <c r="B506" t="s">
        <v>149</v>
      </c>
      <c r="C506">
        <v>2025</v>
      </c>
      <c r="D506" s="12" t="s">
        <v>40</v>
      </c>
      <c r="E506" s="12" t="s">
        <v>28</v>
      </c>
      <c r="F506" s="16">
        <v>1.85</v>
      </c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2:24" x14ac:dyDescent="0.25">
      <c r="B507" t="s">
        <v>150</v>
      </c>
      <c r="C507">
        <v>2010</v>
      </c>
      <c r="D507" s="12" t="s">
        <v>39</v>
      </c>
      <c r="E507" s="12" t="s">
        <v>14</v>
      </c>
      <c r="F507" s="16">
        <v>0</v>
      </c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2:24" x14ac:dyDescent="0.25">
      <c r="B508" t="s">
        <v>150</v>
      </c>
      <c r="C508">
        <v>2010</v>
      </c>
      <c r="D508" s="12" t="s">
        <v>39</v>
      </c>
      <c r="E508" s="12" t="s">
        <v>21</v>
      </c>
      <c r="F508" s="16">
        <v>0</v>
      </c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2:24" x14ac:dyDescent="0.25">
      <c r="B509" t="s">
        <v>150</v>
      </c>
      <c r="C509">
        <v>2015</v>
      </c>
      <c r="D509" s="12" t="s">
        <v>39</v>
      </c>
      <c r="E509" s="12" t="s">
        <v>14</v>
      </c>
      <c r="F509" s="16">
        <v>0</v>
      </c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2:24" x14ac:dyDescent="0.25">
      <c r="B510" t="s">
        <v>150</v>
      </c>
      <c r="C510">
        <v>2015</v>
      </c>
      <c r="D510" s="12" t="s">
        <v>39</v>
      </c>
      <c r="E510" s="12" t="s">
        <v>21</v>
      </c>
      <c r="F510" s="16">
        <v>0</v>
      </c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2:24" x14ac:dyDescent="0.25">
      <c r="B511" t="s">
        <v>150</v>
      </c>
      <c r="C511">
        <v>2020</v>
      </c>
      <c r="D511" s="12" t="s">
        <v>39</v>
      </c>
      <c r="E511" s="12" t="s">
        <v>14</v>
      </c>
      <c r="F511" s="16">
        <v>0</v>
      </c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2:24" x14ac:dyDescent="0.25">
      <c r="B512" t="s">
        <v>150</v>
      </c>
      <c r="C512">
        <v>2020</v>
      </c>
      <c r="D512" s="12" t="s">
        <v>39</v>
      </c>
      <c r="E512" s="12" t="s">
        <v>21</v>
      </c>
      <c r="F512" s="16">
        <v>0</v>
      </c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2:24" x14ac:dyDescent="0.25">
      <c r="B513" t="s">
        <v>150</v>
      </c>
      <c r="C513">
        <v>2025</v>
      </c>
      <c r="D513" s="12" t="s">
        <v>40</v>
      </c>
      <c r="E513" s="12" t="s">
        <v>14</v>
      </c>
      <c r="F513" s="16">
        <v>0</v>
      </c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2:24" x14ac:dyDescent="0.25">
      <c r="B514" t="s">
        <v>150</v>
      </c>
      <c r="C514">
        <v>2025</v>
      </c>
      <c r="D514" s="12" t="s">
        <v>40</v>
      </c>
      <c r="E514" s="12" t="s">
        <v>21</v>
      </c>
      <c r="F514" s="16">
        <v>0</v>
      </c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2:24" x14ac:dyDescent="0.25">
      <c r="B515" t="s">
        <v>151</v>
      </c>
      <c r="C515">
        <v>2010</v>
      </c>
      <c r="D515" s="12" t="s">
        <v>39</v>
      </c>
      <c r="E515" s="12" t="s">
        <v>14</v>
      </c>
      <c r="F515" s="16">
        <v>0</v>
      </c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2:24" x14ac:dyDescent="0.25">
      <c r="B516" t="s">
        <v>151</v>
      </c>
      <c r="C516">
        <v>2010</v>
      </c>
      <c r="D516" s="12" t="s">
        <v>39</v>
      </c>
      <c r="E516" s="12" t="s">
        <v>28</v>
      </c>
      <c r="F516" s="16">
        <v>0</v>
      </c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2:24" x14ac:dyDescent="0.25">
      <c r="B517" t="s">
        <v>151</v>
      </c>
      <c r="C517">
        <v>2015</v>
      </c>
      <c r="D517" s="12" t="s">
        <v>39</v>
      </c>
      <c r="E517" s="12" t="s">
        <v>14</v>
      </c>
      <c r="F517" s="16">
        <v>0</v>
      </c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2:24" x14ac:dyDescent="0.25">
      <c r="B518" t="s">
        <v>151</v>
      </c>
      <c r="C518">
        <v>2015</v>
      </c>
      <c r="D518" s="12" t="s">
        <v>39</v>
      </c>
      <c r="E518" s="12" t="s">
        <v>28</v>
      </c>
      <c r="F518" s="16">
        <v>0</v>
      </c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2:24" x14ac:dyDescent="0.25">
      <c r="B519" t="s">
        <v>151</v>
      </c>
      <c r="C519">
        <v>2020</v>
      </c>
      <c r="D519" s="12" t="s">
        <v>39</v>
      </c>
      <c r="E519" s="12" t="s">
        <v>14</v>
      </c>
      <c r="F519" s="16">
        <v>0</v>
      </c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2:24" x14ac:dyDescent="0.25">
      <c r="B520" t="s">
        <v>151</v>
      </c>
      <c r="C520">
        <v>2020</v>
      </c>
      <c r="D520" s="12" t="s">
        <v>39</v>
      </c>
      <c r="E520" s="12" t="s">
        <v>28</v>
      </c>
      <c r="F520" s="16">
        <v>0</v>
      </c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2:24" x14ac:dyDescent="0.25">
      <c r="B521" t="s">
        <v>151</v>
      </c>
      <c r="C521">
        <v>2025</v>
      </c>
      <c r="D521" s="12" t="s">
        <v>40</v>
      </c>
      <c r="E521" s="12" t="s">
        <v>14</v>
      </c>
      <c r="F521" s="16">
        <v>0</v>
      </c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2:24" x14ac:dyDescent="0.25">
      <c r="B522" t="s">
        <v>151</v>
      </c>
      <c r="C522">
        <v>2025</v>
      </c>
      <c r="D522" s="12" t="s">
        <v>40</v>
      </c>
      <c r="E522" s="12" t="s">
        <v>28</v>
      </c>
      <c r="F522" s="16">
        <v>0</v>
      </c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2:24" x14ac:dyDescent="0.25">
      <c r="B523" t="s">
        <v>157</v>
      </c>
      <c r="C523">
        <v>2010</v>
      </c>
      <c r="D523" s="12" t="s">
        <v>39</v>
      </c>
      <c r="E523" s="12" t="s">
        <v>29</v>
      </c>
      <c r="F523" s="16">
        <v>0</v>
      </c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2:24" x14ac:dyDescent="0.25">
      <c r="B524" t="s">
        <v>157</v>
      </c>
      <c r="C524">
        <v>2010</v>
      </c>
      <c r="D524" s="12" t="s">
        <v>39</v>
      </c>
      <c r="E524" s="12" t="s">
        <v>15</v>
      </c>
      <c r="F524" s="16">
        <v>0</v>
      </c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2:24" x14ac:dyDescent="0.25">
      <c r="B525" t="s">
        <v>157</v>
      </c>
      <c r="C525">
        <v>2015</v>
      </c>
      <c r="D525" s="12" t="s">
        <v>39</v>
      </c>
      <c r="E525" s="12" t="s">
        <v>29</v>
      </c>
      <c r="F525" s="16">
        <v>0.5</v>
      </c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2:24" x14ac:dyDescent="0.25">
      <c r="B526" t="s">
        <v>157</v>
      </c>
      <c r="C526">
        <v>2015</v>
      </c>
      <c r="D526" s="12" t="s">
        <v>39</v>
      </c>
      <c r="E526" s="12" t="s">
        <v>15</v>
      </c>
      <c r="F526" s="16">
        <v>0.5</v>
      </c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2:24" x14ac:dyDescent="0.25">
      <c r="B527" t="s">
        <v>157</v>
      </c>
      <c r="C527">
        <v>2020</v>
      </c>
      <c r="D527" s="12" t="s">
        <v>39</v>
      </c>
      <c r="E527" s="12" t="s">
        <v>29</v>
      </c>
      <c r="F527" s="16">
        <v>0.5</v>
      </c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2:24" x14ac:dyDescent="0.25">
      <c r="B528" t="s">
        <v>157</v>
      </c>
      <c r="C528">
        <v>2020</v>
      </c>
      <c r="D528" s="12" t="s">
        <v>39</v>
      </c>
      <c r="E528" s="12" t="s">
        <v>15</v>
      </c>
      <c r="F528" s="16">
        <v>0.5</v>
      </c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2:24" x14ac:dyDescent="0.25">
      <c r="B529" t="s">
        <v>157</v>
      </c>
      <c r="C529">
        <v>2025</v>
      </c>
      <c r="D529" s="12" t="s">
        <v>40</v>
      </c>
      <c r="E529" s="12" t="s">
        <v>29</v>
      </c>
      <c r="F529" s="16">
        <v>2</v>
      </c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2:24" x14ac:dyDescent="0.25">
      <c r="B530" t="s">
        <v>157</v>
      </c>
      <c r="C530">
        <v>2025</v>
      </c>
      <c r="D530" s="12" t="s">
        <v>40</v>
      </c>
      <c r="E530" s="12" t="s">
        <v>15</v>
      </c>
      <c r="F530" s="16">
        <v>2</v>
      </c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2:24" x14ac:dyDescent="0.25">
      <c r="B531" t="s">
        <v>158</v>
      </c>
      <c r="C531">
        <v>2010</v>
      </c>
      <c r="D531" s="12" t="s">
        <v>39</v>
      </c>
      <c r="E531" s="12" t="s">
        <v>30</v>
      </c>
      <c r="F531" s="16">
        <v>0</v>
      </c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2:24" x14ac:dyDescent="0.25">
      <c r="B532" t="s">
        <v>158</v>
      </c>
      <c r="C532">
        <v>2010</v>
      </c>
      <c r="D532" s="12" t="s">
        <v>39</v>
      </c>
      <c r="E532" s="12" t="s">
        <v>15</v>
      </c>
      <c r="F532" s="16">
        <v>0</v>
      </c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2:24" x14ac:dyDescent="0.25">
      <c r="B533" t="s">
        <v>158</v>
      </c>
      <c r="C533">
        <v>2015</v>
      </c>
      <c r="D533" s="12" t="s">
        <v>39</v>
      </c>
      <c r="E533" s="12" t="s">
        <v>30</v>
      </c>
      <c r="F533" s="16">
        <v>0</v>
      </c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2:24" x14ac:dyDescent="0.25">
      <c r="B534" t="s">
        <v>158</v>
      </c>
      <c r="C534">
        <v>2015</v>
      </c>
      <c r="D534" s="12" t="s">
        <v>39</v>
      </c>
      <c r="E534" s="12" t="s">
        <v>15</v>
      </c>
      <c r="F534" s="16">
        <v>0</v>
      </c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2:24" x14ac:dyDescent="0.25">
      <c r="B535" t="s">
        <v>158</v>
      </c>
      <c r="C535">
        <v>2020</v>
      </c>
      <c r="D535" s="12" t="s">
        <v>39</v>
      </c>
      <c r="E535" s="12" t="s">
        <v>30</v>
      </c>
      <c r="F535" s="16">
        <v>1</v>
      </c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2:24" x14ac:dyDescent="0.25">
      <c r="B536" t="s">
        <v>158</v>
      </c>
      <c r="C536">
        <v>2020</v>
      </c>
      <c r="D536" s="12" t="s">
        <v>39</v>
      </c>
      <c r="E536" s="12" t="s">
        <v>15</v>
      </c>
      <c r="F536" s="16">
        <v>1</v>
      </c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2:24" x14ac:dyDescent="0.25">
      <c r="B537" t="s">
        <v>158</v>
      </c>
      <c r="C537">
        <v>2025</v>
      </c>
      <c r="D537" s="12" t="s">
        <v>40</v>
      </c>
      <c r="E537" s="12" t="s">
        <v>30</v>
      </c>
      <c r="F537" s="16">
        <v>1</v>
      </c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2:24" x14ac:dyDescent="0.25">
      <c r="B538" t="s">
        <v>158</v>
      </c>
      <c r="C538">
        <v>2025</v>
      </c>
      <c r="D538" s="12" t="s">
        <v>40</v>
      </c>
      <c r="E538" s="12" t="s">
        <v>15</v>
      </c>
      <c r="F538" s="16">
        <v>1</v>
      </c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2:24" x14ac:dyDescent="0.25">
      <c r="B539" t="s">
        <v>159</v>
      </c>
      <c r="C539">
        <v>2010</v>
      </c>
      <c r="D539" s="12" t="s">
        <v>39</v>
      </c>
      <c r="E539" s="12" t="s">
        <v>15</v>
      </c>
      <c r="F539" s="16">
        <v>0</v>
      </c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2:24" x14ac:dyDescent="0.25">
      <c r="B540" t="s">
        <v>159</v>
      </c>
      <c r="C540">
        <v>2010</v>
      </c>
      <c r="D540" s="12" t="s">
        <v>39</v>
      </c>
      <c r="E540" s="12" t="s">
        <v>31</v>
      </c>
      <c r="F540" s="16">
        <v>0</v>
      </c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2:24" x14ac:dyDescent="0.25">
      <c r="B541" t="s">
        <v>159</v>
      </c>
      <c r="C541">
        <v>2015</v>
      </c>
      <c r="D541" s="12" t="s">
        <v>39</v>
      </c>
      <c r="E541" s="12" t="s">
        <v>15</v>
      </c>
      <c r="F541" s="16">
        <v>1</v>
      </c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2:24" x14ac:dyDescent="0.25">
      <c r="B542" t="s">
        <v>159</v>
      </c>
      <c r="C542">
        <v>2015</v>
      </c>
      <c r="D542" s="12" t="s">
        <v>39</v>
      </c>
      <c r="E542" s="12" t="s">
        <v>31</v>
      </c>
      <c r="F542" s="16">
        <v>1</v>
      </c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2:24" x14ac:dyDescent="0.25">
      <c r="B543" t="s">
        <v>159</v>
      </c>
      <c r="C543">
        <v>2020</v>
      </c>
      <c r="D543" s="12" t="s">
        <v>39</v>
      </c>
      <c r="E543" s="12" t="s">
        <v>15</v>
      </c>
      <c r="F543" s="16">
        <v>1</v>
      </c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2:24" x14ac:dyDescent="0.25">
      <c r="B544" t="s">
        <v>159</v>
      </c>
      <c r="C544">
        <v>2020</v>
      </c>
      <c r="D544" s="12" t="s">
        <v>39</v>
      </c>
      <c r="E544" s="12" t="s">
        <v>31</v>
      </c>
      <c r="F544" s="16">
        <v>1</v>
      </c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2:24" x14ac:dyDescent="0.25">
      <c r="B545" t="s">
        <v>159</v>
      </c>
      <c r="C545">
        <v>2025</v>
      </c>
      <c r="D545" s="12" t="s">
        <v>40</v>
      </c>
      <c r="E545" s="12" t="s">
        <v>15</v>
      </c>
      <c r="F545" s="16">
        <v>1</v>
      </c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2:24" x14ac:dyDescent="0.25">
      <c r="B546" t="s">
        <v>159</v>
      </c>
      <c r="C546">
        <v>2025</v>
      </c>
      <c r="D546" s="12" t="s">
        <v>40</v>
      </c>
      <c r="E546" s="12" t="s">
        <v>31</v>
      </c>
      <c r="F546" s="16">
        <v>1</v>
      </c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2:24" x14ac:dyDescent="0.25">
      <c r="B547" t="s">
        <v>154</v>
      </c>
      <c r="C547">
        <v>2010</v>
      </c>
      <c r="D547" s="12" t="s">
        <v>39</v>
      </c>
      <c r="E547" s="12" t="s">
        <v>15</v>
      </c>
      <c r="F547" s="16">
        <v>0</v>
      </c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2:24" x14ac:dyDescent="0.25">
      <c r="B548" t="s">
        <v>154</v>
      </c>
      <c r="C548">
        <v>2010</v>
      </c>
      <c r="D548" s="12" t="s">
        <v>39</v>
      </c>
      <c r="E548" s="12" t="s">
        <v>19</v>
      </c>
      <c r="F548" s="16">
        <v>0</v>
      </c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2:24" x14ac:dyDescent="0.25">
      <c r="B549" t="s">
        <v>154</v>
      </c>
      <c r="C549">
        <v>2015</v>
      </c>
      <c r="D549" s="12" t="s">
        <v>39</v>
      </c>
      <c r="E549" s="12" t="s">
        <v>15</v>
      </c>
      <c r="F549" s="16">
        <v>0.2</v>
      </c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2:24" x14ac:dyDescent="0.25">
      <c r="B550" t="s">
        <v>154</v>
      </c>
      <c r="C550">
        <v>2015</v>
      </c>
      <c r="D550" s="12" t="s">
        <v>39</v>
      </c>
      <c r="E550" s="12" t="s">
        <v>19</v>
      </c>
      <c r="F550" s="16">
        <v>0.2</v>
      </c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2:24" x14ac:dyDescent="0.25">
      <c r="B551" t="s">
        <v>154</v>
      </c>
      <c r="C551">
        <v>2020</v>
      </c>
      <c r="D551" s="12" t="s">
        <v>39</v>
      </c>
      <c r="E551" s="12" t="s">
        <v>15</v>
      </c>
      <c r="F551" s="16">
        <v>0.2</v>
      </c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2:24" x14ac:dyDescent="0.25">
      <c r="B552" t="s">
        <v>154</v>
      </c>
      <c r="C552">
        <v>2020</v>
      </c>
      <c r="D552" s="12" t="s">
        <v>39</v>
      </c>
      <c r="E552" s="12" t="s">
        <v>19</v>
      </c>
      <c r="F552" s="16">
        <v>0.2</v>
      </c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2:24" x14ac:dyDescent="0.25">
      <c r="B553" t="s">
        <v>154</v>
      </c>
      <c r="C553">
        <v>2025</v>
      </c>
      <c r="D553" s="12" t="s">
        <v>40</v>
      </c>
      <c r="E553" s="12" t="s">
        <v>15</v>
      </c>
      <c r="F553" s="16">
        <v>0.2</v>
      </c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2:24" x14ac:dyDescent="0.25">
      <c r="B554" t="s">
        <v>154</v>
      </c>
      <c r="C554">
        <v>2025</v>
      </c>
      <c r="D554" s="12" t="s">
        <v>40</v>
      </c>
      <c r="E554" s="12" t="s">
        <v>19</v>
      </c>
      <c r="F554" s="16">
        <v>0.2</v>
      </c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2:24" x14ac:dyDescent="0.25">
      <c r="B555" t="s">
        <v>155</v>
      </c>
      <c r="C555">
        <v>2010</v>
      </c>
      <c r="D555" s="12" t="s">
        <v>39</v>
      </c>
      <c r="E555" s="12" t="s">
        <v>15</v>
      </c>
      <c r="F555" s="16">
        <v>0.65</v>
      </c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2:24" x14ac:dyDescent="0.25">
      <c r="B556" t="s">
        <v>155</v>
      </c>
      <c r="C556">
        <v>2010</v>
      </c>
      <c r="D556" s="12" t="s">
        <v>39</v>
      </c>
      <c r="E556" s="12" t="s">
        <v>26</v>
      </c>
      <c r="F556" s="16">
        <v>0.65</v>
      </c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2:24" x14ac:dyDescent="0.25">
      <c r="B557" t="s">
        <v>155</v>
      </c>
      <c r="C557">
        <v>2015</v>
      </c>
      <c r="D557" s="12" t="s">
        <v>39</v>
      </c>
      <c r="E557" s="12" t="s">
        <v>15</v>
      </c>
      <c r="F557" s="16">
        <v>0.65</v>
      </c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2:24" x14ac:dyDescent="0.25">
      <c r="B558" t="s">
        <v>155</v>
      </c>
      <c r="C558">
        <v>2015</v>
      </c>
      <c r="D558" s="12" t="s">
        <v>39</v>
      </c>
      <c r="E558" s="12" t="s">
        <v>26</v>
      </c>
      <c r="F558" s="16">
        <v>0.65</v>
      </c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2:24" x14ac:dyDescent="0.25">
      <c r="B559" t="s">
        <v>155</v>
      </c>
      <c r="C559">
        <v>2020</v>
      </c>
      <c r="D559" s="12" t="s">
        <v>39</v>
      </c>
      <c r="E559" s="12" t="s">
        <v>15</v>
      </c>
      <c r="F559" s="16">
        <v>2.15</v>
      </c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2:24" x14ac:dyDescent="0.25">
      <c r="B560" t="s">
        <v>155</v>
      </c>
      <c r="C560">
        <v>2020</v>
      </c>
      <c r="D560" s="12" t="s">
        <v>39</v>
      </c>
      <c r="E560" s="12" t="s">
        <v>26</v>
      </c>
      <c r="F560" s="16">
        <v>2.15</v>
      </c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2:24" x14ac:dyDescent="0.25">
      <c r="B561" t="s">
        <v>155</v>
      </c>
      <c r="C561">
        <v>2025</v>
      </c>
      <c r="D561" s="12" t="s">
        <v>40</v>
      </c>
      <c r="E561" s="12" t="s">
        <v>15</v>
      </c>
      <c r="F561" s="16">
        <v>2.15</v>
      </c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2:24" x14ac:dyDescent="0.25">
      <c r="B562" t="s">
        <v>155</v>
      </c>
      <c r="C562">
        <v>2025</v>
      </c>
      <c r="D562" s="12" t="s">
        <v>40</v>
      </c>
      <c r="E562" s="12" t="s">
        <v>26</v>
      </c>
      <c r="F562" s="16">
        <v>2.15</v>
      </c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2:24" x14ac:dyDescent="0.25">
      <c r="B563" t="s">
        <v>160</v>
      </c>
      <c r="C563">
        <v>2010</v>
      </c>
      <c r="D563" s="12" t="s">
        <v>39</v>
      </c>
      <c r="E563" s="12" t="s">
        <v>16</v>
      </c>
      <c r="F563" s="16">
        <v>2</v>
      </c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2:24" x14ac:dyDescent="0.25">
      <c r="B564" t="s">
        <v>160</v>
      </c>
      <c r="C564">
        <v>2010</v>
      </c>
      <c r="D564" s="12" t="s">
        <v>39</v>
      </c>
      <c r="E564" s="12" t="s">
        <v>18</v>
      </c>
      <c r="F564" s="16">
        <v>2</v>
      </c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2:24" x14ac:dyDescent="0.25">
      <c r="B565" t="s">
        <v>160</v>
      </c>
      <c r="C565">
        <v>2015</v>
      </c>
      <c r="D565" s="12" t="s">
        <v>39</v>
      </c>
      <c r="E565" s="12" t="s">
        <v>16</v>
      </c>
      <c r="F565" s="16">
        <v>2</v>
      </c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2:24" x14ac:dyDescent="0.25">
      <c r="B566" t="s">
        <v>160</v>
      </c>
      <c r="C566">
        <v>2015</v>
      </c>
      <c r="D566" s="12" t="s">
        <v>39</v>
      </c>
      <c r="E566" s="12" t="s">
        <v>18</v>
      </c>
      <c r="F566" s="16">
        <v>2</v>
      </c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2:24" x14ac:dyDescent="0.25">
      <c r="B567" t="s">
        <v>160</v>
      </c>
      <c r="C567">
        <v>2020</v>
      </c>
      <c r="D567" s="12" t="s">
        <v>39</v>
      </c>
      <c r="E567" s="12" t="s">
        <v>16</v>
      </c>
      <c r="F567" s="16">
        <v>2</v>
      </c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2:24" x14ac:dyDescent="0.25">
      <c r="B568" t="s">
        <v>160</v>
      </c>
      <c r="C568">
        <v>2020</v>
      </c>
      <c r="D568" s="12" t="s">
        <v>39</v>
      </c>
      <c r="E568" s="12" t="s">
        <v>18</v>
      </c>
      <c r="F568" s="16">
        <v>2</v>
      </c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2:24" x14ac:dyDescent="0.25">
      <c r="B569" t="s">
        <v>160</v>
      </c>
      <c r="C569">
        <v>2025</v>
      </c>
      <c r="D569" s="12" t="s">
        <v>40</v>
      </c>
      <c r="E569" s="12" t="s">
        <v>16</v>
      </c>
      <c r="F569" s="16">
        <v>2.1</v>
      </c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2:24" x14ac:dyDescent="0.25">
      <c r="B570" t="s">
        <v>160</v>
      </c>
      <c r="C570">
        <v>2025</v>
      </c>
      <c r="D570" s="12" t="s">
        <v>40</v>
      </c>
      <c r="E570" s="12" t="s">
        <v>18</v>
      </c>
      <c r="F570" s="16">
        <v>2</v>
      </c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2:24" x14ac:dyDescent="0.25">
      <c r="B571" t="s">
        <v>161</v>
      </c>
      <c r="C571">
        <v>2010</v>
      </c>
      <c r="D571" s="12" t="s">
        <v>39</v>
      </c>
      <c r="E571" s="12" t="s">
        <v>16</v>
      </c>
      <c r="F571" s="16">
        <v>0</v>
      </c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2:24" x14ac:dyDescent="0.25">
      <c r="B572" t="s">
        <v>161</v>
      </c>
      <c r="C572">
        <v>2010</v>
      </c>
      <c r="D572" s="12" t="s">
        <v>39</v>
      </c>
      <c r="E572" s="12" t="s">
        <v>22</v>
      </c>
      <c r="F572" s="16">
        <v>0</v>
      </c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2:24" x14ac:dyDescent="0.25">
      <c r="B573" t="s">
        <v>161</v>
      </c>
      <c r="C573">
        <v>2015</v>
      </c>
      <c r="D573" s="12" t="s">
        <v>39</v>
      </c>
      <c r="E573" s="12" t="s">
        <v>16</v>
      </c>
      <c r="F573" s="16">
        <v>0.5</v>
      </c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2:24" x14ac:dyDescent="0.25">
      <c r="B574" t="s">
        <v>161</v>
      </c>
      <c r="C574">
        <v>2015</v>
      </c>
      <c r="D574" s="12" t="s">
        <v>39</v>
      </c>
      <c r="E574" s="12" t="s">
        <v>22</v>
      </c>
      <c r="F574" s="16">
        <v>0.5</v>
      </c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2:24" x14ac:dyDescent="0.25">
      <c r="B575" t="s">
        <v>161</v>
      </c>
      <c r="C575">
        <v>2020</v>
      </c>
      <c r="D575" s="12" t="s">
        <v>39</v>
      </c>
      <c r="E575" s="12" t="s">
        <v>16</v>
      </c>
      <c r="F575" s="16">
        <v>1</v>
      </c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2:24" x14ac:dyDescent="0.25">
      <c r="B576" t="s">
        <v>161</v>
      </c>
      <c r="C576">
        <v>2020</v>
      </c>
      <c r="D576" s="12" t="s">
        <v>39</v>
      </c>
      <c r="E576" s="12" t="s">
        <v>22</v>
      </c>
      <c r="F576" s="16">
        <v>1</v>
      </c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2:24" x14ac:dyDescent="0.25">
      <c r="B577" t="s">
        <v>161</v>
      </c>
      <c r="C577">
        <v>2025</v>
      </c>
      <c r="D577" s="12" t="s">
        <v>40</v>
      </c>
      <c r="E577" s="12" t="s">
        <v>16</v>
      </c>
      <c r="F577" s="16">
        <v>1</v>
      </c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2:24" x14ac:dyDescent="0.25">
      <c r="B578" t="s">
        <v>161</v>
      </c>
      <c r="C578">
        <v>2025</v>
      </c>
      <c r="D578" s="12" t="s">
        <v>40</v>
      </c>
      <c r="E578" s="12" t="s">
        <v>22</v>
      </c>
      <c r="F578" s="16">
        <v>1</v>
      </c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2:24" x14ac:dyDescent="0.25">
      <c r="B579" t="s">
        <v>162</v>
      </c>
      <c r="C579">
        <v>2010</v>
      </c>
      <c r="D579" s="12" t="s">
        <v>39</v>
      </c>
      <c r="E579" s="12" t="s">
        <v>16</v>
      </c>
      <c r="F579" s="16">
        <v>0</v>
      </c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2:24" x14ac:dyDescent="0.25">
      <c r="B580" t="s">
        <v>162</v>
      </c>
      <c r="C580">
        <v>2010</v>
      </c>
      <c r="D580" s="12" t="s">
        <v>39</v>
      </c>
      <c r="E580" s="12" t="s">
        <v>25</v>
      </c>
      <c r="F580" s="16">
        <v>0</v>
      </c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2:24" x14ac:dyDescent="0.25">
      <c r="B581" t="s">
        <v>162</v>
      </c>
      <c r="C581">
        <v>2015</v>
      </c>
      <c r="D581" s="12" t="s">
        <v>39</v>
      </c>
      <c r="E581" s="12" t="s">
        <v>16</v>
      </c>
      <c r="F581" s="16">
        <v>0</v>
      </c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2:24" x14ac:dyDescent="0.25">
      <c r="B582" t="s">
        <v>162</v>
      </c>
      <c r="C582">
        <v>2015</v>
      </c>
      <c r="D582" s="12" t="s">
        <v>39</v>
      </c>
      <c r="E582" s="12" t="s">
        <v>25</v>
      </c>
      <c r="F582" s="16">
        <v>0</v>
      </c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2:24" x14ac:dyDescent="0.25">
      <c r="B583" t="s">
        <v>162</v>
      </c>
      <c r="C583">
        <v>2020</v>
      </c>
      <c r="D583" s="12" t="s">
        <v>39</v>
      </c>
      <c r="E583" s="12" t="s">
        <v>16</v>
      </c>
      <c r="F583" s="16">
        <v>1</v>
      </c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2:24" x14ac:dyDescent="0.25">
      <c r="B584" t="s">
        <v>162</v>
      </c>
      <c r="C584">
        <v>2020</v>
      </c>
      <c r="D584" s="12" t="s">
        <v>39</v>
      </c>
      <c r="E584" s="12" t="s">
        <v>25</v>
      </c>
      <c r="F584" s="16">
        <v>1</v>
      </c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2:24" x14ac:dyDescent="0.25">
      <c r="B585" t="s">
        <v>162</v>
      </c>
      <c r="C585">
        <v>2025</v>
      </c>
      <c r="D585" s="12" t="s">
        <v>40</v>
      </c>
      <c r="E585" s="12" t="s">
        <v>16</v>
      </c>
      <c r="F585" s="16">
        <v>1</v>
      </c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2:24" x14ac:dyDescent="0.25">
      <c r="B586" t="s">
        <v>162</v>
      </c>
      <c r="C586">
        <v>2025</v>
      </c>
      <c r="D586" s="12" t="s">
        <v>40</v>
      </c>
      <c r="E586" s="12" t="s">
        <v>25</v>
      </c>
      <c r="F586" s="16">
        <v>1</v>
      </c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2:24" x14ac:dyDescent="0.25">
      <c r="B587" t="s">
        <v>163</v>
      </c>
      <c r="C587">
        <v>2010</v>
      </c>
      <c r="D587" s="12" t="s">
        <v>39</v>
      </c>
      <c r="E587" s="12" t="s">
        <v>18</v>
      </c>
      <c r="F587" s="16">
        <v>0</v>
      </c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2:24" x14ac:dyDescent="0.25">
      <c r="B588" t="s">
        <v>163</v>
      </c>
      <c r="C588">
        <v>2010</v>
      </c>
      <c r="D588" s="12" t="s">
        <v>39</v>
      </c>
      <c r="E588" s="12" t="s">
        <v>25</v>
      </c>
      <c r="F588" s="16">
        <v>0</v>
      </c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2:24" x14ac:dyDescent="0.25">
      <c r="B589" t="s">
        <v>163</v>
      </c>
      <c r="C589">
        <v>2015</v>
      </c>
      <c r="D589" s="12" t="s">
        <v>39</v>
      </c>
      <c r="E589" s="12" t="s">
        <v>18</v>
      </c>
      <c r="F589" s="16">
        <v>0</v>
      </c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2:24" x14ac:dyDescent="0.25">
      <c r="B590" t="s">
        <v>163</v>
      </c>
      <c r="C590">
        <v>2015</v>
      </c>
      <c r="D590" s="12" t="s">
        <v>39</v>
      </c>
      <c r="E590" s="12" t="s">
        <v>25</v>
      </c>
      <c r="F590" s="16">
        <v>0</v>
      </c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2:24" x14ac:dyDescent="0.25">
      <c r="B591" t="s">
        <v>163</v>
      </c>
      <c r="C591">
        <v>2020</v>
      </c>
      <c r="D591" s="12" t="s">
        <v>39</v>
      </c>
      <c r="E591" s="12" t="s">
        <v>18</v>
      </c>
      <c r="F591" s="16">
        <v>0</v>
      </c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2:24" x14ac:dyDescent="0.25">
      <c r="B592" t="s">
        <v>163</v>
      </c>
      <c r="C592">
        <v>2020</v>
      </c>
      <c r="D592" s="12" t="s">
        <v>39</v>
      </c>
      <c r="E592" s="12" t="s">
        <v>25</v>
      </c>
      <c r="F592" s="16">
        <v>0</v>
      </c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2:24" x14ac:dyDescent="0.25">
      <c r="B593" t="s">
        <v>163</v>
      </c>
      <c r="C593">
        <v>2025</v>
      </c>
      <c r="D593" s="12" t="s">
        <v>40</v>
      </c>
      <c r="E593" s="12" t="s">
        <v>18</v>
      </c>
      <c r="F593" s="16">
        <v>0.7</v>
      </c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2:24" x14ac:dyDescent="0.25">
      <c r="B594" t="s">
        <v>163</v>
      </c>
      <c r="C594">
        <v>2025</v>
      </c>
      <c r="D594" s="12" t="s">
        <v>40</v>
      </c>
      <c r="E594" s="12" t="s">
        <v>25</v>
      </c>
      <c r="F594" s="16">
        <v>0.7</v>
      </c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2:24" x14ac:dyDescent="0.25">
      <c r="B595" t="s">
        <v>172</v>
      </c>
      <c r="C595">
        <v>2010</v>
      </c>
      <c r="D595" s="12" t="s">
        <v>39</v>
      </c>
      <c r="E595" s="12" t="s">
        <v>31</v>
      </c>
      <c r="F595" s="16">
        <v>0.45</v>
      </c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2:24" x14ac:dyDescent="0.25">
      <c r="B596" t="s">
        <v>172</v>
      </c>
      <c r="C596">
        <v>2010</v>
      </c>
      <c r="D596" s="12" t="s">
        <v>39</v>
      </c>
      <c r="E596" s="12" t="s">
        <v>33</v>
      </c>
      <c r="F596" s="16">
        <v>0.45</v>
      </c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2:24" x14ac:dyDescent="0.25">
      <c r="B597" t="s">
        <v>172</v>
      </c>
      <c r="C597">
        <v>2015</v>
      </c>
      <c r="D597" s="12" t="s">
        <v>39</v>
      </c>
      <c r="E597" s="12" t="s">
        <v>31</v>
      </c>
      <c r="F597" s="16">
        <v>0.45</v>
      </c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2:24" x14ac:dyDescent="0.25">
      <c r="B598" t="s">
        <v>172</v>
      </c>
      <c r="C598">
        <v>2015</v>
      </c>
      <c r="D598" s="12" t="s">
        <v>39</v>
      </c>
      <c r="E598" s="12" t="s">
        <v>33</v>
      </c>
      <c r="F598" s="16">
        <v>0.45</v>
      </c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2:24" x14ac:dyDescent="0.25">
      <c r="B599" t="s">
        <v>172</v>
      </c>
      <c r="C599">
        <v>2020</v>
      </c>
      <c r="D599" s="12" t="s">
        <v>39</v>
      </c>
      <c r="E599" s="12" t="s">
        <v>31</v>
      </c>
      <c r="F599" s="16">
        <v>0.45</v>
      </c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2:24" x14ac:dyDescent="0.25">
      <c r="B600" t="s">
        <v>172</v>
      </c>
      <c r="C600">
        <v>2020</v>
      </c>
      <c r="D600" s="12" t="s">
        <v>39</v>
      </c>
      <c r="E600" s="12" t="s">
        <v>33</v>
      </c>
      <c r="F600" s="16">
        <v>0.45</v>
      </c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2:24" x14ac:dyDescent="0.25">
      <c r="B601" t="s">
        <v>172</v>
      </c>
      <c r="C601">
        <v>2025</v>
      </c>
      <c r="D601" s="12" t="s">
        <v>40</v>
      </c>
      <c r="E601" s="12" t="s">
        <v>31</v>
      </c>
      <c r="F601" s="16">
        <v>0.7</v>
      </c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2:24" x14ac:dyDescent="0.25">
      <c r="B602" t="s">
        <v>172</v>
      </c>
      <c r="C602">
        <v>2025</v>
      </c>
      <c r="D602" s="12" t="s">
        <v>40</v>
      </c>
      <c r="E602" s="12" t="s">
        <v>33</v>
      </c>
      <c r="F602" s="16">
        <v>0.65</v>
      </c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2:24" x14ac:dyDescent="0.25">
      <c r="B603" t="s">
        <v>173</v>
      </c>
      <c r="C603">
        <v>2010</v>
      </c>
      <c r="D603" s="12" t="s">
        <v>39</v>
      </c>
      <c r="E603" s="12" t="s">
        <v>32</v>
      </c>
      <c r="F603" s="16">
        <v>0.6</v>
      </c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2:24" x14ac:dyDescent="0.25">
      <c r="B604" t="s">
        <v>173</v>
      </c>
      <c r="C604">
        <v>2010</v>
      </c>
      <c r="D604" s="12" t="s">
        <v>39</v>
      </c>
      <c r="E604" s="12" t="s">
        <v>33</v>
      </c>
      <c r="F604" s="16">
        <v>0.6</v>
      </c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2:24" x14ac:dyDescent="0.25">
      <c r="B605" t="s">
        <v>173</v>
      </c>
      <c r="C605">
        <v>2015</v>
      </c>
      <c r="D605" s="12" t="s">
        <v>39</v>
      </c>
      <c r="E605" s="12" t="s">
        <v>32</v>
      </c>
      <c r="F605" s="16">
        <v>0.85</v>
      </c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2:24" x14ac:dyDescent="0.25">
      <c r="B606" t="s">
        <v>173</v>
      </c>
      <c r="C606">
        <v>2015</v>
      </c>
      <c r="D606" s="12" t="s">
        <v>39</v>
      </c>
      <c r="E606" s="12" t="s">
        <v>33</v>
      </c>
      <c r="F606" s="16">
        <v>0.85</v>
      </c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2:24" x14ac:dyDescent="0.25">
      <c r="B607" t="s">
        <v>173</v>
      </c>
      <c r="C607">
        <v>2020</v>
      </c>
      <c r="D607" s="12" t="s">
        <v>39</v>
      </c>
      <c r="E607" s="12" t="s">
        <v>32</v>
      </c>
      <c r="F607" s="16">
        <v>0.85</v>
      </c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2:24" x14ac:dyDescent="0.25">
      <c r="B608" t="s">
        <v>173</v>
      </c>
      <c r="C608">
        <v>2020</v>
      </c>
      <c r="D608" s="12" t="s">
        <v>39</v>
      </c>
      <c r="E608" s="12" t="s">
        <v>33</v>
      </c>
      <c r="F608" s="16">
        <v>0.85</v>
      </c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2:24" x14ac:dyDescent="0.25">
      <c r="B609" t="s">
        <v>173</v>
      </c>
      <c r="C609">
        <v>2025</v>
      </c>
      <c r="D609" s="12" t="s">
        <v>40</v>
      </c>
      <c r="E609" s="12" t="s">
        <v>32</v>
      </c>
      <c r="F609" s="16">
        <v>1.1000000000000001</v>
      </c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2:24" x14ac:dyDescent="0.25">
      <c r="B610" t="s">
        <v>173</v>
      </c>
      <c r="C610">
        <v>2025</v>
      </c>
      <c r="D610" s="12" t="s">
        <v>40</v>
      </c>
      <c r="E610" s="12" t="s">
        <v>33</v>
      </c>
      <c r="F610" s="16">
        <v>0.85</v>
      </c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2:24" x14ac:dyDescent="0.25">
      <c r="B611" t="s">
        <v>165</v>
      </c>
      <c r="C611">
        <v>2010</v>
      </c>
      <c r="D611" s="12" t="s">
        <v>39</v>
      </c>
      <c r="E611" s="12" t="s">
        <v>20</v>
      </c>
      <c r="F611" s="16">
        <v>0.7</v>
      </c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2:24" x14ac:dyDescent="0.25">
      <c r="B612" t="s">
        <v>165</v>
      </c>
      <c r="C612">
        <v>2010</v>
      </c>
      <c r="D612" s="12" t="s">
        <v>39</v>
      </c>
      <c r="E612" s="12" t="s">
        <v>21</v>
      </c>
      <c r="F612" s="16">
        <v>0.7</v>
      </c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2:24" x14ac:dyDescent="0.25">
      <c r="B613" t="s">
        <v>165</v>
      </c>
      <c r="C613">
        <v>2015</v>
      </c>
      <c r="D613" s="12" t="s">
        <v>39</v>
      </c>
      <c r="E613" s="12" t="s">
        <v>20</v>
      </c>
      <c r="F613" s="16">
        <v>0.7</v>
      </c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2:24" x14ac:dyDescent="0.25">
      <c r="B614" t="s">
        <v>165</v>
      </c>
      <c r="C614">
        <v>2015</v>
      </c>
      <c r="D614" s="12" t="s">
        <v>39</v>
      </c>
      <c r="E614" s="12" t="s">
        <v>21</v>
      </c>
      <c r="F614" s="16">
        <v>0.7</v>
      </c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2:24" x14ac:dyDescent="0.25">
      <c r="B615" t="s">
        <v>165</v>
      </c>
      <c r="C615">
        <v>2020</v>
      </c>
      <c r="D615" s="12" t="s">
        <v>39</v>
      </c>
      <c r="E615" s="12" t="s">
        <v>20</v>
      </c>
      <c r="F615" s="16">
        <v>0.7</v>
      </c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2:24" x14ac:dyDescent="0.25">
      <c r="B616" t="s">
        <v>165</v>
      </c>
      <c r="C616">
        <v>2020</v>
      </c>
      <c r="D616" s="12" t="s">
        <v>39</v>
      </c>
      <c r="E616" s="12" t="s">
        <v>21</v>
      </c>
      <c r="F616" s="16">
        <v>0.7</v>
      </c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2:24" x14ac:dyDescent="0.25">
      <c r="B617" t="s">
        <v>165</v>
      </c>
      <c r="C617">
        <v>2025</v>
      </c>
      <c r="D617" s="12" t="s">
        <v>40</v>
      </c>
      <c r="E617" s="12" t="s">
        <v>20</v>
      </c>
      <c r="F617" s="16">
        <v>0.7</v>
      </c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2:24" x14ac:dyDescent="0.25">
      <c r="B618" t="s">
        <v>165</v>
      </c>
      <c r="C618">
        <v>2025</v>
      </c>
      <c r="D618" s="12" t="s">
        <v>40</v>
      </c>
      <c r="E618" s="12" t="s">
        <v>21</v>
      </c>
      <c r="F618" s="16">
        <v>0.7</v>
      </c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2:24" x14ac:dyDescent="0.25">
      <c r="B619" t="s">
        <v>166</v>
      </c>
      <c r="C619">
        <v>2010</v>
      </c>
      <c r="D619" s="12" t="s">
        <v>39</v>
      </c>
      <c r="E619" s="12" t="s">
        <v>20</v>
      </c>
      <c r="F619" s="16">
        <v>0</v>
      </c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2:24" x14ac:dyDescent="0.25">
      <c r="B620" t="s">
        <v>166</v>
      </c>
      <c r="C620">
        <v>2010</v>
      </c>
      <c r="D620" s="12" t="s">
        <v>39</v>
      </c>
      <c r="E620" s="12" t="s">
        <v>28</v>
      </c>
      <c r="F620" s="16">
        <v>0</v>
      </c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2:24" x14ac:dyDescent="0.25">
      <c r="B621" t="s">
        <v>166</v>
      </c>
      <c r="C621">
        <v>2015</v>
      </c>
      <c r="D621" s="12" t="s">
        <v>39</v>
      </c>
      <c r="E621" s="12" t="s">
        <v>20</v>
      </c>
      <c r="F621" s="16">
        <v>1.32</v>
      </c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2:24" x14ac:dyDescent="0.25">
      <c r="B622" t="s">
        <v>166</v>
      </c>
      <c r="C622">
        <v>2015</v>
      </c>
      <c r="D622" s="12" t="s">
        <v>39</v>
      </c>
      <c r="E622" s="12" t="s">
        <v>28</v>
      </c>
      <c r="F622" s="16">
        <v>1.32</v>
      </c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2:24" x14ac:dyDescent="0.25">
      <c r="B623" t="s">
        <v>166</v>
      </c>
      <c r="C623">
        <v>2020</v>
      </c>
      <c r="D623" s="12" t="s">
        <v>39</v>
      </c>
      <c r="E623" s="12" t="s">
        <v>20</v>
      </c>
      <c r="F623" s="16">
        <v>1.32</v>
      </c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2:24" x14ac:dyDescent="0.25">
      <c r="B624" t="s">
        <v>166</v>
      </c>
      <c r="C624">
        <v>2020</v>
      </c>
      <c r="D624" s="12" t="s">
        <v>39</v>
      </c>
      <c r="E624" s="12" t="s">
        <v>28</v>
      </c>
      <c r="F624" s="16">
        <v>1.32</v>
      </c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2:24" x14ac:dyDescent="0.25">
      <c r="B625" t="s">
        <v>166</v>
      </c>
      <c r="C625">
        <v>2025</v>
      </c>
      <c r="D625" s="12" t="s">
        <v>40</v>
      </c>
      <c r="E625" s="12" t="s">
        <v>20</v>
      </c>
      <c r="F625" s="16">
        <v>1.32</v>
      </c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2:24" x14ac:dyDescent="0.25">
      <c r="B626" t="s">
        <v>166</v>
      </c>
      <c r="C626">
        <v>2025</v>
      </c>
      <c r="D626" s="12" t="s">
        <v>40</v>
      </c>
      <c r="E626" s="12" t="s">
        <v>28</v>
      </c>
      <c r="F626" s="16">
        <v>1.32</v>
      </c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2:24" x14ac:dyDescent="0.25">
      <c r="B627" t="s">
        <v>167</v>
      </c>
      <c r="C627">
        <v>2010</v>
      </c>
      <c r="D627" s="12" t="s">
        <v>39</v>
      </c>
      <c r="E627" s="12" t="s">
        <v>21</v>
      </c>
      <c r="F627" s="16">
        <v>3.35</v>
      </c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2:24" x14ac:dyDescent="0.25">
      <c r="B628" t="s">
        <v>167</v>
      </c>
      <c r="C628">
        <v>2010</v>
      </c>
      <c r="D628" s="12" t="s">
        <v>39</v>
      </c>
      <c r="E628" s="12" t="s">
        <v>25</v>
      </c>
      <c r="F628" s="16">
        <v>3.35</v>
      </c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2:24" x14ac:dyDescent="0.25">
      <c r="B629" t="s">
        <v>167</v>
      </c>
      <c r="C629">
        <v>2015</v>
      </c>
      <c r="D629" s="12" t="s">
        <v>39</v>
      </c>
      <c r="E629" s="12" t="s">
        <v>21</v>
      </c>
      <c r="F629" s="16">
        <v>3.55</v>
      </c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2:24" x14ac:dyDescent="0.25">
      <c r="B630" t="s">
        <v>167</v>
      </c>
      <c r="C630">
        <v>2015</v>
      </c>
      <c r="D630" s="12" t="s">
        <v>39</v>
      </c>
      <c r="E630" s="12" t="s">
        <v>25</v>
      </c>
      <c r="F630" s="16">
        <v>3.55</v>
      </c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2:24" x14ac:dyDescent="0.25">
      <c r="B631" t="s">
        <v>167</v>
      </c>
      <c r="C631">
        <v>2020</v>
      </c>
      <c r="D631" s="12" t="s">
        <v>39</v>
      </c>
      <c r="E631" s="12" t="s">
        <v>21</v>
      </c>
      <c r="F631" s="16">
        <v>4.55</v>
      </c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2:24" x14ac:dyDescent="0.25">
      <c r="B632" t="s">
        <v>167</v>
      </c>
      <c r="C632">
        <v>2020</v>
      </c>
      <c r="D632" s="12" t="s">
        <v>39</v>
      </c>
      <c r="E632" s="12" t="s">
        <v>25</v>
      </c>
      <c r="F632" s="16">
        <v>4.55</v>
      </c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2:24" x14ac:dyDescent="0.25">
      <c r="B633" t="s">
        <v>167</v>
      </c>
      <c r="C633">
        <v>2025</v>
      </c>
      <c r="D633" s="12" t="s">
        <v>40</v>
      </c>
      <c r="E633" s="12" t="s">
        <v>21</v>
      </c>
      <c r="F633" s="16">
        <v>5.45</v>
      </c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2:24" x14ac:dyDescent="0.25">
      <c r="B634" t="s">
        <v>167</v>
      </c>
      <c r="C634">
        <v>2025</v>
      </c>
      <c r="D634" s="12" t="s">
        <v>40</v>
      </c>
      <c r="E634" s="12" t="s">
        <v>25</v>
      </c>
      <c r="F634" s="16">
        <v>5.45</v>
      </c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2:24" x14ac:dyDescent="0.25">
      <c r="B635" t="s">
        <v>168</v>
      </c>
      <c r="C635">
        <v>2010</v>
      </c>
      <c r="D635" s="12" t="s">
        <v>39</v>
      </c>
      <c r="E635" s="12" t="s">
        <v>21</v>
      </c>
      <c r="F635" s="16">
        <v>0</v>
      </c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2:24" x14ac:dyDescent="0.25">
      <c r="B636" t="s">
        <v>168</v>
      </c>
      <c r="C636">
        <v>2010</v>
      </c>
      <c r="D636" s="12" t="s">
        <v>39</v>
      </c>
      <c r="E636" s="12" t="s">
        <v>28</v>
      </c>
      <c r="F636" s="16">
        <v>0</v>
      </c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2:24" x14ac:dyDescent="0.25">
      <c r="B637" t="s">
        <v>168</v>
      </c>
      <c r="C637">
        <v>2015</v>
      </c>
      <c r="D637" s="12" t="s">
        <v>39</v>
      </c>
      <c r="E637" s="12" t="s">
        <v>21</v>
      </c>
      <c r="F637" s="16">
        <v>0</v>
      </c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2:24" x14ac:dyDescent="0.25">
      <c r="B638" t="s">
        <v>168</v>
      </c>
      <c r="C638">
        <v>2015</v>
      </c>
      <c r="D638" s="12" t="s">
        <v>39</v>
      </c>
      <c r="E638" s="12" t="s">
        <v>28</v>
      </c>
      <c r="F638" s="16">
        <v>0</v>
      </c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2:24" x14ac:dyDescent="0.25">
      <c r="B639" t="s">
        <v>168</v>
      </c>
      <c r="C639">
        <v>2020</v>
      </c>
      <c r="D639" s="12" t="s">
        <v>39</v>
      </c>
      <c r="E639" s="12" t="s">
        <v>21</v>
      </c>
      <c r="F639" s="16">
        <v>0</v>
      </c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2:24" x14ac:dyDescent="0.25">
      <c r="B640" t="s">
        <v>168</v>
      </c>
      <c r="C640">
        <v>2020</v>
      </c>
      <c r="D640" s="12" t="s">
        <v>39</v>
      </c>
      <c r="E640" s="12" t="s">
        <v>28</v>
      </c>
      <c r="F640" s="16">
        <v>0</v>
      </c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2:24" x14ac:dyDescent="0.25">
      <c r="B641" t="s">
        <v>168</v>
      </c>
      <c r="C641">
        <v>2025</v>
      </c>
      <c r="D641" s="12" t="s">
        <v>40</v>
      </c>
      <c r="E641" s="12" t="s">
        <v>21</v>
      </c>
      <c r="F641" s="16">
        <v>1.4</v>
      </c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2:24" x14ac:dyDescent="0.25">
      <c r="B642" t="s">
        <v>168</v>
      </c>
      <c r="C642">
        <v>2025</v>
      </c>
      <c r="D642" s="12" t="s">
        <v>40</v>
      </c>
      <c r="E642" s="12" t="s">
        <v>28</v>
      </c>
      <c r="F642" s="16">
        <v>1.4</v>
      </c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2:24" x14ac:dyDescent="0.25">
      <c r="B643" t="s">
        <v>169</v>
      </c>
      <c r="C643">
        <v>2010</v>
      </c>
      <c r="D643" s="12" t="s">
        <v>39</v>
      </c>
      <c r="E643" s="12" t="s">
        <v>22</v>
      </c>
      <c r="F643" s="16">
        <v>0.6</v>
      </c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2:24" x14ac:dyDescent="0.25">
      <c r="B644" t="s">
        <v>169</v>
      </c>
      <c r="C644">
        <v>2010</v>
      </c>
      <c r="D644" s="12" t="s">
        <v>39</v>
      </c>
      <c r="E644" s="12" t="s">
        <v>25</v>
      </c>
      <c r="F644" s="16">
        <v>0.6</v>
      </c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2:24" x14ac:dyDescent="0.25">
      <c r="B645" t="s">
        <v>169</v>
      </c>
      <c r="C645">
        <v>2015</v>
      </c>
      <c r="D645" s="12" t="s">
        <v>39</v>
      </c>
      <c r="E645" s="12" t="s">
        <v>22</v>
      </c>
      <c r="F645" s="16">
        <v>0.6</v>
      </c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2:24" x14ac:dyDescent="0.25">
      <c r="B646" t="s">
        <v>169</v>
      </c>
      <c r="C646">
        <v>2015</v>
      </c>
      <c r="D646" s="12" t="s">
        <v>39</v>
      </c>
      <c r="E646" s="12" t="s">
        <v>25</v>
      </c>
      <c r="F646" s="16">
        <v>0.6</v>
      </c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2:24" x14ac:dyDescent="0.25">
      <c r="B647" t="s">
        <v>169</v>
      </c>
      <c r="C647">
        <v>2020</v>
      </c>
      <c r="D647" s="12" t="s">
        <v>39</v>
      </c>
      <c r="E647" s="12" t="s">
        <v>22</v>
      </c>
      <c r="F647" s="16">
        <v>0.6</v>
      </c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2:24" x14ac:dyDescent="0.25">
      <c r="B648" t="s">
        <v>169</v>
      </c>
      <c r="C648">
        <v>2020</v>
      </c>
      <c r="D648" s="12" t="s">
        <v>39</v>
      </c>
      <c r="E648" s="12" t="s">
        <v>25</v>
      </c>
      <c r="F648" s="16">
        <v>0.6</v>
      </c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2:24" x14ac:dyDescent="0.25">
      <c r="B649" t="s">
        <v>169</v>
      </c>
      <c r="C649">
        <v>2025</v>
      </c>
      <c r="D649" s="12" t="s">
        <v>40</v>
      </c>
      <c r="E649" s="12" t="s">
        <v>22</v>
      </c>
      <c r="F649" s="16">
        <v>0.6</v>
      </c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2:24" x14ac:dyDescent="0.25">
      <c r="B650" t="s">
        <v>169</v>
      </c>
      <c r="C650">
        <v>2025</v>
      </c>
      <c r="D650" s="12" t="s">
        <v>40</v>
      </c>
      <c r="E650" s="12" t="s">
        <v>25</v>
      </c>
      <c r="F650" s="16">
        <v>0.6</v>
      </c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2:24" x14ac:dyDescent="0.25">
      <c r="B651" t="s">
        <v>170</v>
      </c>
      <c r="C651">
        <v>2010</v>
      </c>
      <c r="D651" s="12" t="s">
        <v>39</v>
      </c>
      <c r="E651" s="12" t="s">
        <v>22</v>
      </c>
      <c r="F651" s="16">
        <v>0.75</v>
      </c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2:24" x14ac:dyDescent="0.25">
      <c r="B652" t="s">
        <v>170</v>
      </c>
      <c r="C652">
        <v>2010</v>
      </c>
      <c r="D652" s="12" t="s">
        <v>39</v>
      </c>
      <c r="E652" s="12" t="s">
        <v>27</v>
      </c>
      <c r="F652" s="16">
        <v>0.75</v>
      </c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2:24" x14ac:dyDescent="0.25">
      <c r="B653" t="s">
        <v>170</v>
      </c>
      <c r="C653">
        <v>2015</v>
      </c>
      <c r="D653" s="12" t="s">
        <v>39</v>
      </c>
      <c r="E653" s="12" t="s">
        <v>22</v>
      </c>
      <c r="F653" s="16">
        <v>0.75</v>
      </c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2:24" x14ac:dyDescent="0.25">
      <c r="B654" t="s">
        <v>170</v>
      </c>
      <c r="C654">
        <v>2015</v>
      </c>
      <c r="D654" s="12" t="s">
        <v>39</v>
      </c>
      <c r="E654" s="12" t="s">
        <v>27</v>
      </c>
      <c r="F654" s="16">
        <v>0.75</v>
      </c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2:24" x14ac:dyDescent="0.25">
      <c r="B655" t="s">
        <v>170</v>
      </c>
      <c r="C655">
        <v>2020</v>
      </c>
      <c r="D655" s="12" t="s">
        <v>39</v>
      </c>
      <c r="E655" s="12" t="s">
        <v>22</v>
      </c>
      <c r="F655" s="16">
        <v>0.75</v>
      </c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2:24" x14ac:dyDescent="0.25">
      <c r="B656" t="s">
        <v>170</v>
      </c>
      <c r="C656">
        <v>2020</v>
      </c>
      <c r="D656" s="12" t="s">
        <v>39</v>
      </c>
      <c r="E656" s="12" t="s">
        <v>27</v>
      </c>
      <c r="F656" s="16">
        <v>0.75</v>
      </c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2:24" x14ac:dyDescent="0.25">
      <c r="B657" t="s">
        <v>170</v>
      </c>
      <c r="C657">
        <v>2025</v>
      </c>
      <c r="D657" s="12" t="s">
        <v>40</v>
      </c>
      <c r="E657" s="12" t="s">
        <v>22</v>
      </c>
      <c r="F657" s="16">
        <v>1.5</v>
      </c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2:24" x14ac:dyDescent="0.25">
      <c r="B658" t="s">
        <v>170</v>
      </c>
      <c r="C658">
        <v>2025</v>
      </c>
      <c r="D658" s="12" t="s">
        <v>40</v>
      </c>
      <c r="E658" s="12" t="s">
        <v>27</v>
      </c>
      <c r="F658" s="16">
        <v>1.5</v>
      </c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2:24" x14ac:dyDescent="0.25">
      <c r="B659" t="s">
        <v>171</v>
      </c>
      <c r="C659">
        <v>2010</v>
      </c>
      <c r="D659" s="12" t="s">
        <v>39</v>
      </c>
      <c r="E659" s="12" t="s">
        <v>24</v>
      </c>
      <c r="F659" s="16">
        <v>1.3</v>
      </c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2:24" x14ac:dyDescent="0.25">
      <c r="B660" t="s">
        <v>171</v>
      </c>
      <c r="C660">
        <v>2010</v>
      </c>
      <c r="D660" s="12" t="s">
        <v>39</v>
      </c>
      <c r="E660" s="12" t="s">
        <v>33</v>
      </c>
      <c r="F660" s="16">
        <v>1.3</v>
      </c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2:24" x14ac:dyDescent="0.25">
      <c r="B661" t="s">
        <v>171</v>
      </c>
      <c r="C661">
        <v>2015</v>
      </c>
      <c r="D661" s="12" t="s">
        <v>39</v>
      </c>
      <c r="E661" s="12" t="s">
        <v>24</v>
      </c>
      <c r="F661" s="16">
        <v>1.3</v>
      </c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2:24" x14ac:dyDescent="0.25">
      <c r="B662" t="s">
        <v>171</v>
      </c>
      <c r="C662">
        <v>2015</v>
      </c>
      <c r="D662" s="12" t="s">
        <v>39</v>
      </c>
      <c r="E662" s="12" t="s">
        <v>33</v>
      </c>
      <c r="F662" s="16">
        <v>1.3</v>
      </c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2:24" x14ac:dyDescent="0.25">
      <c r="B663" t="s">
        <v>171</v>
      </c>
      <c r="C663">
        <v>2020</v>
      </c>
      <c r="D663" s="12" t="s">
        <v>39</v>
      </c>
      <c r="E663" s="12" t="s">
        <v>24</v>
      </c>
      <c r="F663" s="16">
        <v>1.3</v>
      </c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2:24" x14ac:dyDescent="0.25">
      <c r="B664" t="s">
        <v>171</v>
      </c>
      <c r="C664">
        <v>2020</v>
      </c>
      <c r="D664" s="12" t="s">
        <v>39</v>
      </c>
      <c r="E664" s="12" t="s">
        <v>33</v>
      </c>
      <c r="F664" s="16">
        <v>1.3</v>
      </c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2:24" x14ac:dyDescent="0.25">
      <c r="B665" t="s">
        <v>171</v>
      </c>
      <c r="C665">
        <v>2025</v>
      </c>
      <c r="D665" s="12" t="s">
        <v>40</v>
      </c>
      <c r="E665" s="12" t="s">
        <v>24</v>
      </c>
      <c r="F665" s="16">
        <v>1.3</v>
      </c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2:24" x14ac:dyDescent="0.25">
      <c r="B666" t="s">
        <v>171</v>
      </c>
      <c r="C666">
        <v>2025</v>
      </c>
      <c r="D666" s="12" t="s">
        <v>40</v>
      </c>
      <c r="E666" s="12" t="s">
        <v>33</v>
      </c>
      <c r="F666" s="16">
        <v>1.3</v>
      </c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2:24" x14ac:dyDescent="0.25">
      <c r="B667" t="s">
        <v>174</v>
      </c>
      <c r="C667">
        <v>2010</v>
      </c>
      <c r="D667" s="12" t="s">
        <v>39</v>
      </c>
      <c r="E667" s="12" t="s">
        <v>30</v>
      </c>
      <c r="F667" s="16">
        <v>1</v>
      </c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2:24" x14ac:dyDescent="0.25">
      <c r="B668" t="s">
        <v>174</v>
      </c>
      <c r="C668">
        <v>2010</v>
      </c>
      <c r="D668" s="12" t="s">
        <v>39</v>
      </c>
      <c r="E668" s="12" t="s">
        <v>26</v>
      </c>
      <c r="F668" s="16">
        <v>1</v>
      </c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2:24" x14ac:dyDescent="0.25">
      <c r="B669" t="s">
        <v>174</v>
      </c>
      <c r="C669">
        <v>2015</v>
      </c>
      <c r="D669" s="12" t="s">
        <v>39</v>
      </c>
      <c r="E669" s="12" t="s">
        <v>30</v>
      </c>
      <c r="F669" s="16">
        <v>1</v>
      </c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2:24" x14ac:dyDescent="0.25">
      <c r="B670" t="s">
        <v>174</v>
      </c>
      <c r="C670">
        <v>2015</v>
      </c>
      <c r="D670" s="12" t="s">
        <v>39</v>
      </c>
      <c r="E670" s="12" t="s">
        <v>26</v>
      </c>
      <c r="F670" s="16">
        <v>1</v>
      </c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2:24" x14ac:dyDescent="0.25">
      <c r="B671" t="s">
        <v>174</v>
      </c>
      <c r="C671">
        <v>2020</v>
      </c>
      <c r="D671" s="12" t="s">
        <v>39</v>
      </c>
      <c r="E671" s="12" t="s">
        <v>30</v>
      </c>
      <c r="F671" s="16">
        <v>1.9</v>
      </c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2:24" x14ac:dyDescent="0.25">
      <c r="B672" t="s">
        <v>174</v>
      </c>
      <c r="C672">
        <v>2020</v>
      </c>
      <c r="D672" s="12" t="s">
        <v>39</v>
      </c>
      <c r="E672" s="12" t="s">
        <v>26</v>
      </c>
      <c r="F672" s="16">
        <v>1.9</v>
      </c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2:24" x14ac:dyDescent="0.25">
      <c r="B673" t="s">
        <v>174</v>
      </c>
      <c r="C673">
        <v>2025</v>
      </c>
      <c r="D673" s="12" t="s">
        <v>40</v>
      </c>
      <c r="E673" s="12" t="s">
        <v>30</v>
      </c>
      <c r="F673" s="16">
        <v>1.9</v>
      </c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2:24" x14ac:dyDescent="0.25">
      <c r="B674" t="s">
        <v>174</v>
      </c>
      <c r="C674">
        <v>2025</v>
      </c>
      <c r="D674" s="12" t="s">
        <v>40</v>
      </c>
      <c r="E674" s="12" t="s">
        <v>26</v>
      </c>
      <c r="F674" s="16">
        <v>1.9</v>
      </c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2:24" x14ac:dyDescent="0.25"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G98"/>
  <sheetViews>
    <sheetView workbookViewId="0">
      <selection activeCell="C3" sqref="C3:G98"/>
    </sheetView>
  </sheetViews>
  <sheetFormatPr defaultRowHeight="15" x14ac:dyDescent="0.25"/>
  <cols>
    <col min="3" max="3" width="20.85546875" bestFit="1" customWidth="1"/>
  </cols>
  <sheetData>
    <row r="2" spans="3:7" x14ac:dyDescent="0.25">
      <c r="C2" t="s">
        <v>242</v>
      </c>
      <c r="D2" t="s">
        <v>36</v>
      </c>
      <c r="E2" t="s">
        <v>44</v>
      </c>
      <c r="F2" t="s">
        <v>243</v>
      </c>
      <c r="G2" t="s">
        <v>37</v>
      </c>
    </row>
    <row r="3" spans="3:7" x14ac:dyDescent="0.25">
      <c r="C3" t="s">
        <v>47</v>
      </c>
      <c r="D3">
        <v>2010</v>
      </c>
      <c r="E3" t="s">
        <v>0</v>
      </c>
      <c r="F3" t="s">
        <v>48</v>
      </c>
      <c r="G3" s="4">
        <v>1.13031026133299E-3</v>
      </c>
    </row>
    <row r="4" spans="3:7" x14ac:dyDescent="0.25">
      <c r="C4" t="s">
        <v>47</v>
      </c>
      <c r="D4">
        <v>2010</v>
      </c>
      <c r="E4" t="s">
        <v>5</v>
      </c>
      <c r="F4" t="s">
        <v>48</v>
      </c>
      <c r="G4" s="4">
        <v>1.13031026133299E-3</v>
      </c>
    </row>
    <row r="5" spans="3:7" x14ac:dyDescent="0.25">
      <c r="C5" t="s">
        <v>51</v>
      </c>
      <c r="D5">
        <v>2010</v>
      </c>
      <c r="E5" t="s">
        <v>0</v>
      </c>
      <c r="F5" t="s">
        <v>48</v>
      </c>
      <c r="G5" s="4">
        <v>3.1204481610489199E-3</v>
      </c>
    </row>
    <row r="6" spans="3:7" x14ac:dyDescent="0.25">
      <c r="C6" t="s">
        <v>51</v>
      </c>
      <c r="D6">
        <v>2010</v>
      </c>
      <c r="E6" t="s">
        <v>6</v>
      </c>
      <c r="F6" t="s">
        <v>48</v>
      </c>
      <c r="G6" s="4">
        <v>3.1204481610489199E-3</v>
      </c>
    </row>
    <row r="7" spans="3:7" x14ac:dyDescent="0.25">
      <c r="C7" t="s">
        <v>53</v>
      </c>
      <c r="D7">
        <v>2010</v>
      </c>
      <c r="E7" t="s">
        <v>0</v>
      </c>
      <c r="F7" t="s">
        <v>48</v>
      </c>
      <c r="G7" s="4">
        <v>1.89614296336975E-3</v>
      </c>
    </row>
    <row r="8" spans="3:7" x14ac:dyDescent="0.25">
      <c r="C8" t="s">
        <v>53</v>
      </c>
      <c r="D8">
        <v>2010</v>
      </c>
      <c r="E8" t="s">
        <v>12</v>
      </c>
      <c r="F8" t="s">
        <v>48</v>
      </c>
      <c r="G8" s="4">
        <v>1.89614296336975E-3</v>
      </c>
    </row>
    <row r="9" spans="3:7" x14ac:dyDescent="0.25">
      <c r="C9" t="s">
        <v>55</v>
      </c>
      <c r="D9">
        <v>2010</v>
      </c>
      <c r="E9" t="s">
        <v>0</v>
      </c>
      <c r="F9" t="s">
        <v>48</v>
      </c>
      <c r="G9" s="4">
        <v>8.3033029750465698E-4</v>
      </c>
    </row>
    <row r="10" spans="3:7" x14ac:dyDescent="0.25">
      <c r="C10" t="s">
        <v>55</v>
      </c>
      <c r="D10">
        <v>2010</v>
      </c>
      <c r="E10" t="s">
        <v>26</v>
      </c>
      <c r="F10" t="s">
        <v>48</v>
      </c>
      <c r="G10" s="4">
        <v>8.3033029750465698E-4</v>
      </c>
    </row>
    <row r="11" spans="3:7" x14ac:dyDescent="0.25">
      <c r="C11" t="s">
        <v>57</v>
      </c>
      <c r="D11">
        <v>2010</v>
      </c>
      <c r="E11" t="s">
        <v>0</v>
      </c>
      <c r="F11" t="s">
        <v>48</v>
      </c>
      <c r="G11" s="4">
        <v>1.6434807335793801E-3</v>
      </c>
    </row>
    <row r="12" spans="3:7" x14ac:dyDescent="0.25">
      <c r="C12" t="s">
        <v>57</v>
      </c>
      <c r="D12">
        <v>2010</v>
      </c>
      <c r="E12" t="s">
        <v>27</v>
      </c>
      <c r="F12" t="s">
        <v>48</v>
      </c>
      <c r="G12" s="4">
        <v>1.6434807335793801E-3</v>
      </c>
    </row>
    <row r="13" spans="3:7" x14ac:dyDescent="0.25">
      <c r="C13" t="s">
        <v>59</v>
      </c>
      <c r="D13">
        <v>2010</v>
      </c>
      <c r="E13" t="s">
        <v>1</v>
      </c>
      <c r="F13" t="s">
        <v>48</v>
      </c>
      <c r="G13" s="4">
        <v>1.8392132621281199E-3</v>
      </c>
    </row>
    <row r="14" spans="3:7" x14ac:dyDescent="0.25">
      <c r="C14" t="s">
        <v>59</v>
      </c>
      <c r="D14">
        <v>2010</v>
      </c>
      <c r="E14" t="s">
        <v>6</v>
      </c>
      <c r="F14" t="s">
        <v>48</v>
      </c>
      <c r="G14" s="4">
        <v>1.8392132621281199E-3</v>
      </c>
    </row>
    <row r="15" spans="3:7" x14ac:dyDescent="0.25">
      <c r="C15" t="s">
        <v>61</v>
      </c>
      <c r="D15">
        <v>2010</v>
      </c>
      <c r="E15" t="s">
        <v>1</v>
      </c>
      <c r="F15" t="s">
        <v>48</v>
      </c>
      <c r="G15" s="4">
        <v>1.80145596016245E-3</v>
      </c>
    </row>
    <row r="16" spans="3:7" x14ac:dyDescent="0.25">
      <c r="C16" t="s">
        <v>61</v>
      </c>
      <c r="D16">
        <v>2010</v>
      </c>
      <c r="E16" t="s">
        <v>11</v>
      </c>
      <c r="F16" t="s">
        <v>48</v>
      </c>
      <c r="G16" s="4">
        <v>1.80145596016245E-3</v>
      </c>
    </row>
    <row r="17" spans="3:7" x14ac:dyDescent="0.25">
      <c r="C17" t="s">
        <v>63</v>
      </c>
      <c r="D17">
        <v>2010</v>
      </c>
      <c r="E17" t="s">
        <v>1</v>
      </c>
      <c r="F17" t="s">
        <v>48</v>
      </c>
      <c r="G17" s="4">
        <v>9.1738679739311699E-4</v>
      </c>
    </row>
    <row r="18" spans="3:7" x14ac:dyDescent="0.25">
      <c r="C18" t="s">
        <v>63</v>
      </c>
      <c r="D18">
        <v>2010</v>
      </c>
      <c r="E18" t="s">
        <v>17</v>
      </c>
      <c r="F18" t="s">
        <v>48</v>
      </c>
      <c r="G18" s="4">
        <v>9.1738679739311699E-4</v>
      </c>
    </row>
    <row r="19" spans="3:7" x14ac:dyDescent="0.25">
      <c r="C19" t="s">
        <v>65</v>
      </c>
      <c r="D19">
        <v>2010</v>
      </c>
      <c r="E19" t="s">
        <v>1</v>
      </c>
      <c r="F19" t="s">
        <v>48</v>
      </c>
      <c r="G19" s="4">
        <v>9.5090599560139401E-4</v>
      </c>
    </row>
    <row r="20" spans="3:7" x14ac:dyDescent="0.25">
      <c r="C20" t="s">
        <v>65</v>
      </c>
      <c r="D20">
        <v>2010</v>
      </c>
      <c r="E20" t="s">
        <v>20</v>
      </c>
      <c r="F20" t="s">
        <v>48</v>
      </c>
      <c r="G20" s="4">
        <v>9.5090599560139401E-4</v>
      </c>
    </row>
    <row r="21" spans="3:7" x14ac:dyDescent="0.25">
      <c r="C21" t="s">
        <v>67</v>
      </c>
      <c r="D21">
        <v>2010</v>
      </c>
      <c r="E21" t="s">
        <v>1</v>
      </c>
      <c r="F21" t="s">
        <v>48</v>
      </c>
      <c r="G21" s="4">
        <v>2.8078979188930499E-3</v>
      </c>
    </row>
    <row r="22" spans="3:7" x14ac:dyDescent="0.25">
      <c r="C22" t="s">
        <v>67</v>
      </c>
      <c r="D22">
        <v>2010</v>
      </c>
      <c r="E22" t="s">
        <v>28</v>
      </c>
      <c r="F22" t="s">
        <v>48</v>
      </c>
      <c r="G22" s="4">
        <v>2.8078979188930499E-3</v>
      </c>
    </row>
    <row r="23" spans="3:7" x14ac:dyDescent="0.25">
      <c r="C23" t="s">
        <v>69</v>
      </c>
      <c r="D23">
        <v>2010</v>
      </c>
      <c r="E23" t="s">
        <v>2</v>
      </c>
      <c r="F23" t="s">
        <v>48</v>
      </c>
      <c r="G23" s="4">
        <v>3.1761599618766699E-3</v>
      </c>
    </row>
    <row r="24" spans="3:7" x14ac:dyDescent="0.25">
      <c r="C24" t="s">
        <v>69</v>
      </c>
      <c r="D24">
        <v>2010</v>
      </c>
      <c r="E24" t="s">
        <v>43</v>
      </c>
      <c r="F24" t="s">
        <v>48</v>
      </c>
      <c r="G24" s="4">
        <v>3.1761599618766699E-3</v>
      </c>
    </row>
    <row r="25" spans="3:7" x14ac:dyDescent="0.25">
      <c r="C25" t="s">
        <v>71</v>
      </c>
      <c r="D25">
        <v>2010</v>
      </c>
      <c r="E25" t="s">
        <v>2</v>
      </c>
      <c r="F25" t="s">
        <v>48</v>
      </c>
      <c r="G25" s="4">
        <v>1.9861212033069498E-3</v>
      </c>
    </row>
    <row r="26" spans="3:7" x14ac:dyDescent="0.25">
      <c r="C26" t="s">
        <v>71</v>
      </c>
      <c r="D26">
        <v>2010</v>
      </c>
      <c r="E26" t="s">
        <v>24</v>
      </c>
      <c r="F26" t="s">
        <v>48</v>
      </c>
      <c r="G26" s="4">
        <v>1.9861212033069498E-3</v>
      </c>
    </row>
    <row r="27" spans="3:7" x14ac:dyDescent="0.25">
      <c r="C27" t="s">
        <v>73</v>
      </c>
      <c r="D27">
        <v>2010</v>
      </c>
      <c r="E27" t="s">
        <v>4</v>
      </c>
      <c r="F27" t="s">
        <v>48</v>
      </c>
      <c r="G27" s="4">
        <v>1.0015235809325901E-2</v>
      </c>
    </row>
    <row r="28" spans="3:7" x14ac:dyDescent="0.25">
      <c r="C28" t="s">
        <v>73</v>
      </c>
      <c r="D28">
        <v>2010</v>
      </c>
      <c r="E28" t="s">
        <v>43</v>
      </c>
      <c r="F28" t="s">
        <v>48</v>
      </c>
      <c r="G28" s="4">
        <v>1.0015235809325901E-2</v>
      </c>
    </row>
    <row r="29" spans="3:7" x14ac:dyDescent="0.25">
      <c r="C29" t="s">
        <v>76</v>
      </c>
      <c r="D29">
        <v>2010</v>
      </c>
      <c r="E29" t="s">
        <v>5</v>
      </c>
      <c r="F29" t="s">
        <v>48</v>
      </c>
      <c r="G29" s="4">
        <v>2.3564561626668399E-3</v>
      </c>
    </row>
    <row r="30" spans="3:7" x14ac:dyDescent="0.25">
      <c r="C30" t="s">
        <v>76</v>
      </c>
      <c r="D30">
        <v>2010</v>
      </c>
      <c r="E30" t="s">
        <v>6</v>
      </c>
      <c r="F30" t="s">
        <v>48</v>
      </c>
      <c r="G30" s="4">
        <v>2.3564561626668399E-3</v>
      </c>
    </row>
    <row r="31" spans="3:7" x14ac:dyDescent="0.25">
      <c r="C31" t="s">
        <v>79</v>
      </c>
      <c r="D31">
        <v>2010</v>
      </c>
      <c r="E31" t="s">
        <v>5</v>
      </c>
      <c r="F31" t="s">
        <v>48</v>
      </c>
      <c r="G31" s="4">
        <v>1.4654235517428699E-3</v>
      </c>
    </row>
    <row r="32" spans="3:7" x14ac:dyDescent="0.25">
      <c r="C32" t="s">
        <v>79</v>
      </c>
      <c r="D32">
        <v>2010</v>
      </c>
      <c r="E32" t="s">
        <v>22</v>
      </c>
      <c r="F32" t="s">
        <v>48</v>
      </c>
      <c r="G32" s="4">
        <v>1.4654235517428699E-3</v>
      </c>
    </row>
    <row r="33" spans="3:7" x14ac:dyDescent="0.25">
      <c r="C33" t="s">
        <v>81</v>
      </c>
      <c r="D33">
        <v>2010</v>
      </c>
      <c r="E33" t="s">
        <v>5</v>
      </c>
      <c r="F33" t="s">
        <v>48</v>
      </c>
      <c r="G33" s="4">
        <v>1.85974225349658E-3</v>
      </c>
    </row>
    <row r="34" spans="3:7" x14ac:dyDescent="0.25">
      <c r="C34" t="s">
        <v>81</v>
      </c>
      <c r="D34">
        <v>2010</v>
      </c>
      <c r="E34" t="s">
        <v>27</v>
      </c>
      <c r="F34" t="s">
        <v>48</v>
      </c>
      <c r="G34" s="4">
        <v>1.85974225349658E-3</v>
      </c>
    </row>
    <row r="35" spans="3:7" x14ac:dyDescent="0.25">
      <c r="C35" t="s">
        <v>85</v>
      </c>
      <c r="D35">
        <v>2010</v>
      </c>
      <c r="E35" t="s">
        <v>6</v>
      </c>
      <c r="F35" t="s">
        <v>48</v>
      </c>
      <c r="G35" s="4">
        <v>3.7126218141681701E-3</v>
      </c>
    </row>
    <row r="36" spans="3:7" x14ac:dyDescent="0.25">
      <c r="C36" t="s">
        <v>85</v>
      </c>
      <c r="D36">
        <v>2010</v>
      </c>
      <c r="E36" t="s">
        <v>7</v>
      </c>
      <c r="F36" t="s">
        <v>48</v>
      </c>
      <c r="G36" s="4">
        <v>3.7126218141681701E-3</v>
      </c>
    </row>
    <row r="37" spans="3:7" x14ac:dyDescent="0.25">
      <c r="C37" t="s">
        <v>86</v>
      </c>
      <c r="D37">
        <v>2010</v>
      </c>
      <c r="E37" t="s">
        <v>6</v>
      </c>
      <c r="F37" t="s">
        <v>48</v>
      </c>
      <c r="G37" s="4">
        <v>1.92909598274404E-3</v>
      </c>
    </row>
    <row r="38" spans="3:7" x14ac:dyDescent="0.25">
      <c r="C38" t="s">
        <v>86</v>
      </c>
      <c r="D38">
        <v>2010</v>
      </c>
      <c r="E38" t="s">
        <v>17</v>
      </c>
      <c r="F38" t="s">
        <v>48</v>
      </c>
      <c r="G38" s="4">
        <v>1.92909598274404E-3</v>
      </c>
    </row>
    <row r="39" spans="3:7" x14ac:dyDescent="0.25">
      <c r="C39" t="s">
        <v>88</v>
      </c>
      <c r="D39">
        <v>2010</v>
      </c>
      <c r="E39" t="s">
        <v>6</v>
      </c>
      <c r="F39" t="s">
        <v>48</v>
      </c>
      <c r="G39" s="4">
        <v>2.6918290867920499E-3</v>
      </c>
    </row>
    <row r="40" spans="3:7" x14ac:dyDescent="0.25">
      <c r="C40" t="s">
        <v>88</v>
      </c>
      <c r="D40">
        <v>2010</v>
      </c>
      <c r="E40" t="s">
        <v>20</v>
      </c>
      <c r="F40" t="s">
        <v>48</v>
      </c>
      <c r="G40" s="4">
        <v>2.6918290867920499E-3</v>
      </c>
    </row>
    <row r="41" spans="3:7" x14ac:dyDescent="0.25">
      <c r="C41" t="s">
        <v>91</v>
      </c>
      <c r="D41">
        <v>2010</v>
      </c>
      <c r="E41" t="s">
        <v>6</v>
      </c>
      <c r="F41" t="s">
        <v>48</v>
      </c>
      <c r="G41" s="4">
        <v>1.5661030818619199E-3</v>
      </c>
    </row>
    <row r="42" spans="3:7" x14ac:dyDescent="0.25">
      <c r="C42" t="s">
        <v>91</v>
      </c>
      <c r="D42">
        <v>2010</v>
      </c>
      <c r="E42" t="s">
        <v>22</v>
      </c>
      <c r="F42" t="s">
        <v>48</v>
      </c>
      <c r="G42" s="4">
        <v>1.5661030818619199E-3</v>
      </c>
    </row>
    <row r="43" spans="3:7" x14ac:dyDescent="0.25">
      <c r="C43" t="s">
        <v>95</v>
      </c>
      <c r="D43">
        <v>2010</v>
      </c>
      <c r="E43" t="s">
        <v>7</v>
      </c>
      <c r="F43" t="s">
        <v>48</v>
      </c>
      <c r="G43" s="4">
        <v>3.32826456748827E-3</v>
      </c>
    </row>
    <row r="44" spans="3:7" x14ac:dyDescent="0.25">
      <c r="C44" t="s">
        <v>95</v>
      </c>
      <c r="D44">
        <v>2010</v>
      </c>
      <c r="E44" t="s">
        <v>20</v>
      </c>
      <c r="F44" t="s">
        <v>48</v>
      </c>
      <c r="G44" s="4">
        <v>3.32826456748827E-3</v>
      </c>
    </row>
    <row r="45" spans="3:7" x14ac:dyDescent="0.25">
      <c r="C45" t="s">
        <v>96</v>
      </c>
      <c r="D45">
        <v>2010</v>
      </c>
      <c r="E45" t="s">
        <v>7</v>
      </c>
      <c r="F45" t="s">
        <v>48</v>
      </c>
      <c r="G45" s="4">
        <v>3.66801005109909E-3</v>
      </c>
    </row>
    <row r="46" spans="3:7" x14ac:dyDescent="0.25">
      <c r="C46" t="s">
        <v>96</v>
      </c>
      <c r="D46">
        <v>2010</v>
      </c>
      <c r="E46" t="s">
        <v>21</v>
      </c>
      <c r="F46" t="s">
        <v>48</v>
      </c>
      <c r="G46" s="4">
        <v>3.66801005109909E-3</v>
      </c>
    </row>
    <row r="47" spans="3:7" x14ac:dyDescent="0.25">
      <c r="C47" t="s">
        <v>97</v>
      </c>
      <c r="D47">
        <v>2010</v>
      </c>
      <c r="E47" t="s">
        <v>7</v>
      </c>
      <c r="F47" t="s">
        <v>48</v>
      </c>
      <c r="G47" s="4">
        <v>4.3152208950506801E-3</v>
      </c>
    </row>
    <row r="48" spans="3:7" x14ac:dyDescent="0.25">
      <c r="C48" t="s">
        <v>97</v>
      </c>
      <c r="D48">
        <v>2010</v>
      </c>
      <c r="E48" t="s">
        <v>22</v>
      </c>
      <c r="F48" t="s">
        <v>48</v>
      </c>
      <c r="G48" s="4">
        <v>4.3152208950506801E-3</v>
      </c>
    </row>
    <row r="49" spans="3:7" x14ac:dyDescent="0.25">
      <c r="C49" t="s">
        <v>98</v>
      </c>
      <c r="D49">
        <v>2010</v>
      </c>
      <c r="E49" t="s">
        <v>7</v>
      </c>
      <c r="F49" t="s">
        <v>48</v>
      </c>
      <c r="G49" s="4">
        <v>3.9699673323719299E-3</v>
      </c>
    </row>
    <row r="50" spans="3:7" x14ac:dyDescent="0.25">
      <c r="C50" t="s">
        <v>98</v>
      </c>
      <c r="D50">
        <v>2010</v>
      </c>
      <c r="E50" t="s">
        <v>25</v>
      </c>
      <c r="F50" t="s">
        <v>48</v>
      </c>
      <c r="G50" s="4">
        <v>3.9699673323719299E-3</v>
      </c>
    </row>
    <row r="51" spans="3:7" x14ac:dyDescent="0.25">
      <c r="C51" t="s">
        <v>100</v>
      </c>
      <c r="D51">
        <v>2010</v>
      </c>
      <c r="E51" t="s">
        <v>7</v>
      </c>
      <c r="F51" t="s">
        <v>48</v>
      </c>
      <c r="G51">
        <v>3.9110537631179996E-3</v>
      </c>
    </row>
    <row r="52" spans="3:7" x14ac:dyDescent="0.25">
      <c r="C52" t="s">
        <v>100</v>
      </c>
      <c r="D52">
        <v>2010</v>
      </c>
      <c r="E52" t="s">
        <v>28</v>
      </c>
      <c r="F52" t="s">
        <v>48</v>
      </c>
      <c r="G52">
        <v>3.9110537631179996E-3</v>
      </c>
    </row>
    <row r="53" spans="3:7" x14ac:dyDescent="0.25">
      <c r="C53" t="s">
        <v>102</v>
      </c>
      <c r="D53">
        <v>2010</v>
      </c>
      <c r="E53" t="s">
        <v>8</v>
      </c>
      <c r="F53" t="s">
        <v>48</v>
      </c>
      <c r="G53" s="4">
        <v>2.1673329849531899E-3</v>
      </c>
    </row>
    <row r="54" spans="3:7" x14ac:dyDescent="0.25">
      <c r="C54" t="s">
        <v>102</v>
      </c>
      <c r="D54">
        <v>2010</v>
      </c>
      <c r="E54" t="s">
        <v>10</v>
      </c>
      <c r="F54" t="s">
        <v>48</v>
      </c>
      <c r="G54" s="4">
        <v>2.1673329849531899E-3</v>
      </c>
    </row>
    <row r="55" spans="3:7" x14ac:dyDescent="0.25">
      <c r="C55" t="s">
        <v>104</v>
      </c>
      <c r="D55">
        <v>2010</v>
      </c>
      <c r="E55" t="s">
        <v>8</v>
      </c>
      <c r="F55" t="s">
        <v>48</v>
      </c>
      <c r="G55" s="4">
        <v>1.5332358715018199E-3</v>
      </c>
    </row>
    <row r="56" spans="3:7" x14ac:dyDescent="0.25">
      <c r="C56" t="s">
        <v>104</v>
      </c>
      <c r="D56">
        <v>2010</v>
      </c>
      <c r="E56" t="s">
        <v>18</v>
      </c>
      <c r="F56" t="s">
        <v>48</v>
      </c>
      <c r="G56" s="4">
        <v>1.5332358715018199E-3</v>
      </c>
    </row>
    <row r="57" spans="3:7" x14ac:dyDescent="0.25">
      <c r="C57" t="s">
        <v>124</v>
      </c>
      <c r="D57">
        <v>2010</v>
      </c>
      <c r="E57" t="s">
        <v>43</v>
      </c>
      <c r="F57" t="s">
        <v>48</v>
      </c>
      <c r="G57" s="4">
        <v>5.9042325807519497E-3</v>
      </c>
    </row>
    <row r="58" spans="3:7" x14ac:dyDescent="0.25">
      <c r="C58" t="s">
        <v>124</v>
      </c>
      <c r="D58">
        <v>2010</v>
      </c>
      <c r="E58" t="s">
        <v>15</v>
      </c>
      <c r="F58" t="s">
        <v>48</v>
      </c>
      <c r="G58" s="4">
        <v>5.9042325807519497E-3</v>
      </c>
    </row>
    <row r="59" spans="3:7" x14ac:dyDescent="0.25">
      <c r="C59" t="s">
        <v>106</v>
      </c>
      <c r="D59">
        <v>2010</v>
      </c>
      <c r="E59" t="s">
        <v>9</v>
      </c>
      <c r="F59" t="s">
        <v>48</v>
      </c>
      <c r="G59" s="4">
        <v>4.3336247339074204E-3</v>
      </c>
    </row>
    <row r="60" spans="3:7" x14ac:dyDescent="0.25">
      <c r="C60" t="s">
        <v>106</v>
      </c>
      <c r="D60">
        <v>2010</v>
      </c>
      <c r="E60" t="s">
        <v>11</v>
      </c>
      <c r="F60" t="s">
        <v>48</v>
      </c>
      <c r="G60" s="4">
        <v>4.3336247339074204E-3</v>
      </c>
    </row>
    <row r="61" spans="3:7" x14ac:dyDescent="0.25">
      <c r="C61" t="s">
        <v>108</v>
      </c>
      <c r="D61">
        <v>2010</v>
      </c>
      <c r="E61" t="s">
        <v>9</v>
      </c>
      <c r="F61" t="s">
        <v>48</v>
      </c>
      <c r="G61" s="4">
        <v>2.8019193026427099E-3</v>
      </c>
    </row>
    <row r="62" spans="3:7" x14ac:dyDescent="0.25">
      <c r="C62" t="s">
        <v>108</v>
      </c>
      <c r="D62">
        <v>2010</v>
      </c>
      <c r="E62" t="s">
        <v>23</v>
      </c>
      <c r="F62" t="s">
        <v>48</v>
      </c>
      <c r="G62" s="4">
        <v>2.8019193026427099E-3</v>
      </c>
    </row>
    <row r="63" spans="3:7" x14ac:dyDescent="0.25">
      <c r="C63" t="s">
        <v>111</v>
      </c>
      <c r="D63">
        <v>2010</v>
      </c>
      <c r="E63" t="s">
        <v>10</v>
      </c>
      <c r="F63" t="s">
        <v>48</v>
      </c>
      <c r="G63" s="4">
        <v>6.0904021123264103E-3</v>
      </c>
    </row>
    <row r="64" spans="3:7" x14ac:dyDescent="0.25">
      <c r="C64" t="s">
        <v>111</v>
      </c>
      <c r="D64">
        <v>2010</v>
      </c>
      <c r="E64" t="s">
        <v>21</v>
      </c>
      <c r="F64" t="s">
        <v>48</v>
      </c>
      <c r="G64" s="4">
        <v>6.0904021123264103E-3</v>
      </c>
    </row>
    <row r="65" spans="3:7" x14ac:dyDescent="0.25">
      <c r="C65" t="s">
        <v>113</v>
      </c>
      <c r="D65">
        <v>2010</v>
      </c>
      <c r="E65" t="s">
        <v>10</v>
      </c>
      <c r="F65" t="s">
        <v>48</v>
      </c>
      <c r="G65" s="4">
        <v>2.7473980989850401E-3</v>
      </c>
    </row>
    <row r="66" spans="3:7" x14ac:dyDescent="0.25">
      <c r="C66" t="s">
        <v>113</v>
      </c>
      <c r="D66">
        <v>2010</v>
      </c>
      <c r="E66" t="s">
        <v>25</v>
      </c>
      <c r="F66" t="s">
        <v>48</v>
      </c>
      <c r="G66" s="4">
        <v>2.7473980989850401E-3</v>
      </c>
    </row>
    <row r="67" spans="3:7" x14ac:dyDescent="0.25">
      <c r="C67" t="s">
        <v>116</v>
      </c>
      <c r="D67">
        <v>2010</v>
      </c>
      <c r="E67" t="s">
        <v>11</v>
      </c>
      <c r="F67" t="s">
        <v>48</v>
      </c>
      <c r="G67" s="4">
        <v>4.2123910074859704E-3</v>
      </c>
    </row>
    <row r="68" spans="3:7" x14ac:dyDescent="0.25">
      <c r="C68" t="s">
        <v>116</v>
      </c>
      <c r="D68">
        <v>2010</v>
      </c>
      <c r="E68" t="s">
        <v>15</v>
      </c>
      <c r="F68" t="s">
        <v>48</v>
      </c>
      <c r="G68" s="4">
        <v>4.2123910074859704E-3</v>
      </c>
    </row>
    <row r="69" spans="3:7" x14ac:dyDescent="0.25">
      <c r="C69" t="s">
        <v>118</v>
      </c>
      <c r="D69">
        <v>2010</v>
      </c>
      <c r="E69" t="s">
        <v>11</v>
      </c>
      <c r="F69" t="s">
        <v>48</v>
      </c>
      <c r="G69" s="4">
        <v>2.4424517226336101E-3</v>
      </c>
    </row>
    <row r="70" spans="3:7" x14ac:dyDescent="0.25">
      <c r="C70" t="s">
        <v>118</v>
      </c>
      <c r="D70">
        <v>2010</v>
      </c>
      <c r="E70" t="s">
        <v>17</v>
      </c>
      <c r="F70" t="s">
        <v>48</v>
      </c>
      <c r="G70" s="4">
        <v>2.4424517226336101E-3</v>
      </c>
    </row>
    <row r="71" spans="3:7" x14ac:dyDescent="0.25">
      <c r="C71" t="s">
        <v>120</v>
      </c>
      <c r="D71">
        <v>2010</v>
      </c>
      <c r="E71" t="s">
        <v>11</v>
      </c>
      <c r="F71" t="s">
        <v>48</v>
      </c>
      <c r="G71" s="4">
        <v>3.7867011102986699E-3</v>
      </c>
    </row>
    <row r="72" spans="3:7" x14ac:dyDescent="0.25">
      <c r="C72" t="s">
        <v>120</v>
      </c>
      <c r="D72">
        <v>2010</v>
      </c>
      <c r="E72" t="s">
        <v>28</v>
      </c>
      <c r="F72" t="s">
        <v>48</v>
      </c>
      <c r="G72" s="4">
        <v>3.7867011102986699E-3</v>
      </c>
    </row>
    <row r="73" spans="3:7" x14ac:dyDescent="0.25">
      <c r="C73" t="s">
        <v>126</v>
      </c>
      <c r="D73">
        <v>2010</v>
      </c>
      <c r="E73" t="s">
        <v>12</v>
      </c>
      <c r="F73" t="s">
        <v>48</v>
      </c>
      <c r="G73" s="4">
        <v>2.6838204738955599E-3</v>
      </c>
    </row>
    <row r="74" spans="3:7" x14ac:dyDescent="0.25">
      <c r="C74" t="s">
        <v>126</v>
      </c>
      <c r="D74">
        <v>2010</v>
      </c>
      <c r="E74" t="s">
        <v>24</v>
      </c>
      <c r="F74" t="s">
        <v>48</v>
      </c>
      <c r="G74" s="4">
        <v>2.6838204738955599E-3</v>
      </c>
    </row>
    <row r="75" spans="3:7" x14ac:dyDescent="0.25">
      <c r="C75" t="s">
        <v>128</v>
      </c>
      <c r="D75">
        <v>2010</v>
      </c>
      <c r="E75" t="s">
        <v>12</v>
      </c>
      <c r="F75" t="s">
        <v>48</v>
      </c>
      <c r="G75" s="4">
        <v>2.0430841874913E-3</v>
      </c>
    </row>
    <row r="76" spans="3:7" x14ac:dyDescent="0.25">
      <c r="C76" t="s">
        <v>128</v>
      </c>
      <c r="D76">
        <v>2010</v>
      </c>
      <c r="E76" t="s">
        <v>26</v>
      </c>
      <c r="F76" t="s">
        <v>48</v>
      </c>
      <c r="G76" s="4">
        <v>2.0430841874913E-3</v>
      </c>
    </row>
    <row r="77" spans="3:7" x14ac:dyDescent="0.25">
      <c r="C77" t="s">
        <v>129</v>
      </c>
      <c r="D77">
        <v>2010</v>
      </c>
      <c r="E77" t="s">
        <v>12</v>
      </c>
      <c r="F77" t="s">
        <v>48</v>
      </c>
      <c r="G77" s="4">
        <v>1.2298224828839899E-3</v>
      </c>
    </row>
    <row r="78" spans="3:7" x14ac:dyDescent="0.25">
      <c r="C78" t="s">
        <v>129</v>
      </c>
      <c r="D78">
        <v>2010</v>
      </c>
      <c r="E78" t="s">
        <v>27</v>
      </c>
      <c r="F78" t="s">
        <v>48</v>
      </c>
      <c r="G78" s="4">
        <v>1.2298224828839899E-3</v>
      </c>
    </row>
    <row r="79" spans="3:7" x14ac:dyDescent="0.25">
      <c r="C79" t="s">
        <v>130</v>
      </c>
      <c r="D79">
        <v>2010</v>
      </c>
      <c r="E79" t="s">
        <v>13</v>
      </c>
      <c r="F79" t="s">
        <v>48</v>
      </c>
      <c r="G79" s="4">
        <v>4.21139468140977E-3</v>
      </c>
    </row>
    <row r="80" spans="3:7" x14ac:dyDescent="0.25">
      <c r="C80" t="s">
        <v>130</v>
      </c>
      <c r="D80">
        <v>2010</v>
      </c>
      <c r="E80" t="s">
        <v>28</v>
      </c>
      <c r="F80" t="s">
        <v>48</v>
      </c>
      <c r="G80" s="4">
        <v>4.21139468140977E-3</v>
      </c>
    </row>
    <row r="81" spans="3:7" x14ac:dyDescent="0.25">
      <c r="C81" t="s">
        <v>132</v>
      </c>
      <c r="D81">
        <v>2010</v>
      </c>
      <c r="E81" t="s">
        <v>15</v>
      </c>
      <c r="F81" t="s">
        <v>48</v>
      </c>
      <c r="G81" s="4">
        <v>3.9704414193668398E-3</v>
      </c>
    </row>
    <row r="82" spans="3:7" x14ac:dyDescent="0.25">
      <c r="C82" t="s">
        <v>132</v>
      </c>
      <c r="D82">
        <v>2010</v>
      </c>
      <c r="E82" t="s">
        <v>19</v>
      </c>
      <c r="F82" t="s">
        <v>48</v>
      </c>
      <c r="G82" s="4">
        <v>3.9704414193668398E-3</v>
      </c>
    </row>
    <row r="83" spans="3:7" x14ac:dyDescent="0.25">
      <c r="C83" t="s">
        <v>134</v>
      </c>
      <c r="D83">
        <v>2010</v>
      </c>
      <c r="E83" t="s">
        <v>15</v>
      </c>
      <c r="F83" t="s">
        <v>48</v>
      </c>
      <c r="G83" s="4">
        <v>2.8775285118330701E-3</v>
      </c>
    </row>
    <row r="84" spans="3:7" x14ac:dyDescent="0.25">
      <c r="C84" t="s">
        <v>134</v>
      </c>
      <c r="D84">
        <v>2010</v>
      </c>
      <c r="E84" t="s">
        <v>26</v>
      </c>
      <c r="F84" t="s">
        <v>48</v>
      </c>
      <c r="G84" s="4">
        <v>2.8775285118330701E-3</v>
      </c>
    </row>
    <row r="85" spans="3:7" x14ac:dyDescent="0.25">
      <c r="C85" t="s">
        <v>136</v>
      </c>
      <c r="D85">
        <v>2010</v>
      </c>
      <c r="E85" t="s">
        <v>16</v>
      </c>
      <c r="F85" t="s">
        <v>48</v>
      </c>
      <c r="G85" s="4">
        <v>8.0887772442375899E-4</v>
      </c>
    </row>
    <row r="86" spans="3:7" x14ac:dyDescent="0.25">
      <c r="C86" t="s">
        <v>136</v>
      </c>
      <c r="D86">
        <v>2010</v>
      </c>
      <c r="E86" t="s">
        <v>18</v>
      </c>
      <c r="F86" t="s">
        <v>48</v>
      </c>
      <c r="G86" s="4">
        <v>8.0887772442375899E-4</v>
      </c>
    </row>
    <row r="87" spans="3:7" x14ac:dyDescent="0.25">
      <c r="C87" t="s">
        <v>138</v>
      </c>
      <c r="D87">
        <v>2010</v>
      </c>
      <c r="E87" t="s">
        <v>16</v>
      </c>
      <c r="F87" t="s">
        <v>48</v>
      </c>
      <c r="G87" s="4">
        <v>2.6634889315132501E-3</v>
      </c>
    </row>
    <row r="88" spans="3:7" x14ac:dyDescent="0.25">
      <c r="C88" t="s">
        <v>138</v>
      </c>
      <c r="D88">
        <v>2010</v>
      </c>
      <c r="E88" t="s">
        <v>22</v>
      </c>
      <c r="F88" t="s">
        <v>48</v>
      </c>
      <c r="G88" s="4">
        <v>2.6634889315132501E-3</v>
      </c>
    </row>
    <row r="89" spans="3:7" x14ac:dyDescent="0.25">
      <c r="C89" t="s">
        <v>143</v>
      </c>
      <c r="D89">
        <v>2010</v>
      </c>
      <c r="E89" t="s">
        <v>18</v>
      </c>
      <c r="F89" t="s">
        <v>48</v>
      </c>
      <c r="G89" s="4">
        <v>3.7814388259321801E-3</v>
      </c>
    </row>
    <row r="90" spans="3:7" x14ac:dyDescent="0.25">
      <c r="C90" t="s">
        <v>143</v>
      </c>
      <c r="D90">
        <v>2010</v>
      </c>
      <c r="E90" t="s">
        <v>25</v>
      </c>
      <c r="F90" t="s">
        <v>48</v>
      </c>
      <c r="G90" s="4">
        <v>3.7814388259321801E-3</v>
      </c>
    </row>
    <row r="91" spans="3:7" x14ac:dyDescent="0.25">
      <c r="C91" t="s">
        <v>148</v>
      </c>
      <c r="D91">
        <v>2010</v>
      </c>
      <c r="E91" t="s">
        <v>20</v>
      </c>
      <c r="F91" t="s">
        <v>48</v>
      </c>
      <c r="G91" s="4">
        <v>2.9389061546042298E-3</v>
      </c>
    </row>
    <row r="92" spans="3:7" x14ac:dyDescent="0.25">
      <c r="C92" t="s">
        <v>148</v>
      </c>
      <c r="D92">
        <v>2010</v>
      </c>
      <c r="E92" t="s">
        <v>28</v>
      </c>
      <c r="F92" t="s">
        <v>48</v>
      </c>
      <c r="G92" s="4">
        <v>2.9389061546042298E-3</v>
      </c>
    </row>
    <row r="93" spans="3:7" x14ac:dyDescent="0.25">
      <c r="C93" t="s">
        <v>152</v>
      </c>
      <c r="D93">
        <v>2010</v>
      </c>
      <c r="E93" t="s">
        <v>21</v>
      </c>
      <c r="F93" t="s">
        <v>48</v>
      </c>
      <c r="G93" s="4">
        <v>4.7214876097347097E-3</v>
      </c>
    </row>
    <row r="94" spans="3:7" x14ac:dyDescent="0.25">
      <c r="C94" t="s">
        <v>152</v>
      </c>
      <c r="D94">
        <v>2010</v>
      </c>
      <c r="E94" t="s">
        <v>25</v>
      </c>
      <c r="F94" t="s">
        <v>48</v>
      </c>
      <c r="G94" s="4">
        <v>4.7214876097347097E-3</v>
      </c>
    </row>
    <row r="95" spans="3:7" x14ac:dyDescent="0.25">
      <c r="C95" t="s">
        <v>153</v>
      </c>
      <c r="D95">
        <v>2010</v>
      </c>
      <c r="E95" t="s">
        <v>21</v>
      </c>
      <c r="F95" t="s">
        <v>48</v>
      </c>
      <c r="G95" s="4">
        <v>3.8709707557396502E-3</v>
      </c>
    </row>
    <row r="96" spans="3:7" x14ac:dyDescent="0.25">
      <c r="C96" t="s">
        <v>153</v>
      </c>
      <c r="D96">
        <v>2010</v>
      </c>
      <c r="E96" t="s">
        <v>28</v>
      </c>
      <c r="F96" t="s">
        <v>48</v>
      </c>
      <c r="G96" s="4">
        <v>3.8709707557396502E-3</v>
      </c>
    </row>
    <row r="97" spans="3:7" x14ac:dyDescent="0.25">
      <c r="C97" t="s">
        <v>156</v>
      </c>
      <c r="D97">
        <v>2010</v>
      </c>
      <c r="E97" t="s">
        <v>22</v>
      </c>
      <c r="F97" t="s">
        <v>48</v>
      </c>
      <c r="G97" s="4">
        <v>1.5469982219263601E-3</v>
      </c>
    </row>
    <row r="98" spans="3:7" x14ac:dyDescent="0.25">
      <c r="C98" t="s">
        <v>156</v>
      </c>
      <c r="D98">
        <v>2010</v>
      </c>
      <c r="E98" t="s">
        <v>27</v>
      </c>
      <c r="F98" t="s">
        <v>48</v>
      </c>
      <c r="G98" s="4">
        <v>1.5469982219263601E-3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trade_param migrated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gargiulo</dc:creator>
  <cp:lastModifiedBy>Johanna Markkanen</cp:lastModifiedBy>
  <dcterms:created xsi:type="dcterms:W3CDTF">2009-02-17T10:02:54Z</dcterms:created>
  <dcterms:modified xsi:type="dcterms:W3CDTF">2025-12-05T10:35:37Z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763485431671142</vt:r8>
  </property>
</Properties>
</file>