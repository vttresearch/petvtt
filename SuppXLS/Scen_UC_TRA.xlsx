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Default Extension="vml" ContentType="application/vnd.openxmlformats-officedocument.vmlDrawing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32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SuppXLS\"/>
    </mc:Choice>
  </mc:AlternateContent>
  <bookViews>
    <workbookView xWindow="7464" yWindow="5952" windowWidth="23256" windowHeight="12408" firstSheet="5" activeTab="5"/>
  </bookViews>
  <sheets>
    <sheet name="fill data" sheetId="18" r:id="rId3"/>
    <sheet name="Stock" sheetId="19" r:id="rId4"/>
    <sheet name="TypeShares" sheetId="20" r:id="rId5"/>
    <sheet name="TypeUC" sheetId="22" r:id="rId6"/>
    <sheet name="FuelShares" sheetId="21" r:id="rId7"/>
    <sheet name="FuelUC" sheetId="23" r:id="rId8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0" l="1"/>
</calcChain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H1" authorId="0" shapeId="0" xr:uid="{00000000-0006-0000-0300-000001000000}">
      <text>
        <r>
          <rPr>
            <b/>
            <sz val="9"/>
            <rFont val="Tahoma"/>
            <family val="2"/>
          </rPr>
          <t>Amit Kanudia:</t>
        </r>
        <r>
          <rPr>
            <sz val="9"/>
            <rFont val="Tahoma"/>
            <family val="2"/>
          </rPr>
          <t xml:space="preserve">
10/12/2015
relaxation factor
</t>
        </r>
      </text>
    </comment>
    <comment ref="H11" authorId="0" shapeId="0" xr:uid="{00000000-0006-0000-0300-000002000000}">
      <text>
        <r>
          <rPr>
            <b/>
            <sz val="9"/>
            <rFont val="Tahoma"/>
            <family val="2"/>
          </rPr>
          <t>Amit Kanudia:</t>
        </r>
        <r>
          <rPr>
            <sz val="9"/>
            <rFont val="Tahoma"/>
            <family val="2"/>
          </rPr>
          <t xml:space="preserve">
10/12/2015
relaxation factor
</t>
        </r>
      </text>
    </comment>
    <comment ref="H21" authorId="0" shapeId="0" xr:uid="{00000000-0006-0000-0300-000003000000}">
      <text>
        <r>
          <rPr>
            <b/>
            <sz val="9"/>
            <rFont val="Tahoma"/>
            <family val="2"/>
          </rPr>
          <t>Amit Kanudia:</t>
        </r>
        <r>
          <rPr>
            <sz val="9"/>
            <rFont val="Tahoma"/>
            <family val="2"/>
          </rPr>
          <t xml:space="preserve">
10/12/2015
relaxation factor
</t>
        </r>
      </text>
    </comment>
  </commentList>
</comments>
</file>

<file path=xl/sharedStrings.xml><?xml version="1.0" encoding="utf-8"?>
<sst xmlns="http://schemas.openxmlformats.org/spreadsheetml/2006/main" count="1239" uniqueCount="148">
  <si>
    <t>TimeSlice</t>
  </si>
  <si>
    <t>LimType</t>
  </si>
  <si>
    <t>Attribute</t>
  </si>
  <si>
    <t>Year</t>
  </si>
  <si>
    <t>AllRegions</t>
  </si>
  <si>
    <t>~TFM_Fill-R: w=Stock; Hcol=Region</t>
  </si>
  <si>
    <t>Stock</t>
  </si>
  <si>
    <t>Pset_CO</t>
  </si>
  <si>
    <t>TB??,TC??,TM??,TH??,TL??</t>
  </si>
  <si>
    <t>attribute</t>
  </si>
  <si>
    <t>commodity</t>
  </si>
  <si>
    <t>lim_type</t>
  </si>
  <si>
    <t>time_slice</t>
  </si>
  <si>
    <t>year</t>
  </si>
  <si>
    <t>commodity_group</t>
  </si>
  <si>
    <t>currency</t>
  </si>
  <si>
    <t>stage</t>
  </si>
  <si>
    <t>KS</t>
  </si>
  <si>
    <t>LT</t>
  </si>
  <si>
    <t>LU</t>
  </si>
  <si>
    <t>LV</t>
  </si>
  <si>
    <t>sow</t>
  </si>
  <si>
    <t>AL</t>
  </si>
  <si>
    <t>AT</t>
  </si>
  <si>
    <t>BA</t>
  </si>
  <si>
    <t>BE</t>
  </si>
  <si>
    <t>BG</t>
  </si>
  <si>
    <t>CH</t>
  </si>
  <si>
    <t>CY</t>
  </si>
  <si>
    <t>ME</t>
  </si>
  <si>
    <t>MK</t>
  </si>
  <si>
    <t>MT</t>
  </si>
  <si>
    <t>NL</t>
  </si>
  <si>
    <t>NO</t>
  </si>
  <si>
    <t>PL</t>
  </si>
  <si>
    <t>PT</t>
  </si>
  <si>
    <t>scenario</t>
  </si>
  <si>
    <t>RO</t>
  </si>
  <si>
    <t>DE</t>
  </si>
  <si>
    <t>RS</t>
  </si>
  <si>
    <t>SE</t>
  </si>
  <si>
    <t>SI</t>
  </si>
  <si>
    <t>SK</t>
  </si>
  <si>
    <t>UK</t>
  </si>
  <si>
    <t>TRA_Car_Fle_Fue_Upm</t>
  </si>
  <si>
    <t>year2</t>
  </si>
  <si>
    <t>TRA_Mop_Gas</t>
  </si>
  <si>
    <t>BASE</t>
  </si>
  <si>
    <t>TRA_Bus_Cng_Coa</t>
  </si>
  <si>
    <t>-</t>
  </si>
  <si>
    <t>2010</t>
  </si>
  <si>
    <t>TRA_Bus_Cng_Urb</t>
  </si>
  <si>
    <t>TRA_Bus_Dis_Coa</t>
  </si>
  <si>
    <t>TRA_Bus_Dis_Urb</t>
  </si>
  <si>
    <t>TRA_Car_Gas_Lom</t>
  </si>
  <si>
    <t>TRA_Car_Gas_Sma</t>
  </si>
  <si>
    <t>TRA_Car_Gas_Upm</t>
  </si>
  <si>
    <t>TRA_Car_Lpg_Exe</t>
  </si>
  <si>
    <t>TRA_Car_Lpg_Lom</t>
  </si>
  <si>
    <t>TRA_Car_Lpg_Sma</t>
  </si>
  <si>
    <t>TRA_Car_Lpg_Upm</t>
  </si>
  <si>
    <t>TRA_Car_Oth_Exe</t>
  </si>
  <si>
    <t>TRA_Bus_Gas_Coa</t>
  </si>
  <si>
    <t>TRA_Bus_Gas_Urb</t>
  </si>
  <si>
    <t>TRA_Bus_Lpg_Coa</t>
  </si>
  <si>
    <t>TRA_Bus_Lpg_Urb</t>
  </si>
  <si>
    <t>TRA_Car_Oth_Lom</t>
  </si>
  <si>
    <t>TRA_Car_Oth_Sma</t>
  </si>
  <si>
    <t>TRA_Car_Oth_Upm</t>
  </si>
  <si>
    <t>TRA_Hdt_Dis</t>
  </si>
  <si>
    <t>TRA_Hdt_Gas</t>
  </si>
  <si>
    <t>TRA_Lcv_Cng</t>
  </si>
  <si>
    <t>TRA_Lcv_Dis</t>
  </si>
  <si>
    <t>TRA_Lcv_Lpg</t>
  </si>
  <si>
    <t>TRA_Car_Cng_Exe</t>
  </si>
  <si>
    <t>TRA_Car_Cng_Lom</t>
  </si>
  <si>
    <t>TRA_Car_Cng_Sma</t>
  </si>
  <si>
    <t>TRA_Car_Cng_Upm</t>
  </si>
  <si>
    <t>mode</t>
  </si>
  <si>
    <t>type</t>
  </si>
  <si>
    <t>fuel</t>
  </si>
  <si>
    <t>TYPE Shares</t>
  </si>
  <si>
    <t>~UC_Sets: R_E: AllRegions</t>
  </si>
  <si>
    <t>UC_N</t>
  </si>
  <si>
    <t>PSET_PN</t>
  </si>
  <si>
    <t>CSET_CN</t>
  </si>
  <si>
    <t>PSET_CO</t>
  </si>
  <si>
    <t>Tcar</t>
  </si>
  <si>
    <t>UC_FLO</t>
  </si>
  <si>
    <t>UC_RHSRT</t>
  </si>
  <si>
    <t>UC_RHSRT~0</t>
  </si>
  <si>
    <t>~UC_T: UC_COMPRD~LO~2025</t>
  </si>
  <si>
    <t>~UC_T: UC_COMPRD~LO~2050</t>
  </si>
  <si>
    <t>TRA_Bus*</t>
  </si>
  <si>
    <t>*Cng*</t>
  </si>
  <si>
    <t>*Lpg*</t>
  </si>
  <si>
    <t>TRA_Car*</t>
  </si>
  <si>
    <t>TRA_Lcv*</t>
  </si>
  <si>
    <t>Fuel Shares</t>
  </si>
  <si>
    <t>TRA_Hdt*</t>
  </si>
  <si>
    <t>*Dis*</t>
  </si>
  <si>
    <t>*Gas*</t>
  </si>
  <si>
    <t>*Fle*</t>
  </si>
  <si>
    <t>*Oth*</t>
  </si>
  <si>
    <t>PSET_CI</t>
  </si>
  <si>
    <t>Tbus</t>
  </si>
  <si>
    <t>TLCV</t>
  </si>
  <si>
    <t>~UC_T: UC_COMPRD~LO~2011</t>
  </si>
  <si>
    <t>TRAGAS</t>
  </si>
  <si>
    <t>upper limits on LPG/CNG shares</t>
  </si>
  <si>
    <t>TUC_TRA_Car-Gsl</t>
  </si>
  <si>
    <t>TRA_Car_Gas*</t>
  </si>
  <si>
    <t>~UC_T: UC_COMPRD~LO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</si>
  <si>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</si>
  <si>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</si>
  <si>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</si>
  <si>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</si>
  <si>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</si>
  <si>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</si>
  <si>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</si>
  <si>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</si>
  <si>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</si>
  <si>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</si>
  <si>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</si>
  <si>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TRA_Car_Dis_Exe</t>
  </si>
  <si>
    <t>TRA_Car_Dis_Lom</t>
  </si>
  <si>
    <t>TRA_Car_Dis_Sma</t>
  </si>
  <si>
    <t>TRA_Car_Dis_Upm</t>
  </si>
  <si>
    <t>TRA_Car_Fle_Fue_Exe</t>
  </si>
  <si>
    <t>TRA_Car_Fle_Fue_Lom</t>
  </si>
  <si>
    <t>TRA_Car_Fle_Fue_Sma</t>
  </si>
  <si>
    <t>TRA_Car_Gas_Exe</t>
  </si>
  <si>
    <t>** Eliminame the last two rows to allow phase-out of gasoline cars</t>
  </si>
  <si>
    <t>~UC_T: UC_COMPRD~UP~2011</t>
  </si>
  <si>
    <t>THDT</t>
  </si>
  <si>
    <t>TRA_Lcv_Gas</t>
  </si>
  <si>
    <t>TUC_TRA_Bus-Lpg</t>
  </si>
  <si>
    <t>TRALpg</t>
  </si>
  <si>
    <t>TUC_TRA_Car-Lpg</t>
  </si>
  <si>
    <t>TUC_TRA_Lcv-Lpg</t>
  </si>
  <si>
    <t>TUC_TRA_Hdt-Lpg</t>
  </si>
  <si>
    <t>CZ</t>
  </si>
  <si>
    <t>process</t>
  </si>
  <si>
    <t>TRA_Mot_Gas</t>
  </si>
  <si>
    <t>TRA_FleetUpdates</t>
  </si>
  <si>
    <t>2015</t>
  </si>
  <si>
    <t>2020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</si>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</sst>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9"/>
      <name val="Tahoma"/>
      <family val="2"/>
    </font>
    <font>
      <b/>
      <sz val="9"/>
      <name val="Tahoma"/>
      <family val="2"/>
    </font>
    <font>
      <sz val="11"/>
      <color rgb="FF3F3F7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5000362396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2" borderId="1" applyNumberFormat="0" applyAlignment="0" applyProtection="0"/>
  </cellStyleXfs>
  <cellXfs count="12">
    <xf numFmtId="0" fontId="0" fillId="0" borderId="0" xfId="0"/>
    <xf numFmtId="0" fontId="0" fillId="0" borderId="0" xfId="0" applyFont="1"/>
    <xf numFmtId="9" fontId="0" fillId="0" borderId="0" xfId="15" applyFont="1"/>
    <xf numFmtId="164" fontId="0" fillId="0" borderId="0" xfId="15" applyNumberFormat="1" applyFont="1"/>
    <xf numFmtId="0" fontId="2" fillId="0" borderId="0" xfId="0" applyFont="1"/>
    <xf numFmtId="0" fontId="5" fillId="2" borderId="1" xfId="20"/>
    <xf numFmtId="2" fontId="0" fillId="0" borderId="0" xfId="0" applyNumberFormat="1"/>
    <xf numFmtId="0" fontId="0" fillId="3" borderId="0" xfId="0" applyFill="1"/>
    <xf numFmtId="0" fontId="2" fillId="4" borderId="0" xfId="0" applyFont="1" applyFill="1"/>
    <xf numFmtId="0" fontId="2" fillId="5" borderId="0" xfId="0" applyFont="1" applyFill="1"/>
    <xf numFmtId="0" fontId="0" fillId="3" borderId="0" xfId="0" applyFont="1" applyFill="1"/>
    <xf numFmtId="0" fontId="2" fillId="3" borderId="0" xfId="0" applyFont="1" applyFill="1"/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Input" xfId="20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10" Type="http://schemas.openxmlformats.org/officeDocument/2006/relationships/calcChain" Target="calcChain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1" Type="http://schemas.openxmlformats.org/officeDocument/2006/relationships/comments" Target="../comments4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5"/>
  <sheetViews>
    <sheetView workbookViewId="0" topLeftCell="A1">
      <selection pane="topLeft" activeCell="F5" sqref="F5"/>
    </sheetView>
  </sheetViews>
  <sheetFormatPr defaultRowHeight="13.2"/>
  <cols>
    <col min="1" max="1" width="12.1428571428571" customWidth="1"/>
    <col min="2" max="2" width="8" bestFit="1" customWidth="1"/>
    <col min="3" max="3" width="13.4285714285714" bestFit="1" customWidth="1"/>
    <col min="4" max="4" width="4.85714285714286" bestFit="1" customWidth="1"/>
    <col min="5" max="5" width="9.85714285714286" bestFit="1" customWidth="1"/>
    <col min="6" max="6" width="7.85714285714286" bestFit="1" customWidth="1"/>
    <col min="7" max="7" width="8.42857142857143" bestFit="1" customWidth="1"/>
    <col min="8" max="8" width="8.71428571428571" bestFit="1" customWidth="1"/>
    <col min="9" max="9" width="9.42857142857143" bestFit="1" customWidth="1"/>
    <col min="10" max="10" width="8.57142857142857" bestFit="1" customWidth="1"/>
    <col min="11" max="11" width="8.71428571428571" bestFit="1" customWidth="1"/>
    <col min="12" max="13" width="8.42857142857143" bestFit="1" customWidth="1"/>
    <col min="19" max="19" width="12.5714285714286" bestFit="1" customWidth="1"/>
  </cols>
  <sheetData>
    <row r="3" spans="1:1" ht="13.2">
      <c r="A3" s="1" t="s">
        <v>5</v>
      </c>
    </row>
    <row r="4" spans="1:6" ht="13.2">
      <c r="A4" t="s">
        <v>0</v>
      </c>
      <c r="B4" t="s">
        <v>1</v>
      </c>
      <c r="C4" t="s">
        <v>2</v>
      </c>
      <c r="D4" t="s">
        <v>3</v>
      </c>
      <c r="E4" t="s">
        <v>4</v>
      </c>
      <c r="F4" s="1" t="s">
        <v>7</v>
      </c>
    </row>
    <row r="5" spans="3:6" ht="13.2">
      <c r="C5" s="1" t="s">
        <v>6</v>
      </c>
      <c r="E5">
        <v>1</v>
      </c>
      <c r="F5" s="1" t="s">
        <v>8</v>
      </c>
    </row>
  </sheetData>
  <pageMargins left="0.75" right="0.75" top="1" bottom="1" header="0.5" footer="0.5"/>
  <pageSetup orientation="portrait" paperSiz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W89"/>
  <sheetViews>
    <sheetView workbookViewId="0" topLeftCell="A1">
      <selection pane="topLeft" activeCell="M32" sqref="M32"/>
    </sheetView>
  </sheetViews>
  <sheetFormatPr defaultRowHeight="13.2"/>
  <cols>
    <col min="3" max="3" width="21.4285714285714" bestFit="1" customWidth="1"/>
  </cols>
  <sheetData>
    <row r="1" spans="1:49" ht="13.2">
      <c r="A1" t="s">
        <v>36</v>
      </c>
      <c r="B1" t="s">
        <v>9</v>
      </c>
      <c r="C1" t="s">
        <v>142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141</v>
      </c>
      <c r="T1" t="s">
        <v>38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  <c r="AB1" t="s">
        <v>120</v>
      </c>
      <c r="AC1" t="s">
        <v>121</v>
      </c>
      <c r="AD1" t="s">
        <v>122</v>
      </c>
      <c r="AE1" t="s">
        <v>123</v>
      </c>
      <c r="AF1" t="s">
        <v>17</v>
      </c>
      <c r="AG1" t="s">
        <v>18</v>
      </c>
      <c r="AH1" t="s">
        <v>19</v>
      </c>
      <c r="AI1" t="s">
        <v>20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37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45</v>
      </c>
    </row>
    <row r="2" spans="1:49" ht="13.2">
      <c r="A2" t="s">
        <v>47</v>
      </c>
      <c r="B2" t="s">
        <v>6</v>
      </c>
      <c r="C2" t="s">
        <v>48</v>
      </c>
      <c r="D2" t="s">
        <v>49</v>
      </c>
      <c r="E2" t="s">
        <v>49</v>
      </c>
      <c r="F2" t="s">
        <v>49</v>
      </c>
      <c r="G2" t="s">
        <v>50</v>
      </c>
      <c r="H2" t="s">
        <v>49</v>
      </c>
      <c r="I2" t="s">
        <v>49</v>
      </c>
      <c r="J2" t="s">
        <v>49</v>
      </c>
      <c r="K2" t="s">
        <v>49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0.27000000000000002</v>
      </c>
      <c r="AT2">
        <v>0</v>
      </c>
      <c r="AU2">
        <v>0</v>
      </c>
      <c r="AV2">
        <v>0</v>
      </c>
      <c r="AW2" t="s">
        <v>49</v>
      </c>
    </row>
    <row r="3" spans="1:49" ht="13.2">
      <c r="A3" t="s">
        <v>47</v>
      </c>
      <c r="B3" t="s">
        <v>6</v>
      </c>
      <c r="C3" t="s">
        <v>51</v>
      </c>
      <c r="D3" t="s">
        <v>49</v>
      </c>
      <c r="E3" t="s">
        <v>49</v>
      </c>
      <c r="F3" t="s">
        <v>49</v>
      </c>
      <c r="G3" t="s">
        <v>50</v>
      </c>
      <c r="H3" t="s">
        <v>49</v>
      </c>
      <c r="I3" t="s">
        <v>49</v>
      </c>
      <c r="J3" t="s">
        <v>49</v>
      </c>
      <c r="K3" t="s">
        <v>49</v>
      </c>
      <c r="L3">
        <v>0</v>
      </c>
      <c r="M3">
        <v>0</v>
      </c>
      <c r="N3">
        <v>0</v>
      </c>
      <c r="O3">
        <v>0</v>
      </c>
      <c r="P3">
        <v>0</v>
      </c>
      <c r="Q3">
        <v>0.17999999999999999</v>
      </c>
      <c r="R3">
        <v>0</v>
      </c>
      <c r="S3">
        <v>0</v>
      </c>
      <c r="T3">
        <v>1.53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0.059999999999999998</v>
      </c>
      <c r="AB3">
        <v>0</v>
      </c>
      <c r="AC3">
        <v>0</v>
      </c>
      <c r="AD3">
        <v>0</v>
      </c>
      <c r="AE3">
        <v>3.5499999999999998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0.47800000258800002</v>
      </c>
      <c r="AN3">
        <v>0</v>
      </c>
      <c r="AO3">
        <v>0</v>
      </c>
      <c r="AP3">
        <v>0</v>
      </c>
      <c r="AQ3">
        <v>0</v>
      </c>
      <c r="AR3">
        <v>0.038559752858332699</v>
      </c>
      <c r="AS3">
        <v>1.2</v>
      </c>
      <c r="AT3">
        <v>0</v>
      </c>
      <c r="AU3">
        <v>0</v>
      </c>
      <c r="AV3">
        <v>0</v>
      </c>
      <c r="AW3" t="s">
        <v>49</v>
      </c>
    </row>
    <row r="4" spans="1:49" ht="13.2">
      <c r="A4" t="s">
        <v>47</v>
      </c>
      <c r="B4" t="s">
        <v>6</v>
      </c>
      <c r="C4" t="s">
        <v>52</v>
      </c>
      <c r="D4" t="s">
        <v>49</v>
      </c>
      <c r="E4" t="s">
        <v>49</v>
      </c>
      <c r="F4" t="s">
        <v>49</v>
      </c>
      <c r="G4" t="s">
        <v>50</v>
      </c>
      <c r="H4" t="s">
        <v>49</v>
      </c>
      <c r="I4" t="s">
        <v>49</v>
      </c>
      <c r="J4" t="s">
        <v>49</v>
      </c>
      <c r="K4" t="s">
        <v>49</v>
      </c>
      <c r="L4">
        <v>3.8439258546575199</v>
      </c>
      <c r="M4">
        <v>7.29</v>
      </c>
      <c r="N4">
        <v>2.82424782452523</v>
      </c>
      <c r="O4">
        <v>9.4600000000000009</v>
      </c>
      <c r="P4">
        <v>11.69</v>
      </c>
      <c r="Q4">
        <v>2.4700000000000002</v>
      </c>
      <c r="R4">
        <v>2.3599999999999999</v>
      </c>
      <c r="S4">
        <v>12.550000000000001</v>
      </c>
      <c r="T4">
        <v>29.510000000000002</v>
      </c>
      <c r="U4">
        <v>8.3499999999999996</v>
      </c>
      <c r="V4">
        <v>3.29</v>
      </c>
      <c r="W4">
        <v>16.899999999999999</v>
      </c>
      <c r="X4">
        <v>39.649999999999999</v>
      </c>
      <c r="Y4">
        <v>5.9299999999999997</v>
      </c>
      <c r="Z4">
        <v>61.689999999999998</v>
      </c>
      <c r="AA4">
        <v>3.7799999999999998</v>
      </c>
      <c r="AB4">
        <v>12.16</v>
      </c>
      <c r="AC4">
        <v>4.9500000000000002</v>
      </c>
      <c r="AD4">
        <v>0.87</v>
      </c>
      <c r="AE4">
        <v>78.099999999999994</v>
      </c>
      <c r="AF4">
        <v>0.76589734782191099</v>
      </c>
      <c r="AG4">
        <v>4.0499999999999998</v>
      </c>
      <c r="AH4">
        <v>0.84999999999999998</v>
      </c>
      <c r="AI4">
        <v>1.8300000000000001</v>
      </c>
      <c r="AJ4">
        <v>1.0775337134348699</v>
      </c>
      <c r="AK4">
        <v>1.1100000000000001</v>
      </c>
      <c r="AL4">
        <v>0.20999999999999999</v>
      </c>
      <c r="AM4">
        <v>6.2699999999999996</v>
      </c>
      <c r="AN4">
        <v>6.8099999999999996</v>
      </c>
      <c r="AO4">
        <v>35.810000000000002</v>
      </c>
      <c r="AP4">
        <v>10.02</v>
      </c>
      <c r="AQ4">
        <v>13.09</v>
      </c>
      <c r="AR4">
        <v>3.5094836339232698</v>
      </c>
      <c r="AS4">
        <v>5.7699999999999996</v>
      </c>
      <c r="AT4">
        <v>1.22</v>
      </c>
      <c r="AU4">
        <v>3.8199999999999998</v>
      </c>
      <c r="AV4">
        <v>119.90000000000001</v>
      </c>
      <c r="AW4" t="s">
        <v>49</v>
      </c>
    </row>
    <row r="5" spans="1:49" ht="13.2">
      <c r="A5" t="s">
        <v>47</v>
      </c>
      <c r="B5" t="s">
        <v>6</v>
      </c>
      <c r="C5" t="s">
        <v>53</v>
      </c>
      <c r="D5" t="s">
        <v>49</v>
      </c>
      <c r="E5" t="s">
        <v>49</v>
      </c>
      <c r="F5" t="s">
        <v>49</v>
      </c>
      <c r="G5" t="s">
        <v>50</v>
      </c>
      <c r="H5" t="s">
        <v>49</v>
      </c>
      <c r="I5" t="s">
        <v>49</v>
      </c>
      <c r="J5" t="s">
        <v>49</v>
      </c>
      <c r="K5" t="s">
        <v>49</v>
      </c>
      <c r="L5">
        <v>2.3677673459754298</v>
      </c>
      <c r="M5">
        <v>2.1400000000000001</v>
      </c>
      <c r="N5">
        <v>0.799456394773016</v>
      </c>
      <c r="O5">
        <v>6.5199999999999996</v>
      </c>
      <c r="P5">
        <v>12.16</v>
      </c>
      <c r="Q5">
        <v>4.7199999999999998</v>
      </c>
      <c r="R5">
        <v>3.1400000000000001</v>
      </c>
      <c r="S5">
        <v>5.0700000000000003</v>
      </c>
      <c r="T5">
        <v>44.689999999999998</v>
      </c>
      <c r="U5">
        <v>5.1699999999999999</v>
      </c>
      <c r="V5">
        <v>0</v>
      </c>
      <c r="W5">
        <v>10.41</v>
      </c>
      <c r="X5">
        <v>21.350000000000001</v>
      </c>
      <c r="Y5">
        <v>7.7199999999999998</v>
      </c>
      <c r="Z5">
        <v>21.199999999999999</v>
      </c>
      <c r="AA5">
        <v>1.0700000000000001</v>
      </c>
      <c r="AB5">
        <v>4.9100000000000001</v>
      </c>
      <c r="AC5">
        <v>4.9500000000000002</v>
      </c>
      <c r="AD5">
        <v>0.91000000000000003</v>
      </c>
      <c r="AE5">
        <v>15.59</v>
      </c>
      <c r="AF5">
        <v>0.216801630203557</v>
      </c>
      <c r="AG5">
        <v>9.8599999999999994</v>
      </c>
      <c r="AH5">
        <v>0.79000000000000004</v>
      </c>
      <c r="AI5">
        <v>1.76</v>
      </c>
      <c r="AJ5">
        <v>0.66373526371934699</v>
      </c>
      <c r="AK5">
        <v>1.1499999999999999</v>
      </c>
      <c r="AL5">
        <v>1.6200000000000001</v>
      </c>
      <c r="AM5">
        <v>4.3200000000000003</v>
      </c>
      <c r="AN5">
        <v>7.6699999999999999</v>
      </c>
      <c r="AO5">
        <v>56.079999999999998</v>
      </c>
      <c r="AP5">
        <v>5.4000000000000004</v>
      </c>
      <c r="AQ5">
        <v>15.06</v>
      </c>
      <c r="AR5">
        <v>0.99342526145447096</v>
      </c>
      <c r="AS5">
        <v>6.6600000000000001</v>
      </c>
      <c r="AT5">
        <v>1.21</v>
      </c>
      <c r="AU5">
        <v>5.5300000000000002</v>
      </c>
      <c r="AV5">
        <v>44.350000000000001</v>
      </c>
      <c r="AW5" t="s">
        <v>49</v>
      </c>
    </row>
    <row r="6" spans="1:49" ht="13.2">
      <c r="A6" t="s">
        <v>47</v>
      </c>
      <c r="B6" t="s">
        <v>6</v>
      </c>
      <c r="C6" t="s">
        <v>62</v>
      </c>
      <c r="D6" t="s">
        <v>49</v>
      </c>
      <c r="E6" t="s">
        <v>49</v>
      </c>
      <c r="F6" t="s">
        <v>49</v>
      </c>
      <c r="G6" t="s">
        <v>50</v>
      </c>
      <c r="H6" t="s">
        <v>49</v>
      </c>
      <c r="I6" t="s">
        <v>49</v>
      </c>
      <c r="J6" t="s">
        <v>49</v>
      </c>
      <c r="K6" t="s">
        <v>49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1.45</v>
      </c>
      <c r="T6">
        <v>0</v>
      </c>
      <c r="U6">
        <v>1.05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1.98</v>
      </c>
      <c r="AW6" t="s">
        <v>49</v>
      </c>
    </row>
    <row r="7" spans="1:49" ht="13.2">
      <c r="A7" t="s">
        <v>47</v>
      </c>
      <c r="B7" t="s">
        <v>6</v>
      </c>
      <c r="C7" t="s">
        <v>63</v>
      </c>
      <c r="D7" t="s">
        <v>49</v>
      </c>
      <c r="E7" t="s">
        <v>49</v>
      </c>
      <c r="F7" t="s">
        <v>49</v>
      </c>
      <c r="G7" t="s">
        <v>50</v>
      </c>
      <c r="H7" t="s">
        <v>49</v>
      </c>
      <c r="I7" t="s">
        <v>49</v>
      </c>
      <c r="J7" t="s">
        <v>49</v>
      </c>
      <c r="K7" t="s">
        <v>49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0.57999999999999996</v>
      </c>
      <c r="T7">
        <v>0</v>
      </c>
      <c r="U7">
        <v>0.01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0.12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0.39000000000000001</v>
      </c>
      <c r="AL7">
        <v>0</v>
      </c>
      <c r="AM7">
        <v>0.029999999999999999</v>
      </c>
      <c r="AN7">
        <v>0</v>
      </c>
      <c r="AO7">
        <v>4.3799999999999999</v>
      </c>
      <c r="AP7">
        <v>0.0059999999901</v>
      </c>
      <c r="AQ7">
        <v>0</v>
      </c>
      <c r="AR7">
        <v>0</v>
      </c>
      <c r="AS7">
        <v>0</v>
      </c>
      <c r="AT7">
        <v>0</v>
      </c>
      <c r="AU7">
        <v>0</v>
      </c>
      <c r="AV7">
        <v>4.6200000000000001</v>
      </c>
      <c r="AW7" t="s">
        <v>49</v>
      </c>
    </row>
    <row r="8" spans="1:49" ht="13.2">
      <c r="A8" t="s">
        <v>47</v>
      </c>
      <c r="B8" t="s">
        <v>6</v>
      </c>
      <c r="C8" t="s">
        <v>64</v>
      </c>
      <c r="D8" t="s">
        <v>49</v>
      </c>
      <c r="E8" t="s">
        <v>49</v>
      </c>
      <c r="F8" t="s">
        <v>49</v>
      </c>
      <c r="G8" t="s">
        <v>50</v>
      </c>
      <c r="H8" t="s">
        <v>49</v>
      </c>
      <c r="I8" t="s">
        <v>49</v>
      </c>
      <c r="J8" t="s">
        <v>49</v>
      </c>
      <c r="K8" t="s">
        <v>49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0.029999999999999999</v>
      </c>
      <c r="AW8" t="s">
        <v>49</v>
      </c>
    </row>
    <row r="9" spans="1:49" ht="13.2">
      <c r="A9" t="s">
        <v>47</v>
      </c>
      <c r="B9" t="s">
        <v>6</v>
      </c>
      <c r="C9" t="s">
        <v>65</v>
      </c>
      <c r="D9" t="s">
        <v>49</v>
      </c>
      <c r="E9" t="s">
        <v>49</v>
      </c>
      <c r="F9" t="s">
        <v>49</v>
      </c>
      <c r="G9" t="s">
        <v>50</v>
      </c>
      <c r="H9" t="s">
        <v>49</v>
      </c>
      <c r="I9" t="s">
        <v>49</v>
      </c>
      <c r="J9" t="s">
        <v>49</v>
      </c>
      <c r="K9" t="s">
        <v>49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0.01299999990459</v>
      </c>
      <c r="AJ9">
        <v>0</v>
      </c>
      <c r="AK9">
        <v>0.050000000000000003</v>
      </c>
      <c r="AL9">
        <v>0</v>
      </c>
      <c r="AM9">
        <v>0.080000000000000002</v>
      </c>
      <c r="AN9">
        <v>0</v>
      </c>
      <c r="AO9">
        <v>0.77000000000000002</v>
      </c>
      <c r="AP9">
        <v>0.0030000000005500002</v>
      </c>
      <c r="AQ9">
        <v>0</v>
      </c>
      <c r="AR9">
        <v>0</v>
      </c>
      <c r="AS9">
        <v>0</v>
      </c>
      <c r="AT9">
        <v>0</v>
      </c>
      <c r="AU9">
        <v>0</v>
      </c>
      <c r="AV9">
        <v>0.23000000000000001</v>
      </c>
      <c r="AW9" t="s">
        <v>49</v>
      </c>
    </row>
    <row r="10" spans="1:49" ht="13.2">
      <c r="A10" t="s">
        <v>47</v>
      </c>
      <c r="B10" t="s">
        <v>6</v>
      </c>
      <c r="C10" t="s">
        <v>74</v>
      </c>
      <c r="D10" t="s">
        <v>49</v>
      </c>
      <c r="E10" t="s">
        <v>49</v>
      </c>
      <c r="F10" t="s">
        <v>49</v>
      </c>
      <c r="G10" t="s">
        <v>50</v>
      </c>
      <c r="H10" t="s">
        <v>49</v>
      </c>
      <c r="I10" t="s">
        <v>49</v>
      </c>
      <c r="J10" t="s">
        <v>49</v>
      </c>
      <c r="K10" t="s">
        <v>49</v>
      </c>
      <c r="L10">
        <v>0</v>
      </c>
      <c r="M10">
        <v>0</v>
      </c>
      <c r="N10">
        <v>0</v>
      </c>
      <c r="O10">
        <v>0</v>
      </c>
      <c r="P10">
        <v>0</v>
      </c>
      <c r="Q10">
        <v>0.90000000000000002</v>
      </c>
      <c r="R10">
        <v>0</v>
      </c>
      <c r="S10">
        <v>0</v>
      </c>
      <c r="T10">
        <v>9.1999999999999993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97.209999999999994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0.12</v>
      </c>
      <c r="AN10">
        <v>0</v>
      </c>
      <c r="AO10">
        <v>0</v>
      </c>
      <c r="AP10">
        <v>0</v>
      </c>
      <c r="AQ10">
        <v>0</v>
      </c>
      <c r="AR10">
        <v>1.0558825338492199</v>
      </c>
      <c r="AS10">
        <v>2.4199999999999999</v>
      </c>
      <c r="AT10">
        <v>0</v>
      </c>
      <c r="AU10">
        <v>0</v>
      </c>
      <c r="AV10">
        <v>0.17999999999999999</v>
      </c>
      <c r="AW10" t="s">
        <v>49</v>
      </c>
    </row>
    <row r="11" spans="1:49" ht="13.2">
      <c r="A11" t="s">
        <v>47</v>
      </c>
      <c r="B11" t="s">
        <v>6</v>
      </c>
      <c r="C11" t="s">
        <v>75</v>
      </c>
      <c r="D11" t="s">
        <v>49</v>
      </c>
      <c r="E11" t="s">
        <v>49</v>
      </c>
      <c r="F11" t="s">
        <v>49</v>
      </c>
      <c r="G11" t="s">
        <v>50</v>
      </c>
      <c r="H11" t="s">
        <v>49</v>
      </c>
      <c r="I11" t="s">
        <v>49</v>
      </c>
      <c r="J11" t="s">
        <v>49</v>
      </c>
      <c r="K11" t="s">
        <v>49</v>
      </c>
      <c r="L11">
        <v>0</v>
      </c>
      <c r="M11">
        <v>0</v>
      </c>
      <c r="N11">
        <v>0</v>
      </c>
      <c r="O11">
        <v>0</v>
      </c>
      <c r="P11">
        <v>0</v>
      </c>
      <c r="Q11">
        <v>2.3399999999999999</v>
      </c>
      <c r="R11">
        <v>0</v>
      </c>
      <c r="S11">
        <v>0</v>
      </c>
      <c r="T11">
        <v>23.899999999999999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252.71000000000001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0.32000000000000001</v>
      </c>
      <c r="AN11">
        <v>0</v>
      </c>
      <c r="AO11">
        <v>0</v>
      </c>
      <c r="AP11">
        <v>0</v>
      </c>
      <c r="AQ11">
        <v>0</v>
      </c>
      <c r="AR11">
        <v>2.7449035606319998</v>
      </c>
      <c r="AS11">
        <v>8.9000000000000004</v>
      </c>
      <c r="AT11">
        <v>0</v>
      </c>
      <c r="AU11">
        <v>0</v>
      </c>
      <c r="AV11">
        <v>0.47999999999999998</v>
      </c>
      <c r="AW11" t="s">
        <v>49</v>
      </c>
    </row>
    <row r="12" spans="1:49" ht="13.2">
      <c r="A12" t="s">
        <v>47</v>
      </c>
      <c r="B12" t="s">
        <v>6</v>
      </c>
      <c r="C12" t="s">
        <v>76</v>
      </c>
      <c r="D12" t="s">
        <v>49</v>
      </c>
      <c r="E12" t="s">
        <v>49</v>
      </c>
      <c r="F12" t="s">
        <v>49</v>
      </c>
      <c r="G12" t="s">
        <v>50</v>
      </c>
      <c r="H12" t="s">
        <v>49</v>
      </c>
      <c r="I12" t="s">
        <v>49</v>
      </c>
      <c r="J12" t="s">
        <v>49</v>
      </c>
      <c r="K12" t="s">
        <v>49</v>
      </c>
      <c r="L12">
        <v>0</v>
      </c>
      <c r="M12">
        <v>0</v>
      </c>
      <c r="N12">
        <v>0</v>
      </c>
      <c r="O12">
        <v>0</v>
      </c>
      <c r="P12">
        <v>0</v>
      </c>
      <c r="Q12">
        <v>2.29</v>
      </c>
      <c r="R12">
        <v>0</v>
      </c>
      <c r="S12">
        <v>0</v>
      </c>
      <c r="T12">
        <v>23.34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246.78999999999999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0.32000000000000001</v>
      </c>
      <c r="AN12">
        <v>0</v>
      </c>
      <c r="AO12">
        <v>0</v>
      </c>
      <c r="AP12">
        <v>0</v>
      </c>
      <c r="AQ12">
        <v>0</v>
      </c>
      <c r="AR12">
        <v>2.6806012810271498</v>
      </c>
      <c r="AS12">
        <v>8.9399999999999995</v>
      </c>
      <c r="AT12">
        <v>0</v>
      </c>
      <c r="AU12">
        <v>0</v>
      </c>
      <c r="AV12">
        <v>0.46999999999999997</v>
      </c>
      <c r="AW12" t="s">
        <v>49</v>
      </c>
    </row>
    <row r="13" spans="1:49" ht="13.2">
      <c r="A13" t="s">
        <v>47</v>
      </c>
      <c r="B13" t="s">
        <v>6</v>
      </c>
      <c r="C13" t="s">
        <v>77</v>
      </c>
      <c r="D13" t="s">
        <v>49</v>
      </c>
      <c r="E13" t="s">
        <v>49</v>
      </c>
      <c r="F13" t="s">
        <v>49</v>
      </c>
      <c r="G13" t="s">
        <v>50</v>
      </c>
      <c r="H13" t="s">
        <v>49</v>
      </c>
      <c r="I13" t="s">
        <v>49</v>
      </c>
      <c r="J13" t="s">
        <v>49</v>
      </c>
      <c r="K13" t="s">
        <v>49</v>
      </c>
      <c r="L13">
        <v>0</v>
      </c>
      <c r="M13">
        <v>0</v>
      </c>
      <c r="N13">
        <v>0</v>
      </c>
      <c r="O13">
        <v>0</v>
      </c>
      <c r="P13">
        <v>0</v>
      </c>
      <c r="Q13">
        <v>1.05</v>
      </c>
      <c r="R13">
        <v>0</v>
      </c>
      <c r="S13">
        <v>0</v>
      </c>
      <c r="T13">
        <v>10.720000000000001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113.31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0.14999999999999999</v>
      </c>
      <c r="AN13">
        <v>0</v>
      </c>
      <c r="AO13">
        <v>0</v>
      </c>
      <c r="AP13">
        <v>0</v>
      </c>
      <c r="AQ13">
        <v>0</v>
      </c>
      <c r="AR13">
        <v>1.2307586658826799</v>
      </c>
      <c r="AS13">
        <v>4.7400000000000002</v>
      </c>
      <c r="AT13">
        <v>0</v>
      </c>
      <c r="AU13">
        <v>0</v>
      </c>
      <c r="AV13">
        <v>0.20999999999999999</v>
      </c>
      <c r="AW13" t="s">
        <v>49</v>
      </c>
    </row>
    <row r="14" spans="1:49" ht="13.2">
      <c r="A14" t="s">
        <v>47</v>
      </c>
      <c r="B14" t="s">
        <v>6</v>
      </c>
      <c r="C14" t="s">
        <v>124</v>
      </c>
      <c r="D14" t="s">
        <v>49</v>
      </c>
      <c r="E14" t="s">
        <v>49</v>
      </c>
      <c r="F14" t="s">
        <v>49</v>
      </c>
      <c r="G14" t="s">
        <v>50</v>
      </c>
      <c r="H14" t="s">
        <v>49</v>
      </c>
      <c r="I14" t="s">
        <v>49</v>
      </c>
      <c r="J14" t="s">
        <v>49</v>
      </c>
      <c r="K14" t="s">
        <v>49</v>
      </c>
      <c r="L14">
        <v>9.54786834174263</v>
      </c>
      <c r="M14">
        <v>509.06999999999999</v>
      </c>
      <c r="N14">
        <v>56.7531396958396</v>
      </c>
      <c r="O14">
        <v>509.07999999999998</v>
      </c>
      <c r="P14">
        <v>212.83000000000001</v>
      </c>
      <c r="Q14">
        <v>259.88</v>
      </c>
      <c r="R14">
        <v>34.710000000000001</v>
      </c>
      <c r="S14">
        <v>218.49000000000001</v>
      </c>
      <c r="T14">
        <v>3483.21</v>
      </c>
      <c r="U14">
        <v>93.819999999999993</v>
      </c>
      <c r="V14">
        <v>51.420000000000002</v>
      </c>
      <c r="W14">
        <v>41.979999999999997</v>
      </c>
      <c r="X14">
        <v>2108.6199999999999</v>
      </c>
      <c r="Y14">
        <v>228.80000000000001</v>
      </c>
      <c r="Z14">
        <v>2771.1799999999998</v>
      </c>
      <c r="AA14">
        <v>75.959999999999994</v>
      </c>
      <c r="AB14">
        <v>124.01000000000001</v>
      </c>
      <c r="AC14">
        <v>115.16</v>
      </c>
      <c r="AD14">
        <v>16.91</v>
      </c>
      <c r="AE14">
        <v>2443.1399999999999</v>
      </c>
      <c r="AF14">
        <v>15.3906745704644</v>
      </c>
      <c r="AG14">
        <v>177.91999999999999</v>
      </c>
      <c r="AH14">
        <v>57.920000000000002</v>
      </c>
      <c r="AI14">
        <v>70.719999999999999</v>
      </c>
      <c r="AJ14">
        <v>2.6764694270050602</v>
      </c>
      <c r="AK14">
        <v>16.140000000000001</v>
      </c>
      <c r="AL14">
        <v>7.9699999999999998</v>
      </c>
      <c r="AM14">
        <v>361.29000000000002</v>
      </c>
      <c r="AN14">
        <v>211.5</v>
      </c>
      <c r="AO14">
        <v>694.29999999999995</v>
      </c>
      <c r="AP14">
        <v>425.19999999999999</v>
      </c>
      <c r="AQ14">
        <v>298.81</v>
      </c>
      <c r="AR14">
        <v>70.522924088572907</v>
      </c>
      <c r="AS14">
        <v>270.85000000000002</v>
      </c>
      <c r="AT14">
        <v>69.859999999999999</v>
      </c>
      <c r="AU14">
        <v>82.799999999999997</v>
      </c>
      <c r="AV14">
        <v>2069.75</v>
      </c>
      <c r="AW14" t="s">
        <v>49</v>
      </c>
    </row>
    <row r="15" spans="1:49" ht="13.2">
      <c r="A15" t="s">
        <v>47</v>
      </c>
      <c r="B15" t="s">
        <v>6</v>
      </c>
      <c r="C15" t="s">
        <v>125</v>
      </c>
      <c r="D15" t="s">
        <v>49</v>
      </c>
      <c r="E15" t="s">
        <v>49</v>
      </c>
      <c r="F15" t="s">
        <v>49</v>
      </c>
      <c r="G15" t="s">
        <v>50</v>
      </c>
      <c r="H15" t="s">
        <v>49</v>
      </c>
      <c r="I15" t="s">
        <v>49</v>
      </c>
      <c r="J15" t="s">
        <v>49</v>
      </c>
      <c r="K15" t="s">
        <v>49</v>
      </c>
      <c r="L15">
        <v>10.2165375395683</v>
      </c>
      <c r="M15">
        <v>872.35000000000002</v>
      </c>
      <c r="N15">
        <v>131.07166004266901</v>
      </c>
      <c r="O15">
        <v>1128.4300000000001</v>
      </c>
      <c r="P15">
        <v>303.18000000000001</v>
      </c>
      <c r="Q15">
        <v>198.78</v>
      </c>
      <c r="R15">
        <v>8.8800000000000008</v>
      </c>
      <c r="S15">
        <v>407.23000000000002</v>
      </c>
      <c r="T15">
        <v>3109.1999999999998</v>
      </c>
      <c r="U15">
        <v>189.53999999999999</v>
      </c>
      <c r="V15">
        <v>26.140000000000001</v>
      </c>
      <c r="W15">
        <v>44.920000000000002</v>
      </c>
      <c r="X15">
        <v>4274.0600000000004</v>
      </c>
      <c r="Y15">
        <v>134.11000000000001</v>
      </c>
      <c r="Z15">
        <v>6576.8800000000001</v>
      </c>
      <c r="AA15">
        <v>175.43000000000001</v>
      </c>
      <c r="AB15">
        <v>204.44999999999999</v>
      </c>
      <c r="AC15">
        <v>173.66999999999999</v>
      </c>
      <c r="AD15">
        <v>8.5999999999999996</v>
      </c>
      <c r="AE15">
        <v>4903.8100000000004</v>
      </c>
      <c r="AF15">
        <v>35.544839914383502</v>
      </c>
      <c r="AG15">
        <v>161.84999999999999</v>
      </c>
      <c r="AH15">
        <v>64.530000000000001</v>
      </c>
      <c r="AI15">
        <v>39.799999999999997</v>
      </c>
      <c r="AJ15">
        <v>2.86391154504686</v>
      </c>
      <c r="AK15">
        <v>23</v>
      </c>
      <c r="AL15">
        <v>24.59</v>
      </c>
      <c r="AM15">
        <v>386.22000000000003</v>
      </c>
      <c r="AN15">
        <v>197.84</v>
      </c>
      <c r="AO15">
        <v>1310</v>
      </c>
      <c r="AP15">
        <v>681.16999999999996</v>
      </c>
      <c r="AQ15">
        <v>489.17000000000002</v>
      </c>
      <c r="AR15">
        <v>162.873045982864</v>
      </c>
      <c r="AS15">
        <v>151.06</v>
      </c>
      <c r="AT15">
        <v>126.18000000000001</v>
      </c>
      <c r="AU15">
        <v>144.02000000000001</v>
      </c>
      <c r="AV15">
        <v>2530.8699999999999</v>
      </c>
      <c r="AW15" t="s">
        <v>49</v>
      </c>
    </row>
    <row r="16" spans="1:49" ht="13.2">
      <c r="A16" t="s">
        <v>47</v>
      </c>
      <c r="B16" t="s">
        <v>6</v>
      </c>
      <c r="C16" t="s">
        <v>126</v>
      </c>
      <c r="D16" t="s">
        <v>49</v>
      </c>
      <c r="E16" t="s">
        <v>49</v>
      </c>
      <c r="F16" t="s">
        <v>49</v>
      </c>
      <c r="G16" t="s">
        <v>50</v>
      </c>
      <c r="H16" t="s">
        <v>49</v>
      </c>
      <c r="I16" t="s">
        <v>49</v>
      </c>
      <c r="J16" t="s">
        <v>49</v>
      </c>
      <c r="K16" t="s">
        <v>49</v>
      </c>
      <c r="L16">
        <v>8.14229839529267</v>
      </c>
      <c r="M16">
        <v>851.91999999999996</v>
      </c>
      <c r="N16">
        <v>128.000893795303</v>
      </c>
      <c r="O16">
        <v>1102.01</v>
      </c>
      <c r="P16">
        <v>296.07999999999998</v>
      </c>
      <c r="Q16">
        <v>194.12</v>
      </c>
      <c r="R16">
        <v>8.6699999999999999</v>
      </c>
      <c r="S16">
        <v>397.69</v>
      </c>
      <c r="T16">
        <v>3036.4099999999999</v>
      </c>
      <c r="U16">
        <v>185.11000000000001</v>
      </c>
      <c r="V16">
        <v>25.530000000000001</v>
      </c>
      <c r="W16">
        <v>35.799999999999997</v>
      </c>
      <c r="X16">
        <v>3269.7399999999998</v>
      </c>
      <c r="Y16">
        <v>130.97</v>
      </c>
      <c r="Z16">
        <v>6422.8900000000003</v>
      </c>
      <c r="AA16">
        <v>171.31999999999999</v>
      </c>
      <c r="AB16">
        <v>199.66999999999999</v>
      </c>
      <c r="AC16">
        <v>79.540000000000006</v>
      </c>
      <c r="AD16">
        <v>8.3900000000000006</v>
      </c>
      <c r="AE16">
        <v>4788.9899999999998</v>
      </c>
      <c r="AF16">
        <v>34.712090144970603</v>
      </c>
      <c r="AG16">
        <v>158.06</v>
      </c>
      <c r="AH16">
        <v>63.079999999999998</v>
      </c>
      <c r="AI16">
        <v>38.869999999999997</v>
      </c>
      <c r="AJ16">
        <v>2.28245844418249</v>
      </c>
      <c r="AK16">
        <v>22.460000000000001</v>
      </c>
      <c r="AL16">
        <v>24.02</v>
      </c>
      <c r="AM16">
        <v>377.18000000000001</v>
      </c>
      <c r="AN16">
        <v>170.97999999999999</v>
      </c>
      <c r="AO16">
        <v>1279.3299999999999</v>
      </c>
      <c r="AP16">
        <v>665.22000000000003</v>
      </c>
      <c r="AQ16">
        <v>477.70999999999998</v>
      </c>
      <c r="AR16">
        <v>159.05723215974601</v>
      </c>
      <c r="AS16">
        <v>151.77000000000001</v>
      </c>
      <c r="AT16">
        <v>123.23</v>
      </c>
      <c r="AU16">
        <v>140.65000000000001</v>
      </c>
      <c r="AV16">
        <v>2471.6100000000001</v>
      </c>
      <c r="AW16" t="s">
        <v>49</v>
      </c>
    </row>
    <row r="17" spans="1:49" ht="13.2">
      <c r="A17" t="s">
        <v>47</v>
      </c>
      <c r="B17" t="s">
        <v>6</v>
      </c>
      <c r="C17" t="s">
        <v>127</v>
      </c>
      <c r="D17" t="s">
        <v>49</v>
      </c>
      <c r="E17" t="s">
        <v>49</v>
      </c>
      <c r="F17" t="s">
        <v>49</v>
      </c>
      <c r="G17" t="s">
        <v>50</v>
      </c>
      <c r="H17" t="s">
        <v>49</v>
      </c>
      <c r="I17" t="s">
        <v>49</v>
      </c>
      <c r="J17" t="s">
        <v>49</v>
      </c>
      <c r="K17" t="s">
        <v>49</v>
      </c>
      <c r="L17">
        <v>4.8012267911907296</v>
      </c>
      <c r="M17">
        <v>391.13999999999999</v>
      </c>
      <c r="N17">
        <v>58.770431391189298</v>
      </c>
      <c r="O17">
        <v>505.95999999999998</v>
      </c>
      <c r="P17">
        <v>135.94</v>
      </c>
      <c r="Q17">
        <v>89.129999999999995</v>
      </c>
      <c r="R17">
        <v>3.98</v>
      </c>
      <c r="S17">
        <v>182.59</v>
      </c>
      <c r="T17">
        <v>1394.0799999999999</v>
      </c>
      <c r="U17">
        <v>84.989999999999995</v>
      </c>
      <c r="V17">
        <v>11.720000000000001</v>
      </c>
      <c r="W17">
        <v>21.109999999999999</v>
      </c>
      <c r="X17">
        <v>1814.4200000000001</v>
      </c>
      <c r="Y17">
        <v>60.130000000000003</v>
      </c>
      <c r="Z17">
        <v>2948.8899999999999</v>
      </c>
      <c r="AA17">
        <v>78.659999999999997</v>
      </c>
      <c r="AB17">
        <v>91.670000000000002</v>
      </c>
      <c r="AC17">
        <v>127.95</v>
      </c>
      <c r="AD17">
        <v>3.8500000000000001</v>
      </c>
      <c r="AE17">
        <v>2198.73</v>
      </c>
      <c r="AF17">
        <v>15.937736462779499</v>
      </c>
      <c r="AG17">
        <v>72.569999999999993</v>
      </c>
      <c r="AH17">
        <v>30.379999999999999</v>
      </c>
      <c r="AI17">
        <v>17.850000000000001</v>
      </c>
      <c r="AJ17">
        <v>1.3458854121981101</v>
      </c>
      <c r="AK17">
        <v>10.31</v>
      </c>
      <c r="AL17">
        <v>11.029999999999999</v>
      </c>
      <c r="AM17">
        <v>173.31</v>
      </c>
      <c r="AN17">
        <v>110.94</v>
      </c>
      <c r="AO17">
        <v>587.37</v>
      </c>
      <c r="AP17">
        <v>305.42000000000002</v>
      </c>
      <c r="AQ17">
        <v>219.33000000000001</v>
      </c>
      <c r="AR17">
        <v>73.029663096460496</v>
      </c>
      <c r="AS17">
        <v>66.629999999999995</v>
      </c>
      <c r="AT17">
        <v>56.579999999999998</v>
      </c>
      <c r="AU17">
        <v>64.579999999999998</v>
      </c>
      <c r="AV17">
        <v>1134.77</v>
      </c>
      <c r="AW17" t="s">
        <v>49</v>
      </c>
    </row>
    <row r="18" spans="1:49" ht="13.2">
      <c r="A18" t="s">
        <v>47</v>
      </c>
      <c r="B18" t="s">
        <v>6</v>
      </c>
      <c r="C18" t="s">
        <v>128</v>
      </c>
      <c r="D18" t="s">
        <v>49</v>
      </c>
      <c r="E18" t="s">
        <v>49</v>
      </c>
      <c r="F18" t="s">
        <v>49</v>
      </c>
      <c r="G18" t="s">
        <v>50</v>
      </c>
      <c r="H18" t="s">
        <v>49</v>
      </c>
      <c r="I18" t="s">
        <v>49</v>
      </c>
      <c r="J18" t="s">
        <v>49</v>
      </c>
      <c r="K18" t="s">
        <v>49</v>
      </c>
      <c r="L18">
        <v>0</v>
      </c>
      <c r="M18">
        <v>0</v>
      </c>
      <c r="N18">
        <v>0</v>
      </c>
      <c r="O18">
        <v>0</v>
      </c>
      <c r="P18">
        <v>0</v>
      </c>
      <c r="Q18">
        <v>0.44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19.82</v>
      </c>
      <c r="AT18">
        <v>0</v>
      </c>
      <c r="AU18">
        <v>0</v>
      </c>
      <c r="AV18">
        <v>0</v>
      </c>
      <c r="AW18" t="s">
        <v>49</v>
      </c>
    </row>
    <row r="19" spans="1:49" ht="13.2">
      <c r="A19" t="s">
        <v>47</v>
      </c>
      <c r="B19" t="s">
        <v>6</v>
      </c>
      <c r="C19" t="s">
        <v>129</v>
      </c>
      <c r="D19" t="s">
        <v>49</v>
      </c>
      <c r="E19" t="s">
        <v>49</v>
      </c>
      <c r="F19" t="s">
        <v>49</v>
      </c>
      <c r="G19" t="s">
        <v>50</v>
      </c>
      <c r="H19" t="s">
        <v>49</v>
      </c>
      <c r="I19" t="s">
        <v>49</v>
      </c>
      <c r="J19" t="s">
        <v>49</v>
      </c>
      <c r="K19" t="s">
        <v>49</v>
      </c>
      <c r="L19">
        <v>0</v>
      </c>
      <c r="M19">
        <v>0</v>
      </c>
      <c r="N19">
        <v>0</v>
      </c>
      <c r="O19">
        <v>0</v>
      </c>
      <c r="P19">
        <v>0</v>
      </c>
      <c r="Q19">
        <v>1.1399999999999999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72.780000000000001</v>
      </c>
      <c r="AT19">
        <v>0</v>
      </c>
      <c r="AU19">
        <v>0</v>
      </c>
      <c r="AV19">
        <v>0</v>
      </c>
      <c r="AW19" t="s">
        <v>49</v>
      </c>
    </row>
    <row r="20" spans="1:49" ht="13.2">
      <c r="A20" t="s">
        <v>47</v>
      </c>
      <c r="B20" t="s">
        <v>6</v>
      </c>
      <c r="C20" t="s">
        <v>130</v>
      </c>
      <c r="D20" t="s">
        <v>49</v>
      </c>
      <c r="E20" t="s">
        <v>49</v>
      </c>
      <c r="F20" t="s">
        <v>49</v>
      </c>
      <c r="G20" t="s">
        <v>50</v>
      </c>
      <c r="H20" t="s">
        <v>49</v>
      </c>
      <c r="I20" t="s">
        <v>49</v>
      </c>
      <c r="J20" t="s">
        <v>49</v>
      </c>
      <c r="K20" t="s">
        <v>49</v>
      </c>
      <c r="L20">
        <v>0</v>
      </c>
      <c r="M20">
        <v>0</v>
      </c>
      <c r="N20">
        <v>0</v>
      </c>
      <c r="O20">
        <v>0</v>
      </c>
      <c r="P20">
        <v>0</v>
      </c>
      <c r="Q20">
        <v>1.1100000000000001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73.120000000000005</v>
      </c>
      <c r="AT20">
        <v>0</v>
      </c>
      <c r="AU20">
        <v>0</v>
      </c>
      <c r="AV20">
        <v>0</v>
      </c>
      <c r="AW20" t="s">
        <v>49</v>
      </c>
    </row>
    <row r="21" spans="1:49" ht="13.2">
      <c r="A21" t="s">
        <v>47</v>
      </c>
      <c r="B21" t="s">
        <v>6</v>
      </c>
      <c r="C21" t="s">
        <v>44</v>
      </c>
      <c r="D21" t="s">
        <v>49</v>
      </c>
      <c r="E21" t="s">
        <v>49</v>
      </c>
      <c r="F21" t="s">
        <v>49</v>
      </c>
      <c r="G21" t="s">
        <v>50</v>
      </c>
      <c r="H21" t="s">
        <v>49</v>
      </c>
      <c r="I21" t="s">
        <v>49</v>
      </c>
      <c r="J21" t="s">
        <v>49</v>
      </c>
      <c r="K21" t="s">
        <v>49</v>
      </c>
      <c r="L21">
        <v>0</v>
      </c>
      <c r="M21">
        <v>0</v>
      </c>
      <c r="N21">
        <v>0</v>
      </c>
      <c r="O21">
        <v>0</v>
      </c>
      <c r="P21">
        <v>0</v>
      </c>
      <c r="Q21">
        <v>0.51000000000000001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38.770000000000003</v>
      </c>
      <c r="AT21">
        <v>0</v>
      </c>
      <c r="AU21">
        <v>0</v>
      </c>
      <c r="AV21">
        <v>0</v>
      </c>
      <c r="AW21" t="s">
        <v>49</v>
      </c>
    </row>
    <row r="22" spans="1:49" ht="13.2">
      <c r="A22" t="s">
        <v>47</v>
      </c>
      <c r="B22" t="s">
        <v>6</v>
      </c>
      <c r="C22" t="s">
        <v>131</v>
      </c>
      <c r="D22" t="s">
        <v>49</v>
      </c>
      <c r="E22" t="s">
        <v>49</v>
      </c>
      <c r="F22" t="s">
        <v>49</v>
      </c>
      <c r="G22" t="s">
        <v>50</v>
      </c>
      <c r="H22" t="s">
        <v>49</v>
      </c>
      <c r="I22" t="s">
        <v>49</v>
      </c>
      <c r="J22" t="s">
        <v>49</v>
      </c>
      <c r="K22" t="s">
        <v>49</v>
      </c>
      <c r="L22">
        <v>7.47097444011838</v>
      </c>
      <c r="M22">
        <v>192.75999999999999</v>
      </c>
      <c r="N22">
        <v>11.081003780669599</v>
      </c>
      <c r="O22">
        <v>149.02000000000001</v>
      </c>
      <c r="P22">
        <v>52.890000000000001</v>
      </c>
      <c r="Q22">
        <v>805.57000000000005</v>
      </c>
      <c r="R22">
        <v>23.27</v>
      </c>
      <c r="S22">
        <v>134.5</v>
      </c>
      <c r="T22">
        <v>3124.9299999999998</v>
      </c>
      <c r="U22">
        <v>110.06</v>
      </c>
      <c r="V22">
        <v>56.609999999999999</v>
      </c>
      <c r="W22">
        <v>233.41</v>
      </c>
      <c r="X22">
        <v>1144.8</v>
      </c>
      <c r="Y22">
        <v>313.37</v>
      </c>
      <c r="Z22">
        <v>509.92000000000002</v>
      </c>
      <c r="AA22">
        <v>27.390000000000001</v>
      </c>
      <c r="AB22">
        <v>66.040000000000006</v>
      </c>
      <c r="AC22">
        <v>102.17</v>
      </c>
      <c r="AD22">
        <v>30.629999999999999</v>
      </c>
      <c r="AE22">
        <v>470.75999999999999</v>
      </c>
      <c r="AF22">
        <v>3.0143481281586202</v>
      </c>
      <c r="AG22">
        <v>158.56</v>
      </c>
      <c r="AH22">
        <v>27.25</v>
      </c>
      <c r="AI22">
        <v>64.510000000000005</v>
      </c>
      <c r="AJ22">
        <v>3.65777743624934</v>
      </c>
      <c r="AK22">
        <v>7.7400000000000002</v>
      </c>
      <c r="AL22">
        <v>3.2799999999999998</v>
      </c>
      <c r="AM22">
        <v>969.70000000000005</v>
      </c>
      <c r="AN22">
        <v>483.99000000000001</v>
      </c>
      <c r="AO22">
        <v>400.48000000000002</v>
      </c>
      <c r="AP22">
        <v>47.07</v>
      </c>
      <c r="AQ22">
        <v>88.689999999999998</v>
      </c>
      <c r="AR22">
        <v>20.0575082234948</v>
      </c>
      <c r="AS22">
        <v>1515.46</v>
      </c>
      <c r="AT22">
        <v>23.399999999999999</v>
      </c>
      <c r="AU22">
        <v>48.159999999999997</v>
      </c>
      <c r="AV22">
        <v>2029.6700000000001</v>
      </c>
      <c r="AW22" t="s">
        <v>49</v>
      </c>
    </row>
    <row r="23" spans="1:49" ht="13.2">
      <c r="A23" t="s">
        <v>47</v>
      </c>
      <c r="B23" t="s">
        <v>6</v>
      </c>
      <c r="C23" t="s">
        <v>54</v>
      </c>
      <c r="D23" t="s">
        <v>49</v>
      </c>
      <c r="E23" t="s">
        <v>49</v>
      </c>
      <c r="F23" t="s">
        <v>49</v>
      </c>
      <c r="G23" t="s">
        <v>50</v>
      </c>
      <c r="H23" t="s">
        <v>49</v>
      </c>
      <c r="I23" t="s">
        <v>49</v>
      </c>
      <c r="J23" t="s">
        <v>49</v>
      </c>
      <c r="K23" t="s">
        <v>49</v>
      </c>
      <c r="L23">
        <v>41.399716208979598</v>
      </c>
      <c r="M23">
        <v>488.14999999999998</v>
      </c>
      <c r="N23">
        <v>71.502614391951198</v>
      </c>
      <c r="O23">
        <v>430.66000000000003</v>
      </c>
      <c r="P23">
        <v>373.81999999999999</v>
      </c>
      <c r="Q23">
        <v>1067.5999999999999</v>
      </c>
      <c r="R23">
        <v>179.24000000000001</v>
      </c>
      <c r="S23">
        <v>647.79999999999995</v>
      </c>
      <c r="T23">
        <v>9395.2999999999993</v>
      </c>
      <c r="U23">
        <v>631.02999999999997</v>
      </c>
      <c r="V23">
        <v>127.94</v>
      </c>
      <c r="W23">
        <v>1293.4200000000001</v>
      </c>
      <c r="X23">
        <v>3931.9499999999998</v>
      </c>
      <c r="Y23">
        <v>929.38999999999999</v>
      </c>
      <c r="Z23">
        <v>2494.9299999999998</v>
      </c>
      <c r="AA23">
        <v>176.74000000000001</v>
      </c>
      <c r="AB23">
        <v>431.55000000000001</v>
      </c>
      <c r="AC23">
        <v>603.86000000000001</v>
      </c>
      <c r="AD23">
        <v>69.230000000000004</v>
      </c>
      <c r="AE23">
        <v>2383.0599999999999</v>
      </c>
      <c r="AF23">
        <v>19.450744365489399</v>
      </c>
      <c r="AG23">
        <v>345.81</v>
      </c>
      <c r="AH23">
        <v>34</v>
      </c>
      <c r="AI23">
        <v>141.06</v>
      </c>
      <c r="AJ23">
        <v>20.269236500550999</v>
      </c>
      <c r="AK23">
        <v>54.68</v>
      </c>
      <c r="AL23">
        <v>20.66</v>
      </c>
      <c r="AM23">
        <v>1653</v>
      </c>
      <c r="AN23">
        <v>413.44</v>
      </c>
      <c r="AO23">
        <v>2314.3600000000001</v>
      </c>
      <c r="AP23">
        <v>243.49000000000001</v>
      </c>
      <c r="AQ23">
        <v>560.16999999999996</v>
      </c>
      <c r="AR23">
        <v>129.425483878075</v>
      </c>
      <c r="AS23">
        <v>951.22000000000003</v>
      </c>
      <c r="AT23">
        <v>168.47999999999999</v>
      </c>
      <c r="AU23">
        <v>222.28999999999999</v>
      </c>
      <c r="AV23">
        <v>5885.71</v>
      </c>
      <c r="AW23" t="s">
        <v>49</v>
      </c>
    </row>
    <row r="24" spans="1:49" ht="13.2">
      <c r="A24" t="s">
        <v>47</v>
      </c>
      <c r="B24" t="s">
        <v>6</v>
      </c>
      <c r="C24" t="s">
        <v>55</v>
      </c>
      <c r="D24" t="s">
        <v>49</v>
      </c>
      <c r="E24" t="s">
        <v>49</v>
      </c>
      <c r="F24" t="s">
        <v>49</v>
      </c>
      <c r="G24" t="s">
        <v>50</v>
      </c>
      <c r="H24" t="s">
        <v>49</v>
      </c>
      <c r="I24" t="s">
        <v>49</v>
      </c>
      <c r="J24" t="s">
        <v>49</v>
      </c>
      <c r="K24" t="s">
        <v>49</v>
      </c>
      <c r="L24">
        <v>97.517005603815903</v>
      </c>
      <c r="M24">
        <v>1132.6600000000001</v>
      </c>
      <c r="N24">
        <v>266.87458758512201</v>
      </c>
      <c r="O24">
        <v>1284.54</v>
      </c>
      <c r="P24">
        <v>958.71000000000004</v>
      </c>
      <c r="Q24">
        <v>972.28999999999996</v>
      </c>
      <c r="R24">
        <v>195.71000000000001</v>
      </c>
      <c r="S24">
        <v>2212.25</v>
      </c>
      <c r="T24">
        <v>13429.25</v>
      </c>
      <c r="U24">
        <v>669.16999999999996</v>
      </c>
      <c r="V24">
        <v>65.400000000000006</v>
      </c>
      <c r="W24">
        <v>3046.6500000000001</v>
      </c>
      <c r="X24">
        <v>3981.04</v>
      </c>
      <c r="Y24">
        <v>642.51999999999998</v>
      </c>
      <c r="Z24">
        <v>8331.6800000000003</v>
      </c>
      <c r="AA24">
        <v>659.65999999999997</v>
      </c>
      <c r="AB24">
        <v>1668.3199999999999</v>
      </c>
      <c r="AC24">
        <v>450.25999999999999</v>
      </c>
      <c r="AD24">
        <v>35.390000000000001</v>
      </c>
      <c r="AE24">
        <v>16337.15</v>
      </c>
      <c r="AF24">
        <v>72.597476678390606</v>
      </c>
      <c r="AG24">
        <v>495.69999999999999</v>
      </c>
      <c r="AH24">
        <v>45.079999999999998</v>
      </c>
      <c r="AI24">
        <v>55.229999999999997</v>
      </c>
      <c r="AJ24">
        <v>47.744173883505603</v>
      </c>
      <c r="AK24">
        <v>140.24000000000001</v>
      </c>
      <c r="AL24">
        <v>140.15000000000001</v>
      </c>
      <c r="AM24">
        <v>2806</v>
      </c>
      <c r="AN24">
        <v>457.82999999999998</v>
      </c>
      <c r="AO24">
        <v>6764.3199999999997</v>
      </c>
      <c r="AP24">
        <v>2169.2600000000002</v>
      </c>
      <c r="AQ24">
        <v>2666.5100000000002</v>
      </c>
      <c r="AR24">
        <v>483.06447151188701</v>
      </c>
      <c r="AS24">
        <v>579.42999999999995</v>
      </c>
      <c r="AT24">
        <v>438.73000000000002</v>
      </c>
      <c r="AU24">
        <v>813.02999999999997</v>
      </c>
      <c r="AV24">
        <v>9544.6200000000008</v>
      </c>
      <c r="AW24" t="s">
        <v>49</v>
      </c>
    </row>
    <row r="25" spans="1:49" ht="13.2">
      <c r="A25" t="s">
        <v>47</v>
      </c>
      <c r="B25" t="s">
        <v>6</v>
      </c>
      <c r="C25" t="s">
        <v>56</v>
      </c>
      <c r="D25" t="s">
        <v>49</v>
      </c>
      <c r="E25" t="s">
        <v>49</v>
      </c>
      <c r="F25" t="s">
        <v>49</v>
      </c>
      <c r="G25" t="s">
        <v>50</v>
      </c>
      <c r="H25" t="s">
        <v>49</v>
      </c>
      <c r="I25" t="s">
        <v>49</v>
      </c>
      <c r="J25" t="s">
        <v>49</v>
      </c>
      <c r="K25" t="s">
        <v>49</v>
      </c>
      <c r="L25">
        <v>15.7703144965782</v>
      </c>
      <c r="M25">
        <v>218.87</v>
      </c>
      <c r="N25">
        <v>32.061684907559901</v>
      </c>
      <c r="O25">
        <v>193.09999999999999</v>
      </c>
      <c r="P25">
        <v>167.61000000000001</v>
      </c>
      <c r="Q25">
        <v>478.68000000000001</v>
      </c>
      <c r="R25">
        <v>80.370000000000005</v>
      </c>
      <c r="S25">
        <v>290.44999999999999</v>
      </c>
      <c r="T25">
        <v>4212.6000000000004</v>
      </c>
      <c r="U25">
        <v>282.94</v>
      </c>
      <c r="V25">
        <v>57.359999999999999</v>
      </c>
      <c r="W25">
        <v>492.69999999999999</v>
      </c>
      <c r="X25">
        <v>1619.21</v>
      </c>
      <c r="Y25">
        <v>416.70999999999998</v>
      </c>
      <c r="Z25">
        <v>1118.6600000000001</v>
      </c>
      <c r="AA25">
        <v>79.25</v>
      </c>
      <c r="AB25">
        <v>193.5</v>
      </c>
      <c r="AC25">
        <v>246.68000000000001</v>
      </c>
      <c r="AD25">
        <v>31.039999999999999</v>
      </c>
      <c r="AE25">
        <v>1068.5</v>
      </c>
      <c r="AF25">
        <v>8.7216900020653902</v>
      </c>
      <c r="AG25">
        <v>155.05000000000001</v>
      </c>
      <c r="AH25">
        <v>14.76</v>
      </c>
      <c r="AI25">
        <v>63.25</v>
      </c>
      <c r="AJ25">
        <v>7.7211213865731896</v>
      </c>
      <c r="AK25">
        <v>24.52</v>
      </c>
      <c r="AL25">
        <v>9.2599999999999998</v>
      </c>
      <c r="AM25">
        <v>741.29999999999995</v>
      </c>
      <c r="AN25">
        <v>229.59999999999999</v>
      </c>
      <c r="AO25">
        <v>1037.8299999999999</v>
      </c>
      <c r="AP25">
        <v>109.17</v>
      </c>
      <c r="AQ25">
        <v>251.16</v>
      </c>
      <c r="AR25">
        <v>58.034228795617501</v>
      </c>
      <c r="AS25">
        <v>419.60000000000002</v>
      </c>
      <c r="AT25">
        <v>75.540000000000006</v>
      </c>
      <c r="AU25">
        <v>99.670000000000002</v>
      </c>
      <c r="AV25">
        <v>2638.9899999999998</v>
      </c>
      <c r="AW25" t="s">
        <v>49</v>
      </c>
    </row>
    <row r="26" spans="1:49" ht="13.2">
      <c r="A26" t="s">
        <v>47</v>
      </c>
      <c r="B26" t="s">
        <v>6</v>
      </c>
      <c r="C26" t="s">
        <v>57</v>
      </c>
      <c r="D26" t="s">
        <v>49</v>
      </c>
      <c r="E26" t="s">
        <v>49</v>
      </c>
      <c r="F26" t="s">
        <v>49</v>
      </c>
      <c r="G26" t="s">
        <v>50</v>
      </c>
      <c r="H26" t="s">
        <v>49</v>
      </c>
      <c r="I26" t="s">
        <v>49</v>
      </c>
      <c r="J26" t="s">
        <v>49</v>
      </c>
      <c r="K26" t="s">
        <v>49</v>
      </c>
      <c r="L26">
        <v>0</v>
      </c>
      <c r="M26">
        <v>0</v>
      </c>
      <c r="N26">
        <v>0</v>
      </c>
      <c r="O26">
        <v>4.9100000000000001</v>
      </c>
      <c r="P26">
        <v>13.460000000000001</v>
      </c>
      <c r="Q26">
        <v>0</v>
      </c>
      <c r="R26">
        <v>0</v>
      </c>
      <c r="S26">
        <v>0</v>
      </c>
      <c r="T26">
        <v>55.869999999999997</v>
      </c>
      <c r="U26">
        <v>0.0019167789818072399</v>
      </c>
      <c r="V26">
        <v>0</v>
      </c>
      <c r="W26">
        <v>1.25</v>
      </c>
      <c r="X26">
        <v>0</v>
      </c>
      <c r="Y26">
        <v>0</v>
      </c>
      <c r="Z26">
        <v>29.300000000000001</v>
      </c>
      <c r="AA26">
        <v>6.54</v>
      </c>
      <c r="AB26">
        <v>0.65000000000000002</v>
      </c>
      <c r="AC26">
        <v>0.12</v>
      </c>
      <c r="AD26">
        <v>0</v>
      </c>
      <c r="AE26">
        <v>289.5</v>
      </c>
      <c r="AF26">
        <v>1.3117340122350201</v>
      </c>
      <c r="AG26">
        <v>0</v>
      </c>
      <c r="AH26">
        <v>0</v>
      </c>
      <c r="AI26">
        <v>2.1299999999999999</v>
      </c>
      <c r="AJ26">
        <v>0</v>
      </c>
      <c r="AK26">
        <v>1.52</v>
      </c>
      <c r="AL26">
        <v>0</v>
      </c>
      <c r="AM26">
        <v>28.890000000000001</v>
      </c>
      <c r="AN26">
        <v>0</v>
      </c>
      <c r="AO26">
        <v>339.27999999999997</v>
      </c>
      <c r="AP26">
        <v>5.2000000000000002</v>
      </c>
      <c r="AQ26">
        <v>29.09</v>
      </c>
      <c r="AR26">
        <v>33.504479861051102</v>
      </c>
      <c r="AS26">
        <v>0</v>
      </c>
      <c r="AT26">
        <v>0</v>
      </c>
      <c r="AU26">
        <v>7.3799999999999999</v>
      </c>
      <c r="AV26">
        <v>3.5600000000000001</v>
      </c>
      <c r="AW26" t="s">
        <v>49</v>
      </c>
    </row>
    <row r="27" spans="1:49" ht="13.2">
      <c r="A27" t="s">
        <v>47</v>
      </c>
      <c r="B27" t="s">
        <v>6</v>
      </c>
      <c r="C27" t="s">
        <v>58</v>
      </c>
      <c r="D27" t="s">
        <v>49</v>
      </c>
      <c r="E27" t="s">
        <v>49</v>
      </c>
      <c r="F27" t="s">
        <v>49</v>
      </c>
      <c r="G27" t="s">
        <v>50</v>
      </c>
      <c r="H27" t="s">
        <v>49</v>
      </c>
      <c r="I27" t="s">
        <v>49</v>
      </c>
      <c r="J27" t="s">
        <v>49</v>
      </c>
      <c r="K27" t="s">
        <v>49</v>
      </c>
      <c r="L27">
        <v>0</v>
      </c>
      <c r="M27">
        <v>0</v>
      </c>
      <c r="N27">
        <v>0</v>
      </c>
      <c r="O27">
        <v>12.76</v>
      </c>
      <c r="P27">
        <v>34.979999999999997</v>
      </c>
      <c r="Q27">
        <v>0</v>
      </c>
      <c r="R27">
        <v>0</v>
      </c>
      <c r="S27">
        <v>0</v>
      </c>
      <c r="T27">
        <v>145.24000000000001</v>
      </c>
      <c r="U27">
        <v>0.0049828705802341701</v>
      </c>
      <c r="V27">
        <v>0</v>
      </c>
      <c r="W27">
        <v>2.48</v>
      </c>
      <c r="X27">
        <v>0</v>
      </c>
      <c r="Y27">
        <v>0</v>
      </c>
      <c r="Z27">
        <v>76.170000000000002</v>
      </c>
      <c r="AA27">
        <v>17.010000000000002</v>
      </c>
      <c r="AB27">
        <v>1.7</v>
      </c>
      <c r="AC27">
        <v>0.23000000000000001</v>
      </c>
      <c r="AD27">
        <v>0</v>
      </c>
      <c r="AE27">
        <v>752.54999999999995</v>
      </c>
      <c r="AF27">
        <v>3.41171185751036</v>
      </c>
      <c r="AG27">
        <v>0</v>
      </c>
      <c r="AH27">
        <v>0</v>
      </c>
      <c r="AI27">
        <v>5.54</v>
      </c>
      <c r="AJ27">
        <v>0</v>
      </c>
      <c r="AK27">
        <v>3.9500000000000002</v>
      </c>
      <c r="AL27">
        <v>0</v>
      </c>
      <c r="AM27">
        <v>75.099999999999994</v>
      </c>
      <c r="AN27">
        <v>0</v>
      </c>
      <c r="AO27">
        <v>881.96000000000004</v>
      </c>
      <c r="AP27">
        <v>13.52</v>
      </c>
      <c r="AQ27">
        <v>75.629999999999995</v>
      </c>
      <c r="AR27">
        <v>87.142385693651207</v>
      </c>
      <c r="AS27">
        <v>0</v>
      </c>
      <c r="AT27">
        <v>0</v>
      </c>
      <c r="AU27">
        <v>19.18</v>
      </c>
      <c r="AV27">
        <v>9.25</v>
      </c>
      <c r="AW27" t="s">
        <v>49</v>
      </c>
    </row>
    <row r="28" spans="1:49" ht="13.2">
      <c r="A28" t="s">
        <v>47</v>
      </c>
      <c r="B28" t="s">
        <v>6</v>
      </c>
      <c r="C28" t="s">
        <v>59</v>
      </c>
      <c r="D28" t="s">
        <v>49</v>
      </c>
      <c r="E28" t="s">
        <v>49</v>
      </c>
      <c r="F28" t="s">
        <v>49</v>
      </c>
      <c r="G28" t="s">
        <v>50</v>
      </c>
      <c r="H28" t="s">
        <v>49</v>
      </c>
      <c r="I28" t="s">
        <v>49</v>
      </c>
      <c r="J28" t="s">
        <v>49</v>
      </c>
      <c r="K28" t="s">
        <v>49</v>
      </c>
      <c r="L28">
        <v>0</v>
      </c>
      <c r="M28">
        <v>0</v>
      </c>
      <c r="N28">
        <v>0</v>
      </c>
      <c r="O28">
        <v>12.460000000000001</v>
      </c>
      <c r="P28">
        <v>34.170000000000002</v>
      </c>
      <c r="Q28">
        <v>0</v>
      </c>
      <c r="R28">
        <v>0</v>
      </c>
      <c r="S28">
        <v>0</v>
      </c>
      <c r="T28">
        <v>141.84</v>
      </c>
      <c r="U28">
        <v>0.0048662239266071003</v>
      </c>
      <c r="V28">
        <v>0</v>
      </c>
      <c r="W28">
        <v>1.98</v>
      </c>
      <c r="X28">
        <v>0</v>
      </c>
      <c r="Y28">
        <v>0</v>
      </c>
      <c r="Z28">
        <v>74.379999999999995</v>
      </c>
      <c r="AA28">
        <v>16.609999999999999</v>
      </c>
      <c r="AB28">
        <v>1.6599999999999999</v>
      </c>
      <c r="AC28">
        <v>0.10000000000000001</v>
      </c>
      <c r="AD28">
        <v>0</v>
      </c>
      <c r="AE28">
        <v>734.92999999999995</v>
      </c>
      <c r="AF28">
        <v>3.3314834775571498</v>
      </c>
      <c r="AG28">
        <v>0</v>
      </c>
      <c r="AH28">
        <v>0</v>
      </c>
      <c r="AI28">
        <v>5.4100000000000001</v>
      </c>
      <c r="AJ28">
        <v>0</v>
      </c>
      <c r="AK28">
        <v>3.8599999999999999</v>
      </c>
      <c r="AL28">
        <v>0</v>
      </c>
      <c r="AM28">
        <v>73.340000000000003</v>
      </c>
      <c r="AN28">
        <v>0</v>
      </c>
      <c r="AO28">
        <v>861.30999999999995</v>
      </c>
      <c r="AP28">
        <v>13.210000000000001</v>
      </c>
      <c r="AQ28">
        <v>73.859999999999999</v>
      </c>
      <c r="AR28">
        <v>85.093182032424906</v>
      </c>
      <c r="AS28">
        <v>0</v>
      </c>
      <c r="AT28">
        <v>0</v>
      </c>
      <c r="AU28">
        <v>18.73</v>
      </c>
      <c r="AV28">
        <v>9.0399999999999991</v>
      </c>
      <c r="AW28" t="s">
        <v>49</v>
      </c>
    </row>
    <row r="29" spans="1:49" ht="13.2">
      <c r="A29" t="s">
        <v>47</v>
      </c>
      <c r="B29" t="s">
        <v>6</v>
      </c>
      <c r="C29" t="s">
        <v>60</v>
      </c>
      <c r="D29" t="s">
        <v>49</v>
      </c>
      <c r="E29" t="s">
        <v>49</v>
      </c>
      <c r="F29" t="s">
        <v>49</v>
      </c>
      <c r="G29" t="s">
        <v>50</v>
      </c>
      <c r="H29" t="s">
        <v>49</v>
      </c>
      <c r="I29" t="s">
        <v>49</v>
      </c>
      <c r="J29" t="s">
        <v>49</v>
      </c>
      <c r="K29" t="s">
        <v>49</v>
      </c>
      <c r="L29">
        <v>0</v>
      </c>
      <c r="M29">
        <v>0</v>
      </c>
      <c r="N29">
        <v>0</v>
      </c>
      <c r="O29">
        <v>5.7199999999999998</v>
      </c>
      <c r="P29">
        <v>15.69</v>
      </c>
      <c r="Q29">
        <v>0</v>
      </c>
      <c r="R29">
        <v>0</v>
      </c>
      <c r="S29">
        <v>0</v>
      </c>
      <c r="T29">
        <v>65.120000000000005</v>
      </c>
      <c r="U29">
        <v>0.0022341264953514798</v>
      </c>
      <c r="V29">
        <v>0</v>
      </c>
      <c r="W29">
        <v>1.1699999999999999</v>
      </c>
      <c r="X29">
        <v>0</v>
      </c>
      <c r="Y29">
        <v>0</v>
      </c>
      <c r="Z29">
        <v>34.149999999999999</v>
      </c>
      <c r="AA29">
        <v>7.6299999999999999</v>
      </c>
      <c r="AB29">
        <v>0.76000000000000001</v>
      </c>
      <c r="AC29">
        <v>0.17000000000000001</v>
      </c>
      <c r="AD29">
        <v>0</v>
      </c>
      <c r="AE29">
        <v>337.42000000000002</v>
      </c>
      <c r="AF29">
        <v>1.5303563476075299</v>
      </c>
      <c r="AG29">
        <v>0</v>
      </c>
      <c r="AH29">
        <v>0</v>
      </c>
      <c r="AI29">
        <v>2.4900000000000002</v>
      </c>
      <c r="AJ29">
        <v>0</v>
      </c>
      <c r="AK29">
        <v>1.77</v>
      </c>
      <c r="AL29">
        <v>0</v>
      </c>
      <c r="AM29">
        <v>33.670000000000002</v>
      </c>
      <c r="AN29">
        <v>0</v>
      </c>
      <c r="AO29">
        <v>395.44999999999999</v>
      </c>
      <c r="AP29">
        <v>6.0599999999999996</v>
      </c>
      <c r="AQ29">
        <v>33.909999999999997</v>
      </c>
      <c r="AR29">
        <v>39.088559837892902</v>
      </c>
      <c r="AS29">
        <v>0</v>
      </c>
      <c r="AT29">
        <v>0</v>
      </c>
      <c r="AU29">
        <v>8.5999999999999996</v>
      </c>
      <c r="AV29">
        <v>4.1500000000000004</v>
      </c>
      <c r="AW29" t="s">
        <v>49</v>
      </c>
    </row>
    <row r="30" spans="1:49" ht="13.2">
      <c r="A30" t="s">
        <v>47</v>
      </c>
      <c r="B30" t="s">
        <v>6</v>
      </c>
      <c r="C30" t="s">
        <v>61</v>
      </c>
      <c r="D30" t="s">
        <v>49</v>
      </c>
      <c r="E30" t="s">
        <v>49</v>
      </c>
      <c r="F30" t="s">
        <v>49</v>
      </c>
      <c r="G30" t="s">
        <v>50</v>
      </c>
      <c r="H30" t="s">
        <v>49</v>
      </c>
      <c r="I30" t="s">
        <v>49</v>
      </c>
      <c r="J30" t="s">
        <v>49</v>
      </c>
      <c r="K30" t="s">
        <v>49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0.68000000000000005</v>
      </c>
      <c r="T30">
        <v>0</v>
      </c>
      <c r="U30">
        <v>0.02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0.14000000000000001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7.6699999999999999</v>
      </c>
      <c r="AN30">
        <v>0</v>
      </c>
      <c r="AO30">
        <v>51.210000000000001</v>
      </c>
      <c r="AP30">
        <v>1.1000000000000001</v>
      </c>
      <c r="AQ30">
        <v>0</v>
      </c>
      <c r="AR30">
        <v>0</v>
      </c>
      <c r="AS30">
        <v>1.8799999999999999</v>
      </c>
      <c r="AT30">
        <v>0</v>
      </c>
      <c r="AU30">
        <v>0</v>
      </c>
      <c r="AV30">
        <v>0.27000000000000002</v>
      </c>
      <c r="AW30" t="s">
        <v>49</v>
      </c>
    </row>
    <row r="31" spans="1:49" ht="13.2">
      <c r="A31" t="s">
        <v>47</v>
      </c>
      <c r="B31" t="s">
        <v>6</v>
      </c>
      <c r="C31" t="s">
        <v>66</v>
      </c>
      <c r="D31" t="s">
        <v>49</v>
      </c>
      <c r="E31" t="s">
        <v>49</v>
      </c>
      <c r="F31" t="s">
        <v>49</v>
      </c>
      <c r="G31" t="s">
        <v>50</v>
      </c>
      <c r="H31" t="s">
        <v>49</v>
      </c>
      <c r="I31" t="s">
        <v>49</v>
      </c>
      <c r="J31" t="s">
        <v>49</v>
      </c>
      <c r="K31" t="s">
        <v>49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1.78</v>
      </c>
      <c r="T31">
        <v>0</v>
      </c>
      <c r="U31">
        <v>0.14000000000000001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0.14000000000000001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19.93</v>
      </c>
      <c r="AN31">
        <v>0</v>
      </c>
      <c r="AO31">
        <v>133.11000000000001</v>
      </c>
      <c r="AP31">
        <v>2.8500000000000001</v>
      </c>
      <c r="AQ31">
        <v>0</v>
      </c>
      <c r="AR31">
        <v>0</v>
      </c>
      <c r="AS31">
        <v>6.9100000000000001</v>
      </c>
      <c r="AT31">
        <v>0</v>
      </c>
      <c r="AU31">
        <v>0</v>
      </c>
      <c r="AV31">
        <v>0.70999999999999996</v>
      </c>
      <c r="AW31" t="s">
        <v>49</v>
      </c>
    </row>
    <row r="32" spans="1:49" ht="13.2">
      <c r="A32" t="s">
        <v>47</v>
      </c>
      <c r="B32" t="s">
        <v>6</v>
      </c>
      <c r="C32" t="s">
        <v>67</v>
      </c>
      <c r="D32" t="s">
        <v>49</v>
      </c>
      <c r="E32" t="s">
        <v>49</v>
      </c>
      <c r="F32" t="s">
        <v>49</v>
      </c>
      <c r="G32" t="s">
        <v>50</v>
      </c>
      <c r="H32" t="s">
        <v>49</v>
      </c>
      <c r="I32" t="s">
        <v>49</v>
      </c>
      <c r="J32" t="s">
        <v>49</v>
      </c>
      <c r="K32" t="s">
        <v>49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1.74</v>
      </c>
      <c r="T32">
        <v>0</v>
      </c>
      <c r="U32">
        <v>0.12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0.14000000000000001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19.460000000000001</v>
      </c>
      <c r="AN32">
        <v>0</v>
      </c>
      <c r="AO32">
        <v>130</v>
      </c>
      <c r="AP32">
        <v>2.7799999999999998</v>
      </c>
      <c r="AQ32">
        <v>0</v>
      </c>
      <c r="AR32">
        <v>0</v>
      </c>
      <c r="AS32">
        <v>6.9400000000000004</v>
      </c>
      <c r="AT32">
        <v>0</v>
      </c>
      <c r="AU32">
        <v>0</v>
      </c>
      <c r="AV32">
        <v>0.69999999999999996</v>
      </c>
      <c r="AW32" t="s">
        <v>49</v>
      </c>
    </row>
    <row r="33" spans="1:49" ht="13.2">
      <c r="A33" t="s">
        <v>47</v>
      </c>
      <c r="B33" t="s">
        <v>6</v>
      </c>
      <c r="C33" t="s">
        <v>68</v>
      </c>
      <c r="D33" t="s">
        <v>49</v>
      </c>
      <c r="E33" t="s">
        <v>49</v>
      </c>
      <c r="F33" t="s">
        <v>49</v>
      </c>
      <c r="G33" t="s">
        <v>50</v>
      </c>
      <c r="H33" t="s">
        <v>49</v>
      </c>
      <c r="I33" t="s">
        <v>49</v>
      </c>
      <c r="J33" t="s">
        <v>49</v>
      </c>
      <c r="K33" t="s">
        <v>49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0.80000000000000004</v>
      </c>
      <c r="T33">
        <v>0</v>
      </c>
      <c r="U33">
        <v>0.059999999999999998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0.14000000000000001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8.9399999999999995</v>
      </c>
      <c r="AN33">
        <v>0</v>
      </c>
      <c r="AO33">
        <v>59.68</v>
      </c>
      <c r="AP33">
        <v>1.28</v>
      </c>
      <c r="AQ33">
        <v>0</v>
      </c>
      <c r="AR33">
        <v>0</v>
      </c>
      <c r="AS33">
        <v>3.6800000000000002</v>
      </c>
      <c r="AT33">
        <v>0</v>
      </c>
      <c r="AU33">
        <v>0</v>
      </c>
      <c r="AV33">
        <v>0.32000000000000001</v>
      </c>
      <c r="AW33" t="s">
        <v>49</v>
      </c>
    </row>
    <row r="34" spans="1:49" ht="13.2">
      <c r="A34" t="s">
        <v>47</v>
      </c>
      <c r="B34" t="s">
        <v>6</v>
      </c>
      <c r="C34" t="s">
        <v>69</v>
      </c>
      <c r="D34" t="s">
        <v>49</v>
      </c>
      <c r="E34" t="s">
        <v>49</v>
      </c>
      <c r="F34" t="s">
        <v>49</v>
      </c>
      <c r="G34" t="s">
        <v>50</v>
      </c>
      <c r="H34" t="s">
        <v>49</v>
      </c>
      <c r="I34" t="s">
        <v>49</v>
      </c>
      <c r="J34" t="s">
        <v>49</v>
      </c>
      <c r="K34" t="s">
        <v>49</v>
      </c>
      <c r="L34">
        <v>52.8598820134292</v>
      </c>
      <c r="M34">
        <v>32.568999746049798</v>
      </c>
      <c r="N34">
        <v>24.700961128090501</v>
      </c>
      <c r="O34">
        <v>151.57399990305899</v>
      </c>
      <c r="P34">
        <v>121.43499977</v>
      </c>
      <c r="Q34">
        <v>54.224830704589003</v>
      </c>
      <c r="R34">
        <v>19.5045764664</v>
      </c>
      <c r="S34">
        <v>185.23697113599201</v>
      </c>
      <c r="T34">
        <v>852.94649898008004</v>
      </c>
      <c r="U34">
        <v>44.468999888468097</v>
      </c>
      <c r="V34">
        <v>21.2130000028749</v>
      </c>
      <c r="W34">
        <v>232.40945435395</v>
      </c>
      <c r="X34">
        <v>662.308812138799</v>
      </c>
      <c r="Y34">
        <v>113.832573086111</v>
      </c>
      <c r="Z34">
        <v>551.06199939653402</v>
      </c>
      <c r="AA34">
        <v>33.060000035039998</v>
      </c>
      <c r="AB34">
        <v>90.533000269212806</v>
      </c>
      <c r="AC34">
        <v>29.330999901446202</v>
      </c>
      <c r="AD34">
        <v>9.4600000076436093</v>
      </c>
      <c r="AE34">
        <v>914.39099659864496</v>
      </c>
      <c r="AF34">
        <v>6.6985625172029302</v>
      </c>
      <c r="AG34">
        <v>75.853999829315597</v>
      </c>
      <c r="AH34">
        <v>10.8834270885361</v>
      </c>
      <c r="AI34">
        <v>21.9749999274303</v>
      </c>
      <c r="AJ34">
        <v>14.8177428783246</v>
      </c>
      <c r="AK34">
        <v>9.5854144211999994</v>
      </c>
      <c r="AL34">
        <v>12.848631861799999</v>
      </c>
      <c r="AM34">
        <v>142.69802482320401</v>
      </c>
      <c r="AN34">
        <v>89.167530442753105</v>
      </c>
      <c r="AO34">
        <v>679.63454349399899</v>
      </c>
      <c r="AP34">
        <v>131.99999941128601</v>
      </c>
      <c r="AQ34">
        <v>314.90500103954002</v>
      </c>
      <c r="AR34">
        <v>30.694055269664901</v>
      </c>
      <c r="AS34">
        <v>77.167999878383</v>
      </c>
      <c r="AT34">
        <v>27.295019982903</v>
      </c>
      <c r="AU34">
        <v>84.127000173538306</v>
      </c>
      <c r="AV34">
        <v>471.50936879168501</v>
      </c>
      <c r="AW34" t="s">
        <v>49</v>
      </c>
    </row>
    <row r="35" spans="1:49" ht="13.2">
      <c r="A35" t="s">
        <v>47</v>
      </c>
      <c r="B35" t="s">
        <v>6</v>
      </c>
      <c r="C35" t="s">
        <v>70</v>
      </c>
      <c r="D35" t="s">
        <v>49</v>
      </c>
      <c r="E35" t="s">
        <v>49</v>
      </c>
      <c r="F35" t="s">
        <v>49</v>
      </c>
      <c r="G35" t="s">
        <v>50</v>
      </c>
      <c r="H35" t="s">
        <v>49</v>
      </c>
      <c r="I35" t="s">
        <v>49</v>
      </c>
      <c r="J35" t="s">
        <v>49</v>
      </c>
      <c r="K35" t="s">
        <v>49</v>
      </c>
      <c r="L35">
        <v>0.22391271790379699</v>
      </c>
      <c r="M35">
        <v>0</v>
      </c>
      <c r="N35">
        <v>0.065539760469267003</v>
      </c>
      <c r="O35">
        <v>0</v>
      </c>
      <c r="P35">
        <v>0.080999999530000005</v>
      </c>
      <c r="Q35">
        <v>0</v>
      </c>
      <c r="R35">
        <v>0.090594762829999995</v>
      </c>
      <c r="S35">
        <v>3.8650286392440001</v>
      </c>
      <c r="T35">
        <v>0</v>
      </c>
      <c r="U35">
        <v>0.3429999992412</v>
      </c>
      <c r="V35">
        <v>2.3590000204530002</v>
      </c>
      <c r="W35">
        <v>6.99554571</v>
      </c>
      <c r="X35">
        <v>1.4240000103770001</v>
      </c>
      <c r="Y35">
        <v>2.6434269370000001</v>
      </c>
      <c r="Z35">
        <v>2.6530000046810001</v>
      </c>
      <c r="AA35">
        <v>0.16200000005000001</v>
      </c>
      <c r="AB35">
        <v>1.888999993281</v>
      </c>
      <c r="AC35">
        <v>0.030000000448590001</v>
      </c>
      <c r="AD35">
        <v>0.70600000092000004</v>
      </c>
      <c r="AE35">
        <v>1.06000000152</v>
      </c>
      <c r="AF35">
        <v>0.017828678538593701</v>
      </c>
      <c r="AG35">
        <v>3.0490000141800002</v>
      </c>
      <c r="AH35">
        <v>0.020572879822289999</v>
      </c>
      <c r="AI35">
        <v>2.5789999947900002</v>
      </c>
      <c r="AJ35">
        <v>0.10962731753433699</v>
      </c>
      <c r="AK35">
        <v>0.0063936967869999998</v>
      </c>
      <c r="AL35">
        <v>0</v>
      </c>
      <c r="AM35">
        <v>1.0094756491500001</v>
      </c>
      <c r="AN35">
        <v>8.8735100399999993</v>
      </c>
      <c r="AO35">
        <v>131.3814552</v>
      </c>
      <c r="AP35">
        <v>0</v>
      </c>
      <c r="AQ35">
        <v>3.2150000279730002</v>
      </c>
      <c r="AR35">
        <v>0.118632238612842</v>
      </c>
      <c r="AS35">
        <v>1.7919999827999999</v>
      </c>
      <c r="AT35">
        <v>0.020000000152</v>
      </c>
      <c r="AU35">
        <v>0</v>
      </c>
      <c r="AV35">
        <v>1.0086318944599999</v>
      </c>
      <c r="AW35" t="s">
        <v>49</v>
      </c>
    </row>
    <row r="36" spans="1:49" ht="13.2">
      <c r="A36" t="s">
        <v>47</v>
      </c>
      <c r="B36" t="s">
        <v>6</v>
      </c>
      <c r="C36" t="s">
        <v>71</v>
      </c>
      <c r="D36" t="s">
        <v>49</v>
      </c>
      <c r="E36" t="s">
        <v>49</v>
      </c>
      <c r="F36" t="s">
        <v>49</v>
      </c>
      <c r="G36" t="s">
        <v>50</v>
      </c>
      <c r="H36" t="s">
        <v>49</v>
      </c>
      <c r="I36" t="s">
        <v>49</v>
      </c>
      <c r="J36" t="s">
        <v>49</v>
      </c>
      <c r="K36" t="s">
        <v>49</v>
      </c>
      <c r="L36">
        <v>0</v>
      </c>
      <c r="M36">
        <v>0</v>
      </c>
      <c r="N36">
        <v>0</v>
      </c>
      <c r="O36">
        <v>0</v>
      </c>
      <c r="P36">
        <v>0</v>
      </c>
      <c r="Q36">
        <v>1.9443520490099999</v>
      </c>
      <c r="R36">
        <v>0</v>
      </c>
      <c r="S36">
        <v>0</v>
      </c>
      <c r="T36">
        <v>14.638840973000001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1.1869999809705001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0.37500000057299998</v>
      </c>
      <c r="AW36" t="s">
        <v>49</v>
      </c>
    </row>
    <row r="37" spans="1:49" ht="13.2">
      <c r="A37" t="s">
        <v>47</v>
      </c>
      <c r="B37" t="s">
        <v>6</v>
      </c>
      <c r="C37" t="s">
        <v>72</v>
      </c>
      <c r="D37" t="s">
        <v>49</v>
      </c>
      <c r="E37" t="s">
        <v>49</v>
      </c>
      <c r="F37" t="s">
        <v>49</v>
      </c>
      <c r="G37" t="s">
        <v>50</v>
      </c>
      <c r="H37" t="s">
        <v>49</v>
      </c>
      <c r="I37" t="s">
        <v>49</v>
      </c>
      <c r="J37" t="s">
        <v>49</v>
      </c>
      <c r="K37" t="s">
        <v>49</v>
      </c>
      <c r="L37">
        <v>53.4570728045991</v>
      </c>
      <c r="M37">
        <v>289.83715218999998</v>
      </c>
      <c r="N37">
        <v>91.289701633270298</v>
      </c>
      <c r="O37">
        <v>557.67600093999999</v>
      </c>
      <c r="P37">
        <v>223.82999960000001</v>
      </c>
      <c r="Q37">
        <v>229.103783623</v>
      </c>
      <c r="R37">
        <v>119.0010005</v>
      </c>
      <c r="S37">
        <v>404.94891904100001</v>
      </c>
      <c r="T37">
        <v>1791.090503266</v>
      </c>
      <c r="U37">
        <v>319.39599979719998</v>
      </c>
      <c r="V37">
        <v>28.816999973750001</v>
      </c>
      <c r="W37">
        <v>235.03512774999999</v>
      </c>
      <c r="X37">
        <v>4034.8460279999999</v>
      </c>
      <c r="Y37">
        <v>321.67353816999997</v>
      </c>
      <c r="Z37">
        <v>5564.8820338019996</v>
      </c>
      <c r="AA37">
        <v>122.18300023</v>
      </c>
      <c r="AB37">
        <v>321.48399966800002</v>
      </c>
      <c r="AC37">
        <v>296.66900073620002</v>
      </c>
      <c r="AD37">
        <v>12.577000009000001</v>
      </c>
      <c r="AE37">
        <v>3588.4349739999998</v>
      </c>
      <c r="AF37">
        <v>24.756517383926401</v>
      </c>
      <c r="AG37">
        <v>88.089999992800003</v>
      </c>
      <c r="AH37">
        <v>22.486999766699999</v>
      </c>
      <c r="AI37">
        <v>26.070000070470002</v>
      </c>
      <c r="AJ37">
        <v>14.9851480872619</v>
      </c>
      <c r="AK37">
        <v>13.83255904</v>
      </c>
      <c r="AL37">
        <v>31.065263430000002</v>
      </c>
      <c r="AM37">
        <v>817.7049987291</v>
      </c>
      <c r="AN37">
        <v>377.04568280356</v>
      </c>
      <c r="AO37">
        <v>1441.4962</v>
      </c>
      <c r="AP37">
        <v>1185.9300026000001</v>
      </c>
      <c r="AQ37">
        <v>370.15100263599999</v>
      </c>
      <c r="AR37">
        <v>113.438952150581</v>
      </c>
      <c r="AS37">
        <v>352.15599931100002</v>
      </c>
      <c r="AT37">
        <v>57.2259995621</v>
      </c>
      <c r="AU37">
        <v>157.44637327667999</v>
      </c>
      <c r="AV37">
        <v>3120.3086291700001</v>
      </c>
      <c r="AW37" t="s">
        <v>49</v>
      </c>
    </row>
    <row r="38" spans="1:49" ht="13.2">
      <c r="A38" t="s">
        <v>47</v>
      </c>
      <c r="B38" t="s">
        <v>6</v>
      </c>
      <c r="C38" t="s">
        <v>135</v>
      </c>
      <c r="D38" t="s">
        <v>49</v>
      </c>
      <c r="E38" t="s">
        <v>49</v>
      </c>
      <c r="F38" t="s">
        <v>49</v>
      </c>
      <c r="G38" t="s">
        <v>50</v>
      </c>
      <c r="H38" t="s">
        <v>49</v>
      </c>
      <c r="I38" t="s">
        <v>49</v>
      </c>
      <c r="J38" t="s">
        <v>49</v>
      </c>
      <c r="K38" t="s">
        <v>49</v>
      </c>
      <c r="L38">
        <v>17.6658590590045</v>
      </c>
      <c r="M38">
        <v>18.198849930000002</v>
      </c>
      <c r="N38">
        <v>3.18838798805597</v>
      </c>
      <c r="O38">
        <v>28.740999782500001</v>
      </c>
      <c r="P38">
        <v>19.449999911999999</v>
      </c>
      <c r="Q38">
        <v>95.200863909999995</v>
      </c>
      <c r="R38">
        <v>6.5056410375790001</v>
      </c>
      <c r="S38">
        <v>87.489083275900001</v>
      </c>
      <c r="T38">
        <v>142.07199079290001</v>
      </c>
      <c r="U38">
        <v>42.970999570491998</v>
      </c>
      <c r="V38">
        <v>7.4360000886030004</v>
      </c>
      <c r="W38">
        <v>551.92186361999995</v>
      </c>
      <c r="X38">
        <v>602.84299629999998</v>
      </c>
      <c r="Y38">
        <v>21.6694635894325</v>
      </c>
      <c r="Z38">
        <v>214.6500016</v>
      </c>
      <c r="AA38">
        <v>7.88100003</v>
      </c>
      <c r="AB38">
        <v>31.01399999673</v>
      </c>
      <c r="AC38">
        <v>1.066000008754</v>
      </c>
      <c r="AD38">
        <v>7.5789999702164002</v>
      </c>
      <c r="AE38">
        <v>265.89799779999998</v>
      </c>
      <c r="AF38">
        <v>0.86733219786512705</v>
      </c>
      <c r="AG38">
        <v>6.4820000289999999</v>
      </c>
      <c r="AH38">
        <v>1.2710000030999999</v>
      </c>
      <c r="AI38">
        <v>3.0030000120347</v>
      </c>
      <c r="AJ38">
        <v>8.6491770485783608</v>
      </c>
      <c r="AK38">
        <v>5.0464104189999999</v>
      </c>
      <c r="AL38">
        <v>1.5711049859999999</v>
      </c>
      <c r="AM38">
        <v>31.468500116000001</v>
      </c>
      <c r="AN38">
        <v>63.538330332999998</v>
      </c>
      <c r="AO38">
        <v>585.37737370000002</v>
      </c>
      <c r="AP38">
        <v>18.27699994</v>
      </c>
      <c r="AQ38">
        <v>182.191001228</v>
      </c>
      <c r="AR38">
        <v>5.7712387393717002</v>
      </c>
      <c r="AS38">
        <v>95.459999879999998</v>
      </c>
      <c r="AT38">
        <v>6.0870000184629998</v>
      </c>
      <c r="AU38">
        <v>51.423628088183001</v>
      </c>
      <c r="AV38">
        <v>175.875642218</v>
      </c>
      <c r="AW38" t="s">
        <v>49</v>
      </c>
    </row>
    <row r="39" spans="1:49" ht="13.2">
      <c r="A39" t="s">
        <v>47</v>
      </c>
      <c r="B39" t="s">
        <v>6</v>
      </c>
      <c r="C39" t="s">
        <v>73</v>
      </c>
      <c r="D39" t="s">
        <v>49</v>
      </c>
      <c r="E39" t="s">
        <v>49</v>
      </c>
      <c r="F39" t="s">
        <v>49</v>
      </c>
      <c r="G39" t="s">
        <v>50</v>
      </c>
      <c r="H39" t="s">
        <v>49</v>
      </c>
      <c r="I39" t="s">
        <v>49</v>
      </c>
      <c r="J39" t="s">
        <v>49</v>
      </c>
      <c r="K39" t="s">
        <v>49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7.1301685618999997</v>
      </c>
      <c r="U39">
        <v>0.017999999914970002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0.64200000290000003</v>
      </c>
      <c r="AJ39">
        <v>0</v>
      </c>
      <c r="AK39">
        <v>0.32422244189999999</v>
      </c>
      <c r="AL39">
        <v>0</v>
      </c>
      <c r="AM39">
        <v>16.569000104099999</v>
      </c>
      <c r="AN39">
        <v>0</v>
      </c>
      <c r="AO39">
        <v>143.72640799999999</v>
      </c>
      <c r="AP39">
        <v>0.79299999840000002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12.452000085</v>
      </c>
      <c r="AW39" t="s">
        <v>49</v>
      </c>
    </row>
    <row r="40" spans="1:49" ht="13.2">
      <c r="A40" t="s">
        <v>47</v>
      </c>
      <c r="B40" t="s">
        <v>6</v>
      </c>
      <c r="C40" t="s">
        <v>46</v>
      </c>
      <c r="D40" t="s">
        <v>49</v>
      </c>
      <c r="E40" t="s">
        <v>49</v>
      </c>
      <c r="F40" t="s">
        <v>49</v>
      </c>
      <c r="G40" t="s">
        <v>50</v>
      </c>
      <c r="H40" t="s">
        <v>49</v>
      </c>
      <c r="I40" t="s">
        <v>49</v>
      </c>
      <c r="J40" t="s">
        <v>49</v>
      </c>
      <c r="K40" t="s">
        <v>49</v>
      </c>
      <c r="L40">
        <v>7.3618165842481504</v>
      </c>
      <c r="M40">
        <v>290.14153806000002</v>
      </c>
      <c r="N40">
        <v>30.825129161596202</v>
      </c>
      <c r="O40">
        <v>644.30100442800006</v>
      </c>
      <c r="P40">
        <v>54.983000269999998</v>
      </c>
      <c r="Q40">
        <v>228.4080404</v>
      </c>
      <c r="R40">
        <v>25.6159997</v>
      </c>
      <c r="S40">
        <v>478.18399968450001</v>
      </c>
      <c r="T40">
        <v>2163.9508115580002</v>
      </c>
      <c r="U40">
        <v>153.0000001359</v>
      </c>
      <c r="V40">
        <v>0</v>
      </c>
      <c r="W40">
        <v>229.99999690000001</v>
      </c>
      <c r="X40">
        <v>2290.2029451817002</v>
      </c>
      <c r="Y40">
        <v>258.24100226439998</v>
      </c>
      <c r="Z40">
        <v>1730.50202831</v>
      </c>
      <c r="AA40">
        <v>76.192999333000003</v>
      </c>
      <c r="AB40">
        <v>579.99900256550097</v>
      </c>
      <c r="AC40">
        <v>2.8590000120300001</v>
      </c>
      <c r="AD40">
        <v>0</v>
      </c>
      <c r="AE40">
        <v>4028.7180389999999</v>
      </c>
      <c r="AF40">
        <v>8.3853116764202191</v>
      </c>
      <c r="AG40">
        <v>37.314999639</v>
      </c>
      <c r="AH40">
        <v>26.338999891899999</v>
      </c>
      <c r="AI40">
        <v>9.61900017254065</v>
      </c>
      <c r="AJ40">
        <v>3.6043339202271998</v>
      </c>
      <c r="AK40">
        <v>0</v>
      </c>
      <c r="AL40">
        <v>0.069999999660000006</v>
      </c>
      <c r="AM40">
        <v>569.03500359999998</v>
      </c>
      <c r="AN40">
        <v>146.82753971190999</v>
      </c>
      <c r="AO40">
        <v>922.12606614870003</v>
      </c>
      <c r="AP40">
        <v>283.37399602767999</v>
      </c>
      <c r="AQ40">
        <v>73.336000261199999</v>
      </c>
      <c r="AR40">
        <v>55.795963424140702</v>
      </c>
      <c r="AS40">
        <v>172.10320989000999</v>
      </c>
      <c r="AT40">
        <v>43.153000125459997</v>
      </c>
      <c r="AU40">
        <v>28.29999997837</v>
      </c>
      <c r="AV40">
        <v>118.60499928</v>
      </c>
      <c r="AW40" t="s">
        <v>49</v>
      </c>
    </row>
    <row r="41" spans="1:49" ht="13.2">
      <c r="A41" t="s">
        <v>47</v>
      </c>
      <c r="B41" t="s">
        <v>6</v>
      </c>
      <c r="C41" t="s">
        <v>143</v>
      </c>
      <c r="D41" t="s">
        <v>49</v>
      </c>
      <c r="E41" t="s">
        <v>49</v>
      </c>
      <c r="F41" t="s">
        <v>49</v>
      </c>
      <c r="G41" t="s">
        <v>50</v>
      </c>
      <c r="H41" t="s">
        <v>49</v>
      </c>
      <c r="I41" t="s">
        <v>49</v>
      </c>
      <c r="J41" t="s">
        <v>49</v>
      </c>
      <c r="K41" t="s">
        <v>49</v>
      </c>
      <c r="L41">
        <v>47.984095975949998</v>
      </c>
      <c r="M41">
        <v>360.97546203000002</v>
      </c>
      <c r="N41">
        <v>43.491700079240402</v>
      </c>
      <c r="O41">
        <v>396.16899992899999</v>
      </c>
      <c r="P41">
        <v>70.386999759999995</v>
      </c>
      <c r="Q41">
        <v>587.33496343160004</v>
      </c>
      <c r="R41">
        <v>29.384999759060001</v>
      </c>
      <c r="S41">
        <v>446.10699692999998</v>
      </c>
      <c r="T41">
        <v>2685.73051252</v>
      </c>
      <c r="U41">
        <v>148.76599956999999</v>
      </c>
      <c r="V41">
        <v>7.4059038591149999</v>
      </c>
      <c r="W41">
        <v>1499.1329652700001</v>
      </c>
      <c r="X41">
        <v>2703.7540039</v>
      </c>
      <c r="Y41">
        <v>225.50400045000001</v>
      </c>
      <c r="Z41">
        <v>1994.5180045187999</v>
      </c>
      <c r="AA41">
        <v>107.5020012976</v>
      </c>
      <c r="AB41">
        <v>139.08400052087899</v>
      </c>
      <c r="AC41">
        <v>35.285999903700002</v>
      </c>
      <c r="AD41">
        <v>11.111999915248999</v>
      </c>
      <c r="AE41">
        <v>6570.9769968000001</v>
      </c>
      <c r="AF41">
        <v>11.8309791530793</v>
      </c>
      <c r="AG41">
        <v>26.849794227899999</v>
      </c>
      <c r="AH41">
        <v>15.752999972510001</v>
      </c>
      <c r="AI41">
        <v>8.6099999990039997</v>
      </c>
      <c r="AJ41">
        <v>23.4929385673111</v>
      </c>
      <c r="AK41">
        <v>7.761000009</v>
      </c>
      <c r="AL41">
        <v>15.39100015</v>
      </c>
      <c r="AM41">
        <v>681.84300099999996</v>
      </c>
      <c r="AN41">
        <v>129.62847980971301</v>
      </c>
      <c r="AO41">
        <v>1013.014008943</v>
      </c>
      <c r="AP41">
        <v>216.00400010000001</v>
      </c>
      <c r="AQ41">
        <v>89.933000035009997</v>
      </c>
      <c r="AR41">
        <v>78.7234757120913</v>
      </c>
      <c r="AS41">
        <v>303.14278832299999</v>
      </c>
      <c r="AT41">
        <v>43.679999728239999</v>
      </c>
      <c r="AU41">
        <v>59.600000016099997</v>
      </c>
      <c r="AV41">
        <v>1234.4000017000001</v>
      </c>
      <c r="AW41" t="s">
        <v>49</v>
      </c>
    </row>
    <row r="42" spans="1:49" ht="13.2">
      <c r="A42" t="s">
        <v>144</v>
      </c>
      <c r="B42" t="s">
        <v>6</v>
      </c>
      <c r="C42" t="s">
        <v>74</v>
      </c>
      <c r="D42" t="s">
        <v>49</v>
      </c>
      <c r="E42" t="s">
        <v>49</v>
      </c>
      <c r="F42" t="s">
        <v>49</v>
      </c>
      <c r="G42" t="s">
        <v>145</v>
      </c>
      <c r="H42" t="s">
        <v>49</v>
      </c>
      <c r="I42" t="s">
        <v>49</v>
      </c>
      <c r="J42" t="s">
        <v>49</v>
      </c>
      <c r="K42" t="s">
        <v>49</v>
      </c>
      <c r="L42">
        <v>0</v>
      </c>
      <c r="M42">
        <v>0.75883036560645201</v>
      </c>
      <c r="N42">
        <v>0.33519458876648101</v>
      </c>
      <c r="O42">
        <v>2.4933989626591</v>
      </c>
      <c r="P42">
        <v>1.3762204821956201</v>
      </c>
      <c r="Q42">
        <v>3.6281742968180701</v>
      </c>
      <c r="R42">
        <v>0</v>
      </c>
      <c r="S42">
        <v>0</v>
      </c>
      <c r="T42">
        <v>12.6864034530791</v>
      </c>
      <c r="U42">
        <v>0.00521049181778539</v>
      </c>
      <c r="V42">
        <v>0.097038129204965407</v>
      </c>
      <c r="W42">
        <v>0</v>
      </c>
      <c r="X42">
        <v>0.0578902551860924</v>
      </c>
      <c r="Y42">
        <v>0.30201488728991599</v>
      </c>
      <c r="Z42">
        <v>18.002819459409899</v>
      </c>
      <c r="AA42">
        <v>3.9910483823884202</v>
      </c>
      <c r="AB42">
        <v>1.66814664910623</v>
      </c>
      <c r="AC42">
        <v>0</v>
      </c>
      <c r="AD42">
        <v>0</v>
      </c>
      <c r="AE42">
        <v>77.125231127039598</v>
      </c>
      <c r="AG42">
        <v>0.0073359784876442999</v>
      </c>
      <c r="AH42">
        <v>0.036029184569732899</v>
      </c>
      <c r="AI42">
        <v>0</v>
      </c>
      <c r="AL42">
        <v>0.032586062001992003</v>
      </c>
      <c r="AM42">
        <v>1.3058766210180801</v>
      </c>
      <c r="AN42">
        <v>0.045375579934274102</v>
      </c>
      <c r="AO42">
        <v>0</v>
      </c>
      <c r="AP42">
        <v>0.015651442135549899</v>
      </c>
      <c r="AQ42">
        <v>0.058995628319693599</v>
      </c>
      <c r="AR42">
        <v>0</v>
      </c>
      <c r="AS42">
        <v>17.554002313796801</v>
      </c>
      <c r="AT42">
        <v>0.0121169046210721</v>
      </c>
      <c r="AU42">
        <v>0.12587183698901799</v>
      </c>
      <c r="AW42" t="s">
        <v>49</v>
      </c>
    </row>
    <row r="43" spans="1:49" ht="13.2">
      <c r="A43" t="s">
        <v>144</v>
      </c>
      <c r="B43" t="s">
        <v>6</v>
      </c>
      <c r="C43" t="s">
        <v>74</v>
      </c>
      <c r="D43" t="s">
        <v>49</v>
      </c>
      <c r="E43" t="s">
        <v>49</v>
      </c>
      <c r="F43" t="s">
        <v>49</v>
      </c>
      <c r="G43" t="s">
        <v>146</v>
      </c>
      <c r="H43" t="s">
        <v>49</v>
      </c>
      <c r="I43" t="s">
        <v>49</v>
      </c>
      <c r="J43" t="s">
        <v>49</v>
      </c>
      <c r="K43" t="s">
        <v>49</v>
      </c>
      <c r="L43">
        <v>0</v>
      </c>
      <c r="M43">
        <v>0.90430020565094504</v>
      </c>
      <c r="N43">
        <v>3.3280541694935901</v>
      </c>
      <c r="O43">
        <v>3.99411038959287</v>
      </c>
      <c r="P43">
        <v>4.3294112163763403</v>
      </c>
      <c r="Q43">
        <v>3.7769081952878301</v>
      </c>
      <c r="R43">
        <v>0</v>
      </c>
      <c r="S43">
        <v>1.55231473952402</v>
      </c>
      <c r="T43">
        <v>13.1727684454615</v>
      </c>
      <c r="U43">
        <v>0.012127868886224601</v>
      </c>
      <c r="V43">
        <v>0.52268840874632805</v>
      </c>
      <c r="W43">
        <v>0</v>
      </c>
      <c r="X43">
        <v>13.919115502595799</v>
      </c>
      <c r="Y43">
        <v>2.43002644222689</v>
      </c>
      <c r="Z43">
        <v>16.0522512554227</v>
      </c>
      <c r="AA43">
        <v>4.42950815681544</v>
      </c>
      <c r="AB43">
        <v>1.91204808778879</v>
      </c>
      <c r="AC43">
        <v>0</v>
      </c>
      <c r="AD43">
        <v>0.047526193548387101</v>
      </c>
      <c r="AE43">
        <v>85.477240723448503</v>
      </c>
      <c r="AG43">
        <v>0.0133205925170383</v>
      </c>
      <c r="AH43">
        <v>0.099580662908011902</v>
      </c>
      <c r="AI43">
        <v>0.0788777997869234</v>
      </c>
      <c r="AL43">
        <v>0.074277732818725101</v>
      </c>
      <c r="AM43">
        <v>1.64962969482582</v>
      </c>
      <c r="AN43">
        <v>0.075323462690895002</v>
      </c>
      <c r="AO43">
        <v>0</v>
      </c>
      <c r="AP43">
        <v>0.052810995076726298</v>
      </c>
      <c r="AQ43">
        <v>1.8315282911413999</v>
      </c>
      <c r="AR43">
        <v>19.488274118052701</v>
      </c>
      <c r="AS43">
        <v>16.888504289286601</v>
      </c>
      <c r="AT43">
        <v>0.026964379297596999</v>
      </c>
      <c r="AU43">
        <v>0.19299254276282299</v>
      </c>
      <c r="AW43" t="s">
        <v>49</v>
      </c>
    </row>
    <row r="44" spans="1:49" ht="13.2">
      <c r="A44" t="s">
        <v>144</v>
      </c>
      <c r="B44" t="s">
        <v>6</v>
      </c>
      <c r="C44" t="s">
        <v>74</v>
      </c>
      <c r="D44" t="s">
        <v>49</v>
      </c>
      <c r="E44" t="s">
        <v>49</v>
      </c>
      <c r="F44" t="s">
        <v>49</v>
      </c>
      <c r="G44" t="s">
        <v>147</v>
      </c>
      <c r="H44" t="s">
        <v>49</v>
      </c>
      <c r="I44" t="s">
        <v>49</v>
      </c>
      <c r="J44" t="s">
        <v>49</v>
      </c>
      <c r="K44" t="s">
        <v>49</v>
      </c>
      <c r="L44">
        <v>0</v>
      </c>
      <c r="M44">
        <v>0.76285876117691498</v>
      </c>
      <c r="N44">
        <v>3.0757256515588902</v>
      </c>
      <c r="O44">
        <v>4.6111897482509603</v>
      </c>
      <c r="P44">
        <v>3.6591111375877099</v>
      </c>
      <c r="Q44">
        <v>3.2822513796453698</v>
      </c>
      <c r="R44">
        <v>0</v>
      </c>
      <c r="S44">
        <v>1.79038357806939</v>
      </c>
      <c r="T44">
        <v>12.277425521760501</v>
      </c>
      <c r="U44">
        <v>0.0081750819899736298</v>
      </c>
      <c r="V44">
        <v>0.66330501895195704</v>
      </c>
      <c r="W44">
        <v>0</v>
      </c>
      <c r="X44">
        <v>23.3760268629831</v>
      </c>
      <c r="Y44">
        <v>3.31596183655462</v>
      </c>
      <c r="Z44">
        <v>30.3382161225116</v>
      </c>
      <c r="AA44">
        <v>4.32044001206273</v>
      </c>
      <c r="AB44">
        <v>1.91242770092293</v>
      </c>
      <c r="AC44">
        <v>0.0158631566758425</v>
      </c>
      <c r="AD44">
        <v>0</v>
      </c>
      <c r="AE44">
        <v>83.003127510786101</v>
      </c>
      <c r="AG44">
        <v>0.022780143724790199</v>
      </c>
      <c r="AH44">
        <v>0.105085121661721</v>
      </c>
      <c r="AI44">
        <v>0.099804562995698995</v>
      </c>
      <c r="AL44">
        <v>0.088282806274900399</v>
      </c>
      <c r="AM44">
        <v>1.3247795395370401</v>
      </c>
      <c r="AN44">
        <v>0.0538456881886719</v>
      </c>
      <c r="AO44">
        <v>0</v>
      </c>
      <c r="AP44">
        <v>0.108651301534527</v>
      </c>
      <c r="AQ44">
        <v>5.6713367160393897</v>
      </c>
      <c r="AR44">
        <v>16.718143908862402</v>
      </c>
      <c r="AS44">
        <v>15.029060829337901</v>
      </c>
      <c r="AT44">
        <v>0.0378013292051756</v>
      </c>
      <c r="AU44">
        <v>0.26109790436704999</v>
      </c>
      <c r="AW44" t="s">
        <v>49</v>
      </c>
    </row>
    <row r="45" spans="1:49" ht="13.2">
      <c r="A45" t="s">
        <v>144</v>
      </c>
      <c r="B45" t="s">
        <v>6</v>
      </c>
      <c r="C45" t="s">
        <v>75</v>
      </c>
      <c r="D45" t="s">
        <v>49</v>
      </c>
      <c r="E45" t="s">
        <v>49</v>
      </c>
      <c r="F45" t="s">
        <v>49</v>
      </c>
      <c r="G45" t="s">
        <v>145</v>
      </c>
      <c r="H45" t="s">
        <v>49</v>
      </c>
      <c r="I45" t="s">
        <v>49</v>
      </c>
      <c r="J45" t="s">
        <v>49</v>
      </c>
      <c r="K45" t="s">
        <v>49</v>
      </c>
      <c r="L45">
        <v>0</v>
      </c>
      <c r="M45">
        <v>1.47099541542479</v>
      </c>
      <c r="N45">
        <v>1.00099739060308</v>
      </c>
      <c r="O45">
        <v>5.9112972043494096</v>
      </c>
      <c r="P45">
        <v>3.5097122247784101</v>
      </c>
      <c r="Q45">
        <v>4.31881946077241</v>
      </c>
      <c r="R45">
        <v>0</v>
      </c>
      <c r="S45">
        <v>0</v>
      </c>
      <c r="T45">
        <v>24.093788485463701</v>
      </c>
      <c r="U45">
        <v>0.020972479172995401</v>
      </c>
      <c r="V45">
        <v>0.13840261916042801</v>
      </c>
      <c r="W45">
        <v>0</v>
      </c>
      <c r="X45">
        <v>0.146014966699543</v>
      </c>
      <c r="Y45">
        <v>0.59242088760504197</v>
      </c>
      <c r="Z45">
        <v>49.749103539841798</v>
      </c>
      <c r="AA45">
        <v>13.4080921085645</v>
      </c>
      <c r="AB45">
        <v>5.5782753966179399</v>
      </c>
      <c r="AC45">
        <v>0</v>
      </c>
      <c r="AD45">
        <v>0</v>
      </c>
      <c r="AE45">
        <v>193.761893342582</v>
      </c>
      <c r="AG45">
        <v>0.011068065974315</v>
      </c>
      <c r="AH45">
        <v>0.041680821364985202</v>
      </c>
      <c r="AI45">
        <v>0</v>
      </c>
      <c r="AL45">
        <v>0.13106838271912399</v>
      </c>
      <c r="AM45">
        <v>2.0381269304192999</v>
      </c>
      <c r="AN45">
        <v>0.039881500096655698</v>
      </c>
      <c r="AO45">
        <v>0</v>
      </c>
      <c r="AP45">
        <v>0.0307760131074169</v>
      </c>
      <c r="AQ45">
        <v>0.159313262418219</v>
      </c>
      <c r="AR45">
        <v>0</v>
      </c>
      <c r="AS45">
        <v>11.5467235603869</v>
      </c>
      <c r="AT45">
        <v>0.038284013678373398</v>
      </c>
      <c r="AU45">
        <v>0.35074695996021799</v>
      </c>
      <c r="AW45" t="s">
        <v>49</v>
      </c>
    </row>
    <row r="46" spans="1:49" ht="13.2">
      <c r="A46" t="s">
        <v>144</v>
      </c>
      <c r="B46" t="s">
        <v>6</v>
      </c>
      <c r="C46" t="s">
        <v>75</v>
      </c>
      <c r="D46" t="s">
        <v>49</v>
      </c>
      <c r="E46" t="s">
        <v>49</v>
      </c>
      <c r="F46" t="s">
        <v>49</v>
      </c>
      <c r="G46" t="s">
        <v>146</v>
      </c>
      <c r="H46" t="s">
        <v>49</v>
      </c>
      <c r="I46" t="s">
        <v>49</v>
      </c>
      <c r="J46" t="s">
        <v>49</v>
      </c>
      <c r="K46" t="s">
        <v>49</v>
      </c>
      <c r="L46">
        <v>0</v>
      </c>
      <c r="M46">
        <v>1.75298922785876</v>
      </c>
      <c r="N46">
        <v>9.9386256553492593</v>
      </c>
      <c r="O46">
        <v>9.4691519221151399</v>
      </c>
      <c r="P46">
        <v>11.0410996412194</v>
      </c>
      <c r="Q46">
        <v>4.4958657663347097</v>
      </c>
      <c r="R46">
        <v>0</v>
      </c>
      <c r="S46">
        <v>4.6385097403692201</v>
      </c>
      <c r="T46">
        <v>25.017484101525199</v>
      </c>
      <c r="U46">
        <v>0.048815253247489303</v>
      </c>
      <c r="V46">
        <v>0.74549504785369103</v>
      </c>
      <c r="W46">
        <v>0</v>
      </c>
      <c r="X46">
        <v>35.107794568625003</v>
      </c>
      <c r="Y46">
        <v>4.7666472163865503</v>
      </c>
      <c r="Z46">
        <v>44.358891203353501</v>
      </c>
      <c r="AA46">
        <v>14.8811158552473</v>
      </c>
      <c r="AB46">
        <v>6.3938807843886396</v>
      </c>
      <c r="AC46">
        <v>0</v>
      </c>
      <c r="AD46">
        <v>0.077718483870967803</v>
      </c>
      <c r="AE46">
        <v>214.74466602237999</v>
      </c>
      <c r="AG46">
        <v>0.020097277690203499</v>
      </c>
      <c r="AH46">
        <v>0.11520115905044501</v>
      </c>
      <c r="AI46">
        <v>0.10703859842954699</v>
      </c>
      <c r="AL46">
        <v>0.29876154755976098</v>
      </c>
      <c r="AM46">
        <v>2.5746342741190098</v>
      </c>
      <c r="AN46">
        <v>0.0662032901604485</v>
      </c>
      <c r="AO46">
        <v>0</v>
      </c>
      <c r="AP46">
        <v>0.103844224872123</v>
      </c>
      <c r="AQ46">
        <v>4.9459045624843299</v>
      </c>
      <c r="AR46">
        <v>59.518097390948</v>
      </c>
      <c r="AS46">
        <v>11.108970301521</v>
      </c>
      <c r="AT46">
        <v>0.085195410720887196</v>
      </c>
      <c r="AU46">
        <v>0.53778151879167702</v>
      </c>
      <c r="AW46" t="s">
        <v>49</v>
      </c>
    </row>
    <row r="47" spans="1:49" ht="13.2">
      <c r="A47" t="s">
        <v>144</v>
      </c>
      <c r="B47" t="s">
        <v>6</v>
      </c>
      <c r="C47" t="s">
        <v>75</v>
      </c>
      <c r="D47" t="s">
        <v>49</v>
      </c>
      <c r="E47" t="s">
        <v>49</v>
      </c>
      <c r="F47" t="s">
        <v>49</v>
      </c>
      <c r="G47" t="s">
        <v>147</v>
      </c>
      <c r="H47" t="s">
        <v>49</v>
      </c>
      <c r="I47" t="s">
        <v>49</v>
      </c>
      <c r="J47" t="s">
        <v>49</v>
      </c>
      <c r="K47" t="s">
        <v>49</v>
      </c>
      <c r="L47">
        <v>0</v>
      </c>
      <c r="M47">
        <v>1.4788044748460401</v>
      </c>
      <c r="N47">
        <v>9.1850926435041806</v>
      </c>
      <c r="O47">
        <v>10.9321105349667</v>
      </c>
      <c r="P47">
        <v>9.3316639721316008</v>
      </c>
      <c r="Q47">
        <v>3.9070480009715798</v>
      </c>
      <c r="R47">
        <v>0</v>
      </c>
      <c r="S47">
        <v>5.3498890749555201</v>
      </c>
      <c r="T47">
        <v>23.3170649791636</v>
      </c>
      <c r="U47">
        <v>0.032905096633492802</v>
      </c>
      <c r="V47">
        <v>0.94605236804700099</v>
      </c>
      <c r="W47">
        <v>0</v>
      </c>
      <c r="X47">
        <v>58.960696804565103</v>
      </c>
      <c r="Y47">
        <v>6.5044643067226904</v>
      </c>
      <c r="Z47">
        <v>83.836815588573501</v>
      </c>
      <c r="AA47">
        <v>14.514696911942099</v>
      </c>
      <c r="AB47">
        <v>6.3951502091166796</v>
      </c>
      <c r="AC47">
        <v>0.056738232863662003</v>
      </c>
      <c r="AD47">
        <v>0</v>
      </c>
      <c r="AE47">
        <v>208.528945778512</v>
      </c>
      <c r="AG47">
        <v>0.0343692574991886</v>
      </c>
      <c r="AH47">
        <v>0.12156906231454</v>
      </c>
      <c r="AI47">
        <v>0.13543659393126301</v>
      </c>
      <c r="AL47">
        <v>0.35509306523904399</v>
      </c>
      <c r="AM47">
        <v>2.0676293709078801</v>
      </c>
      <c r="AN47">
        <v>0.047326046781364803</v>
      </c>
      <c r="AO47">
        <v>0</v>
      </c>
      <c r="AP47">
        <v>0.213645097442455</v>
      </c>
      <c r="AQ47">
        <v>15.3150187605147</v>
      </c>
      <c r="AR47">
        <v>51.0579906325219</v>
      </c>
      <c r="AS47">
        <v>9.8858600828717904</v>
      </c>
      <c r="AT47">
        <v>0.11943533844732</v>
      </c>
      <c r="AU47">
        <v>0.72755986088227698</v>
      </c>
      <c r="AW47" t="s">
        <v>49</v>
      </c>
    </row>
    <row r="48" spans="1:49" ht="13.2">
      <c r="A48" t="s">
        <v>144</v>
      </c>
      <c r="B48" t="s">
        <v>6</v>
      </c>
      <c r="C48" t="s">
        <v>76</v>
      </c>
      <c r="D48" t="s">
        <v>49</v>
      </c>
      <c r="E48" t="s">
        <v>49</v>
      </c>
      <c r="F48" t="s">
        <v>49</v>
      </c>
      <c r="G48" t="s">
        <v>145</v>
      </c>
      <c r="H48" t="s">
        <v>49</v>
      </c>
      <c r="I48" t="s">
        <v>49</v>
      </c>
      <c r="J48" t="s">
        <v>49</v>
      </c>
      <c r="K48" t="s">
        <v>49</v>
      </c>
      <c r="L48">
        <v>0</v>
      </c>
      <c r="M48">
        <v>2.1966211771728998</v>
      </c>
      <c r="N48">
        <v>1.9889716042011201</v>
      </c>
      <c r="O48">
        <v>9.2248193442162307</v>
      </c>
      <c r="P48">
        <v>6.48337065739259</v>
      </c>
      <c r="Q48">
        <v>4.1185673937332998</v>
      </c>
      <c r="R48">
        <v>0</v>
      </c>
      <c r="S48">
        <v>0</v>
      </c>
      <c r="T48">
        <v>32.416800011329798</v>
      </c>
      <c r="U48">
        <v>0.022413387517202</v>
      </c>
      <c r="V48">
        <v>0.085508025443001998</v>
      </c>
      <c r="W48">
        <v>0</v>
      </c>
      <c r="X48">
        <v>0.13299792713458899</v>
      </c>
      <c r="Y48">
        <v>0.44694130451680703</v>
      </c>
      <c r="Z48">
        <v>82.367961553472696</v>
      </c>
      <c r="AA48">
        <v>31.3306823389626</v>
      </c>
      <c r="AB48">
        <v>16.618407679609099</v>
      </c>
      <c r="AC48">
        <v>0</v>
      </c>
      <c r="AD48">
        <v>0</v>
      </c>
      <c r="AE48">
        <v>525.42544247373496</v>
      </c>
      <c r="AG48">
        <v>0.0146333562056655</v>
      </c>
      <c r="AH48">
        <v>0.047194568545993999</v>
      </c>
      <c r="AI48">
        <v>0</v>
      </c>
      <c r="AL48">
        <v>0.482574782121514</v>
      </c>
      <c r="AM48">
        <v>3.2028818590314501</v>
      </c>
      <c r="AN48">
        <v>0.042525202976995899</v>
      </c>
      <c r="AO48">
        <v>0</v>
      </c>
      <c r="AP48">
        <v>0.094773491368286403</v>
      </c>
      <c r="AQ48">
        <v>0.46326021815943702</v>
      </c>
      <c r="AR48">
        <v>0</v>
      </c>
      <c r="AS48">
        <v>8.3792122873439592</v>
      </c>
      <c r="AT48">
        <v>0.074433250277264301</v>
      </c>
      <c r="AU48">
        <v>0.90010964729283605</v>
      </c>
      <c r="AW48" t="s">
        <v>49</v>
      </c>
    </row>
    <row r="49" spans="1:49" ht="13.2">
      <c r="A49" t="s">
        <v>144</v>
      </c>
      <c r="B49" t="s">
        <v>6</v>
      </c>
      <c r="C49" t="s">
        <v>76</v>
      </c>
      <c r="D49" t="s">
        <v>49</v>
      </c>
      <c r="E49" t="s">
        <v>49</v>
      </c>
      <c r="F49" t="s">
        <v>49</v>
      </c>
      <c r="G49" t="s">
        <v>146</v>
      </c>
      <c r="H49" t="s">
        <v>49</v>
      </c>
      <c r="I49" t="s">
        <v>49</v>
      </c>
      <c r="J49" t="s">
        <v>49</v>
      </c>
      <c r="K49" t="s">
        <v>49</v>
      </c>
      <c r="L49">
        <v>0</v>
      </c>
      <c r="M49">
        <v>2.61771941699664</v>
      </c>
      <c r="N49">
        <v>19.7479477957128</v>
      </c>
      <c r="O49">
        <v>14.776996115197701</v>
      </c>
      <c r="P49">
        <v>20.395843549181301</v>
      </c>
      <c r="Q49">
        <v>4.2874045372844298</v>
      </c>
      <c r="R49">
        <v>0</v>
      </c>
      <c r="S49">
        <v>11.6624152459075</v>
      </c>
      <c r="T49">
        <v>33.6595790817641</v>
      </c>
      <c r="U49">
        <v>0.052169091634866799</v>
      </c>
      <c r="V49">
        <v>0.46058239292144398</v>
      </c>
      <c r="W49">
        <v>0</v>
      </c>
      <c r="X49">
        <v>31.9779815003631</v>
      </c>
      <c r="Y49">
        <v>3.5961114296218502</v>
      </c>
      <c r="Z49">
        <v>73.443563505951005</v>
      </c>
      <c r="AA49">
        <v>34.772696214716497</v>
      </c>
      <c r="AB49">
        <v>19.048202172702201</v>
      </c>
      <c r="AC49">
        <v>0</v>
      </c>
      <c r="AD49">
        <v>0.045838322580645102</v>
      </c>
      <c r="AE49">
        <v>582.32456969332895</v>
      </c>
      <c r="AG49">
        <v>0.026571094162919001</v>
      </c>
      <c r="AH49">
        <v>0.13044054362017801</v>
      </c>
      <c r="AI49">
        <v>0.060082762498520299</v>
      </c>
      <c r="AL49">
        <v>1.0999967019422301</v>
      </c>
      <c r="AM49">
        <v>4.0459940385164801</v>
      </c>
      <c r="AN49">
        <v>0.070591836941813299</v>
      </c>
      <c r="AO49">
        <v>0</v>
      </c>
      <c r="AP49">
        <v>0.31978410313299199</v>
      </c>
      <c r="AQ49">
        <v>14.3819842229922</v>
      </c>
      <c r="AR49">
        <v>115.882986705943</v>
      </c>
      <c r="AS49">
        <v>8.0615440357113304</v>
      </c>
      <c r="AT49">
        <v>0.16564019075785599</v>
      </c>
      <c r="AU49">
        <v>1.3800898894607201</v>
      </c>
      <c r="AW49" t="s">
        <v>49</v>
      </c>
    </row>
    <row r="50" spans="1:49" ht="13.2">
      <c r="A50" t="s">
        <v>144</v>
      </c>
      <c r="B50" t="s">
        <v>6</v>
      </c>
      <c r="C50" t="s">
        <v>76</v>
      </c>
      <c r="D50" t="s">
        <v>49</v>
      </c>
      <c r="E50" t="s">
        <v>49</v>
      </c>
      <c r="F50" t="s">
        <v>49</v>
      </c>
      <c r="G50" t="s">
        <v>147</v>
      </c>
      <c r="H50" t="s">
        <v>49</v>
      </c>
      <c r="I50" t="s">
        <v>49</v>
      </c>
      <c r="J50" t="s">
        <v>49</v>
      </c>
      <c r="K50" t="s">
        <v>49</v>
      </c>
      <c r="L50">
        <v>0</v>
      </c>
      <c r="M50">
        <v>2.2082823591987801</v>
      </c>
      <c r="N50">
        <v>18.250685387780798</v>
      </c>
      <c r="O50">
        <v>17.060002441066601</v>
      </c>
      <c r="P50">
        <v>17.238061842915201</v>
      </c>
      <c r="Q50">
        <v>3.72588867136264</v>
      </c>
      <c r="R50">
        <v>0</v>
      </c>
      <c r="S50">
        <v>13.4510071992883</v>
      </c>
      <c r="T50">
        <v>31.371763420964498</v>
      </c>
      <c r="U50">
        <v>0.035165832139058398</v>
      </c>
      <c r="V50">
        <v>0.58449088932057203</v>
      </c>
      <c r="W50">
        <v>0</v>
      </c>
      <c r="X50">
        <v>53.704429310688603</v>
      </c>
      <c r="Y50">
        <v>4.9071763390756296</v>
      </c>
      <c r="Z50">
        <v>138.805870092411</v>
      </c>
      <c r="AA50">
        <v>33.916485247285898</v>
      </c>
      <c r="AB50">
        <v>19.0519839540144</v>
      </c>
      <c r="AC50">
        <v>0.040056641630392999</v>
      </c>
      <c r="AD50">
        <v>0</v>
      </c>
      <c r="AE50">
        <v>565.46935888232997</v>
      </c>
      <c r="AG50">
        <v>0.045440421901803502</v>
      </c>
      <c r="AH50">
        <v>0.13765082492581601</v>
      </c>
      <c r="AI50">
        <v>0.0760230872430257</v>
      </c>
      <c r="AL50">
        <v>1.30740118276892</v>
      </c>
      <c r="AM50">
        <v>3.2492444432393901</v>
      </c>
      <c r="AN50">
        <v>0.050463240866035201</v>
      </c>
      <c r="AO50">
        <v>0</v>
      </c>
      <c r="AP50">
        <v>0.65791146265984701</v>
      </c>
      <c r="AQ50">
        <v>44.533887665215303</v>
      </c>
      <c r="AR50">
        <v>99.410981013659594</v>
      </c>
      <c r="AS50">
        <v>7.1739589022071497</v>
      </c>
      <c r="AT50">
        <v>0.232210773752311</v>
      </c>
      <c r="AU50">
        <v>1.86711140657484</v>
      </c>
      <c r="AW50" t="s">
        <v>49</v>
      </c>
    </row>
    <row r="51" spans="1:49" ht="13.2">
      <c r="A51" t="s">
        <v>144</v>
      </c>
      <c r="B51" t="s">
        <v>6</v>
      </c>
      <c r="C51" t="s">
        <v>77</v>
      </c>
      <c r="D51" t="s">
        <v>49</v>
      </c>
      <c r="E51" t="s">
        <v>49</v>
      </c>
      <c r="F51" t="s">
        <v>49</v>
      </c>
      <c r="G51" t="s">
        <v>145</v>
      </c>
      <c r="H51" t="s">
        <v>49</v>
      </c>
      <c r="I51" t="s">
        <v>49</v>
      </c>
      <c r="J51" t="s">
        <v>49</v>
      </c>
      <c r="K51" t="s">
        <v>49</v>
      </c>
      <c r="L51">
        <v>0</v>
      </c>
      <c r="M51">
        <v>0.65955304179586505</v>
      </c>
      <c r="N51">
        <v>0.44883641642931599</v>
      </c>
      <c r="O51">
        <v>2.6504844887752501</v>
      </c>
      <c r="P51">
        <v>1.5736966356333899</v>
      </c>
      <c r="Q51">
        <v>1.9364388486762201</v>
      </c>
      <c r="R51">
        <v>0</v>
      </c>
      <c r="S51">
        <v>0</v>
      </c>
      <c r="T51">
        <v>10.803008050127399</v>
      </c>
      <c r="U51">
        <v>0.0094036414920171899</v>
      </c>
      <c r="V51">
        <v>0.062051226191604303</v>
      </c>
      <c r="W51">
        <v>0</v>
      </c>
      <c r="X51">
        <v>0.0610968509797759</v>
      </c>
      <c r="Y51">
        <v>0.265622920588235</v>
      </c>
      <c r="Z51">
        <v>22.306115447275701</v>
      </c>
      <c r="AA51">
        <v>6.0121771700844402</v>
      </c>
      <c r="AB51">
        <v>2.5011702746667202</v>
      </c>
      <c r="AC51">
        <v>0</v>
      </c>
      <c r="AD51">
        <v>0</v>
      </c>
      <c r="AE51">
        <v>86.877433056643596</v>
      </c>
      <c r="AG51">
        <v>0.0049625993323751698</v>
      </c>
      <c r="AH51">
        <v>0.019095425519287799</v>
      </c>
      <c r="AI51">
        <v>0</v>
      </c>
      <c r="AL51">
        <v>0.058770773157370497</v>
      </c>
      <c r="AM51">
        <v>0.91411458953115998</v>
      </c>
      <c r="AN51">
        <v>0.022217716992074199</v>
      </c>
      <c r="AO51">
        <v>0</v>
      </c>
      <c r="AP51">
        <v>0.013799053388746801</v>
      </c>
      <c r="AQ51">
        <v>0.071430891102651203</v>
      </c>
      <c r="AR51">
        <v>0</v>
      </c>
      <c r="AS51">
        <v>5.1720618384723496</v>
      </c>
      <c r="AT51">
        <v>0.017165831423290201</v>
      </c>
      <c r="AU51">
        <v>0.15727155575792801</v>
      </c>
      <c r="AW51" t="s">
        <v>49</v>
      </c>
    </row>
    <row r="52" spans="1:49" ht="13.2">
      <c r="A52" t="s">
        <v>144</v>
      </c>
      <c r="B52" t="s">
        <v>6</v>
      </c>
      <c r="C52" t="s">
        <v>77</v>
      </c>
      <c r="D52" t="s">
        <v>49</v>
      </c>
      <c r="E52" t="s">
        <v>49</v>
      </c>
      <c r="F52" t="s">
        <v>49</v>
      </c>
      <c r="G52" t="s">
        <v>146</v>
      </c>
      <c r="H52" t="s">
        <v>49</v>
      </c>
      <c r="I52" t="s">
        <v>49</v>
      </c>
      <c r="J52" t="s">
        <v>49</v>
      </c>
      <c r="K52" t="s">
        <v>49</v>
      </c>
      <c r="L52">
        <v>0</v>
      </c>
      <c r="M52">
        <v>0.785991149493657</v>
      </c>
      <c r="N52">
        <v>4.4563723794443302</v>
      </c>
      <c r="O52">
        <v>4.2457415730943202</v>
      </c>
      <c r="P52">
        <v>4.9506455932229496</v>
      </c>
      <c r="Q52">
        <v>2.01582150109303</v>
      </c>
      <c r="R52">
        <v>0</v>
      </c>
      <c r="S52">
        <v>2.0797602741992902</v>
      </c>
      <c r="T52">
        <v>11.217168371249199</v>
      </c>
      <c r="U52">
        <v>0.0218877862314193</v>
      </c>
      <c r="V52">
        <v>0.334234150478537</v>
      </c>
      <c r="W52">
        <v>0</v>
      </c>
      <c r="X52">
        <v>14.690108428416201</v>
      </c>
      <c r="Y52">
        <v>2.1372149117647101</v>
      </c>
      <c r="Z52">
        <v>19.889294035272801</v>
      </c>
      <c r="AA52">
        <v>6.6726797732207501</v>
      </c>
      <c r="AB52">
        <v>2.8668689551203399</v>
      </c>
      <c r="AC52">
        <v>0</v>
      </c>
      <c r="AD52">
        <v>0.034916999999999997</v>
      </c>
      <c r="AE52">
        <v>96.285523560842506</v>
      </c>
      <c r="AG52">
        <v>0.0090110356298391207</v>
      </c>
      <c r="AH52">
        <v>0.052777634421365002</v>
      </c>
      <c r="AI52">
        <v>0.048000839285009603</v>
      </c>
      <c r="AL52">
        <v>0.13396401767928301</v>
      </c>
      <c r="AM52">
        <v>1.1547419925386899</v>
      </c>
      <c r="AN52">
        <v>0.036881410206843199</v>
      </c>
      <c r="AO52">
        <v>0</v>
      </c>
      <c r="AP52">
        <v>0.0465606769181586</v>
      </c>
      <c r="AQ52">
        <v>2.2175829233820399</v>
      </c>
      <c r="AR52">
        <v>26.6896417850567</v>
      </c>
      <c r="AS52">
        <v>4.9759813734810301</v>
      </c>
      <c r="AT52">
        <v>0.038200019223659898</v>
      </c>
      <c r="AU52">
        <v>0.241136048984776</v>
      </c>
      <c r="AW52" t="s">
        <v>49</v>
      </c>
    </row>
    <row r="53" spans="1:49" ht="13.2">
      <c r="A53" t="s">
        <v>144</v>
      </c>
      <c r="B53" t="s">
        <v>6</v>
      </c>
      <c r="C53" t="s">
        <v>77</v>
      </c>
      <c r="D53" t="s">
        <v>49</v>
      </c>
      <c r="E53" t="s">
        <v>49</v>
      </c>
      <c r="F53" t="s">
        <v>49</v>
      </c>
      <c r="G53" t="s">
        <v>147</v>
      </c>
      <c r="H53" t="s">
        <v>49</v>
      </c>
      <c r="I53" t="s">
        <v>49</v>
      </c>
      <c r="J53" t="s">
        <v>49</v>
      </c>
      <c r="K53" t="s">
        <v>49</v>
      </c>
      <c r="L53">
        <v>0</v>
      </c>
      <c r="M53">
        <v>0.66305440477826505</v>
      </c>
      <c r="N53">
        <v>4.1184963171561204</v>
      </c>
      <c r="O53">
        <v>4.9016972757157697</v>
      </c>
      <c r="P53">
        <v>4.1841630473655096</v>
      </c>
      <c r="Q53">
        <v>1.7518119480204</v>
      </c>
      <c r="R53">
        <v>0</v>
      </c>
      <c r="S53">
        <v>2.3987201476868298</v>
      </c>
      <c r="T53">
        <v>10.4547460781115</v>
      </c>
      <c r="U53">
        <v>0.0147539892374752</v>
      </c>
      <c r="V53">
        <v>0.42415172368046999</v>
      </c>
      <c r="W53">
        <v>0</v>
      </c>
      <c r="X53">
        <v>24.670847021763201</v>
      </c>
      <c r="Y53">
        <v>2.9163975176470598</v>
      </c>
      <c r="Z53">
        <v>37.590098196503703</v>
      </c>
      <c r="AA53">
        <v>6.5083778287092899</v>
      </c>
      <c r="AB53">
        <v>2.86743813594595</v>
      </c>
      <c r="AC53">
        <v>0.027341968830102498</v>
      </c>
      <c r="AD53">
        <v>0</v>
      </c>
      <c r="AE53">
        <v>93.498567828371804</v>
      </c>
      <c r="AG53">
        <v>0.0154101768742176</v>
      </c>
      <c r="AH53">
        <v>0.055694991097922898</v>
      </c>
      <c r="AI53">
        <v>0.0607357558300122</v>
      </c>
      <c r="AL53">
        <v>0.159222945717131</v>
      </c>
      <c r="AM53">
        <v>0.92734664631568897</v>
      </c>
      <c r="AN53">
        <v>0.026365024163928101</v>
      </c>
      <c r="AO53">
        <v>0</v>
      </c>
      <c r="AP53">
        <v>0.095792138363171395</v>
      </c>
      <c r="AQ53">
        <v>6.86675685823056</v>
      </c>
      <c r="AR53">
        <v>22.895884444956099</v>
      </c>
      <c r="AS53">
        <v>4.4281201855832002</v>
      </c>
      <c r="AT53">
        <v>0.053552558595194102</v>
      </c>
      <c r="AU53">
        <v>0.32623082817583199</v>
      </c>
      <c r="AW53" t="s">
        <v>49</v>
      </c>
    </row>
    <row r="54" spans="1:49" ht="13.2">
      <c r="A54" t="s">
        <v>144</v>
      </c>
      <c r="B54" t="s">
        <v>6</v>
      </c>
      <c r="C54" t="s">
        <v>124</v>
      </c>
      <c r="D54" t="s">
        <v>49</v>
      </c>
      <c r="E54" t="s">
        <v>49</v>
      </c>
      <c r="F54" t="s">
        <v>49</v>
      </c>
      <c r="G54" t="s">
        <v>145</v>
      </c>
      <c r="H54" t="s">
        <v>49</v>
      </c>
      <c r="I54" t="s">
        <v>49</v>
      </c>
      <c r="J54" t="s">
        <v>49</v>
      </c>
      <c r="K54" t="s">
        <v>49</v>
      </c>
      <c r="L54">
        <v>25.286996050124898</v>
      </c>
      <c r="M54">
        <v>403.42889639826302</v>
      </c>
      <c r="N54">
        <v>49.461984973361098</v>
      </c>
      <c r="O54">
        <v>426.29364200595597</v>
      </c>
      <c r="P54">
        <v>0</v>
      </c>
      <c r="Q54">
        <v>326.26879487490902</v>
      </c>
      <c r="R54">
        <v>6.5029877127311497</v>
      </c>
      <c r="S54">
        <v>0</v>
      </c>
      <c r="T54">
        <v>0</v>
      </c>
      <c r="U54">
        <v>64.293695916707094</v>
      </c>
      <c r="V54">
        <v>61.074227669383099</v>
      </c>
      <c r="W54">
        <v>0</v>
      </c>
      <c r="X54">
        <v>1839.3515870676899</v>
      </c>
      <c r="Y54">
        <v>147.27238212037801</v>
      </c>
      <c r="Z54">
        <v>2481.7561002273701</v>
      </c>
      <c r="AA54">
        <v>47.389890175512697</v>
      </c>
      <c r="AB54">
        <v>56.2383571763216</v>
      </c>
      <c r="AC54">
        <v>0</v>
      </c>
      <c r="AD54">
        <v>0</v>
      </c>
      <c r="AE54">
        <v>1368.3313138660701</v>
      </c>
      <c r="AG54">
        <v>151.276756810237</v>
      </c>
      <c r="AH54">
        <v>0</v>
      </c>
      <c r="AI54">
        <v>90.5358849370635</v>
      </c>
      <c r="AL54">
        <v>3.93704338894422</v>
      </c>
      <c r="AM54">
        <v>233.419188790899</v>
      </c>
      <c r="AN54">
        <v>0</v>
      </c>
      <c r="AO54">
        <v>0</v>
      </c>
      <c r="AP54">
        <v>249.969081369821</v>
      </c>
      <c r="AQ54">
        <v>0</v>
      </c>
      <c r="AR54">
        <v>0</v>
      </c>
      <c r="AS54">
        <v>568.98023278602102</v>
      </c>
      <c r="AT54">
        <v>40.417983291127499</v>
      </c>
      <c r="AU54">
        <v>0</v>
      </c>
      <c r="AW54" t="s">
        <v>49</v>
      </c>
    </row>
    <row r="55" spans="1:49" ht="13.2">
      <c r="A55" t="s">
        <v>144</v>
      </c>
      <c r="B55" t="s">
        <v>6</v>
      </c>
      <c r="C55" t="s">
        <v>124</v>
      </c>
      <c r="D55" t="s">
        <v>49</v>
      </c>
      <c r="E55" t="s">
        <v>49</v>
      </c>
      <c r="F55" t="s">
        <v>49</v>
      </c>
      <c r="G55" t="s">
        <v>146</v>
      </c>
      <c r="H55" t="s">
        <v>49</v>
      </c>
      <c r="I55" t="s">
        <v>49</v>
      </c>
      <c r="J55" t="s">
        <v>49</v>
      </c>
      <c r="K55" t="s">
        <v>49</v>
      </c>
      <c r="L55">
        <v>34.315787155736402</v>
      </c>
      <c r="M55">
        <v>414.16755459026598</v>
      </c>
      <c r="N55">
        <v>61.217776115155303</v>
      </c>
      <c r="O55">
        <v>340.399490305021</v>
      </c>
      <c r="P55">
        <v>141.78473505085901</v>
      </c>
      <c r="Q55">
        <v>377.581989846976</v>
      </c>
      <c r="R55">
        <v>13.267631816465</v>
      </c>
      <c r="S55">
        <v>0</v>
      </c>
      <c r="T55">
        <v>2416.8385135129802</v>
      </c>
      <c r="U55">
        <v>74.330810043012406</v>
      </c>
      <c r="V55">
        <v>82.775297754666894</v>
      </c>
      <c r="W55">
        <v>0</v>
      </c>
      <c r="X55">
        <v>2123.3204521979701</v>
      </c>
      <c r="Y55">
        <v>176.47930782289899</v>
      </c>
      <c r="Z55">
        <v>2308.60396655876</v>
      </c>
      <c r="AA55">
        <v>69.345030669481304</v>
      </c>
      <c r="AB55">
        <v>78.577830893973797</v>
      </c>
      <c r="AC55">
        <v>152.41094317625601</v>
      </c>
      <c r="AD55">
        <v>20.3506699354839</v>
      </c>
      <c r="AE55">
        <v>1521.7999486602801</v>
      </c>
      <c r="AG55">
        <v>204.65256407807499</v>
      </c>
      <c r="AH55">
        <v>57.779302727003</v>
      </c>
      <c r="AI55">
        <v>125.608871783135</v>
      </c>
      <c r="AL55">
        <v>4.4999271663346603</v>
      </c>
      <c r="AM55">
        <v>187.651372461986</v>
      </c>
      <c r="AN55">
        <v>399.269710469264</v>
      </c>
      <c r="AO55">
        <v>0.292889555515983</v>
      </c>
      <c r="AP55">
        <v>319.28144237857998</v>
      </c>
      <c r="AQ55">
        <v>275.63423504268599</v>
      </c>
      <c r="AR55">
        <v>100.738244189816</v>
      </c>
      <c r="AS55">
        <v>717.22660565098795</v>
      </c>
      <c r="AT55">
        <v>50.233273346395599</v>
      </c>
      <c r="AU55">
        <v>0</v>
      </c>
      <c r="AW55" t="s">
        <v>49</v>
      </c>
    </row>
    <row r="56" spans="1:49" ht="13.2">
      <c r="A56" t="s">
        <v>144</v>
      </c>
      <c r="B56" t="s">
        <v>6</v>
      </c>
      <c r="C56" t="s">
        <v>124</v>
      </c>
      <c r="D56" t="s">
        <v>49</v>
      </c>
      <c r="E56" t="s">
        <v>49</v>
      </c>
      <c r="F56" t="s">
        <v>49</v>
      </c>
      <c r="G56" t="s">
        <v>147</v>
      </c>
      <c r="H56" t="s">
        <v>49</v>
      </c>
      <c r="I56" t="s">
        <v>49</v>
      </c>
      <c r="J56" t="s">
        <v>49</v>
      </c>
      <c r="K56" t="s">
        <v>49</v>
      </c>
      <c r="L56">
        <v>44.524881902107701</v>
      </c>
      <c r="M56">
        <v>393.45831896169602</v>
      </c>
      <c r="N56">
        <v>71.226984960157594</v>
      </c>
      <c r="O56">
        <v>266.43775261414402</v>
      </c>
      <c r="P56">
        <v>155.728763022359</v>
      </c>
      <c r="Q56">
        <v>365.208055025504</v>
      </c>
      <c r="R56">
        <v>14.171516199166099</v>
      </c>
      <c r="S56">
        <v>201.53683650727299</v>
      </c>
      <c r="T56">
        <v>2332.42318493619</v>
      </c>
      <c r="U56">
        <v>63.6197457508963</v>
      </c>
      <c r="V56">
        <v>92.9186959340946</v>
      </c>
      <c r="W56">
        <v>0</v>
      </c>
      <c r="X56">
        <v>2083.8326073275398</v>
      </c>
      <c r="Y56">
        <v>172.26594643014701</v>
      </c>
      <c r="Z56">
        <v>2093.4975978438301</v>
      </c>
      <c r="AA56">
        <v>77.953904734016902</v>
      </c>
      <c r="AB56">
        <v>83.218917803068393</v>
      </c>
      <c r="AC56">
        <v>151.20081093841301</v>
      </c>
      <c r="AD56">
        <v>0</v>
      </c>
      <c r="AE56">
        <v>1487.9673324672201</v>
      </c>
      <c r="AG56">
        <v>217.615238065743</v>
      </c>
      <c r="AH56">
        <v>48.812289214540101</v>
      </c>
      <c r="AI56">
        <v>139.08007316103101</v>
      </c>
      <c r="AL56">
        <v>4.3854830677290799</v>
      </c>
      <c r="AM56">
        <v>133.926477598731</v>
      </c>
      <c r="AN56">
        <v>330.520564303112</v>
      </c>
      <c r="AO56">
        <v>0.63320094937409999</v>
      </c>
      <c r="AP56">
        <v>327.35516307141899</v>
      </c>
      <c r="AQ56">
        <v>323.21244646493898</v>
      </c>
      <c r="AR56">
        <v>116.85374229624701</v>
      </c>
      <c r="AS56">
        <v>661.59105311461497</v>
      </c>
      <c r="AT56">
        <v>51.842091090942702</v>
      </c>
      <c r="AU56">
        <v>0</v>
      </c>
      <c r="AW56" t="s">
        <v>49</v>
      </c>
    </row>
    <row r="57" spans="1:49" ht="13.2">
      <c r="A57" t="s">
        <v>144</v>
      </c>
      <c r="B57" t="s">
        <v>6</v>
      </c>
      <c r="C57" t="s">
        <v>125</v>
      </c>
      <c r="D57" t="s">
        <v>49</v>
      </c>
      <c r="E57" t="s">
        <v>49</v>
      </c>
      <c r="F57" t="s">
        <v>49</v>
      </c>
      <c r="G57" t="s">
        <v>145</v>
      </c>
      <c r="H57" t="s">
        <v>49</v>
      </c>
      <c r="I57" t="s">
        <v>49</v>
      </c>
      <c r="J57" t="s">
        <v>49</v>
      </c>
      <c r="K57" t="s">
        <v>49</v>
      </c>
      <c r="L57">
        <v>76.692641291269396</v>
      </c>
      <c r="M57">
        <v>782.04837859572399</v>
      </c>
      <c r="N57">
        <v>147.709180134994</v>
      </c>
      <c r="O57">
        <v>1010.64789548734</v>
      </c>
      <c r="P57">
        <v>0</v>
      </c>
      <c r="Q57">
        <v>388.37605513723599</v>
      </c>
      <c r="R57">
        <v>21.099379933062799</v>
      </c>
      <c r="S57">
        <v>0</v>
      </c>
      <c r="T57">
        <v>0</v>
      </c>
      <c r="U57">
        <v>258.78520602708602</v>
      </c>
      <c r="V57">
        <v>87.1083680394201</v>
      </c>
      <c r="W57">
        <v>0</v>
      </c>
      <c r="X57">
        <v>4639.3449099696099</v>
      </c>
      <c r="Y57">
        <v>288.883889527311</v>
      </c>
      <c r="Z57">
        <v>6858.1002808597104</v>
      </c>
      <c r="AA57">
        <v>159.20829606875799</v>
      </c>
      <c r="AB57">
        <v>188.06083047372999</v>
      </c>
      <c r="AC57">
        <v>0</v>
      </c>
      <c r="AD57">
        <v>0</v>
      </c>
      <c r="AE57">
        <v>3437.66186785117</v>
      </c>
      <c r="AG57">
        <v>228.23691857550199</v>
      </c>
      <c r="AH57">
        <v>0</v>
      </c>
      <c r="AI57">
        <v>122.85883046206099</v>
      </c>
      <c r="AL57">
        <v>15.8356634088645</v>
      </c>
      <c r="AM57">
        <v>364.30542295830702</v>
      </c>
      <c r="AN57">
        <v>0</v>
      </c>
      <c r="AO57">
        <v>0</v>
      </c>
      <c r="AP57">
        <v>491.523506783632</v>
      </c>
      <c r="AQ57">
        <v>0</v>
      </c>
      <c r="AR57">
        <v>0</v>
      </c>
      <c r="AS57">
        <v>374.26550036062702</v>
      </c>
      <c r="AT57">
        <v>127.702798161738</v>
      </c>
      <c r="AU57">
        <v>0</v>
      </c>
      <c r="AW57" t="s">
        <v>49</v>
      </c>
    </row>
    <row r="58" spans="1:49" ht="13.2">
      <c r="A58" t="s">
        <v>144</v>
      </c>
      <c r="B58" t="s">
        <v>6</v>
      </c>
      <c r="C58" t="s">
        <v>125</v>
      </c>
      <c r="D58" t="s">
        <v>49</v>
      </c>
      <c r="E58" t="s">
        <v>49</v>
      </c>
      <c r="F58" t="s">
        <v>49</v>
      </c>
      <c r="G58" t="s">
        <v>146</v>
      </c>
      <c r="H58" t="s">
        <v>49</v>
      </c>
      <c r="I58" t="s">
        <v>49</v>
      </c>
      <c r="J58" t="s">
        <v>49</v>
      </c>
      <c r="K58" t="s">
        <v>49</v>
      </c>
      <c r="L58">
        <v>104.07595863682801</v>
      </c>
      <c r="M58">
        <v>802.86530644181096</v>
      </c>
      <c r="N58">
        <v>182.81570229191601</v>
      </c>
      <c r="O58">
        <v>807.01186835183103</v>
      </c>
      <c r="P58">
        <v>361.58713253639399</v>
      </c>
      <c r="Q58">
        <v>449.45703055622999</v>
      </c>
      <c r="R58">
        <v>43.047721581810997</v>
      </c>
      <c r="S58">
        <v>0</v>
      </c>
      <c r="T58">
        <v>4590.0160879694504</v>
      </c>
      <c r="U58">
        <v>299.18507120917701</v>
      </c>
      <c r="V58">
        <v>118.05996369563201</v>
      </c>
      <c r="W58">
        <v>0</v>
      </c>
      <c r="X58">
        <v>5355.5916125003896</v>
      </c>
      <c r="Y58">
        <v>346.17508137605</v>
      </c>
      <c r="Z58">
        <v>6379.6105950943202</v>
      </c>
      <c r="AA58">
        <v>232.96749861278599</v>
      </c>
      <c r="AB58">
        <v>262.76393686988501</v>
      </c>
      <c r="AC58">
        <v>545.13283589222601</v>
      </c>
      <c r="AD58">
        <v>33.278979338709703</v>
      </c>
      <c r="AE58">
        <v>3823.22146763307</v>
      </c>
      <c r="AG58">
        <v>308.76700154504101</v>
      </c>
      <c r="AH58">
        <v>66.842722762611302</v>
      </c>
      <c r="AI58">
        <v>170.453506846072</v>
      </c>
      <c r="AL58">
        <v>18.0997070468127</v>
      </c>
      <c r="AM58">
        <v>292.874004779063</v>
      </c>
      <c r="AN58">
        <v>350.92609328049502</v>
      </c>
      <c r="AO58">
        <v>0.91487782729572298</v>
      </c>
      <c r="AP58">
        <v>627.81498155236602</v>
      </c>
      <c r="AQ58">
        <v>744.32954558671702</v>
      </c>
      <c r="AR58">
        <v>307.65929257575903</v>
      </c>
      <c r="AS58">
        <v>471.77943796313099</v>
      </c>
      <c r="AT58">
        <v>158.71473648133099</v>
      </c>
      <c r="AU58">
        <v>0</v>
      </c>
      <c r="AW58" t="s">
        <v>49</v>
      </c>
    </row>
    <row r="59" spans="1:49" ht="13.2">
      <c r="A59" t="s">
        <v>144</v>
      </c>
      <c r="B59" t="s">
        <v>6</v>
      </c>
      <c r="C59" t="s">
        <v>125</v>
      </c>
      <c r="D59" t="s">
        <v>49</v>
      </c>
      <c r="E59" t="s">
        <v>49</v>
      </c>
      <c r="F59" t="s">
        <v>49</v>
      </c>
      <c r="G59" t="s">
        <v>147</v>
      </c>
      <c r="H59" t="s">
        <v>49</v>
      </c>
      <c r="I59" t="s">
        <v>49</v>
      </c>
      <c r="J59" t="s">
        <v>49</v>
      </c>
      <c r="K59" t="s">
        <v>49</v>
      </c>
      <c r="L59">
        <v>135.03900540363401</v>
      </c>
      <c r="M59">
        <v>762.72037807928803</v>
      </c>
      <c r="N59">
        <v>212.70637556537</v>
      </c>
      <c r="O59">
        <v>631.66495444494399</v>
      </c>
      <c r="P59">
        <v>397.14795005609102</v>
      </c>
      <c r="Q59">
        <v>434.72764157396199</v>
      </c>
      <c r="R59">
        <v>45.980435104986597</v>
      </c>
      <c r="S59">
        <v>602.21716342706804</v>
      </c>
      <c r="T59">
        <v>4429.6960193871701</v>
      </c>
      <c r="U59">
        <v>256.07252432439998</v>
      </c>
      <c r="V59">
        <v>132.52719309011701</v>
      </c>
      <c r="W59">
        <v>0</v>
      </c>
      <c r="X59">
        <v>5255.9925291096297</v>
      </c>
      <c r="Y59">
        <v>337.91031231617598</v>
      </c>
      <c r="Z59">
        <v>5785.1843146216197</v>
      </c>
      <c r="AA59">
        <v>261.889367091677</v>
      </c>
      <c r="AB59">
        <v>278.28371202420902</v>
      </c>
      <c r="AC59">
        <v>540.80451927091303</v>
      </c>
      <c r="AD59">
        <v>0</v>
      </c>
      <c r="AE59">
        <v>3738.2237091238999</v>
      </c>
      <c r="AG59">
        <v>328.324274121656</v>
      </c>
      <c r="AH59">
        <v>56.469118895252201</v>
      </c>
      <c r="AI59">
        <v>188.73417033500399</v>
      </c>
      <c r="AL59">
        <v>17.639387450199202</v>
      </c>
      <c r="AM59">
        <v>209.02369817859801</v>
      </c>
      <c r="AN59">
        <v>290.50110073071698</v>
      </c>
      <c r="AO59">
        <v>1.9778838060114901</v>
      </c>
      <c r="AP59">
        <v>643.69063899763398</v>
      </c>
      <c r="AQ59">
        <v>872.81093137056303</v>
      </c>
      <c r="AR59">
        <v>356.87677484186202</v>
      </c>
      <c r="AS59">
        <v>435.18331966582599</v>
      </c>
      <c r="AT59">
        <v>163.79788291719001</v>
      </c>
      <c r="AU59">
        <v>0</v>
      </c>
      <c r="AW59" t="s">
        <v>49</v>
      </c>
    </row>
    <row r="60" spans="1:49" ht="13.2">
      <c r="A60" t="s">
        <v>144</v>
      </c>
      <c r="B60" t="s">
        <v>6</v>
      </c>
      <c r="C60" t="s">
        <v>126</v>
      </c>
      <c r="D60" t="s">
        <v>49</v>
      </c>
      <c r="E60" t="s">
        <v>49</v>
      </c>
      <c r="F60" t="s">
        <v>49</v>
      </c>
      <c r="G60" t="s">
        <v>145</v>
      </c>
      <c r="H60" t="s">
        <v>49</v>
      </c>
      <c r="I60" t="s">
        <v>49</v>
      </c>
      <c r="J60" t="s">
        <v>49</v>
      </c>
      <c r="K60" t="s">
        <v>49</v>
      </c>
      <c r="L60">
        <v>159.91568378393899</v>
      </c>
      <c r="M60">
        <v>1167.82419032966</v>
      </c>
      <c r="N60">
        <v>293.49663418336002</v>
      </c>
      <c r="O60">
        <v>1577.15708315653</v>
      </c>
      <c r="P60">
        <v>0</v>
      </c>
      <c r="Q60">
        <v>370.368099829973</v>
      </c>
      <c r="R60">
        <v>23.529007766953999</v>
      </c>
      <c r="S60">
        <v>0</v>
      </c>
      <c r="T60">
        <v>0</v>
      </c>
      <c r="U60">
        <v>276.564971578209</v>
      </c>
      <c r="V60">
        <v>53.817367010802599</v>
      </c>
      <c r="W60">
        <v>0</v>
      </c>
      <c r="X60">
        <v>4225.7534979823304</v>
      </c>
      <c r="Y60">
        <v>217.94326489937001</v>
      </c>
      <c r="Z60">
        <v>11354.732046806001</v>
      </c>
      <c r="AA60">
        <v>372.02194834801003</v>
      </c>
      <c r="AB60">
        <v>560.25766516890201</v>
      </c>
      <c r="AC60">
        <v>0</v>
      </c>
      <c r="AD60">
        <v>0</v>
      </c>
      <c r="AE60">
        <v>9321.9310403685195</v>
      </c>
      <c r="AG60">
        <v>301.757519023599</v>
      </c>
      <c r="AH60">
        <v>0</v>
      </c>
      <c r="AI60">
        <v>68.962953923174098</v>
      </c>
      <c r="AL60">
        <v>58.304616725597597</v>
      </c>
      <c r="AM60">
        <v>572.49978542793303</v>
      </c>
      <c r="AN60">
        <v>0</v>
      </c>
      <c r="AO60">
        <v>0</v>
      </c>
      <c r="AP60">
        <v>1513.62681920102</v>
      </c>
      <c r="AQ60">
        <v>0</v>
      </c>
      <c r="AR60">
        <v>0</v>
      </c>
      <c r="AS60">
        <v>271.59653237992899</v>
      </c>
      <c r="AT60">
        <v>248.28468656746799</v>
      </c>
      <c r="AU60">
        <v>0</v>
      </c>
      <c r="AW60" t="s">
        <v>49</v>
      </c>
    </row>
    <row r="61" spans="1:49" ht="13.2">
      <c r="A61" t="s">
        <v>144</v>
      </c>
      <c r="B61" t="s">
        <v>6</v>
      </c>
      <c r="C61" t="s">
        <v>126</v>
      </c>
      <c r="D61" t="s">
        <v>49</v>
      </c>
      <c r="E61" t="s">
        <v>49</v>
      </c>
      <c r="F61" t="s">
        <v>49</v>
      </c>
      <c r="G61" t="s">
        <v>146</v>
      </c>
      <c r="H61" t="s">
        <v>49</v>
      </c>
      <c r="I61" t="s">
        <v>49</v>
      </c>
      <c r="J61" t="s">
        <v>49</v>
      </c>
      <c r="K61" t="s">
        <v>49</v>
      </c>
      <c r="L61">
        <v>217.01401608620901</v>
      </c>
      <c r="M61">
        <v>1198.9098783412601</v>
      </c>
      <c r="N61">
        <v>363.25293559620002</v>
      </c>
      <c r="O61">
        <v>1259.3747931852399</v>
      </c>
      <c r="P61">
        <v>667.94747119906401</v>
      </c>
      <c r="Q61">
        <v>428.61691435511301</v>
      </c>
      <c r="R61">
        <v>48.004736568629298</v>
      </c>
      <c r="S61">
        <v>0</v>
      </c>
      <c r="T61">
        <v>6175.6013863183898</v>
      </c>
      <c r="U61">
        <v>319.74049825293997</v>
      </c>
      <c r="V61">
        <v>72.939908512745205</v>
      </c>
      <c r="W61">
        <v>0</v>
      </c>
      <c r="X61">
        <v>4878.14776212372</v>
      </c>
      <c r="Y61">
        <v>261.165576195168</v>
      </c>
      <c r="Z61">
        <v>10562.5123436049</v>
      </c>
      <c r="AA61">
        <v>544.37504122436701</v>
      </c>
      <c r="AB61">
        <v>782.80793182967</v>
      </c>
      <c r="AC61">
        <v>384.85849040744</v>
      </c>
      <c r="AD61">
        <v>19.627925225806401</v>
      </c>
      <c r="AE61">
        <v>10367.455626347</v>
      </c>
      <c r="AG61">
        <v>408.22827842273603</v>
      </c>
      <c r="AH61">
        <v>75.685011905044504</v>
      </c>
      <c r="AI61">
        <v>95.678733831827401</v>
      </c>
      <c r="AL61">
        <v>66.640497146414305</v>
      </c>
      <c r="AM61">
        <v>460.24652483040802</v>
      </c>
      <c r="AN61">
        <v>374.18861653924199</v>
      </c>
      <c r="AO61">
        <v>1.81599950871201</v>
      </c>
      <c r="AP61">
        <v>1933.3309200045401</v>
      </c>
      <c r="AQ61">
        <v>2164.40403289101</v>
      </c>
      <c r="AR61">
        <v>599.01910972272901</v>
      </c>
      <c r="AS61">
        <v>342.36032783003998</v>
      </c>
      <c r="AT61">
        <v>308.57928853678402</v>
      </c>
      <c r="AU61">
        <v>0</v>
      </c>
      <c r="AW61" t="s">
        <v>49</v>
      </c>
    </row>
    <row r="62" spans="1:49" ht="13.2">
      <c r="A62" t="s">
        <v>144</v>
      </c>
      <c r="B62" t="s">
        <v>6</v>
      </c>
      <c r="C62" t="s">
        <v>126</v>
      </c>
      <c r="D62" t="s">
        <v>49</v>
      </c>
      <c r="E62" t="s">
        <v>49</v>
      </c>
      <c r="F62" t="s">
        <v>49</v>
      </c>
      <c r="G62" t="s">
        <v>147</v>
      </c>
      <c r="H62" t="s">
        <v>49</v>
      </c>
      <c r="I62" t="s">
        <v>49</v>
      </c>
      <c r="J62" t="s">
        <v>49</v>
      </c>
      <c r="K62" t="s">
        <v>49</v>
      </c>
      <c r="L62">
        <v>281.576622255198</v>
      </c>
      <c r="M62">
        <v>1138.96190102433</v>
      </c>
      <c r="N62">
        <v>422.64539848317497</v>
      </c>
      <c r="O62">
        <v>985.73881322356794</v>
      </c>
      <c r="P62">
        <v>733.63774609750101</v>
      </c>
      <c r="Q62">
        <v>414.57048760748103</v>
      </c>
      <c r="R62">
        <v>51.275156812445097</v>
      </c>
      <c r="S62">
        <v>1514.1299730331</v>
      </c>
      <c r="T62">
        <v>5959.8999990430002</v>
      </c>
      <c r="U62">
        <v>273.66591583417397</v>
      </c>
      <c r="V62">
        <v>81.878064644887701</v>
      </c>
      <c r="W62">
        <v>0</v>
      </c>
      <c r="X62">
        <v>4787.4278041982097</v>
      </c>
      <c r="Y62">
        <v>254.930369533088</v>
      </c>
      <c r="Z62">
        <v>9578.3402172239894</v>
      </c>
      <c r="AA62">
        <v>611.95675729734603</v>
      </c>
      <c r="AB62">
        <v>829.04335985582998</v>
      </c>
      <c r="AC62">
        <v>381.802740888779</v>
      </c>
      <c r="AD62">
        <v>0</v>
      </c>
      <c r="AE62">
        <v>10136.9666271762</v>
      </c>
      <c r="AG62">
        <v>434.08541883814701</v>
      </c>
      <c r="AH62">
        <v>63.939135918100902</v>
      </c>
      <c r="AI62">
        <v>105.940011341396</v>
      </c>
      <c r="AL62">
        <v>64.945667131474096</v>
      </c>
      <c r="AM62">
        <v>328.47719198046502</v>
      </c>
      <c r="AN62">
        <v>309.75811450608899</v>
      </c>
      <c r="AO62">
        <v>3.9260280584385501</v>
      </c>
      <c r="AP62">
        <v>1982.21936694546</v>
      </c>
      <c r="AQ62">
        <v>2538.0095563998002</v>
      </c>
      <c r="AR62">
        <v>694.84658225901001</v>
      </c>
      <c r="AS62">
        <v>315.803301284616</v>
      </c>
      <c r="AT62">
        <v>318.46213713345702</v>
      </c>
      <c r="AU62">
        <v>0</v>
      </c>
      <c r="AW62" t="s">
        <v>49</v>
      </c>
    </row>
    <row r="63" spans="1:49" ht="13.2">
      <c r="A63" t="s">
        <v>144</v>
      </c>
      <c r="B63" t="s">
        <v>6</v>
      </c>
      <c r="C63" t="s">
        <v>127</v>
      </c>
      <c r="D63" t="s">
        <v>49</v>
      </c>
      <c r="E63" t="s">
        <v>49</v>
      </c>
      <c r="F63" t="s">
        <v>49</v>
      </c>
      <c r="G63" t="s">
        <v>145</v>
      </c>
      <c r="H63" t="s">
        <v>49</v>
      </c>
      <c r="I63" t="s">
        <v>49</v>
      </c>
      <c r="J63" t="s">
        <v>49</v>
      </c>
      <c r="K63" t="s">
        <v>49</v>
      </c>
      <c r="L63">
        <v>30.565678874666201</v>
      </c>
      <c r="M63">
        <v>350.64853467635299</v>
      </c>
      <c r="N63">
        <v>66.231200708285499</v>
      </c>
      <c r="O63">
        <v>453.15037935017301</v>
      </c>
      <c r="P63">
        <v>0</v>
      </c>
      <c r="Q63">
        <v>174.13705015788199</v>
      </c>
      <c r="R63">
        <v>9.4606245872520294</v>
      </c>
      <c r="S63">
        <v>0</v>
      </c>
      <c r="T63">
        <v>0</v>
      </c>
      <c r="U63">
        <v>116.034126477998</v>
      </c>
      <c r="V63">
        <v>39.054037280394198</v>
      </c>
      <c r="W63">
        <v>0</v>
      </c>
      <c r="X63">
        <v>1941.2350049803699</v>
      </c>
      <c r="Y63">
        <v>129.52646345294099</v>
      </c>
      <c r="Z63">
        <v>3074.9815721068799</v>
      </c>
      <c r="AA63">
        <v>71.388865407720203</v>
      </c>
      <c r="AB63">
        <v>84.322147181046802</v>
      </c>
      <c r="AC63">
        <v>0</v>
      </c>
      <c r="AD63">
        <v>0</v>
      </c>
      <c r="AE63">
        <v>1541.3517779142301</v>
      </c>
      <c r="AG63">
        <v>102.334805590663</v>
      </c>
      <c r="AH63">
        <v>0</v>
      </c>
      <c r="AI63">
        <v>55.095330677701902</v>
      </c>
      <c r="AL63">
        <v>7.1006764765936303</v>
      </c>
      <c r="AM63">
        <v>163.393602822861</v>
      </c>
      <c r="AN63">
        <v>0</v>
      </c>
      <c r="AO63">
        <v>0</v>
      </c>
      <c r="AP63">
        <v>220.38459264552401</v>
      </c>
      <c r="AQ63">
        <v>0</v>
      </c>
      <c r="AR63">
        <v>0</v>
      </c>
      <c r="AS63">
        <v>167.64273447342299</v>
      </c>
      <c r="AT63">
        <v>57.259531979667301</v>
      </c>
      <c r="AU63">
        <v>0</v>
      </c>
      <c r="AW63" t="s">
        <v>49</v>
      </c>
    </row>
    <row r="64" spans="1:49" ht="13.2">
      <c r="A64" t="s">
        <v>144</v>
      </c>
      <c r="B64" t="s">
        <v>6</v>
      </c>
      <c r="C64" t="s">
        <v>127</v>
      </c>
      <c r="D64" t="s">
        <v>49</v>
      </c>
      <c r="E64" t="s">
        <v>49</v>
      </c>
      <c r="F64" t="s">
        <v>49</v>
      </c>
      <c r="G64" t="s">
        <v>146</v>
      </c>
      <c r="H64" t="s">
        <v>49</v>
      </c>
      <c r="I64" t="s">
        <v>49</v>
      </c>
      <c r="J64" t="s">
        <v>49</v>
      </c>
      <c r="K64" t="s">
        <v>49</v>
      </c>
      <c r="L64">
        <v>41.479238121226103</v>
      </c>
      <c r="M64">
        <v>359.98226062665901</v>
      </c>
      <c r="N64">
        <v>81.972585996728697</v>
      </c>
      <c r="O64">
        <v>361.84484815790501</v>
      </c>
      <c r="P64">
        <v>162.12966121368299</v>
      </c>
      <c r="Q64">
        <v>201.524065241681</v>
      </c>
      <c r="R64">
        <v>19.3019100330946</v>
      </c>
      <c r="S64">
        <v>0</v>
      </c>
      <c r="T64">
        <v>2058.0400121991902</v>
      </c>
      <c r="U64">
        <v>134.14862049486999</v>
      </c>
      <c r="V64">
        <v>52.930830036956301</v>
      </c>
      <c r="W64">
        <v>0</v>
      </c>
      <c r="X64">
        <v>2240.9331731779198</v>
      </c>
      <c r="Y64">
        <v>155.21403460588201</v>
      </c>
      <c r="Z64">
        <v>2860.44009474205</v>
      </c>
      <c r="AA64">
        <v>104.462429493366</v>
      </c>
      <c r="AB64">
        <v>117.81730040647101</v>
      </c>
      <c r="AC64">
        <v>262.69773052407697</v>
      </c>
      <c r="AD64">
        <v>14.951425499999999</v>
      </c>
      <c r="AE64">
        <v>1714.2259573597</v>
      </c>
      <c r="AG64">
        <v>138.44215595414701</v>
      </c>
      <c r="AH64">
        <v>30.6229626053413</v>
      </c>
      <c r="AI64">
        <v>76.438887538965403</v>
      </c>
      <c r="AL64">
        <v>8.1158686404382507</v>
      </c>
      <c r="AM64">
        <v>131.35609792854399</v>
      </c>
      <c r="AN64">
        <v>195.498579710999</v>
      </c>
      <c r="AO64">
        <v>0.41023310847628103</v>
      </c>
      <c r="AP64">
        <v>281.49365606451403</v>
      </c>
      <c r="AQ64">
        <v>333.73318647958598</v>
      </c>
      <c r="AR64">
        <v>137.96335351169699</v>
      </c>
      <c r="AS64">
        <v>211.32162855583999</v>
      </c>
      <c r="AT64">
        <v>71.164701635489806</v>
      </c>
      <c r="AU64">
        <v>0</v>
      </c>
      <c r="AW64" t="s">
        <v>49</v>
      </c>
    </row>
    <row r="65" spans="1:49" ht="13.2">
      <c r="A65" t="s">
        <v>144</v>
      </c>
      <c r="B65" t="s">
        <v>6</v>
      </c>
      <c r="C65" t="s">
        <v>127</v>
      </c>
      <c r="D65" t="s">
        <v>49</v>
      </c>
      <c r="E65" t="s">
        <v>49</v>
      </c>
      <c r="F65" t="s">
        <v>49</v>
      </c>
      <c r="G65" t="s">
        <v>147</v>
      </c>
      <c r="H65" t="s">
        <v>49</v>
      </c>
      <c r="I65" t="s">
        <v>49</v>
      </c>
      <c r="J65" t="s">
        <v>49</v>
      </c>
      <c r="K65" t="s">
        <v>49</v>
      </c>
      <c r="L65">
        <v>53.819490439060601</v>
      </c>
      <c r="M65">
        <v>341.98240193469098</v>
      </c>
      <c r="N65">
        <v>95.375240991297204</v>
      </c>
      <c r="O65">
        <v>283.22347971734399</v>
      </c>
      <c r="P65">
        <v>178.074540824049</v>
      </c>
      <c r="Q65">
        <v>194.919815793053</v>
      </c>
      <c r="R65">
        <v>20.6168918834022</v>
      </c>
      <c r="S65">
        <v>270.01502703256199</v>
      </c>
      <c r="T65">
        <v>1986.1567966336399</v>
      </c>
      <c r="U65">
        <v>114.81781409053001</v>
      </c>
      <c r="V65">
        <v>59.417046330901201</v>
      </c>
      <c r="W65">
        <v>0</v>
      </c>
      <c r="X65">
        <v>2199.2580593646198</v>
      </c>
      <c r="Y65">
        <v>151.508371720588</v>
      </c>
      <c r="Z65">
        <v>2593.91587031055</v>
      </c>
      <c r="AA65">
        <v>117.43097087696</v>
      </c>
      <c r="AB65">
        <v>124.776010316892</v>
      </c>
      <c r="AC65">
        <v>260.611928901895</v>
      </c>
      <c r="AD65">
        <v>0</v>
      </c>
      <c r="AE65">
        <v>1676.1153312326601</v>
      </c>
      <c r="AG65">
        <v>147.21106897445401</v>
      </c>
      <c r="AH65">
        <v>25.8704559721068</v>
      </c>
      <c r="AI65">
        <v>84.636745162569497</v>
      </c>
      <c r="AL65">
        <v>7.90946235059761</v>
      </c>
      <c r="AM65">
        <v>93.748632242205503</v>
      </c>
      <c r="AN65">
        <v>161.83622046008099</v>
      </c>
      <c r="AO65">
        <v>0.88688718617586204</v>
      </c>
      <c r="AP65">
        <v>288.61183098548599</v>
      </c>
      <c r="AQ65">
        <v>391.34006576469801</v>
      </c>
      <c r="AR65">
        <v>160.033900602882</v>
      </c>
      <c r="AS65">
        <v>194.92932593494299</v>
      </c>
      <c r="AT65">
        <v>73.443888858410403</v>
      </c>
      <c r="AU65">
        <v>0</v>
      </c>
      <c r="AW65" t="s">
        <v>49</v>
      </c>
    </row>
    <row r="66" spans="1:49" ht="13.2">
      <c r="A66" t="s">
        <v>144</v>
      </c>
      <c r="B66" t="s">
        <v>6</v>
      </c>
      <c r="C66" t="s">
        <v>131</v>
      </c>
      <c r="D66" t="s">
        <v>49</v>
      </c>
      <c r="E66" t="s">
        <v>49</v>
      </c>
      <c r="F66" t="s">
        <v>49</v>
      </c>
      <c r="G66" t="s">
        <v>145</v>
      </c>
      <c r="H66" t="s">
        <v>49</v>
      </c>
      <c r="I66" t="s">
        <v>49</v>
      </c>
      <c r="J66" t="s">
        <v>49</v>
      </c>
      <c r="K66" t="s">
        <v>49</v>
      </c>
      <c r="L66">
        <v>9.6049791842887693</v>
      </c>
      <c r="M66">
        <v>301.25520754625398</v>
      </c>
      <c r="N66">
        <v>23.6688768296154</v>
      </c>
      <c r="O66">
        <v>263.05691017453802</v>
      </c>
      <c r="P66">
        <v>0</v>
      </c>
      <c r="Q66">
        <v>824.63618443041003</v>
      </c>
      <c r="R66">
        <v>45.575863977712501</v>
      </c>
      <c r="S66">
        <v>1.06932391955071</v>
      </c>
      <c r="T66">
        <v>20.924795275465499</v>
      </c>
      <c r="U66">
        <v>149.720158449628</v>
      </c>
      <c r="V66">
        <v>109.35969134464101</v>
      </c>
      <c r="W66">
        <v>0</v>
      </c>
      <c r="X66">
        <v>1401.8887466521301</v>
      </c>
      <c r="Y66">
        <v>458.107720378046</v>
      </c>
      <c r="Z66">
        <v>1360.9243408694099</v>
      </c>
      <c r="AA66">
        <v>57.950252896863702</v>
      </c>
      <c r="AB66">
        <v>144.33220357911199</v>
      </c>
      <c r="AC66">
        <v>2.3432148575458802</v>
      </c>
      <c r="AD66">
        <v>0</v>
      </c>
      <c r="AE66">
        <v>1622.05078549738</v>
      </c>
      <c r="AG66">
        <v>88.096414293662207</v>
      </c>
      <c r="AH66">
        <v>32.280397955786398</v>
      </c>
      <c r="AI66">
        <v>91.587320642386501</v>
      </c>
      <c r="AL66">
        <v>8.7328797310757</v>
      </c>
      <c r="AM66">
        <v>1120.9799988761899</v>
      </c>
      <c r="AN66">
        <v>0.24381811618016599</v>
      </c>
      <c r="AO66">
        <v>0.0095526005293506498</v>
      </c>
      <c r="AP66">
        <v>220.550428777749</v>
      </c>
      <c r="AQ66">
        <v>0.00062677958374176505</v>
      </c>
      <c r="AR66">
        <v>0</v>
      </c>
      <c r="AS66">
        <v>1311.61758613603</v>
      </c>
      <c r="AT66">
        <v>50.861987101663601</v>
      </c>
      <c r="AU66">
        <v>0</v>
      </c>
      <c r="AW66" t="s">
        <v>49</v>
      </c>
    </row>
    <row r="67" spans="1:49" ht="13.2">
      <c r="A67" t="s">
        <v>144</v>
      </c>
      <c r="B67" t="s">
        <v>6</v>
      </c>
      <c r="C67" t="s">
        <v>131</v>
      </c>
      <c r="D67" t="s">
        <v>49</v>
      </c>
      <c r="E67" t="s">
        <v>49</v>
      </c>
      <c r="F67" t="s">
        <v>49</v>
      </c>
      <c r="G67" t="s">
        <v>146</v>
      </c>
      <c r="H67" t="s">
        <v>49</v>
      </c>
      <c r="I67" t="s">
        <v>49</v>
      </c>
      <c r="J67" t="s">
        <v>49</v>
      </c>
      <c r="K67" t="s">
        <v>49</v>
      </c>
      <c r="L67">
        <v>8.5128675963877196</v>
      </c>
      <c r="M67">
        <v>327.57987740021298</v>
      </c>
      <c r="N67">
        <v>18.553118186700502</v>
      </c>
      <c r="O67">
        <v>356.66461533303402</v>
      </c>
      <c r="P67">
        <v>125.464565603995</v>
      </c>
      <c r="Q67">
        <v>802.098852919602</v>
      </c>
      <c r="R67">
        <v>47.6845697900267</v>
      </c>
      <c r="S67">
        <v>0.126549513456406</v>
      </c>
      <c r="T67">
        <v>4986.5263045895999</v>
      </c>
      <c r="U67">
        <v>164.79222472109899</v>
      </c>
      <c r="V67">
        <v>118.176732849427</v>
      </c>
      <c r="W67">
        <v>0</v>
      </c>
      <c r="X67">
        <v>1574.14323729898</v>
      </c>
      <c r="Y67">
        <v>474.75969739947499</v>
      </c>
      <c r="Z67">
        <v>1591.25833886807</v>
      </c>
      <c r="AA67">
        <v>53.441057920386001</v>
      </c>
      <c r="AB67">
        <v>166.87679492691001</v>
      </c>
      <c r="AC67">
        <v>97.456436120658395</v>
      </c>
      <c r="AD67">
        <v>36.067997419354903</v>
      </c>
      <c r="AE67">
        <v>1578.7361644738301</v>
      </c>
      <c r="AG67">
        <v>91.430230412165599</v>
      </c>
      <c r="AH67">
        <v>46.517680522255198</v>
      </c>
      <c r="AI67">
        <v>66.499887640768605</v>
      </c>
      <c r="AL67">
        <v>9.4616057644422291</v>
      </c>
      <c r="AM67">
        <v>1222.4464898103799</v>
      </c>
      <c r="AN67">
        <v>302.28243339841498</v>
      </c>
      <c r="AO67">
        <v>0.0227727173333627</v>
      </c>
      <c r="AP67">
        <v>226.31510735888699</v>
      </c>
      <c r="AQ67">
        <v>288.93904196166801</v>
      </c>
      <c r="AR67">
        <v>69.933562480459997</v>
      </c>
      <c r="AS67">
        <v>1167.3880720955599</v>
      </c>
      <c r="AT67">
        <v>48.524960455452899</v>
      </c>
      <c r="AU67">
        <v>0</v>
      </c>
      <c r="AW67" t="s">
        <v>49</v>
      </c>
    </row>
    <row r="68" spans="1:49" ht="13.2">
      <c r="A68" t="s">
        <v>144</v>
      </c>
      <c r="B68" t="s">
        <v>6</v>
      </c>
      <c r="C68" t="s">
        <v>131</v>
      </c>
      <c r="D68" t="s">
        <v>49</v>
      </c>
      <c r="E68" t="s">
        <v>49</v>
      </c>
      <c r="F68" t="s">
        <v>49</v>
      </c>
      <c r="G68" t="s">
        <v>147</v>
      </c>
      <c r="H68" t="s">
        <v>49</v>
      </c>
      <c r="I68" t="s">
        <v>49</v>
      </c>
      <c r="J68" t="s">
        <v>49</v>
      </c>
      <c r="K68" t="s">
        <v>49</v>
      </c>
      <c r="L68">
        <v>15.4299778128133</v>
      </c>
      <c r="M68">
        <v>326.504146583063</v>
      </c>
      <c r="N68">
        <v>18.235420506780599</v>
      </c>
      <c r="O68">
        <v>384.33556523121001</v>
      </c>
      <c r="P68">
        <v>115.013881348947</v>
      </c>
      <c r="Q68">
        <v>767.73406706096705</v>
      </c>
      <c r="R68">
        <v>49.471195688723498</v>
      </c>
      <c r="S68">
        <v>290.48003990211299</v>
      </c>
      <c r="T68">
        <v>4796.0038004917697</v>
      </c>
      <c r="U68">
        <v>161.384293564069</v>
      </c>
      <c r="V68">
        <v>116.02061149294001</v>
      </c>
      <c r="W68">
        <v>0</v>
      </c>
      <c r="X68">
        <v>1583.74560156184</v>
      </c>
      <c r="Y68">
        <v>456.95284702247898</v>
      </c>
      <c r="Z68">
        <v>1670.0847027981399</v>
      </c>
      <c r="AA68">
        <v>53.314492212304003</v>
      </c>
      <c r="AB68">
        <v>176.004466199505</v>
      </c>
      <c r="AC68">
        <v>94.262276215715502</v>
      </c>
      <c r="AD68">
        <v>0</v>
      </c>
      <c r="AE68">
        <v>1547.7049584128499</v>
      </c>
      <c r="AG68">
        <v>96.195720648152403</v>
      </c>
      <c r="AH68">
        <v>49.355979617804202</v>
      </c>
      <c r="AI68">
        <v>57.281648447302999</v>
      </c>
      <c r="AL68">
        <v>9.7501195219123495</v>
      </c>
      <c r="AM68">
        <v>1217.2494124068301</v>
      </c>
      <c r="AN68">
        <v>229.98340436207201</v>
      </c>
      <c r="AO68">
        <v>0.035822251985064897</v>
      </c>
      <c r="AP68">
        <v>223.55873693324801</v>
      </c>
      <c r="AQ68">
        <v>290.79321266527199</v>
      </c>
      <c r="AR68">
        <v>75.209087950604001</v>
      </c>
      <c r="AS68">
        <v>1061.0512006751701</v>
      </c>
      <c r="AT68">
        <v>48.087727925323499</v>
      </c>
      <c r="AU68">
        <v>0</v>
      </c>
      <c r="AW68" t="s">
        <v>49</v>
      </c>
    </row>
    <row r="69" spans="1:49" ht="13.2">
      <c r="A69" t="s">
        <v>144</v>
      </c>
      <c r="B69" t="s">
        <v>6</v>
      </c>
      <c r="C69" t="s">
        <v>54</v>
      </c>
      <c r="D69" t="s">
        <v>49</v>
      </c>
      <c r="E69" t="s">
        <v>49</v>
      </c>
      <c r="F69" t="s">
        <v>49</v>
      </c>
      <c r="G69" t="s">
        <v>145</v>
      </c>
      <c r="H69" t="s">
        <v>49</v>
      </c>
      <c r="I69" t="s">
        <v>49</v>
      </c>
      <c r="J69" t="s">
        <v>49</v>
      </c>
      <c r="K69" t="s">
        <v>49</v>
      </c>
      <c r="L69">
        <v>29.130831583577098</v>
      </c>
      <c r="M69">
        <v>583.98431225037098</v>
      </c>
      <c r="N69">
        <v>70.682775733758902</v>
      </c>
      <c r="O69">
        <v>623.64972512910595</v>
      </c>
      <c r="P69">
        <v>0</v>
      </c>
      <c r="Q69">
        <v>981.61072484818999</v>
      </c>
      <c r="R69">
        <v>147.873948456145</v>
      </c>
      <c r="S69">
        <v>3.19527302689057</v>
      </c>
      <c r="T69">
        <v>39.7399935555678</v>
      </c>
      <c r="U69">
        <v>602.63081004068795</v>
      </c>
      <c r="V69">
        <v>155.97649951293499</v>
      </c>
      <c r="W69">
        <v>0</v>
      </c>
      <c r="X69">
        <v>3535.9446594398501</v>
      </c>
      <c r="Y69">
        <v>898.606637442227</v>
      </c>
      <c r="Z69">
        <v>3760.7868087803599</v>
      </c>
      <c r="AA69">
        <v>194.68627140289499</v>
      </c>
      <c r="AB69">
        <v>482.646283284741</v>
      </c>
      <c r="AC69">
        <v>8.3810475401466409</v>
      </c>
      <c r="AD69">
        <v>0</v>
      </c>
      <c r="AE69">
        <v>4075.08187272848</v>
      </c>
      <c r="AG69">
        <v>132.91436543129001</v>
      </c>
      <c r="AH69">
        <v>37.343989791988101</v>
      </c>
      <c r="AI69">
        <v>124.285647697589</v>
      </c>
      <c r="AL69">
        <v>35.1255829183267</v>
      </c>
      <c r="AM69">
        <v>1749.5523599999599</v>
      </c>
      <c r="AN69">
        <v>0.214296593852697</v>
      </c>
      <c r="AO69">
        <v>0.0298387643148285</v>
      </c>
      <c r="AP69">
        <v>433.67651543708399</v>
      </c>
      <c r="AQ69">
        <v>0.0016925711810700499</v>
      </c>
      <c r="AR69">
        <v>0</v>
      </c>
      <c r="AS69">
        <v>862.75969510105801</v>
      </c>
      <c r="AT69">
        <v>160.70119150092401</v>
      </c>
      <c r="AU69">
        <v>0</v>
      </c>
      <c r="AW69" t="s">
        <v>49</v>
      </c>
    </row>
    <row r="70" spans="1:49" ht="13.2">
      <c r="A70" t="s">
        <v>144</v>
      </c>
      <c r="B70" t="s">
        <v>6</v>
      </c>
      <c r="C70" t="s">
        <v>54</v>
      </c>
      <c r="D70" t="s">
        <v>49</v>
      </c>
      <c r="E70" t="s">
        <v>49</v>
      </c>
      <c r="F70" t="s">
        <v>49</v>
      </c>
      <c r="G70" t="s">
        <v>146</v>
      </c>
      <c r="H70" t="s">
        <v>49</v>
      </c>
      <c r="I70" t="s">
        <v>49</v>
      </c>
      <c r="J70" t="s">
        <v>49</v>
      </c>
      <c r="K70" t="s">
        <v>49</v>
      </c>
      <c r="L70">
        <v>25.818578831415198</v>
      </c>
      <c r="M70">
        <v>635.01478022169204</v>
      </c>
      <c r="N70">
        <v>55.4054973285266</v>
      </c>
      <c r="O70">
        <v>845.57288066730302</v>
      </c>
      <c r="P70">
        <v>319.96654996322201</v>
      </c>
      <c r="Q70">
        <v>954.783274466845</v>
      </c>
      <c r="R70">
        <v>154.715785941701</v>
      </c>
      <c r="S70">
        <v>0.37814570451512503</v>
      </c>
      <c r="T70">
        <v>9470.3207654035905</v>
      </c>
      <c r="U70">
        <v>663.29659880432496</v>
      </c>
      <c r="V70">
        <v>168.551985535867</v>
      </c>
      <c r="W70">
        <v>0</v>
      </c>
      <c r="X70">
        <v>3970.4173290591998</v>
      </c>
      <c r="Y70">
        <v>931.27052065651299</v>
      </c>
      <c r="Z70">
        <v>4397.2932149584103</v>
      </c>
      <c r="AA70">
        <v>179.53744438118201</v>
      </c>
      <c r="AB70">
        <v>558.03530217561797</v>
      </c>
      <c r="AC70">
        <v>348.57538632882603</v>
      </c>
      <c r="AD70">
        <v>58.981161048387101</v>
      </c>
      <c r="AE70">
        <v>3966.2624519462702</v>
      </c>
      <c r="AG70">
        <v>137.944218886828</v>
      </c>
      <c r="AH70">
        <v>53.814571584569698</v>
      </c>
      <c r="AI70">
        <v>90.241548167146703</v>
      </c>
      <c r="AL70">
        <v>38.056680963645398</v>
      </c>
      <c r="AM70">
        <v>1907.9146312740199</v>
      </c>
      <c r="AN70">
        <v>265.68204559056602</v>
      </c>
      <c r="AO70">
        <v>0.071133482786242902</v>
      </c>
      <c r="AP70">
        <v>445.01181745185397</v>
      </c>
      <c r="AQ70">
        <v>780.25817719008603</v>
      </c>
      <c r="AR70">
        <v>213.58035900943401</v>
      </c>
      <c r="AS70">
        <v>767.887978776556</v>
      </c>
      <c r="AT70">
        <v>153.31722976414</v>
      </c>
      <c r="AU70">
        <v>0</v>
      </c>
      <c r="AW70" t="s">
        <v>49</v>
      </c>
    </row>
    <row r="71" spans="1:49" ht="13.2">
      <c r="A71" t="s">
        <v>144</v>
      </c>
      <c r="B71" t="s">
        <v>6</v>
      </c>
      <c r="C71" t="s">
        <v>54</v>
      </c>
      <c r="D71" t="s">
        <v>49</v>
      </c>
      <c r="E71" t="s">
        <v>49</v>
      </c>
      <c r="F71" t="s">
        <v>49</v>
      </c>
      <c r="G71" t="s">
        <v>147</v>
      </c>
      <c r="H71" t="s">
        <v>49</v>
      </c>
      <c r="I71" t="s">
        <v>49</v>
      </c>
      <c r="J71" t="s">
        <v>49</v>
      </c>
      <c r="K71" t="s">
        <v>49</v>
      </c>
      <c r="L71">
        <v>46.797403344573702</v>
      </c>
      <c r="M71">
        <v>632.92947213179502</v>
      </c>
      <c r="N71">
        <v>54.456751259054599</v>
      </c>
      <c r="O71">
        <v>911.17457988367801</v>
      </c>
      <c r="P71">
        <v>293.31464733442101</v>
      </c>
      <c r="Q71">
        <v>913.87694147680304</v>
      </c>
      <c r="R71">
        <v>160.51261353850799</v>
      </c>
      <c r="S71">
        <v>867.99053063294002</v>
      </c>
      <c r="T71">
        <v>9108.4838639971695</v>
      </c>
      <c r="U71">
        <v>649.57951264178098</v>
      </c>
      <c r="V71">
        <v>165.47677329290201</v>
      </c>
      <c r="W71">
        <v>0</v>
      </c>
      <c r="X71">
        <v>3994.6371030707701</v>
      </c>
      <c r="Y71">
        <v>896.34128190126103</v>
      </c>
      <c r="Z71">
        <v>4615.1224805169604</v>
      </c>
      <c r="AA71">
        <v>179.11224165018101</v>
      </c>
      <c r="AB71">
        <v>588.55819661995099</v>
      </c>
      <c r="AC71">
        <v>337.15073786863599</v>
      </c>
      <c r="AD71">
        <v>0</v>
      </c>
      <c r="AE71">
        <v>3888.30268247505</v>
      </c>
      <c r="AG71">
        <v>145.134092796722</v>
      </c>
      <c r="AH71">
        <v>57.098094067655801</v>
      </c>
      <c r="AI71">
        <v>77.732231148640693</v>
      </c>
      <c r="AL71">
        <v>39.217147410358599</v>
      </c>
      <c r="AM71">
        <v>1899.8033723348799</v>
      </c>
      <c r="AN71">
        <v>202.13699034989401</v>
      </c>
      <c r="AO71">
        <v>0.111895366180607</v>
      </c>
      <c r="AP71">
        <v>439.59186371125298</v>
      </c>
      <c r="AQ71">
        <v>785.26522588648595</v>
      </c>
      <c r="AR71">
        <v>229.69205965662499</v>
      </c>
      <c r="AS71">
        <v>697.94139698747597</v>
      </c>
      <c r="AT71">
        <v>151.93577000295701</v>
      </c>
      <c r="AU71">
        <v>0</v>
      </c>
      <c r="AW71" t="s">
        <v>49</v>
      </c>
    </row>
    <row r="72" spans="1:49" ht="13.2">
      <c r="A72" t="s">
        <v>144</v>
      </c>
      <c r="B72" t="s">
        <v>6</v>
      </c>
      <c r="C72" t="s">
        <v>55</v>
      </c>
      <c r="D72" t="s">
        <v>49</v>
      </c>
      <c r="E72" t="s">
        <v>49</v>
      </c>
      <c r="F72" t="s">
        <v>49</v>
      </c>
      <c r="G72" t="s">
        <v>145</v>
      </c>
      <c r="H72" t="s">
        <v>49</v>
      </c>
      <c r="I72" t="s">
        <v>49</v>
      </c>
      <c r="J72" t="s">
        <v>49</v>
      </c>
      <c r="K72" t="s">
        <v>49</v>
      </c>
      <c r="L72">
        <v>60.742162135089004</v>
      </c>
      <c r="M72">
        <v>872.05731165074803</v>
      </c>
      <c r="N72">
        <v>140.44595436543699</v>
      </c>
      <c r="O72">
        <v>973.23072237902795</v>
      </c>
      <c r="P72">
        <v>0</v>
      </c>
      <c r="Q72">
        <v>936.096070099587</v>
      </c>
      <c r="R72">
        <v>164.901873552344</v>
      </c>
      <c r="S72">
        <v>8.0337442302491109</v>
      </c>
      <c r="T72">
        <v>53.467864728687204</v>
      </c>
      <c r="U72">
        <v>644.03439211131501</v>
      </c>
      <c r="V72">
        <v>96.365535347294596</v>
      </c>
      <c r="W72">
        <v>0</v>
      </c>
      <c r="X72">
        <v>3220.7199083626101</v>
      </c>
      <c r="Y72">
        <v>677.93764735325601</v>
      </c>
      <c r="Z72">
        <v>6226.6115615198696</v>
      </c>
      <c r="AA72">
        <v>454.92331613570599</v>
      </c>
      <c r="AB72">
        <v>1437.8660303392101</v>
      </c>
      <c r="AC72">
        <v>5.9169382065466296</v>
      </c>
      <c r="AD72">
        <v>0</v>
      </c>
      <c r="AE72">
        <v>11050.4271978257</v>
      </c>
      <c r="AG72">
        <v>175.72927905558899</v>
      </c>
      <c r="AH72">
        <v>42.284039236795202</v>
      </c>
      <c r="AI72">
        <v>69.763853060016601</v>
      </c>
      <c r="AL72">
        <v>129.32730359561799</v>
      </c>
      <c r="AM72">
        <v>2749.3918222829798</v>
      </c>
      <c r="AN72">
        <v>0.22850209066305799</v>
      </c>
      <c r="AO72">
        <v>0.059228871571271199</v>
      </c>
      <c r="AP72">
        <v>1335.48934194143</v>
      </c>
      <c r="AQ72">
        <v>0.0049217553058107499</v>
      </c>
      <c r="AR72">
        <v>0</v>
      </c>
      <c r="AS72">
        <v>626.08640454658098</v>
      </c>
      <c r="AT72">
        <v>312.44143070609999</v>
      </c>
      <c r="AU72">
        <v>0</v>
      </c>
      <c r="AW72" t="s">
        <v>49</v>
      </c>
    </row>
    <row r="73" spans="1:49" ht="13.2">
      <c r="A73" t="s">
        <v>144</v>
      </c>
      <c r="B73" t="s">
        <v>6</v>
      </c>
      <c r="C73" t="s">
        <v>55</v>
      </c>
      <c r="D73" t="s">
        <v>49</v>
      </c>
      <c r="E73" t="s">
        <v>49</v>
      </c>
      <c r="F73" t="s">
        <v>49</v>
      </c>
      <c r="G73" t="s">
        <v>146</v>
      </c>
      <c r="H73" t="s">
        <v>49</v>
      </c>
      <c r="I73" t="s">
        <v>49</v>
      </c>
      <c r="J73" t="s">
        <v>49</v>
      </c>
      <c r="K73" t="s">
        <v>49</v>
      </c>
      <c r="L73">
        <v>53.835617324413597</v>
      </c>
      <c r="M73">
        <v>948.26054481614403</v>
      </c>
      <c r="N73">
        <v>110.090158013985</v>
      </c>
      <c r="O73">
        <v>1319.55081886005</v>
      </c>
      <c r="P73">
        <v>591.06320077557598</v>
      </c>
      <c r="Q73">
        <v>910.51253658974997</v>
      </c>
      <c r="R73">
        <v>172.53155972552</v>
      </c>
      <c r="S73">
        <v>0.95075627224199299</v>
      </c>
      <c r="T73">
        <v>12741.769293793301</v>
      </c>
      <c r="U73">
        <v>708.86820700654903</v>
      </c>
      <c r="V73">
        <v>104.13493295934801</v>
      </c>
      <c r="W73">
        <v>0</v>
      </c>
      <c r="X73">
        <v>3616.4599188706302</v>
      </c>
      <c r="Y73">
        <v>702.58032771754199</v>
      </c>
      <c r="Z73">
        <v>7280.4543739963901</v>
      </c>
      <c r="AA73">
        <v>419.525059367913</v>
      </c>
      <c r="AB73">
        <v>1662.45971950234</v>
      </c>
      <c r="AC73">
        <v>246.09083904500699</v>
      </c>
      <c r="AD73">
        <v>34.787059032258</v>
      </c>
      <c r="AE73">
        <v>10755.3408352397</v>
      </c>
      <c r="AG73">
        <v>182.379369274422</v>
      </c>
      <c r="AH73">
        <v>60.933431833827903</v>
      </c>
      <c r="AI73">
        <v>50.654264775283103</v>
      </c>
      <c r="AL73">
        <v>140.11918163097599</v>
      </c>
      <c r="AM73">
        <v>2998.2554422314902</v>
      </c>
      <c r="AN73">
        <v>283.29383018944498</v>
      </c>
      <c r="AO73">
        <v>0.14119739919222701</v>
      </c>
      <c r="AP73">
        <v>1370.3959474170699</v>
      </c>
      <c r="AQ73">
        <v>2268.8793632062798</v>
      </c>
      <c r="AR73">
        <v>415.84544850563299</v>
      </c>
      <c r="AS73">
        <v>557.240013014797</v>
      </c>
      <c r="AT73">
        <v>298.08524860332699</v>
      </c>
      <c r="AU73">
        <v>0</v>
      </c>
      <c r="AW73" t="s">
        <v>49</v>
      </c>
    </row>
    <row r="74" spans="1:49" ht="13.2">
      <c r="A74" t="s">
        <v>144</v>
      </c>
      <c r="B74" t="s">
        <v>6</v>
      </c>
      <c r="C74" t="s">
        <v>55</v>
      </c>
      <c r="D74" t="s">
        <v>49</v>
      </c>
      <c r="E74" t="s">
        <v>49</v>
      </c>
      <c r="F74" t="s">
        <v>49</v>
      </c>
      <c r="G74" t="s">
        <v>147</v>
      </c>
      <c r="H74" t="s">
        <v>49</v>
      </c>
      <c r="I74" t="s">
        <v>49</v>
      </c>
      <c r="J74" t="s">
        <v>49</v>
      </c>
      <c r="K74" t="s">
        <v>49</v>
      </c>
      <c r="L74">
        <v>97.579619493588098</v>
      </c>
      <c r="M74">
        <v>945.14657731960199</v>
      </c>
      <c r="N74">
        <v>108.205009251869</v>
      </c>
      <c r="O74">
        <v>1421.9249345616599</v>
      </c>
      <c r="P74">
        <v>541.83005788501805</v>
      </c>
      <c r="Q74">
        <v>871.50292047121695</v>
      </c>
      <c r="R74">
        <v>178.99590142568701</v>
      </c>
      <c r="S74">
        <v>2182.3530755270499</v>
      </c>
      <c r="T74">
        <v>12254.9386537431</v>
      </c>
      <c r="U74">
        <v>694.20869225715103</v>
      </c>
      <c r="V74">
        <v>102.235002681228</v>
      </c>
      <c r="W74">
        <v>0</v>
      </c>
      <c r="X74">
        <v>3638.5205323270202</v>
      </c>
      <c r="Y74">
        <v>676.22859052920103</v>
      </c>
      <c r="Z74">
        <v>7641.1071555360504</v>
      </c>
      <c r="AA74">
        <v>418.53148835223197</v>
      </c>
      <c r="AB74">
        <v>1753.39139056059</v>
      </c>
      <c r="AC74">
        <v>238.02514813385901</v>
      </c>
      <c r="AD74">
        <v>0</v>
      </c>
      <c r="AE74">
        <v>10543.936798754899</v>
      </c>
      <c r="AG74">
        <v>191.885274483286</v>
      </c>
      <c r="AH74">
        <v>64.651315067062299</v>
      </c>
      <c r="AI74">
        <v>43.632551725328497</v>
      </c>
      <c r="AL74">
        <v>144.39185083665299</v>
      </c>
      <c r="AM74">
        <v>2985.5087365566201</v>
      </c>
      <c r="AN74">
        <v>215.53643977672499</v>
      </c>
      <c r="AO74">
        <v>0.22210826839226699</v>
      </c>
      <c r="AP74">
        <v>1353.7054184243</v>
      </c>
      <c r="AQ74">
        <v>2283.4391458396999</v>
      </c>
      <c r="AR74">
        <v>447.21526833781797</v>
      </c>
      <c r="AS74">
        <v>506.48126274944201</v>
      </c>
      <c r="AT74">
        <v>295.39936145951901</v>
      </c>
      <c r="AU74">
        <v>0</v>
      </c>
      <c r="AW74" t="s">
        <v>49</v>
      </c>
    </row>
    <row r="75" spans="1:49" ht="13.2">
      <c r="A75" t="s">
        <v>144</v>
      </c>
      <c r="B75" t="s">
        <v>6</v>
      </c>
      <c r="C75" t="s">
        <v>56</v>
      </c>
      <c r="D75" t="s">
        <v>49</v>
      </c>
      <c r="E75" t="s">
        <v>49</v>
      </c>
      <c r="F75" t="s">
        <v>49</v>
      </c>
      <c r="G75" t="s">
        <v>145</v>
      </c>
      <c r="H75" t="s">
        <v>49</v>
      </c>
      <c r="I75" t="s">
        <v>49</v>
      </c>
      <c r="J75" t="s">
        <v>49</v>
      </c>
      <c r="K75" t="s">
        <v>49</v>
      </c>
      <c r="L75">
        <v>11.6100270970451</v>
      </c>
      <c r="M75">
        <v>261.84216855262702</v>
      </c>
      <c r="N75">
        <v>31.6933930711884</v>
      </c>
      <c r="O75">
        <v>279.62964231732701</v>
      </c>
      <c r="P75">
        <v>0</v>
      </c>
      <c r="Q75">
        <v>440.12702062181199</v>
      </c>
      <c r="R75">
        <v>66.304314013798802</v>
      </c>
      <c r="S75">
        <v>1.43265882330961</v>
      </c>
      <c r="T75">
        <v>17.818346440279601</v>
      </c>
      <c r="U75">
        <v>270.207639398369</v>
      </c>
      <c r="V75">
        <v>69.930273795129395</v>
      </c>
      <c r="W75">
        <v>0</v>
      </c>
      <c r="X75">
        <v>1479.54068554541</v>
      </c>
      <c r="Y75">
        <v>402.90699482647102</v>
      </c>
      <c r="Z75">
        <v>1686.23228883037</v>
      </c>
      <c r="AA75">
        <v>87.297159564535605</v>
      </c>
      <c r="AB75">
        <v>216.40748279693599</v>
      </c>
      <c r="AC75">
        <v>4.0387993957608499</v>
      </c>
      <c r="AD75">
        <v>0</v>
      </c>
      <c r="AE75">
        <v>1827.15314394849</v>
      </c>
      <c r="AG75">
        <v>59.594941219458498</v>
      </c>
      <c r="AH75">
        <v>17.108573015430299</v>
      </c>
      <c r="AI75">
        <v>55.735178600007899</v>
      </c>
      <c r="AL75">
        <v>15.750233754980099</v>
      </c>
      <c r="AM75">
        <v>784.686818840873</v>
      </c>
      <c r="AN75">
        <v>0.11938319930407899</v>
      </c>
      <c r="AO75">
        <v>0.013379763584549601</v>
      </c>
      <c r="AP75">
        <v>194.44771384373399</v>
      </c>
      <c r="AQ75">
        <v>0.00075889392937743597</v>
      </c>
      <c r="AR75">
        <v>0</v>
      </c>
      <c r="AS75">
        <v>386.45131421633499</v>
      </c>
      <c r="AT75">
        <v>72.055390691312397</v>
      </c>
      <c r="AU75">
        <v>0</v>
      </c>
      <c r="AW75" t="s">
        <v>49</v>
      </c>
    </row>
    <row r="76" spans="1:49" ht="13.2">
      <c r="A76" t="s">
        <v>144</v>
      </c>
      <c r="B76" t="s">
        <v>6</v>
      </c>
      <c r="C76" t="s">
        <v>56</v>
      </c>
      <c r="D76" t="s">
        <v>49</v>
      </c>
      <c r="E76" t="s">
        <v>49</v>
      </c>
      <c r="F76" t="s">
        <v>49</v>
      </c>
      <c r="G76" t="s">
        <v>146</v>
      </c>
      <c r="H76" t="s">
        <v>49</v>
      </c>
      <c r="I76" t="s">
        <v>49</v>
      </c>
      <c r="J76" t="s">
        <v>49</v>
      </c>
      <c r="K76" t="s">
        <v>49</v>
      </c>
      <c r="L76">
        <v>10.289936247783499</v>
      </c>
      <c r="M76">
        <v>284.72279756195098</v>
      </c>
      <c r="N76">
        <v>24.843226470787702</v>
      </c>
      <c r="O76">
        <v>379.13468513961402</v>
      </c>
      <c r="P76">
        <v>143.467683657208</v>
      </c>
      <c r="Q76">
        <v>428.09833602380399</v>
      </c>
      <c r="R76">
        <v>69.372084542751907</v>
      </c>
      <c r="S76">
        <v>0.16954850978647701</v>
      </c>
      <c r="T76">
        <v>4246.2376362135301</v>
      </c>
      <c r="U76">
        <v>297.40896946802798</v>
      </c>
      <c r="V76">
        <v>75.568348655358704</v>
      </c>
      <c r="W76">
        <v>0</v>
      </c>
      <c r="X76">
        <v>1661.33651477119</v>
      </c>
      <c r="Y76">
        <v>417.55245422647101</v>
      </c>
      <c r="Z76">
        <v>1971.6240721771301</v>
      </c>
      <c r="AA76">
        <v>80.504438330518695</v>
      </c>
      <c r="AB76">
        <v>250.21018339513</v>
      </c>
      <c r="AC76">
        <v>167.97733850550799</v>
      </c>
      <c r="AD76">
        <v>26.498782500000001</v>
      </c>
      <c r="AE76">
        <v>1778.36154834019</v>
      </c>
      <c r="AG76">
        <v>61.850181426584498</v>
      </c>
      <c r="AH76">
        <v>24.654316059347199</v>
      </c>
      <c r="AI76">
        <v>40.4682994168015</v>
      </c>
      <c r="AL76">
        <v>17.064531640936298</v>
      </c>
      <c r="AM76">
        <v>855.71343668411305</v>
      </c>
      <c r="AN76">
        <v>148.009690821574</v>
      </c>
      <c r="AO76">
        <v>0.031896400688167501</v>
      </c>
      <c r="AP76">
        <v>199.530127772187</v>
      </c>
      <c r="AQ76">
        <v>349.84241764196298</v>
      </c>
      <c r="AR76">
        <v>95.775630004472703</v>
      </c>
      <c r="AS76">
        <v>343.95593611308601</v>
      </c>
      <c r="AT76">
        <v>68.744561177079504</v>
      </c>
      <c r="AU76">
        <v>0</v>
      </c>
      <c r="AW76" t="s">
        <v>49</v>
      </c>
    </row>
    <row r="77" spans="1:49" ht="13.2">
      <c r="A77" t="s">
        <v>144</v>
      </c>
      <c r="B77" t="s">
        <v>6</v>
      </c>
      <c r="C77" t="s">
        <v>56</v>
      </c>
      <c r="D77" t="s">
        <v>49</v>
      </c>
      <c r="E77" t="s">
        <v>49</v>
      </c>
      <c r="F77" t="s">
        <v>49</v>
      </c>
      <c r="G77" t="s">
        <v>147</v>
      </c>
      <c r="H77" t="s">
        <v>49</v>
      </c>
      <c r="I77" t="s">
        <v>49</v>
      </c>
      <c r="J77" t="s">
        <v>49</v>
      </c>
      <c r="K77" t="s">
        <v>49</v>
      </c>
      <c r="L77">
        <v>18.6509993490249</v>
      </c>
      <c r="M77">
        <v>283.78780396553901</v>
      </c>
      <c r="N77">
        <v>24.417818982296001</v>
      </c>
      <c r="O77">
        <v>408.54892032345202</v>
      </c>
      <c r="P77">
        <v>131.51741343161399</v>
      </c>
      <c r="Q77">
        <v>409.75707099101299</v>
      </c>
      <c r="R77">
        <v>71.971289347082305</v>
      </c>
      <c r="S77">
        <v>389.17935393789998</v>
      </c>
      <c r="T77">
        <v>4083.9996817679198</v>
      </c>
      <c r="U77">
        <v>291.25850153699901</v>
      </c>
      <c r="V77">
        <v>74.189612532929004</v>
      </c>
      <c r="W77">
        <v>0</v>
      </c>
      <c r="X77">
        <v>1671.47076304037</v>
      </c>
      <c r="Y77">
        <v>401.89128054705901</v>
      </c>
      <c r="Z77">
        <v>2069.2926611488501</v>
      </c>
      <c r="AA77">
        <v>80.313777785283506</v>
      </c>
      <c r="AB77">
        <v>263.89594661995102</v>
      </c>
      <c r="AC77">
        <v>162.47183778178999</v>
      </c>
      <c r="AD77">
        <v>0</v>
      </c>
      <c r="AE77">
        <v>1743.4065603572201</v>
      </c>
      <c r="AG77">
        <v>65.073912071839203</v>
      </c>
      <c r="AH77">
        <v>26.158611247477801</v>
      </c>
      <c r="AI77">
        <v>34.858568678727799</v>
      </c>
      <c r="AL77">
        <v>17.584882231075699</v>
      </c>
      <c r="AM77">
        <v>852.07547870167798</v>
      </c>
      <c r="AN77">
        <v>112.609165511309</v>
      </c>
      <c r="AO77">
        <v>0.050174113442061199</v>
      </c>
      <c r="AP77">
        <v>197.099980931202</v>
      </c>
      <c r="AQ77">
        <v>352.08741560854401</v>
      </c>
      <c r="AR77">
        <v>103.000584054952</v>
      </c>
      <c r="AS77">
        <v>312.62513958791402</v>
      </c>
      <c r="AT77">
        <v>68.125140612199601</v>
      </c>
      <c r="AU77">
        <v>0</v>
      </c>
      <c r="AW77" t="s">
        <v>49</v>
      </c>
    </row>
    <row r="78" spans="1:49" ht="13.2">
      <c r="A78" t="s">
        <v>144</v>
      </c>
      <c r="B78" t="s">
        <v>6</v>
      </c>
      <c r="C78" t="s">
        <v>57</v>
      </c>
      <c r="D78" t="s">
        <v>49</v>
      </c>
      <c r="E78" t="s">
        <v>49</v>
      </c>
      <c r="F78" t="s">
        <v>49</v>
      </c>
      <c r="G78" t="s">
        <v>145</v>
      </c>
      <c r="H78" t="s">
        <v>49</v>
      </c>
      <c r="I78" t="s">
        <v>49</v>
      </c>
      <c r="J78" t="s">
        <v>49</v>
      </c>
      <c r="K78" t="s">
        <v>49</v>
      </c>
      <c r="L78">
        <v>0.0016427931414868099</v>
      </c>
      <c r="M78">
        <v>0.00014919983594307001</v>
      </c>
      <c r="N78">
        <v>8.8816796175538297E-05</v>
      </c>
      <c r="O78">
        <v>0.0022130760023601499</v>
      </c>
      <c r="P78">
        <v>15.01423264996</v>
      </c>
      <c r="Q78">
        <v>0.011660323050765101</v>
      </c>
      <c r="R78">
        <v>0</v>
      </c>
      <c r="S78">
        <v>0.0043610909252669002</v>
      </c>
      <c r="T78">
        <v>75.484100545820596</v>
      </c>
      <c r="U78">
        <v>0.00062885246076720201</v>
      </c>
      <c r="V78">
        <v>0.000506726523263527</v>
      </c>
      <c r="W78">
        <v>0</v>
      </c>
      <c r="X78">
        <v>0.69701030867275104</v>
      </c>
      <c r="Y78">
        <v>0.000187937079831933</v>
      </c>
      <c r="Z78">
        <v>0.035185819759323597</v>
      </c>
      <c r="AA78">
        <v>0.00226010193003619</v>
      </c>
      <c r="AB78">
        <v>0.0010755705467194801</v>
      </c>
      <c r="AC78">
        <v>0</v>
      </c>
      <c r="AD78">
        <v>0</v>
      </c>
      <c r="AE78">
        <v>186.62194396054301</v>
      </c>
      <c r="AG78">
        <v>0</v>
      </c>
      <c r="AH78">
        <v>0.081566070623145401</v>
      </c>
      <c r="AI78">
        <v>0</v>
      </c>
      <c r="AL78">
        <v>9.2442729083665396E-05</v>
      </c>
      <c r="AM78">
        <v>27.101534345487501</v>
      </c>
      <c r="AN78">
        <v>0.0057475734583413898</v>
      </c>
      <c r="AO78">
        <v>0</v>
      </c>
      <c r="AP78">
        <v>4.85315878657289</v>
      </c>
      <c r="AQ78">
        <v>0.195398535231495</v>
      </c>
      <c r="AR78">
        <v>0</v>
      </c>
      <c r="AS78">
        <v>0.0111122119120443</v>
      </c>
      <c r="AT78">
        <v>0.73230475674676498</v>
      </c>
      <c r="AU78">
        <v>3.5283500590141901</v>
      </c>
      <c r="AW78" t="s">
        <v>49</v>
      </c>
    </row>
    <row r="79" spans="1:49" ht="13.2">
      <c r="A79" t="s">
        <v>144</v>
      </c>
      <c r="B79" t="s">
        <v>6</v>
      </c>
      <c r="C79" t="s">
        <v>57</v>
      </c>
      <c r="D79" t="s">
        <v>49</v>
      </c>
      <c r="E79" t="s">
        <v>49</v>
      </c>
      <c r="F79" t="s">
        <v>49</v>
      </c>
      <c r="G79" t="s">
        <v>146</v>
      </c>
      <c r="H79" t="s">
        <v>49</v>
      </c>
      <c r="I79" t="s">
        <v>49</v>
      </c>
      <c r="J79" t="s">
        <v>49</v>
      </c>
      <c r="K79" t="s">
        <v>49</v>
      </c>
      <c r="L79">
        <v>0.018935352525558499</v>
      </c>
      <c r="M79">
        <v>0.00029839967188613898</v>
      </c>
      <c r="N79">
        <v>0.00071053436940430605</v>
      </c>
      <c r="O79">
        <v>0.0018442300019667901</v>
      </c>
      <c r="P79">
        <v>31.913365283531299</v>
      </c>
      <c r="Q79">
        <v>0.0238388826815642</v>
      </c>
      <c r="R79">
        <v>0</v>
      </c>
      <c r="S79">
        <v>8.2995454139012406</v>
      </c>
      <c r="T79">
        <v>54.990008667587098</v>
      </c>
      <c r="U79">
        <v>0.000359344263295544</v>
      </c>
      <c r="V79">
        <v>0.00076008978489529105</v>
      </c>
      <c r="W79">
        <v>0</v>
      </c>
      <c r="X79">
        <v>2.3628824007489202</v>
      </c>
      <c r="Y79">
        <v>0.000375874159663866</v>
      </c>
      <c r="Z79">
        <v>0.018689203967118401</v>
      </c>
      <c r="AA79">
        <v>0.0041556712907117</v>
      </c>
      <c r="AB79">
        <v>0.0010755705467194801</v>
      </c>
      <c r="AC79">
        <v>0</v>
      </c>
      <c r="AD79">
        <v>0</v>
      </c>
      <c r="AE79">
        <v>233.915650210975</v>
      </c>
      <c r="AG79">
        <v>0.0110039677314665</v>
      </c>
      <c r="AH79">
        <v>0</v>
      </c>
      <c r="AI79">
        <v>5.7379574967446603</v>
      </c>
      <c r="AL79">
        <v>0.00023110682270916299</v>
      </c>
      <c r="AM79">
        <v>17.6849054636494</v>
      </c>
      <c r="AN79">
        <v>0.0060500773245698797</v>
      </c>
      <c r="AO79">
        <v>0</v>
      </c>
      <c r="AP79">
        <v>5.9290692120844</v>
      </c>
      <c r="AQ79">
        <v>0.0014886015113866899</v>
      </c>
      <c r="AR79">
        <v>0.0029024097314986502</v>
      </c>
      <c r="AS79">
        <v>0.0049387608497974697</v>
      </c>
      <c r="AT79">
        <v>0.79698513493530498</v>
      </c>
      <c r="AU79">
        <v>4.0661362517299802</v>
      </c>
      <c r="AW79" t="s">
        <v>49</v>
      </c>
    </row>
    <row r="80" spans="1:49" ht="13.2">
      <c r="A80" t="s">
        <v>144</v>
      </c>
      <c r="B80" t="s">
        <v>6</v>
      </c>
      <c r="C80" t="s">
        <v>57</v>
      </c>
      <c r="D80" t="s">
        <v>49</v>
      </c>
      <c r="E80" t="s">
        <v>49</v>
      </c>
      <c r="F80" t="s">
        <v>49</v>
      </c>
      <c r="G80" t="s">
        <v>147</v>
      </c>
      <c r="H80" t="s">
        <v>49</v>
      </c>
      <c r="I80" t="s">
        <v>49</v>
      </c>
      <c r="J80" t="s">
        <v>49</v>
      </c>
      <c r="K80" t="s">
        <v>49</v>
      </c>
      <c r="L80">
        <v>0.048678554666161701</v>
      </c>
      <c r="M80">
        <v>0.00014919983594307001</v>
      </c>
      <c r="N80">
        <v>0.0009769847579309209</v>
      </c>
      <c r="O80">
        <v>0.0034425626703380101</v>
      </c>
      <c r="P80">
        <v>39.840110298381099</v>
      </c>
      <c r="Q80">
        <v>0.0272074204517853</v>
      </c>
      <c r="R80">
        <v>0</v>
      </c>
      <c r="S80">
        <v>9.1817318067838105</v>
      </c>
      <c r="T80">
        <v>49.7502068813791</v>
      </c>
      <c r="U80">
        <v>0.00071868852659108897</v>
      </c>
      <c r="V80">
        <v>0.0174820650525917</v>
      </c>
      <c r="W80">
        <v>0</v>
      </c>
      <c r="X80">
        <v>2.6724061772212999</v>
      </c>
      <c r="Y80">
        <v>0.000187937079831933</v>
      </c>
      <c r="Z80">
        <v>0.014199618656581601</v>
      </c>
      <c r="AA80">
        <v>0.0038640452352231599</v>
      </c>
      <c r="AB80">
        <v>0.0023409476605071099</v>
      </c>
      <c r="AC80">
        <v>0</v>
      </c>
      <c r="AD80">
        <v>0</v>
      </c>
      <c r="AE80">
        <v>264.84119211173299</v>
      </c>
      <c r="AG80">
        <v>0.018532998284575102</v>
      </c>
      <c r="AH80">
        <v>0</v>
      </c>
      <c r="AI80">
        <v>5.7012015152112996</v>
      </c>
      <c r="AL80">
        <v>0.00023110682270916299</v>
      </c>
      <c r="AM80">
        <v>16.317244303397999</v>
      </c>
      <c r="AN80">
        <v>0.00030250386622849402</v>
      </c>
      <c r="AO80">
        <v>0</v>
      </c>
      <c r="AP80">
        <v>7.6242718609334998</v>
      </c>
      <c r="AQ80">
        <v>0.00195868619919302</v>
      </c>
      <c r="AR80">
        <v>0.002550602491317</v>
      </c>
      <c r="AS80">
        <v>0.083547371042407198</v>
      </c>
      <c r="AT80">
        <v>0.76857014029574799</v>
      </c>
      <c r="AU80">
        <v>3.89062134995716</v>
      </c>
      <c r="AW80" t="s">
        <v>49</v>
      </c>
    </row>
    <row r="81" spans="1:49" ht="13.2">
      <c r="A81" t="s">
        <v>144</v>
      </c>
      <c r="B81" t="s">
        <v>6</v>
      </c>
      <c r="C81" t="s">
        <v>58</v>
      </c>
      <c r="D81" t="s">
        <v>49</v>
      </c>
      <c r="E81" t="s">
        <v>49</v>
      </c>
      <c r="F81" t="s">
        <v>49</v>
      </c>
      <c r="G81" t="s">
        <v>145</v>
      </c>
      <c r="H81" t="s">
        <v>49</v>
      </c>
      <c r="I81" t="s">
        <v>49</v>
      </c>
      <c r="J81" t="s">
        <v>49</v>
      </c>
      <c r="K81" t="s">
        <v>49</v>
      </c>
      <c r="L81">
        <v>0.0049824085417683704</v>
      </c>
      <c r="M81">
        <v>0.00028922442300919899</v>
      </c>
      <c r="N81">
        <v>0.00026523513264522602</v>
      </c>
      <c r="O81">
        <v>0.0052467134949846896</v>
      </c>
      <c r="P81">
        <v>38.290111620167998</v>
      </c>
      <c r="Q81">
        <v>0.013879936847218799</v>
      </c>
      <c r="R81">
        <v>0</v>
      </c>
      <c r="S81">
        <v>0.0130314827402135</v>
      </c>
      <c r="T81">
        <v>143.358041488509</v>
      </c>
      <c r="U81">
        <v>0.0025311612794994402</v>
      </c>
      <c r="V81">
        <v>0.00072272908177769396</v>
      </c>
      <c r="W81">
        <v>0</v>
      </c>
      <c r="X81">
        <v>1.75804954880454</v>
      </c>
      <c r="Y81">
        <v>0.00036865021008403398</v>
      </c>
      <c r="Z81">
        <v>0.0972327137028446</v>
      </c>
      <c r="AA81">
        <v>0.0075929059107358301</v>
      </c>
      <c r="AB81">
        <v>0.0035967033961353599</v>
      </c>
      <c r="AC81">
        <v>0</v>
      </c>
      <c r="AD81">
        <v>0</v>
      </c>
      <c r="AE81">
        <v>468.85073370484099</v>
      </c>
      <c r="AG81">
        <v>0</v>
      </c>
      <c r="AH81">
        <v>0.094360748367952496</v>
      </c>
      <c r="AI81">
        <v>0</v>
      </c>
      <c r="AL81">
        <v>0.00037182519920318698</v>
      </c>
      <c r="AM81">
        <v>42.2983045382637</v>
      </c>
      <c r="AN81">
        <v>0.00505165667890972</v>
      </c>
      <c r="AO81">
        <v>0</v>
      </c>
      <c r="AP81">
        <v>9.5429467223785096</v>
      </c>
      <c r="AQ81">
        <v>0.527659065698589</v>
      </c>
      <c r="AR81">
        <v>0</v>
      </c>
      <c r="AS81">
        <v>0.0073094236174258099</v>
      </c>
      <c r="AT81">
        <v>2.31375637597043</v>
      </c>
      <c r="AU81">
        <v>9.8318900119226598</v>
      </c>
      <c r="AW81" t="s">
        <v>49</v>
      </c>
    </row>
    <row r="82" spans="1:49" ht="13.2">
      <c r="A82" t="s">
        <v>144</v>
      </c>
      <c r="B82" t="s">
        <v>6</v>
      </c>
      <c r="C82" t="s">
        <v>58</v>
      </c>
      <c r="D82" t="s">
        <v>49</v>
      </c>
      <c r="E82" t="s">
        <v>49</v>
      </c>
      <c r="F82" t="s">
        <v>49</v>
      </c>
      <c r="G82" t="s">
        <v>146</v>
      </c>
      <c r="H82" t="s">
        <v>49</v>
      </c>
      <c r="I82" t="s">
        <v>49</v>
      </c>
      <c r="J82" t="s">
        <v>49</v>
      </c>
      <c r="K82" t="s">
        <v>49</v>
      </c>
      <c r="L82">
        <v>0.057428814244593299</v>
      </c>
      <c r="M82">
        <v>0.00057844884601839799</v>
      </c>
      <c r="N82">
        <v>0.0021218810611618099</v>
      </c>
      <c r="O82">
        <v>0.0043722612458205702</v>
      </c>
      <c r="P82">
        <v>81.387197559168399</v>
      </c>
      <c r="Q82">
        <v>0.028376759776536298</v>
      </c>
      <c r="R82">
        <v>0</v>
      </c>
      <c r="S82">
        <v>24.800075179871001</v>
      </c>
      <c r="T82">
        <v>104.43603205202299</v>
      </c>
      <c r="U82">
        <v>0.0014463778739996799</v>
      </c>
      <c r="V82">
        <v>0.00108409362266654</v>
      </c>
      <c r="W82">
        <v>0</v>
      </c>
      <c r="X82">
        <v>5.9598319950604797</v>
      </c>
      <c r="Y82">
        <v>0.00073730042016806698</v>
      </c>
      <c r="Z82">
        <v>0.051645862767979799</v>
      </c>
      <c r="AA82">
        <v>0.0139611495778046</v>
      </c>
      <c r="AB82">
        <v>0.0035967033961353599</v>
      </c>
      <c r="AC82">
        <v>0</v>
      </c>
      <c r="AD82">
        <v>0</v>
      </c>
      <c r="AE82">
        <v>587.66681934064798</v>
      </c>
      <c r="AG82">
        <v>0.016602098961472501</v>
      </c>
      <c r="AH82">
        <v>0</v>
      </c>
      <c r="AI82">
        <v>7.7865119204514102</v>
      </c>
      <c r="AL82">
        <v>0.00092956299800796803</v>
      </c>
      <c r="AM82">
        <v>27.601445272282099</v>
      </c>
      <c r="AN82">
        <v>0.0053175333462207597</v>
      </c>
      <c r="AO82">
        <v>0</v>
      </c>
      <c r="AP82">
        <v>11.658549429859301</v>
      </c>
      <c r="AQ82">
        <v>0.0040198565550413701</v>
      </c>
      <c r="AR82">
        <v>0.0088640945843301306</v>
      </c>
      <c r="AS82">
        <v>0.0032486327188559201</v>
      </c>
      <c r="AT82">
        <v>2.5181175194084999</v>
      </c>
      <c r="AU82">
        <v>11.3304529686236</v>
      </c>
      <c r="AW82" t="s">
        <v>49</v>
      </c>
    </row>
    <row r="83" spans="1:49" ht="13.2">
      <c r="A83" t="s">
        <v>144</v>
      </c>
      <c r="B83" t="s">
        <v>6</v>
      </c>
      <c r="C83" t="s">
        <v>58</v>
      </c>
      <c r="D83" t="s">
        <v>49</v>
      </c>
      <c r="E83" t="s">
        <v>49</v>
      </c>
      <c r="F83" t="s">
        <v>49</v>
      </c>
      <c r="G83" t="s">
        <v>147</v>
      </c>
      <c r="H83" t="s">
        <v>49</v>
      </c>
      <c r="I83" t="s">
        <v>49</v>
      </c>
      <c r="J83" t="s">
        <v>49</v>
      </c>
      <c r="K83" t="s">
        <v>49</v>
      </c>
      <c r="L83">
        <v>0.14763663205345201</v>
      </c>
      <c r="M83">
        <v>0.00028922442300919899</v>
      </c>
      <c r="N83">
        <v>0.0029175864590974898</v>
      </c>
      <c r="O83">
        <v>0.0081615543255317401</v>
      </c>
      <c r="P83">
        <v>101.602413246799</v>
      </c>
      <c r="Q83">
        <v>0.032386519310177303</v>
      </c>
      <c r="R83">
        <v>0</v>
      </c>
      <c r="S83">
        <v>27.436157974177</v>
      </c>
      <c r="T83">
        <v>94.484695062814097</v>
      </c>
      <c r="U83">
        <v>0.0028927557479993598</v>
      </c>
      <c r="V83">
        <v>0.0249341533213304</v>
      </c>
      <c r="W83">
        <v>0</v>
      </c>
      <c r="X83">
        <v>6.7405351335947197</v>
      </c>
      <c r="Y83">
        <v>0.00036865021008403398</v>
      </c>
      <c r="Z83">
        <v>0.039239314728744402</v>
      </c>
      <c r="AA83">
        <v>0.012981419782870899</v>
      </c>
      <c r="AB83">
        <v>0.0078281191562946106</v>
      </c>
      <c r="AC83">
        <v>0</v>
      </c>
      <c r="AD83">
        <v>0</v>
      </c>
      <c r="AE83">
        <v>665.36112850214397</v>
      </c>
      <c r="AG83">
        <v>0.027961429829848401</v>
      </c>
      <c r="AH83">
        <v>0</v>
      </c>
      <c r="AI83">
        <v>7.7366333898906996</v>
      </c>
      <c r="AL83">
        <v>0.00092956299800796803</v>
      </c>
      <c r="AM83">
        <v>25.466889068784401</v>
      </c>
      <c r="AN83">
        <v>0.00026587666731103798</v>
      </c>
      <c r="AO83">
        <v>0</v>
      </c>
      <c r="AP83">
        <v>14.9918894817775</v>
      </c>
      <c r="AQ83">
        <v>0.0052892849408439097</v>
      </c>
      <c r="AR83">
        <v>0.0077896588771386001</v>
      </c>
      <c r="AS83">
        <v>0.0549560368273126</v>
      </c>
      <c r="AT83">
        <v>2.4283388112754198</v>
      </c>
      <c r="AU83">
        <v>10.841373602681699</v>
      </c>
      <c r="AW83" t="s">
        <v>49</v>
      </c>
    </row>
    <row r="84" spans="1:49" ht="13.2">
      <c r="A84" t="s">
        <v>144</v>
      </c>
      <c r="B84" t="s">
        <v>6</v>
      </c>
      <c r="C84" t="s">
        <v>59</v>
      </c>
      <c r="D84" t="s">
        <v>49</v>
      </c>
      <c r="E84" t="s">
        <v>49</v>
      </c>
      <c r="F84" t="s">
        <v>49</v>
      </c>
      <c r="G84" t="s">
        <v>145</v>
      </c>
      <c r="H84" t="s">
        <v>49</v>
      </c>
      <c r="I84" t="s">
        <v>49</v>
      </c>
      <c r="J84" t="s">
        <v>49</v>
      </c>
      <c r="K84" t="s">
        <v>49</v>
      </c>
      <c r="L84">
        <v>0.0103890706517958</v>
      </c>
      <c r="M84">
        <v>0.00043189563058845798</v>
      </c>
      <c r="N84">
        <v>0.00052701950296797</v>
      </c>
      <c r="O84">
        <v>0.0081877094771149999</v>
      </c>
      <c r="P84">
        <v>70.732006001477302</v>
      </c>
      <c r="Q84">
        <v>0.013236361428224401</v>
      </c>
      <c r="R84">
        <v>0</v>
      </c>
      <c r="S84">
        <v>0.032764523843416403</v>
      </c>
      <c r="T84">
        <v>192.87996006741199</v>
      </c>
      <c r="U84">
        <v>0.0027050640106967999</v>
      </c>
      <c r="V84">
        <v>0.00044651710414100301</v>
      </c>
      <c r="W84">
        <v>0</v>
      </c>
      <c r="X84">
        <v>1.6013217759521401</v>
      </c>
      <c r="Y84">
        <v>0.00027812153361344498</v>
      </c>
      <c r="Z84">
        <v>0.16098501991300801</v>
      </c>
      <c r="AA84">
        <v>0.017742339565741901</v>
      </c>
      <c r="AB84">
        <v>0.010715047051253699</v>
      </c>
      <c r="AC84">
        <v>0</v>
      </c>
      <c r="AD84">
        <v>0</v>
      </c>
      <c r="AE84">
        <v>1271.3857196649501</v>
      </c>
      <c r="AG84">
        <v>0</v>
      </c>
      <c r="AH84">
        <v>0.106843259347181</v>
      </c>
      <c r="AI84">
        <v>0</v>
      </c>
      <c r="AL84">
        <v>0.00136900647410359</v>
      </c>
      <c r="AM84">
        <v>66.471067258564304</v>
      </c>
      <c r="AN84">
        <v>0.0053865257104194902</v>
      </c>
      <c r="AO84">
        <v>0</v>
      </c>
      <c r="AP84">
        <v>29.3871196267263</v>
      </c>
      <c r="AQ84">
        <v>1.5343572165865</v>
      </c>
      <c r="AR84">
        <v>0</v>
      </c>
      <c r="AS84">
        <v>0.0053042936265189702</v>
      </c>
      <c r="AT84">
        <v>4.4984940414048102</v>
      </c>
      <c r="AU84">
        <v>25.231235223984299</v>
      </c>
      <c r="AW84" t="s">
        <v>49</v>
      </c>
    </row>
    <row r="85" spans="1:49" ht="13.2">
      <c r="A85" t="s">
        <v>144</v>
      </c>
      <c r="B85" t="s">
        <v>6</v>
      </c>
      <c r="C85" t="s">
        <v>59</v>
      </c>
      <c r="D85" t="s">
        <v>49</v>
      </c>
      <c r="E85" t="s">
        <v>49</v>
      </c>
      <c r="F85" t="s">
        <v>49</v>
      </c>
      <c r="G85" t="s">
        <v>146</v>
      </c>
      <c r="H85" t="s">
        <v>49</v>
      </c>
      <c r="I85" t="s">
        <v>49</v>
      </c>
      <c r="J85" t="s">
        <v>49</v>
      </c>
      <c r="K85" t="s">
        <v>49</v>
      </c>
      <c r="L85">
        <v>0.119747709091752</v>
      </c>
      <c r="M85">
        <v>0.00086379126117691499</v>
      </c>
      <c r="N85">
        <v>0.00421615602374376</v>
      </c>
      <c r="O85">
        <v>0.0068230912309291698</v>
      </c>
      <c r="P85">
        <v>150.343770300382</v>
      </c>
      <c r="Q85">
        <v>0.027061005586592201</v>
      </c>
      <c r="R85">
        <v>0</v>
      </c>
      <c r="S85">
        <v>62.353814277935903</v>
      </c>
      <c r="T85">
        <v>140.51264569911001</v>
      </c>
      <c r="U85">
        <v>0.0015457508632553099</v>
      </c>
      <c r="V85">
        <v>0.00066977565621150403</v>
      </c>
      <c r="W85">
        <v>0</v>
      </c>
      <c r="X85">
        <v>5.4285209203552798</v>
      </c>
      <c r="Y85">
        <v>0.00055624306722689104</v>
      </c>
      <c r="Z85">
        <v>0.085508363692665901</v>
      </c>
      <c r="AA85">
        <v>0.032623011459589901</v>
      </c>
      <c r="AB85">
        <v>0.010715047051253699</v>
      </c>
      <c r="AC85">
        <v>0</v>
      </c>
      <c r="AD85">
        <v>0</v>
      </c>
      <c r="AE85">
        <v>1593.58010624546</v>
      </c>
      <c r="AG85">
        <v>0.0219500343084983</v>
      </c>
      <c r="AH85">
        <v>0</v>
      </c>
      <c r="AI85">
        <v>4.3707144270607303</v>
      </c>
      <c r="AL85">
        <v>0.0034225161852589601</v>
      </c>
      <c r="AM85">
        <v>43.375202508832203</v>
      </c>
      <c r="AN85">
        <v>0.0056700270635994601</v>
      </c>
      <c r="AO85">
        <v>0</v>
      </c>
      <c r="AP85">
        <v>35.902032855946302</v>
      </c>
      <c r="AQ85">
        <v>0.0116891688513005</v>
      </c>
      <c r="AR85">
        <v>0.0172585784812464</v>
      </c>
      <c r="AS85">
        <v>0.0023574638340084302</v>
      </c>
      <c r="AT85">
        <v>4.8958208280961202</v>
      </c>
      <c r="AU85">
        <v>29.076944890449301</v>
      </c>
      <c r="AW85" t="s">
        <v>49</v>
      </c>
    </row>
    <row r="86" spans="1:49" ht="13.2">
      <c r="A86" t="s">
        <v>144</v>
      </c>
      <c r="B86" t="s">
        <v>6</v>
      </c>
      <c r="C86" t="s">
        <v>59</v>
      </c>
      <c r="D86" t="s">
        <v>49</v>
      </c>
      <c r="E86" t="s">
        <v>49</v>
      </c>
      <c r="F86" t="s">
        <v>49</v>
      </c>
      <c r="G86" t="s">
        <v>147</v>
      </c>
      <c r="H86" t="s">
        <v>49</v>
      </c>
      <c r="I86" t="s">
        <v>49</v>
      </c>
      <c r="J86" t="s">
        <v>49</v>
      </c>
      <c r="K86" t="s">
        <v>49</v>
      </c>
      <c r="L86">
        <v>0.30784456720847497</v>
      </c>
      <c r="M86">
        <v>0.00043189563058845798</v>
      </c>
      <c r="N86">
        <v>0.0057972145326476701</v>
      </c>
      <c r="O86">
        <v>0.012736436964401099</v>
      </c>
      <c r="P86">
        <v>187.686642829004</v>
      </c>
      <c r="Q86">
        <v>0.030884843332523702</v>
      </c>
      <c r="R86">
        <v>0</v>
      </c>
      <c r="S86">
        <v>68.981609386832702</v>
      </c>
      <c r="T86">
        <v>127.12369687443</v>
      </c>
      <c r="U86">
        <v>0.0030915017265106199</v>
      </c>
      <c r="V86">
        <v>0.015404840092864599</v>
      </c>
      <c r="W86">
        <v>0</v>
      </c>
      <c r="X86">
        <v>6.1396254151854404</v>
      </c>
      <c r="Y86">
        <v>0.00027812153361344498</v>
      </c>
      <c r="Z86">
        <v>0.064967248392193103</v>
      </c>
      <c r="AA86">
        <v>0.030333677322074801</v>
      </c>
      <c r="AB86">
        <v>0.023320984758611</v>
      </c>
      <c r="AC86">
        <v>0</v>
      </c>
      <c r="AD86">
        <v>0</v>
      </c>
      <c r="AE86">
        <v>1804.26429220504</v>
      </c>
      <c r="AG86">
        <v>0.036968478835365602</v>
      </c>
      <c r="AH86">
        <v>0</v>
      </c>
      <c r="AI86">
        <v>4.34271667718897</v>
      </c>
      <c r="AL86">
        <v>0.0034225161852589601</v>
      </c>
      <c r="AM86">
        <v>40.020783684750697</v>
      </c>
      <c r="AN86">
        <v>0.00028350135317997297</v>
      </c>
      <c r="AO86">
        <v>0</v>
      </c>
      <c r="AP86">
        <v>46.166919133951403</v>
      </c>
      <c r="AQ86">
        <v>0.0153804853306586</v>
      </c>
      <c r="AR86">
        <v>0.0151666295744287</v>
      </c>
      <c r="AS86">
        <v>0.039880429858642603</v>
      </c>
      <c r="AT86">
        <v>4.7212696144177499</v>
      </c>
      <c r="AU86">
        <v>27.821837631284101</v>
      </c>
      <c r="AW86" t="s">
        <v>49</v>
      </c>
    </row>
    <row r="87" spans="1:49" ht="13.2">
      <c r="A87" t="s">
        <v>144</v>
      </c>
      <c r="B87" t="s">
        <v>6</v>
      </c>
      <c r="C87" t="s">
        <v>60</v>
      </c>
      <c r="D87" t="s">
        <v>49</v>
      </c>
      <c r="E87" t="s">
        <v>49</v>
      </c>
      <c r="F87" t="s">
        <v>49</v>
      </c>
      <c r="G87" t="s">
        <v>145</v>
      </c>
      <c r="H87" t="s">
        <v>49</v>
      </c>
      <c r="I87" t="s">
        <v>49</v>
      </c>
      <c r="J87" t="s">
        <v>49</v>
      </c>
      <c r="K87" t="s">
        <v>49</v>
      </c>
      <c r="L87">
        <v>0.0019857276649490299</v>
      </c>
      <c r="M87">
        <v>0.00012968011045927399</v>
      </c>
      <c r="N87">
        <v>0.000118928568211266</v>
      </c>
      <c r="O87">
        <v>0.0023525010255401602</v>
      </c>
      <c r="P87">
        <v>17.168649728394701</v>
      </c>
      <c r="Q87">
        <v>0.0062233786737915997</v>
      </c>
      <c r="R87">
        <v>0</v>
      </c>
      <c r="S87">
        <v>0.0058429024911032003</v>
      </c>
      <c r="T87">
        <v>64.277897898258303</v>
      </c>
      <c r="U87">
        <v>0.0011349222490365601</v>
      </c>
      <c r="V87">
        <v>0.00032402729081777698</v>
      </c>
      <c r="W87">
        <v>0</v>
      </c>
      <c r="X87">
        <v>0.73561836657056801</v>
      </c>
      <c r="Y87">
        <v>0.00016529117647058801</v>
      </c>
      <c r="Z87">
        <v>0.043596446624824002</v>
      </c>
      <c r="AA87">
        <v>0.0034046525934861298</v>
      </c>
      <c r="AB87">
        <v>0.00161267900589146</v>
      </c>
      <c r="AC87">
        <v>0</v>
      </c>
      <c r="AD87">
        <v>0</v>
      </c>
      <c r="AE87">
        <v>210.21960266967</v>
      </c>
      <c r="AG87">
        <v>0</v>
      </c>
      <c r="AH87">
        <v>0.043229921661721099</v>
      </c>
      <c r="AI87">
        <v>0</v>
      </c>
      <c r="AL87">
        <v>0.00016672559760956199</v>
      </c>
      <c r="AM87">
        <v>18.971093857684501</v>
      </c>
      <c r="AN87">
        <v>0.0028142441523294</v>
      </c>
      <c r="AO87">
        <v>0</v>
      </c>
      <c r="AP87">
        <v>4.2787748643222496</v>
      </c>
      <c r="AQ87">
        <v>0.23658518248341601</v>
      </c>
      <c r="AR87">
        <v>0</v>
      </c>
      <c r="AS87">
        <v>0.0032740708440109098</v>
      </c>
      <c r="AT87">
        <v>1.037444825878</v>
      </c>
      <c r="AU87">
        <v>4.4085247050788103</v>
      </c>
      <c r="AW87" t="s">
        <v>49</v>
      </c>
    </row>
    <row r="88" spans="1:49" ht="13.2">
      <c r="A88" t="s">
        <v>144</v>
      </c>
      <c r="B88" t="s">
        <v>6</v>
      </c>
      <c r="C88" t="s">
        <v>60</v>
      </c>
      <c r="D88" t="s">
        <v>49</v>
      </c>
      <c r="E88" t="s">
        <v>49</v>
      </c>
      <c r="F88" t="s">
        <v>49</v>
      </c>
      <c r="G88" t="s">
        <v>146</v>
      </c>
      <c r="H88" t="s">
        <v>49</v>
      </c>
      <c r="I88" t="s">
        <v>49</v>
      </c>
      <c r="J88" t="s">
        <v>49</v>
      </c>
      <c r="K88" t="s">
        <v>49</v>
      </c>
      <c r="L88">
        <v>0.0228881241380967</v>
      </c>
      <c r="M88">
        <v>0.000259360220918547</v>
      </c>
      <c r="N88">
        <v>0.00095142854569012399</v>
      </c>
      <c r="O88">
        <v>0.0019604175212834698</v>
      </c>
      <c r="P88">
        <v>36.492666856918603</v>
      </c>
      <c r="Q88">
        <v>0.012723351955307299</v>
      </c>
      <c r="R88">
        <v>0</v>
      </c>
      <c r="S88">
        <v>11.1195651282918</v>
      </c>
      <c r="T88">
        <v>46.826313581280601</v>
      </c>
      <c r="U88">
        <v>0.00064852699944946196</v>
      </c>
      <c r="V88">
        <v>0.00048604093622666502</v>
      </c>
      <c r="W88">
        <v>0</v>
      </c>
      <c r="X88">
        <v>2.49376468383532</v>
      </c>
      <c r="Y88">
        <v>0.00033058235294117699</v>
      </c>
      <c r="Z88">
        <v>0.023156569572235899</v>
      </c>
      <c r="AA88">
        <v>0.0062601676718938501</v>
      </c>
      <c r="AB88">
        <v>0.00161267900589146</v>
      </c>
      <c r="AC88">
        <v>0</v>
      </c>
      <c r="AD88">
        <v>0</v>
      </c>
      <c r="AE88">
        <v>263.49342420291998</v>
      </c>
      <c r="AG88">
        <v>0.0074438989985627499</v>
      </c>
      <c r="AH88">
        <v>0</v>
      </c>
      <c r="AI88">
        <v>3.4918161557432001</v>
      </c>
      <c r="AL88">
        <v>0.00041681399402390402</v>
      </c>
      <c r="AM88">
        <v>12.3794467552363</v>
      </c>
      <c r="AN88">
        <v>0.0029623622656099</v>
      </c>
      <c r="AO88">
        <v>0</v>
      </c>
      <c r="AP88">
        <v>5.2273485021099697</v>
      </c>
      <c r="AQ88">
        <v>0.0018023730822714101</v>
      </c>
      <c r="AR88">
        <v>0.00397491720292478</v>
      </c>
      <c r="AS88">
        <v>0.00145514259733818</v>
      </c>
      <c r="AT88">
        <v>1.1290765175600701</v>
      </c>
      <c r="AU88">
        <v>5.08046588919711</v>
      </c>
      <c r="AW88" t="s">
        <v>49</v>
      </c>
    </row>
    <row r="89" spans="1:49" ht="13.2">
      <c r="A89" t="s">
        <v>144</v>
      </c>
      <c r="B89" t="s">
        <v>6</v>
      </c>
      <c r="C89" t="s">
        <v>60</v>
      </c>
      <c r="D89" t="s">
        <v>49</v>
      </c>
      <c r="E89" t="s">
        <v>49</v>
      </c>
      <c r="F89" t="s">
        <v>49</v>
      </c>
      <c r="G89" t="s">
        <v>147</v>
      </c>
      <c r="H89" t="s">
        <v>49</v>
      </c>
      <c r="I89" t="s">
        <v>49</v>
      </c>
      <c r="J89" t="s">
        <v>49</v>
      </c>
      <c r="K89" t="s">
        <v>49</v>
      </c>
      <c r="L89">
        <v>0.058840246071910698</v>
      </c>
      <c r="M89">
        <v>0.00012968011045927399</v>
      </c>
      <c r="N89">
        <v>0.00130821425032392</v>
      </c>
      <c r="O89">
        <v>0.0036594460397291399</v>
      </c>
      <c r="P89">
        <v>45.556833625815599</v>
      </c>
      <c r="Q89">
        <v>0.0145212169055137</v>
      </c>
      <c r="R89">
        <v>0</v>
      </c>
      <c r="S89">
        <v>12.301500832206401</v>
      </c>
      <c r="T89">
        <v>42.364401181376699</v>
      </c>
      <c r="U89">
        <v>0.00129705399889892</v>
      </c>
      <c r="V89">
        <v>0.011178941533213299</v>
      </c>
      <c r="W89">
        <v>0</v>
      </c>
      <c r="X89">
        <v>2.82043327399855</v>
      </c>
      <c r="Y89">
        <v>0.00016529117647058801</v>
      </c>
      <c r="Z89">
        <v>0.017593818222480899</v>
      </c>
      <c r="AA89">
        <v>0.0058208576598311199</v>
      </c>
      <c r="AB89">
        <v>0.0035099484245872999</v>
      </c>
      <c r="AC89">
        <v>0</v>
      </c>
      <c r="AD89">
        <v>0</v>
      </c>
      <c r="AE89">
        <v>298.329387181078</v>
      </c>
      <c r="AG89">
        <v>0.012537093050210999</v>
      </c>
      <c r="AH89">
        <v>0</v>
      </c>
      <c r="AI89">
        <v>3.4694484177090299</v>
      </c>
      <c r="AL89">
        <v>0.00041681399402390402</v>
      </c>
      <c r="AM89">
        <v>11.422082943066799</v>
      </c>
      <c r="AN89">
        <v>0.00014811811328049499</v>
      </c>
      <c r="AO89">
        <v>0</v>
      </c>
      <c r="AP89">
        <v>6.7219195233375899</v>
      </c>
      <c r="AQ89">
        <v>0.0023715435293044898</v>
      </c>
      <c r="AR89">
        <v>0.00349310905711572</v>
      </c>
      <c r="AS89">
        <v>0.024616162271637598</v>
      </c>
      <c r="AT89">
        <v>1.08882143401109</v>
      </c>
      <c r="AU89">
        <v>4.86116741607702</v>
      </c>
      <c r="AW89" t="s">
        <v>49</v>
      </c>
    </row>
  </sheetData>
  <pageMargins left="0.7" right="0.7" top="0.75" bottom="0.75" header="0.3" footer="0.3"/>
  <pageSetup orientation="portrait" paperSize="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41"/>
  <sheetViews>
    <sheetView workbookViewId="0" topLeftCell="A1">
      <selection pane="topLeft" activeCell="G32" sqref="G32"/>
    </sheetView>
  </sheetViews>
  <sheetFormatPr defaultRowHeight="13.2"/>
  <cols>
    <col min="1" max="1" width="9.57142857142857" bestFit="1" customWidth="1"/>
    <col min="2" max="2" width="6.28571428571429" bestFit="1" customWidth="1"/>
    <col min="3" max="3" width="5.14285714285714" bestFit="1" customWidth="1"/>
    <col min="4" max="4" width="12.2857142857143" bestFit="1" customWidth="1"/>
    <col min="5" max="14" width="4.71428571428571" bestFit="1" customWidth="1"/>
    <col min="15" max="15" width="5.71428571428571" bestFit="1" customWidth="1"/>
    <col min="16" max="41" width="4.71428571428571" bestFit="1" customWidth="1"/>
  </cols>
  <sheetData>
    <row r="1" spans="1:3" ht="13.2">
      <c r="A1" s="1" t="s">
        <v>78</v>
      </c>
      <c r="B1" s="1" t="s">
        <v>79</v>
      </c>
      <c r="C1" s="1" t="s">
        <v>80</v>
      </c>
    </row>
    <row r="2" spans="4:4" ht="13.2">
      <c r="D2" s="1" t="s">
        <v>81</v>
      </c>
    </row>
    <row r="3" spans="5:41" ht="13.2">
      <c r="E3" t="str">
        <f>Stock!L1</f>
        <v>AL</v>
      </c>
      <c r="F3" t="str">
        <f>Stock!M1</f>
        <v>AT</v>
      </c>
      <c r="G3" t="str">
        <f>Stock!N1</f>
        <v>BA</v>
      </c>
      <c r="H3" t="str">
        <f>Stock!O1</f>
        <v>BE</v>
      </c>
      <c r="I3" t="str">
        <f>Stock!P1</f>
        <v>BG</v>
      </c>
      <c r="J3" t="str">
        <f>Stock!Q1</f>
        <v>CH</v>
      </c>
      <c r="K3" t="str">
        <f>Stock!R1</f>
        <v>CY</v>
      </c>
      <c r="L3" t="str">
        <f>Stock!S1</f>
        <v>CZ</v>
      </c>
      <c r="M3" t="str">
        <f>Stock!T1</f>
        <v>DE</v>
      </c>
      <c r="N3" t="str">
        <f>Stock!U1</f>
        <v>DK</v>
      </c>
      <c r="O3" t="str">
        <f>Stock!V1</f>
        <v>EE</v>
      </c>
      <c r="P3" t="str">
        <f>Stock!W1</f>
        <v>EL</v>
      </c>
      <c r="Q3" t="str">
        <f>Stock!X1</f>
        <v>ES</v>
      </c>
      <c r="R3" t="str">
        <f>Stock!Y1</f>
        <v>FI</v>
      </c>
      <c r="S3" t="str">
        <f>Stock!Z1</f>
        <v>FR</v>
      </c>
      <c r="T3" t="str">
        <f>Stock!AA1</f>
        <v>HR</v>
      </c>
      <c r="U3" t="str">
        <f>Stock!AB1</f>
        <v>HU</v>
      </c>
      <c r="V3" t="str">
        <f>Stock!AC1</f>
        <v>IE</v>
      </c>
      <c r="W3" t="str">
        <f>Stock!AD1</f>
        <v>IS</v>
      </c>
      <c r="X3" t="str">
        <f>Stock!AE1</f>
        <v>IT</v>
      </c>
      <c r="Y3" t="str">
        <f>Stock!AF1</f>
        <v>KS</v>
      </c>
      <c r="Z3" t="str">
        <f>Stock!AG1</f>
        <v>LT</v>
      </c>
      <c r="AA3" t="str">
        <f>Stock!AH1</f>
        <v>LU</v>
      </c>
      <c r="AB3" t="str">
        <f>Stock!AI1</f>
        <v>LV</v>
      </c>
      <c r="AC3" t="str">
        <f>Stock!AJ1</f>
        <v>ME</v>
      </c>
      <c r="AD3" t="str">
        <f>Stock!AK1</f>
        <v>MK</v>
      </c>
      <c r="AE3" t="str">
        <f>Stock!AL1</f>
        <v>MT</v>
      </c>
      <c r="AF3" t="str">
        <f>Stock!AM1</f>
        <v>NL</v>
      </c>
      <c r="AG3" t="str">
        <f>Stock!AN1</f>
        <v>NO</v>
      </c>
      <c r="AH3" t="str">
        <f>Stock!AO1</f>
        <v>PL</v>
      </c>
      <c r="AI3" t="str">
        <f>Stock!AP1</f>
        <v>PT</v>
      </c>
      <c r="AJ3" t="str">
        <f>Stock!AQ1</f>
        <v>RO</v>
      </c>
      <c r="AK3" t="str">
        <f>Stock!AR1</f>
        <v>RS</v>
      </c>
      <c r="AL3" t="str">
        <f>Stock!AS1</f>
        <v>SE</v>
      </c>
      <c r="AM3" t="str">
        <f>Stock!AT1</f>
        <v>SI</v>
      </c>
      <c r="AN3" t="str">
        <f>Stock!AU1</f>
        <v>SK</v>
      </c>
      <c r="AO3" t="str">
        <f>Stock!AV1</f>
        <v>UK</v>
      </c>
    </row>
    <row r="4" spans="1:41" ht="13.2">
      <c r="A4" t="str">
        <f>LEFT(Stock!C2,7)&amp;"*"</f>
        <v>TRA_Bus*</v>
      </c>
      <c r="B4" t="str">
        <f>"*"&amp;RIGHT(Stock!C2,3)&amp;"*"</f>
        <v>*Coa*</v>
      </c>
      <c r="C4" t="str">
        <f>"*"&amp;MID(Stock!C2,9,3)</f>
        <v>*Cng</v>
      </c>
      <c r="E4" s="2">
        <f>SUMIF(Stock!$C$2:$C$41,TypeShares!$B4,Stock!L$2:L$41)/SUMIF(Stock!$C$2:$C$41,TypeShares!$A4,Stock!L$2:L$41)</f>
        <v>0.61882094470889792</v>
      </c>
      <c r="F4" s="2">
        <f>SUMIF(Stock!$C$2:$C$41,TypeShares!$B4,Stock!M$2:M$41)/SUMIF(Stock!$C$2:$C$41,TypeShares!$A4,Stock!M$2:M$41)</f>
        <v>0.77306468716861088</v>
      </c>
      <c r="G4" s="2">
        <f>SUMIF(Stock!$C$2:$C$41,TypeShares!$B4,Stock!N$2:N$41)/SUMIF(Stock!$C$2:$C$41,TypeShares!$A4,Stock!N$2:N$41)</f>
        <v>0.77938144329896875</v>
      </c>
      <c r="H4" s="2">
        <f>SUMIF(Stock!$C$2:$C$41,TypeShares!$B4,Stock!O$2:O$41)/SUMIF(Stock!$C$2:$C$41,TypeShares!$A4,Stock!O$2:O$41)</f>
        <v>0.5919899874843555</v>
      </c>
      <c r="I4" s="2">
        <f>SUMIF(Stock!$C$2:$C$41,TypeShares!$B4,Stock!P$2:P$41)/SUMIF(Stock!$C$2:$C$41,TypeShares!$A4,Stock!P$2:P$41)</f>
        <v>0.49014675052410894</v>
      </c>
      <c r="J4" s="2">
        <f>SUMIF(Stock!$C$2:$C$41,TypeShares!$B4,Stock!Q$2:Q$41)/SUMIF(Stock!$C$2:$C$41,TypeShares!$A4,Stock!Q$2:Q$41)</f>
        <v>0.33514246947082771</v>
      </c>
      <c r="K4" s="2">
        <f>SUMIF(Stock!$C$2:$C$41,TypeShares!$B4,Stock!R$2:R$41)/SUMIF(Stock!$C$2:$C$41,TypeShares!$A4,Stock!R$2:R$41)</f>
        <v>0.42909090909090908</v>
      </c>
      <c r="L4" s="2">
        <f>SUMIF(Stock!$C$2:$C$41,TypeShares!$B4,Stock!S$2:S$41)/SUMIF(Stock!$C$2:$C$41,TypeShares!$A4,Stock!S$2:S$41)</f>
        <v>0.71246819338422396</v>
      </c>
      <c r="M4" s="2">
        <f>SUMIF(Stock!$C$2:$C$41,TypeShares!$B4,Stock!T$2:T$41)/SUMIF(Stock!$C$2:$C$41,TypeShares!$A4,Stock!T$2:T$41)</f>
        <v>0.3896738412782253</v>
      </c>
      <c r="N4" s="2">
        <f>SUMIF(Stock!$C$2:$C$41,TypeShares!$B4,Stock!U$2:U$41)/SUMIF(Stock!$C$2:$C$41,TypeShares!$A4,Stock!U$2:U$41)</f>
        <v>0.644718792866941</v>
      </c>
      <c r="O4" s="2">
        <f>SUMIF(Stock!$C$2:$C$41,TypeShares!$B4,Stock!V$2:V$41)/SUMIF(Stock!$C$2:$C$41,TypeShares!$A4,Stock!V$2:V$41)</f>
        <v>1</v>
      </c>
      <c r="P4" s="2">
        <f>SUMIF(Stock!$C$2:$C$41,TypeShares!$B4,Stock!W$2:W$41)/SUMIF(Stock!$C$2:$C$41,TypeShares!$A4,Stock!W$2:W$41)</f>
        <v>0.61882094470889781</v>
      </c>
      <c r="Q4" s="2">
        <f>SUMIF(Stock!$C$2:$C$41,TypeShares!$B4,Stock!X$2:X$41)/SUMIF(Stock!$C$2:$C$41,TypeShares!$A4,Stock!X$2:X$41)</f>
        <v>0.65000000000000002</v>
      </c>
      <c r="R4" s="2">
        <f>SUMIF(Stock!$C$2:$C$41,TypeShares!$B4,Stock!Y$2:Y$41)/SUMIF(Stock!$C$2:$C$41,TypeShares!$A4,Stock!Y$2:Y$41)</f>
        <v>0.43443223443223444</v>
      </c>
      <c r="S4" s="2">
        <f>SUMIF(Stock!$C$2:$C$41,TypeShares!$B4,Stock!Z$2:Z$41)/SUMIF(Stock!$C$2:$C$41,TypeShares!$A4,Stock!Z$2:Z$41)</f>
        <v>0.74423935335987446</v>
      </c>
      <c r="T4" s="2">
        <f>SUMIF(Stock!$C$2:$C$41,TypeShares!$B4,Stock!AA$2:AA$41)/SUMIF(Stock!$C$2:$C$41,TypeShares!$A4,Stock!AA$2:AA$41)</f>
        <v>0.76985743380855387</v>
      </c>
      <c r="U4" s="2">
        <f>SUMIF(Stock!$C$2:$C$41,TypeShares!$B4,Stock!AB$2:AB$41)/SUMIF(Stock!$C$2:$C$41,TypeShares!$A4,Stock!AB$2:AB$41)</f>
        <v>0.71236086701816048</v>
      </c>
      <c r="V4" s="2">
        <f>SUMIF(Stock!$C$2:$C$41,TypeShares!$B4,Stock!AC$2:AC$41)/SUMIF(Stock!$C$2:$C$41,TypeShares!$A4,Stock!AC$2:AC$41)</f>
        <v>0.5</v>
      </c>
      <c r="W4" s="2">
        <f>SUMIF(Stock!$C$2:$C$41,TypeShares!$B4,Stock!AD$2:AD$41)/SUMIF(Stock!$C$2:$C$41,TypeShares!$A4,Stock!AD$2:AD$41)</f>
        <v>0.4578947368421053</v>
      </c>
      <c r="X4" s="2">
        <f>SUMIF(Stock!$C$2:$C$41,TypeShares!$B4,Stock!AE$2:AE$41)/SUMIF(Stock!$C$2:$C$41,TypeShares!$A4,Stock!AE$2:AE$41)</f>
        <v>0.80316742081447967</v>
      </c>
      <c r="Y4" s="2">
        <f>SUMIF(Stock!$C$2:$C$41,TypeShares!$B4,Stock!AF$2:AF$41)/SUMIF(Stock!$C$2:$C$41,TypeShares!$A4,Stock!AF$2:AF$41)</f>
        <v>0.77938144329896886</v>
      </c>
      <c r="Z4" s="2">
        <f>SUMIF(Stock!$C$2:$C$41,TypeShares!$B4,Stock!AG$2:AG$41)/SUMIF(Stock!$C$2:$C$41,TypeShares!$A4,Stock!AG$2:AG$41)</f>
        <v>0.29115744069015098</v>
      </c>
      <c r="AA4" s="2">
        <f>SUMIF(Stock!$C$2:$C$41,TypeShares!$B4,Stock!AH$2:AH$41)/SUMIF(Stock!$C$2:$C$41,TypeShares!$A4,Stock!AH$2:AH$41)</f>
        <v>0.51829268292682917</v>
      </c>
      <c r="AB4" s="2">
        <f>SUMIF(Stock!$C$2:$C$41,TypeShares!$B4,Stock!AI$2:AI$41)/SUMIF(Stock!$C$2:$C$41,TypeShares!$A4,Stock!AI$2:AI$41)</f>
        <v>0.50791007495100193</v>
      </c>
      <c r="AC4" s="2">
        <f>SUMIF(Stock!$C$2:$C$41,TypeShares!$B4,Stock!AJ$2:AJ$41)/SUMIF(Stock!$C$2:$C$41,TypeShares!$A4,Stock!AJ$2:AJ$41)</f>
        <v>0.61882094470889848</v>
      </c>
      <c r="AD4" s="2">
        <f>SUMIF(Stock!$C$2:$C$41,TypeShares!$B4,Stock!AK$2:AK$41)/SUMIF(Stock!$C$2:$C$41,TypeShares!$A4,Stock!AK$2:AK$41)</f>
        <v>0.4111111111111112</v>
      </c>
      <c r="AE4" s="2">
        <f>SUMIF(Stock!$C$2:$C$41,TypeShares!$B4,Stock!AL$2:AL$41)/SUMIF(Stock!$C$2:$C$41,TypeShares!$A4,Stock!AL$2:AL$41)</f>
        <v>0.11475409836065573</v>
      </c>
      <c r="AF4" s="2">
        <f>SUMIF(Stock!$C$2:$C$41,TypeShares!$B4,Stock!AM$2:AM$41)/SUMIF(Stock!$C$2:$C$41,TypeShares!$A4,Stock!AM$2:AM$41)</f>
        <v>0.56092324195279386</v>
      </c>
      <c r="AG4" s="2">
        <f>SUMIF(Stock!$C$2:$C$41,TypeShares!$B4,Stock!AN$2:AN$41)/SUMIF(Stock!$C$2:$C$41,TypeShares!$A4,Stock!AN$2:AN$41)</f>
        <v>0.47030386740331487</v>
      </c>
      <c r="AH4" s="2">
        <f>SUMIF(Stock!$C$2:$C$41,TypeShares!$B4,Stock!AO$2:AO$41)/SUMIF(Stock!$C$2:$C$41,TypeShares!$A4,Stock!AO$2:AO$41)</f>
        <v>0.36902308326463318</v>
      </c>
      <c r="AI4" s="2">
        <f>SUMIF(Stock!$C$2:$C$41,TypeShares!$B4,Stock!AP$2:AP$41)/SUMIF(Stock!$C$2:$C$41,TypeShares!$A4,Stock!AP$2:AP$41)</f>
        <v>0.64942640482248171</v>
      </c>
      <c r="AJ4" s="2">
        <f>SUMIF(Stock!$C$2:$C$41,TypeShares!$B4,Stock!AQ$2:AQ$41)/SUMIF(Stock!$C$2:$C$41,TypeShares!$A4,Stock!AQ$2:AQ$41)</f>
        <v>0.46500888099467141</v>
      </c>
      <c r="AK4" s="2">
        <f>SUMIF(Stock!$C$2:$C$41,TypeShares!$B4,Stock!AR$2:AR$41)/SUMIF(Stock!$C$2:$C$41,TypeShares!$A4,Stock!AR$2:AR$41)</f>
        <v>0.77276403422632201</v>
      </c>
      <c r="AL4" s="2">
        <f>SUMIF(Stock!$C$2:$C$41,TypeShares!$B4,Stock!AS$2:AS$41)/SUMIF(Stock!$C$2:$C$41,TypeShares!$A4,Stock!AS$2:AS$41)</f>
        <v>0.43453237410071943</v>
      </c>
      <c r="AM4" s="2">
        <f>SUMIF(Stock!$C$2:$C$41,TypeShares!$B4,Stock!AT$2:AT$41)/SUMIF(Stock!$C$2:$C$41,TypeShares!$A4,Stock!AT$2:AT$41)</f>
        <v>0.50205761316872433</v>
      </c>
      <c r="AN4" s="2">
        <f>SUMIF(Stock!$C$2:$C$41,TypeShares!$B4,Stock!AU$2:AU$41)/SUMIF(Stock!$C$2:$C$41,TypeShares!$A4,Stock!AU$2:AU$41)</f>
        <v>0.40855614973262033</v>
      </c>
      <c r="AO4" s="2">
        <f>SUMIF(Stock!$C$2:$C$41,TypeShares!$B4,Stock!AV$2:AV$41)/SUMIF(Stock!$C$2:$C$41,TypeShares!$A4,Stock!AV$2:AV$41)</f>
        <v>0.7124656653614635</v>
      </c>
    </row>
    <row r="5" spans="1:41" ht="13.2">
      <c r="A5" t="str">
        <f>LEFT(Stock!C3,7)&amp;"*"</f>
        <v>TRA_Bus*</v>
      </c>
      <c r="B5" t="str">
        <f>"*"&amp;RIGHT(Stock!C3,3)&amp;"*"</f>
        <v>*Urb*</v>
      </c>
      <c r="C5" t="str">
        <f>"*"&amp;MID(Stock!C3,9,3)</f>
        <v>*Cng</v>
      </c>
      <c r="E5" s="2">
        <f>SUMIF(Stock!$C$2:$C$41,TypeShares!$B5,Stock!L$2:L$41)/SUMIF(Stock!$C$2:$C$41,TypeShares!$A5,Stock!L$2:L$41)</f>
        <v>0.38117905529110208</v>
      </c>
      <c r="F5" s="2">
        <f>SUMIF(Stock!$C$2:$C$41,TypeShares!$B5,Stock!M$2:M$41)/SUMIF(Stock!$C$2:$C$41,TypeShares!$A5,Stock!M$2:M$41)</f>
        <v>0.22693531283138921</v>
      </c>
      <c r="G5" s="2">
        <f>SUMIF(Stock!$C$2:$C$41,TypeShares!$B5,Stock!N$2:N$41)/SUMIF(Stock!$C$2:$C$41,TypeShares!$A5,Stock!N$2:N$41)</f>
        <v>0.22061855670103117</v>
      </c>
      <c r="H5" s="2">
        <f>SUMIF(Stock!$C$2:$C$41,TypeShares!$B5,Stock!O$2:O$41)/SUMIF(Stock!$C$2:$C$41,TypeShares!$A5,Stock!O$2:O$41)</f>
        <v>0.4080100125156445</v>
      </c>
      <c r="I5" s="2">
        <f>SUMIF(Stock!$C$2:$C$41,TypeShares!$B5,Stock!P$2:P$41)/SUMIF(Stock!$C$2:$C$41,TypeShares!$A5,Stock!P$2:P$41)</f>
        <v>0.50985324947589095</v>
      </c>
      <c r="J5" s="2">
        <f>SUMIF(Stock!$C$2:$C$41,TypeShares!$B5,Stock!Q$2:Q$41)/SUMIF(Stock!$C$2:$C$41,TypeShares!$A5,Stock!Q$2:Q$41)</f>
        <v>0.66485753052917229</v>
      </c>
      <c r="K5" s="2">
        <f>SUMIF(Stock!$C$2:$C$41,TypeShares!$B5,Stock!R$2:R$41)/SUMIF(Stock!$C$2:$C$41,TypeShares!$A5,Stock!R$2:R$41)</f>
        <v>0.57090909090909092</v>
      </c>
      <c r="L5" s="2">
        <f>SUMIF(Stock!$C$2:$C$41,TypeShares!$B5,Stock!S$2:S$41)/SUMIF(Stock!$C$2:$C$41,TypeShares!$A5,Stock!S$2:S$41)</f>
        <v>0.2875318066157761</v>
      </c>
      <c r="M5" s="2">
        <f>SUMIF(Stock!$C$2:$C$41,TypeShares!$B5,Stock!T$2:T$41)/SUMIF(Stock!$C$2:$C$41,TypeShares!$A5,Stock!T$2:T$41)</f>
        <v>0.61032615872177465</v>
      </c>
      <c r="N5" s="2">
        <f>SUMIF(Stock!$C$2:$C$41,TypeShares!$B5,Stock!U$2:U$41)/SUMIF(Stock!$C$2:$C$41,TypeShares!$A5,Stock!U$2:U$41)</f>
        <v>0.35528120713305894</v>
      </c>
      <c r="O5" s="2">
        <f>SUMIF(Stock!$C$2:$C$41,TypeShares!$B5,Stock!V$2:V$41)/SUMIF(Stock!$C$2:$C$41,TypeShares!$A5,Stock!V$2:V$41)</f>
        <v>0</v>
      </c>
      <c r="P5" s="2">
        <f>SUMIF(Stock!$C$2:$C$41,TypeShares!$B5,Stock!W$2:W$41)/SUMIF(Stock!$C$2:$C$41,TypeShares!$A5,Stock!W$2:W$41)</f>
        <v>0.38117905529110219</v>
      </c>
      <c r="Q5" s="2">
        <f>SUMIF(Stock!$C$2:$C$41,TypeShares!$B5,Stock!X$2:X$41)/SUMIF(Stock!$C$2:$C$41,TypeShares!$A5,Stock!X$2:X$41)</f>
        <v>0.35000000000000003</v>
      </c>
      <c r="R5" s="2">
        <f>SUMIF(Stock!$C$2:$C$41,TypeShares!$B5,Stock!Y$2:Y$41)/SUMIF(Stock!$C$2:$C$41,TypeShares!$A5,Stock!Y$2:Y$41)</f>
        <v>0.56556776556776556</v>
      </c>
      <c r="S5" s="2">
        <f>SUMIF(Stock!$C$2:$C$41,TypeShares!$B5,Stock!Z$2:Z$41)/SUMIF(Stock!$C$2:$C$41,TypeShares!$A5,Stock!Z$2:Z$41)</f>
        <v>0.25576064664012543</v>
      </c>
      <c r="T5" s="2">
        <f>SUMIF(Stock!$C$2:$C$41,TypeShares!$B5,Stock!AA$2:AA$41)/SUMIF(Stock!$C$2:$C$41,TypeShares!$A5,Stock!AA$2:AA$41)</f>
        <v>0.23014256619144605</v>
      </c>
      <c r="U5" s="2">
        <f>SUMIF(Stock!$C$2:$C$41,TypeShares!$B5,Stock!AB$2:AB$41)/SUMIF(Stock!$C$2:$C$41,TypeShares!$A5,Stock!AB$2:AB$41)</f>
        <v>0.28763913298183946</v>
      </c>
      <c r="V5" s="2">
        <f>SUMIF(Stock!$C$2:$C$41,TypeShares!$B5,Stock!AC$2:AC$41)/SUMIF(Stock!$C$2:$C$41,TypeShares!$A5,Stock!AC$2:AC$41)</f>
        <v>0.5</v>
      </c>
      <c r="W5" s="2">
        <f>SUMIF(Stock!$C$2:$C$41,TypeShares!$B5,Stock!AD$2:AD$41)/SUMIF(Stock!$C$2:$C$41,TypeShares!$A5,Stock!AD$2:AD$41)</f>
        <v>0.54210526315789476</v>
      </c>
      <c r="X5" s="2">
        <f>SUMIF(Stock!$C$2:$C$41,TypeShares!$B5,Stock!AE$2:AE$41)/SUMIF(Stock!$C$2:$C$41,TypeShares!$A5,Stock!AE$2:AE$41)</f>
        <v>0.19683257918552038</v>
      </c>
      <c r="Y5" s="2">
        <f>SUMIF(Stock!$C$2:$C$41,TypeShares!$B5,Stock!AF$2:AF$41)/SUMIF(Stock!$C$2:$C$41,TypeShares!$A5,Stock!AF$2:AF$41)</f>
        <v>0.22061855670103106</v>
      </c>
      <c r="Z5" s="2">
        <f>SUMIF(Stock!$C$2:$C$41,TypeShares!$B5,Stock!AG$2:AG$41)/SUMIF(Stock!$C$2:$C$41,TypeShares!$A5,Stock!AG$2:AG$41)</f>
        <v>0.70884255930984896</v>
      </c>
      <c r="AA5" s="2">
        <f>SUMIF(Stock!$C$2:$C$41,TypeShares!$B5,Stock!AH$2:AH$41)/SUMIF(Stock!$C$2:$C$41,TypeShares!$A5,Stock!AH$2:AH$41)</f>
        <v>0.48170731707317072</v>
      </c>
      <c r="AB5" s="2">
        <f>SUMIF(Stock!$C$2:$C$41,TypeShares!$B5,Stock!AI$2:AI$41)/SUMIF(Stock!$C$2:$C$41,TypeShares!$A5,Stock!AI$2:AI$41)</f>
        <v>0.49208992504899818</v>
      </c>
      <c r="AC5" s="2">
        <f>SUMIF(Stock!$C$2:$C$41,TypeShares!$B5,Stock!AJ$2:AJ$41)/SUMIF(Stock!$C$2:$C$41,TypeShares!$A5,Stock!AJ$2:AJ$41)</f>
        <v>0.38117905529110147</v>
      </c>
      <c r="AD5" s="2">
        <f>SUMIF(Stock!$C$2:$C$41,TypeShares!$B5,Stock!AK$2:AK$41)/SUMIF(Stock!$C$2:$C$41,TypeShares!$A5,Stock!AK$2:AK$41)</f>
        <v>0.58888888888888902</v>
      </c>
      <c r="AE5" s="2">
        <f>SUMIF(Stock!$C$2:$C$41,TypeShares!$B5,Stock!AL$2:AL$41)/SUMIF(Stock!$C$2:$C$41,TypeShares!$A5,Stock!AL$2:AL$41)</f>
        <v>0.88524590163934425</v>
      </c>
      <c r="AF5" s="2">
        <f>SUMIF(Stock!$C$2:$C$41,TypeShares!$B5,Stock!AM$2:AM$41)/SUMIF(Stock!$C$2:$C$41,TypeShares!$A5,Stock!AM$2:AM$41)</f>
        <v>0.43907675804720608</v>
      </c>
      <c r="AG5" s="2">
        <f>SUMIF(Stock!$C$2:$C$41,TypeShares!$B5,Stock!AN$2:AN$41)/SUMIF(Stock!$C$2:$C$41,TypeShares!$A5,Stock!AN$2:AN$41)</f>
        <v>0.52969613259668502</v>
      </c>
      <c r="AH5" s="2">
        <f>SUMIF(Stock!$C$2:$C$41,TypeShares!$B5,Stock!AO$2:AO$41)/SUMIF(Stock!$C$2:$C$41,TypeShares!$A5,Stock!AO$2:AO$41)</f>
        <v>0.63097691673536693</v>
      </c>
      <c r="AI5" s="2">
        <f>SUMIF(Stock!$C$2:$C$41,TypeShares!$B5,Stock!AP$2:AP$41)/SUMIF(Stock!$C$2:$C$41,TypeShares!$A5,Stock!AP$2:AP$41)</f>
        <v>0.35057359517751813</v>
      </c>
      <c r="AJ5" s="2">
        <f>SUMIF(Stock!$C$2:$C$41,TypeShares!$B5,Stock!AQ$2:AQ$41)/SUMIF(Stock!$C$2:$C$41,TypeShares!$A5,Stock!AQ$2:AQ$41)</f>
        <v>0.5349911190053287</v>
      </c>
      <c r="AK5" s="2">
        <f>SUMIF(Stock!$C$2:$C$41,TypeShares!$B5,Stock!AR$2:AR$41)/SUMIF(Stock!$C$2:$C$41,TypeShares!$A5,Stock!AR$2:AR$41)</f>
        <v>0.22723596577367791</v>
      </c>
      <c r="AL5" s="2">
        <f>SUMIF(Stock!$C$2:$C$41,TypeShares!$B5,Stock!AS$2:AS$41)/SUMIF(Stock!$C$2:$C$41,TypeShares!$A5,Stock!AS$2:AS$41)</f>
        <v>0.56546762589928068</v>
      </c>
      <c r="AM5" s="2">
        <f>SUMIF(Stock!$C$2:$C$41,TypeShares!$B5,Stock!AT$2:AT$41)/SUMIF(Stock!$C$2:$C$41,TypeShares!$A5,Stock!AT$2:AT$41)</f>
        <v>0.49794238683127579</v>
      </c>
      <c r="AN5" s="2">
        <f>SUMIF(Stock!$C$2:$C$41,TypeShares!$B5,Stock!AU$2:AU$41)/SUMIF(Stock!$C$2:$C$41,TypeShares!$A5,Stock!AU$2:AU$41)</f>
        <v>0.59144385026737978</v>
      </c>
      <c r="AO5" s="2">
        <f>SUMIF(Stock!$C$2:$C$41,TypeShares!$B5,Stock!AV$2:AV$41)/SUMIF(Stock!$C$2:$C$41,TypeShares!$A5,Stock!AV$2:AV$41)</f>
        <v>0.28753433463853662</v>
      </c>
    </row>
    <row r="6" spans="1:41" ht="13.2">
      <c r="A6" t="str">
        <f>LEFT(Stock!C4,7)&amp;"*"</f>
        <v>TRA_Bus*</v>
      </c>
      <c r="B6" t="str">
        <f>"*"&amp;RIGHT(Stock!C4,3)&amp;"*"</f>
        <v>*Coa*</v>
      </c>
      <c r="C6" t="str">
        <f>"*"&amp;MID(Stock!C4,9,3)</f>
        <v>*Dis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3.2">
      <c r="A7" t="str">
        <f>LEFT(Stock!C5,7)&amp;"*"</f>
        <v>TRA_Bus*</v>
      </c>
      <c r="B7" t="str">
        <f>"*"&amp;RIGHT(Stock!C5,3)&amp;"*"</f>
        <v>*Urb*</v>
      </c>
      <c r="C7" t="str">
        <f>"*"&amp;MID(Stock!C5,9,3)</f>
        <v>*Dis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ht="13.2">
      <c r="A8" t="str">
        <f>LEFT(Stock!C6,7)&amp;"*"</f>
        <v>TRA_Bus*</v>
      </c>
      <c r="B8" t="str">
        <f>"*"&amp;RIGHT(Stock!C6,3)&amp;"*"</f>
        <v>*Coa*</v>
      </c>
      <c r="C8" t="str">
        <f>"*"&amp;MID(Stock!C6,9,3)</f>
        <v>*Gas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ht="13.2">
      <c r="A9" t="str">
        <f>LEFT(Stock!C7,7)&amp;"*"</f>
        <v>TRA_Bus*</v>
      </c>
      <c r="B9" t="str">
        <f>"*"&amp;RIGHT(Stock!C7,3)&amp;"*"</f>
        <v>*Urb*</v>
      </c>
      <c r="C9" t="str">
        <f>"*"&amp;MID(Stock!C7,9,3)</f>
        <v>*Gas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ht="13.2">
      <c r="A10" t="str">
        <f>LEFT(Stock!C8,7)&amp;"*"</f>
        <v>TRA_Bus*</v>
      </c>
      <c r="B10" t="str">
        <f>"*"&amp;RIGHT(Stock!C8,3)&amp;"*"</f>
        <v>*Coa*</v>
      </c>
      <c r="C10" t="str">
        <f>"*"&amp;MID(Stock!C8,9,3)</f>
        <v>*Lpg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13.2">
      <c r="A11" t="str">
        <f>LEFT(Stock!C9,7)&amp;"*"</f>
        <v>TRA_Bus*</v>
      </c>
      <c r="B11" t="str">
        <f>"*"&amp;RIGHT(Stock!C9,3)&amp;"*"</f>
        <v>*Urb*</v>
      </c>
      <c r="C11" t="str">
        <f>"*"&amp;MID(Stock!C9,9,3)</f>
        <v>*Lpg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13.2">
      <c r="A12" t="str">
        <f>LEFT(Stock!C10,7)&amp;"*"</f>
        <v>TRA_Car*</v>
      </c>
      <c r="B12" t="str">
        <f>"*"&amp;RIGHT(Stock!C10,3)&amp;"*"</f>
        <v>*Exe*</v>
      </c>
      <c r="C12" t="str">
        <f>"*"&amp;MID(Stock!C10,9,3)</f>
        <v>*Cng</v>
      </c>
      <c r="E12" s="2">
        <f>SUMIF(Stock!$C$2:$C$41,TypeShares!$B12,Stock!L$2:L$41)/SUMIF(Stock!$C$2:$C$41,TypeShares!$A12,Stock!L$2:L$41)</f>
        <v>0.087336158505412473</v>
      </c>
      <c r="F12" s="2">
        <f>SUMIF(Stock!$C$2:$C$41,TypeShares!$B12,Stock!M$2:M$41)/SUMIF(Stock!$C$2:$C$41,TypeShares!$A12,Stock!M$2:M$41)</f>
        <v>0.15070690499299966</v>
      </c>
      <c r="G12" s="2">
        <f>SUMIF(Stock!$C$2:$C$41,TypeShares!$B12,Stock!N$2:N$41)/SUMIF(Stock!$C$2:$C$41,TypeShares!$A12,Stock!N$2:N$41)</f>
        <v>0.089713935530846722</v>
      </c>
      <c r="H12" s="2">
        <f>SUMIF(Stock!$C$2:$C$41,TypeShares!$B12,Stock!O$2:O$41)/SUMIF(Stock!$C$2:$C$41,TypeShares!$A12,Stock!O$2:O$41)</f>
        <v>0.1241905725230161</v>
      </c>
      <c r="I12" s="2">
        <f>SUMIF(Stock!$C$2:$C$41,TypeShares!$B12,Stock!P$2:P$41)/SUMIF(Stock!$C$2:$C$41,TypeShares!$A12,Stock!P$2:P$41)</f>
        <v>0.10740336082728055</v>
      </c>
      <c r="J12" s="2">
        <f>SUMIF(Stock!$C$2:$C$41,TypeShares!$B12,Stock!Q$2:Q$41)/SUMIF(Stock!$C$2:$C$41,TypeShares!$A12,Stock!Q$2:Q$41)</f>
        <v>0.26173564648182085</v>
      </c>
      <c r="K12" s="2">
        <f>SUMIF(Stock!$C$2:$C$41,TypeShares!$B12,Stock!R$2:R$41)/SUMIF(Stock!$C$2:$C$41,TypeShares!$A12,Stock!R$2:R$41)</f>
        <v>0.10840827926630892</v>
      </c>
      <c r="L12" s="2">
        <f>SUMIF(Stock!$C$2:$C$41,TypeShares!$B12,Stock!S$2:S$41)/SUMIF(Stock!$C$2:$C$41,TypeShares!$A12,Stock!S$2:S$41)</f>
        <v>0.078663256227758008</v>
      </c>
      <c r="M12" s="2">
        <f>SUMIF(Stock!$C$2:$C$41,TypeShares!$B12,Stock!T$2:T$41)/SUMIF(Stock!$C$2:$C$41,TypeShares!$A12,Stock!T$2:T$41)</f>
        <v>0.16018186178130164</v>
      </c>
      <c r="N12" s="2">
        <f>SUMIF(Stock!$C$2:$C$41,TypeShares!$B12,Stock!U$2:U$41)/SUMIF(Stock!$C$2:$C$41,TypeShares!$A12,Stock!U$2:U$41)</f>
        <v>0.09074350083220814</v>
      </c>
      <c r="O12" s="2">
        <f>SUMIF(Stock!$C$2:$C$41,TypeShares!$B12,Stock!V$2:V$41)/SUMIF(Stock!$C$2:$C$41,TypeShares!$A12,Stock!V$2:V$41)</f>
        <v>0.25592248649673077</v>
      </c>
      <c r="P12" s="2">
        <f>SUMIF(Stock!$C$2:$C$41,TypeShares!$B12,Stock!W$2:W$41)/SUMIF(Stock!$C$2:$C$41,TypeShares!$A12,Stock!W$2:W$41)</f>
        <v>0.053027965044174008</v>
      </c>
      <c r="Q12" s="2">
        <f>SUMIF(Stock!$C$2:$C$41,TypeShares!$B12,Stock!X$2:X$41)/SUMIF(Stock!$C$2:$C$41,TypeShares!$A12,Stock!X$2:X$41)</f>
        <v>0.14692212371476673</v>
      </c>
      <c r="R12" s="2">
        <f>SUMIF(Stock!$C$2:$C$41,TypeShares!$B12,Stock!Y$2:Y$41)/SUMIF(Stock!$C$2:$C$41,TypeShares!$A12,Stock!Y$2:Y$41)</f>
        <v>0.18983543417366949</v>
      </c>
      <c r="S12" s="2">
        <f>SUMIF(Stock!$C$2:$C$41,TypeShares!$B12,Stock!Z$2:Z$41)/SUMIF(Stock!$C$2:$C$41,TypeShares!$A12,Stock!Z$2:Z$41)</f>
        <v>0.10546359667692821</v>
      </c>
      <c r="T12" s="2">
        <f>SUMIF(Stock!$C$2:$C$41,TypeShares!$B12,Stock!AA$2:AA$41)/SUMIF(Stock!$C$2:$C$41,TypeShares!$A12,Stock!AA$2:AA$41)</f>
        <v>0.073642943305186975</v>
      </c>
      <c r="U12" s="2">
        <f>SUMIF(Stock!$C$2:$C$41,TypeShares!$B12,Stock!AB$2:AB$41)/SUMIF(Stock!$C$2:$C$41,TypeShares!$A12,Stock!AB$2:AB$41)</f>
        <v>0.063907935039779096</v>
      </c>
      <c r="V12" s="2">
        <f>SUMIF(Stock!$C$2:$C$41,TypeShares!$B12,Stock!AC$2:AC$41)/SUMIF(Stock!$C$2:$C$41,TypeShares!$A12,Stock!AC$2:AC$41)</f>
        <v>0.11445278986899379</v>
      </c>
      <c r="W12" s="2">
        <f>SUMIF(Stock!$C$2:$C$41,TypeShares!$B12,Stock!AD$2:AD$41)/SUMIF(Stock!$C$2:$C$41,TypeShares!$A12,Stock!AD$2:AD$41)</f>
        <v>0.2330400782013686</v>
      </c>
      <c r="X12" s="2">
        <f>SUMIF(Stock!$C$2:$C$41,TypeShares!$B12,Stock!AE$2:AE$41)/SUMIF(Stock!$C$2:$C$41,TypeShares!$A12,Stock!AE$2:AE$41)</f>
        <v>0.088207830552538627</v>
      </c>
      <c r="Y12" s="2">
        <f>SUMIF(Stock!$C$2:$C$41,TypeShares!$B12,Stock!AF$2:AF$41)/SUMIF(Stock!$C$2:$C$41,TypeShares!$A12,Stock!AF$2:AF$41)</f>
        <v>0.091725092093878621</v>
      </c>
      <c r="Z12" s="2">
        <f>SUMIF(Stock!$C$2:$C$41,TypeShares!$B12,Stock!AG$2:AG$41)/SUMIF(Stock!$C$2:$C$41,TypeShares!$A12,Stock!AG$2:AG$41)</f>
        <v>0.1950020863275998</v>
      </c>
      <c r="AA12" s="2">
        <f>SUMIF(Stock!$C$2:$C$41,TypeShares!$B12,Stock!AH$2:AH$41)/SUMIF(Stock!$C$2:$C$41,TypeShares!$A12,Stock!AH$2:AH$41)</f>
        <v>0.25272997032640954</v>
      </c>
      <c r="AB12" s="2">
        <f>SUMIF(Stock!$C$2:$C$41,TypeShares!$B12,Stock!AI$2:AI$41)/SUMIF(Stock!$C$2:$C$41,TypeShares!$A12,Stock!AI$2:AI$41)</f>
        <v>0.27100185455549852</v>
      </c>
      <c r="AC12" s="2">
        <f>SUMIF(Stock!$C$2:$C$41,TypeShares!$B12,Stock!AJ$2:AJ$41)/SUMIF(Stock!$C$2:$C$41,TypeShares!$A12,Stock!AJ$2:AJ$41)</f>
        <v>0.071524084291165413</v>
      </c>
      <c r="AD12" s="2">
        <f>SUMIF(Stock!$C$2:$C$41,TypeShares!$B12,Stock!AK$2:AK$41)/SUMIF(Stock!$C$2:$C$41,TypeShares!$A12,Stock!AK$2:AK$41)</f>
        <v>0.081885296108836547</v>
      </c>
      <c r="AE12" s="2">
        <f>SUMIF(Stock!$C$2:$C$41,TypeShares!$B12,Stock!AL$2:AL$41)/SUMIF(Stock!$C$2:$C$41,TypeShares!$A12,Stock!AL$2:AL$41)</f>
        <v>0.046688247011952198</v>
      </c>
      <c r="AF12" s="2">
        <f>SUMIF(Stock!$C$2:$C$41,TypeShares!$B12,Stock!AM$2:AM$41)/SUMIF(Stock!$C$2:$C$41,TypeShares!$A12,Stock!AM$2:AM$41)</f>
        <v>0.17679497305423666</v>
      </c>
      <c r="AG12" s="2">
        <f>SUMIF(Stock!$C$2:$C$41,TypeShares!$B12,Stock!AN$2:AN$41)/SUMIF(Stock!$C$2:$C$41,TypeShares!$A12,Stock!AN$2:AN$41)</f>
        <v>0.30555946083686275</v>
      </c>
      <c r="AH12" s="2">
        <f>SUMIF(Stock!$C$2:$C$41,TypeShares!$B12,Stock!AO$2:AO$41)/SUMIF(Stock!$C$2:$C$41,TypeShares!$A12,Stock!AO$2:AO$41)</f>
        <v>0.086152602176683385</v>
      </c>
      <c r="AI12" s="2">
        <f>SUMIF(Stock!$C$2:$C$41,TypeShares!$B12,Stock!AP$2:AP$41)/SUMIF(Stock!$C$2:$C$41,TypeShares!$A12,Stock!AP$2:AP$41)</f>
        <v>0.10199701619778344</v>
      </c>
      <c r="AJ12" s="2">
        <f>SUMIF(Stock!$C$2:$C$41,TypeShares!$B12,Stock!AQ$2:AQ$41)/SUMIF(Stock!$C$2:$C$41,TypeShares!$A12,Stock!AQ$2:AQ$41)</f>
        <v>0.079138836331030915</v>
      </c>
      <c r="AK12" s="2">
        <f>SUMIF(Stock!$C$2:$C$41,TypeShares!$B12,Stock!AR$2:AR$41)/SUMIF(Stock!$C$2:$C$41,TypeShares!$A12,Stock!AR$2:AR$41)</f>
        <v>0.088840212167084473</v>
      </c>
      <c r="AL12" s="2">
        <f>SUMIF(Stock!$C$2:$C$41,TypeShares!$B12,Stock!AS$2:AS$41)/SUMIF(Stock!$C$2:$C$41,TypeShares!$A12,Stock!AS$2:AS$41)</f>
        <v>0.41572061025231238</v>
      </c>
      <c r="AM12" s="2">
        <f>SUMIF(Stock!$C$2:$C$41,TypeShares!$B12,Stock!AT$2:AT$41)/SUMIF(Stock!$C$2:$C$41,TypeShares!$A12,Stock!AT$2:AT$41)</f>
        <v>0.086192236598890928</v>
      </c>
      <c r="AN12" s="2">
        <f>SUMIF(Stock!$C$2:$C$41,TypeShares!$B12,Stock!AU$2:AU$41)/SUMIF(Stock!$C$2:$C$41,TypeShares!$A12,Stock!AU$2:AU$41)</f>
        <v>0.082883487409306844</v>
      </c>
      <c r="AO12" s="2">
        <f>SUMIF(Stock!$C$2:$C$41,TypeShares!$B12,Stock!AV$2:AV$41)/SUMIF(Stock!$C$2:$C$41,TypeShares!$A12,Stock!AV$2:AV$41)</f>
        <v>0.14481673585590851</v>
      </c>
    </row>
    <row r="13" spans="1:41" ht="13.2">
      <c r="A13" t="str">
        <f>LEFT(Stock!C11,7)&amp;"*"</f>
        <v>TRA_Car*</v>
      </c>
      <c r="B13" t="str">
        <f>"*"&amp;RIGHT(Stock!C11,3)&amp;"*"</f>
        <v>*Lom*</v>
      </c>
      <c r="C13" t="str">
        <f>"*"&amp;MID(Stock!C11,9,3)</f>
        <v>*Cng</v>
      </c>
      <c r="E13" s="2">
        <f>SUMIF(Stock!$C$2:$C$41,TypeShares!$B13,Stock!L$2:L$41)/SUMIF(Stock!$C$2:$C$41,TypeShares!$A13,Stock!L$2:L$41)</f>
        <v>0.26488083688295422</v>
      </c>
      <c r="F13" s="2">
        <f>SUMIF(Stock!$C$2:$C$41,TypeShares!$B13,Stock!M$2:M$41)/SUMIF(Stock!$C$2:$C$41,TypeShares!$A13,Stock!M$2:M$41)</f>
        <v>0.29214588182747397</v>
      </c>
      <c r="G13" s="2">
        <f>SUMIF(Stock!$C$2:$C$41,TypeShares!$B13,Stock!N$2:N$41)/SUMIF(Stock!$C$2:$C$41,TypeShares!$A13,Stock!N$2:N$41)</f>
        <v>0.26791427539921825</v>
      </c>
      <c r="H13" s="2">
        <f>SUMIF(Stock!$C$2:$C$41,TypeShares!$B13,Stock!O$2:O$41)/SUMIF(Stock!$C$2:$C$41,TypeShares!$A13,Stock!O$2:O$41)</f>
        <v>0.29442836672192407</v>
      </c>
      <c r="I13" s="2">
        <f>SUMIF(Stock!$C$2:$C$41,TypeShares!$B13,Stock!P$2:P$41)/SUMIF(Stock!$C$2:$C$41,TypeShares!$A13,Stock!P$2:P$41)</f>
        <v>0.27390588452542164</v>
      </c>
      <c r="J13" s="2">
        <f>SUMIF(Stock!$C$2:$C$41,TypeShares!$B13,Stock!Q$2:Q$41)/SUMIF(Stock!$C$2:$C$41,TypeShares!$A13,Stock!Q$2:Q$41)</f>
        <v>0.31155862732253303</v>
      </c>
      <c r="K13" s="2">
        <f>SUMIF(Stock!$C$2:$C$41,TypeShares!$B13,Stock!R$2:R$41)/SUMIF(Stock!$C$2:$C$41,TypeShares!$A13,Stock!R$2:R$41)</f>
        <v>0.35173793541873116</v>
      </c>
      <c r="L13" s="2">
        <f>SUMIF(Stock!$C$2:$C$41,TypeShares!$B13,Stock!S$2:S$41)/SUMIF(Stock!$C$2:$C$41,TypeShares!$A13,Stock!S$2:S$41)</f>
        <v>0.2350556049822064</v>
      </c>
      <c r="M13" s="2">
        <f>SUMIF(Stock!$C$2:$C$41,TypeShares!$B13,Stock!T$2:T$41)/SUMIF(Stock!$C$2:$C$41,TypeShares!$A13,Stock!T$2:T$41)</f>
        <v>0.30421450107908721</v>
      </c>
      <c r="N13" s="2">
        <f>SUMIF(Stock!$C$2:$C$41,TypeShares!$B13,Stock!U$2:U$41)/SUMIF(Stock!$C$2:$C$41,TypeShares!$A13,Stock!U$2:U$41)</f>
        <v>0.36524693787870754</v>
      </c>
      <c r="O13" s="2">
        <f>SUMIF(Stock!$C$2:$C$41,TypeShares!$B13,Stock!V$2:V$41)/SUMIF(Stock!$C$2:$C$41,TypeShares!$A13,Stock!V$2:V$41)</f>
        <v>0.36501468776651186</v>
      </c>
      <c r="P13" s="2">
        <f>SUMIF(Stock!$C$2:$C$41,TypeShares!$B13,Stock!W$2:W$41)/SUMIF(Stock!$C$2:$C$41,TypeShares!$A13,Stock!W$2:W$41)</f>
        <v>0.25701618020000505</v>
      </c>
      <c r="Q13" s="2">
        <f>SUMIF(Stock!$C$2:$C$41,TypeShares!$B13,Stock!X$2:X$41)/SUMIF(Stock!$C$2:$C$41,TypeShares!$A13,Stock!X$2:X$41)</f>
        <v>0.37057755113837526</v>
      </c>
      <c r="R13" s="2">
        <f>SUMIF(Stock!$C$2:$C$41,TypeShares!$B13,Stock!Y$2:Y$41)/SUMIF(Stock!$C$2:$C$41,TypeShares!$A13,Stock!Y$2:Y$41)</f>
        <v>0.37237394957983194</v>
      </c>
      <c r="S13" s="2">
        <f>SUMIF(Stock!$C$2:$C$41,TypeShares!$B13,Stock!Z$2:Z$41)/SUMIF(Stock!$C$2:$C$41,TypeShares!$A13,Stock!Z$2:Z$41)</f>
        <v>0.29143876061158946</v>
      </c>
      <c r="T13" s="2">
        <f>SUMIF(Stock!$C$2:$C$41,TypeShares!$B13,Stock!AA$2:AA$41)/SUMIF(Stock!$C$2:$C$41,TypeShares!$A13,Stock!AA$2:AA$41)</f>
        <v>0.24740651387213514</v>
      </c>
      <c r="U13" s="2">
        <f>SUMIF(Stock!$C$2:$C$41,TypeShares!$B13,Stock!AB$2:AB$41)/SUMIF(Stock!$C$2:$C$41,TypeShares!$A13,Stock!AB$2:AB$41)</f>
        <v>0.21370786667470962</v>
      </c>
      <c r="V13" s="2">
        <f>SUMIF(Stock!$C$2:$C$41,TypeShares!$B13,Stock!AC$2:AC$41)/SUMIF(Stock!$C$2:$C$41,TypeShares!$A13,Stock!AC$2:AC$41)</f>
        <v>0.40936675947808054</v>
      </c>
      <c r="W13" s="2">
        <f>SUMIF(Stock!$C$2:$C$41,TypeShares!$B13,Stock!AD$2:AD$41)/SUMIF(Stock!$C$2:$C$41,TypeShares!$A13,Stock!AD$2:AD$41)</f>
        <v>0.38108504398826992</v>
      </c>
      <c r="X13" s="2">
        <f>SUMIF(Stock!$C$2:$C$41,TypeShares!$B13,Stock!AE$2:AE$41)/SUMIF(Stock!$C$2:$C$41,TypeShares!$A13,Stock!AE$2:AE$41)</f>
        <v>0.22160473305226069</v>
      </c>
      <c r="Y13" s="2">
        <f>SUMIF(Stock!$C$2:$C$41,TypeShares!$B13,Stock!AF$2:AF$41)/SUMIF(Stock!$C$2:$C$41,TypeShares!$A13,Stock!AF$2:AF$41)</f>
        <v>0.27171885801104323</v>
      </c>
      <c r="Z13" s="2">
        <f>SUMIF(Stock!$C$2:$C$41,TypeShares!$B13,Stock!AG$2:AG$41)/SUMIF(Stock!$C$2:$C$41,TypeShares!$A13,Stock!AG$2:AG$41)</f>
        <v>0.29420696369789973</v>
      </c>
      <c r="AA13" s="2">
        <f>SUMIF(Stock!$C$2:$C$41,TypeShares!$B13,Stock!AH$2:AH$41)/SUMIF(Stock!$C$2:$C$41,TypeShares!$A13,Stock!AH$2:AH$41)</f>
        <v>0.29237388724035612</v>
      </c>
      <c r="AB13" s="2">
        <f>SUMIF(Stock!$C$2:$C$41,TypeShares!$B13,Stock!AI$2:AI$41)/SUMIF(Stock!$C$2:$C$41,TypeShares!$A13,Stock!AI$2:AI$41)</f>
        <v>0.36775440950163751</v>
      </c>
      <c r="AC13" s="2">
        <f>SUMIF(Stock!$C$2:$C$41,TypeShares!$B13,Stock!AJ$2:AJ$41)/SUMIF(Stock!$C$2:$C$41,TypeShares!$A13,Stock!AJ$2:AJ$41)</f>
        <v>0.26121135889599095</v>
      </c>
      <c r="AD13" s="2">
        <f>SUMIF(Stock!$C$2:$C$41,TypeShares!$B13,Stock!AK$2:AK$41)/SUMIF(Stock!$C$2:$C$41,TypeShares!$A13,Stock!AK$2:AK$41)</f>
        <v>0.26316128824269003</v>
      </c>
      <c r="AE13" s="2">
        <f>SUMIF(Stock!$C$2:$C$41,TypeShares!$B13,Stock!AL$2:AL$41)/SUMIF(Stock!$C$2:$C$41,TypeShares!$A13,Stock!AL$2:AL$41)</f>
        <v>0.1877905046480744</v>
      </c>
      <c r="AF13" s="2">
        <f>SUMIF(Stock!$C$2:$C$41,TypeShares!$B13,Stock!AM$2:AM$41)/SUMIF(Stock!$C$2:$C$41,TypeShares!$A13,Stock!AM$2:AM$41)</f>
        <v>0.27593004572183483</v>
      </c>
      <c r="AG13" s="2">
        <f>SUMIF(Stock!$C$2:$C$41,TypeShares!$B13,Stock!AN$2:AN$41)/SUMIF(Stock!$C$2:$C$41,TypeShares!$A13,Stock!AN$2:AN$41)</f>
        <v>0.2685622902131698</v>
      </c>
      <c r="AH13" s="2">
        <f>SUMIF(Stock!$C$2:$C$41,TypeShares!$B13,Stock!AO$2:AO$41)/SUMIF(Stock!$C$2:$C$41,TypeShares!$A13,Stock!AO$2:AO$41)</f>
        <v>0.26910862477298414</v>
      </c>
      <c r="AI13" s="2">
        <f>SUMIF(Stock!$C$2:$C$41,TypeShares!$B13,Stock!AP$2:AP$41)/SUMIF(Stock!$C$2:$C$41,TypeShares!$A13,Stock!AP$2:AP$41)</f>
        <v>0.20056052855924975</v>
      </c>
      <c r="AJ13" s="2">
        <f>SUMIF(Stock!$C$2:$C$41,TypeShares!$B13,Stock!AQ$2:AQ$41)/SUMIF(Stock!$C$2:$C$41,TypeShares!$A13,Stock!AQ$2:AQ$41)</f>
        <v>0.21370848245833995</v>
      </c>
      <c r="AK13" s="2">
        <f>SUMIF(Stock!$C$2:$C$41,TypeShares!$B13,Stock!AR$2:AR$41)/SUMIF(Stock!$C$2:$C$41,TypeShares!$A13,Stock!AR$2:AR$41)</f>
        <v>0.27132214828068951</v>
      </c>
      <c r="AL13" s="2">
        <f>SUMIF(Stock!$C$2:$C$41,TypeShares!$B13,Stock!AS$2:AS$41)/SUMIF(Stock!$C$2:$C$41,TypeShares!$A13,Stock!AS$2:AS$41)</f>
        <v>0.27345393256362921</v>
      </c>
      <c r="AM13" s="2">
        <f>SUMIF(Stock!$C$2:$C$41,TypeShares!$B13,Stock!AT$2:AT$41)/SUMIF(Stock!$C$2:$C$41,TypeShares!$A13,Stock!AT$2:AT$41)</f>
        <v>0.27232902033271716</v>
      </c>
      <c r="AN13" s="2">
        <f>SUMIF(Stock!$C$2:$C$41,TypeShares!$B13,Stock!AU$2:AU$41)/SUMIF(Stock!$C$2:$C$41,TypeShares!$A13,Stock!AU$2:AU$41)</f>
        <v>0.23095818679639801</v>
      </c>
      <c r="AO13" s="2">
        <f>SUMIF(Stock!$C$2:$C$41,TypeShares!$B13,Stock!AV$2:AV$41)/SUMIF(Stock!$C$2:$C$41,TypeShares!$A13,Stock!AV$2:AV$41)</f>
        <v>0.29740327711023645</v>
      </c>
    </row>
    <row r="14" spans="1:41" ht="13.2">
      <c r="A14" t="str">
        <f>LEFT(Stock!C12,7)&amp;"*"</f>
        <v>TRA_Car*</v>
      </c>
      <c r="B14" t="str">
        <f>"*"&amp;RIGHT(Stock!C12,3)&amp;"*"</f>
        <v>*Sma*</v>
      </c>
      <c r="C14" t="str">
        <f>"*"&amp;MID(Stock!C12,9,3)</f>
        <v>*Cng</v>
      </c>
      <c r="E14" s="2">
        <f>SUMIF(Stock!$C$2:$C$41,TypeShares!$B14,Stock!L$2:L$41)/SUMIF(Stock!$C$2:$C$41,TypeShares!$A14,Stock!L$2:L$41)</f>
        <v>0.54221534565634188</v>
      </c>
      <c r="F14" s="2">
        <f>SUMIF(Stock!$C$2:$C$41,TypeShares!$B14,Stock!M$2:M$41)/SUMIF(Stock!$C$2:$C$41,TypeShares!$A14,Stock!M$2:M$41)</f>
        <v>0.4261572026146036</v>
      </c>
      <c r="G14" s="2">
        <f>SUMIF(Stock!$C$2:$C$41,TypeShares!$B14,Stock!N$2:N$41)/SUMIF(Stock!$C$2:$C$41,TypeShares!$A14,Stock!N$2:N$41)</f>
        <v>0.52224192218986887</v>
      </c>
      <c r="H14" s="2">
        <f>SUMIF(Stock!$C$2:$C$41,TypeShares!$B14,Stock!O$2:O$41)/SUMIF(Stock!$C$2:$C$41,TypeShares!$A14,Stock!O$2:O$41)</f>
        <v>0.44936641285718298</v>
      </c>
      <c r="I14" s="2">
        <f>SUMIF(Stock!$C$2:$C$41,TypeShares!$B14,Stock!P$2:P$41)/SUMIF(Stock!$C$2:$C$41,TypeShares!$A14,Stock!P$2:P$41)</f>
        <v>0.49587590791579467</v>
      </c>
      <c r="J14" s="2">
        <f>SUMIF(Stock!$C$2:$C$41,TypeShares!$B14,Stock!Q$2:Q$41)/SUMIF(Stock!$C$2:$C$41,TypeShares!$A14,Stock!Q$2:Q$41)</f>
        <v>0.28701147987035769</v>
      </c>
      <c r="K14" s="2">
        <f>SUMIF(Stock!$C$2:$C$41,TypeShares!$B14,Stock!R$2:R$41)/SUMIF(Stock!$C$2:$C$41,TypeShares!$A14,Stock!R$2:R$41)</f>
        <v>0.38214011929024172</v>
      </c>
      <c r="L14" s="2">
        <f>SUMIF(Stock!$C$2:$C$41,TypeShares!$B14,Stock!S$2:S$41)/SUMIF(Stock!$C$2:$C$41,TypeShares!$A14,Stock!S$2:S$41)</f>
        <v>0.58088967971530248</v>
      </c>
      <c r="M14" s="2">
        <f>SUMIF(Stock!$C$2:$C$41,TypeShares!$B14,Stock!T$2:T$41)/SUMIF(Stock!$C$2:$C$41,TypeShares!$A14,Stock!T$2:T$41)</f>
        <v>0.39920202034507268</v>
      </c>
      <c r="N14" s="2">
        <f>SUMIF(Stock!$C$2:$C$41,TypeShares!$B14,Stock!U$2:U$41)/SUMIF(Stock!$C$2:$C$41,TypeShares!$A14,Stock!U$2:U$41)</f>
        <v>0.38024011698366494</v>
      </c>
      <c r="O14" s="2">
        <f>SUMIF(Stock!$C$2:$C$41,TypeShares!$B14,Stock!V$2:V$41)/SUMIF(Stock!$C$2:$C$41,TypeShares!$A14,Stock!V$2:V$41)</f>
        <v>0.21541267885909221</v>
      </c>
      <c r="P14" s="2">
        <f>SUMIF(Stock!$C$2:$C$41,TypeShares!$B14,Stock!W$2:W$41)/SUMIF(Stock!$C$2:$C$41,TypeShares!$A14,Stock!W$2:W$41)</f>
        <v>0.59124149154569716</v>
      </c>
      <c r="Q14" s="2">
        <f>SUMIF(Stock!$C$2:$C$41,TypeShares!$B14,Stock!X$2:X$41)/SUMIF(Stock!$C$2:$C$41,TypeShares!$A14,Stock!X$2:X$41)</f>
        <v>0.3274400465321281</v>
      </c>
      <c r="R14" s="2">
        <f>SUMIF(Stock!$C$2:$C$41,TypeShares!$B14,Stock!Y$2:Y$41)/SUMIF(Stock!$C$2:$C$41,TypeShares!$A14,Stock!Y$2:Y$41)</f>
        <v>0.2708298319327731</v>
      </c>
      <c r="S14" s="2">
        <f>SUMIF(Stock!$C$2:$C$41,TypeShares!$B14,Stock!Z$2:Z$41)/SUMIF(Stock!$C$2:$C$41,TypeShares!$A14,Stock!Z$2:Z$41)</f>
        <v>0.47242460184338286</v>
      </c>
      <c r="T14" s="2">
        <f>SUMIF(Stock!$C$2:$C$41,TypeShares!$B14,Stock!AA$2:AA$41)/SUMIF(Stock!$C$2:$C$41,TypeShares!$A14,Stock!AA$2:AA$41)</f>
        <v>0.56801367108966638</v>
      </c>
      <c r="U14" s="2">
        <f>SUMIF(Stock!$C$2:$C$41,TypeShares!$B14,Stock!AB$2:AB$41)/SUMIF(Stock!$C$2:$C$41,TypeShares!$A14,Stock!AB$2:AB$41)</f>
        <v>0.62656251047259037</v>
      </c>
      <c r="V14" s="2">
        <f>SUMIF(Stock!$C$2:$C$41,TypeShares!$B14,Stock!AC$2:AC$41)/SUMIF(Stock!$C$2:$C$41,TypeShares!$A14,Stock!AC$2:AC$41)</f>
        <v>0.27890794827123389</v>
      </c>
      <c r="W14" s="2">
        <f>SUMIF(Stock!$C$2:$C$41,TypeShares!$B14,Stock!AD$2:AD$41)/SUMIF(Stock!$C$2:$C$41,TypeShares!$A14,Stock!AD$2:AD$41)</f>
        <v>0.21466275659824055</v>
      </c>
      <c r="X14" s="2">
        <f>SUMIF(Stock!$C$2:$C$41,TypeShares!$B14,Stock!AE$2:AE$41)/SUMIF(Stock!$C$2:$C$41,TypeShares!$A14,Stock!AE$2:AE$41)</f>
        <v>0.59082604996023369</v>
      </c>
      <c r="Y14" s="2">
        <f>SUMIF(Stock!$C$2:$C$41,TypeShares!$B14,Stock!AF$2:AF$41)/SUMIF(Stock!$C$2:$C$41,TypeShares!$A14,Stock!AF$2:AF$41)</f>
        <v>0.51471754087356403</v>
      </c>
      <c r="Z14" s="2">
        <f>SUMIF(Stock!$C$2:$C$41,TypeShares!$B14,Stock!AG$2:AG$41)/SUMIF(Stock!$C$2:$C$41,TypeShares!$A14,Stock!AG$2:AG$41)</f>
        <v>0.37887709212295423</v>
      </c>
      <c r="AA14" s="2">
        <f>SUMIF(Stock!$C$2:$C$41,TypeShares!$B14,Stock!AH$2:AH$41)/SUMIF(Stock!$C$2:$C$41,TypeShares!$A14,Stock!AH$2:AH$41)</f>
        <v>0.32094955489614246</v>
      </c>
      <c r="AB14" s="2">
        <f>SUMIF(Stock!$C$2:$C$41,TypeShares!$B14,Stock!AI$2:AI$41)/SUMIF(Stock!$C$2:$C$41,TypeShares!$A14,Stock!AI$2:AI$41)</f>
        <v>0.19632640176774646</v>
      </c>
      <c r="AC14" s="2">
        <f>SUMIF(Stock!$C$2:$C$41,TypeShares!$B14,Stock!AJ$2:AJ$41)/SUMIF(Stock!$C$2:$C$41,TypeShares!$A14,Stock!AJ$2:AJ$41)</f>
        <v>0.56488310996618596</v>
      </c>
      <c r="AD14" s="2">
        <f>SUMIF(Stock!$C$2:$C$41,TypeShares!$B14,Stock!AK$2:AK$41)/SUMIF(Stock!$C$2:$C$41,TypeShares!$A14,Stock!AK$2:AK$41)</f>
        <v>0.53696121731841795</v>
      </c>
      <c r="AE14" s="2">
        <f>SUMIF(Stock!$C$2:$C$41,TypeShares!$B14,Stock!AL$2:AL$41)/SUMIF(Stock!$C$2:$C$41,TypeShares!$A14,Stock!AL$2:AL$41)</f>
        <v>0.68131640106241709</v>
      </c>
      <c r="AF14" s="2">
        <f>SUMIF(Stock!$C$2:$C$41,TypeShares!$B14,Stock!AM$2:AM$41)/SUMIF(Stock!$C$2:$C$41,TypeShares!$A14,Stock!AM$2:AM$41)</f>
        <v>0.42351837081868837</v>
      </c>
      <c r="AG14" s="2">
        <f>SUMIF(Stock!$C$2:$C$41,TypeShares!$B14,Stock!AN$2:AN$41)/SUMIF(Stock!$C$2:$C$41,TypeShares!$A14,Stock!AN$2:AN$41)</f>
        <v>0.27626399311108374</v>
      </c>
      <c r="AH14" s="2">
        <f>SUMIF(Stock!$C$2:$C$41,TypeShares!$B14,Stock!AO$2:AO$41)/SUMIF(Stock!$C$2:$C$41,TypeShares!$A14,Stock!AO$2:AO$41)</f>
        <v>0.52406990955331167</v>
      </c>
      <c r="AI14" s="2">
        <f>SUMIF(Stock!$C$2:$C$41,TypeShares!$B14,Stock!AP$2:AP$41)/SUMIF(Stock!$C$2:$C$41,TypeShares!$A14,Stock!AP$2:AP$41)</f>
        <v>0.60751705029838021</v>
      </c>
      <c r="AJ14" s="2">
        <f>SUMIF(Stock!$C$2:$C$41,TypeShares!$B14,Stock!AQ$2:AQ$41)/SUMIF(Stock!$C$2:$C$41,TypeShares!$A14,Stock!AQ$2:AQ$41)</f>
        <v>0.61133274063267007</v>
      </c>
      <c r="AK14" s="2">
        <f>SUMIF(Stock!$C$2:$C$41,TypeShares!$B14,Stock!AR$2:AR$41)/SUMIF(Stock!$C$2:$C$41,TypeShares!$A14,Stock!AR$2:AR$41)</f>
        <v>0.51816891586306824</v>
      </c>
      <c r="AL14" s="2">
        <f>SUMIF(Stock!$C$2:$C$41,TypeShares!$B14,Stock!AS$2:AS$41)/SUMIF(Stock!$C$2:$C$41,TypeShares!$A14,Stock!AS$2:AS$41)</f>
        <v>0.18833870656636634</v>
      </c>
      <c r="AM14" s="2">
        <f>SUMIF(Stock!$C$2:$C$41,TypeShares!$B14,Stock!AT$2:AT$41)/SUMIF(Stock!$C$2:$C$41,TypeShares!$A14,Stock!AT$2:AT$41)</f>
        <v>0.51937153419593352</v>
      </c>
      <c r="AN14" s="2">
        <f>SUMIF(Stock!$C$2:$C$41,TypeShares!$B14,Stock!AU$2:AU$41)/SUMIF(Stock!$C$2:$C$41,TypeShares!$A14,Stock!AU$2:AU$41)</f>
        <v>0.58259890119765856</v>
      </c>
      <c r="AO14" s="2">
        <f>SUMIF(Stock!$C$2:$C$41,TypeShares!$B14,Stock!AV$2:AV$41)/SUMIF(Stock!$C$2:$C$41,TypeShares!$A14,Stock!AV$2:AV$41)</f>
        <v>0.42443267821479402</v>
      </c>
    </row>
    <row r="15" spans="1:41" ht="13.2">
      <c r="A15" t="str">
        <f>LEFT(Stock!C13,7)&amp;"*"</f>
        <v>TRA_Car*</v>
      </c>
      <c r="B15" t="str">
        <f>"*"&amp;RIGHT(Stock!C13,3)&amp;"*"</f>
        <v>*Upm*</v>
      </c>
      <c r="C15" t="str">
        <f>"*"&amp;MID(Stock!C13,9,3)</f>
        <v>*Cng</v>
      </c>
      <c r="E15" s="2">
        <f>SUMIF(Stock!$C$2:$C$41,TypeShares!$B15,Stock!L$2:L$41)/SUMIF(Stock!$C$2:$C$41,TypeShares!$A15,Stock!L$2:L$41)</f>
        <v>0.1055676589552913</v>
      </c>
      <c r="F15" s="2">
        <f>SUMIF(Stock!$C$2:$C$41,TypeShares!$B15,Stock!M$2:M$41)/SUMIF(Stock!$C$2:$C$41,TypeShares!$A15,Stock!M$2:M$41)</f>
        <v>0.13099001056492274</v>
      </c>
      <c r="G15" s="2">
        <f>SUMIF(Stock!$C$2:$C$41,TypeShares!$B15,Stock!N$2:N$41)/SUMIF(Stock!$C$2:$C$41,TypeShares!$A15,Stock!N$2:N$41)</f>
        <v>0.12012986688006616</v>
      </c>
      <c r="H15" s="2">
        <f>SUMIF(Stock!$C$2:$C$41,TypeShares!$B15,Stock!O$2:O$41)/SUMIF(Stock!$C$2:$C$41,TypeShares!$A15,Stock!O$2:O$41)</f>
        <v>0.13201464789787679</v>
      </c>
      <c r="I15" s="2">
        <f>SUMIF(Stock!$C$2:$C$41,TypeShares!$B15,Stock!P$2:P$41)/SUMIF(Stock!$C$2:$C$41,TypeShares!$A15,Stock!P$2:P$41)</f>
        <v>0.12281484673150314</v>
      </c>
      <c r="J15" s="2">
        <f>SUMIF(Stock!$C$2:$C$41,TypeShares!$B15,Stock!Q$2:Q$41)/SUMIF(Stock!$C$2:$C$41,TypeShares!$A15,Stock!Q$2:Q$41)</f>
        <v>0.13969424632528835</v>
      </c>
      <c r="K15" s="2">
        <f>SUMIF(Stock!$C$2:$C$41,TypeShares!$B15,Stock!R$2:R$41)/SUMIF(Stock!$C$2:$C$41,TypeShares!$A15,Stock!R$2:R$41)</f>
        <v>0.15771366602471815</v>
      </c>
      <c r="L15" s="2">
        <f>SUMIF(Stock!$C$2:$C$41,TypeShares!$B15,Stock!S$2:S$41)/SUMIF(Stock!$C$2:$C$41,TypeShares!$A15,Stock!S$2:S$41)</f>
        <v>0.10539145907473309</v>
      </c>
      <c r="M15" s="2">
        <f>SUMIF(Stock!$C$2:$C$41,TypeShares!$B15,Stock!T$2:T$41)/SUMIF(Stock!$C$2:$C$41,TypeShares!$A15,Stock!T$2:T$41)</f>
        <v>0.13640161679453849</v>
      </c>
      <c r="N15" s="2">
        <f>SUMIF(Stock!$C$2:$C$41,TypeShares!$B15,Stock!U$2:U$41)/SUMIF(Stock!$C$2:$C$41,TypeShares!$A15,Stock!U$2:U$41)</f>
        <v>0.16376944430541959</v>
      </c>
      <c r="O15" s="2">
        <f>SUMIF(Stock!$C$2:$C$41,TypeShares!$B15,Stock!V$2:V$41)/SUMIF(Stock!$C$2:$C$41,TypeShares!$A15,Stock!V$2:V$41)</f>
        <v>0.1636501468776651</v>
      </c>
      <c r="P15" s="2">
        <f>SUMIF(Stock!$C$2:$C$41,TypeShares!$B15,Stock!W$2:W$41)/SUMIF(Stock!$C$2:$C$41,TypeShares!$A15,Stock!W$2:W$41)</f>
        <v>0.098714363210124084</v>
      </c>
      <c r="Q15" s="2">
        <f>SUMIF(Stock!$C$2:$C$41,TypeShares!$B15,Stock!X$2:X$41)/SUMIF(Stock!$C$2:$C$41,TypeShares!$A15,Stock!X$2:X$41)</f>
        <v>0.15506027861472987</v>
      </c>
      <c r="R15" s="2">
        <f>SUMIF(Stock!$C$2:$C$41,TypeShares!$B15,Stock!Y$2:Y$41)/SUMIF(Stock!$C$2:$C$41,TypeShares!$A15,Stock!Y$2:Y$41)</f>
        <v>0.16696078431372549</v>
      </c>
      <c r="S15" s="2">
        <f>SUMIF(Stock!$C$2:$C$41,TypeShares!$B15,Stock!Z$2:Z$41)/SUMIF(Stock!$C$2:$C$41,TypeShares!$A15,Stock!Z$2:Z$41)</f>
        <v>0.13067304086809947</v>
      </c>
      <c r="T15" s="2">
        <f>SUMIF(Stock!$C$2:$C$41,TypeShares!$B15,Stock!AA$2:AA$41)/SUMIF(Stock!$C$2:$C$41,TypeShares!$A15,Stock!AA$2:AA$41)</f>
        <v>0.11093687173301167</v>
      </c>
      <c r="U15" s="2">
        <f>SUMIF(Stock!$C$2:$C$41,TypeShares!$B15,Stock!AB$2:AB$41)/SUMIF(Stock!$C$2:$C$41,TypeShares!$A15,Stock!AB$2:AB$41)</f>
        <v>0.095821687812920997</v>
      </c>
      <c r="V15" s="2">
        <f>SUMIF(Stock!$C$2:$C$41,TypeShares!$B15,Stock!AC$2:AC$41)/SUMIF(Stock!$C$2:$C$41,TypeShares!$A15,Stock!AC$2:AC$41)</f>
        <v>0.19727250238169178</v>
      </c>
      <c r="W15" s="2">
        <f>SUMIF(Stock!$C$2:$C$41,TypeShares!$B15,Stock!AD$2:AD$41)/SUMIF(Stock!$C$2:$C$41,TypeShares!$A15,Stock!AD$2:AD$41)</f>
        <v>0.17121212121212126</v>
      </c>
      <c r="X15" s="2">
        <f>SUMIF(Stock!$C$2:$C$41,TypeShares!$B15,Stock!AE$2:AE$41)/SUMIF(Stock!$C$2:$C$41,TypeShares!$A15,Stock!AE$2:AE$41)</f>
        <v>0.099361386434967044</v>
      </c>
      <c r="Y15" s="2">
        <f>SUMIF(Stock!$C$2:$C$41,TypeShares!$B15,Stock!AF$2:AF$41)/SUMIF(Stock!$C$2:$C$41,TypeShares!$A15,Stock!AF$2:AF$41)</f>
        <v>0.12183850902151416</v>
      </c>
      <c r="Z15" s="2">
        <f>SUMIF(Stock!$C$2:$C$41,TypeShares!$B15,Stock!AG$2:AG$41)/SUMIF(Stock!$C$2:$C$41,TypeShares!$A15,Stock!AG$2:AG$41)</f>
        <v>0.13191385785154622</v>
      </c>
      <c r="AA15" s="2">
        <f>SUMIF(Stock!$C$2:$C$41,TypeShares!$B15,Stock!AH$2:AH$41)/SUMIF(Stock!$C$2:$C$41,TypeShares!$A15,Stock!AH$2:AH$41)</f>
        <v>0.13394658753709202</v>
      </c>
      <c r="AB15" s="2">
        <f>SUMIF(Stock!$C$2:$C$41,TypeShares!$B15,Stock!AI$2:AI$41)/SUMIF(Stock!$C$2:$C$41,TypeShares!$A15,Stock!AI$2:AI$41)</f>
        <v>0.16491733417511734</v>
      </c>
      <c r="AC15" s="2">
        <f>SUMIF(Stock!$C$2:$C$41,TypeShares!$B15,Stock!AJ$2:AJ$41)/SUMIF(Stock!$C$2:$C$41,TypeShares!$A15,Stock!AJ$2:AJ$41)</f>
        <v>0.10238144684665765</v>
      </c>
      <c r="AD15" s="2">
        <f>SUMIF(Stock!$C$2:$C$41,TypeShares!$B15,Stock!AK$2:AK$41)/SUMIF(Stock!$C$2:$C$41,TypeShares!$A15,Stock!AK$2:AK$41)</f>
        <v>0.11799219833005579</v>
      </c>
      <c r="AE15" s="2">
        <f>SUMIF(Stock!$C$2:$C$41,TypeShares!$B15,Stock!AL$2:AL$41)/SUMIF(Stock!$C$2:$C$41,TypeShares!$A15,Stock!AL$2:AL$41)</f>
        <v>0.084204847277556449</v>
      </c>
      <c r="AF15" s="2">
        <f>SUMIF(Stock!$C$2:$C$41,TypeShares!$B15,Stock!AM$2:AM$41)/SUMIF(Stock!$C$2:$C$41,TypeShares!$A15,Stock!AM$2:AM$41)</f>
        <v>0.12375661040523996</v>
      </c>
      <c r="AG15" s="2">
        <f>SUMIF(Stock!$C$2:$C$41,TypeShares!$B15,Stock!AN$2:AN$41)/SUMIF(Stock!$C$2:$C$41,TypeShares!$A15,Stock!AN$2:AN$41)</f>
        <v>0.14961425583888371</v>
      </c>
      <c r="AH15" s="2">
        <f>SUMIF(Stock!$C$2:$C$41,TypeShares!$B15,Stock!AO$2:AO$41)/SUMIF(Stock!$C$2:$C$41,TypeShares!$A15,Stock!AO$2:AO$41)</f>
        <v>0.12066886349702058</v>
      </c>
      <c r="AI15" s="2">
        <f>SUMIF(Stock!$C$2:$C$41,TypeShares!$B15,Stock!AP$2:AP$41)/SUMIF(Stock!$C$2:$C$41,TypeShares!$A15,Stock!AP$2:AP$41)</f>
        <v>0.089925404944586521</v>
      </c>
      <c r="AJ15" s="2">
        <f>SUMIF(Stock!$C$2:$C$41,TypeShares!$B15,Stock!AQ$2:AQ$41)/SUMIF(Stock!$C$2:$C$41,TypeShares!$A15,Stock!AQ$2:AQ$41)</f>
        <v>0.095819940577959131</v>
      </c>
      <c r="AK15" s="2">
        <f>SUMIF(Stock!$C$2:$C$41,TypeShares!$B15,Stock!AR$2:AR$41)/SUMIF(Stock!$C$2:$C$41,TypeShares!$A15,Stock!AR$2:AR$41)</f>
        <v>0.12166872368915775</v>
      </c>
      <c r="AL15" s="2">
        <f>SUMIF(Stock!$C$2:$C$41,TypeShares!$B15,Stock!AS$2:AS$41)/SUMIF(Stock!$C$2:$C$41,TypeShares!$A15,Stock!AS$2:AS$41)</f>
        <v>0.12248675061769217</v>
      </c>
      <c r="AM15" s="2">
        <f>SUMIF(Stock!$C$2:$C$41,TypeShares!$B15,Stock!AT$2:AT$41)/SUMIF(Stock!$C$2:$C$41,TypeShares!$A15,Stock!AT$2:AT$41)</f>
        <v>0.12210720887245842</v>
      </c>
      <c r="AN15" s="2">
        <f>SUMIF(Stock!$C$2:$C$41,TypeShares!$B15,Stock!AU$2:AU$41)/SUMIF(Stock!$C$2:$C$41,TypeShares!$A15,Stock!AU$2:AU$41)</f>
        <v>0.10355942459663647</v>
      </c>
      <c r="AO15" s="2">
        <f>SUMIF(Stock!$C$2:$C$41,TypeShares!$B15,Stock!AV$2:AV$41)/SUMIF(Stock!$C$2:$C$41,TypeShares!$A15,Stock!AV$2:AV$41)</f>
        <v>0.13334730881906084</v>
      </c>
    </row>
    <row r="16" spans="1:41" ht="13.2">
      <c r="A16" t="str">
        <f>LEFT(Stock!C14,7)&amp;"*"</f>
        <v>TRA_Car*</v>
      </c>
      <c r="B16" t="str">
        <f>"*"&amp;RIGHT(Stock!C14,3)&amp;"*"</f>
        <v>*Exe*</v>
      </c>
      <c r="C16" t="str">
        <f>"*"&amp;MID(Stock!C14,9,3)</f>
        <v>*Dis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ht="13.2">
      <c r="A17" t="str">
        <f>LEFT(Stock!C15,7)&amp;"*"</f>
        <v>TRA_Car*</v>
      </c>
      <c r="B17" t="str">
        <f>"*"&amp;RIGHT(Stock!C15,3)&amp;"*"</f>
        <v>*Lom*</v>
      </c>
      <c r="C17" t="str">
        <f>"*"&amp;MID(Stock!C15,9,3)</f>
        <v>*Dis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ht="13.2">
      <c r="A18" t="str">
        <f>LEFT(Stock!C16,7)&amp;"*"</f>
        <v>TRA_Car*</v>
      </c>
      <c r="B18" t="str">
        <f>"*"&amp;RIGHT(Stock!C16,3)&amp;"*"</f>
        <v>*Sma*</v>
      </c>
      <c r="C18" t="str">
        <f>"*"&amp;MID(Stock!C16,9,3)</f>
        <v>*Dis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ht="13.2">
      <c r="A19" t="str">
        <f>LEFT(Stock!C17,7)&amp;"*"</f>
        <v>TRA_Car*</v>
      </c>
      <c r="B19" t="str">
        <f>"*"&amp;RIGHT(Stock!C17,3)&amp;"*"</f>
        <v>*Upm*</v>
      </c>
      <c r="C19" t="str">
        <f>"*"&amp;MID(Stock!C17,9,3)</f>
        <v>*Dis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ht="13.2">
      <c r="A20" t="str">
        <f>LEFT(Stock!C18,7)&amp;"*"</f>
        <v>TRA_Car*</v>
      </c>
      <c r="B20" t="str">
        <f>"*"&amp;RIGHT(Stock!C18,3)&amp;"*"</f>
        <v>*Exe*</v>
      </c>
      <c r="C20" t="str">
        <f>"*"&amp;MID(Stock!C18,9,3)</f>
        <v>*Fle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ht="13.2">
      <c r="A21" t="str">
        <f>LEFT(Stock!C19,7)&amp;"*"</f>
        <v>TRA_Car*</v>
      </c>
      <c r="B21" t="str">
        <f>"*"&amp;RIGHT(Stock!C19,3)&amp;"*"</f>
        <v>*Lom*</v>
      </c>
      <c r="C21" t="str">
        <f>"*"&amp;MID(Stock!C19,9,3)</f>
        <v>*Fle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ht="13.2">
      <c r="A22" t="str">
        <f>LEFT(Stock!C20,7)&amp;"*"</f>
        <v>TRA_Car*</v>
      </c>
      <c r="B22" t="str">
        <f>"*"&amp;RIGHT(Stock!C20,3)&amp;"*"</f>
        <v>*Sma*</v>
      </c>
      <c r="C22" t="str">
        <f>"*"&amp;MID(Stock!C20,9,3)</f>
        <v>*Fle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ht="13.2">
      <c r="A23" t="str">
        <f>LEFT(Stock!C21,7)&amp;"*"</f>
        <v>TRA_Car*</v>
      </c>
      <c r="B23" t="str">
        <f>"*"&amp;RIGHT(Stock!C21,3)&amp;"*"</f>
        <v>*Upm*</v>
      </c>
      <c r="C23" t="str">
        <f>"*"&amp;MID(Stock!C21,9,3)</f>
        <v>*Fle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ht="13.2">
      <c r="A24" t="str">
        <f>LEFT(Stock!C22,7)&amp;"*"</f>
        <v>TRA_Car*</v>
      </c>
      <c r="B24" t="str">
        <f>"*"&amp;RIGHT(Stock!C22,3)&amp;"*"</f>
        <v>*Exe*</v>
      </c>
      <c r="C24" t="str">
        <f>"*"&amp;MID(Stock!C22,9,3)</f>
        <v>*Gas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ht="13.2">
      <c r="A25" t="str">
        <f>LEFT(Stock!C23,7)&amp;"*"</f>
        <v>TRA_Car*</v>
      </c>
      <c r="B25" t="str">
        <f>"*"&amp;RIGHT(Stock!C23,3)&amp;"*"</f>
        <v>*Lom*</v>
      </c>
      <c r="C25" t="str">
        <f>"*"&amp;MID(Stock!C23,9,3)</f>
        <v>*Gas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ht="13.2">
      <c r="A26" t="str">
        <f>LEFT(Stock!C24,7)&amp;"*"</f>
        <v>TRA_Car*</v>
      </c>
      <c r="B26" t="str">
        <f>"*"&amp;RIGHT(Stock!C24,3)&amp;"*"</f>
        <v>*Sma*</v>
      </c>
      <c r="C26" t="str">
        <f>"*"&amp;MID(Stock!C24,9,3)</f>
        <v>*Gas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ht="13.2">
      <c r="A27" t="str">
        <f>LEFT(Stock!C25,7)&amp;"*"</f>
        <v>TRA_Car*</v>
      </c>
      <c r="B27" t="str">
        <f>"*"&amp;RIGHT(Stock!C25,3)&amp;"*"</f>
        <v>*Upm*</v>
      </c>
      <c r="C27" t="str">
        <f>"*"&amp;MID(Stock!C25,9,3)</f>
        <v>*Gas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ht="13.2">
      <c r="A28" t="str">
        <f>LEFT(Stock!C26,7)&amp;"*"</f>
        <v>TRA_Car*</v>
      </c>
      <c r="B28" t="str">
        <f>"*"&amp;RIGHT(Stock!C26,3)&amp;"*"</f>
        <v>*Exe*</v>
      </c>
      <c r="C28" t="str">
        <f>"*"&amp;MID(Stock!C26,9,3)</f>
        <v>*Lpg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ht="13.2">
      <c r="A29" t="str">
        <f>LEFT(Stock!C27,7)&amp;"*"</f>
        <v>TRA_Car*</v>
      </c>
      <c r="B29" t="str">
        <f>"*"&amp;RIGHT(Stock!C27,3)&amp;"*"</f>
        <v>*Lom*</v>
      </c>
      <c r="C29" t="str">
        <f>"*"&amp;MID(Stock!C27,9,3)</f>
        <v>*Lpg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ht="13.2">
      <c r="A30" t="str">
        <f>LEFT(Stock!C28,7)&amp;"*"</f>
        <v>TRA_Car*</v>
      </c>
      <c r="B30" t="str">
        <f>"*"&amp;RIGHT(Stock!C28,3)&amp;"*"</f>
        <v>*Sma*</v>
      </c>
      <c r="C30" t="str">
        <f>"*"&amp;MID(Stock!C28,9,3)</f>
        <v>*Lpg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ht="13.2">
      <c r="A31" t="str">
        <f>LEFT(Stock!C29,7)&amp;"*"</f>
        <v>TRA_Car*</v>
      </c>
      <c r="B31" t="str">
        <f>"*"&amp;RIGHT(Stock!C29,3)&amp;"*"</f>
        <v>*Upm*</v>
      </c>
      <c r="C31" t="str">
        <f>"*"&amp;MID(Stock!C29,9,3)</f>
        <v>*Lpg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ht="13.2">
      <c r="A32" t="str">
        <f>LEFT(Stock!C30,7)&amp;"*"</f>
        <v>TRA_Car*</v>
      </c>
      <c r="B32" t="str">
        <f>"*"&amp;RIGHT(Stock!C30,3)&amp;"*"</f>
        <v>*Exe*</v>
      </c>
      <c r="C32" t="str">
        <f>"*"&amp;MID(Stock!C30,9,3)</f>
        <v>*Oth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ht="13.2">
      <c r="A33" t="str">
        <f>LEFT(Stock!C31,7)&amp;"*"</f>
        <v>TRA_Car*</v>
      </c>
      <c r="B33" t="str">
        <f>"*"&amp;RIGHT(Stock!C31,3)&amp;"*"</f>
        <v>*Lom*</v>
      </c>
      <c r="C33" t="str">
        <f>"*"&amp;MID(Stock!C31,9,3)</f>
        <v>*Oth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ht="13.2">
      <c r="A34" t="str">
        <f>LEFT(Stock!C32,7)&amp;"*"</f>
        <v>TRA_Car*</v>
      </c>
      <c r="B34" t="str">
        <f>"*"&amp;RIGHT(Stock!C32,3)&amp;"*"</f>
        <v>*Sma*</v>
      </c>
      <c r="C34" t="str">
        <f>"*"&amp;MID(Stock!C32,9,3)</f>
        <v>*Oth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ht="13.2">
      <c r="A35" t="str">
        <f>LEFT(Stock!C33,7)&amp;"*"</f>
        <v>TRA_Car*</v>
      </c>
      <c r="B35" t="str">
        <f>"*"&amp;RIGHT(Stock!C33,3)&amp;"*"</f>
        <v>*Upm*</v>
      </c>
      <c r="C35" t="str">
        <f>"*"&amp;MID(Stock!C33,9,3)</f>
        <v>*Oth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5" ht="13.2">
      <c r="A36" t="str">
        <f>LEFT(Stock!C34,7)&amp;"*"</f>
        <v>TRA_Hdt*</v>
      </c>
      <c r="B36" t="str">
        <f>"*"&amp;RIGHT(Stock!C34,3)&amp;"*"</f>
        <v>*Dis*</v>
      </c>
      <c r="C36" t="str">
        <f>"*"&amp;MID(Stock!C34,9,3)</f>
        <v>*Dis</v>
      </c>
      <c r="E36" s="2"/>
    </row>
    <row r="37" spans="1:5" ht="13.2">
      <c r="A37" t="str">
        <f>LEFT(Stock!C35,7)&amp;"*"</f>
        <v>TRA_Hdt*</v>
      </c>
      <c r="B37" t="str">
        <f>"*"&amp;RIGHT(Stock!C35,3)&amp;"*"</f>
        <v>*Gas*</v>
      </c>
      <c r="C37" t="str">
        <f>"*"&amp;MID(Stock!C35,9,3)</f>
        <v>*Gas</v>
      </c>
      <c r="E37" s="2"/>
    </row>
    <row r="38" spans="1:5" ht="13.2">
      <c r="A38" t="str">
        <f>LEFT(Stock!C36,7)&amp;"*"</f>
        <v>TRA_Lcv*</v>
      </c>
      <c r="B38" t="str">
        <f>"*"&amp;RIGHT(Stock!C36,3)&amp;"*"</f>
        <v>*Cng*</v>
      </c>
      <c r="C38" t="str">
        <f>"*"&amp;MID(Stock!C36,9,3)</f>
        <v>*Cng</v>
      </c>
      <c r="E38" s="2"/>
    </row>
    <row r="39" spans="1:5" ht="13.2">
      <c r="A39" t="str">
        <f>LEFT(Stock!C37,7)&amp;"*"</f>
        <v>TRA_Lcv*</v>
      </c>
      <c r="B39" t="str">
        <f>"*"&amp;RIGHT(Stock!C37,3)&amp;"*"</f>
        <v>*Dis*</v>
      </c>
      <c r="C39" t="str">
        <f>"*"&amp;MID(Stock!C37,9,3)</f>
        <v>*Dis</v>
      </c>
      <c r="E39" s="2"/>
    </row>
    <row r="40" spans="1:5" ht="13.2">
      <c r="A40" t="str">
        <f>LEFT(Stock!C38,7)&amp;"*"</f>
        <v>TRA_Lcv*</v>
      </c>
      <c r="B40" t="str">
        <f>"*"&amp;RIGHT(Stock!C38,3)&amp;"*"</f>
        <v>*Gas*</v>
      </c>
      <c r="C40" t="str">
        <f>"*"&amp;MID(Stock!C38,9,3)</f>
        <v>*Gas</v>
      </c>
      <c r="E40" s="2"/>
    </row>
    <row r="41" spans="1:5" ht="13.2">
      <c r="A41" t="str">
        <f>LEFT(Stock!C39,7)&amp;"*"</f>
        <v>TRA_Lcv*</v>
      </c>
      <c r="B41" t="str">
        <f>"*"&amp;RIGHT(Stock!C39,3)&amp;"*"</f>
        <v>*Lpg*</v>
      </c>
      <c r="C41" t="str">
        <f>"*"&amp;MID(Stock!C39,9,3)</f>
        <v>*Lpg</v>
      </c>
      <c r="E4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T31"/>
  <sheetViews>
    <sheetView workbookViewId="0" topLeftCell="A1">
      <selection pane="topLeft" activeCell="E37" sqref="E37"/>
    </sheetView>
  </sheetViews>
  <sheetFormatPr defaultRowHeight="13.2"/>
  <cols>
    <col min="3" max="3" width="17.5714285714286" bestFit="1" customWidth="1"/>
    <col min="8" max="44" width="5.14285714285714" bestFit="1" customWidth="1"/>
  </cols>
  <sheetData>
    <row r="1" spans="8:8" ht="14.4">
      <c r="H1" s="5">
        <v>0.99</v>
      </c>
    </row>
    <row r="2" spans="2:2" ht="13.2">
      <c r="B2" s="4" t="s">
        <v>82</v>
      </c>
    </row>
    <row r="3" spans="6:6" ht="13.2">
      <c r="F3" s="1" t="s">
        <v>107</v>
      </c>
    </row>
    <row r="4" spans="3:46" ht="13.2">
      <c r="C4" s="1" t="s">
        <v>83</v>
      </c>
      <c r="D4" s="1" t="s">
        <v>84</v>
      </c>
      <c r="E4" s="1" t="s">
        <v>86</v>
      </c>
      <c r="F4" s="1" t="s">
        <v>85</v>
      </c>
      <c r="G4" s="1" t="s">
        <v>88</v>
      </c>
      <c r="H4" t="str">
        <f>TypeShares!E$3</f>
        <v>AL</v>
      </c>
      <c r="I4" t="str">
        <f>TypeShares!F$3</f>
        <v>AT</v>
      </c>
      <c r="J4" t="str">
        <f>TypeShares!G$3</f>
        <v>BA</v>
      </c>
      <c r="K4" t="str">
        <f>TypeShares!H$3</f>
        <v>BE</v>
      </c>
      <c r="L4" t="str">
        <f>TypeShares!I$3</f>
        <v>BG</v>
      </c>
      <c r="M4" t="str">
        <f>TypeShares!J$3</f>
        <v>CH</v>
      </c>
      <c r="N4" t="str">
        <f>TypeShares!K$3</f>
        <v>CY</v>
      </c>
      <c r="O4" t="str">
        <f>TypeShares!L$3</f>
        <v>CZ</v>
      </c>
      <c r="P4" t="str">
        <f>TypeShares!M$3</f>
        <v>DE</v>
      </c>
      <c r="Q4" t="str">
        <f>TypeShares!N$3</f>
        <v>DK</v>
      </c>
      <c r="R4" t="str">
        <f>TypeShares!O$3</f>
        <v>EE</v>
      </c>
      <c r="S4" t="str">
        <f>TypeShares!P$3</f>
        <v>EL</v>
      </c>
      <c r="T4" t="str">
        <f>TypeShares!Q$3</f>
        <v>ES</v>
      </c>
      <c r="U4" t="str">
        <f>TypeShares!R$3</f>
        <v>FI</v>
      </c>
      <c r="V4" t="str">
        <f>TypeShares!S$3</f>
        <v>FR</v>
      </c>
      <c r="W4" t="str">
        <f>TypeShares!T$3</f>
        <v>HR</v>
      </c>
      <c r="X4" t="str">
        <f>TypeShares!U$3</f>
        <v>HU</v>
      </c>
      <c r="Y4" t="str">
        <f>TypeShares!V$3</f>
        <v>IE</v>
      </c>
      <c r="Z4" t="str">
        <f>TypeShares!W$3</f>
        <v>IS</v>
      </c>
      <c r="AA4" t="str">
        <f>TypeShares!X$3</f>
        <v>IT</v>
      </c>
      <c r="AB4" t="str">
        <f>TypeShares!Y$3</f>
        <v>KS</v>
      </c>
      <c r="AC4" t="str">
        <f>TypeShares!Z$3</f>
        <v>LT</v>
      </c>
      <c r="AD4" t="str">
        <f>TypeShares!AA$3</f>
        <v>LU</v>
      </c>
      <c r="AE4" t="str">
        <f>TypeShares!AB$3</f>
        <v>LV</v>
      </c>
      <c r="AF4" t="str">
        <f>TypeShares!AC$3</f>
        <v>ME</v>
      </c>
      <c r="AG4" t="str">
        <f>TypeShares!AD$3</f>
        <v>MK</v>
      </c>
      <c r="AH4" t="str">
        <f>TypeShares!AE$3</f>
        <v>MT</v>
      </c>
      <c r="AI4" t="str">
        <f>TypeShares!AF$3</f>
        <v>NL</v>
      </c>
      <c r="AJ4" t="str">
        <f>TypeShares!AG$3</f>
        <v>NO</v>
      </c>
      <c r="AK4" t="str">
        <f>TypeShares!AH$3</f>
        <v>PL</v>
      </c>
      <c r="AL4" t="str">
        <f>TypeShares!AI$3</f>
        <v>PT</v>
      </c>
      <c r="AM4" t="str">
        <f>TypeShares!AJ$3</f>
        <v>RO</v>
      </c>
      <c r="AN4" t="str">
        <f>TypeShares!AK$3</f>
        <v>RS</v>
      </c>
      <c r="AO4" t="str">
        <f>TypeShares!AL$3</f>
        <v>SE</v>
      </c>
      <c r="AP4" t="str">
        <f>TypeShares!AM$3</f>
        <v>SI</v>
      </c>
      <c r="AQ4" t="str">
        <f>TypeShares!AN$3</f>
        <v>SK</v>
      </c>
      <c r="AR4" t="str">
        <f>TypeShares!AO$3</f>
        <v>UK</v>
      </c>
      <c r="AS4" s="1" t="s">
        <v>89</v>
      </c>
      <c r="AT4" s="1" t="s">
        <v>90</v>
      </c>
    </row>
    <row r="5" spans="3:46" ht="13.2">
      <c r="C5" t="str">
        <f>"TUC_"&amp;LEFT(Stock!C10,8)&amp;RIGHT(Stock!C10,3)</f>
        <v>TUC_TRA_Car_Exe</v>
      </c>
      <c r="D5" t="str">
        <f>TypeShares!B12</f>
        <v>*Exe*</v>
      </c>
      <c r="E5" s="1" t="s">
        <v>87</v>
      </c>
      <c r="F5" t="str">
        <f>E5</f>
        <v>Tcar</v>
      </c>
      <c r="G5">
        <v>1</v>
      </c>
      <c r="H5" s="6">
        <f>-TypeShares!E12*TypeUC!$H$1</f>
        <v>-0.086462796920358354</v>
      </c>
      <c r="I5" s="6">
        <f>-TypeShares!F12*TypeUC!$H$1</f>
        <v>-0.14919983594306965</v>
      </c>
      <c r="J5" s="6">
        <f>-TypeShares!G12*TypeUC!$H$1</f>
        <v>-0.088816796175538254</v>
      </c>
      <c r="K5" s="6">
        <f>-TypeShares!H12*TypeUC!$H$1</f>
        <v>-0.12294866679778595</v>
      </c>
      <c r="L5" s="6">
        <f>-TypeShares!I12*TypeUC!$H$1</f>
        <v>-0.10632932721900774</v>
      </c>
      <c r="M5" s="6">
        <f>-TypeShares!J12*TypeUC!$H$1</f>
        <v>-0.25911829001700265</v>
      </c>
      <c r="N5" s="6">
        <f>-TypeShares!K12*TypeUC!$H$1</f>
        <v>-0.10732419647364583</v>
      </c>
      <c r="O5" s="6">
        <f>-TypeShares!L12*TypeUC!$H$1</f>
        <v>-0.077876623665480427</v>
      </c>
      <c r="P5" s="6">
        <f>-TypeShares!M12*TypeUC!$H$1</f>
        <v>-0.15858004316348862</v>
      </c>
      <c r="Q5" s="6">
        <f>-TypeShares!N12*TypeUC!$H$1</f>
        <v>-0.089836065823886063</v>
      </c>
      <c r="R5" s="6">
        <f>-TypeShares!O12*TypeUC!$H$1</f>
        <v>-0.25336326163176348</v>
      </c>
      <c r="S5" s="6">
        <f>-TypeShares!P12*TypeUC!$H$1</f>
        <v>-0.052497685393732264</v>
      </c>
      <c r="T5" s="6">
        <f>-TypeShares!Q12*TypeUC!$H$1</f>
        <v>-0.14545290247761908</v>
      </c>
      <c r="U5" s="6">
        <f>-TypeShares!R12*TypeUC!$H$1</f>
        <v>-0.18793707983193281</v>
      </c>
      <c r="V5" s="6">
        <f>-TypeShares!S12*TypeUC!$H$1</f>
        <v>-0.10440896071015893</v>
      </c>
      <c r="W5" s="6">
        <f>-TypeShares!T12*TypeUC!$H$1</f>
        <v>-0.072906513872135106</v>
      </c>
      <c r="X5" s="6">
        <f>-TypeShares!U12*TypeUC!$H$1</f>
        <v>-0.063268855689381301</v>
      </c>
      <c r="Y5" s="6">
        <f>-TypeShares!V12*TypeUC!$H$1</f>
        <v>-0.11330826197030386</v>
      </c>
      <c r="Z5" s="6">
        <f>-TypeShares!W12*TypeUC!$H$1</f>
        <v>-0.23070967741935491</v>
      </c>
      <c r="AA5" s="6">
        <f>-TypeShares!X12*TypeUC!$H$1</f>
        <v>-0.087325752247013236</v>
      </c>
      <c r="AB5" s="6">
        <f>-TypeShares!Y12*TypeUC!$H$1</f>
        <v>-0.090807841172939829</v>
      </c>
      <c r="AC5" s="6">
        <f>-TypeShares!Z12*TypeUC!$H$1</f>
        <v>-0.1930520654643238</v>
      </c>
      <c r="AD5" s="6">
        <f>-TypeShares!AA12*TypeUC!$H$1</f>
        <v>-0.25020267062314544</v>
      </c>
      <c r="AE5" s="6">
        <f>-TypeShares!AB12*TypeUC!$H$1</f>
        <v>-0.26829183600994355</v>
      </c>
      <c r="AF5" s="6">
        <f>-TypeShares!AC12*TypeUC!$H$1</f>
        <v>-0.070808843448253764</v>
      </c>
      <c r="AG5" s="6">
        <f>-TypeShares!AD12*TypeUC!$H$1</f>
        <v>-0.081066443147748177</v>
      </c>
      <c r="AH5" s="6">
        <f>-TypeShares!AE12*TypeUC!$H$1</f>
        <v>-0.046221364541832677</v>
      </c>
      <c r="AI5" s="6">
        <f>-TypeShares!AF12*TypeUC!$H$1</f>
        <v>-0.1750270233236943</v>
      </c>
      <c r="AJ5" s="6">
        <f>-TypeShares!AG12*TypeUC!$H$1</f>
        <v>-0.30250386622849412</v>
      </c>
      <c r="AK5" s="6">
        <f>-TypeShares!AH12*TypeUC!$H$1</f>
        <v>-0.085291076154916545</v>
      </c>
      <c r="AL5" s="6">
        <f>-TypeShares!AI12*TypeUC!$H$1</f>
        <v>-0.10097704603580561</v>
      </c>
      <c r="AM5" s="6">
        <f>-TypeShares!AJ12*TypeUC!$H$1</f>
        <v>-0.078347447967720599</v>
      </c>
      <c r="AN5" s="6">
        <f>-TypeShares!AK12*TypeUC!$H$1</f>
        <v>-0.087951810045413623</v>
      </c>
      <c r="AO5" s="6">
        <f>-TypeShares!AL12*TypeUC!$H$1</f>
        <v>-0.41156340414978926</v>
      </c>
      <c r="AP5" s="6">
        <f>-TypeShares!AM12*TypeUC!$H$1</f>
        <v>-0.085330314232902021</v>
      </c>
      <c r="AQ5" s="6">
        <f>-TypeShares!AN12*TypeUC!$H$1</f>
        <v>-0.082054652535213782</v>
      </c>
      <c r="AR5" s="6">
        <f>-TypeShares!AO12*TypeUC!$H$1</f>
        <v>-0.14336856849734941</v>
      </c>
      <c r="AS5">
        <v>0</v>
      </c>
      <c r="AT5">
        <v>5</v>
      </c>
    </row>
    <row r="6" spans="3:46" ht="13.2">
      <c r="C6" t="str">
        <f>"TUC_"&amp;LEFT(Stock!C11,8)&amp;RIGHT(Stock!C11,3)</f>
        <v>TUC_TRA_Car_Lom</v>
      </c>
      <c r="D6" t="str">
        <f>TypeShares!B13</f>
        <v>*Lom*</v>
      </c>
      <c r="E6" s="1" t="s">
        <v>87</v>
      </c>
      <c r="F6" t="str">
        <f>E6</f>
        <v>Tcar</v>
      </c>
      <c r="G6">
        <v>1</v>
      </c>
      <c r="H6" s="6">
        <f>-TypeShares!E13*TypeUC!$H$1</f>
        <v>-0.26223202851412469</v>
      </c>
      <c r="I6" s="6">
        <f>-TypeShares!F13*TypeUC!$H$1</f>
        <v>-0.28922442300919921</v>
      </c>
      <c r="J6" s="6">
        <f>-TypeShares!G13*TypeUC!$H$1</f>
        <v>-0.26523513264522608</v>
      </c>
      <c r="K6" s="6">
        <f>-TypeShares!H13*TypeUC!$H$1</f>
        <v>-0.29148408305470486</v>
      </c>
      <c r="L6" s="6">
        <f>-TypeShares!I13*TypeUC!$H$1</f>
        <v>-0.27116682568016742</v>
      </c>
      <c r="M6" s="6">
        <f>-TypeShares!J13*TypeUC!$H$1</f>
        <v>-0.3084430410493077</v>
      </c>
      <c r="N6" s="6">
        <f>-TypeShares!K13*TypeUC!$H$1</f>
        <v>-0.34822055606454383</v>
      </c>
      <c r="O6" s="6">
        <f>-TypeShares!L13*TypeUC!$H$1</f>
        <v>-0.23270504893238433</v>
      </c>
      <c r="P6" s="6">
        <f>-TypeShares!M13*TypeUC!$H$1</f>
        <v>-0.30117235606829634</v>
      </c>
      <c r="Q6" s="6">
        <f>-TypeShares!N13*TypeUC!$H$1</f>
        <v>-0.36159446849992044</v>
      </c>
      <c r="R6" s="6">
        <f>-TypeShares!O13*TypeUC!$H$1</f>
        <v>-0.36136454088884673</v>
      </c>
      <c r="S6" s="6">
        <f>-TypeShares!P13*TypeUC!$H$1</f>
        <v>-0.25444601839800501</v>
      </c>
      <c r="T6" s="6">
        <f>-TypeShares!Q13*TypeUC!$H$1</f>
        <v>-0.36687177562699153</v>
      </c>
      <c r="U6" s="6">
        <f>-TypeShares!R13*TypeUC!$H$1</f>
        <v>-0.36865021008403365</v>
      </c>
      <c r="V6" s="6">
        <f>-TypeShares!S13*TypeUC!$H$1</f>
        <v>-0.28852437300547357</v>
      </c>
      <c r="W6" s="6">
        <f>-TypeShares!T13*TypeUC!$H$1</f>
        <v>-0.24493244873341377</v>
      </c>
      <c r="X6" s="6">
        <f>-TypeShares!U13*TypeUC!$H$1</f>
        <v>-0.21157078800796253</v>
      </c>
      <c r="Y6" s="6">
        <f>-TypeShares!V13*TypeUC!$H$1</f>
        <v>-0.40527309188329974</v>
      </c>
      <c r="Z6" s="6">
        <f>-TypeShares!W13*TypeUC!$H$1</f>
        <v>-0.3772741935483872</v>
      </c>
      <c r="AA6" s="6">
        <f>-TypeShares!X13*TypeUC!$H$1</f>
        <v>-0.21938868572173809</v>
      </c>
      <c r="AB6" s="6">
        <f>-TypeShares!Y13*TypeUC!$H$1</f>
        <v>-0.26900166943093279</v>
      </c>
      <c r="AC6" s="6">
        <f>-TypeShares!Z13*TypeUC!$H$1</f>
        <v>-0.29126489406092071</v>
      </c>
      <c r="AD6" s="6">
        <f>-TypeShares!AA13*TypeUC!$H$1</f>
        <v>-0.28945014836795258</v>
      </c>
      <c r="AE6" s="6">
        <f>-TypeShares!AB13*TypeUC!$H$1</f>
        <v>-0.36407686540662115</v>
      </c>
      <c r="AF6" s="6">
        <f>-TypeShares!AC13*TypeUC!$H$1</f>
        <v>-0.25859924530703104</v>
      </c>
      <c r="AG6" s="6">
        <f>-TypeShares!AD13*TypeUC!$H$1</f>
        <v>-0.26052967536026311</v>
      </c>
      <c r="AH6" s="6">
        <f>-TypeShares!AE13*TypeUC!$H$1</f>
        <v>-0.18591259960159365</v>
      </c>
      <c r="AI6" s="6">
        <f>-TypeShares!AF13*TypeUC!$H$1</f>
        <v>-0.27317074526461649</v>
      </c>
      <c r="AJ6" s="6">
        <f>-TypeShares!AG13*TypeUC!$H$1</f>
        <v>-0.2658766673110381</v>
      </c>
      <c r="AK6" s="6">
        <f>-TypeShares!AH13*TypeUC!$H$1</f>
        <v>-0.26641753852525429</v>
      </c>
      <c r="AL6" s="6">
        <f>-TypeShares!AI13*TypeUC!$H$1</f>
        <v>-0.19855492327365726</v>
      </c>
      <c r="AM6" s="6">
        <f>-TypeShares!AJ13*TypeUC!$H$1</f>
        <v>-0.21157139763375654</v>
      </c>
      <c r="AN6" s="6">
        <f>-TypeShares!AK13*TypeUC!$H$1</f>
        <v>-0.26860892679788262</v>
      </c>
      <c r="AO6" s="6">
        <f>-TypeShares!AL13*TypeUC!$H$1</f>
        <v>-0.27071939323799293</v>
      </c>
      <c r="AP6" s="6">
        <f>-TypeShares!AM13*TypeUC!$H$1</f>
        <v>-0.26960573012938999</v>
      </c>
      <c r="AQ6" s="6">
        <f>-TypeShares!AN13*TypeUC!$H$1</f>
        <v>-0.22864860492843403</v>
      </c>
      <c r="AR6" s="6">
        <f>-TypeShares!AO13*TypeUC!$H$1</f>
        <v>-0.29442924433913409</v>
      </c>
      <c r="AS6">
        <v>0</v>
      </c>
      <c r="AT6">
        <v>5</v>
      </c>
    </row>
    <row r="7" spans="3:46" ht="13.2">
      <c r="C7" t="str">
        <f>"TUC_"&amp;LEFT(Stock!C12,8)&amp;RIGHT(Stock!C12,3)</f>
        <v>TUC_TRA_Car_Sma</v>
      </c>
      <c r="D7" t="str">
        <f>TypeShares!B14</f>
        <v>*Sma*</v>
      </c>
      <c r="E7" s="1" t="s">
        <v>87</v>
      </c>
      <c r="F7" t="str">
        <f>E7</f>
        <v>Tcar</v>
      </c>
      <c r="G7">
        <v>1</v>
      </c>
      <c r="H7" s="6">
        <f>-TypeShares!E14*TypeUC!$H$1</f>
        <v>-0.5367931921997785</v>
      </c>
      <c r="I7" s="6">
        <f>-TypeShares!F14*TypeUC!$H$1</f>
        <v>-0.42189563058845758</v>
      </c>
      <c r="J7" s="6">
        <f>-TypeShares!G14*TypeUC!$H$1</f>
        <v>-0.51701950296797017</v>
      </c>
      <c r="K7" s="6">
        <f>-TypeShares!H14*TypeUC!$H$1</f>
        <v>-0.44487274872861116</v>
      </c>
      <c r="L7" s="6">
        <f>-TypeShares!I14*TypeUC!$H$1</f>
        <v>-0.49091714883663673</v>
      </c>
      <c r="M7" s="6">
        <f>-TypeShares!J14*TypeUC!$H$1</f>
        <v>-0.28414136507165411</v>
      </c>
      <c r="N7" s="6">
        <f>-TypeShares!K14*TypeUC!$H$1</f>
        <v>-0.3783187180973393</v>
      </c>
      <c r="O7" s="6">
        <f>-TypeShares!L14*TypeUC!$H$1</f>
        <v>-0.57508078291814946</v>
      </c>
      <c r="P7" s="6">
        <f>-TypeShares!M14*TypeUC!$H$1</f>
        <v>-0.39521000014162194</v>
      </c>
      <c r="Q7" s="6">
        <f>-TypeShares!N14*TypeUC!$H$1</f>
        <v>-0.37643771581382829</v>
      </c>
      <c r="R7" s="6">
        <f>-TypeShares!O14*TypeUC!$H$1</f>
        <v>-0.21325855207050129</v>
      </c>
      <c r="S7" s="6">
        <f>-TypeShares!P14*TypeUC!$H$1</f>
        <v>-0.58532907663024014</v>
      </c>
      <c r="T7" s="6">
        <f>-TypeShares!Q14*TypeUC!$H$1</f>
        <v>-0.32416564606680681</v>
      </c>
      <c r="U7" s="6">
        <f>-TypeShares!R14*TypeUC!$H$1</f>
        <v>-0.26812153361344537</v>
      </c>
      <c r="V7" s="6">
        <f>-TypeShares!S14*TypeUC!$H$1</f>
        <v>-0.46770035582494901</v>
      </c>
      <c r="W7" s="6">
        <f>-TypeShares!T14*TypeUC!$H$1</f>
        <v>-0.56233353437876976</v>
      </c>
      <c r="X7" s="6">
        <f>-TypeShares!U14*TypeUC!$H$1</f>
        <v>-0.62029688536786443</v>
      </c>
      <c r="Y7" s="6">
        <f>-TypeShares!V14*TypeUC!$H$1</f>
        <v>-0.27611886878852154</v>
      </c>
      <c r="Z7" s="6">
        <f>-TypeShares!W14*TypeUC!$H$1</f>
        <v>-0.21251612903225814</v>
      </c>
      <c r="AA7" s="6">
        <f>-TypeShares!X14*TypeUC!$H$1</f>
        <v>-0.58491778946063133</v>
      </c>
      <c r="AB7" s="6">
        <f>-TypeShares!Y14*TypeUC!$H$1</f>
        <v>-0.50957036546482837</v>
      </c>
      <c r="AC7" s="6">
        <f>-TypeShares!Z14*TypeUC!$H$1</f>
        <v>-0.37508832120172469</v>
      </c>
      <c r="AD7" s="6">
        <f>-TypeShares!AA14*TypeUC!$H$1</f>
        <v>-0.31774005934718103</v>
      </c>
      <c r="AE7" s="6">
        <f>-TypeShares!AB14*TypeUC!$H$1</f>
        <v>-0.194363137750069</v>
      </c>
      <c r="AF7" s="6">
        <f>-TypeShares!AC14*TypeUC!$H$1</f>
        <v>-0.5592342788665241</v>
      </c>
      <c r="AG7" s="6">
        <f>-TypeShares!AD14*TypeUC!$H$1</f>
        <v>-0.53159160514523374</v>
      </c>
      <c r="AH7" s="6">
        <f>-TypeShares!AE14*TypeUC!$H$1</f>
        <v>-0.67450323705179294</v>
      </c>
      <c r="AI7" s="6">
        <f>-TypeShares!AF14*TypeUC!$H$1</f>
        <v>-0.4192831871105015</v>
      </c>
      <c r="AJ7" s="6">
        <f>-TypeShares!AG14*TypeUC!$H$1</f>
        <v>-0.27350135317997287</v>
      </c>
      <c r="AK7" s="6">
        <f>-TypeShares!AH14*TypeUC!$H$1</f>
        <v>-0.51882921045777852</v>
      </c>
      <c r="AL7" s="6">
        <f>-TypeShares!AI14*TypeUC!$H$1</f>
        <v>-0.60144187979539643</v>
      </c>
      <c r="AM7" s="6">
        <f>-TypeShares!AJ14*TypeUC!$H$1</f>
        <v>-0.60521941322634332</v>
      </c>
      <c r="AN7" s="6">
        <f>-TypeShares!AK14*TypeUC!$H$1</f>
        <v>-0.51298722670443753</v>
      </c>
      <c r="AO7" s="6">
        <f>-TypeShares!AL14*TypeUC!$H$1</f>
        <v>-0.18645531950070268</v>
      </c>
      <c r="AP7" s="6">
        <f>-TypeShares!AM14*TypeUC!$H$1</f>
        <v>-0.51417781885397418</v>
      </c>
      <c r="AQ7" s="6">
        <f>-TypeShares!AN14*TypeUC!$H$1</f>
        <v>-0.57677291218568194</v>
      </c>
      <c r="AR7" s="6">
        <f>-TypeShares!AO14*TypeUC!$H$1</f>
        <v>-0.4201883514326461</v>
      </c>
      <c r="AS7">
        <v>0</v>
      </c>
      <c r="AT7">
        <v>5</v>
      </c>
    </row>
    <row r="8" spans="3:46" ht="13.2">
      <c r="C8" t="str">
        <f>"TUC_"&amp;LEFT(Stock!C13,8)&amp;RIGHT(Stock!C13,3)</f>
        <v>TUC_TRA_Car_Upm</v>
      </c>
      <c r="D8" t="str">
        <f>TypeShares!B15</f>
        <v>*Upm*</v>
      </c>
      <c r="E8" s="1" t="s">
        <v>87</v>
      </c>
      <c r="F8" t="str">
        <f>E8</f>
        <v>Tcar</v>
      </c>
      <c r="G8">
        <v>1</v>
      </c>
      <c r="H8" s="6">
        <f>-TypeShares!E15*TypeUC!$H$1</f>
        <v>-0.10451198236573839</v>
      </c>
      <c r="I8" s="6">
        <f>-TypeShares!F15*TypeUC!$H$1</f>
        <v>-0.1296801104592735</v>
      </c>
      <c r="J8" s="6">
        <f>-TypeShares!G15*TypeUC!$H$1</f>
        <v>-0.1189285682112655</v>
      </c>
      <c r="K8" s="6">
        <f>-TypeShares!H15*TypeUC!$H$1</f>
        <v>-0.13069450141889802</v>
      </c>
      <c r="L8" s="6">
        <f>-TypeShares!I15*TypeUC!$H$1</f>
        <v>-0.12158669826418811</v>
      </c>
      <c r="M8" s="6">
        <f>-TypeShares!J15*TypeUC!$H$1</f>
        <v>-0.13829730386203545</v>
      </c>
      <c r="N8" s="6">
        <f>-TypeShares!K15*TypeUC!$H$1</f>
        <v>-0.15613652936447098</v>
      </c>
      <c r="O8" s="6">
        <f>-TypeShares!L15*TypeUC!$H$1</f>
        <v>-0.10433754448398576</v>
      </c>
      <c r="P8" s="6">
        <f>-TypeShares!M15*TypeUC!$H$1</f>
        <v>-0.13503760062659312</v>
      </c>
      <c r="Q8" s="6">
        <f>-TypeShares!N15*TypeUC!$H$1</f>
        <v>-0.16213174986236539</v>
      </c>
      <c r="R8" s="6">
        <f>-TypeShares!O15*TypeUC!$H$1</f>
        <v>-0.16201364540888846</v>
      </c>
      <c r="S8" s="6">
        <f>-TypeShares!P15*TypeUC!$H$1</f>
        <v>-0.097727219578022842</v>
      </c>
      <c r="T8" s="6">
        <f>-TypeShares!Q15*TypeUC!$H$1</f>
        <v>-0.15350967582858258</v>
      </c>
      <c r="U8" s="6">
        <f>-TypeShares!R15*TypeUC!$H$1</f>
        <v>-0.16529117647058825</v>
      </c>
      <c r="V8" s="6">
        <f>-TypeShares!S15*TypeUC!$H$1</f>
        <v>-0.12936631045941849</v>
      </c>
      <c r="W8" s="6">
        <f>-TypeShares!T15*TypeUC!$H$1</f>
        <v>-0.10982750301568156</v>
      </c>
      <c r="X8" s="6">
        <f>-TypeShares!U15*TypeUC!$H$1</f>
        <v>-0.094863470934791791</v>
      </c>
      <c r="Y8" s="6">
        <f>-TypeShares!V15*TypeUC!$H$1</f>
        <v>-0.19529977735787485</v>
      </c>
      <c r="Z8" s="6">
        <f>-TypeShares!W15*TypeUC!$H$1</f>
        <v>-0.16950000000000004</v>
      </c>
      <c r="AA8" s="6">
        <f>-TypeShares!X15*TypeUC!$H$1</f>
        <v>-0.098367772570617379</v>
      </c>
      <c r="AB8" s="6">
        <f>-TypeShares!Y15*TypeUC!$H$1</f>
        <v>-0.12062012393129902</v>
      </c>
      <c r="AC8" s="6">
        <f>-TypeShares!Z15*TypeUC!$H$1</f>
        <v>-0.13059471927303076</v>
      </c>
      <c r="AD8" s="6">
        <f>-TypeShares!AA15*TypeUC!$H$1</f>
        <v>-0.13260712166172109</v>
      </c>
      <c r="AE8" s="6">
        <f>-TypeShares!AB15*TypeUC!$H$1</f>
        <v>-0.16326816083336615</v>
      </c>
      <c r="AF8" s="6">
        <f>-TypeShares!AC15*TypeUC!$H$1</f>
        <v>-0.10135763237819106</v>
      </c>
      <c r="AG8" s="6">
        <f>-TypeShares!AD15*TypeUC!$H$1</f>
        <v>-0.11681227634675524</v>
      </c>
      <c r="AH8" s="6">
        <f>-TypeShares!AE15*TypeUC!$H$1</f>
        <v>-0.083362798804780883</v>
      </c>
      <c r="AI8" s="6">
        <f>-TypeShares!AF15*TypeUC!$H$1</f>
        <v>-0.12251904430118755</v>
      </c>
      <c r="AJ8" s="6">
        <f>-TypeShares!AG15*TypeUC!$H$1</f>
        <v>-0.14811811328049487</v>
      </c>
      <c r="AK8" s="6">
        <f>-TypeShares!AH15*TypeUC!$H$1</f>
        <v>-0.11946217486205037</v>
      </c>
      <c r="AL8" s="6">
        <f>-TypeShares!AI15*TypeUC!$H$1</f>
        <v>-0.089026150895140654</v>
      </c>
      <c r="AM8" s="6">
        <f>-TypeShares!AJ15*TypeUC!$H$1</f>
        <v>-0.094861741172179534</v>
      </c>
      <c r="AN8" s="6">
        <f>-TypeShares!AK15*TypeUC!$H$1</f>
        <v>-0.12045203645226617</v>
      </c>
      <c r="AO8" s="6">
        <f>-TypeShares!AL15*TypeUC!$H$1</f>
        <v>-0.12126188311151524</v>
      </c>
      <c r="AP8" s="6">
        <f>-TypeShares!AM15*TypeUC!$H$1</f>
        <v>-0.12088613678373383</v>
      </c>
      <c r="AQ8" s="6">
        <f>-TypeShares!AN15*TypeUC!$H$1</f>
        <v>-0.10252383035067011</v>
      </c>
      <c r="AR8" s="6">
        <f>-TypeShares!AO15*TypeUC!$H$1</f>
        <v>-0.13201383573087022</v>
      </c>
      <c r="AS8">
        <v>0</v>
      </c>
      <c r="AT8">
        <v>5</v>
      </c>
    </row>
    <row r="11" spans="8:8" ht="14.4">
      <c r="H11" s="5">
        <v>0.99</v>
      </c>
    </row>
    <row r="13" spans="6:6" ht="13.2">
      <c r="F13" s="1" t="s">
        <v>91</v>
      </c>
    </row>
    <row r="14" spans="3:44" ht="13.2">
      <c r="C14" s="1" t="s">
        <v>83</v>
      </c>
      <c r="D14" s="1" t="s">
        <v>84</v>
      </c>
      <c r="E14" s="1" t="s">
        <v>86</v>
      </c>
      <c r="F14" s="1" t="s">
        <v>85</v>
      </c>
      <c r="G14" s="1" t="s">
        <v>88</v>
      </c>
      <c r="H14" t="str">
        <f>TypeShares!E$3</f>
        <v>AL</v>
      </c>
      <c r="I14" t="str">
        <f>TypeShares!F$3</f>
        <v>AT</v>
      </c>
      <c r="J14" t="str">
        <f>TypeShares!G$3</f>
        <v>BA</v>
      </c>
      <c r="K14" t="str">
        <f>TypeShares!H$3</f>
        <v>BE</v>
      </c>
      <c r="L14" t="str">
        <f>TypeShares!I$3</f>
        <v>BG</v>
      </c>
      <c r="M14" t="str">
        <f>TypeShares!J$3</f>
        <v>CH</v>
      </c>
      <c r="N14" t="str">
        <f>TypeShares!K$3</f>
        <v>CY</v>
      </c>
      <c r="O14" t="str">
        <f>TypeShares!L$3</f>
        <v>CZ</v>
      </c>
      <c r="P14" t="str">
        <f>TypeShares!M$3</f>
        <v>DE</v>
      </c>
      <c r="Q14" t="str">
        <f>TypeShares!N$3</f>
        <v>DK</v>
      </c>
      <c r="R14" t="str">
        <f>TypeShares!O$3</f>
        <v>EE</v>
      </c>
      <c r="S14" t="str">
        <f>TypeShares!P$3</f>
        <v>EL</v>
      </c>
      <c r="T14" t="str">
        <f>TypeShares!Q$3</f>
        <v>ES</v>
      </c>
      <c r="U14" t="str">
        <f>TypeShares!R$3</f>
        <v>FI</v>
      </c>
      <c r="V14" t="str">
        <f>TypeShares!S$3</f>
        <v>FR</v>
      </c>
      <c r="W14" t="str">
        <f>TypeShares!T$3</f>
        <v>HR</v>
      </c>
      <c r="X14" t="str">
        <f>TypeShares!U$3</f>
        <v>HU</v>
      </c>
      <c r="Y14" t="str">
        <f>TypeShares!V$3</f>
        <v>IE</v>
      </c>
      <c r="Z14" t="str">
        <f>TypeShares!W$3</f>
        <v>IS</v>
      </c>
      <c r="AA14" t="str">
        <f>TypeShares!X$3</f>
        <v>IT</v>
      </c>
      <c r="AB14" t="str">
        <f>TypeShares!Y$3</f>
        <v>KS</v>
      </c>
      <c r="AC14" t="str">
        <f>TypeShares!Z$3</f>
        <v>LT</v>
      </c>
      <c r="AD14" t="str">
        <f>TypeShares!AA$3</f>
        <v>LU</v>
      </c>
      <c r="AE14" t="str">
        <f>TypeShares!AB$3</f>
        <v>LV</v>
      </c>
      <c r="AF14" t="str">
        <f>TypeShares!AC$3</f>
        <v>ME</v>
      </c>
      <c r="AG14" t="str">
        <f>TypeShares!AD$3</f>
        <v>MK</v>
      </c>
      <c r="AH14" t="str">
        <f>TypeShares!AE$3</f>
        <v>MT</v>
      </c>
      <c r="AI14" t="str">
        <f>TypeShares!AF$3</f>
        <v>NL</v>
      </c>
      <c r="AJ14" t="str">
        <f>TypeShares!AG$3</f>
        <v>NO</v>
      </c>
      <c r="AK14" t="str">
        <f>TypeShares!AH$3</f>
        <v>PL</v>
      </c>
      <c r="AL14" t="str">
        <f>TypeShares!AI$3</f>
        <v>PT</v>
      </c>
      <c r="AM14" t="str">
        <f>TypeShares!AJ$3</f>
        <v>RO</v>
      </c>
      <c r="AN14" t="str">
        <f>TypeShares!AK$3</f>
        <v>RS</v>
      </c>
      <c r="AO14" t="str">
        <f>TypeShares!AL$3</f>
        <v>SE</v>
      </c>
      <c r="AP14" t="str">
        <f>TypeShares!AM$3</f>
        <v>SI</v>
      </c>
      <c r="AQ14" t="str">
        <f>TypeShares!AN$3</f>
        <v>SK</v>
      </c>
      <c r="AR14" t="str">
        <f>TypeShares!AO$3</f>
        <v>UK</v>
      </c>
    </row>
    <row r="15" spans="3:44" ht="13.2">
      <c r="C15" t="str">
        <f>C5</f>
        <v>TUC_TRA_Car_Exe</v>
      </c>
      <c r="F15" t="str">
        <f>F5</f>
        <v>Tcar</v>
      </c>
      <c r="H15" s="6">
        <f>-TypeShares!E12*TypeUC!$H$11</f>
        <v>-0.086462796920358354</v>
      </c>
      <c r="I15" s="6">
        <f>-TypeShares!F12*TypeUC!$H$11</f>
        <v>-0.14919983594306965</v>
      </c>
      <c r="J15" s="6">
        <f>-TypeShares!G12*TypeUC!$H$11</f>
        <v>-0.088816796175538254</v>
      </c>
      <c r="K15" s="6">
        <f>-TypeShares!H12*TypeUC!$H$11</f>
        <v>-0.12294866679778595</v>
      </c>
      <c r="L15" s="6">
        <f>-TypeShares!I12*TypeUC!$H$11</f>
        <v>-0.10632932721900774</v>
      </c>
      <c r="M15" s="6">
        <f>-TypeShares!J12*TypeUC!$H$11</f>
        <v>-0.25911829001700265</v>
      </c>
      <c r="N15" s="6">
        <f>-TypeShares!K12*TypeUC!$H$11</f>
        <v>-0.10732419647364583</v>
      </c>
      <c r="O15" s="6">
        <f>-TypeShares!L12*TypeUC!$H$11</f>
        <v>-0.077876623665480427</v>
      </c>
      <c r="P15" s="6">
        <f>-TypeShares!M12*TypeUC!$H$11</f>
        <v>-0.15858004316348862</v>
      </c>
      <c r="Q15" s="6">
        <f>-TypeShares!N12*TypeUC!$H$11</f>
        <v>-0.089836065823886063</v>
      </c>
      <c r="R15" s="6">
        <f>-TypeShares!O12*TypeUC!$H$11</f>
        <v>-0.25336326163176348</v>
      </c>
      <c r="S15" s="6">
        <f>-TypeShares!P12*TypeUC!$H$11</f>
        <v>-0.052497685393732264</v>
      </c>
      <c r="T15" s="6">
        <f>-TypeShares!Q12*TypeUC!$H$11</f>
        <v>-0.14545290247761908</v>
      </c>
      <c r="U15" s="6">
        <f>-TypeShares!R12*TypeUC!$H$11</f>
        <v>-0.18793707983193281</v>
      </c>
      <c r="V15" s="6">
        <f>-TypeShares!S12*TypeUC!$H$11</f>
        <v>-0.10440896071015893</v>
      </c>
      <c r="W15" s="6">
        <f>-TypeShares!T12*TypeUC!$H$11</f>
        <v>-0.072906513872135106</v>
      </c>
      <c r="X15" s="6">
        <f>-TypeShares!U12*TypeUC!$H$11</f>
        <v>-0.063268855689381301</v>
      </c>
      <c r="Y15" s="6">
        <f>-TypeShares!V12*TypeUC!$H$11</f>
        <v>-0.11330826197030386</v>
      </c>
      <c r="Z15" s="6">
        <f>-TypeShares!W12*TypeUC!$H$11</f>
        <v>-0.23070967741935491</v>
      </c>
      <c r="AA15" s="6">
        <f>-TypeShares!X12*TypeUC!$H$11</f>
        <v>-0.087325752247013236</v>
      </c>
      <c r="AB15" s="6">
        <f>-TypeShares!Y12*TypeUC!$H$11</f>
        <v>-0.090807841172939829</v>
      </c>
      <c r="AC15" s="6">
        <f>-TypeShares!Z12*TypeUC!$H$11</f>
        <v>-0.1930520654643238</v>
      </c>
      <c r="AD15" s="6">
        <f>-TypeShares!AA12*TypeUC!$H$11</f>
        <v>-0.25020267062314544</v>
      </c>
      <c r="AE15" s="6">
        <f>-TypeShares!AB12*TypeUC!$H$11</f>
        <v>-0.26829183600994355</v>
      </c>
      <c r="AF15" s="6">
        <f>-TypeShares!AC12*TypeUC!$H$11</f>
        <v>-0.070808843448253764</v>
      </c>
      <c r="AG15" s="6">
        <f>-TypeShares!AD12*TypeUC!$H$11</f>
        <v>-0.081066443147748177</v>
      </c>
      <c r="AH15" s="6">
        <f>-TypeShares!AE12*TypeUC!$H$11</f>
        <v>-0.046221364541832677</v>
      </c>
      <c r="AI15" s="6">
        <f>-TypeShares!AF12*TypeUC!$H$11</f>
        <v>-0.1750270233236943</v>
      </c>
      <c r="AJ15" s="6">
        <f>-TypeShares!AG12*TypeUC!$H$11</f>
        <v>-0.30250386622849412</v>
      </c>
      <c r="AK15" s="6">
        <f>-TypeShares!AH12*TypeUC!$H$11</f>
        <v>-0.085291076154916545</v>
      </c>
      <c r="AL15" s="6">
        <f>-TypeShares!AI12*TypeUC!$H$11</f>
        <v>-0.10097704603580561</v>
      </c>
      <c r="AM15" s="6">
        <f>-TypeShares!AJ12*TypeUC!$H$11</f>
        <v>-0.078347447967720599</v>
      </c>
      <c r="AN15" s="6">
        <f>-TypeShares!AK12*TypeUC!$H$11</f>
        <v>-0.087951810045413623</v>
      </c>
      <c r="AO15" s="6">
        <f>-TypeShares!AL12*TypeUC!$H$11</f>
        <v>-0.41156340414978926</v>
      </c>
      <c r="AP15" s="6">
        <f>-TypeShares!AM12*TypeUC!$H$11</f>
        <v>-0.085330314232902021</v>
      </c>
      <c r="AQ15" s="6">
        <f>-TypeShares!AN12*TypeUC!$H$11</f>
        <v>-0.082054652535213782</v>
      </c>
      <c r="AR15" s="6">
        <f>-TypeShares!AO12*TypeUC!$H$11</f>
        <v>-0.14336856849734941</v>
      </c>
    </row>
    <row r="16" spans="3:44" ht="13.2">
      <c r="C16" t="str">
        <f>C6</f>
        <v>TUC_TRA_Car_Lom</v>
      </c>
      <c r="F16" t="str">
        <f>F6</f>
        <v>Tcar</v>
      </c>
      <c r="H16" s="6">
        <f>-TypeShares!E13*TypeUC!$H$11</f>
        <v>-0.26223202851412469</v>
      </c>
      <c r="I16" s="6">
        <f>-TypeShares!F13*TypeUC!$H$11</f>
        <v>-0.28922442300919921</v>
      </c>
      <c r="J16" s="6">
        <f>-TypeShares!G13*TypeUC!$H$11</f>
        <v>-0.26523513264522608</v>
      </c>
      <c r="K16" s="6">
        <f>-TypeShares!H13*TypeUC!$H$11</f>
        <v>-0.29148408305470486</v>
      </c>
      <c r="L16" s="6">
        <f>-TypeShares!I13*TypeUC!$H$11</f>
        <v>-0.27116682568016742</v>
      </c>
      <c r="M16" s="6">
        <f>-TypeShares!J13*TypeUC!$H$11</f>
        <v>-0.3084430410493077</v>
      </c>
      <c r="N16" s="6">
        <f>-TypeShares!K13*TypeUC!$H$11</f>
        <v>-0.34822055606454383</v>
      </c>
      <c r="O16" s="6">
        <f>-TypeShares!L13*TypeUC!$H$11</f>
        <v>-0.23270504893238433</v>
      </c>
      <c r="P16" s="6">
        <f>-TypeShares!M13*TypeUC!$H$11</f>
        <v>-0.30117235606829634</v>
      </c>
      <c r="Q16" s="6">
        <f>-TypeShares!N13*TypeUC!$H$11</f>
        <v>-0.36159446849992044</v>
      </c>
      <c r="R16" s="6">
        <f>-TypeShares!O13*TypeUC!$H$11</f>
        <v>-0.36136454088884673</v>
      </c>
      <c r="S16" s="6">
        <f>-TypeShares!P13*TypeUC!$H$11</f>
        <v>-0.25444601839800501</v>
      </c>
      <c r="T16" s="6">
        <f>-TypeShares!Q13*TypeUC!$H$11</f>
        <v>-0.36687177562699153</v>
      </c>
      <c r="U16" s="6">
        <f>-TypeShares!R13*TypeUC!$H$11</f>
        <v>-0.36865021008403365</v>
      </c>
      <c r="V16" s="6">
        <f>-TypeShares!S13*TypeUC!$H$11</f>
        <v>-0.28852437300547357</v>
      </c>
      <c r="W16" s="6">
        <f>-TypeShares!T13*TypeUC!$H$11</f>
        <v>-0.24493244873341377</v>
      </c>
      <c r="X16" s="6">
        <f>-TypeShares!U13*TypeUC!$H$11</f>
        <v>-0.21157078800796253</v>
      </c>
      <c r="Y16" s="6">
        <f>-TypeShares!V13*TypeUC!$H$11</f>
        <v>-0.40527309188329974</v>
      </c>
      <c r="Z16" s="6">
        <f>-TypeShares!W13*TypeUC!$H$11</f>
        <v>-0.3772741935483872</v>
      </c>
      <c r="AA16" s="6">
        <f>-TypeShares!X13*TypeUC!$H$11</f>
        <v>-0.21938868572173809</v>
      </c>
      <c r="AB16" s="6">
        <f>-TypeShares!Y13*TypeUC!$H$11</f>
        <v>-0.26900166943093279</v>
      </c>
      <c r="AC16" s="6">
        <f>-TypeShares!Z13*TypeUC!$H$11</f>
        <v>-0.29126489406092071</v>
      </c>
      <c r="AD16" s="6">
        <f>-TypeShares!AA13*TypeUC!$H$11</f>
        <v>-0.28945014836795258</v>
      </c>
      <c r="AE16" s="6">
        <f>-TypeShares!AB13*TypeUC!$H$11</f>
        <v>-0.36407686540662115</v>
      </c>
      <c r="AF16" s="6">
        <f>-TypeShares!AC13*TypeUC!$H$11</f>
        <v>-0.25859924530703104</v>
      </c>
      <c r="AG16" s="6">
        <f>-TypeShares!AD13*TypeUC!$H$11</f>
        <v>-0.26052967536026311</v>
      </c>
      <c r="AH16" s="6">
        <f>-TypeShares!AE13*TypeUC!$H$11</f>
        <v>-0.18591259960159365</v>
      </c>
      <c r="AI16" s="6">
        <f>-TypeShares!AF13*TypeUC!$H$11</f>
        <v>-0.27317074526461649</v>
      </c>
      <c r="AJ16" s="6">
        <f>-TypeShares!AG13*TypeUC!$H$11</f>
        <v>-0.2658766673110381</v>
      </c>
      <c r="AK16" s="6">
        <f>-TypeShares!AH13*TypeUC!$H$11</f>
        <v>-0.26641753852525429</v>
      </c>
      <c r="AL16" s="6">
        <f>-TypeShares!AI13*TypeUC!$H$11</f>
        <v>-0.19855492327365726</v>
      </c>
      <c r="AM16" s="6">
        <f>-TypeShares!AJ13*TypeUC!$H$11</f>
        <v>-0.21157139763375654</v>
      </c>
      <c r="AN16" s="6">
        <f>-TypeShares!AK13*TypeUC!$H$11</f>
        <v>-0.26860892679788262</v>
      </c>
      <c r="AO16" s="6">
        <f>-TypeShares!AL13*TypeUC!$H$11</f>
        <v>-0.27071939323799293</v>
      </c>
      <c r="AP16" s="6">
        <f>-TypeShares!AM13*TypeUC!$H$11</f>
        <v>-0.26960573012938999</v>
      </c>
      <c r="AQ16" s="6">
        <f>-TypeShares!AN13*TypeUC!$H$11</f>
        <v>-0.22864860492843403</v>
      </c>
      <c r="AR16" s="6">
        <f>-TypeShares!AO13*TypeUC!$H$11</f>
        <v>-0.29442924433913409</v>
      </c>
    </row>
    <row r="17" spans="3:44" ht="13.2">
      <c r="C17" t="str">
        <f>C7</f>
        <v>TUC_TRA_Car_Sma</v>
      </c>
      <c r="F17" t="str">
        <f>F7</f>
        <v>Tcar</v>
      </c>
      <c r="H17" s="6">
        <f>-TypeShares!E14*TypeUC!$H$11</f>
        <v>-0.5367931921997785</v>
      </c>
      <c r="I17" s="6">
        <f>-TypeShares!F14*TypeUC!$H$11</f>
        <v>-0.42189563058845758</v>
      </c>
      <c r="J17" s="6">
        <f>-TypeShares!G14*TypeUC!$H$11</f>
        <v>-0.51701950296797017</v>
      </c>
      <c r="K17" s="6">
        <f>-TypeShares!H14*TypeUC!$H$11</f>
        <v>-0.44487274872861116</v>
      </c>
      <c r="L17" s="6">
        <f>-TypeShares!I14*TypeUC!$H$11</f>
        <v>-0.49091714883663673</v>
      </c>
      <c r="M17" s="6">
        <f>-TypeShares!J14*TypeUC!$H$11</f>
        <v>-0.28414136507165411</v>
      </c>
      <c r="N17" s="6">
        <f>-TypeShares!K14*TypeUC!$H$11</f>
        <v>-0.3783187180973393</v>
      </c>
      <c r="O17" s="6">
        <f>-TypeShares!L14*TypeUC!$H$11</f>
        <v>-0.57508078291814946</v>
      </c>
      <c r="P17" s="6">
        <f>-TypeShares!M14*TypeUC!$H$11</f>
        <v>-0.39521000014162194</v>
      </c>
      <c r="Q17" s="6">
        <f>-TypeShares!N14*TypeUC!$H$11</f>
        <v>-0.37643771581382829</v>
      </c>
      <c r="R17" s="6">
        <f>-TypeShares!O14*TypeUC!$H$11</f>
        <v>-0.21325855207050129</v>
      </c>
      <c r="S17" s="6">
        <f>-TypeShares!P14*TypeUC!$H$11</f>
        <v>-0.58532907663024014</v>
      </c>
      <c r="T17" s="6">
        <f>-TypeShares!Q14*TypeUC!$H$11</f>
        <v>-0.32416564606680681</v>
      </c>
      <c r="U17" s="6">
        <f>-TypeShares!R14*TypeUC!$H$11</f>
        <v>-0.26812153361344537</v>
      </c>
      <c r="V17" s="6">
        <f>-TypeShares!S14*TypeUC!$H$11</f>
        <v>-0.46770035582494901</v>
      </c>
      <c r="W17" s="6">
        <f>-TypeShares!T14*TypeUC!$H$11</f>
        <v>-0.56233353437876976</v>
      </c>
      <c r="X17" s="6">
        <f>-TypeShares!U14*TypeUC!$H$11</f>
        <v>-0.62029688536786443</v>
      </c>
      <c r="Y17" s="6">
        <f>-TypeShares!V14*TypeUC!$H$11</f>
        <v>-0.27611886878852154</v>
      </c>
      <c r="Z17" s="6">
        <f>-TypeShares!W14*TypeUC!$H$11</f>
        <v>-0.21251612903225814</v>
      </c>
      <c r="AA17" s="6">
        <f>-TypeShares!X14*TypeUC!$H$11</f>
        <v>-0.58491778946063133</v>
      </c>
      <c r="AB17" s="6">
        <f>-TypeShares!Y14*TypeUC!$H$11</f>
        <v>-0.50957036546482837</v>
      </c>
      <c r="AC17" s="6">
        <f>-TypeShares!Z14*TypeUC!$H$11</f>
        <v>-0.37508832120172469</v>
      </c>
      <c r="AD17" s="6">
        <f>-TypeShares!AA14*TypeUC!$H$11</f>
        <v>-0.31774005934718103</v>
      </c>
      <c r="AE17" s="6">
        <f>-TypeShares!AB14*TypeUC!$H$11</f>
        <v>-0.194363137750069</v>
      </c>
      <c r="AF17" s="6">
        <f>-TypeShares!AC14*TypeUC!$H$11</f>
        <v>-0.5592342788665241</v>
      </c>
      <c r="AG17" s="6">
        <f>-TypeShares!AD14*TypeUC!$H$11</f>
        <v>-0.53159160514523374</v>
      </c>
      <c r="AH17" s="6">
        <f>-TypeShares!AE14*TypeUC!$H$11</f>
        <v>-0.67450323705179294</v>
      </c>
      <c r="AI17" s="6">
        <f>-TypeShares!AF14*TypeUC!$H$11</f>
        <v>-0.4192831871105015</v>
      </c>
      <c r="AJ17" s="6">
        <f>-TypeShares!AG14*TypeUC!$H$11</f>
        <v>-0.27350135317997287</v>
      </c>
      <c r="AK17" s="6">
        <f>-TypeShares!AH14*TypeUC!$H$11</f>
        <v>-0.51882921045777852</v>
      </c>
      <c r="AL17" s="6">
        <f>-TypeShares!AI14*TypeUC!$H$11</f>
        <v>-0.60144187979539643</v>
      </c>
      <c r="AM17" s="6">
        <f>-TypeShares!AJ14*TypeUC!$H$11</f>
        <v>-0.60521941322634332</v>
      </c>
      <c r="AN17" s="6">
        <f>-TypeShares!AK14*TypeUC!$H$11</f>
        <v>-0.51298722670443753</v>
      </c>
      <c r="AO17" s="6">
        <f>-TypeShares!AL14*TypeUC!$H$11</f>
        <v>-0.18645531950070268</v>
      </c>
      <c r="AP17" s="6">
        <f>-TypeShares!AM14*TypeUC!$H$11</f>
        <v>-0.51417781885397418</v>
      </c>
      <c r="AQ17" s="6">
        <f>-TypeShares!AN14*TypeUC!$H$11</f>
        <v>-0.57677291218568194</v>
      </c>
      <c r="AR17" s="6">
        <f>-TypeShares!AO14*TypeUC!$H$11</f>
        <v>-0.4201883514326461</v>
      </c>
    </row>
    <row r="18" spans="3:44" ht="13.2">
      <c r="C18" t="str">
        <f>C8</f>
        <v>TUC_TRA_Car_Upm</v>
      </c>
      <c r="F18" t="str">
        <f>F8</f>
        <v>Tcar</v>
      </c>
      <c r="H18" s="6">
        <f>-TypeShares!E15*TypeUC!$H$11</f>
        <v>-0.10451198236573839</v>
      </c>
      <c r="I18" s="6">
        <f>-TypeShares!F15*TypeUC!$H$11</f>
        <v>-0.1296801104592735</v>
      </c>
      <c r="J18" s="6">
        <f>-TypeShares!G15*TypeUC!$H$11</f>
        <v>-0.1189285682112655</v>
      </c>
      <c r="K18" s="6">
        <f>-TypeShares!H15*TypeUC!$H$11</f>
        <v>-0.13069450141889802</v>
      </c>
      <c r="L18" s="6">
        <f>-TypeShares!I15*TypeUC!$H$11</f>
        <v>-0.12158669826418811</v>
      </c>
      <c r="M18" s="6">
        <f>-TypeShares!J15*TypeUC!$H$11</f>
        <v>-0.13829730386203545</v>
      </c>
      <c r="N18" s="6">
        <f>-TypeShares!K15*TypeUC!$H$11</f>
        <v>-0.15613652936447098</v>
      </c>
      <c r="O18" s="6">
        <f>-TypeShares!L15*TypeUC!$H$11</f>
        <v>-0.10433754448398576</v>
      </c>
      <c r="P18" s="6">
        <f>-TypeShares!M15*TypeUC!$H$11</f>
        <v>-0.13503760062659312</v>
      </c>
      <c r="Q18" s="6">
        <f>-TypeShares!N15*TypeUC!$H$11</f>
        <v>-0.16213174986236539</v>
      </c>
      <c r="R18" s="6">
        <f>-TypeShares!O15*TypeUC!$H$11</f>
        <v>-0.16201364540888846</v>
      </c>
      <c r="S18" s="6">
        <f>-TypeShares!P15*TypeUC!$H$11</f>
        <v>-0.097727219578022842</v>
      </c>
      <c r="T18" s="6">
        <f>-TypeShares!Q15*TypeUC!$H$11</f>
        <v>-0.15350967582858258</v>
      </c>
      <c r="U18" s="6">
        <f>-TypeShares!R15*TypeUC!$H$11</f>
        <v>-0.16529117647058825</v>
      </c>
      <c r="V18" s="6">
        <f>-TypeShares!S15*TypeUC!$H$11</f>
        <v>-0.12936631045941849</v>
      </c>
      <c r="W18" s="6">
        <f>-TypeShares!T15*TypeUC!$H$11</f>
        <v>-0.10982750301568156</v>
      </c>
      <c r="X18" s="6">
        <f>-TypeShares!U15*TypeUC!$H$11</f>
        <v>-0.094863470934791791</v>
      </c>
      <c r="Y18" s="6">
        <f>-TypeShares!V15*TypeUC!$H$11</f>
        <v>-0.19529977735787485</v>
      </c>
      <c r="Z18" s="6">
        <f>-TypeShares!W15*TypeUC!$H$11</f>
        <v>-0.16950000000000004</v>
      </c>
      <c r="AA18" s="6">
        <f>-TypeShares!X15*TypeUC!$H$11</f>
        <v>-0.098367772570617379</v>
      </c>
      <c r="AB18" s="6">
        <f>-TypeShares!Y15*TypeUC!$H$11</f>
        <v>-0.12062012393129902</v>
      </c>
      <c r="AC18" s="6">
        <f>-TypeShares!Z15*TypeUC!$H$11</f>
        <v>-0.13059471927303076</v>
      </c>
      <c r="AD18" s="6">
        <f>-TypeShares!AA15*TypeUC!$H$11</f>
        <v>-0.13260712166172109</v>
      </c>
      <c r="AE18" s="6">
        <f>-TypeShares!AB15*TypeUC!$H$11</f>
        <v>-0.16326816083336615</v>
      </c>
      <c r="AF18" s="6">
        <f>-TypeShares!AC15*TypeUC!$H$11</f>
        <v>-0.10135763237819106</v>
      </c>
      <c r="AG18" s="6">
        <f>-TypeShares!AD15*TypeUC!$H$11</f>
        <v>-0.11681227634675524</v>
      </c>
      <c r="AH18" s="6">
        <f>-TypeShares!AE15*TypeUC!$H$11</f>
        <v>-0.083362798804780883</v>
      </c>
      <c r="AI18" s="6">
        <f>-TypeShares!AF15*TypeUC!$H$11</f>
        <v>-0.12251904430118755</v>
      </c>
      <c r="AJ18" s="6">
        <f>-TypeShares!AG15*TypeUC!$H$11</f>
        <v>-0.14811811328049487</v>
      </c>
      <c r="AK18" s="6">
        <f>-TypeShares!AH15*TypeUC!$H$11</f>
        <v>-0.11946217486205037</v>
      </c>
      <c r="AL18" s="6">
        <f>-TypeShares!AI15*TypeUC!$H$11</f>
        <v>-0.089026150895140654</v>
      </c>
      <c r="AM18" s="6">
        <f>-TypeShares!AJ15*TypeUC!$H$11</f>
        <v>-0.094861741172179534</v>
      </c>
      <c r="AN18" s="6">
        <f>-TypeShares!AK15*TypeUC!$H$11</f>
        <v>-0.12045203645226617</v>
      </c>
      <c r="AO18" s="6">
        <f>-TypeShares!AL15*TypeUC!$H$11</f>
        <v>-0.12126188311151524</v>
      </c>
      <c r="AP18" s="6">
        <f>-TypeShares!AM15*TypeUC!$H$11</f>
        <v>-0.12088613678373383</v>
      </c>
      <c r="AQ18" s="6">
        <f>-TypeShares!AN15*TypeUC!$H$11</f>
        <v>-0.10252383035067011</v>
      </c>
      <c r="AR18" s="6">
        <f>-TypeShares!AO15*TypeUC!$H$11</f>
        <v>-0.13201383573087022</v>
      </c>
    </row>
    <row r="21" spans="8:8" ht="14.4">
      <c r="H21" s="5">
        <v>0.99</v>
      </c>
    </row>
    <row r="23" spans="6:6" ht="13.2">
      <c r="F23" s="1" t="s">
        <v>92</v>
      </c>
    </row>
    <row r="24" spans="3:44" ht="13.2">
      <c r="C24" s="1" t="s">
        <v>83</v>
      </c>
      <c r="D24" s="1" t="s">
        <v>84</v>
      </c>
      <c r="E24" s="1" t="s">
        <v>86</v>
      </c>
      <c r="F24" s="1" t="s">
        <v>85</v>
      </c>
      <c r="G24" s="1" t="s">
        <v>88</v>
      </c>
      <c r="H24" t="str">
        <f>TypeShares!E$3</f>
        <v>AL</v>
      </c>
      <c r="I24" t="str">
        <f>TypeShares!F$3</f>
        <v>AT</v>
      </c>
      <c r="J24" t="str">
        <f>TypeShares!G$3</f>
        <v>BA</v>
      </c>
      <c r="K24" t="str">
        <f>TypeShares!H$3</f>
        <v>BE</v>
      </c>
      <c r="L24" t="str">
        <f>TypeShares!I$3</f>
        <v>BG</v>
      </c>
      <c r="M24" t="str">
        <f>TypeShares!J$3</f>
        <v>CH</v>
      </c>
      <c r="N24" t="str">
        <f>TypeShares!K$3</f>
        <v>CY</v>
      </c>
      <c r="O24" t="str">
        <f>TypeShares!L$3</f>
        <v>CZ</v>
      </c>
      <c r="P24" t="str">
        <f>TypeShares!M$3</f>
        <v>DE</v>
      </c>
      <c r="Q24" t="str">
        <f>TypeShares!N$3</f>
        <v>DK</v>
      </c>
      <c r="R24" t="str">
        <f>TypeShares!O$3</f>
        <v>EE</v>
      </c>
      <c r="S24" t="str">
        <f>TypeShares!P$3</f>
        <v>EL</v>
      </c>
      <c r="T24" t="str">
        <f>TypeShares!Q$3</f>
        <v>ES</v>
      </c>
      <c r="U24" t="str">
        <f>TypeShares!R$3</f>
        <v>FI</v>
      </c>
      <c r="V24" t="str">
        <f>TypeShares!S$3</f>
        <v>FR</v>
      </c>
      <c r="W24" t="str">
        <f>TypeShares!T$3</f>
        <v>HR</v>
      </c>
      <c r="X24" t="str">
        <f>TypeShares!U$3</f>
        <v>HU</v>
      </c>
      <c r="Y24" t="str">
        <f>TypeShares!V$3</f>
        <v>IE</v>
      </c>
      <c r="Z24" t="str">
        <f>TypeShares!W$3</f>
        <v>IS</v>
      </c>
      <c r="AA24" t="str">
        <f>TypeShares!X$3</f>
        <v>IT</v>
      </c>
      <c r="AB24" t="str">
        <f>TypeShares!Y$3</f>
        <v>KS</v>
      </c>
      <c r="AC24" t="str">
        <f>TypeShares!Z$3</f>
        <v>LT</v>
      </c>
      <c r="AD24" t="str">
        <f>TypeShares!AA$3</f>
        <v>LU</v>
      </c>
      <c r="AE24" t="str">
        <f>TypeShares!AB$3</f>
        <v>LV</v>
      </c>
      <c r="AF24" t="str">
        <f>TypeShares!AC$3</f>
        <v>ME</v>
      </c>
      <c r="AG24" t="str">
        <f>TypeShares!AD$3</f>
        <v>MK</v>
      </c>
      <c r="AH24" t="str">
        <f>TypeShares!AE$3</f>
        <v>MT</v>
      </c>
      <c r="AI24" t="str">
        <f>TypeShares!AF$3</f>
        <v>NL</v>
      </c>
      <c r="AJ24" t="str">
        <f>TypeShares!AG$3</f>
        <v>NO</v>
      </c>
      <c r="AK24" t="str">
        <f>TypeShares!AH$3</f>
        <v>PL</v>
      </c>
      <c r="AL24" t="str">
        <f>TypeShares!AI$3</f>
        <v>PT</v>
      </c>
      <c r="AM24" t="str">
        <f>TypeShares!AJ$3</f>
        <v>RO</v>
      </c>
      <c r="AN24" t="str">
        <f>TypeShares!AK$3</f>
        <v>RS</v>
      </c>
      <c r="AO24" t="str">
        <f>TypeShares!AL$3</f>
        <v>SE</v>
      </c>
      <c r="AP24" t="str">
        <f>TypeShares!AM$3</f>
        <v>SI</v>
      </c>
      <c r="AQ24" t="str">
        <f>TypeShares!AN$3</f>
        <v>SK</v>
      </c>
      <c r="AR24" t="str">
        <f>TypeShares!AO$3</f>
        <v>UK</v>
      </c>
    </row>
    <row r="25" spans="3:44" ht="13.2">
      <c r="C25" t="str">
        <f>C15</f>
        <v>TUC_TRA_Car_Exe</v>
      </c>
      <c r="F25" t="str">
        <f>F15</f>
        <v>Tcar</v>
      </c>
      <c r="H25" s="6">
        <f>-TypeShares!E12*TypeUC!$H$21</f>
        <v>-0.086462796920358354</v>
      </c>
      <c r="I25" s="6">
        <f>-TypeShares!F12*TypeUC!$H$21</f>
        <v>-0.14919983594306965</v>
      </c>
      <c r="J25" s="6">
        <f>-TypeShares!G12*TypeUC!$H$21</f>
        <v>-0.088816796175538254</v>
      </c>
      <c r="K25" s="6">
        <f>-TypeShares!H12*TypeUC!$H$21</f>
        <v>-0.12294866679778595</v>
      </c>
      <c r="L25" s="6">
        <f>-TypeShares!I12*TypeUC!$H$21</f>
        <v>-0.10632932721900774</v>
      </c>
      <c r="M25" s="6">
        <f>-TypeShares!J12*TypeUC!$H$21</f>
        <v>-0.25911829001700265</v>
      </c>
      <c r="N25" s="6">
        <f>-TypeShares!K12*TypeUC!$H$21</f>
        <v>-0.10732419647364583</v>
      </c>
      <c r="O25" s="6">
        <f>-TypeShares!L12*TypeUC!$H$21</f>
        <v>-0.077876623665480427</v>
      </c>
      <c r="P25" s="6">
        <f>-TypeShares!M12*TypeUC!$H$21</f>
        <v>-0.15858004316348862</v>
      </c>
      <c r="Q25" s="6">
        <f>-TypeShares!N12*TypeUC!$H$21</f>
        <v>-0.089836065823886063</v>
      </c>
      <c r="R25" s="6">
        <f>-TypeShares!O12*TypeUC!$H$21</f>
        <v>-0.25336326163176348</v>
      </c>
      <c r="S25" s="6">
        <f>-TypeShares!P12*TypeUC!$H$21</f>
        <v>-0.052497685393732264</v>
      </c>
      <c r="T25" s="6">
        <f>-TypeShares!Q12*TypeUC!$H$21</f>
        <v>-0.14545290247761908</v>
      </c>
      <c r="U25" s="6">
        <f>-TypeShares!R12*TypeUC!$H$21</f>
        <v>-0.18793707983193281</v>
      </c>
      <c r="V25" s="6">
        <f>-TypeShares!S12*TypeUC!$H$21</f>
        <v>-0.10440896071015893</v>
      </c>
      <c r="W25" s="6">
        <f>-TypeShares!T12*TypeUC!$H$21</f>
        <v>-0.072906513872135106</v>
      </c>
      <c r="X25" s="6">
        <f>-TypeShares!U12*TypeUC!$H$21</f>
        <v>-0.063268855689381301</v>
      </c>
      <c r="Y25" s="6">
        <f>-TypeShares!V12*TypeUC!$H$21</f>
        <v>-0.11330826197030386</v>
      </c>
      <c r="Z25" s="6">
        <f>-TypeShares!W12*TypeUC!$H$21</f>
        <v>-0.23070967741935491</v>
      </c>
      <c r="AA25" s="6">
        <f>-TypeShares!X12*TypeUC!$H$21</f>
        <v>-0.087325752247013236</v>
      </c>
      <c r="AB25" s="6">
        <f>-TypeShares!Y12*TypeUC!$H$21</f>
        <v>-0.090807841172939829</v>
      </c>
      <c r="AC25" s="6">
        <f>-TypeShares!Z12*TypeUC!$H$21</f>
        <v>-0.1930520654643238</v>
      </c>
      <c r="AD25" s="6">
        <f>-TypeShares!AA12*TypeUC!$H$21</f>
        <v>-0.25020267062314544</v>
      </c>
      <c r="AE25" s="6">
        <f>-TypeShares!AB12*TypeUC!$H$21</f>
        <v>-0.26829183600994355</v>
      </c>
      <c r="AF25" s="6">
        <f>-TypeShares!AC12*TypeUC!$H$21</f>
        <v>-0.070808843448253764</v>
      </c>
      <c r="AG25" s="6">
        <f>-TypeShares!AD12*TypeUC!$H$21</f>
        <v>-0.081066443147748177</v>
      </c>
      <c r="AH25" s="6">
        <f>-TypeShares!AE12*TypeUC!$H$21</f>
        <v>-0.046221364541832677</v>
      </c>
      <c r="AI25" s="6">
        <f>-TypeShares!AF12*TypeUC!$H$21</f>
        <v>-0.1750270233236943</v>
      </c>
      <c r="AJ25" s="6">
        <f>-TypeShares!AG12*TypeUC!$H$21</f>
        <v>-0.30250386622849412</v>
      </c>
      <c r="AK25" s="6">
        <f>-TypeShares!AH12*TypeUC!$H$21</f>
        <v>-0.085291076154916545</v>
      </c>
      <c r="AL25" s="6">
        <f>-TypeShares!AI12*TypeUC!$H$21</f>
        <v>-0.10097704603580561</v>
      </c>
      <c r="AM25" s="6">
        <f>-TypeShares!AJ12*TypeUC!$H$21</f>
        <v>-0.078347447967720599</v>
      </c>
      <c r="AN25" s="6">
        <f>-TypeShares!AK12*TypeUC!$H$21</f>
        <v>-0.087951810045413623</v>
      </c>
      <c r="AO25" s="6">
        <f>-TypeShares!AL12*TypeUC!$H$21</f>
        <v>-0.41156340414978926</v>
      </c>
      <c r="AP25" s="6">
        <f>-TypeShares!AM12*TypeUC!$H$21</f>
        <v>-0.085330314232902021</v>
      </c>
      <c r="AQ25" s="6">
        <f>-TypeShares!AN12*TypeUC!$H$21</f>
        <v>-0.082054652535213782</v>
      </c>
      <c r="AR25" s="6">
        <f>-TypeShares!AO12*TypeUC!$H$21</f>
        <v>-0.14336856849734941</v>
      </c>
    </row>
    <row r="26" spans="3:44" ht="13.2">
      <c r="C26" t="str">
        <f>C16</f>
        <v>TUC_TRA_Car_Lom</v>
      </c>
      <c r="F26" t="str">
        <f>F16</f>
        <v>Tcar</v>
      </c>
      <c r="H26" s="6">
        <f>-TypeShares!E13*TypeUC!$H$21</f>
        <v>-0.26223202851412469</v>
      </c>
      <c r="I26" s="6">
        <f>-TypeShares!F13*TypeUC!$H$21</f>
        <v>-0.28922442300919921</v>
      </c>
      <c r="J26" s="6">
        <f>-TypeShares!G13*TypeUC!$H$21</f>
        <v>-0.26523513264522608</v>
      </c>
      <c r="K26" s="6">
        <f>-TypeShares!H13*TypeUC!$H$21</f>
        <v>-0.29148408305470486</v>
      </c>
      <c r="L26" s="6">
        <f>-TypeShares!I13*TypeUC!$H$21</f>
        <v>-0.27116682568016742</v>
      </c>
      <c r="M26" s="6">
        <f>-TypeShares!J13*TypeUC!$H$21</f>
        <v>-0.3084430410493077</v>
      </c>
      <c r="N26" s="6">
        <f>-TypeShares!K13*TypeUC!$H$21</f>
        <v>-0.34822055606454383</v>
      </c>
      <c r="O26" s="6">
        <f>-TypeShares!L13*TypeUC!$H$21</f>
        <v>-0.23270504893238433</v>
      </c>
      <c r="P26" s="6">
        <f>-TypeShares!M13*TypeUC!$H$21</f>
        <v>-0.30117235606829634</v>
      </c>
      <c r="Q26" s="6">
        <f>-TypeShares!N13*TypeUC!$H$21</f>
        <v>-0.36159446849992044</v>
      </c>
      <c r="R26" s="6">
        <f>-TypeShares!O13*TypeUC!$H$21</f>
        <v>-0.36136454088884673</v>
      </c>
      <c r="S26" s="6">
        <f>-TypeShares!P13*TypeUC!$H$21</f>
        <v>-0.25444601839800501</v>
      </c>
      <c r="T26" s="6">
        <f>-TypeShares!Q13*TypeUC!$H$21</f>
        <v>-0.36687177562699153</v>
      </c>
      <c r="U26" s="6">
        <f>-TypeShares!R13*TypeUC!$H$21</f>
        <v>-0.36865021008403365</v>
      </c>
      <c r="V26" s="6">
        <f>-TypeShares!S13*TypeUC!$H$21</f>
        <v>-0.28852437300547357</v>
      </c>
      <c r="W26" s="6">
        <f>-TypeShares!T13*TypeUC!$H$21</f>
        <v>-0.24493244873341377</v>
      </c>
      <c r="X26" s="6">
        <f>-TypeShares!U13*TypeUC!$H$21</f>
        <v>-0.21157078800796253</v>
      </c>
      <c r="Y26" s="6">
        <f>-TypeShares!V13*TypeUC!$H$21</f>
        <v>-0.40527309188329974</v>
      </c>
      <c r="Z26" s="6">
        <f>-TypeShares!W13*TypeUC!$H$21</f>
        <v>-0.3772741935483872</v>
      </c>
      <c r="AA26" s="6">
        <f>-TypeShares!X13*TypeUC!$H$21</f>
        <v>-0.21938868572173809</v>
      </c>
      <c r="AB26" s="6">
        <f>-TypeShares!Y13*TypeUC!$H$21</f>
        <v>-0.26900166943093279</v>
      </c>
      <c r="AC26" s="6">
        <f>-TypeShares!Z13*TypeUC!$H$21</f>
        <v>-0.29126489406092071</v>
      </c>
      <c r="AD26" s="6">
        <f>-TypeShares!AA13*TypeUC!$H$21</f>
        <v>-0.28945014836795258</v>
      </c>
      <c r="AE26" s="6">
        <f>-TypeShares!AB13*TypeUC!$H$21</f>
        <v>-0.36407686540662115</v>
      </c>
      <c r="AF26" s="6">
        <f>-TypeShares!AC13*TypeUC!$H$21</f>
        <v>-0.25859924530703104</v>
      </c>
      <c r="AG26" s="6">
        <f>-TypeShares!AD13*TypeUC!$H$21</f>
        <v>-0.26052967536026311</v>
      </c>
      <c r="AH26" s="6">
        <f>-TypeShares!AE13*TypeUC!$H$21</f>
        <v>-0.18591259960159365</v>
      </c>
      <c r="AI26" s="6">
        <f>-TypeShares!AF13*TypeUC!$H$21</f>
        <v>-0.27317074526461649</v>
      </c>
      <c r="AJ26" s="6">
        <f>-TypeShares!AG13*TypeUC!$H$21</f>
        <v>-0.2658766673110381</v>
      </c>
      <c r="AK26" s="6">
        <f>-TypeShares!AH13*TypeUC!$H$21</f>
        <v>-0.26641753852525429</v>
      </c>
      <c r="AL26" s="6">
        <f>-TypeShares!AI13*TypeUC!$H$21</f>
        <v>-0.19855492327365726</v>
      </c>
      <c r="AM26" s="6">
        <f>-TypeShares!AJ13*TypeUC!$H$21</f>
        <v>-0.21157139763375654</v>
      </c>
      <c r="AN26" s="6">
        <f>-TypeShares!AK13*TypeUC!$H$21</f>
        <v>-0.26860892679788262</v>
      </c>
      <c r="AO26" s="6">
        <f>-TypeShares!AL13*TypeUC!$H$21</f>
        <v>-0.27071939323799293</v>
      </c>
      <c r="AP26" s="6">
        <f>-TypeShares!AM13*TypeUC!$H$21</f>
        <v>-0.26960573012938999</v>
      </c>
      <c r="AQ26" s="6">
        <f>-TypeShares!AN13*TypeUC!$H$21</f>
        <v>-0.22864860492843403</v>
      </c>
      <c r="AR26" s="6">
        <f>-TypeShares!AO13*TypeUC!$H$21</f>
        <v>-0.29442924433913409</v>
      </c>
    </row>
    <row r="27" spans="3:44" ht="13.2">
      <c r="C27" t="str">
        <f>C17</f>
        <v>TUC_TRA_Car_Sma</v>
      </c>
      <c r="F27" t="str">
        <f>F17</f>
        <v>Tcar</v>
      </c>
      <c r="H27" s="6">
        <f>-TypeShares!E14*TypeUC!$H$21</f>
        <v>-0.5367931921997785</v>
      </c>
      <c r="I27" s="6">
        <f>-TypeShares!F14*TypeUC!$H$21</f>
        <v>-0.42189563058845758</v>
      </c>
      <c r="J27" s="6">
        <f>-TypeShares!G14*TypeUC!$H$21</f>
        <v>-0.51701950296797017</v>
      </c>
      <c r="K27" s="6">
        <f>-TypeShares!H14*TypeUC!$H$21</f>
        <v>-0.44487274872861116</v>
      </c>
      <c r="L27" s="6">
        <f>-TypeShares!I14*TypeUC!$H$21</f>
        <v>-0.49091714883663673</v>
      </c>
      <c r="M27" s="6">
        <f>-TypeShares!J14*TypeUC!$H$21</f>
        <v>-0.28414136507165411</v>
      </c>
      <c r="N27" s="6">
        <f>-TypeShares!K14*TypeUC!$H$21</f>
        <v>-0.3783187180973393</v>
      </c>
      <c r="O27" s="6">
        <f>-TypeShares!L14*TypeUC!$H$21</f>
        <v>-0.57508078291814946</v>
      </c>
      <c r="P27" s="6">
        <f>-TypeShares!M14*TypeUC!$H$21</f>
        <v>-0.39521000014162194</v>
      </c>
      <c r="Q27" s="6">
        <f>-TypeShares!N14*TypeUC!$H$21</f>
        <v>-0.37643771581382829</v>
      </c>
      <c r="R27" s="6">
        <f>-TypeShares!O14*TypeUC!$H$21</f>
        <v>-0.21325855207050129</v>
      </c>
      <c r="S27" s="6">
        <f>-TypeShares!P14*TypeUC!$H$21</f>
        <v>-0.58532907663024014</v>
      </c>
      <c r="T27" s="6">
        <f>-TypeShares!Q14*TypeUC!$H$21</f>
        <v>-0.32416564606680681</v>
      </c>
      <c r="U27" s="6">
        <f>-TypeShares!R14*TypeUC!$H$21</f>
        <v>-0.26812153361344537</v>
      </c>
      <c r="V27" s="6">
        <f>-TypeShares!S14*TypeUC!$H$21</f>
        <v>-0.46770035582494901</v>
      </c>
      <c r="W27" s="6">
        <f>-TypeShares!T14*TypeUC!$H$21</f>
        <v>-0.56233353437876976</v>
      </c>
      <c r="X27" s="6">
        <f>-TypeShares!U14*TypeUC!$H$21</f>
        <v>-0.62029688536786443</v>
      </c>
      <c r="Y27" s="6">
        <f>-TypeShares!V14*TypeUC!$H$21</f>
        <v>-0.27611886878852154</v>
      </c>
      <c r="Z27" s="6">
        <f>-TypeShares!W14*TypeUC!$H$21</f>
        <v>-0.21251612903225814</v>
      </c>
      <c r="AA27" s="6">
        <f>-TypeShares!X14*TypeUC!$H$21</f>
        <v>-0.58491778946063133</v>
      </c>
      <c r="AB27" s="6">
        <f>-TypeShares!Y14*TypeUC!$H$21</f>
        <v>-0.50957036546482837</v>
      </c>
      <c r="AC27" s="6">
        <f>-TypeShares!Z14*TypeUC!$H$21</f>
        <v>-0.37508832120172469</v>
      </c>
      <c r="AD27" s="6">
        <f>-TypeShares!AA14*TypeUC!$H$21</f>
        <v>-0.31774005934718103</v>
      </c>
      <c r="AE27" s="6">
        <f>-TypeShares!AB14*TypeUC!$H$21</f>
        <v>-0.194363137750069</v>
      </c>
      <c r="AF27" s="6">
        <f>-TypeShares!AC14*TypeUC!$H$21</f>
        <v>-0.5592342788665241</v>
      </c>
      <c r="AG27" s="6">
        <f>-TypeShares!AD14*TypeUC!$H$21</f>
        <v>-0.53159160514523374</v>
      </c>
      <c r="AH27" s="6">
        <f>-TypeShares!AE14*TypeUC!$H$21</f>
        <v>-0.67450323705179294</v>
      </c>
      <c r="AI27" s="6">
        <f>-TypeShares!AF14*TypeUC!$H$21</f>
        <v>-0.4192831871105015</v>
      </c>
      <c r="AJ27" s="6">
        <f>-TypeShares!AG14*TypeUC!$H$21</f>
        <v>-0.27350135317997287</v>
      </c>
      <c r="AK27" s="6">
        <f>-TypeShares!AH14*TypeUC!$H$21</f>
        <v>-0.51882921045777852</v>
      </c>
      <c r="AL27" s="6">
        <f>-TypeShares!AI14*TypeUC!$H$21</f>
        <v>-0.60144187979539643</v>
      </c>
      <c r="AM27" s="6">
        <f>-TypeShares!AJ14*TypeUC!$H$21</f>
        <v>-0.60521941322634332</v>
      </c>
      <c r="AN27" s="6">
        <f>-TypeShares!AK14*TypeUC!$H$21</f>
        <v>-0.51298722670443753</v>
      </c>
      <c r="AO27" s="6">
        <f>-TypeShares!AL14*TypeUC!$H$21</f>
        <v>-0.18645531950070268</v>
      </c>
      <c r="AP27" s="6">
        <f>-TypeShares!AM14*TypeUC!$H$21</f>
        <v>-0.51417781885397418</v>
      </c>
      <c r="AQ27" s="6">
        <f>-TypeShares!AN14*TypeUC!$H$21</f>
        <v>-0.57677291218568194</v>
      </c>
      <c r="AR27" s="6">
        <f>-TypeShares!AO14*TypeUC!$H$21</f>
        <v>-0.4201883514326461</v>
      </c>
    </row>
    <row r="28" spans="3:44" ht="13.2">
      <c r="C28" t="str">
        <f>C18</f>
        <v>TUC_TRA_Car_Upm</v>
      </c>
      <c r="F28" t="str">
        <f>F18</f>
        <v>Tcar</v>
      </c>
      <c r="H28" s="6">
        <f>-TypeShares!E15*TypeUC!$H$21</f>
        <v>-0.10451198236573839</v>
      </c>
      <c r="I28" s="6">
        <f>-TypeShares!F15*TypeUC!$H$21</f>
        <v>-0.1296801104592735</v>
      </c>
      <c r="J28" s="6">
        <f>-TypeShares!G15*TypeUC!$H$21</f>
        <v>-0.1189285682112655</v>
      </c>
      <c r="K28" s="6">
        <f>-TypeShares!H15*TypeUC!$H$21</f>
        <v>-0.13069450141889802</v>
      </c>
      <c r="L28" s="6">
        <f>-TypeShares!I15*TypeUC!$H$21</f>
        <v>-0.12158669826418811</v>
      </c>
      <c r="M28" s="6">
        <f>-TypeShares!J15*TypeUC!$H$21</f>
        <v>-0.13829730386203545</v>
      </c>
      <c r="N28" s="6">
        <f>-TypeShares!K15*TypeUC!$H$21</f>
        <v>-0.15613652936447098</v>
      </c>
      <c r="O28" s="6">
        <f>-TypeShares!L15*TypeUC!$H$21</f>
        <v>-0.10433754448398576</v>
      </c>
      <c r="P28" s="6">
        <f>-TypeShares!M15*TypeUC!$H$21</f>
        <v>-0.13503760062659312</v>
      </c>
      <c r="Q28" s="6">
        <f>-TypeShares!N15*TypeUC!$H$21</f>
        <v>-0.16213174986236539</v>
      </c>
      <c r="R28" s="6">
        <f>-TypeShares!O15*TypeUC!$H$21</f>
        <v>-0.16201364540888846</v>
      </c>
      <c r="S28" s="6">
        <f>-TypeShares!P15*TypeUC!$H$21</f>
        <v>-0.097727219578022842</v>
      </c>
      <c r="T28" s="6">
        <f>-TypeShares!Q15*TypeUC!$H$21</f>
        <v>-0.15350967582858258</v>
      </c>
      <c r="U28" s="6">
        <f>-TypeShares!R15*TypeUC!$H$21</f>
        <v>-0.16529117647058825</v>
      </c>
      <c r="V28" s="6">
        <f>-TypeShares!S15*TypeUC!$H$21</f>
        <v>-0.12936631045941849</v>
      </c>
      <c r="W28" s="6">
        <f>-TypeShares!T15*TypeUC!$H$21</f>
        <v>-0.10982750301568156</v>
      </c>
      <c r="X28" s="6">
        <f>-TypeShares!U15*TypeUC!$H$21</f>
        <v>-0.094863470934791791</v>
      </c>
      <c r="Y28" s="6">
        <f>-TypeShares!V15*TypeUC!$H$21</f>
        <v>-0.19529977735787485</v>
      </c>
      <c r="Z28" s="6">
        <f>-TypeShares!W15*TypeUC!$H$21</f>
        <v>-0.16950000000000004</v>
      </c>
      <c r="AA28" s="6">
        <f>-TypeShares!X15*TypeUC!$H$21</f>
        <v>-0.098367772570617379</v>
      </c>
      <c r="AB28" s="6">
        <f>-TypeShares!Y15*TypeUC!$H$21</f>
        <v>-0.12062012393129902</v>
      </c>
      <c r="AC28" s="6">
        <f>-TypeShares!Z15*TypeUC!$H$21</f>
        <v>-0.13059471927303076</v>
      </c>
      <c r="AD28" s="6">
        <f>-TypeShares!AA15*TypeUC!$H$21</f>
        <v>-0.13260712166172109</v>
      </c>
      <c r="AE28" s="6">
        <f>-TypeShares!AB15*TypeUC!$H$21</f>
        <v>-0.16326816083336615</v>
      </c>
      <c r="AF28" s="6">
        <f>-TypeShares!AC15*TypeUC!$H$21</f>
        <v>-0.10135763237819106</v>
      </c>
      <c r="AG28" s="6">
        <f>-TypeShares!AD15*TypeUC!$H$21</f>
        <v>-0.11681227634675524</v>
      </c>
      <c r="AH28" s="6">
        <f>-TypeShares!AE15*TypeUC!$H$21</f>
        <v>-0.083362798804780883</v>
      </c>
      <c r="AI28" s="6">
        <f>-TypeShares!AF15*TypeUC!$H$21</f>
        <v>-0.12251904430118755</v>
      </c>
      <c r="AJ28" s="6">
        <f>-TypeShares!AG15*TypeUC!$H$21</f>
        <v>-0.14811811328049487</v>
      </c>
      <c r="AK28" s="6">
        <f>-TypeShares!AH15*TypeUC!$H$21</f>
        <v>-0.11946217486205037</v>
      </c>
      <c r="AL28" s="6">
        <f>-TypeShares!AI15*TypeUC!$H$21</f>
        <v>-0.089026150895140654</v>
      </c>
      <c r="AM28" s="6">
        <f>-TypeShares!AJ15*TypeUC!$H$21</f>
        <v>-0.094861741172179534</v>
      </c>
      <c r="AN28" s="6">
        <f>-TypeShares!AK15*TypeUC!$H$21</f>
        <v>-0.12045203645226617</v>
      </c>
      <c r="AO28" s="6">
        <f>-TypeShares!AL15*TypeUC!$H$21</f>
        <v>-0.12126188311151524</v>
      </c>
      <c r="AP28" s="6">
        <f>-TypeShares!AM15*TypeUC!$H$21</f>
        <v>-0.12088613678373383</v>
      </c>
      <c r="AQ28" s="6">
        <f>-TypeShares!AN15*TypeUC!$H$21</f>
        <v>-0.10252383035067011</v>
      </c>
      <c r="AR28" s="6">
        <f>-TypeShares!AO15*TypeUC!$H$21</f>
        <v>-0.13201383573087022</v>
      </c>
    </row>
    <row r="31" spans="11:11" ht="13.2">
      <c r="K31" s="6"/>
    </row>
  </sheetData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61"/>
  <sheetViews>
    <sheetView workbookViewId="0" topLeftCell="A15">
      <selection pane="topLeft" activeCell="C10" sqref="C10"/>
    </sheetView>
  </sheetViews>
  <sheetFormatPr defaultRowHeight="13.2"/>
  <cols>
    <col min="1" max="1" width="9.57142857142857" bestFit="1" customWidth="1"/>
    <col min="2" max="2" width="6.28571428571429" bestFit="1" customWidth="1"/>
    <col min="3" max="3" width="5.14285714285714" bestFit="1" customWidth="1"/>
    <col min="4" max="4" width="12.2857142857143" bestFit="1" customWidth="1"/>
    <col min="5" max="9" width="7.28571428571429" bestFit="1" customWidth="1"/>
    <col min="10" max="10" width="7.85714285714286" bestFit="1" customWidth="1"/>
    <col min="11" max="11" width="7.28571428571429" bestFit="1" customWidth="1"/>
    <col min="12" max="12" width="6.85714285714286" bestFit="1" customWidth="1"/>
    <col min="13" max="13" width="7.28571428571429" bestFit="1" customWidth="1"/>
    <col min="14" max="14" width="6.85714285714286" bestFit="1" customWidth="1"/>
    <col min="15" max="19" width="7.28571428571429" bestFit="1" customWidth="1"/>
    <col min="20" max="20" width="6.85714285714286" bestFit="1" customWidth="1"/>
    <col min="21" max="22" width="7.28571428571429" bestFit="1" customWidth="1"/>
    <col min="23" max="23" width="6.85714285714286" bestFit="1" customWidth="1"/>
    <col min="24" max="24" width="7.85714285714286" bestFit="1" customWidth="1"/>
    <col min="25" max="27" width="7.28571428571429" bestFit="1" customWidth="1"/>
    <col min="28" max="28" width="6.85714285714286" bestFit="1" customWidth="1"/>
    <col min="29" max="29" width="7.28571428571429" bestFit="1" customWidth="1"/>
    <col min="30" max="30" width="6.28571428571429" bestFit="1" customWidth="1"/>
    <col min="31" max="31" width="7.28571428571429" bestFit="1" customWidth="1"/>
    <col min="32" max="32" width="7.85714285714286" bestFit="1" customWidth="1"/>
    <col min="33" max="33" width="7.28571428571429" bestFit="1" customWidth="1"/>
    <col min="34" max="34" width="6.85714285714286" bestFit="1" customWidth="1"/>
    <col min="35" max="37" width="7.28571428571429" bestFit="1" customWidth="1"/>
    <col min="38" max="38" width="6.85714285714286" bestFit="1" customWidth="1"/>
    <col min="39" max="40" width="7.28571428571429" bestFit="1" customWidth="1"/>
    <col min="41" max="41" width="6.85714285714286" bestFit="1" customWidth="1"/>
  </cols>
  <sheetData>
    <row r="1" spans="1:3" ht="13.2">
      <c r="A1" s="1" t="s">
        <v>78</v>
      </c>
      <c r="B1" s="1" t="s">
        <v>79</v>
      </c>
      <c r="C1" s="1" t="s">
        <v>80</v>
      </c>
    </row>
    <row r="2" spans="4:4" ht="13.2">
      <c r="D2" s="1" t="s">
        <v>98</v>
      </c>
    </row>
    <row r="3" spans="5:41" ht="13.2">
      <c r="E3" t="str">
        <f>Stock!L$1</f>
        <v>AL</v>
      </c>
      <c r="F3" t="str">
        <f>Stock!M$1</f>
        <v>AT</v>
      </c>
      <c r="G3" t="str">
        <f>Stock!N$1</f>
        <v>BA</v>
      </c>
      <c r="H3" t="str">
        <f>Stock!O$1</f>
        <v>BE</v>
      </c>
      <c r="I3" t="str">
        <f>Stock!P$1</f>
        <v>BG</v>
      </c>
      <c r="J3" t="str">
        <f>Stock!Q$1</f>
        <v>CH</v>
      </c>
      <c r="K3" t="str">
        <f>Stock!R$1</f>
        <v>CY</v>
      </c>
      <c r="L3" t="str">
        <f>Stock!S$1</f>
        <v>CZ</v>
      </c>
      <c r="M3" t="str">
        <f>Stock!T$1</f>
        <v>DE</v>
      </c>
      <c r="N3" t="str">
        <f>Stock!U$1</f>
        <v>DK</v>
      </c>
      <c r="O3" t="str">
        <f>Stock!V$1</f>
        <v>EE</v>
      </c>
      <c r="P3" t="str">
        <f>Stock!W$1</f>
        <v>EL</v>
      </c>
      <c r="Q3" t="str">
        <f>Stock!X$1</f>
        <v>ES</v>
      </c>
      <c r="R3" t="str">
        <f>Stock!Y$1</f>
        <v>FI</v>
      </c>
      <c r="S3" t="str">
        <f>Stock!Z$1</f>
        <v>FR</v>
      </c>
      <c r="T3" t="str">
        <f>Stock!AA$1</f>
        <v>HR</v>
      </c>
      <c r="U3" t="str">
        <f>Stock!AB$1</f>
        <v>HU</v>
      </c>
      <c r="V3" t="str">
        <f>Stock!AC$1</f>
        <v>IE</v>
      </c>
      <c r="W3" t="str">
        <f>Stock!AD$1</f>
        <v>IS</v>
      </c>
      <c r="X3" t="str">
        <f>Stock!AE$1</f>
        <v>IT</v>
      </c>
      <c r="Y3" t="str">
        <f>Stock!AF$1</f>
        <v>KS</v>
      </c>
      <c r="Z3" t="str">
        <f>Stock!AG$1</f>
        <v>LT</v>
      </c>
      <c r="AA3" t="str">
        <f>Stock!AH$1</f>
        <v>LU</v>
      </c>
      <c r="AB3" t="str">
        <f>Stock!AI$1</f>
        <v>LV</v>
      </c>
      <c r="AC3" t="str">
        <f>Stock!AJ$1</f>
        <v>ME</v>
      </c>
      <c r="AD3" t="str">
        <f>Stock!AK$1</f>
        <v>MK</v>
      </c>
      <c r="AE3" t="str">
        <f>Stock!AL$1</f>
        <v>MT</v>
      </c>
      <c r="AF3" t="str">
        <f>Stock!AM$1</f>
        <v>NL</v>
      </c>
      <c r="AG3" t="str">
        <f>Stock!AN$1</f>
        <v>NO</v>
      </c>
      <c r="AH3" t="str">
        <f>Stock!AO$1</f>
        <v>PL</v>
      </c>
      <c r="AI3" t="str">
        <f>Stock!AP$1</f>
        <v>PT</v>
      </c>
      <c r="AJ3" t="str">
        <f>Stock!AQ$1</f>
        <v>RO</v>
      </c>
      <c r="AK3" t="str">
        <f>Stock!AR$1</f>
        <v>RS</v>
      </c>
      <c r="AL3" t="str">
        <f>Stock!AS$1</f>
        <v>SE</v>
      </c>
      <c r="AM3" t="str">
        <f>Stock!AT$1</f>
        <v>SI</v>
      </c>
      <c r="AN3" t="str">
        <f>Stock!AU$1</f>
        <v>SK</v>
      </c>
      <c r="AO3" t="str">
        <f>Stock!AV$1</f>
        <v>UK</v>
      </c>
    </row>
    <row r="4" spans="1:41" ht="13.2">
      <c r="A4" t="str">
        <f>LEFT(Stock!C2,7)&amp;"*"</f>
        <v>TRA_Bus*</v>
      </c>
      <c r="B4" t="str">
        <f>"*"&amp;RIGHT(Stock!C2,3)&amp;"*"</f>
        <v>*Coa*</v>
      </c>
      <c r="C4" t="str">
        <f>"*"&amp;MID(Stock!C2,9,3)&amp;"*"</f>
        <v>*Cng*</v>
      </c>
      <c r="E4" s="3">
        <f>SUMIFS(Stock!L$2:L$41,Stock!$C$2:$C$41,FuelShares!$A4,Stock!$C$2:$C$41,FuelShares!$C4)/SUMIF(Stock!$C$2:$C$41,FuelShares!$A4,Stock!L$2:L$41)</f>
        <v>0</v>
      </c>
      <c r="F4" s="3">
        <f>SUMIFS(Stock!M$2:M$41,Stock!$C$2:$C$41,FuelShares!$A4,Stock!$C$2:$C$41,FuelShares!$C4)/SUMIF(Stock!$C$2:$C$41,FuelShares!$A4,Stock!M$2:M$41)</f>
        <v>0</v>
      </c>
      <c r="G4" s="3">
        <f>SUMIFS(Stock!N$2:N$41,Stock!$C$2:$C$41,FuelShares!$A4,Stock!$C$2:$C$41,FuelShares!$C4)/SUMIF(Stock!$C$2:$C$41,FuelShares!$A4,Stock!N$2:N$41)</f>
        <v>0</v>
      </c>
      <c r="H4" s="3">
        <f>SUMIFS(Stock!O$2:O$41,Stock!$C$2:$C$41,FuelShares!$A4,Stock!$C$2:$C$41,FuelShares!$C4)/SUMIF(Stock!$C$2:$C$41,FuelShares!$A4,Stock!O$2:O$41)</f>
        <v>0</v>
      </c>
      <c r="I4" s="3">
        <f>SUMIFS(Stock!P$2:P$41,Stock!$C$2:$C$41,FuelShares!$A4,Stock!$C$2:$C$41,FuelShares!$C4)/SUMIF(Stock!$C$2:$C$41,FuelShares!$A4,Stock!P$2:P$41)</f>
        <v>0</v>
      </c>
      <c r="J4" s="3">
        <f>SUMIFS(Stock!Q$2:Q$41,Stock!$C$2:$C$41,FuelShares!$A4,Stock!$C$2:$C$41,FuelShares!$C4)/SUMIF(Stock!$C$2:$C$41,FuelShares!$A4,Stock!Q$2:Q$41)</f>
        <v>0.024423337856173677</v>
      </c>
      <c r="K4" s="3">
        <f>SUMIFS(Stock!R$2:R$41,Stock!$C$2:$C$41,FuelShares!$A4,Stock!$C$2:$C$41,FuelShares!$C4)/SUMIF(Stock!$C$2:$C$41,FuelShares!$A4,Stock!R$2:R$41)</f>
        <v>0</v>
      </c>
      <c r="L4" s="3">
        <f>SUMIFS(Stock!S$2:S$41,Stock!$C$2:$C$41,FuelShares!$A4,Stock!$C$2:$C$41,FuelShares!$C4)/SUMIF(Stock!$C$2:$C$41,FuelShares!$A4,Stock!S$2:S$41)</f>
        <v>0</v>
      </c>
      <c r="M4" s="3">
        <f>SUMIFS(Stock!T$2:T$41,Stock!$C$2:$C$41,FuelShares!$A4,Stock!$C$2:$C$41,FuelShares!$C4)/SUMIF(Stock!$C$2:$C$41,FuelShares!$A4,Stock!T$2:T$41)</f>
        <v>0.020203354020863595</v>
      </c>
      <c r="N4" s="3">
        <f>SUMIFS(Stock!U$2:U$41,Stock!$C$2:$C$41,FuelShares!$A4,Stock!$C$2:$C$41,FuelShares!$C4)/SUMIF(Stock!$C$2:$C$41,FuelShares!$A4,Stock!U$2:U$41)</f>
        <v>0</v>
      </c>
      <c r="O4" s="3">
        <f>SUMIFS(Stock!V$2:V$41,Stock!$C$2:$C$41,FuelShares!$A4,Stock!$C$2:$C$41,FuelShares!$C4)/SUMIF(Stock!$C$2:$C$41,FuelShares!$A4,Stock!V$2:V$41)</f>
        <v>0</v>
      </c>
      <c r="P4" s="3">
        <f>SUMIFS(Stock!W$2:W$41,Stock!$C$2:$C$41,FuelShares!$A4,Stock!$C$2:$C$41,FuelShares!$C4)/SUMIF(Stock!$C$2:$C$41,FuelShares!$A4,Stock!W$2:W$41)</f>
        <v>0</v>
      </c>
      <c r="Q4" s="3">
        <f>SUMIFS(Stock!X$2:X$41,Stock!$C$2:$C$41,FuelShares!$A4,Stock!$C$2:$C$41,FuelShares!$C4)/SUMIF(Stock!$C$2:$C$41,FuelShares!$A4,Stock!X$2:X$41)</f>
        <v>0</v>
      </c>
      <c r="R4" s="3">
        <f>SUMIFS(Stock!Y$2:Y$41,Stock!$C$2:$C$41,FuelShares!$A4,Stock!$C$2:$C$41,FuelShares!$C4)/SUMIF(Stock!$C$2:$C$41,FuelShares!$A4,Stock!Y$2:Y$41)</f>
        <v>0</v>
      </c>
      <c r="S4" s="3">
        <f>SUMIFS(Stock!Z$2:Z$41,Stock!$C$2:$C$41,FuelShares!$A4,Stock!$C$2:$C$41,FuelShares!$C4)/SUMIF(Stock!$C$2:$C$41,FuelShares!$A4,Stock!Z$2:Z$41)</f>
        <v>0</v>
      </c>
      <c r="T4" s="3">
        <f>SUMIFS(Stock!AA$2:AA$41,Stock!$C$2:$C$41,FuelShares!$A4,Stock!$C$2:$C$41,FuelShares!$C4)/SUMIF(Stock!$C$2:$C$41,FuelShares!$A4,Stock!AA$2:AA$41)</f>
        <v>0.012219959266802444</v>
      </c>
      <c r="U4" s="3">
        <f>SUMIFS(Stock!AB$2:AB$41,Stock!$C$2:$C$41,FuelShares!$A4,Stock!$C$2:$C$41,FuelShares!$C4)/SUMIF(Stock!$C$2:$C$41,FuelShares!$A4,Stock!AB$2:AB$41)</f>
        <v>0</v>
      </c>
      <c r="V4" s="3">
        <f>SUMIFS(Stock!AC$2:AC$41,Stock!$C$2:$C$41,FuelShares!$A4,Stock!$C$2:$C$41,FuelShares!$C4)/SUMIF(Stock!$C$2:$C$41,FuelShares!$A4,Stock!AC$2:AC$41)</f>
        <v>0</v>
      </c>
      <c r="W4" s="3">
        <f>SUMIFS(Stock!AD$2:AD$41,Stock!$C$2:$C$41,FuelShares!$A4,Stock!$C$2:$C$41,FuelShares!$C4)/SUMIF(Stock!$C$2:$C$41,FuelShares!$A4,Stock!AD$2:AD$41)</f>
        <v>0</v>
      </c>
      <c r="X4" s="3">
        <f>SUMIFS(Stock!AE$2:AE$41,Stock!$C$2:$C$41,FuelShares!$A4,Stock!$C$2:$C$41,FuelShares!$C4)/SUMIF(Stock!$C$2:$C$41,FuelShares!$A4,Stock!AE$2:AE$41)</f>
        <v>0.036507610037021805</v>
      </c>
      <c r="Y4" s="3">
        <f>SUMIFS(Stock!AF$2:AF$41,Stock!$C$2:$C$41,FuelShares!$A4,Stock!$C$2:$C$41,FuelShares!$C4)/SUMIF(Stock!$C$2:$C$41,FuelShares!$A4,Stock!AF$2:AF$41)</f>
        <v>0</v>
      </c>
      <c r="Z4" s="3">
        <f>SUMIFS(Stock!AG$2:AG$41,Stock!$C$2:$C$41,FuelShares!$A4,Stock!$C$2:$C$41,FuelShares!$C4)/SUMIF(Stock!$C$2:$C$41,FuelShares!$A4,Stock!AG$2:AG$41)</f>
        <v>0</v>
      </c>
      <c r="AA4" s="3">
        <f>SUMIFS(Stock!AH$2:AH$41,Stock!$C$2:$C$41,FuelShares!$A4,Stock!$C$2:$C$41,FuelShares!$C4)/SUMIF(Stock!$C$2:$C$41,FuelShares!$A4,Stock!AH$2:AH$41)</f>
        <v>0</v>
      </c>
      <c r="AB4" s="3">
        <f>SUMIFS(Stock!AI$2:AI$41,Stock!$C$2:$C$41,FuelShares!$A4,Stock!$C$2:$C$41,FuelShares!$C4)/SUMIF(Stock!$C$2:$C$41,FuelShares!$A4,Stock!AI$2:AI$41)</f>
        <v>0</v>
      </c>
      <c r="AC4" s="3">
        <f>SUMIFS(Stock!AJ$2:AJ$41,Stock!$C$2:$C$41,FuelShares!$A4,Stock!$C$2:$C$41,FuelShares!$C4)/SUMIF(Stock!$C$2:$C$41,FuelShares!$A4,Stock!AJ$2:AJ$41)</f>
        <v>0</v>
      </c>
      <c r="AD4" s="3">
        <f>SUMIFS(Stock!AK$2:AK$41,Stock!$C$2:$C$41,FuelShares!$A4,Stock!$C$2:$C$41,FuelShares!$C4)/SUMIF(Stock!$C$2:$C$41,FuelShares!$A4,Stock!AK$2:AK$41)</f>
        <v>0</v>
      </c>
      <c r="AE4" s="3">
        <f>SUMIFS(Stock!AL$2:AL$41,Stock!$C$2:$C$41,FuelShares!$A4,Stock!$C$2:$C$41,FuelShares!$C4)/SUMIF(Stock!$C$2:$C$41,FuelShares!$A4,Stock!AL$2:AL$41)</f>
        <v>0</v>
      </c>
      <c r="AF4" s="3">
        <f>SUMIFS(Stock!AM$2:AM$41,Stock!$C$2:$C$41,FuelShares!$A4,Stock!$C$2:$C$41,FuelShares!$C4)/SUMIF(Stock!$C$2:$C$41,FuelShares!$A4,Stock!AM$2:AM$41)</f>
        <v>0.0427625695542432</v>
      </c>
      <c r="AG4" s="3">
        <f>SUMIFS(Stock!AN$2:AN$41,Stock!$C$2:$C$41,FuelShares!$A4,Stock!$C$2:$C$41,FuelShares!$C4)/SUMIF(Stock!$C$2:$C$41,FuelShares!$A4,Stock!AN$2:AN$41)</f>
        <v>0</v>
      </c>
      <c r="AH4" s="3">
        <f>SUMIFS(Stock!AO$2:AO$41,Stock!$C$2:$C$41,FuelShares!$A4,Stock!$C$2:$C$41,FuelShares!$C4)/SUMIF(Stock!$C$2:$C$41,FuelShares!$A4,Stock!AO$2:AO$41)</f>
        <v>0</v>
      </c>
      <c r="AI4" s="3">
        <f>SUMIFS(Stock!AP$2:AP$41,Stock!$C$2:$C$41,FuelShares!$A4,Stock!$C$2:$C$41,FuelShares!$C4)/SUMIF(Stock!$C$2:$C$41,FuelShares!$A4,Stock!AP$2:AP$41)</f>
        <v>0</v>
      </c>
      <c r="AJ4" s="3">
        <f>SUMIFS(Stock!AQ$2:AQ$41,Stock!$C$2:$C$41,FuelShares!$A4,Stock!$C$2:$C$41,FuelShares!$C4)/SUMIF(Stock!$C$2:$C$41,FuelShares!$A4,Stock!AQ$2:AQ$41)</f>
        <v>0</v>
      </c>
      <c r="AK4" s="3">
        <f>SUMIFS(Stock!AR$2:AR$41,Stock!$C$2:$C$41,FuelShares!$A4,Stock!$C$2:$C$41,FuelShares!$C4)/SUMIF(Stock!$C$2:$C$41,FuelShares!$A4,Stock!AR$2:AR$41)</f>
        <v>0.0084905910059093932</v>
      </c>
      <c r="AL4" s="3">
        <f>SUMIFS(Stock!AS$2:AS$41,Stock!$C$2:$C$41,FuelShares!$A4,Stock!$C$2:$C$41,FuelShares!$C4)/SUMIF(Stock!$C$2:$C$41,FuelShares!$A4,Stock!AS$2:AS$41)</f>
        <v>0.10575539568345324</v>
      </c>
      <c r="AM4" s="3">
        <f>SUMIFS(Stock!AT$2:AT$41,Stock!$C$2:$C$41,FuelShares!$A4,Stock!$C$2:$C$41,FuelShares!$C4)/SUMIF(Stock!$C$2:$C$41,FuelShares!$A4,Stock!AT$2:AT$41)</f>
        <v>0</v>
      </c>
      <c r="AN4" s="3">
        <f>SUMIFS(Stock!AU$2:AU$41,Stock!$C$2:$C$41,FuelShares!$A4,Stock!$C$2:$C$41,FuelShares!$C4)/SUMIF(Stock!$C$2:$C$41,FuelShares!$A4,Stock!AU$2:AU$41)</f>
        <v>0</v>
      </c>
      <c r="AO4" s="3">
        <f>SUMIFS(Stock!AV$2:AV$41,Stock!$C$2:$C$41,FuelShares!$A4,Stock!$C$2:$C$41,FuelShares!$C4)/SUMIF(Stock!$C$2:$C$41,FuelShares!$A4,Stock!AV$2:AV$41)</f>
        <v>0</v>
      </c>
    </row>
    <row r="5" spans="1:41" ht="13.2">
      <c r="A5" t="str">
        <f>LEFT(Stock!C3,7)&amp;"*"</f>
        <v>TRA_Bus*</v>
      </c>
      <c r="B5" t="str">
        <f>"*"&amp;RIGHT(Stock!C3,3)&amp;"*"</f>
        <v>*Urb*</v>
      </c>
      <c r="C5" t="str">
        <f>"*"&amp;MID(Stock!C3,9,3)&amp;"*"</f>
        <v>*Cng*</v>
      </c>
      <c r="E5" s="3">
        <f>SUMIFS(Stock!L$2:L$41,Stock!$C$2:$C$41,FuelShares!$A5,Stock!$C$2:$C$41,FuelShares!$C5)/SUMIF(Stock!$C$2:$C$41,FuelShares!$A5,Stock!L$2:L$41)</f>
        <v>0</v>
      </c>
      <c r="F5" s="3">
        <f>SUMIFS(Stock!M$2:M$41,Stock!$C$2:$C$41,FuelShares!$A5,Stock!$C$2:$C$41,FuelShares!$C5)/SUMIF(Stock!$C$2:$C$41,FuelShares!$A5,Stock!M$2:M$41)</f>
        <v>0</v>
      </c>
      <c r="G5" s="3">
        <f>SUMIFS(Stock!N$2:N$41,Stock!$C$2:$C$41,FuelShares!$A5,Stock!$C$2:$C$41,FuelShares!$C5)/SUMIF(Stock!$C$2:$C$41,FuelShares!$A5,Stock!N$2:N$41)</f>
        <v>0</v>
      </c>
      <c r="H5" s="3">
        <f>SUMIFS(Stock!O$2:O$41,Stock!$C$2:$C$41,FuelShares!$A5,Stock!$C$2:$C$41,FuelShares!$C5)/SUMIF(Stock!$C$2:$C$41,FuelShares!$A5,Stock!O$2:O$41)</f>
        <v>0</v>
      </c>
      <c r="I5" s="3">
        <f>SUMIFS(Stock!P$2:P$41,Stock!$C$2:$C$41,FuelShares!$A5,Stock!$C$2:$C$41,FuelShares!$C5)/SUMIF(Stock!$C$2:$C$41,FuelShares!$A5,Stock!P$2:P$41)</f>
        <v>0</v>
      </c>
      <c r="J5" s="3">
        <f>SUMIFS(Stock!Q$2:Q$41,Stock!$C$2:$C$41,FuelShares!$A5,Stock!$C$2:$C$41,FuelShares!$C5)/SUMIF(Stock!$C$2:$C$41,FuelShares!$A5,Stock!Q$2:Q$41)</f>
        <v>0.024423337856173677</v>
      </c>
      <c r="K5" s="3">
        <f>SUMIFS(Stock!R$2:R$41,Stock!$C$2:$C$41,FuelShares!$A5,Stock!$C$2:$C$41,FuelShares!$C5)/SUMIF(Stock!$C$2:$C$41,FuelShares!$A5,Stock!R$2:R$41)</f>
        <v>0</v>
      </c>
      <c r="L5" s="3">
        <f>SUMIFS(Stock!S$2:S$41,Stock!$C$2:$C$41,FuelShares!$A5,Stock!$C$2:$C$41,FuelShares!$C5)/SUMIF(Stock!$C$2:$C$41,FuelShares!$A5,Stock!S$2:S$41)</f>
        <v>0</v>
      </c>
      <c r="M5" s="3">
        <f>SUMIFS(Stock!T$2:T$41,Stock!$C$2:$C$41,FuelShares!$A5,Stock!$C$2:$C$41,FuelShares!$C5)/SUMIF(Stock!$C$2:$C$41,FuelShares!$A5,Stock!T$2:T$41)</f>
        <v>0.020203354020863595</v>
      </c>
      <c r="N5" s="3">
        <f>SUMIFS(Stock!U$2:U$41,Stock!$C$2:$C$41,FuelShares!$A5,Stock!$C$2:$C$41,FuelShares!$C5)/SUMIF(Stock!$C$2:$C$41,FuelShares!$A5,Stock!U$2:U$41)</f>
        <v>0</v>
      </c>
      <c r="O5" s="3">
        <f>SUMIFS(Stock!V$2:V$41,Stock!$C$2:$C$41,FuelShares!$A5,Stock!$C$2:$C$41,FuelShares!$C5)/SUMIF(Stock!$C$2:$C$41,FuelShares!$A5,Stock!V$2:V$41)</f>
        <v>0</v>
      </c>
      <c r="P5" s="3">
        <f>SUMIFS(Stock!W$2:W$41,Stock!$C$2:$C$41,FuelShares!$A5,Stock!$C$2:$C$41,FuelShares!$C5)/SUMIF(Stock!$C$2:$C$41,FuelShares!$A5,Stock!W$2:W$41)</f>
        <v>0</v>
      </c>
      <c r="Q5" s="3">
        <f>SUMIFS(Stock!X$2:X$41,Stock!$C$2:$C$41,FuelShares!$A5,Stock!$C$2:$C$41,FuelShares!$C5)/SUMIF(Stock!$C$2:$C$41,FuelShares!$A5,Stock!X$2:X$41)</f>
        <v>0</v>
      </c>
      <c r="R5" s="3">
        <f>SUMIFS(Stock!Y$2:Y$41,Stock!$C$2:$C$41,FuelShares!$A5,Stock!$C$2:$C$41,FuelShares!$C5)/SUMIF(Stock!$C$2:$C$41,FuelShares!$A5,Stock!Y$2:Y$41)</f>
        <v>0</v>
      </c>
      <c r="S5" s="3">
        <f>SUMIFS(Stock!Z$2:Z$41,Stock!$C$2:$C$41,FuelShares!$A5,Stock!$C$2:$C$41,FuelShares!$C5)/SUMIF(Stock!$C$2:$C$41,FuelShares!$A5,Stock!Z$2:Z$41)</f>
        <v>0</v>
      </c>
      <c r="T5" s="3">
        <f>SUMIFS(Stock!AA$2:AA$41,Stock!$C$2:$C$41,FuelShares!$A5,Stock!$C$2:$C$41,FuelShares!$C5)/SUMIF(Stock!$C$2:$C$41,FuelShares!$A5,Stock!AA$2:AA$41)</f>
        <v>0.012219959266802444</v>
      </c>
      <c r="U5" s="3">
        <f>SUMIFS(Stock!AB$2:AB$41,Stock!$C$2:$C$41,FuelShares!$A5,Stock!$C$2:$C$41,FuelShares!$C5)/SUMIF(Stock!$C$2:$C$41,FuelShares!$A5,Stock!AB$2:AB$41)</f>
        <v>0</v>
      </c>
      <c r="V5" s="3">
        <f>SUMIFS(Stock!AC$2:AC$41,Stock!$C$2:$C$41,FuelShares!$A5,Stock!$C$2:$C$41,FuelShares!$C5)/SUMIF(Stock!$C$2:$C$41,FuelShares!$A5,Stock!AC$2:AC$41)</f>
        <v>0</v>
      </c>
      <c r="W5" s="3">
        <f>SUMIFS(Stock!AD$2:AD$41,Stock!$C$2:$C$41,FuelShares!$A5,Stock!$C$2:$C$41,FuelShares!$C5)/SUMIF(Stock!$C$2:$C$41,FuelShares!$A5,Stock!AD$2:AD$41)</f>
        <v>0</v>
      </c>
      <c r="X5" s="3">
        <f>SUMIFS(Stock!AE$2:AE$41,Stock!$C$2:$C$41,FuelShares!$A5,Stock!$C$2:$C$41,FuelShares!$C5)/SUMIF(Stock!$C$2:$C$41,FuelShares!$A5,Stock!AE$2:AE$41)</f>
        <v>0.036507610037021805</v>
      </c>
      <c r="Y5" s="3">
        <f>SUMIFS(Stock!AF$2:AF$41,Stock!$C$2:$C$41,FuelShares!$A5,Stock!$C$2:$C$41,FuelShares!$C5)/SUMIF(Stock!$C$2:$C$41,FuelShares!$A5,Stock!AF$2:AF$41)</f>
        <v>0</v>
      </c>
      <c r="Z5" s="3">
        <f>SUMIFS(Stock!AG$2:AG$41,Stock!$C$2:$C$41,FuelShares!$A5,Stock!$C$2:$C$41,FuelShares!$C5)/SUMIF(Stock!$C$2:$C$41,FuelShares!$A5,Stock!AG$2:AG$41)</f>
        <v>0</v>
      </c>
      <c r="AA5" s="3">
        <f>SUMIFS(Stock!AH$2:AH$41,Stock!$C$2:$C$41,FuelShares!$A5,Stock!$C$2:$C$41,FuelShares!$C5)/SUMIF(Stock!$C$2:$C$41,FuelShares!$A5,Stock!AH$2:AH$41)</f>
        <v>0</v>
      </c>
      <c r="AB5" s="3">
        <f>SUMIFS(Stock!AI$2:AI$41,Stock!$C$2:$C$41,FuelShares!$A5,Stock!$C$2:$C$41,FuelShares!$C5)/SUMIF(Stock!$C$2:$C$41,FuelShares!$A5,Stock!AI$2:AI$41)</f>
        <v>0</v>
      </c>
      <c r="AC5" s="3">
        <f>SUMIFS(Stock!AJ$2:AJ$41,Stock!$C$2:$C$41,FuelShares!$A5,Stock!$C$2:$C$41,FuelShares!$C5)/SUMIF(Stock!$C$2:$C$41,FuelShares!$A5,Stock!AJ$2:AJ$41)</f>
        <v>0</v>
      </c>
      <c r="AD5" s="3">
        <f>SUMIFS(Stock!AK$2:AK$41,Stock!$C$2:$C$41,FuelShares!$A5,Stock!$C$2:$C$41,FuelShares!$C5)/SUMIF(Stock!$C$2:$C$41,FuelShares!$A5,Stock!AK$2:AK$41)</f>
        <v>0</v>
      </c>
      <c r="AE5" s="3">
        <f>SUMIFS(Stock!AL$2:AL$41,Stock!$C$2:$C$41,FuelShares!$A5,Stock!$C$2:$C$41,FuelShares!$C5)/SUMIF(Stock!$C$2:$C$41,FuelShares!$A5,Stock!AL$2:AL$41)</f>
        <v>0</v>
      </c>
      <c r="AF5" s="3">
        <f>SUMIFS(Stock!AM$2:AM$41,Stock!$C$2:$C$41,FuelShares!$A5,Stock!$C$2:$C$41,FuelShares!$C5)/SUMIF(Stock!$C$2:$C$41,FuelShares!$A5,Stock!AM$2:AM$41)</f>
        <v>0.0427625695542432</v>
      </c>
      <c r="AG5" s="3">
        <f>SUMIFS(Stock!AN$2:AN$41,Stock!$C$2:$C$41,FuelShares!$A5,Stock!$C$2:$C$41,FuelShares!$C5)/SUMIF(Stock!$C$2:$C$41,FuelShares!$A5,Stock!AN$2:AN$41)</f>
        <v>0</v>
      </c>
      <c r="AH5" s="3">
        <f>SUMIFS(Stock!AO$2:AO$41,Stock!$C$2:$C$41,FuelShares!$A5,Stock!$C$2:$C$41,FuelShares!$C5)/SUMIF(Stock!$C$2:$C$41,FuelShares!$A5,Stock!AO$2:AO$41)</f>
        <v>0</v>
      </c>
      <c r="AI5" s="3">
        <f>SUMIFS(Stock!AP$2:AP$41,Stock!$C$2:$C$41,FuelShares!$A5,Stock!$C$2:$C$41,FuelShares!$C5)/SUMIF(Stock!$C$2:$C$41,FuelShares!$A5,Stock!AP$2:AP$41)</f>
        <v>0</v>
      </c>
      <c r="AJ5" s="3">
        <f>SUMIFS(Stock!AQ$2:AQ$41,Stock!$C$2:$C$41,FuelShares!$A5,Stock!$C$2:$C$41,FuelShares!$C5)/SUMIF(Stock!$C$2:$C$41,FuelShares!$A5,Stock!AQ$2:AQ$41)</f>
        <v>0</v>
      </c>
      <c r="AK5" s="3">
        <f>SUMIFS(Stock!AR$2:AR$41,Stock!$C$2:$C$41,FuelShares!$A5,Stock!$C$2:$C$41,FuelShares!$C5)/SUMIF(Stock!$C$2:$C$41,FuelShares!$A5,Stock!AR$2:AR$41)</f>
        <v>0.0084905910059093932</v>
      </c>
      <c r="AL5" s="3">
        <f>SUMIFS(Stock!AS$2:AS$41,Stock!$C$2:$C$41,FuelShares!$A5,Stock!$C$2:$C$41,FuelShares!$C5)/SUMIF(Stock!$C$2:$C$41,FuelShares!$A5,Stock!AS$2:AS$41)</f>
        <v>0.10575539568345324</v>
      </c>
      <c r="AM5" s="3">
        <f>SUMIFS(Stock!AT$2:AT$41,Stock!$C$2:$C$41,FuelShares!$A5,Stock!$C$2:$C$41,FuelShares!$C5)/SUMIF(Stock!$C$2:$C$41,FuelShares!$A5,Stock!AT$2:AT$41)</f>
        <v>0</v>
      </c>
      <c r="AN5" s="3">
        <f>SUMIFS(Stock!AU$2:AU$41,Stock!$C$2:$C$41,FuelShares!$A5,Stock!$C$2:$C$41,FuelShares!$C5)/SUMIF(Stock!$C$2:$C$41,FuelShares!$A5,Stock!AU$2:AU$41)</f>
        <v>0</v>
      </c>
      <c r="AO5" s="3">
        <f>SUMIFS(Stock!AV$2:AV$41,Stock!$C$2:$C$41,FuelShares!$A5,Stock!$C$2:$C$41,FuelShares!$C5)/SUMIF(Stock!$C$2:$C$41,FuelShares!$A5,Stock!AV$2:AV$41)</f>
        <v>0</v>
      </c>
    </row>
    <row r="6" spans="1:41" ht="13.2">
      <c r="A6" t="str">
        <f>LEFT(Stock!C4,7)&amp;"*"</f>
        <v>TRA_Bus*</v>
      </c>
      <c r="B6" t="str">
        <f>"*"&amp;RIGHT(Stock!C4,3)&amp;"*"</f>
        <v>*Coa*</v>
      </c>
      <c r="C6" t="str">
        <f>"*"&amp;MID(Stock!C4,9,3)&amp;"*"</f>
        <v>*Dis*</v>
      </c>
      <c r="E6" s="3">
        <f>SUMIFS(Stock!L$2:L$41,Stock!$C$2:$C$41,FuelShares!$A6,Stock!$C$2:$C$41,FuelShares!$C6)/SUMIF(Stock!$C$2:$C$41,FuelShares!$A6,Stock!L$2:L$41)</f>
        <v>1</v>
      </c>
      <c r="F6" s="3">
        <f>SUMIFS(Stock!M$2:M$41,Stock!$C$2:$C$41,FuelShares!$A6,Stock!$C$2:$C$41,FuelShares!$C6)/SUMIF(Stock!$C$2:$C$41,FuelShares!$A6,Stock!M$2:M$41)</f>
        <v>1</v>
      </c>
      <c r="G6" s="3">
        <f>SUMIFS(Stock!N$2:N$41,Stock!$C$2:$C$41,FuelShares!$A6,Stock!$C$2:$C$41,FuelShares!$C6)/SUMIF(Stock!$C$2:$C$41,FuelShares!$A6,Stock!N$2:N$41)</f>
        <v>1</v>
      </c>
      <c r="H6" s="3">
        <f>SUMIFS(Stock!O$2:O$41,Stock!$C$2:$C$41,FuelShares!$A6,Stock!$C$2:$C$41,FuelShares!$C6)/SUMIF(Stock!$C$2:$C$41,FuelShares!$A6,Stock!O$2:O$41)</f>
        <v>1</v>
      </c>
      <c r="I6" s="3">
        <f>SUMIFS(Stock!P$2:P$41,Stock!$C$2:$C$41,FuelShares!$A6,Stock!$C$2:$C$41,FuelShares!$C6)/SUMIF(Stock!$C$2:$C$41,FuelShares!$A6,Stock!P$2:P$41)</f>
        <v>1</v>
      </c>
      <c r="J6" s="3">
        <f>SUMIFS(Stock!Q$2:Q$41,Stock!$C$2:$C$41,FuelShares!$A6,Stock!$C$2:$C$41,FuelShares!$C6)/SUMIF(Stock!$C$2:$C$41,FuelShares!$A6,Stock!Q$2:Q$41)</f>
        <v>0.97557666214382621</v>
      </c>
      <c r="K6" s="3">
        <f>SUMIFS(Stock!R$2:R$41,Stock!$C$2:$C$41,FuelShares!$A6,Stock!$C$2:$C$41,FuelShares!$C6)/SUMIF(Stock!$C$2:$C$41,FuelShares!$A6,Stock!R$2:R$41)</f>
        <v>1</v>
      </c>
      <c r="L6" s="3">
        <f>SUMIFS(Stock!S$2:S$41,Stock!$C$2:$C$41,FuelShares!$A6,Stock!$C$2:$C$41,FuelShares!$C6)/SUMIF(Stock!$C$2:$C$41,FuelShares!$A6,Stock!S$2:S$41)</f>
        <v>0.89669211195928766</v>
      </c>
      <c r="M6" s="3">
        <f>SUMIFS(Stock!T$2:T$41,Stock!$C$2:$C$41,FuelShares!$A6,Stock!$C$2:$C$41,FuelShares!$C6)/SUMIF(Stock!$C$2:$C$41,FuelShares!$A6,Stock!T$2:T$41)</f>
        <v>0.9797966459791364</v>
      </c>
      <c r="N6" s="3">
        <f>SUMIFS(Stock!U$2:U$41,Stock!$C$2:$C$41,FuelShares!$A6,Stock!$C$2:$C$41,FuelShares!$C6)/SUMIF(Stock!$C$2:$C$41,FuelShares!$A6,Stock!U$2:U$41)</f>
        <v>0.92729766803840874</v>
      </c>
      <c r="O6" s="3">
        <f>SUMIFS(Stock!V$2:V$41,Stock!$C$2:$C$41,FuelShares!$A6,Stock!$C$2:$C$41,FuelShares!$C6)/SUMIF(Stock!$C$2:$C$41,FuelShares!$A6,Stock!V$2:V$41)</f>
        <v>1</v>
      </c>
      <c r="P6" s="3">
        <f>SUMIFS(Stock!W$2:W$41,Stock!$C$2:$C$41,FuelShares!$A6,Stock!$C$2:$C$41,FuelShares!$C6)/SUMIF(Stock!$C$2:$C$41,FuelShares!$A6,Stock!W$2:W$41)</f>
        <v>1</v>
      </c>
      <c r="Q6" s="3">
        <f>SUMIFS(Stock!X$2:X$41,Stock!$C$2:$C$41,FuelShares!$A6,Stock!$C$2:$C$41,FuelShares!$C6)/SUMIF(Stock!$C$2:$C$41,FuelShares!$A6,Stock!X$2:X$41)</f>
        <v>1</v>
      </c>
      <c r="R6" s="3">
        <f>SUMIFS(Stock!Y$2:Y$41,Stock!$C$2:$C$41,FuelShares!$A6,Stock!$C$2:$C$41,FuelShares!$C6)/SUMIF(Stock!$C$2:$C$41,FuelShares!$A6,Stock!Y$2:Y$41)</f>
        <v>1</v>
      </c>
      <c r="S6" s="3">
        <f>SUMIFS(Stock!Z$2:Z$41,Stock!$C$2:$C$41,FuelShares!$A6,Stock!$C$2:$C$41,FuelShares!$C6)/SUMIF(Stock!$C$2:$C$41,FuelShares!$A6,Stock!Z$2:Z$41)</f>
        <v>1</v>
      </c>
      <c r="T6" s="3">
        <f>SUMIFS(Stock!AA$2:AA$41,Stock!$C$2:$C$41,FuelShares!$A6,Stock!$C$2:$C$41,FuelShares!$C6)/SUMIF(Stock!$C$2:$C$41,FuelShares!$A6,Stock!AA$2:AA$41)</f>
        <v>0.98778004073319747</v>
      </c>
      <c r="U6" s="3">
        <f>SUMIFS(Stock!AB$2:AB$41,Stock!$C$2:$C$41,FuelShares!$A6,Stock!$C$2:$C$41,FuelShares!$C6)/SUMIF(Stock!$C$2:$C$41,FuelShares!$A6,Stock!AB$2:AB$41)</f>
        <v>1</v>
      </c>
      <c r="V6" s="3">
        <f>SUMIFS(Stock!AC$2:AC$41,Stock!$C$2:$C$41,FuelShares!$A6,Stock!$C$2:$C$41,FuelShares!$C6)/SUMIF(Stock!$C$2:$C$41,FuelShares!$A6,Stock!AC$2:AC$41)</f>
        <v>1</v>
      </c>
      <c r="W6" s="3">
        <f>SUMIFS(Stock!AD$2:AD$41,Stock!$C$2:$C$41,FuelShares!$A6,Stock!$C$2:$C$41,FuelShares!$C6)/SUMIF(Stock!$C$2:$C$41,FuelShares!$A6,Stock!AD$2:AD$41)</f>
        <v>0.93684210526315792</v>
      </c>
      <c r="X6" s="3">
        <f>SUMIFS(Stock!AE$2:AE$41,Stock!$C$2:$C$41,FuelShares!$A6,Stock!$C$2:$C$41,FuelShares!$C6)/SUMIF(Stock!$C$2:$C$41,FuelShares!$A6,Stock!AE$2:AE$41)</f>
        <v>0.96349238996297826</v>
      </c>
      <c r="Y6" s="3">
        <f>SUMIFS(Stock!AF$2:AF$41,Stock!$C$2:$C$41,FuelShares!$A6,Stock!$C$2:$C$41,FuelShares!$C6)/SUMIF(Stock!$C$2:$C$41,FuelShares!$A6,Stock!AF$2:AF$41)</f>
        <v>1</v>
      </c>
      <c r="Z6" s="3">
        <f>SUMIFS(Stock!AG$2:AG$41,Stock!$C$2:$C$41,FuelShares!$A6,Stock!$C$2:$C$41,FuelShares!$C6)/SUMIF(Stock!$C$2:$C$41,FuelShares!$A6,Stock!AG$2:AG$41)</f>
        <v>1</v>
      </c>
      <c r="AA6" s="3">
        <f>SUMIFS(Stock!AH$2:AH$41,Stock!$C$2:$C$41,FuelShares!$A6,Stock!$C$2:$C$41,FuelShares!$C6)/SUMIF(Stock!$C$2:$C$41,FuelShares!$A6,Stock!AH$2:AH$41)</f>
        <v>1</v>
      </c>
      <c r="AB6" s="3">
        <f>SUMIFS(Stock!AI$2:AI$41,Stock!$C$2:$C$41,FuelShares!$A6,Stock!$C$2:$C$41,FuelShares!$C6)/SUMIF(Stock!$C$2:$C$41,FuelShares!$A6,Stock!AI$2:AI$41)</f>
        <v>0.99639189566890529</v>
      </c>
      <c r="AC6" s="3">
        <f>SUMIFS(Stock!AJ$2:AJ$41,Stock!$C$2:$C$41,FuelShares!$A6,Stock!$C$2:$C$41,FuelShares!$C6)/SUMIF(Stock!$C$2:$C$41,FuelShares!$A6,Stock!AJ$2:AJ$41)</f>
        <v>1</v>
      </c>
      <c r="AD6" s="3">
        <f>SUMIFS(Stock!AK$2:AK$41,Stock!$C$2:$C$41,FuelShares!$A6,Stock!$C$2:$C$41,FuelShares!$C6)/SUMIF(Stock!$C$2:$C$41,FuelShares!$A6,Stock!AK$2:AK$41)</f>
        <v>0.83703703703703702</v>
      </c>
      <c r="AE6" s="3">
        <f>SUMIFS(Stock!AL$2:AL$41,Stock!$C$2:$C$41,FuelShares!$A6,Stock!$C$2:$C$41,FuelShares!$C6)/SUMIF(Stock!$C$2:$C$41,FuelShares!$A6,Stock!AL$2:AL$41)</f>
        <v>1</v>
      </c>
      <c r="AF6" s="3">
        <f>SUMIFS(Stock!AM$2:AM$41,Stock!$C$2:$C$41,FuelShares!$A6,Stock!$C$2:$C$41,FuelShares!$C6)/SUMIF(Stock!$C$2:$C$41,FuelShares!$A6,Stock!AM$2:AM$41)</f>
        <v>0.94739667181500598</v>
      </c>
      <c r="AG6" s="3">
        <f>SUMIFS(Stock!AN$2:AN$41,Stock!$C$2:$C$41,FuelShares!$A6,Stock!$C$2:$C$41,FuelShares!$C6)/SUMIF(Stock!$C$2:$C$41,FuelShares!$A6,Stock!AN$2:AN$41)</f>
        <v>1</v>
      </c>
      <c r="AH6" s="3">
        <f>SUMIFS(Stock!AO$2:AO$41,Stock!$C$2:$C$41,FuelShares!$A6,Stock!$C$2:$C$41,FuelShares!$C6)/SUMIF(Stock!$C$2:$C$41,FuelShares!$A6,Stock!AO$2:AO$41)</f>
        <v>0.94692910140148401</v>
      </c>
      <c r="AI6" s="3">
        <f>SUMIFS(Stock!AP$2:AP$41,Stock!$C$2:$C$41,FuelShares!$A6,Stock!$C$2:$C$41,FuelShares!$C6)/SUMIF(Stock!$C$2:$C$41,FuelShares!$A6,Stock!AP$2:AP$41)</f>
        <v>0.99941668287052587</v>
      </c>
      <c r="AJ6" s="3">
        <f>SUMIFS(Stock!AQ$2:AQ$41,Stock!$C$2:$C$41,FuelShares!$A6,Stock!$C$2:$C$41,FuelShares!$C6)/SUMIF(Stock!$C$2:$C$41,FuelShares!$A6,Stock!AQ$2:AQ$41)</f>
        <v>1</v>
      </c>
      <c r="AK6" s="3">
        <f>SUMIFS(Stock!AR$2:AR$41,Stock!$C$2:$C$41,FuelShares!$A6,Stock!$C$2:$C$41,FuelShares!$C6)/SUMIF(Stock!$C$2:$C$41,FuelShares!$A6,Stock!AR$2:AR$41)</f>
        <v>0.99150940899409046</v>
      </c>
      <c r="AL6" s="3">
        <f>SUMIFS(Stock!AS$2:AS$41,Stock!$C$2:$C$41,FuelShares!$A6,Stock!$C$2:$C$41,FuelShares!$C6)/SUMIF(Stock!$C$2:$C$41,FuelShares!$A6,Stock!AS$2:AS$41)</f>
        <v>0.89424460431654684</v>
      </c>
      <c r="AM6" s="3">
        <f>SUMIFS(Stock!AT$2:AT$41,Stock!$C$2:$C$41,FuelShares!$A6,Stock!$C$2:$C$41,FuelShares!$C6)/SUMIF(Stock!$C$2:$C$41,FuelShares!$A6,Stock!AT$2:AT$41)</f>
        <v>1</v>
      </c>
      <c r="AN6" s="3">
        <f>SUMIFS(Stock!AU$2:AU$41,Stock!$C$2:$C$41,FuelShares!$A6,Stock!$C$2:$C$41,FuelShares!$C6)/SUMIF(Stock!$C$2:$C$41,FuelShares!$A6,Stock!AU$2:AU$41)</f>
        <v>1</v>
      </c>
      <c r="AO6" s="3">
        <f>SUMIFS(Stock!AV$2:AV$41,Stock!$C$2:$C$41,FuelShares!$A6,Stock!$C$2:$C$41,FuelShares!$C6)/SUMIF(Stock!$C$2:$C$41,FuelShares!$A6,Stock!AV$2:AV$41)</f>
        <v>0.95990883057682197</v>
      </c>
    </row>
    <row r="7" spans="1:41" ht="13.2">
      <c r="A7" t="str">
        <f>LEFT(Stock!C5,7)&amp;"*"</f>
        <v>TRA_Bus*</v>
      </c>
      <c r="B7" t="str">
        <f>"*"&amp;RIGHT(Stock!C5,3)&amp;"*"</f>
        <v>*Urb*</v>
      </c>
      <c r="C7" t="str">
        <f>"*"&amp;MID(Stock!C5,9,3)&amp;"*"</f>
        <v>*Dis*</v>
      </c>
      <c r="E7" s="3">
        <f>SUMIFS(Stock!L$2:L$41,Stock!$C$2:$C$41,FuelShares!$A7,Stock!$C$2:$C$41,FuelShares!$C7)/SUMIF(Stock!$C$2:$C$41,FuelShares!$A7,Stock!L$2:L$41)</f>
        <v>1</v>
      </c>
      <c r="F7" s="3">
        <f>SUMIFS(Stock!M$2:M$41,Stock!$C$2:$C$41,FuelShares!$A7,Stock!$C$2:$C$41,FuelShares!$C7)/SUMIF(Stock!$C$2:$C$41,FuelShares!$A7,Stock!M$2:M$41)</f>
        <v>1</v>
      </c>
      <c r="G7" s="3">
        <f>SUMIFS(Stock!N$2:N$41,Stock!$C$2:$C$41,FuelShares!$A7,Stock!$C$2:$C$41,FuelShares!$C7)/SUMIF(Stock!$C$2:$C$41,FuelShares!$A7,Stock!N$2:N$41)</f>
        <v>1</v>
      </c>
      <c r="H7" s="3">
        <f>SUMIFS(Stock!O$2:O$41,Stock!$C$2:$C$41,FuelShares!$A7,Stock!$C$2:$C$41,FuelShares!$C7)/SUMIF(Stock!$C$2:$C$41,FuelShares!$A7,Stock!O$2:O$41)</f>
        <v>1</v>
      </c>
      <c r="I7" s="3">
        <f>SUMIFS(Stock!P$2:P$41,Stock!$C$2:$C$41,FuelShares!$A7,Stock!$C$2:$C$41,FuelShares!$C7)/SUMIF(Stock!$C$2:$C$41,FuelShares!$A7,Stock!P$2:P$41)</f>
        <v>1</v>
      </c>
      <c r="J7" s="3">
        <f>SUMIFS(Stock!Q$2:Q$41,Stock!$C$2:$C$41,FuelShares!$A7,Stock!$C$2:$C$41,FuelShares!$C7)/SUMIF(Stock!$C$2:$C$41,FuelShares!$A7,Stock!Q$2:Q$41)</f>
        <v>0.97557666214382621</v>
      </c>
      <c r="K7" s="3">
        <f>SUMIFS(Stock!R$2:R$41,Stock!$C$2:$C$41,FuelShares!$A7,Stock!$C$2:$C$41,FuelShares!$C7)/SUMIF(Stock!$C$2:$C$41,FuelShares!$A7,Stock!R$2:R$41)</f>
        <v>1</v>
      </c>
      <c r="L7" s="3">
        <f>SUMIFS(Stock!S$2:S$41,Stock!$C$2:$C$41,FuelShares!$A7,Stock!$C$2:$C$41,FuelShares!$C7)/SUMIF(Stock!$C$2:$C$41,FuelShares!$A7,Stock!S$2:S$41)</f>
        <v>0.89669211195928766</v>
      </c>
      <c r="M7" s="3">
        <f>SUMIFS(Stock!T$2:T$41,Stock!$C$2:$C$41,FuelShares!$A7,Stock!$C$2:$C$41,FuelShares!$C7)/SUMIF(Stock!$C$2:$C$41,FuelShares!$A7,Stock!T$2:T$41)</f>
        <v>0.9797966459791364</v>
      </c>
      <c r="N7" s="3">
        <f>SUMIFS(Stock!U$2:U$41,Stock!$C$2:$C$41,FuelShares!$A7,Stock!$C$2:$C$41,FuelShares!$C7)/SUMIF(Stock!$C$2:$C$41,FuelShares!$A7,Stock!U$2:U$41)</f>
        <v>0.92729766803840874</v>
      </c>
      <c r="O7" s="3">
        <f>SUMIFS(Stock!V$2:V$41,Stock!$C$2:$C$41,FuelShares!$A7,Stock!$C$2:$C$41,FuelShares!$C7)/SUMIF(Stock!$C$2:$C$41,FuelShares!$A7,Stock!V$2:V$41)</f>
        <v>1</v>
      </c>
      <c r="P7" s="3">
        <f>SUMIFS(Stock!W$2:W$41,Stock!$C$2:$C$41,FuelShares!$A7,Stock!$C$2:$C$41,FuelShares!$C7)/SUMIF(Stock!$C$2:$C$41,FuelShares!$A7,Stock!W$2:W$41)</f>
        <v>1</v>
      </c>
      <c r="Q7" s="3">
        <f>SUMIFS(Stock!X$2:X$41,Stock!$C$2:$C$41,FuelShares!$A7,Stock!$C$2:$C$41,FuelShares!$C7)/SUMIF(Stock!$C$2:$C$41,FuelShares!$A7,Stock!X$2:X$41)</f>
        <v>1</v>
      </c>
      <c r="R7" s="3">
        <f>SUMIFS(Stock!Y$2:Y$41,Stock!$C$2:$C$41,FuelShares!$A7,Stock!$C$2:$C$41,FuelShares!$C7)/SUMIF(Stock!$C$2:$C$41,FuelShares!$A7,Stock!Y$2:Y$41)</f>
        <v>1</v>
      </c>
      <c r="S7" s="3">
        <f>SUMIFS(Stock!Z$2:Z$41,Stock!$C$2:$C$41,FuelShares!$A7,Stock!$C$2:$C$41,FuelShares!$C7)/SUMIF(Stock!$C$2:$C$41,FuelShares!$A7,Stock!Z$2:Z$41)</f>
        <v>1</v>
      </c>
      <c r="T7" s="3">
        <f>SUMIFS(Stock!AA$2:AA$41,Stock!$C$2:$C$41,FuelShares!$A7,Stock!$C$2:$C$41,FuelShares!$C7)/SUMIF(Stock!$C$2:$C$41,FuelShares!$A7,Stock!AA$2:AA$41)</f>
        <v>0.98778004073319747</v>
      </c>
      <c r="U7" s="3">
        <f>SUMIFS(Stock!AB$2:AB$41,Stock!$C$2:$C$41,FuelShares!$A7,Stock!$C$2:$C$41,FuelShares!$C7)/SUMIF(Stock!$C$2:$C$41,FuelShares!$A7,Stock!AB$2:AB$41)</f>
        <v>1</v>
      </c>
      <c r="V7" s="3">
        <f>SUMIFS(Stock!AC$2:AC$41,Stock!$C$2:$C$41,FuelShares!$A7,Stock!$C$2:$C$41,FuelShares!$C7)/SUMIF(Stock!$C$2:$C$41,FuelShares!$A7,Stock!AC$2:AC$41)</f>
        <v>1</v>
      </c>
      <c r="W7" s="3">
        <f>SUMIFS(Stock!AD$2:AD$41,Stock!$C$2:$C$41,FuelShares!$A7,Stock!$C$2:$C$41,FuelShares!$C7)/SUMIF(Stock!$C$2:$C$41,FuelShares!$A7,Stock!AD$2:AD$41)</f>
        <v>0.93684210526315792</v>
      </c>
      <c r="X7" s="3">
        <f>SUMIFS(Stock!AE$2:AE$41,Stock!$C$2:$C$41,FuelShares!$A7,Stock!$C$2:$C$41,FuelShares!$C7)/SUMIF(Stock!$C$2:$C$41,FuelShares!$A7,Stock!AE$2:AE$41)</f>
        <v>0.96349238996297826</v>
      </c>
      <c r="Y7" s="3">
        <f>SUMIFS(Stock!AF$2:AF$41,Stock!$C$2:$C$41,FuelShares!$A7,Stock!$C$2:$C$41,FuelShares!$C7)/SUMIF(Stock!$C$2:$C$41,FuelShares!$A7,Stock!AF$2:AF$41)</f>
        <v>1</v>
      </c>
      <c r="Z7" s="3">
        <f>SUMIFS(Stock!AG$2:AG$41,Stock!$C$2:$C$41,FuelShares!$A7,Stock!$C$2:$C$41,FuelShares!$C7)/SUMIF(Stock!$C$2:$C$41,FuelShares!$A7,Stock!AG$2:AG$41)</f>
        <v>1</v>
      </c>
      <c r="AA7" s="3">
        <f>SUMIFS(Stock!AH$2:AH$41,Stock!$C$2:$C$41,FuelShares!$A7,Stock!$C$2:$C$41,FuelShares!$C7)/SUMIF(Stock!$C$2:$C$41,FuelShares!$A7,Stock!AH$2:AH$41)</f>
        <v>1</v>
      </c>
      <c r="AB7" s="3">
        <f>SUMIFS(Stock!AI$2:AI$41,Stock!$C$2:$C$41,FuelShares!$A7,Stock!$C$2:$C$41,FuelShares!$C7)/SUMIF(Stock!$C$2:$C$41,FuelShares!$A7,Stock!AI$2:AI$41)</f>
        <v>0.99639189566890529</v>
      </c>
      <c r="AC7" s="3">
        <f>SUMIFS(Stock!AJ$2:AJ$41,Stock!$C$2:$C$41,FuelShares!$A7,Stock!$C$2:$C$41,FuelShares!$C7)/SUMIF(Stock!$C$2:$C$41,FuelShares!$A7,Stock!AJ$2:AJ$41)</f>
        <v>1</v>
      </c>
      <c r="AD7" s="3">
        <f>SUMIFS(Stock!AK$2:AK$41,Stock!$C$2:$C$41,FuelShares!$A7,Stock!$C$2:$C$41,FuelShares!$C7)/SUMIF(Stock!$C$2:$C$41,FuelShares!$A7,Stock!AK$2:AK$41)</f>
        <v>0.83703703703703702</v>
      </c>
      <c r="AE7" s="3">
        <f>SUMIFS(Stock!AL$2:AL$41,Stock!$C$2:$C$41,FuelShares!$A7,Stock!$C$2:$C$41,FuelShares!$C7)/SUMIF(Stock!$C$2:$C$41,FuelShares!$A7,Stock!AL$2:AL$41)</f>
        <v>1</v>
      </c>
      <c r="AF7" s="3">
        <f>SUMIFS(Stock!AM$2:AM$41,Stock!$C$2:$C$41,FuelShares!$A7,Stock!$C$2:$C$41,FuelShares!$C7)/SUMIF(Stock!$C$2:$C$41,FuelShares!$A7,Stock!AM$2:AM$41)</f>
        <v>0.94739667181500598</v>
      </c>
      <c r="AG7" s="3">
        <f>SUMIFS(Stock!AN$2:AN$41,Stock!$C$2:$C$41,FuelShares!$A7,Stock!$C$2:$C$41,FuelShares!$C7)/SUMIF(Stock!$C$2:$C$41,FuelShares!$A7,Stock!AN$2:AN$41)</f>
        <v>1</v>
      </c>
      <c r="AH7" s="3">
        <f>SUMIFS(Stock!AO$2:AO$41,Stock!$C$2:$C$41,FuelShares!$A7,Stock!$C$2:$C$41,FuelShares!$C7)/SUMIF(Stock!$C$2:$C$41,FuelShares!$A7,Stock!AO$2:AO$41)</f>
        <v>0.94692910140148401</v>
      </c>
      <c r="AI7" s="3">
        <f>SUMIFS(Stock!AP$2:AP$41,Stock!$C$2:$C$41,FuelShares!$A7,Stock!$C$2:$C$41,FuelShares!$C7)/SUMIF(Stock!$C$2:$C$41,FuelShares!$A7,Stock!AP$2:AP$41)</f>
        <v>0.99941668287052587</v>
      </c>
      <c r="AJ7" s="3">
        <f>SUMIFS(Stock!AQ$2:AQ$41,Stock!$C$2:$C$41,FuelShares!$A7,Stock!$C$2:$C$41,FuelShares!$C7)/SUMIF(Stock!$C$2:$C$41,FuelShares!$A7,Stock!AQ$2:AQ$41)</f>
        <v>1</v>
      </c>
      <c r="AK7" s="3">
        <f>SUMIFS(Stock!AR$2:AR$41,Stock!$C$2:$C$41,FuelShares!$A7,Stock!$C$2:$C$41,FuelShares!$C7)/SUMIF(Stock!$C$2:$C$41,FuelShares!$A7,Stock!AR$2:AR$41)</f>
        <v>0.99150940899409046</v>
      </c>
      <c r="AL7" s="3">
        <f>SUMIFS(Stock!AS$2:AS$41,Stock!$C$2:$C$41,FuelShares!$A7,Stock!$C$2:$C$41,FuelShares!$C7)/SUMIF(Stock!$C$2:$C$41,FuelShares!$A7,Stock!AS$2:AS$41)</f>
        <v>0.89424460431654684</v>
      </c>
      <c r="AM7" s="3">
        <f>SUMIFS(Stock!AT$2:AT$41,Stock!$C$2:$C$41,FuelShares!$A7,Stock!$C$2:$C$41,FuelShares!$C7)/SUMIF(Stock!$C$2:$C$41,FuelShares!$A7,Stock!AT$2:AT$41)</f>
        <v>1</v>
      </c>
      <c r="AN7" s="3">
        <f>SUMIFS(Stock!AU$2:AU$41,Stock!$C$2:$C$41,FuelShares!$A7,Stock!$C$2:$C$41,FuelShares!$C7)/SUMIF(Stock!$C$2:$C$41,FuelShares!$A7,Stock!AU$2:AU$41)</f>
        <v>1</v>
      </c>
      <c r="AO7" s="3">
        <f>SUMIFS(Stock!AV$2:AV$41,Stock!$C$2:$C$41,FuelShares!$A7,Stock!$C$2:$C$41,FuelShares!$C7)/SUMIF(Stock!$C$2:$C$41,FuelShares!$A7,Stock!AV$2:AV$41)</f>
        <v>0.95990883057682197</v>
      </c>
    </row>
    <row r="8" spans="1:41" ht="13.2">
      <c r="A8" t="str">
        <f>LEFT(Stock!C6,7)&amp;"*"</f>
        <v>TRA_Bus*</v>
      </c>
      <c r="B8" t="str">
        <f>"*"&amp;RIGHT(Stock!C6,3)&amp;"*"</f>
        <v>*Coa*</v>
      </c>
      <c r="C8" t="str">
        <f>"*"&amp;MID(Stock!C6,9,3)&amp;"*"</f>
        <v>*Gas*</v>
      </c>
      <c r="E8" s="3">
        <f>SUMIFS(Stock!L$2:L$41,Stock!$C$2:$C$41,FuelShares!$A8,Stock!$C$2:$C$41,FuelShares!$C8)/SUMIF(Stock!$C$2:$C$41,FuelShares!$A8,Stock!L$2:L$41)</f>
        <v>0</v>
      </c>
      <c r="F8" s="3">
        <f>SUMIFS(Stock!M$2:M$41,Stock!$C$2:$C$41,FuelShares!$A8,Stock!$C$2:$C$41,FuelShares!$C8)/SUMIF(Stock!$C$2:$C$41,FuelShares!$A8,Stock!M$2:M$41)</f>
        <v>0</v>
      </c>
      <c r="G8" s="3">
        <f>SUMIFS(Stock!N$2:N$41,Stock!$C$2:$C$41,FuelShares!$A8,Stock!$C$2:$C$41,FuelShares!$C8)/SUMIF(Stock!$C$2:$C$41,FuelShares!$A8,Stock!N$2:N$41)</f>
        <v>0</v>
      </c>
      <c r="H8" s="3">
        <f>SUMIFS(Stock!O$2:O$41,Stock!$C$2:$C$41,FuelShares!$A8,Stock!$C$2:$C$41,FuelShares!$C8)/SUMIF(Stock!$C$2:$C$41,FuelShares!$A8,Stock!O$2:O$41)</f>
        <v>0</v>
      </c>
      <c r="I8" s="3">
        <f>SUMIFS(Stock!P$2:P$41,Stock!$C$2:$C$41,FuelShares!$A8,Stock!$C$2:$C$41,FuelShares!$C8)/SUMIF(Stock!$C$2:$C$41,FuelShares!$A8,Stock!P$2:P$41)</f>
        <v>0</v>
      </c>
      <c r="J8" s="3">
        <f>SUMIFS(Stock!Q$2:Q$41,Stock!$C$2:$C$41,FuelShares!$A8,Stock!$C$2:$C$41,FuelShares!$C8)/SUMIF(Stock!$C$2:$C$41,FuelShares!$A8,Stock!Q$2:Q$41)</f>
        <v>0</v>
      </c>
      <c r="K8" s="3">
        <f>SUMIFS(Stock!R$2:R$41,Stock!$C$2:$C$41,FuelShares!$A8,Stock!$C$2:$C$41,FuelShares!$C8)/SUMIF(Stock!$C$2:$C$41,FuelShares!$A8,Stock!R$2:R$41)</f>
        <v>0</v>
      </c>
      <c r="L8" s="3">
        <f>SUMIFS(Stock!S$2:S$41,Stock!$C$2:$C$41,FuelShares!$A8,Stock!$C$2:$C$41,FuelShares!$C8)/SUMIF(Stock!$C$2:$C$41,FuelShares!$A8,Stock!S$2:S$41)</f>
        <v>0.10330788804071246</v>
      </c>
      <c r="M8" s="3">
        <f>SUMIFS(Stock!T$2:T$41,Stock!$C$2:$C$41,FuelShares!$A8,Stock!$C$2:$C$41,FuelShares!$C8)/SUMIF(Stock!$C$2:$C$41,FuelShares!$A8,Stock!T$2:T$41)</f>
        <v>0</v>
      </c>
      <c r="N8" s="3">
        <f>SUMIFS(Stock!U$2:U$41,Stock!$C$2:$C$41,FuelShares!$A8,Stock!$C$2:$C$41,FuelShares!$C8)/SUMIF(Stock!$C$2:$C$41,FuelShares!$A8,Stock!U$2:U$41)</f>
        <v>0.072702331961591218</v>
      </c>
      <c r="O8" s="3">
        <f>SUMIFS(Stock!V$2:V$41,Stock!$C$2:$C$41,FuelShares!$A8,Stock!$C$2:$C$41,FuelShares!$C8)/SUMIF(Stock!$C$2:$C$41,FuelShares!$A8,Stock!V$2:V$41)</f>
        <v>0</v>
      </c>
      <c r="P8" s="3">
        <f>SUMIFS(Stock!W$2:W$41,Stock!$C$2:$C$41,FuelShares!$A8,Stock!$C$2:$C$41,FuelShares!$C8)/SUMIF(Stock!$C$2:$C$41,FuelShares!$A8,Stock!W$2:W$41)</f>
        <v>0</v>
      </c>
      <c r="Q8" s="3">
        <f>SUMIFS(Stock!X$2:X$41,Stock!$C$2:$C$41,FuelShares!$A8,Stock!$C$2:$C$41,FuelShares!$C8)/SUMIF(Stock!$C$2:$C$41,FuelShares!$A8,Stock!X$2:X$41)</f>
        <v>0</v>
      </c>
      <c r="R8" s="3">
        <f>SUMIFS(Stock!Y$2:Y$41,Stock!$C$2:$C$41,FuelShares!$A8,Stock!$C$2:$C$41,FuelShares!$C8)/SUMIF(Stock!$C$2:$C$41,FuelShares!$A8,Stock!Y$2:Y$41)</f>
        <v>0</v>
      </c>
      <c r="S8" s="3">
        <f>SUMIFS(Stock!Z$2:Z$41,Stock!$C$2:$C$41,FuelShares!$A8,Stock!$C$2:$C$41,FuelShares!$C8)/SUMIF(Stock!$C$2:$C$41,FuelShares!$A8,Stock!Z$2:Z$41)</f>
        <v>0</v>
      </c>
      <c r="T8" s="3">
        <f>SUMIFS(Stock!AA$2:AA$41,Stock!$C$2:$C$41,FuelShares!$A8,Stock!$C$2:$C$41,FuelShares!$C8)/SUMIF(Stock!$C$2:$C$41,FuelShares!$A8,Stock!AA$2:AA$41)</f>
        <v>0</v>
      </c>
      <c r="U8" s="3">
        <f>SUMIFS(Stock!AB$2:AB$41,Stock!$C$2:$C$41,FuelShares!$A8,Stock!$C$2:$C$41,FuelShares!$C8)/SUMIF(Stock!$C$2:$C$41,FuelShares!$A8,Stock!AB$2:AB$41)</f>
        <v>0</v>
      </c>
      <c r="V8" s="3">
        <f>SUMIFS(Stock!AC$2:AC$41,Stock!$C$2:$C$41,FuelShares!$A8,Stock!$C$2:$C$41,FuelShares!$C8)/SUMIF(Stock!$C$2:$C$41,FuelShares!$A8,Stock!AC$2:AC$41)</f>
        <v>0</v>
      </c>
      <c r="W8" s="3">
        <f>SUMIFS(Stock!AD$2:AD$41,Stock!$C$2:$C$41,FuelShares!$A8,Stock!$C$2:$C$41,FuelShares!$C8)/SUMIF(Stock!$C$2:$C$41,FuelShares!$A8,Stock!AD$2:AD$41)</f>
        <v>0.063157894736842107</v>
      </c>
      <c r="X8" s="3">
        <f>SUMIFS(Stock!AE$2:AE$41,Stock!$C$2:$C$41,FuelShares!$A8,Stock!$C$2:$C$41,FuelShares!$C8)/SUMIF(Stock!$C$2:$C$41,FuelShares!$A8,Stock!AE$2:AE$41)</f>
        <v>0</v>
      </c>
      <c r="Y8" s="3">
        <f>SUMIFS(Stock!AF$2:AF$41,Stock!$C$2:$C$41,FuelShares!$A8,Stock!$C$2:$C$41,FuelShares!$C8)/SUMIF(Stock!$C$2:$C$41,FuelShares!$A8,Stock!AF$2:AF$41)</f>
        <v>0</v>
      </c>
      <c r="Z8" s="3">
        <f>SUMIFS(Stock!AG$2:AG$41,Stock!$C$2:$C$41,FuelShares!$A8,Stock!$C$2:$C$41,FuelShares!$C8)/SUMIF(Stock!$C$2:$C$41,FuelShares!$A8,Stock!AG$2:AG$41)</f>
        <v>0</v>
      </c>
      <c r="AA8" s="3">
        <f>SUMIFS(Stock!AH$2:AH$41,Stock!$C$2:$C$41,FuelShares!$A8,Stock!$C$2:$C$41,FuelShares!$C8)/SUMIF(Stock!$C$2:$C$41,FuelShares!$A8,Stock!AH$2:AH$41)</f>
        <v>0</v>
      </c>
      <c r="AB8" s="3">
        <f>SUMIFS(Stock!AI$2:AI$41,Stock!$C$2:$C$41,FuelShares!$A8,Stock!$C$2:$C$41,FuelShares!$C8)/SUMIF(Stock!$C$2:$C$41,FuelShares!$A8,Stock!AI$2:AI$41)</f>
        <v>0</v>
      </c>
      <c r="AC8" s="3">
        <f>SUMIFS(Stock!AJ$2:AJ$41,Stock!$C$2:$C$41,FuelShares!$A8,Stock!$C$2:$C$41,FuelShares!$C8)/SUMIF(Stock!$C$2:$C$41,FuelShares!$A8,Stock!AJ$2:AJ$41)</f>
        <v>0</v>
      </c>
      <c r="AD8" s="3">
        <f>SUMIFS(Stock!AK$2:AK$41,Stock!$C$2:$C$41,FuelShares!$A8,Stock!$C$2:$C$41,FuelShares!$C8)/SUMIF(Stock!$C$2:$C$41,FuelShares!$A8,Stock!AK$2:AK$41)</f>
        <v>0.14444444444444446</v>
      </c>
      <c r="AE8" s="3">
        <f>SUMIFS(Stock!AL$2:AL$41,Stock!$C$2:$C$41,FuelShares!$A8,Stock!$C$2:$C$41,FuelShares!$C8)/SUMIF(Stock!$C$2:$C$41,FuelShares!$A8,Stock!AL$2:AL$41)</f>
        <v>0</v>
      </c>
      <c r="AF8" s="3">
        <f>SUMIFS(Stock!AM$2:AM$41,Stock!$C$2:$C$41,FuelShares!$A8,Stock!$C$2:$C$41,FuelShares!$C8)/SUMIF(Stock!$C$2:$C$41,FuelShares!$A8,Stock!AM$2:AM$41)</f>
        <v>0.0026838432629320281</v>
      </c>
      <c r="AG8" s="3">
        <f>SUMIFS(Stock!AN$2:AN$41,Stock!$C$2:$C$41,FuelShares!$A8,Stock!$C$2:$C$41,FuelShares!$C8)/SUMIF(Stock!$C$2:$C$41,FuelShares!$A8,Stock!AN$2:AN$41)</f>
        <v>0</v>
      </c>
      <c r="AH8" s="3">
        <f>SUMIFS(Stock!AO$2:AO$41,Stock!$C$2:$C$41,FuelShares!$A8,Stock!$C$2:$C$41,FuelShares!$C8)/SUMIF(Stock!$C$2:$C$41,FuelShares!$A8,Stock!AO$2:AO$41)</f>
        <v>0.04513602638087387</v>
      </c>
      <c r="AI8" s="3">
        <f>SUMIFS(Stock!AP$2:AP$41,Stock!$C$2:$C$41,FuelShares!$A8,Stock!$C$2:$C$41,FuelShares!$C8)/SUMIF(Stock!$C$2:$C$41,FuelShares!$A8,Stock!AP$2:AP$41)</f>
        <v>0.0003888780860784001</v>
      </c>
      <c r="AJ8" s="3">
        <f>SUMIFS(Stock!AQ$2:AQ$41,Stock!$C$2:$C$41,FuelShares!$A8,Stock!$C$2:$C$41,FuelShares!$C8)/SUMIF(Stock!$C$2:$C$41,FuelShares!$A8,Stock!AQ$2:AQ$41)</f>
        <v>0</v>
      </c>
      <c r="AK8" s="3">
        <f>SUMIFS(Stock!AR$2:AR$41,Stock!$C$2:$C$41,FuelShares!$A8,Stock!$C$2:$C$41,FuelShares!$C8)/SUMIF(Stock!$C$2:$C$41,FuelShares!$A8,Stock!AR$2:AR$41)</f>
        <v>0</v>
      </c>
      <c r="AL8" s="3">
        <f>SUMIFS(Stock!AS$2:AS$41,Stock!$C$2:$C$41,FuelShares!$A8,Stock!$C$2:$C$41,FuelShares!$C8)/SUMIF(Stock!$C$2:$C$41,FuelShares!$A8,Stock!AS$2:AS$41)</f>
        <v>0</v>
      </c>
      <c r="AM8" s="3">
        <f>SUMIFS(Stock!AT$2:AT$41,Stock!$C$2:$C$41,FuelShares!$A8,Stock!$C$2:$C$41,FuelShares!$C8)/SUMIF(Stock!$C$2:$C$41,FuelShares!$A8,Stock!AT$2:AT$41)</f>
        <v>0</v>
      </c>
      <c r="AN8" s="3">
        <f>SUMIFS(Stock!AU$2:AU$41,Stock!$C$2:$C$41,FuelShares!$A8,Stock!$C$2:$C$41,FuelShares!$C8)/SUMIF(Stock!$C$2:$C$41,FuelShares!$A8,Stock!AU$2:AU$41)</f>
        <v>0</v>
      </c>
      <c r="AO8" s="3">
        <f>SUMIFS(Stock!AV$2:AV$41,Stock!$C$2:$C$41,FuelShares!$A8,Stock!$C$2:$C$41,FuelShares!$C8)/SUMIF(Stock!$C$2:$C$41,FuelShares!$A8,Stock!AV$2:AV$41)</f>
        <v>0.038571679036876867</v>
      </c>
    </row>
    <row r="9" spans="1:41" ht="13.2">
      <c r="A9" t="str">
        <f>LEFT(Stock!C7,7)&amp;"*"</f>
        <v>TRA_Bus*</v>
      </c>
      <c r="B9" t="str">
        <f>"*"&amp;RIGHT(Stock!C7,3)&amp;"*"</f>
        <v>*Urb*</v>
      </c>
      <c r="C9" t="str">
        <f>"*"&amp;MID(Stock!C7,9,3)&amp;"*"</f>
        <v>*Gas*</v>
      </c>
      <c r="E9" s="3">
        <f>SUMIFS(Stock!L$2:L$41,Stock!$C$2:$C$41,FuelShares!$A9,Stock!$C$2:$C$41,FuelShares!$C9)/SUMIF(Stock!$C$2:$C$41,FuelShares!$A9,Stock!L$2:L$41)</f>
        <v>0</v>
      </c>
      <c r="F9" s="3">
        <f>SUMIFS(Stock!M$2:M$41,Stock!$C$2:$C$41,FuelShares!$A9,Stock!$C$2:$C$41,FuelShares!$C9)/SUMIF(Stock!$C$2:$C$41,FuelShares!$A9,Stock!M$2:M$41)</f>
        <v>0</v>
      </c>
      <c r="G9" s="3">
        <f>SUMIFS(Stock!N$2:N$41,Stock!$C$2:$C$41,FuelShares!$A9,Stock!$C$2:$C$41,FuelShares!$C9)/SUMIF(Stock!$C$2:$C$41,FuelShares!$A9,Stock!N$2:N$41)</f>
        <v>0</v>
      </c>
      <c r="H9" s="3">
        <f>SUMIFS(Stock!O$2:O$41,Stock!$C$2:$C$41,FuelShares!$A9,Stock!$C$2:$C$41,FuelShares!$C9)/SUMIF(Stock!$C$2:$C$41,FuelShares!$A9,Stock!O$2:O$41)</f>
        <v>0</v>
      </c>
      <c r="I9" s="3">
        <f>SUMIFS(Stock!P$2:P$41,Stock!$C$2:$C$41,FuelShares!$A9,Stock!$C$2:$C$41,FuelShares!$C9)/SUMIF(Stock!$C$2:$C$41,FuelShares!$A9,Stock!P$2:P$41)</f>
        <v>0</v>
      </c>
      <c r="J9" s="3">
        <f>SUMIFS(Stock!Q$2:Q$41,Stock!$C$2:$C$41,FuelShares!$A9,Stock!$C$2:$C$41,FuelShares!$C9)/SUMIF(Stock!$C$2:$C$41,FuelShares!$A9,Stock!Q$2:Q$41)</f>
        <v>0</v>
      </c>
      <c r="K9" s="3">
        <f>SUMIFS(Stock!R$2:R$41,Stock!$C$2:$C$41,FuelShares!$A9,Stock!$C$2:$C$41,FuelShares!$C9)/SUMIF(Stock!$C$2:$C$41,FuelShares!$A9,Stock!R$2:R$41)</f>
        <v>0</v>
      </c>
      <c r="L9" s="3">
        <f>SUMIFS(Stock!S$2:S$41,Stock!$C$2:$C$41,FuelShares!$A9,Stock!$C$2:$C$41,FuelShares!$C9)/SUMIF(Stock!$C$2:$C$41,FuelShares!$A9,Stock!S$2:S$41)</f>
        <v>0.10330788804071246</v>
      </c>
      <c r="M9" s="3">
        <f>SUMIFS(Stock!T$2:T$41,Stock!$C$2:$C$41,FuelShares!$A9,Stock!$C$2:$C$41,FuelShares!$C9)/SUMIF(Stock!$C$2:$C$41,FuelShares!$A9,Stock!T$2:T$41)</f>
        <v>0</v>
      </c>
      <c r="N9" s="3">
        <f>SUMIFS(Stock!U$2:U$41,Stock!$C$2:$C$41,FuelShares!$A9,Stock!$C$2:$C$41,FuelShares!$C9)/SUMIF(Stock!$C$2:$C$41,FuelShares!$A9,Stock!U$2:U$41)</f>
        <v>0.072702331961591218</v>
      </c>
      <c r="O9" s="3">
        <f>SUMIFS(Stock!V$2:V$41,Stock!$C$2:$C$41,FuelShares!$A9,Stock!$C$2:$C$41,FuelShares!$C9)/SUMIF(Stock!$C$2:$C$41,FuelShares!$A9,Stock!V$2:V$41)</f>
        <v>0</v>
      </c>
      <c r="P9" s="3">
        <f>SUMIFS(Stock!W$2:W$41,Stock!$C$2:$C$41,FuelShares!$A9,Stock!$C$2:$C$41,FuelShares!$C9)/SUMIF(Stock!$C$2:$C$41,FuelShares!$A9,Stock!W$2:W$41)</f>
        <v>0</v>
      </c>
      <c r="Q9" s="3">
        <f>SUMIFS(Stock!X$2:X$41,Stock!$C$2:$C$41,FuelShares!$A9,Stock!$C$2:$C$41,FuelShares!$C9)/SUMIF(Stock!$C$2:$C$41,FuelShares!$A9,Stock!X$2:X$41)</f>
        <v>0</v>
      </c>
      <c r="R9" s="3">
        <f>SUMIFS(Stock!Y$2:Y$41,Stock!$C$2:$C$41,FuelShares!$A9,Stock!$C$2:$C$41,FuelShares!$C9)/SUMIF(Stock!$C$2:$C$41,FuelShares!$A9,Stock!Y$2:Y$41)</f>
        <v>0</v>
      </c>
      <c r="S9" s="3">
        <f>SUMIFS(Stock!Z$2:Z$41,Stock!$C$2:$C$41,FuelShares!$A9,Stock!$C$2:$C$41,FuelShares!$C9)/SUMIF(Stock!$C$2:$C$41,FuelShares!$A9,Stock!Z$2:Z$41)</f>
        <v>0</v>
      </c>
      <c r="T9" s="3">
        <f>SUMIFS(Stock!AA$2:AA$41,Stock!$C$2:$C$41,FuelShares!$A9,Stock!$C$2:$C$41,FuelShares!$C9)/SUMIF(Stock!$C$2:$C$41,FuelShares!$A9,Stock!AA$2:AA$41)</f>
        <v>0</v>
      </c>
      <c r="U9" s="3">
        <f>SUMIFS(Stock!AB$2:AB$41,Stock!$C$2:$C$41,FuelShares!$A9,Stock!$C$2:$C$41,FuelShares!$C9)/SUMIF(Stock!$C$2:$C$41,FuelShares!$A9,Stock!AB$2:AB$41)</f>
        <v>0</v>
      </c>
      <c r="V9" s="3">
        <f>SUMIFS(Stock!AC$2:AC$41,Stock!$C$2:$C$41,FuelShares!$A9,Stock!$C$2:$C$41,FuelShares!$C9)/SUMIF(Stock!$C$2:$C$41,FuelShares!$A9,Stock!AC$2:AC$41)</f>
        <v>0</v>
      </c>
      <c r="W9" s="3">
        <f>SUMIFS(Stock!AD$2:AD$41,Stock!$C$2:$C$41,FuelShares!$A9,Stock!$C$2:$C$41,FuelShares!$C9)/SUMIF(Stock!$C$2:$C$41,FuelShares!$A9,Stock!AD$2:AD$41)</f>
        <v>0.063157894736842107</v>
      </c>
      <c r="X9" s="3">
        <f>SUMIFS(Stock!AE$2:AE$41,Stock!$C$2:$C$41,FuelShares!$A9,Stock!$C$2:$C$41,FuelShares!$C9)/SUMIF(Stock!$C$2:$C$41,FuelShares!$A9,Stock!AE$2:AE$41)</f>
        <v>0</v>
      </c>
      <c r="Y9" s="3">
        <f>SUMIFS(Stock!AF$2:AF$41,Stock!$C$2:$C$41,FuelShares!$A9,Stock!$C$2:$C$41,FuelShares!$C9)/SUMIF(Stock!$C$2:$C$41,FuelShares!$A9,Stock!AF$2:AF$41)</f>
        <v>0</v>
      </c>
      <c r="Z9" s="3">
        <f>SUMIFS(Stock!AG$2:AG$41,Stock!$C$2:$C$41,FuelShares!$A9,Stock!$C$2:$C$41,FuelShares!$C9)/SUMIF(Stock!$C$2:$C$41,FuelShares!$A9,Stock!AG$2:AG$41)</f>
        <v>0</v>
      </c>
      <c r="AA9" s="3">
        <f>SUMIFS(Stock!AH$2:AH$41,Stock!$C$2:$C$41,FuelShares!$A9,Stock!$C$2:$C$41,FuelShares!$C9)/SUMIF(Stock!$C$2:$C$41,FuelShares!$A9,Stock!AH$2:AH$41)</f>
        <v>0</v>
      </c>
      <c r="AB9" s="3">
        <f>SUMIFS(Stock!AI$2:AI$41,Stock!$C$2:$C$41,FuelShares!$A9,Stock!$C$2:$C$41,FuelShares!$C9)/SUMIF(Stock!$C$2:$C$41,FuelShares!$A9,Stock!AI$2:AI$41)</f>
        <v>0</v>
      </c>
      <c r="AC9" s="3">
        <f>SUMIFS(Stock!AJ$2:AJ$41,Stock!$C$2:$C$41,FuelShares!$A9,Stock!$C$2:$C$41,FuelShares!$C9)/SUMIF(Stock!$C$2:$C$41,FuelShares!$A9,Stock!AJ$2:AJ$41)</f>
        <v>0</v>
      </c>
      <c r="AD9" s="3">
        <f>SUMIFS(Stock!AK$2:AK$41,Stock!$C$2:$C$41,FuelShares!$A9,Stock!$C$2:$C$41,FuelShares!$C9)/SUMIF(Stock!$C$2:$C$41,FuelShares!$A9,Stock!AK$2:AK$41)</f>
        <v>0.14444444444444446</v>
      </c>
      <c r="AE9" s="3">
        <f>SUMIFS(Stock!AL$2:AL$41,Stock!$C$2:$C$41,FuelShares!$A9,Stock!$C$2:$C$41,FuelShares!$C9)/SUMIF(Stock!$C$2:$C$41,FuelShares!$A9,Stock!AL$2:AL$41)</f>
        <v>0</v>
      </c>
      <c r="AF9" s="3">
        <f>SUMIFS(Stock!AM$2:AM$41,Stock!$C$2:$C$41,FuelShares!$A9,Stock!$C$2:$C$41,FuelShares!$C9)/SUMIF(Stock!$C$2:$C$41,FuelShares!$A9,Stock!AM$2:AM$41)</f>
        <v>0.0026838432629320281</v>
      </c>
      <c r="AG9" s="3">
        <f>SUMIFS(Stock!AN$2:AN$41,Stock!$C$2:$C$41,FuelShares!$A9,Stock!$C$2:$C$41,FuelShares!$C9)/SUMIF(Stock!$C$2:$C$41,FuelShares!$A9,Stock!AN$2:AN$41)</f>
        <v>0</v>
      </c>
      <c r="AH9" s="3">
        <f>SUMIFS(Stock!AO$2:AO$41,Stock!$C$2:$C$41,FuelShares!$A9,Stock!$C$2:$C$41,FuelShares!$C9)/SUMIF(Stock!$C$2:$C$41,FuelShares!$A9,Stock!AO$2:AO$41)</f>
        <v>0.04513602638087387</v>
      </c>
      <c r="AI9" s="3">
        <f>SUMIFS(Stock!AP$2:AP$41,Stock!$C$2:$C$41,FuelShares!$A9,Stock!$C$2:$C$41,FuelShares!$C9)/SUMIF(Stock!$C$2:$C$41,FuelShares!$A9,Stock!AP$2:AP$41)</f>
        <v>0.0003888780860784001</v>
      </c>
      <c r="AJ9" s="3">
        <f>SUMIFS(Stock!AQ$2:AQ$41,Stock!$C$2:$C$41,FuelShares!$A9,Stock!$C$2:$C$41,FuelShares!$C9)/SUMIF(Stock!$C$2:$C$41,FuelShares!$A9,Stock!AQ$2:AQ$41)</f>
        <v>0</v>
      </c>
      <c r="AK9" s="3">
        <f>SUMIFS(Stock!AR$2:AR$41,Stock!$C$2:$C$41,FuelShares!$A9,Stock!$C$2:$C$41,FuelShares!$C9)/SUMIF(Stock!$C$2:$C$41,FuelShares!$A9,Stock!AR$2:AR$41)</f>
        <v>0</v>
      </c>
      <c r="AL9" s="3">
        <f>SUMIFS(Stock!AS$2:AS$41,Stock!$C$2:$C$41,FuelShares!$A9,Stock!$C$2:$C$41,FuelShares!$C9)/SUMIF(Stock!$C$2:$C$41,FuelShares!$A9,Stock!AS$2:AS$41)</f>
        <v>0</v>
      </c>
      <c r="AM9" s="3">
        <f>SUMIFS(Stock!AT$2:AT$41,Stock!$C$2:$C$41,FuelShares!$A9,Stock!$C$2:$C$41,FuelShares!$C9)/SUMIF(Stock!$C$2:$C$41,FuelShares!$A9,Stock!AT$2:AT$41)</f>
        <v>0</v>
      </c>
      <c r="AN9" s="3">
        <f>SUMIFS(Stock!AU$2:AU$41,Stock!$C$2:$C$41,FuelShares!$A9,Stock!$C$2:$C$41,FuelShares!$C9)/SUMIF(Stock!$C$2:$C$41,FuelShares!$A9,Stock!AU$2:AU$41)</f>
        <v>0</v>
      </c>
      <c r="AO9" s="3">
        <f>SUMIFS(Stock!AV$2:AV$41,Stock!$C$2:$C$41,FuelShares!$A9,Stock!$C$2:$C$41,FuelShares!$C9)/SUMIF(Stock!$C$2:$C$41,FuelShares!$A9,Stock!AV$2:AV$41)</f>
        <v>0.038571679036876867</v>
      </c>
    </row>
    <row r="10" spans="1:41" ht="13.2">
      <c r="A10" t="str">
        <f>LEFT(Stock!C8,7)&amp;"*"</f>
        <v>TRA_Bus*</v>
      </c>
      <c r="B10" t="str">
        <f>"*"&amp;RIGHT(Stock!C8,3)&amp;"*"</f>
        <v>*Coa*</v>
      </c>
      <c r="C10" t="str">
        <f>"*"&amp;MID(Stock!C8,9,3)&amp;"*"</f>
        <v>*Lpg*</v>
      </c>
      <c r="E10" s="3">
        <f>SUMIFS(Stock!L$2:L$41,Stock!$C$2:$C$41,FuelShares!$A10,Stock!$C$2:$C$41,FuelShares!$C10)/SUMIF(Stock!$C$2:$C$41,FuelShares!$A10,Stock!L$2:L$41)</f>
        <v>0</v>
      </c>
      <c r="F10" s="3">
        <f>SUMIFS(Stock!M$2:M$41,Stock!$C$2:$C$41,FuelShares!$A10,Stock!$C$2:$C$41,FuelShares!$C10)/SUMIF(Stock!$C$2:$C$41,FuelShares!$A10,Stock!M$2:M$41)</f>
        <v>0</v>
      </c>
      <c r="G10" s="3">
        <f>SUMIFS(Stock!N$2:N$41,Stock!$C$2:$C$41,FuelShares!$A10,Stock!$C$2:$C$41,FuelShares!$C10)/SUMIF(Stock!$C$2:$C$41,FuelShares!$A10,Stock!N$2:N$41)</f>
        <v>0</v>
      </c>
      <c r="H10" s="3">
        <f>SUMIFS(Stock!O$2:O$41,Stock!$C$2:$C$41,FuelShares!$A10,Stock!$C$2:$C$41,FuelShares!$C10)/SUMIF(Stock!$C$2:$C$41,FuelShares!$A10,Stock!O$2:O$41)</f>
        <v>0</v>
      </c>
      <c r="I10" s="3">
        <f>SUMIFS(Stock!P$2:P$41,Stock!$C$2:$C$41,FuelShares!$A10,Stock!$C$2:$C$41,FuelShares!$C10)/SUMIF(Stock!$C$2:$C$41,FuelShares!$A10,Stock!P$2:P$41)</f>
        <v>0</v>
      </c>
      <c r="J10" s="3">
        <f>SUMIFS(Stock!Q$2:Q$41,Stock!$C$2:$C$41,FuelShares!$A10,Stock!$C$2:$C$41,FuelShares!$C10)/SUMIF(Stock!$C$2:$C$41,FuelShares!$A10,Stock!Q$2:Q$41)</f>
        <v>0</v>
      </c>
      <c r="K10" s="3">
        <f>SUMIFS(Stock!R$2:R$41,Stock!$C$2:$C$41,FuelShares!$A10,Stock!$C$2:$C$41,FuelShares!$C10)/SUMIF(Stock!$C$2:$C$41,FuelShares!$A10,Stock!R$2:R$41)</f>
        <v>0</v>
      </c>
      <c r="L10" s="3">
        <f>SUMIFS(Stock!S$2:S$41,Stock!$C$2:$C$41,FuelShares!$A10,Stock!$C$2:$C$41,FuelShares!$C10)/SUMIF(Stock!$C$2:$C$41,FuelShares!$A10,Stock!S$2:S$41)</f>
        <v>0</v>
      </c>
      <c r="M10" s="3">
        <f>SUMIFS(Stock!T$2:T$41,Stock!$C$2:$C$41,FuelShares!$A10,Stock!$C$2:$C$41,FuelShares!$C10)/SUMIF(Stock!$C$2:$C$41,FuelShares!$A10,Stock!T$2:T$41)</f>
        <v>0</v>
      </c>
      <c r="N10" s="3">
        <f>SUMIFS(Stock!U$2:U$41,Stock!$C$2:$C$41,FuelShares!$A10,Stock!$C$2:$C$41,FuelShares!$C10)/SUMIF(Stock!$C$2:$C$41,FuelShares!$A10,Stock!U$2:U$41)</f>
        <v>0</v>
      </c>
      <c r="O10" s="3">
        <f>SUMIFS(Stock!V$2:V$41,Stock!$C$2:$C$41,FuelShares!$A10,Stock!$C$2:$C$41,FuelShares!$C10)/SUMIF(Stock!$C$2:$C$41,FuelShares!$A10,Stock!V$2:V$41)</f>
        <v>0</v>
      </c>
      <c r="P10" s="3">
        <f>SUMIFS(Stock!W$2:W$41,Stock!$C$2:$C$41,FuelShares!$A10,Stock!$C$2:$C$41,FuelShares!$C10)/SUMIF(Stock!$C$2:$C$41,FuelShares!$A10,Stock!W$2:W$41)</f>
        <v>0</v>
      </c>
      <c r="Q10" s="3">
        <f>SUMIFS(Stock!X$2:X$41,Stock!$C$2:$C$41,FuelShares!$A10,Stock!$C$2:$C$41,FuelShares!$C10)/SUMIF(Stock!$C$2:$C$41,FuelShares!$A10,Stock!X$2:X$41)</f>
        <v>0</v>
      </c>
      <c r="R10" s="3">
        <f>SUMIFS(Stock!Y$2:Y$41,Stock!$C$2:$C$41,FuelShares!$A10,Stock!$C$2:$C$41,FuelShares!$C10)/SUMIF(Stock!$C$2:$C$41,FuelShares!$A10,Stock!Y$2:Y$41)</f>
        <v>0</v>
      </c>
      <c r="S10" s="3">
        <f>SUMIFS(Stock!Z$2:Z$41,Stock!$C$2:$C$41,FuelShares!$A10,Stock!$C$2:$C$41,FuelShares!$C10)/SUMIF(Stock!$C$2:$C$41,FuelShares!$A10,Stock!Z$2:Z$41)</f>
        <v>0</v>
      </c>
      <c r="T10" s="3">
        <f>SUMIFS(Stock!AA$2:AA$41,Stock!$C$2:$C$41,FuelShares!$A10,Stock!$C$2:$C$41,FuelShares!$C10)/SUMIF(Stock!$C$2:$C$41,FuelShares!$A10,Stock!AA$2:AA$41)</f>
        <v>0</v>
      </c>
      <c r="U10" s="3">
        <f>SUMIFS(Stock!AB$2:AB$41,Stock!$C$2:$C$41,FuelShares!$A10,Stock!$C$2:$C$41,FuelShares!$C10)/SUMIF(Stock!$C$2:$C$41,FuelShares!$A10,Stock!AB$2:AB$41)</f>
        <v>0</v>
      </c>
      <c r="V10" s="3">
        <f>SUMIFS(Stock!AC$2:AC$41,Stock!$C$2:$C$41,FuelShares!$A10,Stock!$C$2:$C$41,FuelShares!$C10)/SUMIF(Stock!$C$2:$C$41,FuelShares!$A10,Stock!AC$2:AC$41)</f>
        <v>0</v>
      </c>
      <c r="W10" s="3">
        <f>SUMIFS(Stock!AD$2:AD$41,Stock!$C$2:$C$41,FuelShares!$A10,Stock!$C$2:$C$41,FuelShares!$C10)/SUMIF(Stock!$C$2:$C$41,FuelShares!$A10,Stock!AD$2:AD$41)</f>
        <v>0</v>
      </c>
      <c r="X10" s="3">
        <f>SUMIFS(Stock!AE$2:AE$41,Stock!$C$2:$C$41,FuelShares!$A10,Stock!$C$2:$C$41,FuelShares!$C10)/SUMIF(Stock!$C$2:$C$41,FuelShares!$A10,Stock!AE$2:AE$41)</f>
        <v>0</v>
      </c>
      <c r="Y10" s="3">
        <f>SUMIFS(Stock!AF$2:AF$41,Stock!$C$2:$C$41,FuelShares!$A10,Stock!$C$2:$C$41,FuelShares!$C10)/SUMIF(Stock!$C$2:$C$41,FuelShares!$A10,Stock!AF$2:AF$41)</f>
        <v>0</v>
      </c>
      <c r="Z10" s="3">
        <f>SUMIFS(Stock!AG$2:AG$41,Stock!$C$2:$C$41,FuelShares!$A10,Stock!$C$2:$C$41,FuelShares!$C10)/SUMIF(Stock!$C$2:$C$41,FuelShares!$A10,Stock!AG$2:AG$41)</f>
        <v>0</v>
      </c>
      <c r="AA10" s="3">
        <f>SUMIFS(Stock!AH$2:AH$41,Stock!$C$2:$C$41,FuelShares!$A10,Stock!$C$2:$C$41,FuelShares!$C10)/SUMIF(Stock!$C$2:$C$41,FuelShares!$A10,Stock!AH$2:AH$41)</f>
        <v>0</v>
      </c>
      <c r="AB10" s="3">
        <f>SUMIFS(Stock!AI$2:AI$41,Stock!$C$2:$C$41,FuelShares!$A10,Stock!$C$2:$C$41,FuelShares!$C10)/SUMIF(Stock!$C$2:$C$41,FuelShares!$A10,Stock!AI$2:AI$41)</f>
        <v>0.0036081043310947128</v>
      </c>
      <c r="AC10" s="3">
        <f>SUMIFS(Stock!AJ$2:AJ$41,Stock!$C$2:$C$41,FuelShares!$A10,Stock!$C$2:$C$41,FuelShares!$C10)/SUMIF(Stock!$C$2:$C$41,FuelShares!$A10,Stock!AJ$2:AJ$41)</f>
        <v>0</v>
      </c>
      <c r="AD10" s="3">
        <f>SUMIFS(Stock!AK$2:AK$41,Stock!$C$2:$C$41,FuelShares!$A10,Stock!$C$2:$C$41,FuelShares!$C10)/SUMIF(Stock!$C$2:$C$41,FuelShares!$A10,Stock!AK$2:AK$41)</f>
        <v>0.018518518518518521</v>
      </c>
      <c r="AE10" s="3">
        <f>SUMIFS(Stock!AL$2:AL$41,Stock!$C$2:$C$41,FuelShares!$A10,Stock!$C$2:$C$41,FuelShares!$C10)/SUMIF(Stock!$C$2:$C$41,FuelShares!$A10,Stock!AL$2:AL$41)</f>
        <v>0</v>
      </c>
      <c r="AF10" s="3">
        <f>SUMIFS(Stock!AM$2:AM$41,Stock!$C$2:$C$41,FuelShares!$A10,Stock!$C$2:$C$41,FuelShares!$C10)/SUMIF(Stock!$C$2:$C$41,FuelShares!$A10,Stock!AM$2:AM$41)</f>
        <v>0.0071569153678187423</v>
      </c>
      <c r="AG10" s="3">
        <f>SUMIFS(Stock!AN$2:AN$41,Stock!$C$2:$C$41,FuelShares!$A10,Stock!$C$2:$C$41,FuelShares!$C10)/SUMIF(Stock!$C$2:$C$41,FuelShares!$A10,Stock!AN$2:AN$41)</f>
        <v>0</v>
      </c>
      <c r="AH10" s="3">
        <f>SUMIFS(Stock!AO$2:AO$41,Stock!$C$2:$C$41,FuelShares!$A10,Stock!$C$2:$C$41,FuelShares!$C10)/SUMIF(Stock!$C$2:$C$41,FuelShares!$A10,Stock!AO$2:AO$41)</f>
        <v>0.0079348722176422106</v>
      </c>
      <c r="AI10" s="3">
        <f>SUMIFS(Stock!AP$2:AP$41,Stock!$C$2:$C$41,FuelShares!$A10,Stock!$C$2:$C$41,FuelShares!$C10)/SUMIF(Stock!$C$2:$C$41,FuelShares!$A10,Stock!AP$2:AP$41)</f>
        <v>0.00019443904339567166</v>
      </c>
      <c r="AJ10" s="3">
        <f>SUMIFS(Stock!AQ$2:AQ$41,Stock!$C$2:$C$41,FuelShares!$A10,Stock!$C$2:$C$41,FuelShares!$C10)/SUMIF(Stock!$C$2:$C$41,FuelShares!$A10,Stock!AQ$2:AQ$41)</f>
        <v>0</v>
      </c>
      <c r="AK10" s="3">
        <f>SUMIFS(Stock!AR$2:AR$41,Stock!$C$2:$C$41,FuelShares!$A10,Stock!$C$2:$C$41,FuelShares!$C10)/SUMIF(Stock!$C$2:$C$41,FuelShares!$A10,Stock!AR$2:AR$41)</f>
        <v>0</v>
      </c>
      <c r="AL10" s="3">
        <f>SUMIFS(Stock!AS$2:AS$41,Stock!$C$2:$C$41,FuelShares!$A10,Stock!$C$2:$C$41,FuelShares!$C10)/SUMIF(Stock!$C$2:$C$41,FuelShares!$A10,Stock!AS$2:AS$41)</f>
        <v>0</v>
      </c>
      <c r="AM10" s="3">
        <f>SUMIFS(Stock!AT$2:AT$41,Stock!$C$2:$C$41,FuelShares!$A10,Stock!$C$2:$C$41,FuelShares!$C10)/SUMIF(Stock!$C$2:$C$41,FuelShares!$A10,Stock!AT$2:AT$41)</f>
        <v>0</v>
      </c>
      <c r="AN10" s="3">
        <f>SUMIFS(Stock!AU$2:AU$41,Stock!$C$2:$C$41,FuelShares!$A10,Stock!$C$2:$C$41,FuelShares!$C10)/SUMIF(Stock!$C$2:$C$41,FuelShares!$A10,Stock!AU$2:AU$41)</f>
        <v>0</v>
      </c>
      <c r="AO10" s="3">
        <f>SUMIFS(Stock!AV$2:AV$41,Stock!$C$2:$C$41,FuelShares!$A10,Stock!$C$2:$C$41,FuelShares!$C10)/SUMIF(Stock!$C$2:$C$41,FuelShares!$A10,Stock!AV$2:AV$41)</f>
        <v>0.0015194903863012098</v>
      </c>
    </row>
    <row r="11" spans="1:41" ht="13.2">
      <c r="A11" t="str">
        <f>LEFT(Stock!C9,7)&amp;"*"</f>
        <v>TRA_Bus*</v>
      </c>
      <c r="B11" t="str">
        <f>"*"&amp;RIGHT(Stock!C9,3)&amp;"*"</f>
        <v>*Urb*</v>
      </c>
      <c r="C11" t="str">
        <f>"*"&amp;MID(Stock!C9,9,3)&amp;"*"</f>
        <v>*Lpg*</v>
      </c>
      <c r="E11" s="3">
        <f>SUMIFS(Stock!L$2:L$41,Stock!$C$2:$C$41,FuelShares!$A11,Stock!$C$2:$C$41,FuelShares!$C11)/SUMIF(Stock!$C$2:$C$41,FuelShares!$A11,Stock!L$2:L$41)</f>
        <v>0</v>
      </c>
      <c r="F11" s="3">
        <f>SUMIFS(Stock!M$2:M$41,Stock!$C$2:$C$41,FuelShares!$A11,Stock!$C$2:$C$41,FuelShares!$C11)/SUMIF(Stock!$C$2:$C$41,FuelShares!$A11,Stock!M$2:M$41)</f>
        <v>0</v>
      </c>
      <c r="G11" s="3">
        <f>SUMIFS(Stock!N$2:N$41,Stock!$C$2:$C$41,FuelShares!$A11,Stock!$C$2:$C$41,FuelShares!$C11)/SUMIF(Stock!$C$2:$C$41,FuelShares!$A11,Stock!N$2:N$41)</f>
        <v>0</v>
      </c>
      <c r="H11" s="3">
        <f>SUMIFS(Stock!O$2:O$41,Stock!$C$2:$C$41,FuelShares!$A11,Stock!$C$2:$C$41,FuelShares!$C11)/SUMIF(Stock!$C$2:$C$41,FuelShares!$A11,Stock!O$2:O$41)</f>
        <v>0</v>
      </c>
      <c r="I11" s="3">
        <f>SUMIFS(Stock!P$2:P$41,Stock!$C$2:$C$41,FuelShares!$A11,Stock!$C$2:$C$41,FuelShares!$C11)/SUMIF(Stock!$C$2:$C$41,FuelShares!$A11,Stock!P$2:P$41)</f>
        <v>0</v>
      </c>
      <c r="J11" s="3">
        <f>SUMIFS(Stock!Q$2:Q$41,Stock!$C$2:$C$41,FuelShares!$A11,Stock!$C$2:$C$41,FuelShares!$C11)/SUMIF(Stock!$C$2:$C$41,FuelShares!$A11,Stock!Q$2:Q$41)</f>
        <v>0</v>
      </c>
      <c r="K11" s="3">
        <f>SUMIFS(Stock!R$2:R$41,Stock!$C$2:$C$41,FuelShares!$A11,Stock!$C$2:$C$41,FuelShares!$C11)/SUMIF(Stock!$C$2:$C$41,FuelShares!$A11,Stock!R$2:R$41)</f>
        <v>0</v>
      </c>
      <c r="L11" s="3">
        <f>SUMIFS(Stock!S$2:S$41,Stock!$C$2:$C$41,FuelShares!$A11,Stock!$C$2:$C$41,FuelShares!$C11)/SUMIF(Stock!$C$2:$C$41,FuelShares!$A11,Stock!S$2:S$41)</f>
        <v>0</v>
      </c>
      <c r="M11" s="3">
        <f>SUMIFS(Stock!T$2:T$41,Stock!$C$2:$C$41,FuelShares!$A11,Stock!$C$2:$C$41,FuelShares!$C11)/SUMIF(Stock!$C$2:$C$41,FuelShares!$A11,Stock!T$2:T$41)</f>
        <v>0</v>
      </c>
      <c r="N11" s="3">
        <f>SUMIFS(Stock!U$2:U$41,Stock!$C$2:$C$41,FuelShares!$A11,Stock!$C$2:$C$41,FuelShares!$C11)/SUMIF(Stock!$C$2:$C$41,FuelShares!$A11,Stock!U$2:U$41)</f>
        <v>0</v>
      </c>
      <c r="O11" s="3">
        <f>SUMIFS(Stock!V$2:V$41,Stock!$C$2:$C$41,FuelShares!$A11,Stock!$C$2:$C$41,FuelShares!$C11)/SUMIF(Stock!$C$2:$C$41,FuelShares!$A11,Stock!V$2:V$41)</f>
        <v>0</v>
      </c>
      <c r="P11" s="3">
        <f>SUMIFS(Stock!W$2:W$41,Stock!$C$2:$C$41,FuelShares!$A11,Stock!$C$2:$C$41,FuelShares!$C11)/SUMIF(Stock!$C$2:$C$41,FuelShares!$A11,Stock!W$2:W$41)</f>
        <v>0</v>
      </c>
      <c r="Q11" s="3">
        <f>SUMIFS(Stock!X$2:X$41,Stock!$C$2:$C$41,FuelShares!$A11,Stock!$C$2:$C$41,FuelShares!$C11)/SUMIF(Stock!$C$2:$C$41,FuelShares!$A11,Stock!X$2:X$41)</f>
        <v>0</v>
      </c>
      <c r="R11" s="3">
        <f>SUMIFS(Stock!Y$2:Y$41,Stock!$C$2:$C$41,FuelShares!$A11,Stock!$C$2:$C$41,FuelShares!$C11)/SUMIF(Stock!$C$2:$C$41,FuelShares!$A11,Stock!Y$2:Y$41)</f>
        <v>0</v>
      </c>
      <c r="S11" s="3">
        <f>SUMIFS(Stock!Z$2:Z$41,Stock!$C$2:$C$41,FuelShares!$A11,Stock!$C$2:$C$41,FuelShares!$C11)/SUMIF(Stock!$C$2:$C$41,FuelShares!$A11,Stock!Z$2:Z$41)</f>
        <v>0</v>
      </c>
      <c r="T11" s="3">
        <f>SUMIFS(Stock!AA$2:AA$41,Stock!$C$2:$C$41,FuelShares!$A11,Stock!$C$2:$C$41,FuelShares!$C11)/SUMIF(Stock!$C$2:$C$41,FuelShares!$A11,Stock!AA$2:AA$41)</f>
        <v>0</v>
      </c>
      <c r="U11" s="3">
        <f>SUMIFS(Stock!AB$2:AB$41,Stock!$C$2:$C$41,FuelShares!$A11,Stock!$C$2:$C$41,FuelShares!$C11)/SUMIF(Stock!$C$2:$C$41,FuelShares!$A11,Stock!AB$2:AB$41)</f>
        <v>0</v>
      </c>
      <c r="V11" s="3">
        <f>SUMIFS(Stock!AC$2:AC$41,Stock!$C$2:$C$41,FuelShares!$A11,Stock!$C$2:$C$41,FuelShares!$C11)/SUMIF(Stock!$C$2:$C$41,FuelShares!$A11,Stock!AC$2:AC$41)</f>
        <v>0</v>
      </c>
      <c r="W11" s="3">
        <f>SUMIFS(Stock!AD$2:AD$41,Stock!$C$2:$C$41,FuelShares!$A11,Stock!$C$2:$C$41,FuelShares!$C11)/SUMIF(Stock!$C$2:$C$41,FuelShares!$A11,Stock!AD$2:AD$41)</f>
        <v>0</v>
      </c>
      <c r="X11" s="3">
        <f>SUMIFS(Stock!AE$2:AE$41,Stock!$C$2:$C$41,FuelShares!$A11,Stock!$C$2:$C$41,FuelShares!$C11)/SUMIF(Stock!$C$2:$C$41,FuelShares!$A11,Stock!AE$2:AE$41)</f>
        <v>0</v>
      </c>
      <c r="Y11" s="3">
        <f>SUMIFS(Stock!AF$2:AF$41,Stock!$C$2:$C$41,FuelShares!$A11,Stock!$C$2:$C$41,FuelShares!$C11)/SUMIF(Stock!$C$2:$C$41,FuelShares!$A11,Stock!AF$2:AF$41)</f>
        <v>0</v>
      </c>
      <c r="Z11" s="3">
        <f>SUMIFS(Stock!AG$2:AG$41,Stock!$C$2:$C$41,FuelShares!$A11,Stock!$C$2:$C$41,FuelShares!$C11)/SUMIF(Stock!$C$2:$C$41,FuelShares!$A11,Stock!AG$2:AG$41)</f>
        <v>0</v>
      </c>
      <c r="AA11" s="3">
        <f>SUMIFS(Stock!AH$2:AH$41,Stock!$C$2:$C$41,FuelShares!$A11,Stock!$C$2:$C$41,FuelShares!$C11)/SUMIF(Stock!$C$2:$C$41,FuelShares!$A11,Stock!AH$2:AH$41)</f>
        <v>0</v>
      </c>
      <c r="AB11" s="3">
        <f>SUMIFS(Stock!AI$2:AI$41,Stock!$C$2:$C$41,FuelShares!$A11,Stock!$C$2:$C$41,FuelShares!$C11)/SUMIF(Stock!$C$2:$C$41,FuelShares!$A11,Stock!AI$2:AI$41)</f>
        <v>0.0036081043310947128</v>
      </c>
      <c r="AC11" s="3">
        <f>SUMIFS(Stock!AJ$2:AJ$41,Stock!$C$2:$C$41,FuelShares!$A11,Stock!$C$2:$C$41,FuelShares!$C11)/SUMIF(Stock!$C$2:$C$41,FuelShares!$A11,Stock!AJ$2:AJ$41)</f>
        <v>0</v>
      </c>
      <c r="AD11" s="3">
        <f>SUMIFS(Stock!AK$2:AK$41,Stock!$C$2:$C$41,FuelShares!$A11,Stock!$C$2:$C$41,FuelShares!$C11)/SUMIF(Stock!$C$2:$C$41,FuelShares!$A11,Stock!AK$2:AK$41)</f>
        <v>0.018518518518518521</v>
      </c>
      <c r="AE11" s="3">
        <f>SUMIFS(Stock!AL$2:AL$41,Stock!$C$2:$C$41,FuelShares!$A11,Stock!$C$2:$C$41,FuelShares!$C11)/SUMIF(Stock!$C$2:$C$41,FuelShares!$A11,Stock!AL$2:AL$41)</f>
        <v>0</v>
      </c>
      <c r="AF11" s="3">
        <f>SUMIFS(Stock!AM$2:AM$41,Stock!$C$2:$C$41,FuelShares!$A11,Stock!$C$2:$C$41,FuelShares!$C11)/SUMIF(Stock!$C$2:$C$41,FuelShares!$A11,Stock!AM$2:AM$41)</f>
        <v>0.0071569153678187423</v>
      </c>
      <c r="AG11" s="3">
        <f>SUMIFS(Stock!AN$2:AN$41,Stock!$C$2:$C$41,FuelShares!$A11,Stock!$C$2:$C$41,FuelShares!$C11)/SUMIF(Stock!$C$2:$C$41,FuelShares!$A11,Stock!AN$2:AN$41)</f>
        <v>0</v>
      </c>
      <c r="AH11" s="3">
        <f>SUMIFS(Stock!AO$2:AO$41,Stock!$C$2:$C$41,FuelShares!$A11,Stock!$C$2:$C$41,FuelShares!$C11)/SUMIF(Stock!$C$2:$C$41,FuelShares!$A11,Stock!AO$2:AO$41)</f>
        <v>0.0079348722176422106</v>
      </c>
      <c r="AI11" s="3">
        <f>SUMIFS(Stock!AP$2:AP$41,Stock!$C$2:$C$41,FuelShares!$A11,Stock!$C$2:$C$41,FuelShares!$C11)/SUMIF(Stock!$C$2:$C$41,FuelShares!$A11,Stock!AP$2:AP$41)</f>
        <v>0.00019443904339567166</v>
      </c>
      <c r="AJ11" s="3">
        <f>SUMIFS(Stock!AQ$2:AQ$41,Stock!$C$2:$C$41,FuelShares!$A11,Stock!$C$2:$C$41,FuelShares!$C11)/SUMIF(Stock!$C$2:$C$41,FuelShares!$A11,Stock!AQ$2:AQ$41)</f>
        <v>0</v>
      </c>
      <c r="AK11" s="3">
        <f>SUMIFS(Stock!AR$2:AR$41,Stock!$C$2:$C$41,FuelShares!$A11,Stock!$C$2:$C$41,FuelShares!$C11)/SUMIF(Stock!$C$2:$C$41,FuelShares!$A11,Stock!AR$2:AR$41)</f>
        <v>0</v>
      </c>
      <c r="AL11" s="3">
        <f>SUMIFS(Stock!AS$2:AS$41,Stock!$C$2:$C$41,FuelShares!$A11,Stock!$C$2:$C$41,FuelShares!$C11)/SUMIF(Stock!$C$2:$C$41,FuelShares!$A11,Stock!AS$2:AS$41)</f>
        <v>0</v>
      </c>
      <c r="AM11" s="3">
        <f>SUMIFS(Stock!AT$2:AT$41,Stock!$C$2:$C$41,FuelShares!$A11,Stock!$C$2:$C$41,FuelShares!$C11)/SUMIF(Stock!$C$2:$C$41,FuelShares!$A11,Stock!AT$2:AT$41)</f>
        <v>0</v>
      </c>
      <c r="AN11" s="3">
        <f>SUMIFS(Stock!AU$2:AU$41,Stock!$C$2:$C$41,FuelShares!$A11,Stock!$C$2:$C$41,FuelShares!$C11)/SUMIF(Stock!$C$2:$C$41,FuelShares!$A11,Stock!AU$2:AU$41)</f>
        <v>0</v>
      </c>
      <c r="AO11" s="3">
        <f>SUMIFS(Stock!AV$2:AV$41,Stock!$C$2:$C$41,FuelShares!$A11,Stock!$C$2:$C$41,FuelShares!$C11)/SUMIF(Stock!$C$2:$C$41,FuelShares!$A11,Stock!AV$2:AV$41)</f>
        <v>0.0015194903863012098</v>
      </c>
    </row>
    <row r="12" spans="1:41" ht="13.2">
      <c r="A12" t="str">
        <f>LEFT(Stock!C10,7)&amp;"*"</f>
        <v>TRA_Car*</v>
      </c>
      <c r="B12" t="str">
        <f>"*"&amp;RIGHT(Stock!C10,3)&amp;"*"</f>
        <v>*Exe*</v>
      </c>
      <c r="C12" t="str">
        <f>"*"&amp;MID(Stock!C10,9,3)&amp;"*"</f>
        <v>*Cng*</v>
      </c>
      <c r="E12" s="3">
        <f>SUMIFS(Stock!L$2:L$41,Stock!$C$2:$C$41,FuelShares!$A12,Stock!$C$2:$C$41,FuelShares!$C12)/SUMIF(Stock!$C$2:$C$41,FuelShares!$A12,Stock!L$2:L$41)</f>
        <v>0</v>
      </c>
      <c r="F12" s="3">
        <f>SUMIFS(Stock!M$2:M$41,Stock!$C$2:$C$41,FuelShares!$A12,Stock!$C$2:$C$41,FuelShares!$C12)/SUMIF(Stock!$C$2:$C$41,FuelShares!$A12,Stock!M$2:M$41)</f>
        <v>0</v>
      </c>
      <c r="G12" s="3">
        <f>SUMIFS(Stock!N$2:N$41,Stock!$C$2:$C$41,FuelShares!$A12,Stock!$C$2:$C$41,FuelShares!$C12)/SUMIF(Stock!$C$2:$C$41,FuelShares!$A12,Stock!N$2:N$41)</f>
        <v>0</v>
      </c>
      <c r="H12" s="3">
        <f>SUMIFS(Stock!O$2:O$41,Stock!$C$2:$C$41,FuelShares!$A12,Stock!$C$2:$C$41,FuelShares!$C12)/SUMIF(Stock!$C$2:$C$41,FuelShares!$A12,Stock!O$2:O$41)</f>
        <v>0</v>
      </c>
      <c r="I12" s="3">
        <f>SUMIFS(Stock!P$2:P$41,Stock!$C$2:$C$41,FuelShares!$A12,Stock!$C$2:$C$41,FuelShares!$C12)/SUMIF(Stock!$C$2:$C$41,FuelShares!$A12,Stock!P$2:P$41)</f>
        <v>0</v>
      </c>
      <c r="J12" s="3">
        <f>SUMIFS(Stock!Q$2:Q$41,Stock!$C$2:$C$41,FuelShares!$A12,Stock!$C$2:$C$41,FuelShares!$C12)/SUMIF(Stock!$C$2:$C$41,FuelShares!$A12,Stock!Q$2:Q$41)</f>
        <v>0.0016143951048007397</v>
      </c>
      <c r="K12" s="3">
        <f>SUMIFS(Stock!R$2:R$41,Stock!$C$2:$C$41,FuelShares!$A12,Stock!$C$2:$C$41,FuelShares!$C12)/SUMIF(Stock!$C$2:$C$41,FuelShares!$A12,Stock!R$2:R$41)</f>
        <v>0</v>
      </c>
      <c r="L12" s="3">
        <f>SUMIFS(Stock!S$2:S$41,Stock!$C$2:$C$41,FuelShares!$A12,Stock!$C$2:$C$41,FuelShares!$C12)/SUMIF(Stock!$C$2:$C$41,FuelShares!$A12,Stock!S$2:S$41)</f>
        <v>0</v>
      </c>
      <c r="M12" s="3">
        <f>SUMIFS(Stock!T$2:T$41,Stock!$C$2:$C$41,FuelShares!$A12,Stock!$C$2:$C$41,FuelShares!$C12)/SUMIF(Stock!$C$2:$C$41,FuelShares!$A12,Stock!T$2:T$41)</f>
        <v>0.0016120898094368703</v>
      </c>
      <c r="N12" s="3">
        <f>SUMIFS(Stock!U$2:U$41,Stock!$C$2:$C$41,FuelShares!$A12,Stock!$C$2:$C$41,FuelShares!$C12)/SUMIF(Stock!$C$2:$C$41,FuelShares!$A12,Stock!U$2:U$41)</f>
        <v>0</v>
      </c>
      <c r="O12" s="3">
        <f>SUMIFS(Stock!V$2:V$41,Stock!$C$2:$C$41,FuelShares!$A12,Stock!$C$2:$C$41,FuelShares!$C12)/SUMIF(Stock!$C$2:$C$41,FuelShares!$A12,Stock!V$2:V$41)</f>
        <v>0</v>
      </c>
      <c r="P12" s="3">
        <f>SUMIFS(Stock!W$2:W$41,Stock!$C$2:$C$41,FuelShares!$A12,Stock!$C$2:$C$41,FuelShares!$C12)/SUMIF(Stock!$C$2:$C$41,FuelShares!$A12,Stock!W$2:W$41)</f>
        <v>0</v>
      </c>
      <c r="Q12" s="3">
        <f>SUMIFS(Stock!X$2:X$41,Stock!$C$2:$C$41,FuelShares!$A12,Stock!$C$2:$C$41,FuelShares!$C12)/SUMIF(Stock!$C$2:$C$41,FuelShares!$A12,Stock!X$2:X$41)</f>
        <v>0</v>
      </c>
      <c r="R12" s="3">
        <f>SUMIFS(Stock!Y$2:Y$41,Stock!$C$2:$C$41,FuelShares!$A12,Stock!$C$2:$C$41,FuelShares!$C12)/SUMIF(Stock!$C$2:$C$41,FuelShares!$A12,Stock!Y$2:Y$41)</f>
        <v>0</v>
      </c>
      <c r="S12" s="3">
        <f>SUMIFS(Stock!Z$2:Z$41,Stock!$C$2:$C$41,FuelShares!$A12,Stock!$C$2:$C$41,FuelShares!$C12)/SUMIF(Stock!$C$2:$C$41,FuelShares!$A12,Stock!Z$2:Z$41)</f>
        <v>0</v>
      </c>
      <c r="T12" s="3">
        <f>SUMIFS(Stock!AA$2:AA$41,Stock!$C$2:$C$41,FuelShares!$A12,Stock!$C$2:$C$41,FuelShares!$C12)/SUMIF(Stock!$C$2:$C$41,FuelShares!$A12,Stock!AA$2:AA$41)</f>
        <v>0</v>
      </c>
      <c r="U12" s="3">
        <f>SUMIFS(Stock!AB$2:AB$41,Stock!$C$2:$C$41,FuelShares!$A12,Stock!$C$2:$C$41,FuelShares!$C12)/SUMIF(Stock!$C$2:$C$41,FuelShares!$A12,Stock!AB$2:AB$41)</f>
        <v>0</v>
      </c>
      <c r="V12" s="3">
        <f>SUMIFS(Stock!AC$2:AC$41,Stock!$C$2:$C$41,FuelShares!$A12,Stock!$C$2:$C$41,FuelShares!$C12)/SUMIF(Stock!$C$2:$C$41,FuelShares!$A12,Stock!AC$2:AC$41)</f>
        <v>0</v>
      </c>
      <c r="W12" s="3">
        <f>SUMIFS(Stock!AD$2:AD$41,Stock!$C$2:$C$41,FuelShares!$A12,Stock!$C$2:$C$41,FuelShares!$C12)/SUMIF(Stock!$C$2:$C$41,FuelShares!$A12,Stock!AD$2:AD$41)</f>
        <v>0</v>
      </c>
      <c r="X12" s="3">
        <f>SUMIFS(Stock!AE$2:AE$41,Stock!$C$2:$C$41,FuelShares!$A12,Stock!$C$2:$C$41,FuelShares!$C12)/SUMIF(Stock!$C$2:$C$41,FuelShares!$A12,Stock!AE$2:AE$41)</f>
        <v>0.018975075470568616</v>
      </c>
      <c r="Y12" s="3">
        <f>SUMIFS(Stock!AF$2:AF$41,Stock!$C$2:$C$41,FuelShares!$A12,Stock!$C$2:$C$41,FuelShares!$C12)/SUMIF(Stock!$C$2:$C$41,FuelShares!$A12,Stock!AF$2:AF$41)</f>
        <v>0</v>
      </c>
      <c r="Z12" s="3">
        <f>SUMIFS(Stock!AG$2:AG$41,Stock!$C$2:$C$41,FuelShares!$A12,Stock!$C$2:$C$41,FuelShares!$C12)/SUMIF(Stock!$C$2:$C$41,FuelShares!$A12,Stock!AG$2:AG$41)</f>
        <v>0</v>
      </c>
      <c r="AA12" s="3">
        <f>SUMIFS(Stock!AH$2:AH$41,Stock!$C$2:$C$41,FuelShares!$A12,Stock!$C$2:$C$41,FuelShares!$C12)/SUMIF(Stock!$C$2:$C$41,FuelShares!$A12,Stock!AH$2:AH$41)</f>
        <v>0</v>
      </c>
      <c r="AB12" s="3">
        <f>SUMIFS(Stock!AI$2:AI$41,Stock!$C$2:$C$41,FuelShares!$A12,Stock!$C$2:$C$41,FuelShares!$C12)/SUMIF(Stock!$C$2:$C$41,FuelShares!$A12,Stock!AI$2:AI$41)</f>
        <v>0</v>
      </c>
      <c r="AC12" s="3">
        <f>SUMIFS(Stock!AJ$2:AJ$41,Stock!$C$2:$C$41,FuelShares!$A12,Stock!$C$2:$C$41,FuelShares!$C12)/SUMIF(Stock!$C$2:$C$41,FuelShares!$A12,Stock!AJ$2:AJ$41)</f>
        <v>0</v>
      </c>
      <c r="AD12" s="3">
        <f>SUMIFS(Stock!AK$2:AK$41,Stock!$C$2:$C$41,FuelShares!$A12,Stock!$C$2:$C$41,FuelShares!$C12)/SUMIF(Stock!$C$2:$C$41,FuelShares!$A12,Stock!AK$2:AK$41)</f>
        <v>0</v>
      </c>
      <c r="AE12" s="3">
        <f>SUMIFS(Stock!AL$2:AL$41,Stock!$C$2:$C$41,FuelShares!$A12,Stock!$C$2:$C$41,FuelShares!$C12)/SUMIF(Stock!$C$2:$C$41,FuelShares!$A12,Stock!AL$2:AL$41)</f>
        <v>0</v>
      </c>
      <c r="AF12" s="3">
        <f>SUMIFS(Stock!AM$2:AM$41,Stock!$C$2:$C$41,FuelShares!$A12,Stock!$C$2:$C$41,FuelShares!$C12)/SUMIF(Stock!$C$2:$C$41,FuelShares!$A12,Stock!AM$2:AM$41)</f>
        <v>0.00011763321962122101</v>
      </c>
      <c r="AG12" s="3">
        <f>SUMIFS(Stock!AN$2:AN$41,Stock!$C$2:$C$41,FuelShares!$A12,Stock!$C$2:$C$41,FuelShares!$C12)/SUMIF(Stock!$C$2:$C$41,FuelShares!$A12,Stock!AN$2:AN$41)</f>
        <v>0</v>
      </c>
      <c r="AH12" s="3">
        <f>SUMIFS(Stock!AO$2:AO$41,Stock!$C$2:$C$41,FuelShares!$A12,Stock!$C$2:$C$41,FuelShares!$C12)/SUMIF(Stock!$C$2:$C$41,FuelShares!$A12,Stock!AO$2:AO$41)</f>
        <v>0</v>
      </c>
      <c r="AI12" s="3">
        <f>SUMIFS(Stock!AP$2:AP$41,Stock!$C$2:$C$41,FuelShares!$A12,Stock!$C$2:$C$41,FuelShares!$C12)/SUMIF(Stock!$C$2:$C$41,FuelShares!$A12,Stock!AP$2:AP$41)</f>
        <v>0</v>
      </c>
      <c r="AJ12" s="3">
        <f>SUMIFS(Stock!AQ$2:AQ$41,Stock!$C$2:$C$41,FuelShares!$A12,Stock!$C$2:$C$41,FuelShares!$C12)/SUMIF(Stock!$C$2:$C$41,FuelShares!$A12,Stock!AQ$2:AQ$41)</f>
        <v>0</v>
      </c>
      <c r="AK12" s="3">
        <f>SUMIFS(Stock!AR$2:AR$41,Stock!$C$2:$C$41,FuelShares!$A12,Stock!$C$2:$C$41,FuelShares!$C12)/SUMIF(Stock!$C$2:$C$41,FuelShares!$A12,Stock!AR$2:AR$41)</f>
        <v>0.0054750226909224785</v>
      </c>
      <c r="AL12" s="3">
        <f>SUMIFS(Stock!AS$2:AS$41,Stock!$C$2:$C$41,FuelShares!$A12,Stock!$C$2:$C$41,FuelShares!$C12)/SUMIF(Stock!$C$2:$C$41,FuelShares!$A12,Stock!AS$2:AS$41)</f>
        <v>0.0057406335822472055</v>
      </c>
      <c r="AM12" s="3">
        <f>SUMIFS(Stock!AT$2:AT$41,Stock!$C$2:$C$41,FuelShares!$A12,Stock!$C$2:$C$41,FuelShares!$C12)/SUMIF(Stock!$C$2:$C$41,FuelShares!$A12,Stock!AT$2:AT$41)</f>
        <v>0</v>
      </c>
      <c r="AN12" s="3">
        <f>SUMIFS(Stock!AU$2:AU$41,Stock!$C$2:$C$41,FuelShares!$A12,Stock!$C$2:$C$41,FuelShares!$C12)/SUMIF(Stock!$C$2:$C$41,FuelShares!$A12,Stock!AU$2:AU$41)</f>
        <v>0</v>
      </c>
      <c r="AO12" s="3">
        <f>SUMIFS(Stock!AV$2:AV$41,Stock!$C$2:$C$41,FuelShares!$A12,Stock!$C$2:$C$41,FuelShares!$C12)/SUMIF(Stock!$C$2:$C$41,FuelShares!$A12,Stock!AV$2:AV$41)</f>
        <v>4.7290785037619102E-05</v>
      </c>
    </row>
    <row r="13" spans="1:41" ht="13.2">
      <c r="A13" t="str">
        <f>LEFT(Stock!C11,7)&amp;"*"</f>
        <v>TRA_Car*</v>
      </c>
      <c r="B13" t="str">
        <f>"*"&amp;RIGHT(Stock!C11,3)&amp;"*"</f>
        <v>*Lom*</v>
      </c>
      <c r="C13" t="str">
        <f>"*"&amp;MID(Stock!C11,9,3)&amp;"*"</f>
        <v>*Cng*</v>
      </c>
      <c r="E13" s="3">
        <f>SUMIFS(Stock!L$2:L$41,Stock!$C$2:$C$41,FuelShares!$A13,Stock!$C$2:$C$41,FuelShares!$C13)/SUMIF(Stock!$C$2:$C$41,FuelShares!$A13,Stock!L$2:L$41)</f>
        <v>0</v>
      </c>
      <c r="F13" s="3">
        <f>SUMIFS(Stock!M$2:M$41,Stock!$C$2:$C$41,FuelShares!$A13,Stock!$C$2:$C$41,FuelShares!$C13)/SUMIF(Stock!$C$2:$C$41,FuelShares!$A13,Stock!M$2:M$41)</f>
        <v>0</v>
      </c>
      <c r="G13" s="3">
        <f>SUMIFS(Stock!N$2:N$41,Stock!$C$2:$C$41,FuelShares!$A13,Stock!$C$2:$C$41,FuelShares!$C13)/SUMIF(Stock!$C$2:$C$41,FuelShares!$A13,Stock!N$2:N$41)</f>
        <v>0</v>
      </c>
      <c r="H13" s="3">
        <f>SUMIFS(Stock!O$2:O$41,Stock!$C$2:$C$41,FuelShares!$A13,Stock!$C$2:$C$41,FuelShares!$C13)/SUMIF(Stock!$C$2:$C$41,FuelShares!$A13,Stock!O$2:O$41)</f>
        <v>0</v>
      </c>
      <c r="I13" s="3">
        <f>SUMIFS(Stock!P$2:P$41,Stock!$C$2:$C$41,FuelShares!$A13,Stock!$C$2:$C$41,FuelShares!$C13)/SUMIF(Stock!$C$2:$C$41,FuelShares!$A13,Stock!P$2:P$41)</f>
        <v>0</v>
      </c>
      <c r="J13" s="3">
        <f>SUMIFS(Stock!Q$2:Q$41,Stock!$C$2:$C$41,FuelShares!$A13,Stock!$C$2:$C$41,FuelShares!$C13)/SUMIF(Stock!$C$2:$C$41,FuelShares!$A13,Stock!Q$2:Q$41)</f>
        <v>0.0016143951048007397</v>
      </c>
      <c r="K13" s="3">
        <f>SUMIFS(Stock!R$2:R$41,Stock!$C$2:$C$41,FuelShares!$A13,Stock!$C$2:$C$41,FuelShares!$C13)/SUMIF(Stock!$C$2:$C$41,FuelShares!$A13,Stock!R$2:R$41)</f>
        <v>0</v>
      </c>
      <c r="L13" s="3">
        <f>SUMIFS(Stock!S$2:S$41,Stock!$C$2:$C$41,FuelShares!$A13,Stock!$C$2:$C$41,FuelShares!$C13)/SUMIF(Stock!$C$2:$C$41,FuelShares!$A13,Stock!S$2:S$41)</f>
        <v>0</v>
      </c>
      <c r="M13" s="3">
        <f>SUMIFS(Stock!T$2:T$41,Stock!$C$2:$C$41,FuelShares!$A13,Stock!$C$2:$C$41,FuelShares!$C13)/SUMIF(Stock!$C$2:$C$41,FuelShares!$A13,Stock!T$2:T$41)</f>
        <v>0.0016120898094368703</v>
      </c>
      <c r="N13" s="3">
        <f>SUMIFS(Stock!U$2:U$41,Stock!$C$2:$C$41,FuelShares!$A13,Stock!$C$2:$C$41,FuelShares!$C13)/SUMIF(Stock!$C$2:$C$41,FuelShares!$A13,Stock!U$2:U$41)</f>
        <v>0</v>
      </c>
      <c r="O13" s="3">
        <f>SUMIFS(Stock!V$2:V$41,Stock!$C$2:$C$41,FuelShares!$A13,Stock!$C$2:$C$41,FuelShares!$C13)/SUMIF(Stock!$C$2:$C$41,FuelShares!$A13,Stock!V$2:V$41)</f>
        <v>0</v>
      </c>
      <c r="P13" s="3">
        <f>SUMIFS(Stock!W$2:W$41,Stock!$C$2:$C$41,FuelShares!$A13,Stock!$C$2:$C$41,FuelShares!$C13)/SUMIF(Stock!$C$2:$C$41,FuelShares!$A13,Stock!W$2:W$41)</f>
        <v>0</v>
      </c>
      <c r="Q13" s="3">
        <f>SUMIFS(Stock!X$2:X$41,Stock!$C$2:$C$41,FuelShares!$A13,Stock!$C$2:$C$41,FuelShares!$C13)/SUMIF(Stock!$C$2:$C$41,FuelShares!$A13,Stock!X$2:X$41)</f>
        <v>0</v>
      </c>
      <c r="R13" s="3">
        <f>SUMIFS(Stock!Y$2:Y$41,Stock!$C$2:$C$41,FuelShares!$A13,Stock!$C$2:$C$41,FuelShares!$C13)/SUMIF(Stock!$C$2:$C$41,FuelShares!$A13,Stock!Y$2:Y$41)</f>
        <v>0</v>
      </c>
      <c r="S13" s="3">
        <f>SUMIFS(Stock!Z$2:Z$41,Stock!$C$2:$C$41,FuelShares!$A13,Stock!$C$2:$C$41,FuelShares!$C13)/SUMIF(Stock!$C$2:$C$41,FuelShares!$A13,Stock!Z$2:Z$41)</f>
        <v>0</v>
      </c>
      <c r="T13" s="3">
        <f>SUMIFS(Stock!AA$2:AA$41,Stock!$C$2:$C$41,FuelShares!$A13,Stock!$C$2:$C$41,FuelShares!$C13)/SUMIF(Stock!$C$2:$C$41,FuelShares!$A13,Stock!AA$2:AA$41)</f>
        <v>0</v>
      </c>
      <c r="U13" s="3">
        <f>SUMIFS(Stock!AB$2:AB$41,Stock!$C$2:$C$41,FuelShares!$A13,Stock!$C$2:$C$41,FuelShares!$C13)/SUMIF(Stock!$C$2:$C$41,FuelShares!$A13,Stock!AB$2:AB$41)</f>
        <v>0</v>
      </c>
      <c r="V13" s="3">
        <f>SUMIFS(Stock!AC$2:AC$41,Stock!$C$2:$C$41,FuelShares!$A13,Stock!$C$2:$C$41,FuelShares!$C13)/SUMIF(Stock!$C$2:$C$41,FuelShares!$A13,Stock!AC$2:AC$41)</f>
        <v>0</v>
      </c>
      <c r="W13" s="3">
        <f>SUMIFS(Stock!AD$2:AD$41,Stock!$C$2:$C$41,FuelShares!$A13,Stock!$C$2:$C$41,FuelShares!$C13)/SUMIF(Stock!$C$2:$C$41,FuelShares!$A13,Stock!AD$2:AD$41)</f>
        <v>0</v>
      </c>
      <c r="X13" s="3">
        <f>SUMIFS(Stock!AE$2:AE$41,Stock!$C$2:$C$41,FuelShares!$A13,Stock!$C$2:$C$41,FuelShares!$C13)/SUMIF(Stock!$C$2:$C$41,FuelShares!$A13,Stock!AE$2:AE$41)</f>
        <v>0.018975075470568616</v>
      </c>
      <c r="Y13" s="3">
        <f>SUMIFS(Stock!AF$2:AF$41,Stock!$C$2:$C$41,FuelShares!$A13,Stock!$C$2:$C$41,FuelShares!$C13)/SUMIF(Stock!$C$2:$C$41,FuelShares!$A13,Stock!AF$2:AF$41)</f>
        <v>0</v>
      </c>
      <c r="Z13" s="3">
        <f>SUMIFS(Stock!AG$2:AG$41,Stock!$C$2:$C$41,FuelShares!$A13,Stock!$C$2:$C$41,FuelShares!$C13)/SUMIF(Stock!$C$2:$C$41,FuelShares!$A13,Stock!AG$2:AG$41)</f>
        <v>0</v>
      </c>
      <c r="AA13" s="3">
        <f>SUMIFS(Stock!AH$2:AH$41,Stock!$C$2:$C$41,FuelShares!$A13,Stock!$C$2:$C$41,FuelShares!$C13)/SUMIF(Stock!$C$2:$C$41,FuelShares!$A13,Stock!AH$2:AH$41)</f>
        <v>0</v>
      </c>
      <c r="AB13" s="3">
        <f>SUMIFS(Stock!AI$2:AI$41,Stock!$C$2:$C$41,FuelShares!$A13,Stock!$C$2:$C$41,FuelShares!$C13)/SUMIF(Stock!$C$2:$C$41,FuelShares!$A13,Stock!AI$2:AI$41)</f>
        <v>0</v>
      </c>
      <c r="AC13" s="3">
        <f>SUMIFS(Stock!AJ$2:AJ$41,Stock!$C$2:$C$41,FuelShares!$A13,Stock!$C$2:$C$41,FuelShares!$C13)/SUMIF(Stock!$C$2:$C$41,FuelShares!$A13,Stock!AJ$2:AJ$41)</f>
        <v>0</v>
      </c>
      <c r="AD13" s="3">
        <f>SUMIFS(Stock!AK$2:AK$41,Stock!$C$2:$C$41,FuelShares!$A13,Stock!$C$2:$C$41,FuelShares!$C13)/SUMIF(Stock!$C$2:$C$41,FuelShares!$A13,Stock!AK$2:AK$41)</f>
        <v>0</v>
      </c>
      <c r="AE13" s="3">
        <f>SUMIFS(Stock!AL$2:AL$41,Stock!$C$2:$C$41,FuelShares!$A13,Stock!$C$2:$C$41,FuelShares!$C13)/SUMIF(Stock!$C$2:$C$41,FuelShares!$A13,Stock!AL$2:AL$41)</f>
        <v>0</v>
      </c>
      <c r="AF13" s="3">
        <f>SUMIFS(Stock!AM$2:AM$41,Stock!$C$2:$C$41,FuelShares!$A13,Stock!$C$2:$C$41,FuelShares!$C13)/SUMIF(Stock!$C$2:$C$41,FuelShares!$A13,Stock!AM$2:AM$41)</f>
        <v>0.00011763321962122101</v>
      </c>
      <c r="AG13" s="3">
        <f>SUMIFS(Stock!AN$2:AN$41,Stock!$C$2:$C$41,FuelShares!$A13,Stock!$C$2:$C$41,FuelShares!$C13)/SUMIF(Stock!$C$2:$C$41,FuelShares!$A13,Stock!AN$2:AN$41)</f>
        <v>0</v>
      </c>
      <c r="AH13" s="3">
        <f>SUMIFS(Stock!AO$2:AO$41,Stock!$C$2:$C$41,FuelShares!$A13,Stock!$C$2:$C$41,FuelShares!$C13)/SUMIF(Stock!$C$2:$C$41,FuelShares!$A13,Stock!AO$2:AO$41)</f>
        <v>0</v>
      </c>
      <c r="AI13" s="3">
        <f>SUMIFS(Stock!AP$2:AP$41,Stock!$C$2:$C$41,FuelShares!$A13,Stock!$C$2:$C$41,FuelShares!$C13)/SUMIF(Stock!$C$2:$C$41,FuelShares!$A13,Stock!AP$2:AP$41)</f>
        <v>0</v>
      </c>
      <c r="AJ13" s="3">
        <f>SUMIFS(Stock!AQ$2:AQ$41,Stock!$C$2:$C$41,FuelShares!$A13,Stock!$C$2:$C$41,FuelShares!$C13)/SUMIF(Stock!$C$2:$C$41,FuelShares!$A13,Stock!AQ$2:AQ$41)</f>
        <v>0</v>
      </c>
      <c r="AK13" s="3">
        <f>SUMIFS(Stock!AR$2:AR$41,Stock!$C$2:$C$41,FuelShares!$A13,Stock!$C$2:$C$41,FuelShares!$C13)/SUMIF(Stock!$C$2:$C$41,FuelShares!$A13,Stock!AR$2:AR$41)</f>
        <v>0.0054750226909224785</v>
      </c>
      <c r="AL13" s="3">
        <f>SUMIFS(Stock!AS$2:AS$41,Stock!$C$2:$C$41,FuelShares!$A13,Stock!$C$2:$C$41,FuelShares!$C13)/SUMIF(Stock!$C$2:$C$41,FuelShares!$A13,Stock!AS$2:AS$41)</f>
        <v>0.0057406335822472055</v>
      </c>
      <c r="AM13" s="3">
        <f>SUMIFS(Stock!AT$2:AT$41,Stock!$C$2:$C$41,FuelShares!$A13,Stock!$C$2:$C$41,FuelShares!$C13)/SUMIF(Stock!$C$2:$C$41,FuelShares!$A13,Stock!AT$2:AT$41)</f>
        <v>0</v>
      </c>
      <c r="AN13" s="3">
        <f>SUMIFS(Stock!AU$2:AU$41,Stock!$C$2:$C$41,FuelShares!$A13,Stock!$C$2:$C$41,FuelShares!$C13)/SUMIF(Stock!$C$2:$C$41,FuelShares!$A13,Stock!AU$2:AU$41)</f>
        <v>0</v>
      </c>
      <c r="AO13" s="3">
        <f>SUMIFS(Stock!AV$2:AV$41,Stock!$C$2:$C$41,FuelShares!$A13,Stock!$C$2:$C$41,FuelShares!$C13)/SUMIF(Stock!$C$2:$C$41,FuelShares!$A13,Stock!AV$2:AV$41)</f>
        <v>4.7290785037619102E-05</v>
      </c>
    </row>
    <row r="14" spans="1:41" ht="13.2">
      <c r="A14" t="str">
        <f>LEFT(Stock!C12,7)&amp;"*"</f>
        <v>TRA_Car*</v>
      </c>
      <c r="B14" t="str">
        <f>"*"&amp;RIGHT(Stock!C12,3)&amp;"*"</f>
        <v>*Sma*</v>
      </c>
      <c r="C14" t="str">
        <f>"*"&amp;MID(Stock!C12,9,3)&amp;"*"</f>
        <v>*Cng*</v>
      </c>
      <c r="E14" s="3">
        <f>SUMIFS(Stock!L$2:L$41,Stock!$C$2:$C$41,FuelShares!$A14,Stock!$C$2:$C$41,FuelShares!$C14)/SUMIF(Stock!$C$2:$C$41,FuelShares!$A14,Stock!L$2:L$41)</f>
        <v>0</v>
      </c>
      <c r="F14" s="3">
        <f>SUMIFS(Stock!M$2:M$41,Stock!$C$2:$C$41,FuelShares!$A14,Stock!$C$2:$C$41,FuelShares!$C14)/SUMIF(Stock!$C$2:$C$41,FuelShares!$A14,Stock!M$2:M$41)</f>
        <v>0</v>
      </c>
      <c r="G14" s="3">
        <f>SUMIFS(Stock!N$2:N$41,Stock!$C$2:$C$41,FuelShares!$A14,Stock!$C$2:$C$41,FuelShares!$C14)/SUMIF(Stock!$C$2:$C$41,FuelShares!$A14,Stock!N$2:N$41)</f>
        <v>0</v>
      </c>
      <c r="H14" s="3">
        <f>SUMIFS(Stock!O$2:O$41,Stock!$C$2:$C$41,FuelShares!$A14,Stock!$C$2:$C$41,FuelShares!$C14)/SUMIF(Stock!$C$2:$C$41,FuelShares!$A14,Stock!O$2:O$41)</f>
        <v>0</v>
      </c>
      <c r="I14" s="3">
        <f>SUMIFS(Stock!P$2:P$41,Stock!$C$2:$C$41,FuelShares!$A14,Stock!$C$2:$C$41,FuelShares!$C14)/SUMIF(Stock!$C$2:$C$41,FuelShares!$A14,Stock!P$2:P$41)</f>
        <v>0</v>
      </c>
      <c r="J14" s="3">
        <f>SUMIFS(Stock!Q$2:Q$41,Stock!$C$2:$C$41,FuelShares!$A14,Stock!$C$2:$C$41,FuelShares!$C14)/SUMIF(Stock!$C$2:$C$41,FuelShares!$A14,Stock!Q$2:Q$41)</f>
        <v>0.0016143951048007397</v>
      </c>
      <c r="K14" s="3">
        <f>SUMIFS(Stock!R$2:R$41,Stock!$C$2:$C$41,FuelShares!$A14,Stock!$C$2:$C$41,FuelShares!$C14)/SUMIF(Stock!$C$2:$C$41,FuelShares!$A14,Stock!R$2:R$41)</f>
        <v>0</v>
      </c>
      <c r="L14" s="3">
        <f>SUMIFS(Stock!S$2:S$41,Stock!$C$2:$C$41,FuelShares!$A14,Stock!$C$2:$C$41,FuelShares!$C14)/SUMIF(Stock!$C$2:$C$41,FuelShares!$A14,Stock!S$2:S$41)</f>
        <v>0</v>
      </c>
      <c r="M14" s="3">
        <f>SUMIFS(Stock!T$2:T$41,Stock!$C$2:$C$41,FuelShares!$A14,Stock!$C$2:$C$41,FuelShares!$C14)/SUMIF(Stock!$C$2:$C$41,FuelShares!$A14,Stock!T$2:T$41)</f>
        <v>0.0016120898094368703</v>
      </c>
      <c r="N14" s="3">
        <f>SUMIFS(Stock!U$2:U$41,Stock!$C$2:$C$41,FuelShares!$A14,Stock!$C$2:$C$41,FuelShares!$C14)/SUMIF(Stock!$C$2:$C$41,FuelShares!$A14,Stock!U$2:U$41)</f>
        <v>0</v>
      </c>
      <c r="O14" s="3">
        <f>SUMIFS(Stock!V$2:V$41,Stock!$C$2:$C$41,FuelShares!$A14,Stock!$C$2:$C$41,FuelShares!$C14)/SUMIF(Stock!$C$2:$C$41,FuelShares!$A14,Stock!V$2:V$41)</f>
        <v>0</v>
      </c>
      <c r="P14" s="3">
        <f>SUMIFS(Stock!W$2:W$41,Stock!$C$2:$C$41,FuelShares!$A14,Stock!$C$2:$C$41,FuelShares!$C14)/SUMIF(Stock!$C$2:$C$41,FuelShares!$A14,Stock!W$2:W$41)</f>
        <v>0</v>
      </c>
      <c r="Q14" s="3">
        <f>SUMIFS(Stock!X$2:X$41,Stock!$C$2:$C$41,FuelShares!$A14,Stock!$C$2:$C$41,FuelShares!$C14)/SUMIF(Stock!$C$2:$C$41,FuelShares!$A14,Stock!X$2:X$41)</f>
        <v>0</v>
      </c>
      <c r="R14" s="3">
        <f>SUMIFS(Stock!Y$2:Y$41,Stock!$C$2:$C$41,FuelShares!$A14,Stock!$C$2:$C$41,FuelShares!$C14)/SUMIF(Stock!$C$2:$C$41,FuelShares!$A14,Stock!Y$2:Y$41)</f>
        <v>0</v>
      </c>
      <c r="S14" s="3">
        <f>SUMIFS(Stock!Z$2:Z$41,Stock!$C$2:$C$41,FuelShares!$A14,Stock!$C$2:$C$41,FuelShares!$C14)/SUMIF(Stock!$C$2:$C$41,FuelShares!$A14,Stock!Z$2:Z$41)</f>
        <v>0</v>
      </c>
      <c r="T14" s="3">
        <f>SUMIFS(Stock!AA$2:AA$41,Stock!$C$2:$C$41,FuelShares!$A14,Stock!$C$2:$C$41,FuelShares!$C14)/SUMIF(Stock!$C$2:$C$41,FuelShares!$A14,Stock!AA$2:AA$41)</f>
        <v>0</v>
      </c>
      <c r="U14" s="3">
        <f>SUMIFS(Stock!AB$2:AB$41,Stock!$C$2:$C$41,FuelShares!$A14,Stock!$C$2:$C$41,FuelShares!$C14)/SUMIF(Stock!$C$2:$C$41,FuelShares!$A14,Stock!AB$2:AB$41)</f>
        <v>0</v>
      </c>
      <c r="V14" s="3">
        <f>SUMIFS(Stock!AC$2:AC$41,Stock!$C$2:$C$41,FuelShares!$A14,Stock!$C$2:$C$41,FuelShares!$C14)/SUMIF(Stock!$C$2:$C$41,FuelShares!$A14,Stock!AC$2:AC$41)</f>
        <v>0</v>
      </c>
      <c r="W14" s="3">
        <f>SUMIFS(Stock!AD$2:AD$41,Stock!$C$2:$C$41,FuelShares!$A14,Stock!$C$2:$C$41,FuelShares!$C14)/SUMIF(Stock!$C$2:$C$41,FuelShares!$A14,Stock!AD$2:AD$41)</f>
        <v>0</v>
      </c>
      <c r="X14" s="3">
        <f>SUMIFS(Stock!AE$2:AE$41,Stock!$C$2:$C$41,FuelShares!$A14,Stock!$C$2:$C$41,FuelShares!$C14)/SUMIF(Stock!$C$2:$C$41,FuelShares!$A14,Stock!AE$2:AE$41)</f>
        <v>0.018975075470568616</v>
      </c>
      <c r="Y14" s="3">
        <f>SUMIFS(Stock!AF$2:AF$41,Stock!$C$2:$C$41,FuelShares!$A14,Stock!$C$2:$C$41,FuelShares!$C14)/SUMIF(Stock!$C$2:$C$41,FuelShares!$A14,Stock!AF$2:AF$41)</f>
        <v>0</v>
      </c>
      <c r="Z14" s="3">
        <f>SUMIFS(Stock!AG$2:AG$41,Stock!$C$2:$C$41,FuelShares!$A14,Stock!$C$2:$C$41,FuelShares!$C14)/SUMIF(Stock!$C$2:$C$41,FuelShares!$A14,Stock!AG$2:AG$41)</f>
        <v>0</v>
      </c>
      <c r="AA14" s="3">
        <f>SUMIFS(Stock!AH$2:AH$41,Stock!$C$2:$C$41,FuelShares!$A14,Stock!$C$2:$C$41,FuelShares!$C14)/SUMIF(Stock!$C$2:$C$41,FuelShares!$A14,Stock!AH$2:AH$41)</f>
        <v>0</v>
      </c>
      <c r="AB14" s="3">
        <f>SUMIFS(Stock!AI$2:AI$41,Stock!$C$2:$C$41,FuelShares!$A14,Stock!$C$2:$C$41,FuelShares!$C14)/SUMIF(Stock!$C$2:$C$41,FuelShares!$A14,Stock!AI$2:AI$41)</f>
        <v>0</v>
      </c>
      <c r="AC14" s="3">
        <f>SUMIFS(Stock!AJ$2:AJ$41,Stock!$C$2:$C$41,FuelShares!$A14,Stock!$C$2:$C$41,FuelShares!$C14)/SUMIF(Stock!$C$2:$C$41,FuelShares!$A14,Stock!AJ$2:AJ$41)</f>
        <v>0</v>
      </c>
      <c r="AD14" s="3">
        <f>SUMIFS(Stock!AK$2:AK$41,Stock!$C$2:$C$41,FuelShares!$A14,Stock!$C$2:$C$41,FuelShares!$C14)/SUMIF(Stock!$C$2:$C$41,FuelShares!$A14,Stock!AK$2:AK$41)</f>
        <v>0</v>
      </c>
      <c r="AE14" s="3">
        <f>SUMIFS(Stock!AL$2:AL$41,Stock!$C$2:$C$41,FuelShares!$A14,Stock!$C$2:$C$41,FuelShares!$C14)/SUMIF(Stock!$C$2:$C$41,FuelShares!$A14,Stock!AL$2:AL$41)</f>
        <v>0</v>
      </c>
      <c r="AF14" s="3">
        <f>SUMIFS(Stock!AM$2:AM$41,Stock!$C$2:$C$41,FuelShares!$A14,Stock!$C$2:$C$41,FuelShares!$C14)/SUMIF(Stock!$C$2:$C$41,FuelShares!$A14,Stock!AM$2:AM$41)</f>
        <v>0.00011763321962122101</v>
      </c>
      <c r="AG14" s="3">
        <f>SUMIFS(Stock!AN$2:AN$41,Stock!$C$2:$C$41,FuelShares!$A14,Stock!$C$2:$C$41,FuelShares!$C14)/SUMIF(Stock!$C$2:$C$41,FuelShares!$A14,Stock!AN$2:AN$41)</f>
        <v>0</v>
      </c>
      <c r="AH14" s="3">
        <f>SUMIFS(Stock!AO$2:AO$41,Stock!$C$2:$C$41,FuelShares!$A14,Stock!$C$2:$C$41,FuelShares!$C14)/SUMIF(Stock!$C$2:$C$41,FuelShares!$A14,Stock!AO$2:AO$41)</f>
        <v>0</v>
      </c>
      <c r="AI14" s="3">
        <f>SUMIFS(Stock!AP$2:AP$41,Stock!$C$2:$C$41,FuelShares!$A14,Stock!$C$2:$C$41,FuelShares!$C14)/SUMIF(Stock!$C$2:$C$41,FuelShares!$A14,Stock!AP$2:AP$41)</f>
        <v>0</v>
      </c>
      <c r="AJ14" s="3">
        <f>SUMIFS(Stock!AQ$2:AQ$41,Stock!$C$2:$C$41,FuelShares!$A14,Stock!$C$2:$C$41,FuelShares!$C14)/SUMIF(Stock!$C$2:$C$41,FuelShares!$A14,Stock!AQ$2:AQ$41)</f>
        <v>0</v>
      </c>
      <c r="AK14" s="3">
        <f>SUMIFS(Stock!AR$2:AR$41,Stock!$C$2:$C$41,FuelShares!$A14,Stock!$C$2:$C$41,FuelShares!$C14)/SUMIF(Stock!$C$2:$C$41,FuelShares!$A14,Stock!AR$2:AR$41)</f>
        <v>0.0054750226909224785</v>
      </c>
      <c r="AL14" s="3">
        <f>SUMIFS(Stock!AS$2:AS$41,Stock!$C$2:$C$41,FuelShares!$A14,Stock!$C$2:$C$41,FuelShares!$C14)/SUMIF(Stock!$C$2:$C$41,FuelShares!$A14,Stock!AS$2:AS$41)</f>
        <v>0.0057406335822472055</v>
      </c>
      <c r="AM14" s="3">
        <f>SUMIFS(Stock!AT$2:AT$41,Stock!$C$2:$C$41,FuelShares!$A14,Stock!$C$2:$C$41,FuelShares!$C14)/SUMIF(Stock!$C$2:$C$41,FuelShares!$A14,Stock!AT$2:AT$41)</f>
        <v>0</v>
      </c>
      <c r="AN14" s="3">
        <f>SUMIFS(Stock!AU$2:AU$41,Stock!$C$2:$C$41,FuelShares!$A14,Stock!$C$2:$C$41,FuelShares!$C14)/SUMIF(Stock!$C$2:$C$41,FuelShares!$A14,Stock!AU$2:AU$41)</f>
        <v>0</v>
      </c>
      <c r="AO14" s="3">
        <f>SUMIFS(Stock!AV$2:AV$41,Stock!$C$2:$C$41,FuelShares!$A14,Stock!$C$2:$C$41,FuelShares!$C14)/SUMIF(Stock!$C$2:$C$41,FuelShares!$A14,Stock!AV$2:AV$41)</f>
        <v>4.7290785037619102E-05</v>
      </c>
    </row>
    <row r="15" spans="1:41" ht="13.2">
      <c r="A15" t="str">
        <f>LEFT(Stock!C13,7)&amp;"*"</f>
        <v>TRA_Car*</v>
      </c>
      <c r="B15" t="str">
        <f>"*"&amp;RIGHT(Stock!C13,3)&amp;"*"</f>
        <v>*Upm*</v>
      </c>
      <c r="C15" t="str">
        <f>"*"&amp;MID(Stock!C13,9,3)&amp;"*"</f>
        <v>*Cng*</v>
      </c>
      <c r="E15" s="3">
        <f>SUMIFS(Stock!L$2:L$41,Stock!$C$2:$C$41,FuelShares!$A15,Stock!$C$2:$C$41,FuelShares!$C15)/SUMIF(Stock!$C$2:$C$41,FuelShares!$A15,Stock!L$2:L$41)</f>
        <v>0</v>
      </c>
      <c r="F15" s="3">
        <f>SUMIFS(Stock!M$2:M$41,Stock!$C$2:$C$41,FuelShares!$A15,Stock!$C$2:$C$41,FuelShares!$C15)/SUMIF(Stock!$C$2:$C$41,FuelShares!$A15,Stock!M$2:M$41)</f>
        <v>0</v>
      </c>
      <c r="G15" s="3">
        <f>SUMIFS(Stock!N$2:N$41,Stock!$C$2:$C$41,FuelShares!$A15,Stock!$C$2:$C$41,FuelShares!$C15)/SUMIF(Stock!$C$2:$C$41,FuelShares!$A15,Stock!N$2:N$41)</f>
        <v>0</v>
      </c>
      <c r="H15" s="3">
        <f>SUMIFS(Stock!O$2:O$41,Stock!$C$2:$C$41,FuelShares!$A15,Stock!$C$2:$C$41,FuelShares!$C15)/SUMIF(Stock!$C$2:$C$41,FuelShares!$A15,Stock!O$2:O$41)</f>
        <v>0</v>
      </c>
      <c r="I15" s="3">
        <f>SUMIFS(Stock!P$2:P$41,Stock!$C$2:$C$41,FuelShares!$A15,Stock!$C$2:$C$41,FuelShares!$C15)/SUMIF(Stock!$C$2:$C$41,FuelShares!$A15,Stock!P$2:P$41)</f>
        <v>0</v>
      </c>
      <c r="J15" s="3">
        <f>SUMIFS(Stock!Q$2:Q$41,Stock!$C$2:$C$41,FuelShares!$A15,Stock!$C$2:$C$41,FuelShares!$C15)/SUMIF(Stock!$C$2:$C$41,FuelShares!$A15,Stock!Q$2:Q$41)</f>
        <v>0.0016143951048007397</v>
      </c>
      <c r="K15" s="3">
        <f>SUMIFS(Stock!R$2:R$41,Stock!$C$2:$C$41,FuelShares!$A15,Stock!$C$2:$C$41,FuelShares!$C15)/SUMIF(Stock!$C$2:$C$41,FuelShares!$A15,Stock!R$2:R$41)</f>
        <v>0</v>
      </c>
      <c r="L15" s="3">
        <f>SUMIFS(Stock!S$2:S$41,Stock!$C$2:$C$41,FuelShares!$A15,Stock!$C$2:$C$41,FuelShares!$C15)/SUMIF(Stock!$C$2:$C$41,FuelShares!$A15,Stock!S$2:S$41)</f>
        <v>0</v>
      </c>
      <c r="M15" s="3">
        <f>SUMIFS(Stock!T$2:T$41,Stock!$C$2:$C$41,FuelShares!$A15,Stock!$C$2:$C$41,FuelShares!$C15)/SUMIF(Stock!$C$2:$C$41,FuelShares!$A15,Stock!T$2:T$41)</f>
        <v>0.0016120898094368703</v>
      </c>
      <c r="N15" s="3">
        <f>SUMIFS(Stock!U$2:U$41,Stock!$C$2:$C$41,FuelShares!$A15,Stock!$C$2:$C$41,FuelShares!$C15)/SUMIF(Stock!$C$2:$C$41,FuelShares!$A15,Stock!U$2:U$41)</f>
        <v>0</v>
      </c>
      <c r="O15" s="3">
        <f>SUMIFS(Stock!V$2:V$41,Stock!$C$2:$C$41,FuelShares!$A15,Stock!$C$2:$C$41,FuelShares!$C15)/SUMIF(Stock!$C$2:$C$41,FuelShares!$A15,Stock!V$2:V$41)</f>
        <v>0</v>
      </c>
      <c r="P15" s="3">
        <f>SUMIFS(Stock!W$2:W$41,Stock!$C$2:$C$41,FuelShares!$A15,Stock!$C$2:$C$41,FuelShares!$C15)/SUMIF(Stock!$C$2:$C$41,FuelShares!$A15,Stock!W$2:W$41)</f>
        <v>0</v>
      </c>
      <c r="Q15" s="3">
        <f>SUMIFS(Stock!X$2:X$41,Stock!$C$2:$C$41,FuelShares!$A15,Stock!$C$2:$C$41,FuelShares!$C15)/SUMIF(Stock!$C$2:$C$41,FuelShares!$A15,Stock!X$2:X$41)</f>
        <v>0</v>
      </c>
      <c r="R15" s="3">
        <f>SUMIFS(Stock!Y$2:Y$41,Stock!$C$2:$C$41,FuelShares!$A15,Stock!$C$2:$C$41,FuelShares!$C15)/SUMIF(Stock!$C$2:$C$41,FuelShares!$A15,Stock!Y$2:Y$41)</f>
        <v>0</v>
      </c>
      <c r="S15" s="3">
        <f>SUMIFS(Stock!Z$2:Z$41,Stock!$C$2:$C$41,FuelShares!$A15,Stock!$C$2:$C$41,FuelShares!$C15)/SUMIF(Stock!$C$2:$C$41,FuelShares!$A15,Stock!Z$2:Z$41)</f>
        <v>0</v>
      </c>
      <c r="T15" s="3">
        <f>SUMIFS(Stock!AA$2:AA$41,Stock!$C$2:$C$41,FuelShares!$A15,Stock!$C$2:$C$41,FuelShares!$C15)/SUMIF(Stock!$C$2:$C$41,FuelShares!$A15,Stock!AA$2:AA$41)</f>
        <v>0</v>
      </c>
      <c r="U15" s="3">
        <f>SUMIFS(Stock!AB$2:AB$41,Stock!$C$2:$C$41,FuelShares!$A15,Stock!$C$2:$C$41,FuelShares!$C15)/SUMIF(Stock!$C$2:$C$41,FuelShares!$A15,Stock!AB$2:AB$41)</f>
        <v>0</v>
      </c>
      <c r="V15" s="3">
        <f>SUMIFS(Stock!AC$2:AC$41,Stock!$C$2:$C$41,FuelShares!$A15,Stock!$C$2:$C$41,FuelShares!$C15)/SUMIF(Stock!$C$2:$C$41,FuelShares!$A15,Stock!AC$2:AC$41)</f>
        <v>0</v>
      </c>
      <c r="W15" s="3">
        <f>SUMIFS(Stock!AD$2:AD$41,Stock!$C$2:$C$41,FuelShares!$A15,Stock!$C$2:$C$41,FuelShares!$C15)/SUMIF(Stock!$C$2:$C$41,FuelShares!$A15,Stock!AD$2:AD$41)</f>
        <v>0</v>
      </c>
      <c r="X15" s="3">
        <f>SUMIFS(Stock!AE$2:AE$41,Stock!$C$2:$C$41,FuelShares!$A15,Stock!$C$2:$C$41,FuelShares!$C15)/SUMIF(Stock!$C$2:$C$41,FuelShares!$A15,Stock!AE$2:AE$41)</f>
        <v>0.018975075470568616</v>
      </c>
      <c r="Y15" s="3">
        <f>SUMIFS(Stock!AF$2:AF$41,Stock!$C$2:$C$41,FuelShares!$A15,Stock!$C$2:$C$41,FuelShares!$C15)/SUMIF(Stock!$C$2:$C$41,FuelShares!$A15,Stock!AF$2:AF$41)</f>
        <v>0</v>
      </c>
      <c r="Z15" s="3">
        <f>SUMIFS(Stock!AG$2:AG$41,Stock!$C$2:$C$41,FuelShares!$A15,Stock!$C$2:$C$41,FuelShares!$C15)/SUMIF(Stock!$C$2:$C$41,FuelShares!$A15,Stock!AG$2:AG$41)</f>
        <v>0</v>
      </c>
      <c r="AA15" s="3">
        <f>SUMIFS(Stock!AH$2:AH$41,Stock!$C$2:$C$41,FuelShares!$A15,Stock!$C$2:$C$41,FuelShares!$C15)/SUMIF(Stock!$C$2:$C$41,FuelShares!$A15,Stock!AH$2:AH$41)</f>
        <v>0</v>
      </c>
      <c r="AB15" s="3">
        <f>SUMIFS(Stock!AI$2:AI$41,Stock!$C$2:$C$41,FuelShares!$A15,Stock!$C$2:$C$41,FuelShares!$C15)/SUMIF(Stock!$C$2:$C$41,FuelShares!$A15,Stock!AI$2:AI$41)</f>
        <v>0</v>
      </c>
      <c r="AC15" s="3">
        <f>SUMIFS(Stock!AJ$2:AJ$41,Stock!$C$2:$C$41,FuelShares!$A15,Stock!$C$2:$C$41,FuelShares!$C15)/SUMIF(Stock!$C$2:$C$41,FuelShares!$A15,Stock!AJ$2:AJ$41)</f>
        <v>0</v>
      </c>
      <c r="AD15" s="3">
        <f>SUMIFS(Stock!AK$2:AK$41,Stock!$C$2:$C$41,FuelShares!$A15,Stock!$C$2:$C$41,FuelShares!$C15)/SUMIF(Stock!$C$2:$C$41,FuelShares!$A15,Stock!AK$2:AK$41)</f>
        <v>0</v>
      </c>
      <c r="AE15" s="3">
        <f>SUMIFS(Stock!AL$2:AL$41,Stock!$C$2:$C$41,FuelShares!$A15,Stock!$C$2:$C$41,FuelShares!$C15)/SUMIF(Stock!$C$2:$C$41,FuelShares!$A15,Stock!AL$2:AL$41)</f>
        <v>0</v>
      </c>
      <c r="AF15" s="3">
        <f>SUMIFS(Stock!AM$2:AM$41,Stock!$C$2:$C$41,FuelShares!$A15,Stock!$C$2:$C$41,FuelShares!$C15)/SUMIF(Stock!$C$2:$C$41,FuelShares!$A15,Stock!AM$2:AM$41)</f>
        <v>0.00011763321962122101</v>
      </c>
      <c r="AG15" s="3">
        <f>SUMIFS(Stock!AN$2:AN$41,Stock!$C$2:$C$41,FuelShares!$A15,Stock!$C$2:$C$41,FuelShares!$C15)/SUMIF(Stock!$C$2:$C$41,FuelShares!$A15,Stock!AN$2:AN$41)</f>
        <v>0</v>
      </c>
      <c r="AH15" s="3">
        <f>SUMIFS(Stock!AO$2:AO$41,Stock!$C$2:$C$41,FuelShares!$A15,Stock!$C$2:$C$41,FuelShares!$C15)/SUMIF(Stock!$C$2:$C$41,FuelShares!$A15,Stock!AO$2:AO$41)</f>
        <v>0</v>
      </c>
      <c r="AI15" s="3">
        <f>SUMIFS(Stock!AP$2:AP$41,Stock!$C$2:$C$41,FuelShares!$A15,Stock!$C$2:$C$41,FuelShares!$C15)/SUMIF(Stock!$C$2:$C$41,FuelShares!$A15,Stock!AP$2:AP$41)</f>
        <v>0</v>
      </c>
      <c r="AJ15" s="3">
        <f>SUMIFS(Stock!AQ$2:AQ$41,Stock!$C$2:$C$41,FuelShares!$A15,Stock!$C$2:$C$41,FuelShares!$C15)/SUMIF(Stock!$C$2:$C$41,FuelShares!$A15,Stock!AQ$2:AQ$41)</f>
        <v>0</v>
      </c>
      <c r="AK15" s="3">
        <f>SUMIFS(Stock!AR$2:AR$41,Stock!$C$2:$C$41,FuelShares!$A15,Stock!$C$2:$C$41,FuelShares!$C15)/SUMIF(Stock!$C$2:$C$41,FuelShares!$A15,Stock!AR$2:AR$41)</f>
        <v>0.0054750226909224785</v>
      </c>
      <c r="AL15" s="3">
        <f>SUMIFS(Stock!AS$2:AS$41,Stock!$C$2:$C$41,FuelShares!$A15,Stock!$C$2:$C$41,FuelShares!$C15)/SUMIF(Stock!$C$2:$C$41,FuelShares!$A15,Stock!AS$2:AS$41)</f>
        <v>0.0057406335822472055</v>
      </c>
      <c r="AM15" s="3">
        <f>SUMIFS(Stock!AT$2:AT$41,Stock!$C$2:$C$41,FuelShares!$A15,Stock!$C$2:$C$41,FuelShares!$C15)/SUMIF(Stock!$C$2:$C$41,FuelShares!$A15,Stock!AT$2:AT$41)</f>
        <v>0</v>
      </c>
      <c r="AN15" s="3">
        <f>SUMIFS(Stock!AU$2:AU$41,Stock!$C$2:$C$41,FuelShares!$A15,Stock!$C$2:$C$41,FuelShares!$C15)/SUMIF(Stock!$C$2:$C$41,FuelShares!$A15,Stock!AU$2:AU$41)</f>
        <v>0</v>
      </c>
      <c r="AO15" s="3">
        <f>SUMIFS(Stock!AV$2:AV$41,Stock!$C$2:$C$41,FuelShares!$A15,Stock!$C$2:$C$41,FuelShares!$C15)/SUMIF(Stock!$C$2:$C$41,FuelShares!$A15,Stock!AV$2:AV$41)</f>
        <v>4.7290785037619102E-05</v>
      </c>
    </row>
    <row r="16" spans="1:41" ht="13.2">
      <c r="A16" t="str">
        <f>LEFT(Stock!C14,7)&amp;"*"</f>
        <v>TRA_Car*</v>
      </c>
      <c r="B16" t="str">
        <f>"*"&amp;RIGHT(Stock!C14,3)&amp;"*"</f>
        <v>*Exe*</v>
      </c>
      <c r="C16" t="str">
        <f>"*"&amp;MID(Stock!C14,9,3)&amp;"*"</f>
        <v>*Dis*</v>
      </c>
      <c r="E16" s="3">
        <f>SUMIFS(Stock!L$2:L$41,Stock!$C$2:$C$41,FuelShares!$A16,Stock!$C$2:$C$41,FuelShares!$C16)/SUMIF(Stock!$C$2:$C$41,FuelShares!$A16,Stock!L$2:L$41)</f>
        <v>0.16784837187435506</v>
      </c>
      <c r="F16" s="3">
        <f>SUMIFS(Stock!M$2:M$41,Stock!$C$2:$C$41,FuelShares!$A16,Stock!$C$2:$C$41,FuelShares!$C16)/SUMIF(Stock!$C$2:$C$41,FuelShares!$A16,Stock!M$2:M$41)</f>
        <v>0.56356561847744857</v>
      </c>
      <c r="G16" s="3">
        <f>SUMIFS(Stock!N$2:N$41,Stock!$C$2:$C$41,FuelShares!$A16,Stock!$C$2:$C$41,FuelShares!$C16)/SUMIF(Stock!$C$2:$C$41,FuelShares!$A16,Stock!N$2:N$41)</f>
        <v>0.4954214924710354</v>
      </c>
      <c r="H16" s="3">
        <f>SUMIFS(Stock!O$2:O$41,Stock!$C$2:$C$41,FuelShares!$A16,Stock!$C$2:$C$41,FuelShares!$C16)/SUMIF(Stock!$C$2:$C$41,FuelShares!$A16,Stock!O$2:O$41)</f>
        <v>0.60792147827634324</v>
      </c>
      <c r="I16" s="3">
        <f>SUMIFS(Stock!P$2:P$41,Stock!$C$2:$C$41,FuelShares!$A16,Stock!$C$2:$C$41,FuelShares!$C16)/SUMIF(Stock!$C$2:$C$41,FuelShares!$A16,Stock!P$2:P$41)</f>
        <v>0.36471669949526037</v>
      </c>
      <c r="J16" s="3">
        <f>SUMIFS(Stock!Q$2:Q$41,Stock!$C$2:$C$41,FuelShares!$A16,Stock!$C$2:$C$41,FuelShares!$C16)/SUMIF(Stock!$C$2:$C$41,FuelShares!$A16,Stock!Q$2:Q$41)</f>
        <v>0.18202672829828526</v>
      </c>
      <c r="K16" s="3">
        <f>SUMIFS(Stock!R$2:R$41,Stock!$C$2:$C$41,FuelShares!$A16,Stock!$C$2:$C$41,FuelShares!$C16)/SUMIF(Stock!$C$2:$C$41,FuelShares!$A16,Stock!R$2:R$41)</f>
        <v>0.10515490903651627</v>
      </c>
      <c r="L16" s="3">
        <f>SUMIFS(Stock!S$2:S$41,Stock!$C$2:$C$41,FuelShares!$A16,Stock!$C$2:$C$41,FuelShares!$C16)/SUMIF(Stock!$C$2:$C$41,FuelShares!$A16,Stock!S$2:S$41)</f>
        <v>0.26823843416370108</v>
      </c>
      <c r="M16" s="3">
        <f>SUMIFS(Stock!T$2:T$41,Stock!$C$2:$C$41,FuelShares!$A16,Stock!$C$2:$C$41,FuelShares!$C16)/SUMIF(Stock!$C$2:$C$41,FuelShares!$A16,Stock!T$2:T$41)</f>
        <v>0.26459060095952469</v>
      </c>
      <c r="N16" s="3">
        <f>SUMIFS(Stock!U$2:U$41,Stock!$C$2:$C$41,FuelShares!$A16,Stock!$C$2:$C$41,FuelShares!$C16)/SUMIF(Stock!$C$2:$C$41,FuelShares!$A16,Stock!U$2:U$41)</f>
        <v>0.2463091017679481</v>
      </c>
      <c r="O16" s="3">
        <f>SUMIFS(Stock!V$2:V$41,Stock!$C$2:$C$41,FuelShares!$A16,Stock!$C$2:$C$41,FuelShares!$C16)/SUMIF(Stock!$C$2:$C$41,FuelShares!$A16,Stock!V$2:V$41)</f>
        <v>0.27198426987586466</v>
      </c>
      <c r="P16" s="3">
        <f>SUMIFS(Stock!W$2:W$41,Stock!$C$2:$C$41,FuelShares!$A16,Stock!$C$2:$C$41,FuelShares!$C16)/SUMIF(Stock!$C$2:$C$41,FuelShares!$A16,Stock!W$2:W$41)</f>
        <v>0.027566337669905523</v>
      </c>
      <c r="Q16" s="3">
        <f>SUMIFS(Stock!X$2:X$41,Stock!$C$2:$C$41,FuelShares!$A16,Stock!$C$2:$C$41,FuelShares!$C16)/SUMIF(Stock!$C$2:$C$41,FuelShares!$A16,Stock!X$2:X$41)</f>
        <v>0.51783430516116447</v>
      </c>
      <c r="R16" s="3">
        <f>SUMIFS(Stock!Y$2:Y$41,Stock!$C$2:$C$41,FuelShares!$A16,Stock!$C$2:$C$41,FuelShares!$C16)/SUMIF(Stock!$C$2:$C$41,FuelShares!$A16,Stock!Y$2:Y$41)</f>
        <v>0.19398109243697478</v>
      </c>
      <c r="S16" s="3">
        <f>SUMIFS(Stock!Z$2:Z$41,Stock!$C$2:$C$41,FuelShares!$A16,Stock!$C$2:$C$41,FuelShares!$C16)/SUMIF(Stock!$C$2:$C$41,FuelShares!$A16,Stock!Z$2:Z$41)</f>
        <v>0.59638160210748792</v>
      </c>
      <c r="T16" s="3">
        <f>SUMIFS(Stock!AA$2:AA$41,Stock!$C$2:$C$41,FuelShares!$A16,Stock!$C$2:$C$41,FuelShares!$C16)/SUMIF(Stock!$C$2:$C$41,FuelShares!$A16,Stock!AA$2:AA$41)</f>
        <v>0.33599383460662113</v>
      </c>
      <c r="U16" s="3">
        <f>SUMIFS(Stock!AB$2:AB$41,Stock!$C$2:$C$41,FuelShares!$A16,Stock!$C$2:$C$41,FuelShares!$C16)/SUMIF(Stock!$C$2:$C$41,FuelShares!$A16,Stock!AB$2:AB$41)</f>
        <v>0.20770916695152111</v>
      </c>
      <c r="V16" s="3">
        <f>SUMIFS(Stock!AC$2:AC$41,Stock!$C$2:$C$41,FuelShares!$A16,Stock!$C$2:$C$41,FuelShares!$C16)/SUMIF(Stock!$C$2:$C$41,FuelShares!$A16,Stock!AC$2:AC$41)</f>
        <v>0.26123342684653483</v>
      </c>
      <c r="W16" s="3">
        <f>SUMIFS(Stock!AD$2:AD$41,Stock!$C$2:$C$41,FuelShares!$A16,Stock!$C$2:$C$41,FuelShares!$C16)/SUMIF(Stock!$C$2:$C$41,FuelShares!$A16,Stock!AD$2:AD$41)</f>
        <v>0.18450635386119263</v>
      </c>
      <c r="X16" s="3">
        <f>SUMIFS(Stock!AE$2:AE$41,Stock!$C$2:$C$41,FuelShares!$A16,Stock!$C$2:$C$41,FuelShares!$C16)/SUMIF(Stock!$C$2:$C$41,FuelShares!$A16,Stock!AE$2:AE$41)</f>
        <v>0.3830898356323707</v>
      </c>
      <c r="Y16" s="3">
        <f>SUMIFS(Stock!AF$2:AF$41,Stock!$C$2:$C$41,FuelShares!$A16,Stock!$C$2:$C$41,FuelShares!$C16)/SUMIF(Stock!$C$2:$C$41,FuelShares!$A16,Stock!AF$2:AF$41)</f>
        <v>0.47258912323928159</v>
      </c>
      <c r="Z16" s="3">
        <f>SUMIFS(Stock!AG$2:AG$41,Stock!$C$2:$C$41,FuelShares!$A16,Stock!$C$2:$C$41,FuelShares!$C16)/SUMIF(Stock!$C$2:$C$41,FuelShares!$A16,Stock!AG$2:AG$41)</f>
        <v>0.33056701747878897</v>
      </c>
      <c r="AA16" s="3">
        <f>SUMIFS(Stock!AH$2:AH$41,Stock!$C$2:$C$41,FuelShares!$A16,Stock!$C$2:$C$41,FuelShares!$C16)/SUMIF(Stock!$C$2:$C$41,FuelShares!$A16,Stock!AH$2:AH$41)</f>
        <v>0.64068249258160248</v>
      </c>
      <c r="AB16" s="3">
        <f>SUMIFS(Stock!AI$2:AI$41,Stock!$C$2:$C$41,FuelShares!$A16,Stock!$C$2:$C$41,FuelShares!$C16)/SUMIF(Stock!$C$2:$C$41,FuelShares!$A16,Stock!AI$2:AI$41)</f>
        <v>0.3299530442331215</v>
      </c>
      <c r="AC16" s="3">
        <f>SUMIFS(Stock!AJ$2:AJ$41,Stock!$C$2:$C$41,FuelShares!$A16,Stock!$C$2:$C$41,FuelShares!$C16)/SUMIF(Stock!$C$2:$C$41,FuelShares!$A16,Stock!AJ$2:AJ$41)</f>
        <v>0.10353001100660934</v>
      </c>
      <c r="AD16" s="3">
        <f>SUMIFS(Stock!AK$2:AK$41,Stock!$C$2:$C$41,FuelShares!$A16,Stock!$C$2:$C$41,FuelShares!$C16)/SUMIF(Stock!$C$2:$C$41,FuelShares!$A16,Stock!AK$2:AK$41)</f>
        <v>0.23182565524356044</v>
      </c>
      <c r="AE16" s="3">
        <f>SUMIFS(Stock!AL$2:AL$41,Stock!$C$2:$C$41,FuelShares!$A16,Stock!$C$2:$C$41,FuelShares!$C16)/SUMIF(Stock!$C$2:$C$41,FuelShares!$A16,Stock!AL$2:AL$41)</f>
        <v>0.28058598937583001</v>
      </c>
      <c r="AF16" s="3">
        <f>SUMIFS(Stock!AM$2:AM$41,Stock!$C$2:$C$41,FuelShares!$A16,Stock!$C$2:$C$41,FuelShares!$C16)/SUMIF(Stock!$C$2:$C$41,FuelShares!$A16,Stock!AM$2:AM$41)</f>
        <v>0.16778892205312623</v>
      </c>
      <c r="AG16" s="3">
        <f>SUMIFS(Stock!AN$2:AN$41,Stock!$C$2:$C$41,FuelShares!$A16,Stock!$C$2:$C$41,FuelShares!$C16)/SUMIF(Stock!$C$2:$C$41,FuelShares!$A16,Stock!AN$2:AN$41)</f>
        <v>0.3037010350948105</v>
      </c>
      <c r="AH16" s="3">
        <f>SUMIFS(Stock!AO$2:AO$41,Stock!$C$2:$C$41,FuelShares!$A16,Stock!$C$2:$C$41,FuelShares!$C16)/SUMIF(Stock!$C$2:$C$41,FuelShares!$A16,Stock!AO$2:AO$41)</f>
        <v>0.22453609311838346</v>
      </c>
      <c r="AI16" s="3">
        <f>SUMIFS(Stock!AP$2:AP$41,Stock!$C$2:$C$41,FuelShares!$A16,Stock!$C$2:$C$41,FuelShares!$C16)/SUMIF(Stock!$C$2:$C$41,FuelShares!$A16,Stock!AP$2:AP$41)</f>
        <v>0.44267050298380206</v>
      </c>
      <c r="AJ16" s="3">
        <f>SUMIFS(Stock!AQ$2:AQ$41,Stock!$C$2:$C$41,FuelShares!$A16,Stock!$C$2:$C$41,FuelShares!$C16)/SUMIF(Stock!$C$2:$C$41,FuelShares!$A16,Stock!AQ$2:AQ$41)</f>
        <v>0.28210651894742439</v>
      </c>
      <c r="AK16" s="3">
        <f>SUMIFS(Stock!AR$2:AR$41,Stock!$C$2:$C$41,FuelShares!$A16,Stock!$C$2:$C$41,FuelShares!$C16)/SUMIF(Stock!$C$2:$C$41,FuelShares!$A16,Stock!AR$2:AR$41)</f>
        <v>0.33045655985072325</v>
      </c>
      <c r="AL16" s="3">
        <f>SUMIFS(Stock!AS$2:AS$41,Stock!$C$2:$C$41,FuelShares!$A16,Stock!$C$2:$C$41,FuelShares!$C16)/SUMIF(Stock!$C$2:$C$41,FuelShares!$A16,Stock!AS$2:AS$41)</f>
        <v>0.14703140356194833</v>
      </c>
      <c r="AM16" s="3">
        <f>SUMIFS(Stock!AT$2:AT$41,Stock!$C$2:$C$41,FuelShares!$A16,Stock!$C$2:$C$41,FuelShares!$C16)/SUMIF(Stock!$C$2:$C$41,FuelShares!$A16,Stock!AT$2:AT$41)</f>
        <v>0.34736598890942699</v>
      </c>
      <c r="AN16" s="3">
        <f>SUMIFS(Stock!AU$2:AU$41,Stock!$C$2:$C$41,FuelShares!$A16,Stock!$C$2:$C$41,FuelShares!$C16)/SUMIF(Stock!$C$2:$C$41,FuelShares!$A16,Stock!AU$2:AU$41)</f>
        <v>0.25885362682659413</v>
      </c>
      <c r="AO16" s="3">
        <f>SUMIFS(Stock!AV$2:AV$41,Stock!$C$2:$C$41,FuelShares!$A16,Stock!$C$2:$C$41,FuelShares!$C16)/SUMIF(Stock!$C$2:$C$41,FuelShares!$A16,Stock!AV$2:AV$41)</f>
        <v>0.28963841254010447</v>
      </c>
    </row>
    <row r="17" spans="1:41" ht="13.2">
      <c r="A17" t="str">
        <f>LEFT(Stock!C15,7)&amp;"*"</f>
        <v>TRA_Car*</v>
      </c>
      <c r="B17" t="str">
        <f>"*"&amp;RIGHT(Stock!C15,3)&amp;"*"</f>
        <v>*Lom*</v>
      </c>
      <c r="C17" t="str">
        <f>"*"&amp;MID(Stock!C15,9,3)&amp;"*"</f>
        <v>*Dis*</v>
      </c>
      <c r="E17" s="3">
        <f>SUMIFS(Stock!L$2:L$41,Stock!$C$2:$C$41,FuelShares!$A17,Stock!$C$2:$C$41,FuelShares!$C17)/SUMIF(Stock!$C$2:$C$41,FuelShares!$A17,Stock!L$2:L$41)</f>
        <v>0.16784837187435506</v>
      </c>
      <c r="F17" s="3">
        <f>SUMIFS(Stock!M$2:M$41,Stock!$C$2:$C$41,FuelShares!$A17,Stock!$C$2:$C$41,FuelShares!$C17)/SUMIF(Stock!$C$2:$C$41,FuelShares!$A17,Stock!M$2:M$41)</f>
        <v>0.56356561847744857</v>
      </c>
      <c r="G17" s="3">
        <f>SUMIFS(Stock!N$2:N$41,Stock!$C$2:$C$41,FuelShares!$A17,Stock!$C$2:$C$41,FuelShares!$C17)/SUMIF(Stock!$C$2:$C$41,FuelShares!$A17,Stock!N$2:N$41)</f>
        <v>0.4954214924710354</v>
      </c>
      <c r="H17" s="3">
        <f>SUMIFS(Stock!O$2:O$41,Stock!$C$2:$C$41,FuelShares!$A17,Stock!$C$2:$C$41,FuelShares!$C17)/SUMIF(Stock!$C$2:$C$41,FuelShares!$A17,Stock!O$2:O$41)</f>
        <v>0.60792147827634324</v>
      </c>
      <c r="I17" s="3">
        <f>SUMIFS(Stock!P$2:P$41,Stock!$C$2:$C$41,FuelShares!$A17,Stock!$C$2:$C$41,FuelShares!$C17)/SUMIF(Stock!$C$2:$C$41,FuelShares!$A17,Stock!P$2:P$41)</f>
        <v>0.36471669949526037</v>
      </c>
      <c r="J17" s="3">
        <f>SUMIFS(Stock!Q$2:Q$41,Stock!$C$2:$C$41,FuelShares!$A17,Stock!$C$2:$C$41,FuelShares!$C17)/SUMIF(Stock!$C$2:$C$41,FuelShares!$A17,Stock!Q$2:Q$41)</f>
        <v>0.18202672829828526</v>
      </c>
      <c r="K17" s="3">
        <f>SUMIFS(Stock!R$2:R$41,Stock!$C$2:$C$41,FuelShares!$A17,Stock!$C$2:$C$41,FuelShares!$C17)/SUMIF(Stock!$C$2:$C$41,FuelShares!$A17,Stock!R$2:R$41)</f>
        <v>0.10515490903651627</v>
      </c>
      <c r="L17" s="3">
        <f>SUMIFS(Stock!S$2:S$41,Stock!$C$2:$C$41,FuelShares!$A17,Stock!$C$2:$C$41,FuelShares!$C17)/SUMIF(Stock!$C$2:$C$41,FuelShares!$A17,Stock!S$2:S$41)</f>
        <v>0.26823843416370108</v>
      </c>
      <c r="M17" s="3">
        <f>SUMIFS(Stock!T$2:T$41,Stock!$C$2:$C$41,FuelShares!$A17,Stock!$C$2:$C$41,FuelShares!$C17)/SUMIF(Stock!$C$2:$C$41,FuelShares!$A17,Stock!T$2:T$41)</f>
        <v>0.26459060095952469</v>
      </c>
      <c r="N17" s="3">
        <f>SUMIFS(Stock!U$2:U$41,Stock!$C$2:$C$41,FuelShares!$A17,Stock!$C$2:$C$41,FuelShares!$C17)/SUMIF(Stock!$C$2:$C$41,FuelShares!$A17,Stock!U$2:U$41)</f>
        <v>0.2463091017679481</v>
      </c>
      <c r="O17" s="3">
        <f>SUMIFS(Stock!V$2:V$41,Stock!$C$2:$C$41,FuelShares!$A17,Stock!$C$2:$C$41,FuelShares!$C17)/SUMIF(Stock!$C$2:$C$41,FuelShares!$A17,Stock!V$2:V$41)</f>
        <v>0.27198426987586466</v>
      </c>
      <c r="P17" s="3">
        <f>SUMIFS(Stock!W$2:W$41,Stock!$C$2:$C$41,FuelShares!$A17,Stock!$C$2:$C$41,FuelShares!$C17)/SUMIF(Stock!$C$2:$C$41,FuelShares!$A17,Stock!W$2:W$41)</f>
        <v>0.027566337669905523</v>
      </c>
      <c r="Q17" s="3">
        <f>SUMIFS(Stock!X$2:X$41,Stock!$C$2:$C$41,FuelShares!$A17,Stock!$C$2:$C$41,FuelShares!$C17)/SUMIF(Stock!$C$2:$C$41,FuelShares!$A17,Stock!X$2:X$41)</f>
        <v>0.51783430516116447</v>
      </c>
      <c r="R17" s="3">
        <f>SUMIFS(Stock!Y$2:Y$41,Stock!$C$2:$C$41,FuelShares!$A17,Stock!$C$2:$C$41,FuelShares!$C17)/SUMIF(Stock!$C$2:$C$41,FuelShares!$A17,Stock!Y$2:Y$41)</f>
        <v>0.19398109243697478</v>
      </c>
      <c r="S17" s="3">
        <f>SUMIFS(Stock!Z$2:Z$41,Stock!$C$2:$C$41,FuelShares!$A17,Stock!$C$2:$C$41,FuelShares!$C17)/SUMIF(Stock!$C$2:$C$41,FuelShares!$A17,Stock!Z$2:Z$41)</f>
        <v>0.59638160210748792</v>
      </c>
      <c r="T17" s="3">
        <f>SUMIFS(Stock!AA$2:AA$41,Stock!$C$2:$C$41,FuelShares!$A17,Stock!$C$2:$C$41,FuelShares!$C17)/SUMIF(Stock!$C$2:$C$41,FuelShares!$A17,Stock!AA$2:AA$41)</f>
        <v>0.33599383460662113</v>
      </c>
      <c r="U17" s="3">
        <f>SUMIFS(Stock!AB$2:AB$41,Stock!$C$2:$C$41,FuelShares!$A17,Stock!$C$2:$C$41,FuelShares!$C17)/SUMIF(Stock!$C$2:$C$41,FuelShares!$A17,Stock!AB$2:AB$41)</f>
        <v>0.20770916695152111</v>
      </c>
      <c r="V17" s="3">
        <f>SUMIFS(Stock!AC$2:AC$41,Stock!$C$2:$C$41,FuelShares!$A17,Stock!$C$2:$C$41,FuelShares!$C17)/SUMIF(Stock!$C$2:$C$41,FuelShares!$A17,Stock!AC$2:AC$41)</f>
        <v>0.26123342684653483</v>
      </c>
      <c r="W17" s="3">
        <f>SUMIFS(Stock!AD$2:AD$41,Stock!$C$2:$C$41,FuelShares!$A17,Stock!$C$2:$C$41,FuelShares!$C17)/SUMIF(Stock!$C$2:$C$41,FuelShares!$A17,Stock!AD$2:AD$41)</f>
        <v>0.18450635386119263</v>
      </c>
      <c r="X17" s="3">
        <f>SUMIFS(Stock!AE$2:AE$41,Stock!$C$2:$C$41,FuelShares!$A17,Stock!$C$2:$C$41,FuelShares!$C17)/SUMIF(Stock!$C$2:$C$41,FuelShares!$A17,Stock!AE$2:AE$41)</f>
        <v>0.3830898356323707</v>
      </c>
      <c r="Y17" s="3">
        <f>SUMIFS(Stock!AF$2:AF$41,Stock!$C$2:$C$41,FuelShares!$A17,Stock!$C$2:$C$41,FuelShares!$C17)/SUMIF(Stock!$C$2:$C$41,FuelShares!$A17,Stock!AF$2:AF$41)</f>
        <v>0.47258912323928159</v>
      </c>
      <c r="Z17" s="3">
        <f>SUMIFS(Stock!AG$2:AG$41,Stock!$C$2:$C$41,FuelShares!$A17,Stock!$C$2:$C$41,FuelShares!$C17)/SUMIF(Stock!$C$2:$C$41,FuelShares!$A17,Stock!AG$2:AG$41)</f>
        <v>0.33056701747878897</v>
      </c>
      <c r="AA17" s="3">
        <f>SUMIFS(Stock!AH$2:AH$41,Stock!$C$2:$C$41,FuelShares!$A17,Stock!$C$2:$C$41,FuelShares!$C17)/SUMIF(Stock!$C$2:$C$41,FuelShares!$A17,Stock!AH$2:AH$41)</f>
        <v>0.64068249258160248</v>
      </c>
      <c r="AB17" s="3">
        <f>SUMIFS(Stock!AI$2:AI$41,Stock!$C$2:$C$41,FuelShares!$A17,Stock!$C$2:$C$41,FuelShares!$C17)/SUMIF(Stock!$C$2:$C$41,FuelShares!$A17,Stock!AI$2:AI$41)</f>
        <v>0.3299530442331215</v>
      </c>
      <c r="AC17" s="3">
        <f>SUMIFS(Stock!AJ$2:AJ$41,Stock!$C$2:$C$41,FuelShares!$A17,Stock!$C$2:$C$41,FuelShares!$C17)/SUMIF(Stock!$C$2:$C$41,FuelShares!$A17,Stock!AJ$2:AJ$41)</f>
        <v>0.10353001100660934</v>
      </c>
      <c r="AD17" s="3">
        <f>SUMIFS(Stock!AK$2:AK$41,Stock!$C$2:$C$41,FuelShares!$A17,Stock!$C$2:$C$41,FuelShares!$C17)/SUMIF(Stock!$C$2:$C$41,FuelShares!$A17,Stock!AK$2:AK$41)</f>
        <v>0.23182565524356044</v>
      </c>
      <c r="AE17" s="3">
        <f>SUMIFS(Stock!AL$2:AL$41,Stock!$C$2:$C$41,FuelShares!$A17,Stock!$C$2:$C$41,FuelShares!$C17)/SUMIF(Stock!$C$2:$C$41,FuelShares!$A17,Stock!AL$2:AL$41)</f>
        <v>0.28058598937583001</v>
      </c>
      <c r="AF17" s="3">
        <f>SUMIFS(Stock!AM$2:AM$41,Stock!$C$2:$C$41,FuelShares!$A17,Stock!$C$2:$C$41,FuelShares!$C17)/SUMIF(Stock!$C$2:$C$41,FuelShares!$A17,Stock!AM$2:AM$41)</f>
        <v>0.16778892205312623</v>
      </c>
      <c r="AG17" s="3">
        <f>SUMIFS(Stock!AN$2:AN$41,Stock!$C$2:$C$41,FuelShares!$A17,Stock!$C$2:$C$41,FuelShares!$C17)/SUMIF(Stock!$C$2:$C$41,FuelShares!$A17,Stock!AN$2:AN$41)</f>
        <v>0.3037010350948105</v>
      </c>
      <c r="AH17" s="3">
        <f>SUMIFS(Stock!AO$2:AO$41,Stock!$C$2:$C$41,FuelShares!$A17,Stock!$C$2:$C$41,FuelShares!$C17)/SUMIF(Stock!$C$2:$C$41,FuelShares!$A17,Stock!AO$2:AO$41)</f>
        <v>0.22453609311838346</v>
      </c>
      <c r="AI17" s="3">
        <f>SUMIFS(Stock!AP$2:AP$41,Stock!$C$2:$C$41,FuelShares!$A17,Stock!$C$2:$C$41,FuelShares!$C17)/SUMIF(Stock!$C$2:$C$41,FuelShares!$A17,Stock!AP$2:AP$41)</f>
        <v>0.44267050298380206</v>
      </c>
      <c r="AJ17" s="3">
        <f>SUMIFS(Stock!AQ$2:AQ$41,Stock!$C$2:$C$41,FuelShares!$A17,Stock!$C$2:$C$41,FuelShares!$C17)/SUMIF(Stock!$C$2:$C$41,FuelShares!$A17,Stock!AQ$2:AQ$41)</f>
        <v>0.28210651894742439</v>
      </c>
      <c r="AK17" s="3">
        <f>SUMIFS(Stock!AR$2:AR$41,Stock!$C$2:$C$41,FuelShares!$A17,Stock!$C$2:$C$41,FuelShares!$C17)/SUMIF(Stock!$C$2:$C$41,FuelShares!$A17,Stock!AR$2:AR$41)</f>
        <v>0.33045655985072325</v>
      </c>
      <c r="AL17" s="3">
        <f>SUMIFS(Stock!AS$2:AS$41,Stock!$C$2:$C$41,FuelShares!$A17,Stock!$C$2:$C$41,FuelShares!$C17)/SUMIF(Stock!$C$2:$C$41,FuelShares!$A17,Stock!AS$2:AS$41)</f>
        <v>0.14703140356194833</v>
      </c>
      <c r="AM17" s="3">
        <f>SUMIFS(Stock!AT$2:AT$41,Stock!$C$2:$C$41,FuelShares!$A17,Stock!$C$2:$C$41,FuelShares!$C17)/SUMIF(Stock!$C$2:$C$41,FuelShares!$A17,Stock!AT$2:AT$41)</f>
        <v>0.34736598890942699</v>
      </c>
      <c r="AN17" s="3">
        <f>SUMIFS(Stock!AU$2:AU$41,Stock!$C$2:$C$41,FuelShares!$A17,Stock!$C$2:$C$41,FuelShares!$C17)/SUMIF(Stock!$C$2:$C$41,FuelShares!$A17,Stock!AU$2:AU$41)</f>
        <v>0.25885362682659413</v>
      </c>
      <c r="AO17" s="3">
        <f>SUMIFS(Stock!AV$2:AV$41,Stock!$C$2:$C$41,FuelShares!$A17,Stock!$C$2:$C$41,FuelShares!$C17)/SUMIF(Stock!$C$2:$C$41,FuelShares!$A17,Stock!AV$2:AV$41)</f>
        <v>0.28963841254010447</v>
      </c>
    </row>
    <row r="18" spans="1:41" ht="13.2">
      <c r="A18" t="str">
        <f>LEFT(Stock!C16,7)&amp;"*"</f>
        <v>TRA_Car*</v>
      </c>
      <c r="B18" t="str">
        <f>"*"&amp;RIGHT(Stock!C16,3)&amp;"*"</f>
        <v>*Sma*</v>
      </c>
      <c r="C18" t="str">
        <f>"*"&amp;MID(Stock!C16,9,3)&amp;"*"</f>
        <v>*Dis*</v>
      </c>
      <c r="E18" s="3">
        <f>SUMIFS(Stock!L$2:L$41,Stock!$C$2:$C$41,FuelShares!$A18,Stock!$C$2:$C$41,FuelShares!$C18)/SUMIF(Stock!$C$2:$C$41,FuelShares!$A18,Stock!L$2:L$41)</f>
        <v>0.16784837187435506</v>
      </c>
      <c r="F18" s="3">
        <f>SUMIFS(Stock!M$2:M$41,Stock!$C$2:$C$41,FuelShares!$A18,Stock!$C$2:$C$41,FuelShares!$C18)/SUMIF(Stock!$C$2:$C$41,FuelShares!$A18,Stock!M$2:M$41)</f>
        <v>0.56356561847744857</v>
      </c>
      <c r="G18" s="3">
        <f>SUMIFS(Stock!N$2:N$41,Stock!$C$2:$C$41,FuelShares!$A18,Stock!$C$2:$C$41,FuelShares!$C18)/SUMIF(Stock!$C$2:$C$41,FuelShares!$A18,Stock!N$2:N$41)</f>
        <v>0.4954214924710354</v>
      </c>
      <c r="H18" s="3">
        <f>SUMIFS(Stock!O$2:O$41,Stock!$C$2:$C$41,FuelShares!$A18,Stock!$C$2:$C$41,FuelShares!$C18)/SUMIF(Stock!$C$2:$C$41,FuelShares!$A18,Stock!O$2:O$41)</f>
        <v>0.60792147827634324</v>
      </c>
      <c r="I18" s="3">
        <f>SUMIFS(Stock!P$2:P$41,Stock!$C$2:$C$41,FuelShares!$A18,Stock!$C$2:$C$41,FuelShares!$C18)/SUMIF(Stock!$C$2:$C$41,FuelShares!$A18,Stock!P$2:P$41)</f>
        <v>0.36471669949526037</v>
      </c>
      <c r="J18" s="3">
        <f>SUMIFS(Stock!Q$2:Q$41,Stock!$C$2:$C$41,FuelShares!$A18,Stock!$C$2:$C$41,FuelShares!$C18)/SUMIF(Stock!$C$2:$C$41,FuelShares!$A18,Stock!Q$2:Q$41)</f>
        <v>0.18202672829828526</v>
      </c>
      <c r="K18" s="3">
        <f>SUMIFS(Stock!R$2:R$41,Stock!$C$2:$C$41,FuelShares!$A18,Stock!$C$2:$C$41,FuelShares!$C18)/SUMIF(Stock!$C$2:$C$41,FuelShares!$A18,Stock!R$2:R$41)</f>
        <v>0.10515490903651627</v>
      </c>
      <c r="L18" s="3">
        <f>SUMIFS(Stock!S$2:S$41,Stock!$C$2:$C$41,FuelShares!$A18,Stock!$C$2:$C$41,FuelShares!$C18)/SUMIF(Stock!$C$2:$C$41,FuelShares!$A18,Stock!S$2:S$41)</f>
        <v>0.26823843416370108</v>
      </c>
      <c r="M18" s="3">
        <f>SUMIFS(Stock!T$2:T$41,Stock!$C$2:$C$41,FuelShares!$A18,Stock!$C$2:$C$41,FuelShares!$C18)/SUMIF(Stock!$C$2:$C$41,FuelShares!$A18,Stock!T$2:T$41)</f>
        <v>0.26459060095952469</v>
      </c>
      <c r="N18" s="3">
        <f>SUMIFS(Stock!U$2:U$41,Stock!$C$2:$C$41,FuelShares!$A18,Stock!$C$2:$C$41,FuelShares!$C18)/SUMIF(Stock!$C$2:$C$41,FuelShares!$A18,Stock!U$2:U$41)</f>
        <v>0.2463091017679481</v>
      </c>
      <c r="O18" s="3">
        <f>SUMIFS(Stock!V$2:V$41,Stock!$C$2:$C$41,FuelShares!$A18,Stock!$C$2:$C$41,FuelShares!$C18)/SUMIF(Stock!$C$2:$C$41,FuelShares!$A18,Stock!V$2:V$41)</f>
        <v>0.27198426987586466</v>
      </c>
      <c r="P18" s="3">
        <f>SUMIFS(Stock!W$2:W$41,Stock!$C$2:$C$41,FuelShares!$A18,Stock!$C$2:$C$41,FuelShares!$C18)/SUMIF(Stock!$C$2:$C$41,FuelShares!$A18,Stock!W$2:W$41)</f>
        <v>0.027566337669905523</v>
      </c>
      <c r="Q18" s="3">
        <f>SUMIFS(Stock!X$2:X$41,Stock!$C$2:$C$41,FuelShares!$A18,Stock!$C$2:$C$41,FuelShares!$C18)/SUMIF(Stock!$C$2:$C$41,FuelShares!$A18,Stock!X$2:X$41)</f>
        <v>0.51783430516116447</v>
      </c>
      <c r="R18" s="3">
        <f>SUMIFS(Stock!Y$2:Y$41,Stock!$C$2:$C$41,FuelShares!$A18,Stock!$C$2:$C$41,FuelShares!$C18)/SUMIF(Stock!$C$2:$C$41,FuelShares!$A18,Stock!Y$2:Y$41)</f>
        <v>0.19398109243697478</v>
      </c>
      <c r="S18" s="3">
        <f>SUMIFS(Stock!Z$2:Z$41,Stock!$C$2:$C$41,FuelShares!$A18,Stock!$C$2:$C$41,FuelShares!$C18)/SUMIF(Stock!$C$2:$C$41,FuelShares!$A18,Stock!Z$2:Z$41)</f>
        <v>0.59638160210748792</v>
      </c>
      <c r="T18" s="3">
        <f>SUMIFS(Stock!AA$2:AA$41,Stock!$C$2:$C$41,FuelShares!$A18,Stock!$C$2:$C$41,FuelShares!$C18)/SUMIF(Stock!$C$2:$C$41,FuelShares!$A18,Stock!AA$2:AA$41)</f>
        <v>0.33599383460662113</v>
      </c>
      <c r="U18" s="3">
        <f>SUMIFS(Stock!AB$2:AB$41,Stock!$C$2:$C$41,FuelShares!$A18,Stock!$C$2:$C$41,FuelShares!$C18)/SUMIF(Stock!$C$2:$C$41,FuelShares!$A18,Stock!AB$2:AB$41)</f>
        <v>0.20770916695152111</v>
      </c>
      <c r="V18" s="3">
        <f>SUMIFS(Stock!AC$2:AC$41,Stock!$C$2:$C$41,FuelShares!$A18,Stock!$C$2:$C$41,FuelShares!$C18)/SUMIF(Stock!$C$2:$C$41,FuelShares!$A18,Stock!AC$2:AC$41)</f>
        <v>0.26123342684653483</v>
      </c>
      <c r="W18" s="3">
        <f>SUMIFS(Stock!AD$2:AD$41,Stock!$C$2:$C$41,FuelShares!$A18,Stock!$C$2:$C$41,FuelShares!$C18)/SUMIF(Stock!$C$2:$C$41,FuelShares!$A18,Stock!AD$2:AD$41)</f>
        <v>0.18450635386119263</v>
      </c>
      <c r="X18" s="3">
        <f>SUMIFS(Stock!AE$2:AE$41,Stock!$C$2:$C$41,FuelShares!$A18,Stock!$C$2:$C$41,FuelShares!$C18)/SUMIF(Stock!$C$2:$C$41,FuelShares!$A18,Stock!AE$2:AE$41)</f>
        <v>0.3830898356323707</v>
      </c>
      <c r="Y18" s="3">
        <f>SUMIFS(Stock!AF$2:AF$41,Stock!$C$2:$C$41,FuelShares!$A18,Stock!$C$2:$C$41,FuelShares!$C18)/SUMIF(Stock!$C$2:$C$41,FuelShares!$A18,Stock!AF$2:AF$41)</f>
        <v>0.47258912323928159</v>
      </c>
      <c r="Z18" s="3">
        <f>SUMIFS(Stock!AG$2:AG$41,Stock!$C$2:$C$41,FuelShares!$A18,Stock!$C$2:$C$41,FuelShares!$C18)/SUMIF(Stock!$C$2:$C$41,FuelShares!$A18,Stock!AG$2:AG$41)</f>
        <v>0.33056701747878897</v>
      </c>
      <c r="AA18" s="3">
        <f>SUMIFS(Stock!AH$2:AH$41,Stock!$C$2:$C$41,FuelShares!$A18,Stock!$C$2:$C$41,FuelShares!$C18)/SUMIF(Stock!$C$2:$C$41,FuelShares!$A18,Stock!AH$2:AH$41)</f>
        <v>0.64068249258160248</v>
      </c>
      <c r="AB18" s="3">
        <f>SUMIFS(Stock!AI$2:AI$41,Stock!$C$2:$C$41,FuelShares!$A18,Stock!$C$2:$C$41,FuelShares!$C18)/SUMIF(Stock!$C$2:$C$41,FuelShares!$A18,Stock!AI$2:AI$41)</f>
        <v>0.3299530442331215</v>
      </c>
      <c r="AC18" s="3">
        <f>SUMIFS(Stock!AJ$2:AJ$41,Stock!$C$2:$C$41,FuelShares!$A18,Stock!$C$2:$C$41,FuelShares!$C18)/SUMIF(Stock!$C$2:$C$41,FuelShares!$A18,Stock!AJ$2:AJ$41)</f>
        <v>0.10353001100660934</v>
      </c>
      <c r="AD18" s="3">
        <f>SUMIFS(Stock!AK$2:AK$41,Stock!$C$2:$C$41,FuelShares!$A18,Stock!$C$2:$C$41,FuelShares!$C18)/SUMIF(Stock!$C$2:$C$41,FuelShares!$A18,Stock!AK$2:AK$41)</f>
        <v>0.23182565524356044</v>
      </c>
      <c r="AE18" s="3">
        <f>SUMIFS(Stock!AL$2:AL$41,Stock!$C$2:$C$41,FuelShares!$A18,Stock!$C$2:$C$41,FuelShares!$C18)/SUMIF(Stock!$C$2:$C$41,FuelShares!$A18,Stock!AL$2:AL$41)</f>
        <v>0.28058598937583001</v>
      </c>
      <c r="AF18" s="3">
        <f>SUMIFS(Stock!AM$2:AM$41,Stock!$C$2:$C$41,FuelShares!$A18,Stock!$C$2:$C$41,FuelShares!$C18)/SUMIF(Stock!$C$2:$C$41,FuelShares!$A18,Stock!AM$2:AM$41)</f>
        <v>0.16778892205312623</v>
      </c>
      <c r="AG18" s="3">
        <f>SUMIFS(Stock!AN$2:AN$41,Stock!$C$2:$C$41,FuelShares!$A18,Stock!$C$2:$C$41,FuelShares!$C18)/SUMIF(Stock!$C$2:$C$41,FuelShares!$A18,Stock!AN$2:AN$41)</f>
        <v>0.3037010350948105</v>
      </c>
      <c r="AH18" s="3">
        <f>SUMIFS(Stock!AO$2:AO$41,Stock!$C$2:$C$41,FuelShares!$A18,Stock!$C$2:$C$41,FuelShares!$C18)/SUMIF(Stock!$C$2:$C$41,FuelShares!$A18,Stock!AO$2:AO$41)</f>
        <v>0.22453609311838346</v>
      </c>
      <c r="AI18" s="3">
        <f>SUMIFS(Stock!AP$2:AP$41,Stock!$C$2:$C$41,FuelShares!$A18,Stock!$C$2:$C$41,FuelShares!$C18)/SUMIF(Stock!$C$2:$C$41,FuelShares!$A18,Stock!AP$2:AP$41)</f>
        <v>0.44267050298380206</v>
      </c>
      <c r="AJ18" s="3">
        <f>SUMIFS(Stock!AQ$2:AQ$41,Stock!$C$2:$C$41,FuelShares!$A18,Stock!$C$2:$C$41,FuelShares!$C18)/SUMIF(Stock!$C$2:$C$41,FuelShares!$A18,Stock!AQ$2:AQ$41)</f>
        <v>0.28210651894742439</v>
      </c>
      <c r="AK18" s="3">
        <f>SUMIFS(Stock!AR$2:AR$41,Stock!$C$2:$C$41,FuelShares!$A18,Stock!$C$2:$C$41,FuelShares!$C18)/SUMIF(Stock!$C$2:$C$41,FuelShares!$A18,Stock!AR$2:AR$41)</f>
        <v>0.33045655985072325</v>
      </c>
      <c r="AL18" s="3">
        <f>SUMIFS(Stock!AS$2:AS$41,Stock!$C$2:$C$41,FuelShares!$A18,Stock!$C$2:$C$41,FuelShares!$C18)/SUMIF(Stock!$C$2:$C$41,FuelShares!$A18,Stock!AS$2:AS$41)</f>
        <v>0.14703140356194833</v>
      </c>
      <c r="AM18" s="3">
        <f>SUMIFS(Stock!AT$2:AT$41,Stock!$C$2:$C$41,FuelShares!$A18,Stock!$C$2:$C$41,FuelShares!$C18)/SUMIF(Stock!$C$2:$C$41,FuelShares!$A18,Stock!AT$2:AT$41)</f>
        <v>0.34736598890942699</v>
      </c>
      <c r="AN18" s="3">
        <f>SUMIFS(Stock!AU$2:AU$41,Stock!$C$2:$C$41,FuelShares!$A18,Stock!$C$2:$C$41,FuelShares!$C18)/SUMIF(Stock!$C$2:$C$41,FuelShares!$A18,Stock!AU$2:AU$41)</f>
        <v>0.25885362682659413</v>
      </c>
      <c r="AO18" s="3">
        <f>SUMIFS(Stock!AV$2:AV$41,Stock!$C$2:$C$41,FuelShares!$A18,Stock!$C$2:$C$41,FuelShares!$C18)/SUMIF(Stock!$C$2:$C$41,FuelShares!$A18,Stock!AV$2:AV$41)</f>
        <v>0.28963841254010447</v>
      </c>
    </row>
    <row r="19" spans="1:41" ht="13.2">
      <c r="A19" t="str">
        <f>LEFT(Stock!C17,7)&amp;"*"</f>
        <v>TRA_Car*</v>
      </c>
      <c r="B19" t="str">
        <f>"*"&amp;RIGHT(Stock!C17,3)&amp;"*"</f>
        <v>*Upm*</v>
      </c>
      <c r="C19" t="str">
        <f>"*"&amp;MID(Stock!C17,9,3)&amp;"*"</f>
        <v>*Dis*</v>
      </c>
      <c r="E19" s="3">
        <f>SUMIFS(Stock!L$2:L$41,Stock!$C$2:$C$41,FuelShares!$A19,Stock!$C$2:$C$41,FuelShares!$C19)/SUMIF(Stock!$C$2:$C$41,FuelShares!$A19,Stock!L$2:L$41)</f>
        <v>0.16784837187435506</v>
      </c>
      <c r="F19" s="3">
        <f>SUMIFS(Stock!M$2:M$41,Stock!$C$2:$C$41,FuelShares!$A19,Stock!$C$2:$C$41,FuelShares!$C19)/SUMIF(Stock!$C$2:$C$41,FuelShares!$A19,Stock!M$2:M$41)</f>
        <v>0.56356561847744857</v>
      </c>
      <c r="G19" s="3">
        <f>SUMIFS(Stock!N$2:N$41,Stock!$C$2:$C$41,FuelShares!$A19,Stock!$C$2:$C$41,FuelShares!$C19)/SUMIF(Stock!$C$2:$C$41,FuelShares!$A19,Stock!N$2:N$41)</f>
        <v>0.4954214924710354</v>
      </c>
      <c r="H19" s="3">
        <f>SUMIFS(Stock!O$2:O$41,Stock!$C$2:$C$41,FuelShares!$A19,Stock!$C$2:$C$41,FuelShares!$C19)/SUMIF(Stock!$C$2:$C$41,FuelShares!$A19,Stock!O$2:O$41)</f>
        <v>0.60792147827634324</v>
      </c>
      <c r="I19" s="3">
        <f>SUMIFS(Stock!P$2:P$41,Stock!$C$2:$C$41,FuelShares!$A19,Stock!$C$2:$C$41,FuelShares!$C19)/SUMIF(Stock!$C$2:$C$41,FuelShares!$A19,Stock!P$2:P$41)</f>
        <v>0.36471669949526037</v>
      </c>
      <c r="J19" s="3">
        <f>SUMIFS(Stock!Q$2:Q$41,Stock!$C$2:$C$41,FuelShares!$A19,Stock!$C$2:$C$41,FuelShares!$C19)/SUMIF(Stock!$C$2:$C$41,FuelShares!$A19,Stock!Q$2:Q$41)</f>
        <v>0.18202672829828526</v>
      </c>
      <c r="K19" s="3">
        <f>SUMIFS(Stock!R$2:R$41,Stock!$C$2:$C$41,FuelShares!$A19,Stock!$C$2:$C$41,FuelShares!$C19)/SUMIF(Stock!$C$2:$C$41,FuelShares!$A19,Stock!R$2:R$41)</f>
        <v>0.10515490903651627</v>
      </c>
      <c r="L19" s="3">
        <f>SUMIFS(Stock!S$2:S$41,Stock!$C$2:$C$41,FuelShares!$A19,Stock!$C$2:$C$41,FuelShares!$C19)/SUMIF(Stock!$C$2:$C$41,FuelShares!$A19,Stock!S$2:S$41)</f>
        <v>0.26823843416370108</v>
      </c>
      <c r="M19" s="3">
        <f>SUMIFS(Stock!T$2:T$41,Stock!$C$2:$C$41,FuelShares!$A19,Stock!$C$2:$C$41,FuelShares!$C19)/SUMIF(Stock!$C$2:$C$41,FuelShares!$A19,Stock!T$2:T$41)</f>
        <v>0.26459060095952469</v>
      </c>
      <c r="N19" s="3">
        <f>SUMIFS(Stock!U$2:U$41,Stock!$C$2:$C$41,FuelShares!$A19,Stock!$C$2:$C$41,FuelShares!$C19)/SUMIF(Stock!$C$2:$C$41,FuelShares!$A19,Stock!U$2:U$41)</f>
        <v>0.2463091017679481</v>
      </c>
      <c r="O19" s="3">
        <f>SUMIFS(Stock!V$2:V$41,Stock!$C$2:$C$41,FuelShares!$A19,Stock!$C$2:$C$41,FuelShares!$C19)/SUMIF(Stock!$C$2:$C$41,FuelShares!$A19,Stock!V$2:V$41)</f>
        <v>0.27198426987586466</v>
      </c>
      <c r="P19" s="3">
        <f>SUMIFS(Stock!W$2:W$41,Stock!$C$2:$C$41,FuelShares!$A19,Stock!$C$2:$C$41,FuelShares!$C19)/SUMIF(Stock!$C$2:$C$41,FuelShares!$A19,Stock!W$2:W$41)</f>
        <v>0.027566337669905523</v>
      </c>
      <c r="Q19" s="3">
        <f>SUMIFS(Stock!X$2:X$41,Stock!$C$2:$C$41,FuelShares!$A19,Stock!$C$2:$C$41,FuelShares!$C19)/SUMIF(Stock!$C$2:$C$41,FuelShares!$A19,Stock!X$2:X$41)</f>
        <v>0.51783430516116447</v>
      </c>
      <c r="R19" s="3">
        <f>SUMIFS(Stock!Y$2:Y$41,Stock!$C$2:$C$41,FuelShares!$A19,Stock!$C$2:$C$41,FuelShares!$C19)/SUMIF(Stock!$C$2:$C$41,FuelShares!$A19,Stock!Y$2:Y$41)</f>
        <v>0.19398109243697478</v>
      </c>
      <c r="S19" s="3">
        <f>SUMIFS(Stock!Z$2:Z$41,Stock!$C$2:$C$41,FuelShares!$A19,Stock!$C$2:$C$41,FuelShares!$C19)/SUMIF(Stock!$C$2:$C$41,FuelShares!$A19,Stock!Z$2:Z$41)</f>
        <v>0.59638160210748792</v>
      </c>
      <c r="T19" s="3">
        <f>SUMIFS(Stock!AA$2:AA$41,Stock!$C$2:$C$41,FuelShares!$A19,Stock!$C$2:$C$41,FuelShares!$C19)/SUMIF(Stock!$C$2:$C$41,FuelShares!$A19,Stock!AA$2:AA$41)</f>
        <v>0.33599383460662113</v>
      </c>
      <c r="U19" s="3">
        <f>SUMIFS(Stock!AB$2:AB$41,Stock!$C$2:$C$41,FuelShares!$A19,Stock!$C$2:$C$41,FuelShares!$C19)/SUMIF(Stock!$C$2:$C$41,FuelShares!$A19,Stock!AB$2:AB$41)</f>
        <v>0.20770916695152111</v>
      </c>
      <c r="V19" s="3">
        <f>SUMIFS(Stock!AC$2:AC$41,Stock!$C$2:$C$41,FuelShares!$A19,Stock!$C$2:$C$41,FuelShares!$C19)/SUMIF(Stock!$C$2:$C$41,FuelShares!$A19,Stock!AC$2:AC$41)</f>
        <v>0.26123342684653483</v>
      </c>
      <c r="W19" s="3">
        <f>SUMIFS(Stock!AD$2:AD$41,Stock!$C$2:$C$41,FuelShares!$A19,Stock!$C$2:$C$41,FuelShares!$C19)/SUMIF(Stock!$C$2:$C$41,FuelShares!$A19,Stock!AD$2:AD$41)</f>
        <v>0.18450635386119263</v>
      </c>
      <c r="X19" s="3">
        <f>SUMIFS(Stock!AE$2:AE$41,Stock!$C$2:$C$41,FuelShares!$A19,Stock!$C$2:$C$41,FuelShares!$C19)/SUMIF(Stock!$C$2:$C$41,FuelShares!$A19,Stock!AE$2:AE$41)</f>
        <v>0.3830898356323707</v>
      </c>
      <c r="Y19" s="3">
        <f>SUMIFS(Stock!AF$2:AF$41,Stock!$C$2:$C$41,FuelShares!$A19,Stock!$C$2:$C$41,FuelShares!$C19)/SUMIF(Stock!$C$2:$C$41,FuelShares!$A19,Stock!AF$2:AF$41)</f>
        <v>0.47258912323928159</v>
      </c>
      <c r="Z19" s="3">
        <f>SUMIFS(Stock!AG$2:AG$41,Stock!$C$2:$C$41,FuelShares!$A19,Stock!$C$2:$C$41,FuelShares!$C19)/SUMIF(Stock!$C$2:$C$41,FuelShares!$A19,Stock!AG$2:AG$41)</f>
        <v>0.33056701747878897</v>
      </c>
      <c r="AA19" s="3">
        <f>SUMIFS(Stock!AH$2:AH$41,Stock!$C$2:$C$41,FuelShares!$A19,Stock!$C$2:$C$41,FuelShares!$C19)/SUMIF(Stock!$C$2:$C$41,FuelShares!$A19,Stock!AH$2:AH$41)</f>
        <v>0.64068249258160248</v>
      </c>
      <c r="AB19" s="3">
        <f>SUMIFS(Stock!AI$2:AI$41,Stock!$C$2:$C$41,FuelShares!$A19,Stock!$C$2:$C$41,FuelShares!$C19)/SUMIF(Stock!$C$2:$C$41,FuelShares!$A19,Stock!AI$2:AI$41)</f>
        <v>0.3299530442331215</v>
      </c>
      <c r="AC19" s="3">
        <f>SUMIFS(Stock!AJ$2:AJ$41,Stock!$C$2:$C$41,FuelShares!$A19,Stock!$C$2:$C$41,FuelShares!$C19)/SUMIF(Stock!$C$2:$C$41,FuelShares!$A19,Stock!AJ$2:AJ$41)</f>
        <v>0.10353001100660934</v>
      </c>
      <c r="AD19" s="3">
        <f>SUMIFS(Stock!AK$2:AK$41,Stock!$C$2:$C$41,FuelShares!$A19,Stock!$C$2:$C$41,FuelShares!$C19)/SUMIF(Stock!$C$2:$C$41,FuelShares!$A19,Stock!AK$2:AK$41)</f>
        <v>0.23182565524356044</v>
      </c>
      <c r="AE19" s="3">
        <f>SUMIFS(Stock!AL$2:AL$41,Stock!$C$2:$C$41,FuelShares!$A19,Stock!$C$2:$C$41,FuelShares!$C19)/SUMIF(Stock!$C$2:$C$41,FuelShares!$A19,Stock!AL$2:AL$41)</f>
        <v>0.28058598937583001</v>
      </c>
      <c r="AF19" s="3">
        <f>SUMIFS(Stock!AM$2:AM$41,Stock!$C$2:$C$41,FuelShares!$A19,Stock!$C$2:$C$41,FuelShares!$C19)/SUMIF(Stock!$C$2:$C$41,FuelShares!$A19,Stock!AM$2:AM$41)</f>
        <v>0.16778892205312623</v>
      </c>
      <c r="AG19" s="3">
        <f>SUMIFS(Stock!AN$2:AN$41,Stock!$C$2:$C$41,FuelShares!$A19,Stock!$C$2:$C$41,FuelShares!$C19)/SUMIF(Stock!$C$2:$C$41,FuelShares!$A19,Stock!AN$2:AN$41)</f>
        <v>0.3037010350948105</v>
      </c>
      <c r="AH19" s="3">
        <f>SUMIFS(Stock!AO$2:AO$41,Stock!$C$2:$C$41,FuelShares!$A19,Stock!$C$2:$C$41,FuelShares!$C19)/SUMIF(Stock!$C$2:$C$41,FuelShares!$A19,Stock!AO$2:AO$41)</f>
        <v>0.22453609311838346</v>
      </c>
      <c r="AI19" s="3">
        <f>SUMIFS(Stock!AP$2:AP$41,Stock!$C$2:$C$41,FuelShares!$A19,Stock!$C$2:$C$41,FuelShares!$C19)/SUMIF(Stock!$C$2:$C$41,FuelShares!$A19,Stock!AP$2:AP$41)</f>
        <v>0.44267050298380206</v>
      </c>
      <c r="AJ19" s="3">
        <f>SUMIFS(Stock!AQ$2:AQ$41,Stock!$C$2:$C$41,FuelShares!$A19,Stock!$C$2:$C$41,FuelShares!$C19)/SUMIF(Stock!$C$2:$C$41,FuelShares!$A19,Stock!AQ$2:AQ$41)</f>
        <v>0.28210651894742439</v>
      </c>
      <c r="AK19" s="3">
        <f>SUMIFS(Stock!AR$2:AR$41,Stock!$C$2:$C$41,FuelShares!$A19,Stock!$C$2:$C$41,FuelShares!$C19)/SUMIF(Stock!$C$2:$C$41,FuelShares!$A19,Stock!AR$2:AR$41)</f>
        <v>0.33045655985072325</v>
      </c>
      <c r="AL19" s="3">
        <f>SUMIFS(Stock!AS$2:AS$41,Stock!$C$2:$C$41,FuelShares!$A19,Stock!$C$2:$C$41,FuelShares!$C19)/SUMIF(Stock!$C$2:$C$41,FuelShares!$A19,Stock!AS$2:AS$41)</f>
        <v>0.14703140356194833</v>
      </c>
      <c r="AM19" s="3">
        <f>SUMIFS(Stock!AT$2:AT$41,Stock!$C$2:$C$41,FuelShares!$A19,Stock!$C$2:$C$41,FuelShares!$C19)/SUMIF(Stock!$C$2:$C$41,FuelShares!$A19,Stock!AT$2:AT$41)</f>
        <v>0.34736598890942699</v>
      </c>
      <c r="AN19" s="3">
        <f>SUMIFS(Stock!AU$2:AU$41,Stock!$C$2:$C$41,FuelShares!$A19,Stock!$C$2:$C$41,FuelShares!$C19)/SUMIF(Stock!$C$2:$C$41,FuelShares!$A19,Stock!AU$2:AU$41)</f>
        <v>0.25885362682659413</v>
      </c>
      <c r="AO19" s="3">
        <f>SUMIFS(Stock!AV$2:AV$41,Stock!$C$2:$C$41,FuelShares!$A19,Stock!$C$2:$C$41,FuelShares!$C19)/SUMIF(Stock!$C$2:$C$41,FuelShares!$A19,Stock!AV$2:AV$41)</f>
        <v>0.28963841254010447</v>
      </c>
    </row>
    <row r="20" spans="1:41" ht="13.2">
      <c r="A20" t="str">
        <f>LEFT(Stock!C18,7)&amp;"*"</f>
        <v>TRA_Car*</v>
      </c>
      <c r="B20" t="str">
        <f>"*"&amp;RIGHT(Stock!C18,3)&amp;"*"</f>
        <v>*Exe*</v>
      </c>
      <c r="C20" t="str">
        <f>"*"&amp;MID(Stock!C18,9,3)&amp;"*"</f>
        <v>*Fle*</v>
      </c>
      <c r="E20" s="3">
        <f>SUMIFS(Stock!L$2:L$41,Stock!$C$2:$C$41,FuelShares!$A20,Stock!$C$2:$C$41,FuelShares!$C20)/SUMIF(Stock!$C$2:$C$41,FuelShares!$A20,Stock!L$2:L$41)</f>
        <v>0</v>
      </c>
      <c r="F20" s="3">
        <f>SUMIFS(Stock!M$2:M$41,Stock!$C$2:$C$41,FuelShares!$A20,Stock!$C$2:$C$41,FuelShares!$C20)/SUMIF(Stock!$C$2:$C$41,FuelShares!$A20,Stock!M$2:M$41)</f>
        <v>0</v>
      </c>
      <c r="G20" s="3">
        <f>SUMIFS(Stock!N$2:N$41,Stock!$C$2:$C$41,FuelShares!$A20,Stock!$C$2:$C$41,FuelShares!$C20)/SUMIF(Stock!$C$2:$C$41,FuelShares!$A20,Stock!N$2:N$41)</f>
        <v>0</v>
      </c>
      <c r="H20" s="3">
        <f>SUMIFS(Stock!O$2:O$41,Stock!$C$2:$C$41,FuelShares!$A20,Stock!$C$2:$C$41,FuelShares!$C20)/SUMIF(Stock!$C$2:$C$41,FuelShares!$A20,Stock!O$2:O$41)</f>
        <v>0</v>
      </c>
      <c r="I20" s="3">
        <f>SUMIFS(Stock!P$2:P$41,Stock!$C$2:$C$41,FuelShares!$A20,Stock!$C$2:$C$41,FuelShares!$C20)/SUMIF(Stock!$C$2:$C$41,FuelShares!$A20,Stock!P$2:P$41)</f>
        <v>0</v>
      </c>
      <c r="J20" s="3">
        <f>SUMIFS(Stock!Q$2:Q$41,Stock!$C$2:$C$41,FuelShares!$A20,Stock!$C$2:$C$41,FuelShares!$C20)/SUMIF(Stock!$C$2:$C$41,FuelShares!$A20,Stock!Q$2:Q$41)</f>
        <v>0.00078511616038941766</v>
      </c>
      <c r="K20" s="3">
        <f>SUMIFS(Stock!R$2:R$41,Stock!$C$2:$C$41,FuelShares!$A20,Stock!$C$2:$C$41,FuelShares!$C20)/SUMIF(Stock!$C$2:$C$41,FuelShares!$A20,Stock!R$2:R$41)</f>
        <v>0</v>
      </c>
      <c r="L20" s="3">
        <f>SUMIFS(Stock!S$2:S$41,Stock!$C$2:$C$41,FuelShares!$A20,Stock!$C$2:$C$41,FuelShares!$C20)/SUMIF(Stock!$C$2:$C$41,FuelShares!$A20,Stock!S$2:S$41)</f>
        <v>0</v>
      </c>
      <c r="M20" s="3">
        <f>SUMIFS(Stock!T$2:T$41,Stock!$C$2:$C$41,FuelShares!$A20,Stock!$C$2:$C$41,FuelShares!$C20)/SUMIF(Stock!$C$2:$C$41,FuelShares!$A20,Stock!T$2:T$41)</f>
        <v>0</v>
      </c>
      <c r="N20" s="3">
        <f>SUMIFS(Stock!U$2:U$41,Stock!$C$2:$C$41,FuelShares!$A20,Stock!$C$2:$C$41,FuelShares!$C20)/SUMIF(Stock!$C$2:$C$41,FuelShares!$A20,Stock!U$2:U$41)</f>
        <v>0</v>
      </c>
      <c r="O20" s="3">
        <f>SUMIFS(Stock!V$2:V$41,Stock!$C$2:$C$41,FuelShares!$A20,Stock!$C$2:$C$41,FuelShares!$C20)/SUMIF(Stock!$C$2:$C$41,FuelShares!$A20,Stock!V$2:V$41)</f>
        <v>0</v>
      </c>
      <c r="P20" s="3">
        <f>SUMIFS(Stock!W$2:W$41,Stock!$C$2:$C$41,FuelShares!$A20,Stock!$C$2:$C$41,FuelShares!$C20)/SUMIF(Stock!$C$2:$C$41,FuelShares!$A20,Stock!W$2:W$41)</f>
        <v>0</v>
      </c>
      <c r="Q20" s="3">
        <f>SUMIFS(Stock!X$2:X$41,Stock!$C$2:$C$41,FuelShares!$A20,Stock!$C$2:$C$41,FuelShares!$C20)/SUMIF(Stock!$C$2:$C$41,FuelShares!$A20,Stock!X$2:X$41)</f>
        <v>0</v>
      </c>
      <c r="R20" s="3">
        <f>SUMIFS(Stock!Y$2:Y$41,Stock!$C$2:$C$41,FuelShares!$A20,Stock!$C$2:$C$41,FuelShares!$C20)/SUMIF(Stock!$C$2:$C$41,FuelShares!$A20,Stock!Y$2:Y$41)</f>
        <v>0</v>
      </c>
      <c r="S20" s="3">
        <f>SUMIFS(Stock!Z$2:Z$41,Stock!$C$2:$C$41,FuelShares!$A20,Stock!$C$2:$C$41,FuelShares!$C20)/SUMIF(Stock!$C$2:$C$41,FuelShares!$A20,Stock!Z$2:Z$41)</f>
        <v>0</v>
      </c>
      <c r="T20" s="3">
        <f>SUMIFS(Stock!AA$2:AA$41,Stock!$C$2:$C$41,FuelShares!$A20,Stock!$C$2:$C$41,FuelShares!$C20)/SUMIF(Stock!$C$2:$C$41,FuelShares!$A20,Stock!AA$2:AA$41)</f>
        <v>0</v>
      </c>
      <c r="U20" s="3">
        <f>SUMIFS(Stock!AB$2:AB$41,Stock!$C$2:$C$41,FuelShares!$A20,Stock!$C$2:$C$41,FuelShares!$C20)/SUMIF(Stock!$C$2:$C$41,FuelShares!$A20,Stock!AB$2:AB$41)</f>
        <v>0</v>
      </c>
      <c r="V20" s="3">
        <f>SUMIFS(Stock!AC$2:AC$41,Stock!$C$2:$C$41,FuelShares!$A20,Stock!$C$2:$C$41,FuelShares!$C20)/SUMIF(Stock!$C$2:$C$41,FuelShares!$A20,Stock!AC$2:AC$41)</f>
        <v>0</v>
      </c>
      <c r="W20" s="3">
        <f>SUMIFS(Stock!AD$2:AD$41,Stock!$C$2:$C$41,FuelShares!$A20,Stock!$C$2:$C$41,FuelShares!$C20)/SUMIF(Stock!$C$2:$C$41,FuelShares!$A20,Stock!AD$2:AD$41)</f>
        <v>0</v>
      </c>
      <c r="X20" s="3">
        <f>SUMIFS(Stock!AE$2:AE$41,Stock!$C$2:$C$41,FuelShares!$A20,Stock!$C$2:$C$41,FuelShares!$C20)/SUMIF(Stock!$C$2:$C$41,FuelShares!$A20,Stock!AE$2:AE$41)</f>
        <v>0</v>
      </c>
      <c r="Y20" s="3">
        <f>SUMIFS(Stock!AF$2:AF$41,Stock!$C$2:$C$41,FuelShares!$A20,Stock!$C$2:$C$41,FuelShares!$C20)/SUMIF(Stock!$C$2:$C$41,FuelShares!$A20,Stock!AF$2:AF$41)</f>
        <v>0</v>
      </c>
      <c r="Z20" s="3">
        <f>SUMIFS(Stock!AG$2:AG$41,Stock!$C$2:$C$41,FuelShares!$A20,Stock!$C$2:$C$41,FuelShares!$C20)/SUMIF(Stock!$C$2:$C$41,FuelShares!$A20,Stock!AG$2:AG$41)</f>
        <v>0</v>
      </c>
      <c r="AA20" s="3">
        <f>SUMIFS(Stock!AH$2:AH$41,Stock!$C$2:$C$41,FuelShares!$A20,Stock!$C$2:$C$41,FuelShares!$C20)/SUMIF(Stock!$C$2:$C$41,FuelShares!$A20,Stock!AH$2:AH$41)</f>
        <v>0</v>
      </c>
      <c r="AB20" s="3">
        <f>SUMIFS(Stock!AI$2:AI$41,Stock!$C$2:$C$41,FuelShares!$A20,Stock!$C$2:$C$41,FuelShares!$C20)/SUMIF(Stock!$C$2:$C$41,FuelShares!$A20,Stock!AI$2:AI$41)</f>
        <v>0</v>
      </c>
      <c r="AC20" s="3">
        <f>SUMIFS(Stock!AJ$2:AJ$41,Stock!$C$2:$C$41,FuelShares!$A20,Stock!$C$2:$C$41,FuelShares!$C20)/SUMIF(Stock!$C$2:$C$41,FuelShares!$A20,Stock!AJ$2:AJ$41)</f>
        <v>0</v>
      </c>
      <c r="AD20" s="3">
        <f>SUMIFS(Stock!AK$2:AK$41,Stock!$C$2:$C$41,FuelShares!$A20,Stock!$C$2:$C$41,FuelShares!$C20)/SUMIF(Stock!$C$2:$C$41,FuelShares!$A20,Stock!AK$2:AK$41)</f>
        <v>0</v>
      </c>
      <c r="AE20" s="3">
        <f>SUMIFS(Stock!AL$2:AL$41,Stock!$C$2:$C$41,FuelShares!$A20,Stock!$C$2:$C$41,FuelShares!$C20)/SUMIF(Stock!$C$2:$C$41,FuelShares!$A20,Stock!AL$2:AL$41)</f>
        <v>0</v>
      </c>
      <c r="AF20" s="3">
        <f>SUMIFS(Stock!AM$2:AM$41,Stock!$C$2:$C$41,FuelShares!$A20,Stock!$C$2:$C$41,FuelShares!$C20)/SUMIF(Stock!$C$2:$C$41,FuelShares!$A20,Stock!AM$2:AM$41)</f>
        <v>0</v>
      </c>
      <c r="AG20" s="3">
        <f>SUMIFS(Stock!AN$2:AN$41,Stock!$C$2:$C$41,FuelShares!$A20,Stock!$C$2:$C$41,FuelShares!$C20)/SUMIF(Stock!$C$2:$C$41,FuelShares!$A20,Stock!AN$2:AN$41)</f>
        <v>0</v>
      </c>
      <c r="AH20" s="3">
        <f>SUMIFS(Stock!AO$2:AO$41,Stock!$C$2:$C$41,FuelShares!$A20,Stock!$C$2:$C$41,FuelShares!$C20)/SUMIF(Stock!$C$2:$C$41,FuelShares!$A20,Stock!AO$2:AO$41)</f>
        <v>0</v>
      </c>
      <c r="AI20" s="3">
        <f>SUMIFS(Stock!AP$2:AP$41,Stock!$C$2:$C$41,FuelShares!$A20,Stock!$C$2:$C$41,FuelShares!$C20)/SUMIF(Stock!$C$2:$C$41,FuelShares!$A20,Stock!AP$2:AP$41)</f>
        <v>0</v>
      </c>
      <c r="AJ20" s="3">
        <f>SUMIFS(Stock!AQ$2:AQ$41,Stock!$C$2:$C$41,FuelShares!$A20,Stock!$C$2:$C$41,FuelShares!$C20)/SUMIF(Stock!$C$2:$C$41,FuelShares!$A20,Stock!AQ$2:AQ$41)</f>
        <v>0</v>
      </c>
      <c r="AK20" s="3">
        <f>SUMIFS(Stock!AR$2:AR$41,Stock!$C$2:$C$41,FuelShares!$A20,Stock!$C$2:$C$41,FuelShares!$C20)/SUMIF(Stock!$C$2:$C$41,FuelShares!$A20,Stock!AR$2:AR$41)</f>
        <v>0</v>
      </c>
      <c r="AL20" s="3">
        <f>SUMIFS(Stock!AS$2:AS$41,Stock!$C$2:$C$41,FuelShares!$A20,Stock!$C$2:$C$41,FuelShares!$C20)/SUMIF(Stock!$C$2:$C$41,FuelShares!$A20,Stock!AS$2:AS$41)</f>
        <v>0.046956086449349246</v>
      </c>
      <c r="AM20" s="3">
        <f>SUMIFS(Stock!AT$2:AT$41,Stock!$C$2:$C$41,FuelShares!$A20,Stock!$C$2:$C$41,FuelShares!$C20)/SUMIF(Stock!$C$2:$C$41,FuelShares!$A20,Stock!AT$2:AT$41)</f>
        <v>0</v>
      </c>
      <c r="AN20" s="3">
        <f>SUMIFS(Stock!AU$2:AU$41,Stock!$C$2:$C$41,FuelShares!$A20,Stock!$C$2:$C$41,FuelShares!$C20)/SUMIF(Stock!$C$2:$C$41,FuelShares!$A20,Stock!AU$2:AU$41)</f>
        <v>0</v>
      </c>
      <c r="AO20" s="3">
        <f>SUMIFS(Stock!AV$2:AV$41,Stock!$C$2:$C$41,FuelShares!$A20,Stock!$C$2:$C$41,FuelShares!$C20)/SUMIF(Stock!$C$2:$C$41,FuelShares!$A20,Stock!AV$2:AV$41)</f>
        <v>0</v>
      </c>
    </row>
    <row r="21" spans="1:41" ht="13.2">
      <c r="A21" t="str">
        <f>LEFT(Stock!C19,7)&amp;"*"</f>
        <v>TRA_Car*</v>
      </c>
      <c r="B21" t="str">
        <f>"*"&amp;RIGHT(Stock!C19,3)&amp;"*"</f>
        <v>*Lom*</v>
      </c>
      <c r="C21" t="str">
        <f>"*"&amp;MID(Stock!C19,9,3)&amp;"*"</f>
        <v>*Fle*</v>
      </c>
      <c r="E21" s="3">
        <f>SUMIFS(Stock!L$2:L$41,Stock!$C$2:$C$41,FuelShares!$A21,Stock!$C$2:$C$41,FuelShares!$C21)/SUMIF(Stock!$C$2:$C$41,FuelShares!$A21,Stock!L$2:L$41)</f>
        <v>0</v>
      </c>
      <c r="F21" s="3">
        <f>SUMIFS(Stock!M$2:M$41,Stock!$C$2:$C$41,FuelShares!$A21,Stock!$C$2:$C$41,FuelShares!$C21)/SUMIF(Stock!$C$2:$C$41,FuelShares!$A21,Stock!M$2:M$41)</f>
        <v>0</v>
      </c>
      <c r="G21" s="3">
        <f>SUMIFS(Stock!N$2:N$41,Stock!$C$2:$C$41,FuelShares!$A21,Stock!$C$2:$C$41,FuelShares!$C21)/SUMIF(Stock!$C$2:$C$41,FuelShares!$A21,Stock!N$2:N$41)</f>
        <v>0</v>
      </c>
      <c r="H21" s="3">
        <f>SUMIFS(Stock!O$2:O$41,Stock!$C$2:$C$41,FuelShares!$A21,Stock!$C$2:$C$41,FuelShares!$C21)/SUMIF(Stock!$C$2:$C$41,FuelShares!$A21,Stock!O$2:O$41)</f>
        <v>0</v>
      </c>
      <c r="I21" s="3">
        <f>SUMIFS(Stock!P$2:P$41,Stock!$C$2:$C$41,FuelShares!$A21,Stock!$C$2:$C$41,FuelShares!$C21)/SUMIF(Stock!$C$2:$C$41,FuelShares!$A21,Stock!P$2:P$41)</f>
        <v>0</v>
      </c>
      <c r="J21" s="3">
        <f>SUMIFS(Stock!Q$2:Q$41,Stock!$C$2:$C$41,FuelShares!$A21,Stock!$C$2:$C$41,FuelShares!$C21)/SUMIF(Stock!$C$2:$C$41,FuelShares!$A21,Stock!Q$2:Q$41)</f>
        <v>0.00078511616038941766</v>
      </c>
      <c r="K21" s="3">
        <f>SUMIFS(Stock!R$2:R$41,Stock!$C$2:$C$41,FuelShares!$A21,Stock!$C$2:$C$41,FuelShares!$C21)/SUMIF(Stock!$C$2:$C$41,FuelShares!$A21,Stock!R$2:R$41)</f>
        <v>0</v>
      </c>
      <c r="L21" s="3">
        <f>SUMIFS(Stock!S$2:S$41,Stock!$C$2:$C$41,FuelShares!$A21,Stock!$C$2:$C$41,FuelShares!$C21)/SUMIF(Stock!$C$2:$C$41,FuelShares!$A21,Stock!S$2:S$41)</f>
        <v>0</v>
      </c>
      <c r="M21" s="3">
        <f>SUMIFS(Stock!T$2:T$41,Stock!$C$2:$C$41,FuelShares!$A21,Stock!$C$2:$C$41,FuelShares!$C21)/SUMIF(Stock!$C$2:$C$41,FuelShares!$A21,Stock!T$2:T$41)</f>
        <v>0</v>
      </c>
      <c r="N21" s="3">
        <f>SUMIFS(Stock!U$2:U$41,Stock!$C$2:$C$41,FuelShares!$A21,Stock!$C$2:$C$41,FuelShares!$C21)/SUMIF(Stock!$C$2:$C$41,FuelShares!$A21,Stock!U$2:U$41)</f>
        <v>0</v>
      </c>
      <c r="O21" s="3">
        <f>SUMIFS(Stock!V$2:V$41,Stock!$C$2:$C$41,FuelShares!$A21,Stock!$C$2:$C$41,FuelShares!$C21)/SUMIF(Stock!$C$2:$C$41,FuelShares!$A21,Stock!V$2:V$41)</f>
        <v>0</v>
      </c>
      <c r="P21" s="3">
        <f>SUMIFS(Stock!W$2:W$41,Stock!$C$2:$C$41,FuelShares!$A21,Stock!$C$2:$C$41,FuelShares!$C21)/SUMIF(Stock!$C$2:$C$41,FuelShares!$A21,Stock!W$2:W$41)</f>
        <v>0</v>
      </c>
      <c r="Q21" s="3">
        <f>SUMIFS(Stock!X$2:X$41,Stock!$C$2:$C$41,FuelShares!$A21,Stock!$C$2:$C$41,FuelShares!$C21)/SUMIF(Stock!$C$2:$C$41,FuelShares!$A21,Stock!X$2:X$41)</f>
        <v>0</v>
      </c>
      <c r="R21" s="3">
        <f>SUMIFS(Stock!Y$2:Y$41,Stock!$C$2:$C$41,FuelShares!$A21,Stock!$C$2:$C$41,FuelShares!$C21)/SUMIF(Stock!$C$2:$C$41,FuelShares!$A21,Stock!Y$2:Y$41)</f>
        <v>0</v>
      </c>
      <c r="S21" s="3">
        <f>SUMIFS(Stock!Z$2:Z$41,Stock!$C$2:$C$41,FuelShares!$A21,Stock!$C$2:$C$41,FuelShares!$C21)/SUMIF(Stock!$C$2:$C$41,FuelShares!$A21,Stock!Z$2:Z$41)</f>
        <v>0</v>
      </c>
      <c r="T21" s="3">
        <f>SUMIFS(Stock!AA$2:AA$41,Stock!$C$2:$C$41,FuelShares!$A21,Stock!$C$2:$C$41,FuelShares!$C21)/SUMIF(Stock!$C$2:$C$41,FuelShares!$A21,Stock!AA$2:AA$41)</f>
        <v>0</v>
      </c>
      <c r="U21" s="3">
        <f>SUMIFS(Stock!AB$2:AB$41,Stock!$C$2:$C$41,FuelShares!$A21,Stock!$C$2:$C$41,FuelShares!$C21)/SUMIF(Stock!$C$2:$C$41,FuelShares!$A21,Stock!AB$2:AB$41)</f>
        <v>0</v>
      </c>
      <c r="V21" s="3">
        <f>SUMIFS(Stock!AC$2:AC$41,Stock!$C$2:$C$41,FuelShares!$A21,Stock!$C$2:$C$41,FuelShares!$C21)/SUMIF(Stock!$C$2:$C$41,FuelShares!$A21,Stock!AC$2:AC$41)</f>
        <v>0</v>
      </c>
      <c r="W21" s="3">
        <f>SUMIFS(Stock!AD$2:AD$41,Stock!$C$2:$C$41,FuelShares!$A21,Stock!$C$2:$C$41,FuelShares!$C21)/SUMIF(Stock!$C$2:$C$41,FuelShares!$A21,Stock!AD$2:AD$41)</f>
        <v>0</v>
      </c>
      <c r="X21" s="3">
        <f>SUMIFS(Stock!AE$2:AE$41,Stock!$C$2:$C$41,FuelShares!$A21,Stock!$C$2:$C$41,FuelShares!$C21)/SUMIF(Stock!$C$2:$C$41,FuelShares!$A21,Stock!AE$2:AE$41)</f>
        <v>0</v>
      </c>
      <c r="Y21" s="3">
        <f>SUMIFS(Stock!AF$2:AF$41,Stock!$C$2:$C$41,FuelShares!$A21,Stock!$C$2:$C$41,FuelShares!$C21)/SUMIF(Stock!$C$2:$C$41,FuelShares!$A21,Stock!AF$2:AF$41)</f>
        <v>0</v>
      </c>
      <c r="Z21" s="3">
        <f>SUMIFS(Stock!AG$2:AG$41,Stock!$C$2:$C$41,FuelShares!$A21,Stock!$C$2:$C$41,FuelShares!$C21)/SUMIF(Stock!$C$2:$C$41,FuelShares!$A21,Stock!AG$2:AG$41)</f>
        <v>0</v>
      </c>
      <c r="AA21" s="3">
        <f>SUMIFS(Stock!AH$2:AH$41,Stock!$C$2:$C$41,FuelShares!$A21,Stock!$C$2:$C$41,FuelShares!$C21)/SUMIF(Stock!$C$2:$C$41,FuelShares!$A21,Stock!AH$2:AH$41)</f>
        <v>0</v>
      </c>
      <c r="AB21" s="3">
        <f>SUMIFS(Stock!AI$2:AI$41,Stock!$C$2:$C$41,FuelShares!$A21,Stock!$C$2:$C$41,FuelShares!$C21)/SUMIF(Stock!$C$2:$C$41,FuelShares!$A21,Stock!AI$2:AI$41)</f>
        <v>0</v>
      </c>
      <c r="AC21" s="3">
        <f>SUMIFS(Stock!AJ$2:AJ$41,Stock!$C$2:$C$41,FuelShares!$A21,Stock!$C$2:$C$41,FuelShares!$C21)/SUMIF(Stock!$C$2:$C$41,FuelShares!$A21,Stock!AJ$2:AJ$41)</f>
        <v>0</v>
      </c>
      <c r="AD21" s="3">
        <f>SUMIFS(Stock!AK$2:AK$41,Stock!$C$2:$C$41,FuelShares!$A21,Stock!$C$2:$C$41,FuelShares!$C21)/SUMIF(Stock!$C$2:$C$41,FuelShares!$A21,Stock!AK$2:AK$41)</f>
        <v>0</v>
      </c>
      <c r="AE21" s="3">
        <f>SUMIFS(Stock!AL$2:AL$41,Stock!$C$2:$C$41,FuelShares!$A21,Stock!$C$2:$C$41,FuelShares!$C21)/SUMIF(Stock!$C$2:$C$41,FuelShares!$A21,Stock!AL$2:AL$41)</f>
        <v>0</v>
      </c>
      <c r="AF21" s="3">
        <f>SUMIFS(Stock!AM$2:AM$41,Stock!$C$2:$C$41,FuelShares!$A21,Stock!$C$2:$C$41,FuelShares!$C21)/SUMIF(Stock!$C$2:$C$41,FuelShares!$A21,Stock!AM$2:AM$41)</f>
        <v>0</v>
      </c>
      <c r="AG21" s="3">
        <f>SUMIFS(Stock!AN$2:AN$41,Stock!$C$2:$C$41,FuelShares!$A21,Stock!$C$2:$C$41,FuelShares!$C21)/SUMIF(Stock!$C$2:$C$41,FuelShares!$A21,Stock!AN$2:AN$41)</f>
        <v>0</v>
      </c>
      <c r="AH21" s="3">
        <f>SUMIFS(Stock!AO$2:AO$41,Stock!$C$2:$C$41,FuelShares!$A21,Stock!$C$2:$C$41,FuelShares!$C21)/SUMIF(Stock!$C$2:$C$41,FuelShares!$A21,Stock!AO$2:AO$41)</f>
        <v>0</v>
      </c>
      <c r="AI21" s="3">
        <f>SUMIFS(Stock!AP$2:AP$41,Stock!$C$2:$C$41,FuelShares!$A21,Stock!$C$2:$C$41,FuelShares!$C21)/SUMIF(Stock!$C$2:$C$41,FuelShares!$A21,Stock!AP$2:AP$41)</f>
        <v>0</v>
      </c>
      <c r="AJ21" s="3">
        <f>SUMIFS(Stock!AQ$2:AQ$41,Stock!$C$2:$C$41,FuelShares!$A21,Stock!$C$2:$C$41,FuelShares!$C21)/SUMIF(Stock!$C$2:$C$41,FuelShares!$A21,Stock!AQ$2:AQ$41)</f>
        <v>0</v>
      </c>
      <c r="AK21" s="3">
        <f>SUMIFS(Stock!AR$2:AR$41,Stock!$C$2:$C$41,FuelShares!$A21,Stock!$C$2:$C$41,FuelShares!$C21)/SUMIF(Stock!$C$2:$C$41,FuelShares!$A21,Stock!AR$2:AR$41)</f>
        <v>0</v>
      </c>
      <c r="AL21" s="3">
        <f>SUMIFS(Stock!AS$2:AS$41,Stock!$C$2:$C$41,FuelShares!$A21,Stock!$C$2:$C$41,FuelShares!$C21)/SUMIF(Stock!$C$2:$C$41,FuelShares!$A21,Stock!AS$2:AS$41)</f>
        <v>0.046956086449349246</v>
      </c>
      <c r="AM21" s="3">
        <f>SUMIFS(Stock!AT$2:AT$41,Stock!$C$2:$C$41,FuelShares!$A21,Stock!$C$2:$C$41,FuelShares!$C21)/SUMIF(Stock!$C$2:$C$41,FuelShares!$A21,Stock!AT$2:AT$41)</f>
        <v>0</v>
      </c>
      <c r="AN21" s="3">
        <f>SUMIFS(Stock!AU$2:AU$41,Stock!$C$2:$C$41,FuelShares!$A21,Stock!$C$2:$C$41,FuelShares!$C21)/SUMIF(Stock!$C$2:$C$41,FuelShares!$A21,Stock!AU$2:AU$41)</f>
        <v>0</v>
      </c>
      <c r="AO21" s="3">
        <f>SUMIFS(Stock!AV$2:AV$41,Stock!$C$2:$C$41,FuelShares!$A21,Stock!$C$2:$C$41,FuelShares!$C21)/SUMIF(Stock!$C$2:$C$41,FuelShares!$A21,Stock!AV$2:AV$41)</f>
        <v>0</v>
      </c>
    </row>
    <row r="22" spans="1:41" ht="13.2">
      <c r="A22" t="str">
        <f>LEFT(Stock!C20,7)&amp;"*"</f>
        <v>TRA_Car*</v>
      </c>
      <c r="B22" t="str">
        <f>"*"&amp;RIGHT(Stock!C20,3)&amp;"*"</f>
        <v>*Sma*</v>
      </c>
      <c r="C22" t="str">
        <f>"*"&amp;MID(Stock!C20,9,3)&amp;"*"</f>
        <v>*Fle*</v>
      </c>
      <c r="E22" s="3">
        <f>SUMIFS(Stock!L$2:L$41,Stock!$C$2:$C$41,FuelShares!$A22,Stock!$C$2:$C$41,FuelShares!$C22)/SUMIF(Stock!$C$2:$C$41,FuelShares!$A22,Stock!L$2:L$41)</f>
        <v>0</v>
      </c>
      <c r="F22" s="3">
        <f>SUMIFS(Stock!M$2:M$41,Stock!$C$2:$C$41,FuelShares!$A22,Stock!$C$2:$C$41,FuelShares!$C22)/SUMIF(Stock!$C$2:$C$41,FuelShares!$A22,Stock!M$2:M$41)</f>
        <v>0</v>
      </c>
      <c r="G22" s="3">
        <f>SUMIFS(Stock!N$2:N$41,Stock!$C$2:$C$41,FuelShares!$A22,Stock!$C$2:$C$41,FuelShares!$C22)/SUMIF(Stock!$C$2:$C$41,FuelShares!$A22,Stock!N$2:N$41)</f>
        <v>0</v>
      </c>
      <c r="H22" s="3">
        <f>SUMIFS(Stock!O$2:O$41,Stock!$C$2:$C$41,FuelShares!$A22,Stock!$C$2:$C$41,FuelShares!$C22)/SUMIF(Stock!$C$2:$C$41,FuelShares!$A22,Stock!O$2:O$41)</f>
        <v>0</v>
      </c>
      <c r="I22" s="3">
        <f>SUMIFS(Stock!P$2:P$41,Stock!$C$2:$C$41,FuelShares!$A22,Stock!$C$2:$C$41,FuelShares!$C22)/SUMIF(Stock!$C$2:$C$41,FuelShares!$A22,Stock!P$2:P$41)</f>
        <v>0</v>
      </c>
      <c r="J22" s="3">
        <f>SUMIFS(Stock!Q$2:Q$41,Stock!$C$2:$C$41,FuelShares!$A22,Stock!$C$2:$C$41,FuelShares!$C22)/SUMIF(Stock!$C$2:$C$41,FuelShares!$A22,Stock!Q$2:Q$41)</f>
        <v>0.00078511616038941766</v>
      </c>
      <c r="K22" s="3">
        <f>SUMIFS(Stock!R$2:R$41,Stock!$C$2:$C$41,FuelShares!$A22,Stock!$C$2:$C$41,FuelShares!$C22)/SUMIF(Stock!$C$2:$C$41,FuelShares!$A22,Stock!R$2:R$41)</f>
        <v>0</v>
      </c>
      <c r="L22" s="3">
        <f>SUMIFS(Stock!S$2:S$41,Stock!$C$2:$C$41,FuelShares!$A22,Stock!$C$2:$C$41,FuelShares!$C22)/SUMIF(Stock!$C$2:$C$41,FuelShares!$A22,Stock!S$2:S$41)</f>
        <v>0</v>
      </c>
      <c r="M22" s="3">
        <f>SUMIFS(Stock!T$2:T$41,Stock!$C$2:$C$41,FuelShares!$A22,Stock!$C$2:$C$41,FuelShares!$C22)/SUMIF(Stock!$C$2:$C$41,FuelShares!$A22,Stock!T$2:T$41)</f>
        <v>0</v>
      </c>
      <c r="N22" s="3">
        <f>SUMIFS(Stock!U$2:U$41,Stock!$C$2:$C$41,FuelShares!$A22,Stock!$C$2:$C$41,FuelShares!$C22)/SUMIF(Stock!$C$2:$C$41,FuelShares!$A22,Stock!U$2:U$41)</f>
        <v>0</v>
      </c>
      <c r="O22" s="3">
        <f>SUMIFS(Stock!V$2:V$41,Stock!$C$2:$C$41,FuelShares!$A22,Stock!$C$2:$C$41,FuelShares!$C22)/SUMIF(Stock!$C$2:$C$41,FuelShares!$A22,Stock!V$2:V$41)</f>
        <v>0</v>
      </c>
      <c r="P22" s="3">
        <f>SUMIFS(Stock!W$2:W$41,Stock!$C$2:$C$41,FuelShares!$A22,Stock!$C$2:$C$41,FuelShares!$C22)/SUMIF(Stock!$C$2:$C$41,FuelShares!$A22,Stock!W$2:W$41)</f>
        <v>0</v>
      </c>
      <c r="Q22" s="3">
        <f>SUMIFS(Stock!X$2:X$41,Stock!$C$2:$C$41,FuelShares!$A22,Stock!$C$2:$C$41,FuelShares!$C22)/SUMIF(Stock!$C$2:$C$41,FuelShares!$A22,Stock!X$2:X$41)</f>
        <v>0</v>
      </c>
      <c r="R22" s="3">
        <f>SUMIFS(Stock!Y$2:Y$41,Stock!$C$2:$C$41,FuelShares!$A22,Stock!$C$2:$C$41,FuelShares!$C22)/SUMIF(Stock!$C$2:$C$41,FuelShares!$A22,Stock!Y$2:Y$41)</f>
        <v>0</v>
      </c>
      <c r="S22" s="3">
        <f>SUMIFS(Stock!Z$2:Z$41,Stock!$C$2:$C$41,FuelShares!$A22,Stock!$C$2:$C$41,FuelShares!$C22)/SUMIF(Stock!$C$2:$C$41,FuelShares!$A22,Stock!Z$2:Z$41)</f>
        <v>0</v>
      </c>
      <c r="T22" s="3">
        <f>SUMIFS(Stock!AA$2:AA$41,Stock!$C$2:$C$41,FuelShares!$A22,Stock!$C$2:$C$41,FuelShares!$C22)/SUMIF(Stock!$C$2:$C$41,FuelShares!$A22,Stock!AA$2:AA$41)</f>
        <v>0</v>
      </c>
      <c r="U22" s="3">
        <f>SUMIFS(Stock!AB$2:AB$41,Stock!$C$2:$C$41,FuelShares!$A22,Stock!$C$2:$C$41,FuelShares!$C22)/SUMIF(Stock!$C$2:$C$41,FuelShares!$A22,Stock!AB$2:AB$41)</f>
        <v>0</v>
      </c>
      <c r="V22" s="3">
        <f>SUMIFS(Stock!AC$2:AC$41,Stock!$C$2:$C$41,FuelShares!$A22,Stock!$C$2:$C$41,FuelShares!$C22)/SUMIF(Stock!$C$2:$C$41,FuelShares!$A22,Stock!AC$2:AC$41)</f>
        <v>0</v>
      </c>
      <c r="W22" s="3">
        <f>SUMIFS(Stock!AD$2:AD$41,Stock!$C$2:$C$41,FuelShares!$A22,Stock!$C$2:$C$41,FuelShares!$C22)/SUMIF(Stock!$C$2:$C$41,FuelShares!$A22,Stock!AD$2:AD$41)</f>
        <v>0</v>
      </c>
      <c r="X22" s="3">
        <f>SUMIFS(Stock!AE$2:AE$41,Stock!$C$2:$C$41,FuelShares!$A22,Stock!$C$2:$C$41,FuelShares!$C22)/SUMIF(Stock!$C$2:$C$41,FuelShares!$A22,Stock!AE$2:AE$41)</f>
        <v>0</v>
      </c>
      <c r="Y22" s="3">
        <f>SUMIFS(Stock!AF$2:AF$41,Stock!$C$2:$C$41,FuelShares!$A22,Stock!$C$2:$C$41,FuelShares!$C22)/SUMIF(Stock!$C$2:$C$41,FuelShares!$A22,Stock!AF$2:AF$41)</f>
        <v>0</v>
      </c>
      <c r="Z22" s="3">
        <f>SUMIFS(Stock!AG$2:AG$41,Stock!$C$2:$C$41,FuelShares!$A22,Stock!$C$2:$C$41,FuelShares!$C22)/SUMIF(Stock!$C$2:$C$41,FuelShares!$A22,Stock!AG$2:AG$41)</f>
        <v>0</v>
      </c>
      <c r="AA22" s="3">
        <f>SUMIFS(Stock!AH$2:AH$41,Stock!$C$2:$C$41,FuelShares!$A22,Stock!$C$2:$C$41,FuelShares!$C22)/SUMIF(Stock!$C$2:$C$41,FuelShares!$A22,Stock!AH$2:AH$41)</f>
        <v>0</v>
      </c>
      <c r="AB22" s="3">
        <f>SUMIFS(Stock!AI$2:AI$41,Stock!$C$2:$C$41,FuelShares!$A22,Stock!$C$2:$C$41,FuelShares!$C22)/SUMIF(Stock!$C$2:$C$41,FuelShares!$A22,Stock!AI$2:AI$41)</f>
        <v>0</v>
      </c>
      <c r="AC22" s="3">
        <f>SUMIFS(Stock!AJ$2:AJ$41,Stock!$C$2:$C$41,FuelShares!$A22,Stock!$C$2:$C$41,FuelShares!$C22)/SUMIF(Stock!$C$2:$C$41,FuelShares!$A22,Stock!AJ$2:AJ$41)</f>
        <v>0</v>
      </c>
      <c r="AD22" s="3">
        <f>SUMIFS(Stock!AK$2:AK$41,Stock!$C$2:$C$41,FuelShares!$A22,Stock!$C$2:$C$41,FuelShares!$C22)/SUMIF(Stock!$C$2:$C$41,FuelShares!$A22,Stock!AK$2:AK$41)</f>
        <v>0</v>
      </c>
      <c r="AE22" s="3">
        <f>SUMIFS(Stock!AL$2:AL$41,Stock!$C$2:$C$41,FuelShares!$A22,Stock!$C$2:$C$41,FuelShares!$C22)/SUMIF(Stock!$C$2:$C$41,FuelShares!$A22,Stock!AL$2:AL$41)</f>
        <v>0</v>
      </c>
      <c r="AF22" s="3">
        <f>SUMIFS(Stock!AM$2:AM$41,Stock!$C$2:$C$41,FuelShares!$A22,Stock!$C$2:$C$41,FuelShares!$C22)/SUMIF(Stock!$C$2:$C$41,FuelShares!$A22,Stock!AM$2:AM$41)</f>
        <v>0</v>
      </c>
      <c r="AG22" s="3">
        <f>SUMIFS(Stock!AN$2:AN$41,Stock!$C$2:$C$41,FuelShares!$A22,Stock!$C$2:$C$41,FuelShares!$C22)/SUMIF(Stock!$C$2:$C$41,FuelShares!$A22,Stock!AN$2:AN$41)</f>
        <v>0</v>
      </c>
      <c r="AH22" s="3">
        <f>SUMIFS(Stock!AO$2:AO$41,Stock!$C$2:$C$41,FuelShares!$A22,Stock!$C$2:$C$41,FuelShares!$C22)/SUMIF(Stock!$C$2:$C$41,FuelShares!$A22,Stock!AO$2:AO$41)</f>
        <v>0</v>
      </c>
      <c r="AI22" s="3">
        <f>SUMIFS(Stock!AP$2:AP$41,Stock!$C$2:$C$41,FuelShares!$A22,Stock!$C$2:$C$41,FuelShares!$C22)/SUMIF(Stock!$C$2:$C$41,FuelShares!$A22,Stock!AP$2:AP$41)</f>
        <v>0</v>
      </c>
      <c r="AJ22" s="3">
        <f>SUMIFS(Stock!AQ$2:AQ$41,Stock!$C$2:$C$41,FuelShares!$A22,Stock!$C$2:$C$41,FuelShares!$C22)/SUMIF(Stock!$C$2:$C$41,FuelShares!$A22,Stock!AQ$2:AQ$41)</f>
        <v>0</v>
      </c>
      <c r="AK22" s="3">
        <f>SUMIFS(Stock!AR$2:AR$41,Stock!$C$2:$C$41,FuelShares!$A22,Stock!$C$2:$C$41,FuelShares!$C22)/SUMIF(Stock!$C$2:$C$41,FuelShares!$A22,Stock!AR$2:AR$41)</f>
        <v>0</v>
      </c>
      <c r="AL22" s="3">
        <f>SUMIFS(Stock!AS$2:AS$41,Stock!$C$2:$C$41,FuelShares!$A22,Stock!$C$2:$C$41,FuelShares!$C22)/SUMIF(Stock!$C$2:$C$41,FuelShares!$A22,Stock!AS$2:AS$41)</f>
        <v>0.046956086449349246</v>
      </c>
      <c r="AM22" s="3">
        <f>SUMIFS(Stock!AT$2:AT$41,Stock!$C$2:$C$41,FuelShares!$A22,Stock!$C$2:$C$41,FuelShares!$C22)/SUMIF(Stock!$C$2:$C$41,FuelShares!$A22,Stock!AT$2:AT$41)</f>
        <v>0</v>
      </c>
      <c r="AN22" s="3">
        <f>SUMIFS(Stock!AU$2:AU$41,Stock!$C$2:$C$41,FuelShares!$A22,Stock!$C$2:$C$41,FuelShares!$C22)/SUMIF(Stock!$C$2:$C$41,FuelShares!$A22,Stock!AU$2:AU$41)</f>
        <v>0</v>
      </c>
      <c r="AO22" s="3">
        <f>SUMIFS(Stock!AV$2:AV$41,Stock!$C$2:$C$41,FuelShares!$A22,Stock!$C$2:$C$41,FuelShares!$C22)/SUMIF(Stock!$C$2:$C$41,FuelShares!$A22,Stock!AV$2:AV$41)</f>
        <v>0</v>
      </c>
    </row>
    <row r="23" spans="1:41" ht="13.2">
      <c r="A23" t="str">
        <f>LEFT(Stock!C21,7)&amp;"*"</f>
        <v>TRA_Car*</v>
      </c>
      <c r="B23" t="str">
        <f>"*"&amp;RIGHT(Stock!C21,3)&amp;"*"</f>
        <v>*Upm*</v>
      </c>
      <c r="C23" t="str">
        <f>"*"&amp;MID(Stock!C21,9,3)&amp;"*"</f>
        <v>*Fle*</v>
      </c>
      <c r="E23" s="3">
        <f>SUMIFS(Stock!L$2:L$41,Stock!$C$2:$C$41,FuelShares!$A23,Stock!$C$2:$C$41,FuelShares!$C23)/SUMIF(Stock!$C$2:$C$41,FuelShares!$A23,Stock!L$2:L$41)</f>
        <v>0</v>
      </c>
      <c r="F23" s="3">
        <f>SUMIFS(Stock!M$2:M$41,Stock!$C$2:$C$41,FuelShares!$A23,Stock!$C$2:$C$41,FuelShares!$C23)/SUMIF(Stock!$C$2:$C$41,FuelShares!$A23,Stock!M$2:M$41)</f>
        <v>0</v>
      </c>
      <c r="G23" s="3">
        <f>SUMIFS(Stock!N$2:N$41,Stock!$C$2:$C$41,FuelShares!$A23,Stock!$C$2:$C$41,FuelShares!$C23)/SUMIF(Stock!$C$2:$C$41,FuelShares!$A23,Stock!N$2:N$41)</f>
        <v>0</v>
      </c>
      <c r="H23" s="3">
        <f>SUMIFS(Stock!O$2:O$41,Stock!$C$2:$C$41,FuelShares!$A23,Stock!$C$2:$C$41,FuelShares!$C23)/SUMIF(Stock!$C$2:$C$41,FuelShares!$A23,Stock!O$2:O$41)</f>
        <v>0</v>
      </c>
      <c r="I23" s="3">
        <f>SUMIFS(Stock!P$2:P$41,Stock!$C$2:$C$41,FuelShares!$A23,Stock!$C$2:$C$41,FuelShares!$C23)/SUMIF(Stock!$C$2:$C$41,FuelShares!$A23,Stock!P$2:P$41)</f>
        <v>0</v>
      </c>
      <c r="J23" s="3">
        <f>SUMIFS(Stock!Q$2:Q$41,Stock!$C$2:$C$41,FuelShares!$A23,Stock!$C$2:$C$41,FuelShares!$C23)/SUMIF(Stock!$C$2:$C$41,FuelShares!$A23,Stock!Q$2:Q$41)</f>
        <v>0.00078511616038941766</v>
      </c>
      <c r="K23" s="3">
        <f>SUMIFS(Stock!R$2:R$41,Stock!$C$2:$C$41,FuelShares!$A23,Stock!$C$2:$C$41,FuelShares!$C23)/SUMIF(Stock!$C$2:$C$41,FuelShares!$A23,Stock!R$2:R$41)</f>
        <v>0</v>
      </c>
      <c r="L23" s="3">
        <f>SUMIFS(Stock!S$2:S$41,Stock!$C$2:$C$41,FuelShares!$A23,Stock!$C$2:$C$41,FuelShares!$C23)/SUMIF(Stock!$C$2:$C$41,FuelShares!$A23,Stock!S$2:S$41)</f>
        <v>0</v>
      </c>
      <c r="M23" s="3">
        <f>SUMIFS(Stock!T$2:T$41,Stock!$C$2:$C$41,FuelShares!$A23,Stock!$C$2:$C$41,FuelShares!$C23)/SUMIF(Stock!$C$2:$C$41,FuelShares!$A23,Stock!T$2:T$41)</f>
        <v>0</v>
      </c>
      <c r="N23" s="3">
        <f>SUMIFS(Stock!U$2:U$41,Stock!$C$2:$C$41,FuelShares!$A23,Stock!$C$2:$C$41,FuelShares!$C23)/SUMIF(Stock!$C$2:$C$41,FuelShares!$A23,Stock!U$2:U$41)</f>
        <v>0</v>
      </c>
      <c r="O23" s="3">
        <f>SUMIFS(Stock!V$2:V$41,Stock!$C$2:$C$41,FuelShares!$A23,Stock!$C$2:$C$41,FuelShares!$C23)/SUMIF(Stock!$C$2:$C$41,FuelShares!$A23,Stock!V$2:V$41)</f>
        <v>0</v>
      </c>
      <c r="P23" s="3">
        <f>SUMIFS(Stock!W$2:W$41,Stock!$C$2:$C$41,FuelShares!$A23,Stock!$C$2:$C$41,FuelShares!$C23)/SUMIF(Stock!$C$2:$C$41,FuelShares!$A23,Stock!W$2:W$41)</f>
        <v>0</v>
      </c>
      <c r="Q23" s="3">
        <f>SUMIFS(Stock!X$2:X$41,Stock!$C$2:$C$41,FuelShares!$A23,Stock!$C$2:$C$41,FuelShares!$C23)/SUMIF(Stock!$C$2:$C$41,FuelShares!$A23,Stock!X$2:X$41)</f>
        <v>0</v>
      </c>
      <c r="R23" s="3">
        <f>SUMIFS(Stock!Y$2:Y$41,Stock!$C$2:$C$41,FuelShares!$A23,Stock!$C$2:$C$41,FuelShares!$C23)/SUMIF(Stock!$C$2:$C$41,FuelShares!$A23,Stock!Y$2:Y$41)</f>
        <v>0</v>
      </c>
      <c r="S23" s="3">
        <f>SUMIFS(Stock!Z$2:Z$41,Stock!$C$2:$C$41,FuelShares!$A23,Stock!$C$2:$C$41,FuelShares!$C23)/SUMIF(Stock!$C$2:$C$41,FuelShares!$A23,Stock!Z$2:Z$41)</f>
        <v>0</v>
      </c>
      <c r="T23" s="3">
        <f>SUMIFS(Stock!AA$2:AA$41,Stock!$C$2:$C$41,FuelShares!$A23,Stock!$C$2:$C$41,FuelShares!$C23)/SUMIF(Stock!$C$2:$C$41,FuelShares!$A23,Stock!AA$2:AA$41)</f>
        <v>0</v>
      </c>
      <c r="U23" s="3">
        <f>SUMIFS(Stock!AB$2:AB$41,Stock!$C$2:$C$41,FuelShares!$A23,Stock!$C$2:$C$41,FuelShares!$C23)/SUMIF(Stock!$C$2:$C$41,FuelShares!$A23,Stock!AB$2:AB$41)</f>
        <v>0</v>
      </c>
      <c r="V23" s="3">
        <f>SUMIFS(Stock!AC$2:AC$41,Stock!$C$2:$C$41,FuelShares!$A23,Stock!$C$2:$C$41,FuelShares!$C23)/SUMIF(Stock!$C$2:$C$41,FuelShares!$A23,Stock!AC$2:AC$41)</f>
        <v>0</v>
      </c>
      <c r="W23" s="3">
        <f>SUMIFS(Stock!AD$2:AD$41,Stock!$C$2:$C$41,FuelShares!$A23,Stock!$C$2:$C$41,FuelShares!$C23)/SUMIF(Stock!$C$2:$C$41,FuelShares!$A23,Stock!AD$2:AD$41)</f>
        <v>0</v>
      </c>
      <c r="X23" s="3">
        <f>SUMIFS(Stock!AE$2:AE$41,Stock!$C$2:$C$41,FuelShares!$A23,Stock!$C$2:$C$41,FuelShares!$C23)/SUMIF(Stock!$C$2:$C$41,FuelShares!$A23,Stock!AE$2:AE$41)</f>
        <v>0</v>
      </c>
      <c r="Y23" s="3">
        <f>SUMIFS(Stock!AF$2:AF$41,Stock!$C$2:$C$41,FuelShares!$A23,Stock!$C$2:$C$41,FuelShares!$C23)/SUMIF(Stock!$C$2:$C$41,FuelShares!$A23,Stock!AF$2:AF$41)</f>
        <v>0</v>
      </c>
      <c r="Z23" s="3">
        <f>SUMIFS(Stock!AG$2:AG$41,Stock!$C$2:$C$41,FuelShares!$A23,Stock!$C$2:$C$41,FuelShares!$C23)/SUMIF(Stock!$C$2:$C$41,FuelShares!$A23,Stock!AG$2:AG$41)</f>
        <v>0</v>
      </c>
      <c r="AA23" s="3">
        <f>SUMIFS(Stock!AH$2:AH$41,Stock!$C$2:$C$41,FuelShares!$A23,Stock!$C$2:$C$41,FuelShares!$C23)/SUMIF(Stock!$C$2:$C$41,FuelShares!$A23,Stock!AH$2:AH$41)</f>
        <v>0</v>
      </c>
      <c r="AB23" s="3">
        <f>SUMIFS(Stock!AI$2:AI$41,Stock!$C$2:$C$41,FuelShares!$A23,Stock!$C$2:$C$41,FuelShares!$C23)/SUMIF(Stock!$C$2:$C$41,FuelShares!$A23,Stock!AI$2:AI$41)</f>
        <v>0</v>
      </c>
      <c r="AC23" s="3">
        <f>SUMIFS(Stock!AJ$2:AJ$41,Stock!$C$2:$C$41,FuelShares!$A23,Stock!$C$2:$C$41,FuelShares!$C23)/SUMIF(Stock!$C$2:$C$41,FuelShares!$A23,Stock!AJ$2:AJ$41)</f>
        <v>0</v>
      </c>
      <c r="AD23" s="3">
        <f>SUMIFS(Stock!AK$2:AK$41,Stock!$C$2:$C$41,FuelShares!$A23,Stock!$C$2:$C$41,FuelShares!$C23)/SUMIF(Stock!$C$2:$C$41,FuelShares!$A23,Stock!AK$2:AK$41)</f>
        <v>0</v>
      </c>
      <c r="AE23" s="3">
        <f>SUMIFS(Stock!AL$2:AL$41,Stock!$C$2:$C$41,FuelShares!$A23,Stock!$C$2:$C$41,FuelShares!$C23)/SUMIF(Stock!$C$2:$C$41,FuelShares!$A23,Stock!AL$2:AL$41)</f>
        <v>0</v>
      </c>
      <c r="AF23" s="3">
        <f>SUMIFS(Stock!AM$2:AM$41,Stock!$C$2:$C$41,FuelShares!$A23,Stock!$C$2:$C$41,FuelShares!$C23)/SUMIF(Stock!$C$2:$C$41,FuelShares!$A23,Stock!AM$2:AM$41)</f>
        <v>0</v>
      </c>
      <c r="AG23" s="3">
        <f>SUMIFS(Stock!AN$2:AN$41,Stock!$C$2:$C$41,FuelShares!$A23,Stock!$C$2:$C$41,FuelShares!$C23)/SUMIF(Stock!$C$2:$C$41,FuelShares!$A23,Stock!AN$2:AN$41)</f>
        <v>0</v>
      </c>
      <c r="AH23" s="3">
        <f>SUMIFS(Stock!AO$2:AO$41,Stock!$C$2:$C$41,FuelShares!$A23,Stock!$C$2:$C$41,FuelShares!$C23)/SUMIF(Stock!$C$2:$C$41,FuelShares!$A23,Stock!AO$2:AO$41)</f>
        <v>0</v>
      </c>
      <c r="AI23" s="3">
        <f>SUMIFS(Stock!AP$2:AP$41,Stock!$C$2:$C$41,FuelShares!$A23,Stock!$C$2:$C$41,FuelShares!$C23)/SUMIF(Stock!$C$2:$C$41,FuelShares!$A23,Stock!AP$2:AP$41)</f>
        <v>0</v>
      </c>
      <c r="AJ23" s="3">
        <f>SUMIFS(Stock!AQ$2:AQ$41,Stock!$C$2:$C$41,FuelShares!$A23,Stock!$C$2:$C$41,FuelShares!$C23)/SUMIF(Stock!$C$2:$C$41,FuelShares!$A23,Stock!AQ$2:AQ$41)</f>
        <v>0</v>
      </c>
      <c r="AK23" s="3">
        <f>SUMIFS(Stock!AR$2:AR$41,Stock!$C$2:$C$41,FuelShares!$A23,Stock!$C$2:$C$41,FuelShares!$C23)/SUMIF(Stock!$C$2:$C$41,FuelShares!$A23,Stock!AR$2:AR$41)</f>
        <v>0</v>
      </c>
      <c r="AL23" s="3">
        <f>SUMIFS(Stock!AS$2:AS$41,Stock!$C$2:$C$41,FuelShares!$A23,Stock!$C$2:$C$41,FuelShares!$C23)/SUMIF(Stock!$C$2:$C$41,FuelShares!$A23,Stock!AS$2:AS$41)</f>
        <v>0.046956086449349246</v>
      </c>
      <c r="AM23" s="3">
        <f>SUMIFS(Stock!AT$2:AT$41,Stock!$C$2:$C$41,FuelShares!$A23,Stock!$C$2:$C$41,FuelShares!$C23)/SUMIF(Stock!$C$2:$C$41,FuelShares!$A23,Stock!AT$2:AT$41)</f>
        <v>0</v>
      </c>
      <c r="AN23" s="3">
        <f>SUMIFS(Stock!AU$2:AU$41,Stock!$C$2:$C$41,FuelShares!$A23,Stock!$C$2:$C$41,FuelShares!$C23)/SUMIF(Stock!$C$2:$C$41,FuelShares!$A23,Stock!AU$2:AU$41)</f>
        <v>0</v>
      </c>
      <c r="AO23" s="3">
        <f>SUMIFS(Stock!AV$2:AV$41,Stock!$C$2:$C$41,FuelShares!$A23,Stock!$C$2:$C$41,FuelShares!$C23)/SUMIF(Stock!$C$2:$C$41,FuelShares!$A23,Stock!AV$2:AV$41)</f>
        <v>0</v>
      </c>
    </row>
    <row r="24" spans="1:41" ht="13.2">
      <c r="A24" t="str">
        <f>LEFT(Stock!C22,7)&amp;"*"</f>
        <v>TRA_Car*</v>
      </c>
      <c r="B24" t="str">
        <f>"*"&amp;RIGHT(Stock!C22,3)&amp;"*"</f>
        <v>*Exe*</v>
      </c>
      <c r="C24" t="str">
        <f>"*"&amp;MID(Stock!C22,9,3)&amp;"*"</f>
        <v>*Gas*</v>
      </c>
      <c r="E24" s="3">
        <f>SUMIFS(Stock!L$2:L$41,Stock!$C$2:$C$41,FuelShares!$A24,Stock!$C$2:$C$41,FuelShares!$C24)/SUMIF(Stock!$C$2:$C$41,FuelShares!$A24,Stock!L$2:L$41)</f>
        <v>0.83215162812564492</v>
      </c>
      <c r="F24" s="3">
        <f>SUMIFS(Stock!M$2:M$41,Stock!$C$2:$C$41,FuelShares!$A24,Stock!$C$2:$C$41,FuelShares!$C24)/SUMIF(Stock!$C$2:$C$41,FuelShares!$A24,Stock!M$2:M$41)</f>
        <v>0.43643438152255137</v>
      </c>
      <c r="G24" s="3">
        <f>SUMIFS(Stock!N$2:N$41,Stock!$C$2:$C$41,FuelShares!$A24,Stock!$C$2:$C$41,FuelShares!$C24)/SUMIF(Stock!$C$2:$C$41,FuelShares!$A24,Stock!N$2:N$41)</f>
        <v>0.50457850752896449</v>
      </c>
      <c r="H24" s="3">
        <f>SUMIFS(Stock!O$2:O$41,Stock!$C$2:$C$41,FuelShares!$A24,Stock!$C$2:$C$41,FuelShares!$C24)/SUMIF(Stock!$C$2:$C$41,FuelShares!$A24,Stock!O$2:O$41)</f>
        <v>0.38536334091952085</v>
      </c>
      <c r="I24" s="3">
        <f>SUMIFS(Stock!P$2:P$41,Stock!$C$2:$C$41,FuelShares!$A24,Stock!$C$2:$C$41,FuelShares!$C24)/SUMIF(Stock!$C$2:$C$41,FuelShares!$A24,Stock!P$2:P$41)</f>
        <v>0.59746629939677465</v>
      </c>
      <c r="J24" s="3">
        <f>SUMIFS(Stock!Q$2:Q$41,Stock!$C$2:$C$41,FuelShares!$A24,Stock!$C$2:$C$41,FuelShares!$C24)/SUMIF(Stock!$C$2:$C$41,FuelShares!$A24,Stock!Q$2:Q$41)</f>
        <v>0.81557376043652452</v>
      </c>
      <c r="K24" s="3">
        <f>SUMIFS(Stock!R$2:R$41,Stock!$C$2:$C$41,FuelShares!$A24,Stock!$C$2:$C$41,FuelShares!$C24)/SUMIF(Stock!$C$2:$C$41,FuelShares!$A24,Stock!R$2:R$41)</f>
        <v>0.89484509096348375</v>
      </c>
      <c r="L24" s="3">
        <f>SUMIFS(Stock!S$2:S$41,Stock!$C$2:$C$41,FuelShares!$A24,Stock!$C$2:$C$41,FuelShares!$C24)/SUMIF(Stock!$C$2:$C$41,FuelShares!$A24,Stock!S$2:S$41)</f>
        <v>0.73064946619217086</v>
      </c>
      <c r="M24" s="3">
        <f>SUMIFS(Stock!T$2:T$41,Stock!$C$2:$C$41,FuelShares!$A24,Stock!$C$2:$C$41,FuelShares!$C24)/SUMIF(Stock!$C$2:$C$41,FuelShares!$A24,Stock!T$2:T$41)</f>
        <v>0.72400211136717751</v>
      </c>
      <c r="N24" s="3">
        <f>SUMIFS(Stock!U$2:U$41,Stock!$C$2:$C$41,FuelShares!$A24,Stock!$C$2:$C$41,FuelShares!$C24)/SUMIF(Stock!$C$2:$C$41,FuelShares!$A24,Stock!U$2:U$41)</f>
        <v>0.75353335582244363</v>
      </c>
      <c r="O24" s="3">
        <f>SUMIFS(Stock!V$2:V$41,Stock!$C$2:$C$41,FuelShares!$A24,Stock!$C$2:$C$41,FuelShares!$C24)/SUMIF(Stock!$C$2:$C$41,FuelShares!$A24,Stock!V$2:V$41)</f>
        <v>0.72801573012413534</v>
      </c>
      <c r="P24" s="3">
        <f>SUMIFS(Stock!W$2:W$41,Stock!$C$2:$C$41,FuelShares!$A24,Stock!$C$2:$C$41,FuelShares!$C24)/SUMIF(Stock!$C$2:$C$41,FuelShares!$A24,Stock!W$2:W$41)</f>
        <v>0.97111486389348423</v>
      </c>
      <c r="Q24" s="3">
        <f>SUMIFS(Stock!X$2:X$41,Stock!$C$2:$C$41,FuelShares!$A24,Stock!$C$2:$C$41,FuelShares!$C24)/SUMIF(Stock!$C$2:$C$41,FuelShares!$A24,Stock!X$2:X$41)</f>
        <v>0.48216569483883553</v>
      </c>
      <c r="R24" s="3">
        <f>SUMIFS(Stock!Y$2:Y$41,Stock!$C$2:$C$41,FuelShares!$A24,Stock!$C$2:$C$41,FuelShares!$C24)/SUMIF(Stock!$C$2:$C$41,FuelShares!$A24,Stock!Y$2:Y$41)</f>
        <v>0.80601890756302519</v>
      </c>
      <c r="S24" s="3">
        <f>SUMIFS(Stock!Z$2:Z$41,Stock!$C$2:$C$41,FuelShares!$A24,Stock!$C$2:$C$41,FuelShares!$C24)/SUMIF(Stock!$C$2:$C$41,FuelShares!$A24,Stock!Z$2:Z$41)</f>
        <v>0.39680072942680933</v>
      </c>
      <c r="T24" s="3">
        <f>SUMIFS(Stock!AA$2:AA$41,Stock!$C$2:$C$41,FuelShares!$A24,Stock!$C$2:$C$41,FuelShares!$C24)/SUMIF(Stock!$C$2:$C$41,FuelShares!$A24,Stock!AA$2:AA$41)</f>
        <v>0.6319796273957915</v>
      </c>
      <c r="U24" s="3">
        <f>SUMIFS(Stock!AB$2:AB$41,Stock!$C$2:$C$41,FuelShares!$A24,Stock!$C$2:$C$41,FuelShares!$C24)/SUMIF(Stock!$C$2:$C$41,FuelShares!$A24,Stock!AB$2:AB$41)</f>
        <v>0.79069229686526044</v>
      </c>
      <c r="V24" s="3">
        <f>SUMIFS(Stock!AC$2:AC$41,Stock!$C$2:$C$41,FuelShares!$A24,Stock!$C$2:$C$41,FuelShares!$C24)/SUMIF(Stock!$C$2:$C$41,FuelShares!$A24,Stock!AC$2:AC$41)</f>
        <v>0.73844024190619562</v>
      </c>
      <c r="W24" s="3">
        <f>SUMIFS(Stock!AD$2:AD$41,Stock!$C$2:$C$41,FuelShares!$A24,Stock!$C$2:$C$41,FuelShares!$C24)/SUMIF(Stock!$C$2:$C$41,FuelShares!$A24,Stock!AD$2:AD$41)</f>
        <v>0.81275659824046942</v>
      </c>
      <c r="X24" s="3">
        <f>SUMIFS(Stock!AE$2:AE$41,Stock!$C$2:$C$41,FuelShares!$A24,Stock!$C$2:$C$41,FuelShares!$C24)/SUMIF(Stock!$C$2:$C$41,FuelShares!$A24,Stock!AE$2:AE$41)</f>
        <v>0.54142837137506095</v>
      </c>
      <c r="Y24" s="3">
        <f>SUMIFS(Stock!AF$2:AF$41,Stock!$C$2:$C$41,FuelShares!$A24,Stock!$C$2:$C$41,FuelShares!$C24)/SUMIF(Stock!$C$2:$C$41,FuelShares!$A24,Stock!AF$2:AF$41)</f>
        <v>0.48281879571994668</v>
      </c>
      <c r="Z24" s="3">
        <f>SUMIFS(Stock!AG$2:AG$41,Stock!$C$2:$C$41,FuelShares!$A24,Stock!$C$2:$C$41,FuelShares!$C24)/SUMIF(Stock!$C$2:$C$41,FuelShares!$A24,Stock!AG$2:AG$41)</f>
        <v>0.66943298252121097</v>
      </c>
      <c r="AA24" s="3">
        <f>SUMIFS(Stock!AH$2:AH$41,Stock!$C$2:$C$41,FuelShares!$A24,Stock!$C$2:$C$41,FuelShares!$C24)/SUMIF(Stock!$C$2:$C$41,FuelShares!$A24,Stock!AH$2:AH$41)</f>
        <v>0.35931750741839769</v>
      </c>
      <c r="AB24" s="3">
        <f>SUMIFS(Stock!AI$2:AI$41,Stock!$C$2:$C$41,FuelShares!$A24,Stock!$C$2:$C$41,FuelShares!$C24)/SUMIF(Stock!$C$2:$C$41,FuelShares!$A24,Stock!AI$2:AI$41)</f>
        <v>0.63932841415775554</v>
      </c>
      <c r="AC24" s="3">
        <f>SUMIFS(Stock!AJ$2:AJ$41,Stock!$C$2:$C$41,FuelShares!$A24,Stock!$C$2:$C$41,FuelShares!$C24)/SUMIF(Stock!$C$2:$C$41,FuelShares!$A24,Stock!AJ$2:AJ$41)</f>
        <v>0.8964699889933907</v>
      </c>
      <c r="AD24" s="3">
        <f>SUMIFS(Stock!AK$2:AK$41,Stock!$C$2:$C$41,FuelShares!$A24,Stock!$C$2:$C$41,FuelShares!$C24)/SUMIF(Stock!$C$2:$C$41,FuelShares!$A24,Stock!AK$2:AK$41)</f>
        <v>0.73238982559076715</v>
      </c>
      <c r="AE24" s="3">
        <f>SUMIFS(Stock!AL$2:AL$41,Stock!$C$2:$C$41,FuelShares!$A24,Stock!$C$2:$C$41,FuelShares!$C24)/SUMIF(Stock!$C$2:$C$41,FuelShares!$A24,Stock!AL$2:AL$41)</f>
        <v>0.71941401062416999</v>
      </c>
      <c r="AF24" s="3">
        <f>SUMIFS(Stock!AM$2:AM$41,Stock!$C$2:$C$41,FuelShares!$A24,Stock!$C$2:$C$41,FuelShares!$C24)/SUMIF(Stock!$C$2:$C$41,FuelShares!$A24,Stock!AM$2:AM$41)</f>
        <v>0.79757908248674025</v>
      </c>
      <c r="AG24" s="3">
        <f>SUMIFS(Stock!AN$2:AN$41,Stock!$C$2:$C$41,FuelShares!$A24,Stock!$C$2:$C$41,FuelShares!$C24)/SUMIF(Stock!$C$2:$C$41,FuelShares!$A24,Stock!AN$2:AN$41)</f>
        <v>0.6962989649051895</v>
      </c>
      <c r="AH24" s="3">
        <f>SUMIFS(Stock!AO$2:AO$41,Stock!$C$2:$C$41,FuelShares!$A24,Stock!$C$2:$C$41,FuelShares!$C24)/SUMIF(Stock!$C$2:$C$41,FuelShares!$A24,Stock!AO$2:AO$41)</f>
        <v>0.61003457658618121</v>
      </c>
      <c r="AI24" s="3">
        <f>SUMIFS(Stock!AP$2:AP$41,Stock!$C$2:$C$41,FuelShares!$A24,Stock!$C$2:$C$41,FuelShares!$C24)/SUMIF(Stock!$C$2:$C$41,FuelShares!$A24,Stock!AP$2:AP$41)</f>
        <v>0.5475255754475703</v>
      </c>
      <c r="AJ24" s="3">
        <f>SUMIFS(Stock!AQ$2:AQ$41,Stock!$C$2:$C$41,FuelShares!$A24,Stock!$C$2:$C$41,FuelShares!$C24)/SUMIF(Stock!$C$2:$C$41,FuelShares!$A24,Stock!AQ$2:AQ$41)</f>
        <v>0.67752714645025491</v>
      </c>
      <c r="AK24" s="3">
        <f>SUMIFS(Stock!AR$2:AR$41,Stock!$C$2:$C$41,FuelShares!$A24,Stock!$C$2:$C$41,FuelShares!$C24)/SUMIF(Stock!$C$2:$C$41,FuelShares!$A24,Stock!AR$2:AR$41)</f>
        <v>0.49025918539184649</v>
      </c>
      <c r="AL24" s="3">
        <f>SUMIFS(Stock!AS$2:AS$41,Stock!$C$2:$C$41,FuelShares!$A24,Stock!$C$2:$C$41,FuelShares!$C24)/SUMIF(Stock!$C$2:$C$41,FuelShares!$A24,Stock!AS$2:AS$41)</f>
        <v>0.7958148484931985</v>
      </c>
      <c r="AM24" s="3">
        <f>SUMIFS(Stock!AT$2:AT$41,Stock!$C$2:$C$41,FuelShares!$A24,Stock!$C$2:$C$41,FuelShares!$C24)/SUMIF(Stock!$C$2:$C$41,FuelShares!$A24,Stock!AT$2:AT$41)</f>
        <v>0.65263401109057295</v>
      </c>
      <c r="AN24" s="3">
        <f>SUMIFS(Stock!AU$2:AU$41,Stock!$C$2:$C$41,FuelShares!$A24,Stock!$C$2:$C$41,FuelShares!$C24)/SUMIF(Stock!$C$2:$C$41,FuelShares!$A24,Stock!AU$2:AU$41)</f>
        <v>0.70885931855082707</v>
      </c>
      <c r="AO24" s="3">
        <f>SUMIFS(Stock!AV$2:AV$41,Stock!$C$2:$C$41,FuelShares!$A24,Stock!$C$2:$C$41,FuelShares!$C24)/SUMIF(Stock!$C$2:$C$41,FuelShares!$A24,Stock!AV$2:AV$41)</f>
        <v>0.7093261310173552</v>
      </c>
    </row>
    <row r="25" spans="1:41" ht="13.2">
      <c r="A25" t="str">
        <f>LEFT(Stock!C23,7)&amp;"*"</f>
        <v>TRA_Car*</v>
      </c>
      <c r="B25" t="str">
        <f>"*"&amp;RIGHT(Stock!C23,3)&amp;"*"</f>
        <v>*Lom*</v>
      </c>
      <c r="C25" t="str">
        <f>"*"&amp;MID(Stock!C23,9,3)&amp;"*"</f>
        <v>*Gas*</v>
      </c>
      <c r="E25" s="3">
        <f>SUMIFS(Stock!L$2:L$41,Stock!$C$2:$C$41,FuelShares!$A25,Stock!$C$2:$C$41,FuelShares!$C25)/SUMIF(Stock!$C$2:$C$41,FuelShares!$A25,Stock!L$2:L$41)</f>
        <v>0.83215162812564492</v>
      </c>
      <c r="F25" s="3">
        <f>SUMIFS(Stock!M$2:M$41,Stock!$C$2:$C$41,FuelShares!$A25,Stock!$C$2:$C$41,FuelShares!$C25)/SUMIF(Stock!$C$2:$C$41,FuelShares!$A25,Stock!M$2:M$41)</f>
        <v>0.43643438152255137</v>
      </c>
      <c r="G25" s="3">
        <f>SUMIFS(Stock!N$2:N$41,Stock!$C$2:$C$41,FuelShares!$A25,Stock!$C$2:$C$41,FuelShares!$C25)/SUMIF(Stock!$C$2:$C$41,FuelShares!$A25,Stock!N$2:N$41)</f>
        <v>0.50457850752896449</v>
      </c>
      <c r="H25" s="3">
        <f>SUMIFS(Stock!O$2:O$41,Stock!$C$2:$C$41,FuelShares!$A25,Stock!$C$2:$C$41,FuelShares!$C25)/SUMIF(Stock!$C$2:$C$41,FuelShares!$A25,Stock!O$2:O$41)</f>
        <v>0.38536334091952085</v>
      </c>
      <c r="I25" s="3">
        <f>SUMIFS(Stock!P$2:P$41,Stock!$C$2:$C$41,FuelShares!$A25,Stock!$C$2:$C$41,FuelShares!$C25)/SUMIF(Stock!$C$2:$C$41,FuelShares!$A25,Stock!P$2:P$41)</f>
        <v>0.59746629939677465</v>
      </c>
      <c r="J25" s="3">
        <f>SUMIFS(Stock!Q$2:Q$41,Stock!$C$2:$C$41,FuelShares!$A25,Stock!$C$2:$C$41,FuelShares!$C25)/SUMIF(Stock!$C$2:$C$41,FuelShares!$A25,Stock!Q$2:Q$41)</f>
        <v>0.81557376043652452</v>
      </c>
      <c r="K25" s="3">
        <f>SUMIFS(Stock!R$2:R$41,Stock!$C$2:$C$41,FuelShares!$A25,Stock!$C$2:$C$41,FuelShares!$C25)/SUMIF(Stock!$C$2:$C$41,FuelShares!$A25,Stock!R$2:R$41)</f>
        <v>0.89484509096348375</v>
      </c>
      <c r="L25" s="3">
        <f>SUMIFS(Stock!S$2:S$41,Stock!$C$2:$C$41,FuelShares!$A25,Stock!$C$2:$C$41,FuelShares!$C25)/SUMIF(Stock!$C$2:$C$41,FuelShares!$A25,Stock!S$2:S$41)</f>
        <v>0.73064946619217086</v>
      </c>
      <c r="M25" s="3">
        <f>SUMIFS(Stock!T$2:T$41,Stock!$C$2:$C$41,FuelShares!$A25,Stock!$C$2:$C$41,FuelShares!$C25)/SUMIF(Stock!$C$2:$C$41,FuelShares!$A25,Stock!T$2:T$41)</f>
        <v>0.72400211136717751</v>
      </c>
      <c r="N25" s="3">
        <f>SUMIFS(Stock!U$2:U$41,Stock!$C$2:$C$41,FuelShares!$A25,Stock!$C$2:$C$41,FuelShares!$C25)/SUMIF(Stock!$C$2:$C$41,FuelShares!$A25,Stock!U$2:U$41)</f>
        <v>0.75353335582244363</v>
      </c>
      <c r="O25" s="3">
        <f>SUMIFS(Stock!V$2:V$41,Stock!$C$2:$C$41,FuelShares!$A25,Stock!$C$2:$C$41,FuelShares!$C25)/SUMIF(Stock!$C$2:$C$41,FuelShares!$A25,Stock!V$2:V$41)</f>
        <v>0.72801573012413534</v>
      </c>
      <c r="P25" s="3">
        <f>SUMIFS(Stock!W$2:W$41,Stock!$C$2:$C$41,FuelShares!$A25,Stock!$C$2:$C$41,FuelShares!$C25)/SUMIF(Stock!$C$2:$C$41,FuelShares!$A25,Stock!W$2:W$41)</f>
        <v>0.97111486389348423</v>
      </c>
      <c r="Q25" s="3">
        <f>SUMIFS(Stock!X$2:X$41,Stock!$C$2:$C$41,FuelShares!$A25,Stock!$C$2:$C$41,FuelShares!$C25)/SUMIF(Stock!$C$2:$C$41,FuelShares!$A25,Stock!X$2:X$41)</f>
        <v>0.48216569483883553</v>
      </c>
      <c r="R25" s="3">
        <f>SUMIFS(Stock!Y$2:Y$41,Stock!$C$2:$C$41,FuelShares!$A25,Stock!$C$2:$C$41,FuelShares!$C25)/SUMIF(Stock!$C$2:$C$41,FuelShares!$A25,Stock!Y$2:Y$41)</f>
        <v>0.80601890756302519</v>
      </c>
      <c r="S25" s="3">
        <f>SUMIFS(Stock!Z$2:Z$41,Stock!$C$2:$C$41,FuelShares!$A25,Stock!$C$2:$C$41,FuelShares!$C25)/SUMIF(Stock!$C$2:$C$41,FuelShares!$A25,Stock!Z$2:Z$41)</f>
        <v>0.39680072942680933</v>
      </c>
      <c r="T25" s="3">
        <f>SUMIFS(Stock!AA$2:AA$41,Stock!$C$2:$C$41,FuelShares!$A25,Stock!$C$2:$C$41,FuelShares!$C25)/SUMIF(Stock!$C$2:$C$41,FuelShares!$A25,Stock!AA$2:AA$41)</f>
        <v>0.6319796273957915</v>
      </c>
      <c r="U25" s="3">
        <f>SUMIFS(Stock!AB$2:AB$41,Stock!$C$2:$C$41,FuelShares!$A25,Stock!$C$2:$C$41,FuelShares!$C25)/SUMIF(Stock!$C$2:$C$41,FuelShares!$A25,Stock!AB$2:AB$41)</f>
        <v>0.79069229686526044</v>
      </c>
      <c r="V25" s="3">
        <f>SUMIFS(Stock!AC$2:AC$41,Stock!$C$2:$C$41,FuelShares!$A25,Stock!$C$2:$C$41,FuelShares!$C25)/SUMIF(Stock!$C$2:$C$41,FuelShares!$A25,Stock!AC$2:AC$41)</f>
        <v>0.73844024190619562</v>
      </c>
      <c r="W25" s="3">
        <f>SUMIFS(Stock!AD$2:AD$41,Stock!$C$2:$C$41,FuelShares!$A25,Stock!$C$2:$C$41,FuelShares!$C25)/SUMIF(Stock!$C$2:$C$41,FuelShares!$A25,Stock!AD$2:AD$41)</f>
        <v>0.81275659824046942</v>
      </c>
      <c r="X25" s="3">
        <f>SUMIFS(Stock!AE$2:AE$41,Stock!$C$2:$C$41,FuelShares!$A25,Stock!$C$2:$C$41,FuelShares!$C25)/SUMIF(Stock!$C$2:$C$41,FuelShares!$A25,Stock!AE$2:AE$41)</f>
        <v>0.54142837137506095</v>
      </c>
      <c r="Y25" s="3">
        <f>SUMIFS(Stock!AF$2:AF$41,Stock!$C$2:$C$41,FuelShares!$A25,Stock!$C$2:$C$41,FuelShares!$C25)/SUMIF(Stock!$C$2:$C$41,FuelShares!$A25,Stock!AF$2:AF$41)</f>
        <v>0.48281879571994668</v>
      </c>
      <c r="Z25" s="3">
        <f>SUMIFS(Stock!AG$2:AG$41,Stock!$C$2:$C$41,FuelShares!$A25,Stock!$C$2:$C$41,FuelShares!$C25)/SUMIF(Stock!$C$2:$C$41,FuelShares!$A25,Stock!AG$2:AG$41)</f>
        <v>0.66943298252121097</v>
      </c>
      <c r="AA25" s="3">
        <f>SUMIFS(Stock!AH$2:AH$41,Stock!$C$2:$C$41,FuelShares!$A25,Stock!$C$2:$C$41,FuelShares!$C25)/SUMIF(Stock!$C$2:$C$41,FuelShares!$A25,Stock!AH$2:AH$41)</f>
        <v>0.35931750741839769</v>
      </c>
      <c r="AB25" s="3">
        <f>SUMIFS(Stock!AI$2:AI$41,Stock!$C$2:$C$41,FuelShares!$A25,Stock!$C$2:$C$41,FuelShares!$C25)/SUMIF(Stock!$C$2:$C$41,FuelShares!$A25,Stock!AI$2:AI$41)</f>
        <v>0.63932841415775554</v>
      </c>
      <c r="AC25" s="3">
        <f>SUMIFS(Stock!AJ$2:AJ$41,Stock!$C$2:$C$41,FuelShares!$A25,Stock!$C$2:$C$41,FuelShares!$C25)/SUMIF(Stock!$C$2:$C$41,FuelShares!$A25,Stock!AJ$2:AJ$41)</f>
        <v>0.8964699889933907</v>
      </c>
      <c r="AD25" s="3">
        <f>SUMIFS(Stock!AK$2:AK$41,Stock!$C$2:$C$41,FuelShares!$A25,Stock!$C$2:$C$41,FuelShares!$C25)/SUMIF(Stock!$C$2:$C$41,FuelShares!$A25,Stock!AK$2:AK$41)</f>
        <v>0.73238982559076715</v>
      </c>
      <c r="AE25" s="3">
        <f>SUMIFS(Stock!AL$2:AL$41,Stock!$C$2:$C$41,FuelShares!$A25,Stock!$C$2:$C$41,FuelShares!$C25)/SUMIF(Stock!$C$2:$C$41,FuelShares!$A25,Stock!AL$2:AL$41)</f>
        <v>0.71941401062416999</v>
      </c>
      <c r="AF25" s="3">
        <f>SUMIFS(Stock!AM$2:AM$41,Stock!$C$2:$C$41,FuelShares!$A25,Stock!$C$2:$C$41,FuelShares!$C25)/SUMIF(Stock!$C$2:$C$41,FuelShares!$A25,Stock!AM$2:AM$41)</f>
        <v>0.79757908248674025</v>
      </c>
      <c r="AG25" s="3">
        <f>SUMIFS(Stock!AN$2:AN$41,Stock!$C$2:$C$41,FuelShares!$A25,Stock!$C$2:$C$41,FuelShares!$C25)/SUMIF(Stock!$C$2:$C$41,FuelShares!$A25,Stock!AN$2:AN$41)</f>
        <v>0.6962989649051895</v>
      </c>
      <c r="AH25" s="3">
        <f>SUMIFS(Stock!AO$2:AO$41,Stock!$C$2:$C$41,FuelShares!$A25,Stock!$C$2:$C$41,FuelShares!$C25)/SUMIF(Stock!$C$2:$C$41,FuelShares!$A25,Stock!AO$2:AO$41)</f>
        <v>0.61003457658618121</v>
      </c>
      <c r="AI25" s="3">
        <f>SUMIFS(Stock!AP$2:AP$41,Stock!$C$2:$C$41,FuelShares!$A25,Stock!$C$2:$C$41,FuelShares!$C25)/SUMIF(Stock!$C$2:$C$41,FuelShares!$A25,Stock!AP$2:AP$41)</f>
        <v>0.5475255754475703</v>
      </c>
      <c r="AJ25" s="3">
        <f>SUMIFS(Stock!AQ$2:AQ$41,Stock!$C$2:$C$41,FuelShares!$A25,Stock!$C$2:$C$41,FuelShares!$C25)/SUMIF(Stock!$C$2:$C$41,FuelShares!$A25,Stock!AQ$2:AQ$41)</f>
        <v>0.67752714645025491</v>
      </c>
      <c r="AK25" s="3">
        <f>SUMIFS(Stock!AR$2:AR$41,Stock!$C$2:$C$41,FuelShares!$A25,Stock!$C$2:$C$41,FuelShares!$C25)/SUMIF(Stock!$C$2:$C$41,FuelShares!$A25,Stock!AR$2:AR$41)</f>
        <v>0.49025918539184649</v>
      </c>
      <c r="AL25" s="3">
        <f>SUMIFS(Stock!AS$2:AS$41,Stock!$C$2:$C$41,FuelShares!$A25,Stock!$C$2:$C$41,FuelShares!$C25)/SUMIF(Stock!$C$2:$C$41,FuelShares!$A25,Stock!AS$2:AS$41)</f>
        <v>0.7958148484931985</v>
      </c>
      <c r="AM25" s="3">
        <f>SUMIFS(Stock!AT$2:AT$41,Stock!$C$2:$C$41,FuelShares!$A25,Stock!$C$2:$C$41,FuelShares!$C25)/SUMIF(Stock!$C$2:$C$41,FuelShares!$A25,Stock!AT$2:AT$41)</f>
        <v>0.65263401109057295</v>
      </c>
      <c r="AN25" s="3">
        <f>SUMIFS(Stock!AU$2:AU$41,Stock!$C$2:$C$41,FuelShares!$A25,Stock!$C$2:$C$41,FuelShares!$C25)/SUMIF(Stock!$C$2:$C$41,FuelShares!$A25,Stock!AU$2:AU$41)</f>
        <v>0.70885931855082707</v>
      </c>
      <c r="AO25" s="3">
        <f>SUMIFS(Stock!AV$2:AV$41,Stock!$C$2:$C$41,FuelShares!$A25,Stock!$C$2:$C$41,FuelShares!$C25)/SUMIF(Stock!$C$2:$C$41,FuelShares!$A25,Stock!AV$2:AV$41)</f>
        <v>0.7093261310173552</v>
      </c>
    </row>
    <row r="26" spans="1:41" ht="13.2">
      <c r="A26" t="str">
        <f>LEFT(Stock!C24,7)&amp;"*"</f>
        <v>TRA_Car*</v>
      </c>
      <c r="B26" t="str">
        <f>"*"&amp;RIGHT(Stock!C24,3)&amp;"*"</f>
        <v>*Sma*</v>
      </c>
      <c r="C26" t="str">
        <f>"*"&amp;MID(Stock!C24,9,3)&amp;"*"</f>
        <v>*Gas*</v>
      </c>
      <c r="E26" s="3">
        <f>SUMIFS(Stock!L$2:L$41,Stock!$C$2:$C$41,FuelShares!$A26,Stock!$C$2:$C$41,FuelShares!$C26)/SUMIF(Stock!$C$2:$C$41,FuelShares!$A26,Stock!L$2:L$41)</f>
        <v>0.83215162812564492</v>
      </c>
      <c r="F26" s="3">
        <f>SUMIFS(Stock!M$2:M$41,Stock!$C$2:$C$41,FuelShares!$A26,Stock!$C$2:$C$41,FuelShares!$C26)/SUMIF(Stock!$C$2:$C$41,FuelShares!$A26,Stock!M$2:M$41)</f>
        <v>0.43643438152255137</v>
      </c>
      <c r="G26" s="3">
        <f>SUMIFS(Stock!N$2:N$41,Stock!$C$2:$C$41,FuelShares!$A26,Stock!$C$2:$C$41,FuelShares!$C26)/SUMIF(Stock!$C$2:$C$41,FuelShares!$A26,Stock!N$2:N$41)</f>
        <v>0.50457850752896449</v>
      </c>
      <c r="H26" s="3">
        <f>SUMIFS(Stock!O$2:O$41,Stock!$C$2:$C$41,FuelShares!$A26,Stock!$C$2:$C$41,FuelShares!$C26)/SUMIF(Stock!$C$2:$C$41,FuelShares!$A26,Stock!O$2:O$41)</f>
        <v>0.38536334091952085</v>
      </c>
      <c r="I26" s="3">
        <f>SUMIFS(Stock!P$2:P$41,Stock!$C$2:$C$41,FuelShares!$A26,Stock!$C$2:$C$41,FuelShares!$C26)/SUMIF(Stock!$C$2:$C$41,FuelShares!$A26,Stock!P$2:P$41)</f>
        <v>0.59746629939677465</v>
      </c>
      <c r="J26" s="3">
        <f>SUMIFS(Stock!Q$2:Q$41,Stock!$C$2:$C$41,FuelShares!$A26,Stock!$C$2:$C$41,FuelShares!$C26)/SUMIF(Stock!$C$2:$C$41,FuelShares!$A26,Stock!Q$2:Q$41)</f>
        <v>0.81557376043652452</v>
      </c>
      <c r="K26" s="3">
        <f>SUMIFS(Stock!R$2:R$41,Stock!$C$2:$C$41,FuelShares!$A26,Stock!$C$2:$C$41,FuelShares!$C26)/SUMIF(Stock!$C$2:$C$41,FuelShares!$A26,Stock!R$2:R$41)</f>
        <v>0.89484509096348375</v>
      </c>
      <c r="L26" s="3">
        <f>SUMIFS(Stock!S$2:S$41,Stock!$C$2:$C$41,FuelShares!$A26,Stock!$C$2:$C$41,FuelShares!$C26)/SUMIF(Stock!$C$2:$C$41,FuelShares!$A26,Stock!S$2:S$41)</f>
        <v>0.73064946619217086</v>
      </c>
      <c r="M26" s="3">
        <f>SUMIFS(Stock!T$2:T$41,Stock!$C$2:$C$41,FuelShares!$A26,Stock!$C$2:$C$41,FuelShares!$C26)/SUMIF(Stock!$C$2:$C$41,FuelShares!$A26,Stock!T$2:T$41)</f>
        <v>0.72400211136717751</v>
      </c>
      <c r="N26" s="3">
        <f>SUMIFS(Stock!U$2:U$41,Stock!$C$2:$C$41,FuelShares!$A26,Stock!$C$2:$C$41,FuelShares!$C26)/SUMIF(Stock!$C$2:$C$41,FuelShares!$A26,Stock!U$2:U$41)</f>
        <v>0.75353335582244363</v>
      </c>
      <c r="O26" s="3">
        <f>SUMIFS(Stock!V$2:V$41,Stock!$C$2:$C$41,FuelShares!$A26,Stock!$C$2:$C$41,FuelShares!$C26)/SUMIF(Stock!$C$2:$C$41,FuelShares!$A26,Stock!V$2:V$41)</f>
        <v>0.72801573012413534</v>
      </c>
      <c r="P26" s="3">
        <f>SUMIFS(Stock!W$2:W$41,Stock!$C$2:$C$41,FuelShares!$A26,Stock!$C$2:$C$41,FuelShares!$C26)/SUMIF(Stock!$C$2:$C$41,FuelShares!$A26,Stock!W$2:W$41)</f>
        <v>0.97111486389348423</v>
      </c>
      <c r="Q26" s="3">
        <f>SUMIFS(Stock!X$2:X$41,Stock!$C$2:$C$41,FuelShares!$A26,Stock!$C$2:$C$41,FuelShares!$C26)/SUMIF(Stock!$C$2:$C$41,FuelShares!$A26,Stock!X$2:X$41)</f>
        <v>0.48216569483883553</v>
      </c>
      <c r="R26" s="3">
        <f>SUMIFS(Stock!Y$2:Y$41,Stock!$C$2:$C$41,FuelShares!$A26,Stock!$C$2:$C$41,FuelShares!$C26)/SUMIF(Stock!$C$2:$C$41,FuelShares!$A26,Stock!Y$2:Y$41)</f>
        <v>0.80601890756302519</v>
      </c>
      <c r="S26" s="3">
        <f>SUMIFS(Stock!Z$2:Z$41,Stock!$C$2:$C$41,FuelShares!$A26,Stock!$C$2:$C$41,FuelShares!$C26)/SUMIF(Stock!$C$2:$C$41,FuelShares!$A26,Stock!Z$2:Z$41)</f>
        <v>0.39680072942680933</v>
      </c>
      <c r="T26" s="3">
        <f>SUMIFS(Stock!AA$2:AA$41,Stock!$C$2:$C$41,FuelShares!$A26,Stock!$C$2:$C$41,FuelShares!$C26)/SUMIF(Stock!$C$2:$C$41,FuelShares!$A26,Stock!AA$2:AA$41)</f>
        <v>0.6319796273957915</v>
      </c>
      <c r="U26" s="3">
        <f>SUMIFS(Stock!AB$2:AB$41,Stock!$C$2:$C$41,FuelShares!$A26,Stock!$C$2:$C$41,FuelShares!$C26)/SUMIF(Stock!$C$2:$C$41,FuelShares!$A26,Stock!AB$2:AB$41)</f>
        <v>0.79069229686526044</v>
      </c>
      <c r="V26" s="3">
        <f>SUMIFS(Stock!AC$2:AC$41,Stock!$C$2:$C$41,FuelShares!$A26,Stock!$C$2:$C$41,FuelShares!$C26)/SUMIF(Stock!$C$2:$C$41,FuelShares!$A26,Stock!AC$2:AC$41)</f>
        <v>0.73844024190619562</v>
      </c>
      <c r="W26" s="3">
        <f>SUMIFS(Stock!AD$2:AD$41,Stock!$C$2:$C$41,FuelShares!$A26,Stock!$C$2:$C$41,FuelShares!$C26)/SUMIF(Stock!$C$2:$C$41,FuelShares!$A26,Stock!AD$2:AD$41)</f>
        <v>0.81275659824046942</v>
      </c>
      <c r="X26" s="3">
        <f>SUMIFS(Stock!AE$2:AE$41,Stock!$C$2:$C$41,FuelShares!$A26,Stock!$C$2:$C$41,FuelShares!$C26)/SUMIF(Stock!$C$2:$C$41,FuelShares!$A26,Stock!AE$2:AE$41)</f>
        <v>0.54142837137506095</v>
      </c>
      <c r="Y26" s="3">
        <f>SUMIFS(Stock!AF$2:AF$41,Stock!$C$2:$C$41,FuelShares!$A26,Stock!$C$2:$C$41,FuelShares!$C26)/SUMIF(Stock!$C$2:$C$41,FuelShares!$A26,Stock!AF$2:AF$41)</f>
        <v>0.48281879571994668</v>
      </c>
      <c r="Z26" s="3">
        <f>SUMIFS(Stock!AG$2:AG$41,Stock!$C$2:$C$41,FuelShares!$A26,Stock!$C$2:$C$41,FuelShares!$C26)/SUMIF(Stock!$C$2:$C$41,FuelShares!$A26,Stock!AG$2:AG$41)</f>
        <v>0.66943298252121097</v>
      </c>
      <c r="AA26" s="3">
        <f>SUMIFS(Stock!AH$2:AH$41,Stock!$C$2:$C$41,FuelShares!$A26,Stock!$C$2:$C$41,FuelShares!$C26)/SUMIF(Stock!$C$2:$C$41,FuelShares!$A26,Stock!AH$2:AH$41)</f>
        <v>0.35931750741839769</v>
      </c>
      <c r="AB26" s="3">
        <f>SUMIFS(Stock!AI$2:AI$41,Stock!$C$2:$C$41,FuelShares!$A26,Stock!$C$2:$C$41,FuelShares!$C26)/SUMIF(Stock!$C$2:$C$41,FuelShares!$A26,Stock!AI$2:AI$41)</f>
        <v>0.63932841415775554</v>
      </c>
      <c r="AC26" s="3">
        <f>SUMIFS(Stock!AJ$2:AJ$41,Stock!$C$2:$C$41,FuelShares!$A26,Stock!$C$2:$C$41,FuelShares!$C26)/SUMIF(Stock!$C$2:$C$41,FuelShares!$A26,Stock!AJ$2:AJ$41)</f>
        <v>0.8964699889933907</v>
      </c>
      <c r="AD26" s="3">
        <f>SUMIFS(Stock!AK$2:AK$41,Stock!$C$2:$C$41,FuelShares!$A26,Stock!$C$2:$C$41,FuelShares!$C26)/SUMIF(Stock!$C$2:$C$41,FuelShares!$A26,Stock!AK$2:AK$41)</f>
        <v>0.73238982559076715</v>
      </c>
      <c r="AE26" s="3">
        <f>SUMIFS(Stock!AL$2:AL$41,Stock!$C$2:$C$41,FuelShares!$A26,Stock!$C$2:$C$41,FuelShares!$C26)/SUMIF(Stock!$C$2:$C$41,FuelShares!$A26,Stock!AL$2:AL$41)</f>
        <v>0.71941401062416999</v>
      </c>
      <c r="AF26" s="3">
        <f>SUMIFS(Stock!AM$2:AM$41,Stock!$C$2:$C$41,FuelShares!$A26,Stock!$C$2:$C$41,FuelShares!$C26)/SUMIF(Stock!$C$2:$C$41,FuelShares!$A26,Stock!AM$2:AM$41)</f>
        <v>0.79757908248674025</v>
      </c>
      <c r="AG26" s="3">
        <f>SUMIFS(Stock!AN$2:AN$41,Stock!$C$2:$C$41,FuelShares!$A26,Stock!$C$2:$C$41,FuelShares!$C26)/SUMIF(Stock!$C$2:$C$41,FuelShares!$A26,Stock!AN$2:AN$41)</f>
        <v>0.6962989649051895</v>
      </c>
      <c r="AH26" s="3">
        <f>SUMIFS(Stock!AO$2:AO$41,Stock!$C$2:$C$41,FuelShares!$A26,Stock!$C$2:$C$41,FuelShares!$C26)/SUMIF(Stock!$C$2:$C$41,FuelShares!$A26,Stock!AO$2:AO$41)</f>
        <v>0.61003457658618121</v>
      </c>
      <c r="AI26" s="3">
        <f>SUMIFS(Stock!AP$2:AP$41,Stock!$C$2:$C$41,FuelShares!$A26,Stock!$C$2:$C$41,FuelShares!$C26)/SUMIF(Stock!$C$2:$C$41,FuelShares!$A26,Stock!AP$2:AP$41)</f>
        <v>0.5475255754475703</v>
      </c>
      <c r="AJ26" s="3">
        <f>SUMIFS(Stock!AQ$2:AQ$41,Stock!$C$2:$C$41,FuelShares!$A26,Stock!$C$2:$C$41,FuelShares!$C26)/SUMIF(Stock!$C$2:$C$41,FuelShares!$A26,Stock!AQ$2:AQ$41)</f>
        <v>0.67752714645025491</v>
      </c>
      <c r="AK26" s="3">
        <f>SUMIFS(Stock!AR$2:AR$41,Stock!$C$2:$C$41,FuelShares!$A26,Stock!$C$2:$C$41,FuelShares!$C26)/SUMIF(Stock!$C$2:$C$41,FuelShares!$A26,Stock!AR$2:AR$41)</f>
        <v>0.49025918539184649</v>
      </c>
      <c r="AL26" s="3">
        <f>SUMIFS(Stock!AS$2:AS$41,Stock!$C$2:$C$41,FuelShares!$A26,Stock!$C$2:$C$41,FuelShares!$C26)/SUMIF(Stock!$C$2:$C$41,FuelShares!$A26,Stock!AS$2:AS$41)</f>
        <v>0.7958148484931985</v>
      </c>
      <c r="AM26" s="3">
        <f>SUMIFS(Stock!AT$2:AT$41,Stock!$C$2:$C$41,FuelShares!$A26,Stock!$C$2:$C$41,FuelShares!$C26)/SUMIF(Stock!$C$2:$C$41,FuelShares!$A26,Stock!AT$2:AT$41)</f>
        <v>0.65263401109057295</v>
      </c>
      <c r="AN26" s="3">
        <f>SUMIFS(Stock!AU$2:AU$41,Stock!$C$2:$C$41,FuelShares!$A26,Stock!$C$2:$C$41,FuelShares!$C26)/SUMIF(Stock!$C$2:$C$41,FuelShares!$A26,Stock!AU$2:AU$41)</f>
        <v>0.70885931855082707</v>
      </c>
      <c r="AO26" s="3">
        <f>SUMIFS(Stock!AV$2:AV$41,Stock!$C$2:$C$41,FuelShares!$A26,Stock!$C$2:$C$41,FuelShares!$C26)/SUMIF(Stock!$C$2:$C$41,FuelShares!$A26,Stock!AV$2:AV$41)</f>
        <v>0.7093261310173552</v>
      </c>
    </row>
    <row r="27" spans="1:41" ht="13.2">
      <c r="A27" t="str">
        <f>LEFT(Stock!C25,7)&amp;"*"</f>
        <v>TRA_Car*</v>
      </c>
      <c r="B27" t="str">
        <f>"*"&amp;RIGHT(Stock!C25,3)&amp;"*"</f>
        <v>*Upm*</v>
      </c>
      <c r="C27" t="str">
        <f>"*"&amp;MID(Stock!C25,9,3)&amp;"*"</f>
        <v>*Gas*</v>
      </c>
      <c r="E27" s="3">
        <f>SUMIFS(Stock!L$2:L$41,Stock!$C$2:$C$41,FuelShares!$A27,Stock!$C$2:$C$41,FuelShares!$C27)/SUMIF(Stock!$C$2:$C$41,FuelShares!$A27,Stock!L$2:L$41)</f>
        <v>0.83215162812564492</v>
      </c>
      <c r="F27" s="3">
        <f>SUMIFS(Stock!M$2:M$41,Stock!$C$2:$C$41,FuelShares!$A27,Stock!$C$2:$C$41,FuelShares!$C27)/SUMIF(Stock!$C$2:$C$41,FuelShares!$A27,Stock!M$2:M$41)</f>
        <v>0.43643438152255137</v>
      </c>
      <c r="G27" s="3">
        <f>SUMIFS(Stock!N$2:N$41,Stock!$C$2:$C$41,FuelShares!$A27,Stock!$C$2:$C$41,FuelShares!$C27)/SUMIF(Stock!$C$2:$C$41,FuelShares!$A27,Stock!N$2:N$41)</f>
        <v>0.50457850752896449</v>
      </c>
      <c r="H27" s="3">
        <f>SUMIFS(Stock!O$2:O$41,Stock!$C$2:$C$41,FuelShares!$A27,Stock!$C$2:$C$41,FuelShares!$C27)/SUMIF(Stock!$C$2:$C$41,FuelShares!$A27,Stock!O$2:O$41)</f>
        <v>0.38536334091952085</v>
      </c>
      <c r="I27" s="3">
        <f>SUMIFS(Stock!P$2:P$41,Stock!$C$2:$C$41,FuelShares!$A27,Stock!$C$2:$C$41,FuelShares!$C27)/SUMIF(Stock!$C$2:$C$41,FuelShares!$A27,Stock!P$2:P$41)</f>
        <v>0.59746629939677465</v>
      </c>
      <c r="J27" s="3">
        <f>SUMIFS(Stock!Q$2:Q$41,Stock!$C$2:$C$41,FuelShares!$A27,Stock!$C$2:$C$41,FuelShares!$C27)/SUMIF(Stock!$C$2:$C$41,FuelShares!$A27,Stock!Q$2:Q$41)</f>
        <v>0.81557376043652452</v>
      </c>
      <c r="K27" s="3">
        <f>SUMIFS(Stock!R$2:R$41,Stock!$C$2:$C$41,FuelShares!$A27,Stock!$C$2:$C$41,FuelShares!$C27)/SUMIF(Stock!$C$2:$C$41,FuelShares!$A27,Stock!R$2:R$41)</f>
        <v>0.89484509096348375</v>
      </c>
      <c r="L27" s="3">
        <f>SUMIFS(Stock!S$2:S$41,Stock!$C$2:$C$41,FuelShares!$A27,Stock!$C$2:$C$41,FuelShares!$C27)/SUMIF(Stock!$C$2:$C$41,FuelShares!$A27,Stock!S$2:S$41)</f>
        <v>0.73064946619217086</v>
      </c>
      <c r="M27" s="3">
        <f>SUMIFS(Stock!T$2:T$41,Stock!$C$2:$C$41,FuelShares!$A27,Stock!$C$2:$C$41,FuelShares!$C27)/SUMIF(Stock!$C$2:$C$41,FuelShares!$A27,Stock!T$2:T$41)</f>
        <v>0.72400211136717751</v>
      </c>
      <c r="N27" s="3">
        <f>SUMIFS(Stock!U$2:U$41,Stock!$C$2:$C$41,FuelShares!$A27,Stock!$C$2:$C$41,FuelShares!$C27)/SUMIF(Stock!$C$2:$C$41,FuelShares!$A27,Stock!U$2:U$41)</f>
        <v>0.75353335582244363</v>
      </c>
      <c r="O27" s="3">
        <f>SUMIFS(Stock!V$2:V$41,Stock!$C$2:$C$41,FuelShares!$A27,Stock!$C$2:$C$41,FuelShares!$C27)/SUMIF(Stock!$C$2:$C$41,FuelShares!$A27,Stock!V$2:V$41)</f>
        <v>0.72801573012413534</v>
      </c>
      <c r="P27" s="3">
        <f>SUMIFS(Stock!W$2:W$41,Stock!$C$2:$C$41,FuelShares!$A27,Stock!$C$2:$C$41,FuelShares!$C27)/SUMIF(Stock!$C$2:$C$41,FuelShares!$A27,Stock!W$2:W$41)</f>
        <v>0.97111486389348423</v>
      </c>
      <c r="Q27" s="3">
        <f>SUMIFS(Stock!X$2:X$41,Stock!$C$2:$C$41,FuelShares!$A27,Stock!$C$2:$C$41,FuelShares!$C27)/SUMIF(Stock!$C$2:$C$41,FuelShares!$A27,Stock!X$2:X$41)</f>
        <v>0.48216569483883553</v>
      </c>
      <c r="R27" s="3">
        <f>SUMIFS(Stock!Y$2:Y$41,Stock!$C$2:$C$41,FuelShares!$A27,Stock!$C$2:$C$41,FuelShares!$C27)/SUMIF(Stock!$C$2:$C$41,FuelShares!$A27,Stock!Y$2:Y$41)</f>
        <v>0.80601890756302519</v>
      </c>
      <c r="S27" s="3">
        <f>SUMIFS(Stock!Z$2:Z$41,Stock!$C$2:$C$41,FuelShares!$A27,Stock!$C$2:$C$41,FuelShares!$C27)/SUMIF(Stock!$C$2:$C$41,FuelShares!$A27,Stock!Z$2:Z$41)</f>
        <v>0.39680072942680933</v>
      </c>
      <c r="T27" s="3">
        <f>SUMIFS(Stock!AA$2:AA$41,Stock!$C$2:$C$41,FuelShares!$A27,Stock!$C$2:$C$41,FuelShares!$C27)/SUMIF(Stock!$C$2:$C$41,FuelShares!$A27,Stock!AA$2:AA$41)</f>
        <v>0.6319796273957915</v>
      </c>
      <c r="U27" s="3">
        <f>SUMIFS(Stock!AB$2:AB$41,Stock!$C$2:$C$41,FuelShares!$A27,Stock!$C$2:$C$41,FuelShares!$C27)/SUMIF(Stock!$C$2:$C$41,FuelShares!$A27,Stock!AB$2:AB$41)</f>
        <v>0.79069229686526044</v>
      </c>
      <c r="V27" s="3">
        <f>SUMIFS(Stock!AC$2:AC$41,Stock!$C$2:$C$41,FuelShares!$A27,Stock!$C$2:$C$41,FuelShares!$C27)/SUMIF(Stock!$C$2:$C$41,FuelShares!$A27,Stock!AC$2:AC$41)</f>
        <v>0.73844024190619562</v>
      </c>
      <c r="W27" s="3">
        <f>SUMIFS(Stock!AD$2:AD$41,Stock!$C$2:$C$41,FuelShares!$A27,Stock!$C$2:$C$41,FuelShares!$C27)/SUMIF(Stock!$C$2:$C$41,FuelShares!$A27,Stock!AD$2:AD$41)</f>
        <v>0.81275659824046942</v>
      </c>
      <c r="X27" s="3">
        <f>SUMIFS(Stock!AE$2:AE$41,Stock!$C$2:$C$41,FuelShares!$A27,Stock!$C$2:$C$41,FuelShares!$C27)/SUMIF(Stock!$C$2:$C$41,FuelShares!$A27,Stock!AE$2:AE$41)</f>
        <v>0.54142837137506095</v>
      </c>
      <c r="Y27" s="3">
        <f>SUMIFS(Stock!AF$2:AF$41,Stock!$C$2:$C$41,FuelShares!$A27,Stock!$C$2:$C$41,FuelShares!$C27)/SUMIF(Stock!$C$2:$C$41,FuelShares!$A27,Stock!AF$2:AF$41)</f>
        <v>0.48281879571994668</v>
      </c>
      <c r="Z27" s="3">
        <f>SUMIFS(Stock!AG$2:AG$41,Stock!$C$2:$C$41,FuelShares!$A27,Stock!$C$2:$C$41,FuelShares!$C27)/SUMIF(Stock!$C$2:$C$41,FuelShares!$A27,Stock!AG$2:AG$41)</f>
        <v>0.66943298252121097</v>
      </c>
      <c r="AA27" s="3">
        <f>SUMIFS(Stock!AH$2:AH$41,Stock!$C$2:$C$41,FuelShares!$A27,Stock!$C$2:$C$41,FuelShares!$C27)/SUMIF(Stock!$C$2:$C$41,FuelShares!$A27,Stock!AH$2:AH$41)</f>
        <v>0.35931750741839769</v>
      </c>
      <c r="AB27" s="3">
        <f>SUMIFS(Stock!AI$2:AI$41,Stock!$C$2:$C$41,FuelShares!$A27,Stock!$C$2:$C$41,FuelShares!$C27)/SUMIF(Stock!$C$2:$C$41,FuelShares!$A27,Stock!AI$2:AI$41)</f>
        <v>0.63932841415775554</v>
      </c>
      <c r="AC27" s="3">
        <f>SUMIFS(Stock!AJ$2:AJ$41,Stock!$C$2:$C$41,FuelShares!$A27,Stock!$C$2:$C$41,FuelShares!$C27)/SUMIF(Stock!$C$2:$C$41,FuelShares!$A27,Stock!AJ$2:AJ$41)</f>
        <v>0.8964699889933907</v>
      </c>
      <c r="AD27" s="3">
        <f>SUMIFS(Stock!AK$2:AK$41,Stock!$C$2:$C$41,FuelShares!$A27,Stock!$C$2:$C$41,FuelShares!$C27)/SUMIF(Stock!$C$2:$C$41,FuelShares!$A27,Stock!AK$2:AK$41)</f>
        <v>0.73238982559076715</v>
      </c>
      <c r="AE27" s="3">
        <f>SUMIFS(Stock!AL$2:AL$41,Stock!$C$2:$C$41,FuelShares!$A27,Stock!$C$2:$C$41,FuelShares!$C27)/SUMIF(Stock!$C$2:$C$41,FuelShares!$A27,Stock!AL$2:AL$41)</f>
        <v>0.71941401062416999</v>
      </c>
      <c r="AF27" s="3">
        <f>SUMIFS(Stock!AM$2:AM$41,Stock!$C$2:$C$41,FuelShares!$A27,Stock!$C$2:$C$41,FuelShares!$C27)/SUMIF(Stock!$C$2:$C$41,FuelShares!$A27,Stock!AM$2:AM$41)</f>
        <v>0.79757908248674025</v>
      </c>
      <c r="AG27" s="3">
        <f>SUMIFS(Stock!AN$2:AN$41,Stock!$C$2:$C$41,FuelShares!$A27,Stock!$C$2:$C$41,FuelShares!$C27)/SUMIF(Stock!$C$2:$C$41,FuelShares!$A27,Stock!AN$2:AN$41)</f>
        <v>0.6962989649051895</v>
      </c>
      <c r="AH27" s="3">
        <f>SUMIFS(Stock!AO$2:AO$41,Stock!$C$2:$C$41,FuelShares!$A27,Stock!$C$2:$C$41,FuelShares!$C27)/SUMIF(Stock!$C$2:$C$41,FuelShares!$A27,Stock!AO$2:AO$41)</f>
        <v>0.61003457658618121</v>
      </c>
      <c r="AI27" s="3">
        <f>SUMIFS(Stock!AP$2:AP$41,Stock!$C$2:$C$41,FuelShares!$A27,Stock!$C$2:$C$41,FuelShares!$C27)/SUMIF(Stock!$C$2:$C$41,FuelShares!$A27,Stock!AP$2:AP$41)</f>
        <v>0.5475255754475703</v>
      </c>
      <c r="AJ27" s="3">
        <f>SUMIFS(Stock!AQ$2:AQ$41,Stock!$C$2:$C$41,FuelShares!$A27,Stock!$C$2:$C$41,FuelShares!$C27)/SUMIF(Stock!$C$2:$C$41,FuelShares!$A27,Stock!AQ$2:AQ$41)</f>
        <v>0.67752714645025491</v>
      </c>
      <c r="AK27" s="3">
        <f>SUMIFS(Stock!AR$2:AR$41,Stock!$C$2:$C$41,FuelShares!$A27,Stock!$C$2:$C$41,FuelShares!$C27)/SUMIF(Stock!$C$2:$C$41,FuelShares!$A27,Stock!AR$2:AR$41)</f>
        <v>0.49025918539184649</v>
      </c>
      <c r="AL27" s="3">
        <f>SUMIFS(Stock!AS$2:AS$41,Stock!$C$2:$C$41,FuelShares!$A27,Stock!$C$2:$C$41,FuelShares!$C27)/SUMIF(Stock!$C$2:$C$41,FuelShares!$A27,Stock!AS$2:AS$41)</f>
        <v>0.7958148484931985</v>
      </c>
      <c r="AM27" s="3">
        <f>SUMIFS(Stock!AT$2:AT$41,Stock!$C$2:$C$41,FuelShares!$A27,Stock!$C$2:$C$41,FuelShares!$C27)/SUMIF(Stock!$C$2:$C$41,FuelShares!$A27,Stock!AT$2:AT$41)</f>
        <v>0.65263401109057295</v>
      </c>
      <c r="AN27" s="3">
        <f>SUMIFS(Stock!AU$2:AU$41,Stock!$C$2:$C$41,FuelShares!$A27,Stock!$C$2:$C$41,FuelShares!$C27)/SUMIF(Stock!$C$2:$C$41,FuelShares!$A27,Stock!AU$2:AU$41)</f>
        <v>0.70885931855082707</v>
      </c>
      <c r="AO27" s="3">
        <f>SUMIFS(Stock!AV$2:AV$41,Stock!$C$2:$C$41,FuelShares!$A27,Stock!$C$2:$C$41,FuelShares!$C27)/SUMIF(Stock!$C$2:$C$41,FuelShares!$A27,Stock!AV$2:AV$41)</f>
        <v>0.7093261310173552</v>
      </c>
    </row>
    <row r="28" spans="1:41" ht="13.2">
      <c r="A28" t="str">
        <f>LEFT(Stock!C26,7)&amp;"*"</f>
        <v>TRA_Car*</v>
      </c>
      <c r="B28" t="str">
        <f>"*"&amp;RIGHT(Stock!C26,3)&amp;"*"</f>
        <v>*Exe*</v>
      </c>
      <c r="C28" t="str">
        <f>"*"&amp;MID(Stock!C26,9,3)&amp;"*"</f>
        <v>*Lpg*</v>
      </c>
      <c r="E28" s="3">
        <f>SUMIFS(Stock!L$2:L$41,Stock!$C$2:$C$41,FuelShares!$A28,Stock!$C$2:$C$41,FuelShares!$C28)/SUMIF(Stock!$C$2:$C$41,FuelShares!$A28,Stock!L$2:L$41)</f>
        <v>0</v>
      </c>
      <c r="F28" s="3">
        <f>SUMIFS(Stock!M$2:M$41,Stock!$C$2:$C$41,FuelShares!$A28,Stock!$C$2:$C$41,FuelShares!$C28)/SUMIF(Stock!$C$2:$C$41,FuelShares!$A28,Stock!M$2:M$41)</f>
        <v>0</v>
      </c>
      <c r="G28" s="3">
        <f>SUMIFS(Stock!N$2:N$41,Stock!$C$2:$C$41,FuelShares!$A28,Stock!$C$2:$C$41,FuelShares!$C28)/SUMIF(Stock!$C$2:$C$41,FuelShares!$A28,Stock!N$2:N$41)</f>
        <v>0</v>
      </c>
      <c r="H28" s="3">
        <f>SUMIFS(Stock!O$2:O$41,Stock!$C$2:$C$41,FuelShares!$A28,Stock!$C$2:$C$41,FuelShares!$C28)/SUMIF(Stock!$C$2:$C$41,FuelShares!$A28,Stock!O$2:O$41)</f>
        <v>0.0067151808041358762</v>
      </c>
      <c r="I28" s="3">
        <f>SUMIFS(Stock!P$2:P$41,Stock!$C$2:$C$41,FuelShares!$A28,Stock!$C$2:$C$41,FuelShares!$C28)/SUMIF(Stock!$C$2:$C$41,FuelShares!$A28,Stock!P$2:P$41)</f>
        <v>0.037817001107965036</v>
      </c>
      <c r="J28" s="3">
        <f>SUMIFS(Stock!Q$2:Q$41,Stock!$C$2:$C$41,FuelShares!$A28,Stock!$C$2:$C$41,FuelShares!$C28)/SUMIF(Stock!$C$2:$C$41,FuelShares!$A28,Stock!Q$2:Q$41)</f>
        <v>0</v>
      </c>
      <c r="K28" s="3">
        <f>SUMIFS(Stock!R$2:R$41,Stock!$C$2:$C$41,FuelShares!$A28,Stock!$C$2:$C$41,FuelShares!$C28)/SUMIF(Stock!$C$2:$C$41,FuelShares!$A28,Stock!R$2:R$41)</f>
        <v>0</v>
      </c>
      <c r="L28" s="3">
        <f>SUMIFS(Stock!S$2:S$41,Stock!$C$2:$C$41,FuelShares!$A28,Stock!$C$2:$C$41,FuelShares!$C28)/SUMIF(Stock!$C$2:$C$41,FuelShares!$A28,Stock!S$2:S$41)</f>
        <v>0</v>
      </c>
      <c r="M28" s="3">
        <f>SUMIFS(Stock!T$2:T$41,Stock!$C$2:$C$41,FuelShares!$A28,Stock!$C$2:$C$41,FuelShares!$C28)/SUMIF(Stock!$C$2:$C$41,FuelShares!$A28,Stock!T$2:T$41)</f>
        <v>0.0097951978638609848</v>
      </c>
      <c r="N28" s="3">
        <f>SUMIFS(Stock!U$2:U$41,Stock!$C$2:$C$41,FuelShares!$A28,Stock!$C$2:$C$41,FuelShares!$C28)/SUMIF(Stock!$C$2:$C$41,FuelShares!$A28,Stock!U$2:U$41)</f>
        <v>6.2304907686378872E-06</v>
      </c>
      <c r="O28" s="3">
        <f>SUMIFS(Stock!V$2:V$41,Stock!$C$2:$C$41,FuelShares!$A28,Stock!$C$2:$C$41,FuelShares!$C28)/SUMIF(Stock!$C$2:$C$41,FuelShares!$A28,Stock!V$2:V$41)</f>
        <v>0</v>
      </c>
      <c r="P28" s="3">
        <f>SUMIFS(Stock!W$2:W$41,Stock!$C$2:$C$41,FuelShares!$A28,Stock!$C$2:$C$41,FuelShares!$C28)/SUMIF(Stock!$C$2:$C$41,FuelShares!$A28,Stock!W$2:W$41)</f>
        <v>0.0013187984366104582</v>
      </c>
      <c r="Q28" s="3">
        <f>SUMIFS(Stock!X$2:X$41,Stock!$C$2:$C$41,FuelShares!$A28,Stock!$C$2:$C$41,FuelShares!$C28)/SUMIF(Stock!$C$2:$C$41,FuelShares!$A28,Stock!X$2:X$41)</f>
        <v>0</v>
      </c>
      <c r="R28" s="3">
        <f>SUMIFS(Stock!Y$2:Y$41,Stock!$C$2:$C$41,FuelShares!$A28,Stock!$C$2:$C$41,FuelShares!$C28)/SUMIF(Stock!$C$2:$C$41,FuelShares!$A28,Stock!Y$2:Y$41)</f>
        <v>0</v>
      </c>
      <c r="S28" s="3">
        <f>SUMIFS(Stock!Z$2:Z$41,Stock!$C$2:$C$41,FuelShares!$A28,Stock!$C$2:$C$41,FuelShares!$C28)/SUMIF(Stock!$C$2:$C$41,FuelShares!$A28,Stock!Z$2:Z$41)</f>
        <v>0.0068176684657028268</v>
      </c>
      <c r="T28" s="3">
        <f>SUMIFS(Stock!AA$2:AA$41,Stock!$C$2:$C$41,FuelShares!$A28,Stock!$C$2:$C$41,FuelShares!$C28)/SUMIF(Stock!$C$2:$C$41,FuelShares!$A28,Stock!AA$2:AA$41)</f>
        <v>0.032026537997587458</v>
      </c>
      <c r="U28" s="3">
        <f>SUMIFS(Stock!AB$2:AB$41,Stock!$C$2:$C$41,FuelShares!$A28,Stock!$C$2:$C$41,FuelShares!$C28)/SUMIF(Stock!$C$2:$C$41,FuelShares!$A28,Stock!AB$2:AB$41)</f>
        <v>0.001598536183218386</v>
      </c>
      <c r="V28" s="3">
        <f>SUMIFS(Stock!AC$2:AC$41,Stock!$C$2:$C$41,FuelShares!$A28,Stock!$C$2:$C$41,FuelShares!$C28)/SUMIF(Stock!$C$2:$C$41,FuelShares!$A28,Stock!AC$2:AC$41)</f>
        <v>0.00032633124726960753</v>
      </c>
      <c r="W28" s="3">
        <f>SUMIFS(Stock!AD$2:AD$41,Stock!$C$2:$C$41,FuelShares!$A28,Stock!$C$2:$C$41,FuelShares!$C28)/SUMIF(Stock!$C$2:$C$41,FuelShares!$A28,Stock!AD$2:AD$41)</f>
        <v>0</v>
      </c>
      <c r="X28" s="3">
        <f>SUMIFS(Stock!AE$2:AE$41,Stock!$C$2:$C$41,FuelShares!$A28,Stock!$C$2:$C$41,FuelShares!$C28)/SUMIF(Stock!$C$2:$C$41,FuelShares!$A28,Stock!AE$2:AE$41)</f>
        <v>0.056506717521999782</v>
      </c>
      <c r="Y28" s="3">
        <f>SUMIFS(Stock!AF$2:AF$41,Stock!$C$2:$C$41,FuelShares!$A28,Stock!$C$2:$C$41,FuelShares!$C28)/SUMIF(Stock!$C$2:$C$41,FuelShares!$A28,Stock!AF$2:AF$41)</f>
        <v>0.044592081040771767</v>
      </c>
      <c r="Z28" s="3">
        <f>SUMIFS(Stock!AG$2:AG$41,Stock!$C$2:$C$41,FuelShares!$A28,Stock!$C$2:$C$41,FuelShares!$C28)/SUMIF(Stock!$C$2:$C$41,FuelShares!$A28,Stock!AG$2:AG$41)</f>
        <v>0</v>
      </c>
      <c r="AA28" s="3">
        <f>SUMIFS(Stock!AH$2:AH$41,Stock!$C$2:$C$41,FuelShares!$A28,Stock!$C$2:$C$41,FuelShares!$C28)/SUMIF(Stock!$C$2:$C$41,FuelShares!$A28,Stock!AH$2:AH$41)</f>
        <v>0</v>
      </c>
      <c r="AB28" s="3">
        <f>SUMIFS(Stock!AI$2:AI$41,Stock!$C$2:$C$41,FuelShares!$A28,Stock!$C$2:$C$41,FuelShares!$C28)/SUMIF(Stock!$C$2:$C$41,FuelShares!$A28,Stock!AI$2:AI$41)</f>
        <v>0.030718541609122831</v>
      </c>
      <c r="AC28" s="3">
        <f>SUMIFS(Stock!AJ$2:AJ$41,Stock!$C$2:$C$41,FuelShares!$A28,Stock!$C$2:$C$41,FuelShares!$C28)/SUMIF(Stock!$C$2:$C$41,FuelShares!$A28,Stock!AJ$2:AJ$41)</f>
        <v>0</v>
      </c>
      <c r="AD28" s="3">
        <f>SUMIFS(Stock!AK$2:AK$41,Stock!$C$2:$C$41,FuelShares!$A28,Stock!$C$2:$C$41,FuelShares!$C28)/SUMIF(Stock!$C$2:$C$41,FuelShares!$A28,Stock!AK$2:AK$41)</f>
        <v>0.035784519165672657</v>
      </c>
      <c r="AE28" s="3">
        <f>SUMIFS(Stock!AL$2:AL$41,Stock!$C$2:$C$41,FuelShares!$A28,Stock!$C$2:$C$41,FuelShares!$C28)/SUMIF(Stock!$C$2:$C$41,FuelShares!$A28,Stock!AL$2:AL$41)</f>
        <v>0</v>
      </c>
      <c r="AF28" s="3">
        <f>SUMIFS(Stock!AM$2:AM$41,Stock!$C$2:$C$41,FuelShares!$A28,Stock!$C$2:$C$41,FuelShares!$C28)/SUMIF(Stock!$C$2:$C$41,FuelShares!$A28,Stock!AM$2:AM$41)</f>
        <v>0.027275394879206188</v>
      </c>
      <c r="AG28" s="3">
        <f>SUMIFS(Stock!AN$2:AN$41,Stock!$C$2:$C$41,FuelShares!$A28,Stock!$C$2:$C$41,FuelShares!$C28)/SUMIF(Stock!$C$2:$C$41,FuelShares!$A28,Stock!AN$2:AN$41)</f>
        <v>0</v>
      </c>
      <c r="AH28" s="3">
        <f>SUMIFS(Stock!AO$2:AO$41,Stock!$C$2:$C$41,FuelShares!$A28,Stock!$C$2:$C$41,FuelShares!$C28)/SUMIF(Stock!$C$2:$C$41,FuelShares!$A28,Stock!AO$2:AO$41)</f>
        <v>0.14373558221321472</v>
      </c>
      <c r="AI28" s="3">
        <f>SUMIFS(Stock!AP$2:AP$41,Stock!$C$2:$C$41,FuelShares!$A28,Stock!$C$2:$C$41,FuelShares!$C28)/SUMIF(Stock!$C$2:$C$41,FuelShares!$A28,Stock!AP$2:AP$41)</f>
        <v>0.0080967604433077565</v>
      </c>
      <c r="AJ28" s="3">
        <f>SUMIFS(Stock!AQ$2:AQ$41,Stock!$C$2:$C$41,FuelShares!$A28,Stock!$C$2:$C$41,FuelShares!$C28)/SUMIF(Stock!$C$2:$C$41,FuelShares!$A28,Stock!AQ$2:AQ$41)</f>
        <v>0.040366334602320648</v>
      </c>
      <c r="AK28" s="3">
        <f>SUMIFS(Stock!AR$2:AR$41,Stock!$C$2:$C$41,FuelShares!$A28,Stock!$C$2:$C$41,FuelShares!$C28)/SUMIF(Stock!$C$2:$C$41,FuelShares!$A28,Stock!AR$2:AR$41)</f>
        <v>0.17380923206650783</v>
      </c>
      <c r="AL28" s="3">
        <f>SUMIFS(Stock!AS$2:AS$41,Stock!$C$2:$C$41,FuelShares!$A28,Stock!$C$2:$C$41,FuelShares!$C28)/SUMIF(Stock!$C$2:$C$41,FuelShares!$A28,Stock!AS$2:AS$41)</f>
        <v>0</v>
      </c>
      <c r="AM28" s="3">
        <f>SUMIFS(Stock!AT$2:AT$41,Stock!$C$2:$C$41,FuelShares!$A28,Stock!$C$2:$C$41,FuelShares!$C28)/SUMIF(Stock!$C$2:$C$41,FuelShares!$A28,Stock!AT$2:AT$41)</f>
        <v>0</v>
      </c>
      <c r="AN28" s="3">
        <f>SUMIFS(Stock!AU$2:AU$41,Stock!$C$2:$C$41,FuelShares!$A28,Stock!$C$2:$C$41,FuelShares!$C28)/SUMIF(Stock!$C$2:$C$41,FuelShares!$A28,Stock!AU$2:AU$41)</f>
        <v>0.032287054622578769</v>
      </c>
      <c r="AO28" s="3">
        <f>SUMIFS(Stock!AV$2:AV$41,Stock!$C$2:$C$41,FuelShares!$A28,Stock!$C$2:$C$41,FuelShares!$C28)/SUMIF(Stock!$C$2:$C$41,FuelShares!$A28,Stock!AV$2:AV$41)</f>
        <v>0.00091758239625231103</v>
      </c>
    </row>
    <row r="29" spans="1:41" ht="13.2">
      <c r="A29" t="str">
        <f>LEFT(Stock!C27,7)&amp;"*"</f>
        <v>TRA_Car*</v>
      </c>
      <c r="B29" t="str">
        <f>"*"&amp;RIGHT(Stock!C27,3)&amp;"*"</f>
        <v>*Lom*</v>
      </c>
      <c r="C29" t="str">
        <f>"*"&amp;MID(Stock!C27,9,3)&amp;"*"</f>
        <v>*Lpg*</v>
      </c>
      <c r="E29" s="3">
        <f>SUMIFS(Stock!L$2:L$41,Stock!$C$2:$C$41,FuelShares!$A29,Stock!$C$2:$C$41,FuelShares!$C29)/SUMIF(Stock!$C$2:$C$41,FuelShares!$A29,Stock!L$2:L$41)</f>
        <v>0</v>
      </c>
      <c r="F29" s="3">
        <f>SUMIFS(Stock!M$2:M$41,Stock!$C$2:$C$41,FuelShares!$A29,Stock!$C$2:$C$41,FuelShares!$C29)/SUMIF(Stock!$C$2:$C$41,FuelShares!$A29,Stock!M$2:M$41)</f>
        <v>0</v>
      </c>
      <c r="G29" s="3">
        <f>SUMIFS(Stock!N$2:N$41,Stock!$C$2:$C$41,FuelShares!$A29,Stock!$C$2:$C$41,FuelShares!$C29)/SUMIF(Stock!$C$2:$C$41,FuelShares!$A29,Stock!N$2:N$41)</f>
        <v>0</v>
      </c>
      <c r="H29" s="3">
        <f>SUMIFS(Stock!O$2:O$41,Stock!$C$2:$C$41,FuelShares!$A29,Stock!$C$2:$C$41,FuelShares!$C29)/SUMIF(Stock!$C$2:$C$41,FuelShares!$A29,Stock!O$2:O$41)</f>
        <v>0.0067151808041358762</v>
      </c>
      <c r="I29" s="3">
        <f>SUMIFS(Stock!P$2:P$41,Stock!$C$2:$C$41,FuelShares!$A29,Stock!$C$2:$C$41,FuelShares!$C29)/SUMIF(Stock!$C$2:$C$41,FuelShares!$A29,Stock!P$2:P$41)</f>
        <v>0.037817001107965036</v>
      </c>
      <c r="J29" s="3">
        <f>SUMIFS(Stock!Q$2:Q$41,Stock!$C$2:$C$41,FuelShares!$A29,Stock!$C$2:$C$41,FuelShares!$C29)/SUMIF(Stock!$C$2:$C$41,FuelShares!$A29,Stock!Q$2:Q$41)</f>
        <v>0</v>
      </c>
      <c r="K29" s="3">
        <f>SUMIFS(Stock!R$2:R$41,Stock!$C$2:$C$41,FuelShares!$A29,Stock!$C$2:$C$41,FuelShares!$C29)/SUMIF(Stock!$C$2:$C$41,FuelShares!$A29,Stock!R$2:R$41)</f>
        <v>0</v>
      </c>
      <c r="L29" s="3">
        <f>SUMIFS(Stock!S$2:S$41,Stock!$C$2:$C$41,FuelShares!$A29,Stock!$C$2:$C$41,FuelShares!$C29)/SUMIF(Stock!$C$2:$C$41,FuelShares!$A29,Stock!S$2:S$41)</f>
        <v>0</v>
      </c>
      <c r="M29" s="3">
        <f>SUMIFS(Stock!T$2:T$41,Stock!$C$2:$C$41,FuelShares!$A29,Stock!$C$2:$C$41,FuelShares!$C29)/SUMIF(Stock!$C$2:$C$41,FuelShares!$A29,Stock!T$2:T$41)</f>
        <v>0.0097951978638609848</v>
      </c>
      <c r="N29" s="3">
        <f>SUMIFS(Stock!U$2:U$41,Stock!$C$2:$C$41,FuelShares!$A29,Stock!$C$2:$C$41,FuelShares!$C29)/SUMIF(Stock!$C$2:$C$41,FuelShares!$A29,Stock!U$2:U$41)</f>
        <v>6.2304907686378872E-06</v>
      </c>
      <c r="O29" s="3">
        <f>SUMIFS(Stock!V$2:V$41,Stock!$C$2:$C$41,FuelShares!$A29,Stock!$C$2:$C$41,FuelShares!$C29)/SUMIF(Stock!$C$2:$C$41,FuelShares!$A29,Stock!V$2:V$41)</f>
        <v>0</v>
      </c>
      <c r="P29" s="3">
        <f>SUMIFS(Stock!W$2:W$41,Stock!$C$2:$C$41,FuelShares!$A29,Stock!$C$2:$C$41,FuelShares!$C29)/SUMIF(Stock!$C$2:$C$41,FuelShares!$A29,Stock!W$2:W$41)</f>
        <v>0.0013187984366104582</v>
      </c>
      <c r="Q29" s="3">
        <f>SUMIFS(Stock!X$2:X$41,Stock!$C$2:$C$41,FuelShares!$A29,Stock!$C$2:$C$41,FuelShares!$C29)/SUMIF(Stock!$C$2:$C$41,FuelShares!$A29,Stock!X$2:X$41)</f>
        <v>0</v>
      </c>
      <c r="R29" s="3">
        <f>SUMIFS(Stock!Y$2:Y$41,Stock!$C$2:$C$41,FuelShares!$A29,Stock!$C$2:$C$41,FuelShares!$C29)/SUMIF(Stock!$C$2:$C$41,FuelShares!$A29,Stock!Y$2:Y$41)</f>
        <v>0</v>
      </c>
      <c r="S29" s="3">
        <f>SUMIFS(Stock!Z$2:Z$41,Stock!$C$2:$C$41,FuelShares!$A29,Stock!$C$2:$C$41,FuelShares!$C29)/SUMIF(Stock!$C$2:$C$41,FuelShares!$A29,Stock!Z$2:Z$41)</f>
        <v>0.0068176684657028268</v>
      </c>
      <c r="T29" s="3">
        <f>SUMIFS(Stock!AA$2:AA$41,Stock!$C$2:$C$41,FuelShares!$A29,Stock!$C$2:$C$41,FuelShares!$C29)/SUMIF(Stock!$C$2:$C$41,FuelShares!$A29,Stock!AA$2:AA$41)</f>
        <v>0.032026537997587458</v>
      </c>
      <c r="U29" s="3">
        <f>SUMIFS(Stock!AB$2:AB$41,Stock!$C$2:$C$41,FuelShares!$A29,Stock!$C$2:$C$41,FuelShares!$C29)/SUMIF(Stock!$C$2:$C$41,FuelShares!$A29,Stock!AB$2:AB$41)</f>
        <v>0.001598536183218386</v>
      </c>
      <c r="V29" s="3">
        <f>SUMIFS(Stock!AC$2:AC$41,Stock!$C$2:$C$41,FuelShares!$A29,Stock!$C$2:$C$41,FuelShares!$C29)/SUMIF(Stock!$C$2:$C$41,FuelShares!$A29,Stock!AC$2:AC$41)</f>
        <v>0.00032633124726960753</v>
      </c>
      <c r="W29" s="3">
        <f>SUMIFS(Stock!AD$2:AD$41,Stock!$C$2:$C$41,FuelShares!$A29,Stock!$C$2:$C$41,FuelShares!$C29)/SUMIF(Stock!$C$2:$C$41,FuelShares!$A29,Stock!AD$2:AD$41)</f>
        <v>0</v>
      </c>
      <c r="X29" s="3">
        <f>SUMIFS(Stock!AE$2:AE$41,Stock!$C$2:$C$41,FuelShares!$A29,Stock!$C$2:$C$41,FuelShares!$C29)/SUMIF(Stock!$C$2:$C$41,FuelShares!$A29,Stock!AE$2:AE$41)</f>
        <v>0.056506717521999782</v>
      </c>
      <c r="Y29" s="3">
        <f>SUMIFS(Stock!AF$2:AF$41,Stock!$C$2:$C$41,FuelShares!$A29,Stock!$C$2:$C$41,FuelShares!$C29)/SUMIF(Stock!$C$2:$C$41,FuelShares!$A29,Stock!AF$2:AF$41)</f>
        <v>0.044592081040771767</v>
      </c>
      <c r="Z29" s="3">
        <f>SUMIFS(Stock!AG$2:AG$41,Stock!$C$2:$C$41,FuelShares!$A29,Stock!$C$2:$C$41,FuelShares!$C29)/SUMIF(Stock!$C$2:$C$41,FuelShares!$A29,Stock!AG$2:AG$41)</f>
        <v>0</v>
      </c>
      <c r="AA29" s="3">
        <f>SUMIFS(Stock!AH$2:AH$41,Stock!$C$2:$C$41,FuelShares!$A29,Stock!$C$2:$C$41,FuelShares!$C29)/SUMIF(Stock!$C$2:$C$41,FuelShares!$A29,Stock!AH$2:AH$41)</f>
        <v>0</v>
      </c>
      <c r="AB29" s="3">
        <f>SUMIFS(Stock!AI$2:AI$41,Stock!$C$2:$C$41,FuelShares!$A29,Stock!$C$2:$C$41,FuelShares!$C29)/SUMIF(Stock!$C$2:$C$41,FuelShares!$A29,Stock!AI$2:AI$41)</f>
        <v>0.030718541609122831</v>
      </c>
      <c r="AC29" s="3">
        <f>SUMIFS(Stock!AJ$2:AJ$41,Stock!$C$2:$C$41,FuelShares!$A29,Stock!$C$2:$C$41,FuelShares!$C29)/SUMIF(Stock!$C$2:$C$41,FuelShares!$A29,Stock!AJ$2:AJ$41)</f>
        <v>0</v>
      </c>
      <c r="AD29" s="3">
        <f>SUMIFS(Stock!AK$2:AK$41,Stock!$C$2:$C$41,FuelShares!$A29,Stock!$C$2:$C$41,FuelShares!$C29)/SUMIF(Stock!$C$2:$C$41,FuelShares!$A29,Stock!AK$2:AK$41)</f>
        <v>0.035784519165672657</v>
      </c>
      <c r="AE29" s="3">
        <f>SUMIFS(Stock!AL$2:AL$41,Stock!$C$2:$C$41,FuelShares!$A29,Stock!$C$2:$C$41,FuelShares!$C29)/SUMIF(Stock!$C$2:$C$41,FuelShares!$A29,Stock!AL$2:AL$41)</f>
        <v>0</v>
      </c>
      <c r="AF29" s="3">
        <f>SUMIFS(Stock!AM$2:AM$41,Stock!$C$2:$C$41,FuelShares!$A29,Stock!$C$2:$C$41,FuelShares!$C29)/SUMIF(Stock!$C$2:$C$41,FuelShares!$A29,Stock!AM$2:AM$41)</f>
        <v>0.027275394879206188</v>
      </c>
      <c r="AG29" s="3">
        <f>SUMIFS(Stock!AN$2:AN$41,Stock!$C$2:$C$41,FuelShares!$A29,Stock!$C$2:$C$41,FuelShares!$C29)/SUMIF(Stock!$C$2:$C$41,FuelShares!$A29,Stock!AN$2:AN$41)</f>
        <v>0</v>
      </c>
      <c r="AH29" s="3">
        <f>SUMIFS(Stock!AO$2:AO$41,Stock!$C$2:$C$41,FuelShares!$A29,Stock!$C$2:$C$41,FuelShares!$C29)/SUMIF(Stock!$C$2:$C$41,FuelShares!$A29,Stock!AO$2:AO$41)</f>
        <v>0.14373558221321472</v>
      </c>
      <c r="AI29" s="3">
        <f>SUMIFS(Stock!AP$2:AP$41,Stock!$C$2:$C$41,FuelShares!$A29,Stock!$C$2:$C$41,FuelShares!$C29)/SUMIF(Stock!$C$2:$C$41,FuelShares!$A29,Stock!AP$2:AP$41)</f>
        <v>0.0080967604433077565</v>
      </c>
      <c r="AJ29" s="3">
        <f>SUMIFS(Stock!AQ$2:AQ$41,Stock!$C$2:$C$41,FuelShares!$A29,Stock!$C$2:$C$41,FuelShares!$C29)/SUMIF(Stock!$C$2:$C$41,FuelShares!$A29,Stock!AQ$2:AQ$41)</f>
        <v>0.040366334602320648</v>
      </c>
      <c r="AK29" s="3">
        <f>SUMIFS(Stock!AR$2:AR$41,Stock!$C$2:$C$41,FuelShares!$A29,Stock!$C$2:$C$41,FuelShares!$C29)/SUMIF(Stock!$C$2:$C$41,FuelShares!$A29,Stock!AR$2:AR$41)</f>
        <v>0.17380923206650783</v>
      </c>
      <c r="AL29" s="3">
        <f>SUMIFS(Stock!AS$2:AS$41,Stock!$C$2:$C$41,FuelShares!$A29,Stock!$C$2:$C$41,FuelShares!$C29)/SUMIF(Stock!$C$2:$C$41,FuelShares!$A29,Stock!AS$2:AS$41)</f>
        <v>0</v>
      </c>
      <c r="AM29" s="3">
        <f>SUMIFS(Stock!AT$2:AT$41,Stock!$C$2:$C$41,FuelShares!$A29,Stock!$C$2:$C$41,FuelShares!$C29)/SUMIF(Stock!$C$2:$C$41,FuelShares!$A29,Stock!AT$2:AT$41)</f>
        <v>0</v>
      </c>
      <c r="AN29" s="3">
        <f>SUMIFS(Stock!AU$2:AU$41,Stock!$C$2:$C$41,FuelShares!$A29,Stock!$C$2:$C$41,FuelShares!$C29)/SUMIF(Stock!$C$2:$C$41,FuelShares!$A29,Stock!AU$2:AU$41)</f>
        <v>0.032287054622578769</v>
      </c>
      <c r="AO29" s="3">
        <f>SUMIFS(Stock!AV$2:AV$41,Stock!$C$2:$C$41,FuelShares!$A29,Stock!$C$2:$C$41,FuelShares!$C29)/SUMIF(Stock!$C$2:$C$41,FuelShares!$A29,Stock!AV$2:AV$41)</f>
        <v>0.00091758239625231103</v>
      </c>
    </row>
    <row r="30" spans="1:41" ht="13.2">
      <c r="A30" t="str">
        <f>LEFT(Stock!C28,7)&amp;"*"</f>
        <v>TRA_Car*</v>
      </c>
      <c r="B30" t="str">
        <f>"*"&amp;RIGHT(Stock!C28,3)&amp;"*"</f>
        <v>*Sma*</v>
      </c>
      <c r="C30" t="str">
        <f>"*"&amp;MID(Stock!C28,9,3)&amp;"*"</f>
        <v>*Lpg*</v>
      </c>
      <c r="E30" s="3">
        <f>SUMIFS(Stock!L$2:L$41,Stock!$C$2:$C$41,FuelShares!$A30,Stock!$C$2:$C$41,FuelShares!$C30)/SUMIF(Stock!$C$2:$C$41,FuelShares!$A30,Stock!L$2:L$41)</f>
        <v>0</v>
      </c>
      <c r="F30" s="3">
        <f>SUMIFS(Stock!M$2:M$41,Stock!$C$2:$C$41,FuelShares!$A30,Stock!$C$2:$C$41,FuelShares!$C30)/SUMIF(Stock!$C$2:$C$41,FuelShares!$A30,Stock!M$2:M$41)</f>
        <v>0</v>
      </c>
      <c r="G30" s="3">
        <f>SUMIFS(Stock!N$2:N$41,Stock!$C$2:$C$41,FuelShares!$A30,Stock!$C$2:$C$41,FuelShares!$C30)/SUMIF(Stock!$C$2:$C$41,FuelShares!$A30,Stock!N$2:N$41)</f>
        <v>0</v>
      </c>
      <c r="H30" s="3">
        <f>SUMIFS(Stock!O$2:O$41,Stock!$C$2:$C$41,FuelShares!$A30,Stock!$C$2:$C$41,FuelShares!$C30)/SUMIF(Stock!$C$2:$C$41,FuelShares!$A30,Stock!O$2:O$41)</f>
        <v>0.0067151808041358762</v>
      </c>
      <c r="I30" s="3">
        <f>SUMIFS(Stock!P$2:P$41,Stock!$C$2:$C$41,FuelShares!$A30,Stock!$C$2:$C$41,FuelShares!$C30)/SUMIF(Stock!$C$2:$C$41,FuelShares!$A30,Stock!P$2:P$41)</f>
        <v>0.037817001107965036</v>
      </c>
      <c r="J30" s="3">
        <f>SUMIFS(Stock!Q$2:Q$41,Stock!$C$2:$C$41,FuelShares!$A30,Stock!$C$2:$C$41,FuelShares!$C30)/SUMIF(Stock!$C$2:$C$41,FuelShares!$A30,Stock!Q$2:Q$41)</f>
        <v>0</v>
      </c>
      <c r="K30" s="3">
        <f>SUMIFS(Stock!R$2:R$41,Stock!$C$2:$C$41,FuelShares!$A30,Stock!$C$2:$C$41,FuelShares!$C30)/SUMIF(Stock!$C$2:$C$41,FuelShares!$A30,Stock!R$2:R$41)</f>
        <v>0</v>
      </c>
      <c r="L30" s="3">
        <f>SUMIFS(Stock!S$2:S$41,Stock!$C$2:$C$41,FuelShares!$A30,Stock!$C$2:$C$41,FuelShares!$C30)/SUMIF(Stock!$C$2:$C$41,FuelShares!$A30,Stock!S$2:S$41)</f>
        <v>0</v>
      </c>
      <c r="M30" s="3">
        <f>SUMIFS(Stock!T$2:T$41,Stock!$C$2:$C$41,FuelShares!$A30,Stock!$C$2:$C$41,FuelShares!$C30)/SUMIF(Stock!$C$2:$C$41,FuelShares!$A30,Stock!T$2:T$41)</f>
        <v>0.0097951978638609848</v>
      </c>
      <c r="N30" s="3">
        <f>SUMIFS(Stock!U$2:U$41,Stock!$C$2:$C$41,FuelShares!$A30,Stock!$C$2:$C$41,FuelShares!$C30)/SUMIF(Stock!$C$2:$C$41,FuelShares!$A30,Stock!U$2:U$41)</f>
        <v>6.2304907686378872E-06</v>
      </c>
      <c r="O30" s="3">
        <f>SUMIFS(Stock!V$2:V$41,Stock!$C$2:$C$41,FuelShares!$A30,Stock!$C$2:$C$41,FuelShares!$C30)/SUMIF(Stock!$C$2:$C$41,FuelShares!$A30,Stock!V$2:V$41)</f>
        <v>0</v>
      </c>
      <c r="P30" s="3">
        <f>SUMIFS(Stock!W$2:W$41,Stock!$C$2:$C$41,FuelShares!$A30,Stock!$C$2:$C$41,FuelShares!$C30)/SUMIF(Stock!$C$2:$C$41,FuelShares!$A30,Stock!W$2:W$41)</f>
        <v>0.0013187984366104582</v>
      </c>
      <c r="Q30" s="3">
        <f>SUMIFS(Stock!X$2:X$41,Stock!$C$2:$C$41,FuelShares!$A30,Stock!$C$2:$C$41,FuelShares!$C30)/SUMIF(Stock!$C$2:$C$41,FuelShares!$A30,Stock!X$2:X$41)</f>
        <v>0</v>
      </c>
      <c r="R30" s="3">
        <f>SUMIFS(Stock!Y$2:Y$41,Stock!$C$2:$C$41,FuelShares!$A30,Stock!$C$2:$C$41,FuelShares!$C30)/SUMIF(Stock!$C$2:$C$41,FuelShares!$A30,Stock!Y$2:Y$41)</f>
        <v>0</v>
      </c>
      <c r="S30" s="3">
        <f>SUMIFS(Stock!Z$2:Z$41,Stock!$C$2:$C$41,FuelShares!$A30,Stock!$C$2:$C$41,FuelShares!$C30)/SUMIF(Stock!$C$2:$C$41,FuelShares!$A30,Stock!Z$2:Z$41)</f>
        <v>0.0068176684657028268</v>
      </c>
      <c r="T30" s="3">
        <f>SUMIFS(Stock!AA$2:AA$41,Stock!$C$2:$C$41,FuelShares!$A30,Stock!$C$2:$C$41,FuelShares!$C30)/SUMIF(Stock!$C$2:$C$41,FuelShares!$A30,Stock!AA$2:AA$41)</f>
        <v>0.032026537997587458</v>
      </c>
      <c r="U30" s="3">
        <f>SUMIFS(Stock!AB$2:AB$41,Stock!$C$2:$C$41,FuelShares!$A30,Stock!$C$2:$C$41,FuelShares!$C30)/SUMIF(Stock!$C$2:$C$41,FuelShares!$A30,Stock!AB$2:AB$41)</f>
        <v>0.001598536183218386</v>
      </c>
      <c r="V30" s="3">
        <f>SUMIFS(Stock!AC$2:AC$41,Stock!$C$2:$C$41,FuelShares!$A30,Stock!$C$2:$C$41,FuelShares!$C30)/SUMIF(Stock!$C$2:$C$41,FuelShares!$A30,Stock!AC$2:AC$41)</f>
        <v>0.00032633124726960753</v>
      </c>
      <c r="W30" s="3">
        <f>SUMIFS(Stock!AD$2:AD$41,Stock!$C$2:$C$41,FuelShares!$A30,Stock!$C$2:$C$41,FuelShares!$C30)/SUMIF(Stock!$C$2:$C$41,FuelShares!$A30,Stock!AD$2:AD$41)</f>
        <v>0</v>
      </c>
      <c r="X30" s="3">
        <f>SUMIFS(Stock!AE$2:AE$41,Stock!$C$2:$C$41,FuelShares!$A30,Stock!$C$2:$C$41,FuelShares!$C30)/SUMIF(Stock!$C$2:$C$41,FuelShares!$A30,Stock!AE$2:AE$41)</f>
        <v>0.056506717521999782</v>
      </c>
      <c r="Y30" s="3">
        <f>SUMIFS(Stock!AF$2:AF$41,Stock!$C$2:$C$41,FuelShares!$A30,Stock!$C$2:$C$41,FuelShares!$C30)/SUMIF(Stock!$C$2:$C$41,FuelShares!$A30,Stock!AF$2:AF$41)</f>
        <v>0.044592081040771767</v>
      </c>
      <c r="Z30" s="3">
        <f>SUMIFS(Stock!AG$2:AG$41,Stock!$C$2:$C$41,FuelShares!$A30,Stock!$C$2:$C$41,FuelShares!$C30)/SUMIF(Stock!$C$2:$C$41,FuelShares!$A30,Stock!AG$2:AG$41)</f>
        <v>0</v>
      </c>
      <c r="AA30" s="3">
        <f>SUMIFS(Stock!AH$2:AH$41,Stock!$C$2:$C$41,FuelShares!$A30,Stock!$C$2:$C$41,FuelShares!$C30)/SUMIF(Stock!$C$2:$C$41,FuelShares!$A30,Stock!AH$2:AH$41)</f>
        <v>0</v>
      </c>
      <c r="AB30" s="3">
        <f>SUMIFS(Stock!AI$2:AI$41,Stock!$C$2:$C$41,FuelShares!$A30,Stock!$C$2:$C$41,FuelShares!$C30)/SUMIF(Stock!$C$2:$C$41,FuelShares!$A30,Stock!AI$2:AI$41)</f>
        <v>0.030718541609122831</v>
      </c>
      <c r="AC30" s="3">
        <f>SUMIFS(Stock!AJ$2:AJ$41,Stock!$C$2:$C$41,FuelShares!$A30,Stock!$C$2:$C$41,FuelShares!$C30)/SUMIF(Stock!$C$2:$C$41,FuelShares!$A30,Stock!AJ$2:AJ$41)</f>
        <v>0</v>
      </c>
      <c r="AD30" s="3">
        <f>SUMIFS(Stock!AK$2:AK$41,Stock!$C$2:$C$41,FuelShares!$A30,Stock!$C$2:$C$41,FuelShares!$C30)/SUMIF(Stock!$C$2:$C$41,FuelShares!$A30,Stock!AK$2:AK$41)</f>
        <v>0.035784519165672657</v>
      </c>
      <c r="AE30" s="3">
        <f>SUMIFS(Stock!AL$2:AL$41,Stock!$C$2:$C$41,FuelShares!$A30,Stock!$C$2:$C$41,FuelShares!$C30)/SUMIF(Stock!$C$2:$C$41,FuelShares!$A30,Stock!AL$2:AL$41)</f>
        <v>0</v>
      </c>
      <c r="AF30" s="3">
        <f>SUMIFS(Stock!AM$2:AM$41,Stock!$C$2:$C$41,FuelShares!$A30,Stock!$C$2:$C$41,FuelShares!$C30)/SUMIF(Stock!$C$2:$C$41,FuelShares!$A30,Stock!AM$2:AM$41)</f>
        <v>0.027275394879206188</v>
      </c>
      <c r="AG30" s="3">
        <f>SUMIFS(Stock!AN$2:AN$41,Stock!$C$2:$C$41,FuelShares!$A30,Stock!$C$2:$C$41,FuelShares!$C30)/SUMIF(Stock!$C$2:$C$41,FuelShares!$A30,Stock!AN$2:AN$41)</f>
        <v>0</v>
      </c>
      <c r="AH30" s="3">
        <f>SUMIFS(Stock!AO$2:AO$41,Stock!$C$2:$C$41,FuelShares!$A30,Stock!$C$2:$C$41,FuelShares!$C30)/SUMIF(Stock!$C$2:$C$41,FuelShares!$A30,Stock!AO$2:AO$41)</f>
        <v>0.14373558221321472</v>
      </c>
      <c r="AI30" s="3">
        <f>SUMIFS(Stock!AP$2:AP$41,Stock!$C$2:$C$41,FuelShares!$A30,Stock!$C$2:$C$41,FuelShares!$C30)/SUMIF(Stock!$C$2:$C$41,FuelShares!$A30,Stock!AP$2:AP$41)</f>
        <v>0.0080967604433077565</v>
      </c>
      <c r="AJ30" s="3">
        <f>SUMIFS(Stock!AQ$2:AQ$41,Stock!$C$2:$C$41,FuelShares!$A30,Stock!$C$2:$C$41,FuelShares!$C30)/SUMIF(Stock!$C$2:$C$41,FuelShares!$A30,Stock!AQ$2:AQ$41)</f>
        <v>0.040366334602320648</v>
      </c>
      <c r="AK30" s="3">
        <f>SUMIFS(Stock!AR$2:AR$41,Stock!$C$2:$C$41,FuelShares!$A30,Stock!$C$2:$C$41,FuelShares!$C30)/SUMIF(Stock!$C$2:$C$41,FuelShares!$A30,Stock!AR$2:AR$41)</f>
        <v>0.17380923206650783</v>
      </c>
      <c r="AL30" s="3">
        <f>SUMIFS(Stock!AS$2:AS$41,Stock!$C$2:$C$41,FuelShares!$A30,Stock!$C$2:$C$41,FuelShares!$C30)/SUMIF(Stock!$C$2:$C$41,FuelShares!$A30,Stock!AS$2:AS$41)</f>
        <v>0</v>
      </c>
      <c r="AM30" s="3">
        <f>SUMIFS(Stock!AT$2:AT$41,Stock!$C$2:$C$41,FuelShares!$A30,Stock!$C$2:$C$41,FuelShares!$C30)/SUMIF(Stock!$C$2:$C$41,FuelShares!$A30,Stock!AT$2:AT$41)</f>
        <v>0</v>
      </c>
      <c r="AN30" s="3">
        <f>SUMIFS(Stock!AU$2:AU$41,Stock!$C$2:$C$41,FuelShares!$A30,Stock!$C$2:$C$41,FuelShares!$C30)/SUMIF(Stock!$C$2:$C$41,FuelShares!$A30,Stock!AU$2:AU$41)</f>
        <v>0.032287054622578769</v>
      </c>
      <c r="AO30" s="3">
        <f>SUMIFS(Stock!AV$2:AV$41,Stock!$C$2:$C$41,FuelShares!$A30,Stock!$C$2:$C$41,FuelShares!$C30)/SUMIF(Stock!$C$2:$C$41,FuelShares!$A30,Stock!AV$2:AV$41)</f>
        <v>0.00091758239625231103</v>
      </c>
    </row>
    <row r="31" spans="1:41" ht="13.2">
      <c r="A31" t="str">
        <f>LEFT(Stock!C29,7)&amp;"*"</f>
        <v>TRA_Car*</v>
      </c>
      <c r="B31" t="str">
        <f>"*"&amp;RIGHT(Stock!C29,3)&amp;"*"</f>
        <v>*Upm*</v>
      </c>
      <c r="C31" t="str">
        <f>"*"&amp;MID(Stock!C29,9,3)&amp;"*"</f>
        <v>*Lpg*</v>
      </c>
      <c r="E31" s="3">
        <f>SUMIFS(Stock!L$2:L$41,Stock!$C$2:$C$41,FuelShares!$A31,Stock!$C$2:$C$41,FuelShares!$C31)/SUMIF(Stock!$C$2:$C$41,FuelShares!$A31,Stock!L$2:L$41)</f>
        <v>0</v>
      </c>
      <c r="F31" s="3">
        <f>SUMIFS(Stock!M$2:M$41,Stock!$C$2:$C$41,FuelShares!$A31,Stock!$C$2:$C$41,FuelShares!$C31)/SUMIF(Stock!$C$2:$C$41,FuelShares!$A31,Stock!M$2:M$41)</f>
        <v>0</v>
      </c>
      <c r="G31" s="3">
        <f>SUMIFS(Stock!N$2:N$41,Stock!$C$2:$C$41,FuelShares!$A31,Stock!$C$2:$C$41,FuelShares!$C31)/SUMIF(Stock!$C$2:$C$41,FuelShares!$A31,Stock!N$2:N$41)</f>
        <v>0</v>
      </c>
      <c r="H31" s="3">
        <f>SUMIFS(Stock!O$2:O$41,Stock!$C$2:$C$41,FuelShares!$A31,Stock!$C$2:$C$41,FuelShares!$C31)/SUMIF(Stock!$C$2:$C$41,FuelShares!$A31,Stock!O$2:O$41)</f>
        <v>0.0067151808041358762</v>
      </c>
      <c r="I31" s="3">
        <f>SUMIFS(Stock!P$2:P$41,Stock!$C$2:$C$41,FuelShares!$A31,Stock!$C$2:$C$41,FuelShares!$C31)/SUMIF(Stock!$C$2:$C$41,FuelShares!$A31,Stock!P$2:P$41)</f>
        <v>0.037817001107965036</v>
      </c>
      <c r="J31" s="3">
        <f>SUMIFS(Stock!Q$2:Q$41,Stock!$C$2:$C$41,FuelShares!$A31,Stock!$C$2:$C$41,FuelShares!$C31)/SUMIF(Stock!$C$2:$C$41,FuelShares!$A31,Stock!Q$2:Q$41)</f>
        <v>0</v>
      </c>
      <c r="K31" s="3">
        <f>SUMIFS(Stock!R$2:R$41,Stock!$C$2:$C$41,FuelShares!$A31,Stock!$C$2:$C$41,FuelShares!$C31)/SUMIF(Stock!$C$2:$C$41,FuelShares!$A31,Stock!R$2:R$41)</f>
        <v>0</v>
      </c>
      <c r="L31" s="3">
        <f>SUMIFS(Stock!S$2:S$41,Stock!$C$2:$C$41,FuelShares!$A31,Stock!$C$2:$C$41,FuelShares!$C31)/SUMIF(Stock!$C$2:$C$41,FuelShares!$A31,Stock!S$2:S$41)</f>
        <v>0</v>
      </c>
      <c r="M31" s="3">
        <f>SUMIFS(Stock!T$2:T$41,Stock!$C$2:$C$41,FuelShares!$A31,Stock!$C$2:$C$41,FuelShares!$C31)/SUMIF(Stock!$C$2:$C$41,FuelShares!$A31,Stock!T$2:T$41)</f>
        <v>0.0097951978638609848</v>
      </c>
      <c r="N31" s="3">
        <f>SUMIFS(Stock!U$2:U$41,Stock!$C$2:$C$41,FuelShares!$A31,Stock!$C$2:$C$41,FuelShares!$C31)/SUMIF(Stock!$C$2:$C$41,FuelShares!$A31,Stock!U$2:U$41)</f>
        <v>6.2304907686378872E-06</v>
      </c>
      <c r="O31" s="3">
        <f>SUMIFS(Stock!V$2:V$41,Stock!$C$2:$C$41,FuelShares!$A31,Stock!$C$2:$C$41,FuelShares!$C31)/SUMIF(Stock!$C$2:$C$41,FuelShares!$A31,Stock!V$2:V$41)</f>
        <v>0</v>
      </c>
      <c r="P31" s="3">
        <f>SUMIFS(Stock!W$2:W$41,Stock!$C$2:$C$41,FuelShares!$A31,Stock!$C$2:$C$41,FuelShares!$C31)/SUMIF(Stock!$C$2:$C$41,FuelShares!$A31,Stock!W$2:W$41)</f>
        <v>0.0013187984366104582</v>
      </c>
      <c r="Q31" s="3">
        <f>SUMIFS(Stock!X$2:X$41,Stock!$C$2:$C$41,FuelShares!$A31,Stock!$C$2:$C$41,FuelShares!$C31)/SUMIF(Stock!$C$2:$C$41,FuelShares!$A31,Stock!X$2:X$41)</f>
        <v>0</v>
      </c>
      <c r="R31" s="3">
        <f>SUMIFS(Stock!Y$2:Y$41,Stock!$C$2:$C$41,FuelShares!$A31,Stock!$C$2:$C$41,FuelShares!$C31)/SUMIF(Stock!$C$2:$C$41,FuelShares!$A31,Stock!Y$2:Y$41)</f>
        <v>0</v>
      </c>
      <c r="S31" s="3">
        <f>SUMIFS(Stock!Z$2:Z$41,Stock!$C$2:$C$41,FuelShares!$A31,Stock!$C$2:$C$41,FuelShares!$C31)/SUMIF(Stock!$C$2:$C$41,FuelShares!$A31,Stock!Z$2:Z$41)</f>
        <v>0.0068176684657028268</v>
      </c>
      <c r="T31" s="3">
        <f>SUMIFS(Stock!AA$2:AA$41,Stock!$C$2:$C$41,FuelShares!$A31,Stock!$C$2:$C$41,FuelShares!$C31)/SUMIF(Stock!$C$2:$C$41,FuelShares!$A31,Stock!AA$2:AA$41)</f>
        <v>0.032026537997587458</v>
      </c>
      <c r="U31" s="3">
        <f>SUMIFS(Stock!AB$2:AB$41,Stock!$C$2:$C$41,FuelShares!$A31,Stock!$C$2:$C$41,FuelShares!$C31)/SUMIF(Stock!$C$2:$C$41,FuelShares!$A31,Stock!AB$2:AB$41)</f>
        <v>0.001598536183218386</v>
      </c>
      <c r="V31" s="3">
        <f>SUMIFS(Stock!AC$2:AC$41,Stock!$C$2:$C$41,FuelShares!$A31,Stock!$C$2:$C$41,FuelShares!$C31)/SUMIF(Stock!$C$2:$C$41,FuelShares!$A31,Stock!AC$2:AC$41)</f>
        <v>0.00032633124726960753</v>
      </c>
      <c r="W31" s="3">
        <f>SUMIFS(Stock!AD$2:AD$41,Stock!$C$2:$C$41,FuelShares!$A31,Stock!$C$2:$C$41,FuelShares!$C31)/SUMIF(Stock!$C$2:$C$41,FuelShares!$A31,Stock!AD$2:AD$41)</f>
        <v>0</v>
      </c>
      <c r="X31" s="3">
        <f>SUMIFS(Stock!AE$2:AE$41,Stock!$C$2:$C$41,FuelShares!$A31,Stock!$C$2:$C$41,FuelShares!$C31)/SUMIF(Stock!$C$2:$C$41,FuelShares!$A31,Stock!AE$2:AE$41)</f>
        <v>0.056506717521999782</v>
      </c>
      <c r="Y31" s="3">
        <f>SUMIFS(Stock!AF$2:AF$41,Stock!$C$2:$C$41,FuelShares!$A31,Stock!$C$2:$C$41,FuelShares!$C31)/SUMIF(Stock!$C$2:$C$41,FuelShares!$A31,Stock!AF$2:AF$41)</f>
        <v>0.044592081040771767</v>
      </c>
      <c r="Z31" s="3">
        <f>SUMIFS(Stock!AG$2:AG$41,Stock!$C$2:$C$41,FuelShares!$A31,Stock!$C$2:$C$41,FuelShares!$C31)/SUMIF(Stock!$C$2:$C$41,FuelShares!$A31,Stock!AG$2:AG$41)</f>
        <v>0</v>
      </c>
      <c r="AA31" s="3">
        <f>SUMIFS(Stock!AH$2:AH$41,Stock!$C$2:$C$41,FuelShares!$A31,Stock!$C$2:$C$41,FuelShares!$C31)/SUMIF(Stock!$C$2:$C$41,FuelShares!$A31,Stock!AH$2:AH$41)</f>
        <v>0</v>
      </c>
      <c r="AB31" s="3">
        <f>SUMIFS(Stock!AI$2:AI$41,Stock!$C$2:$C$41,FuelShares!$A31,Stock!$C$2:$C$41,FuelShares!$C31)/SUMIF(Stock!$C$2:$C$41,FuelShares!$A31,Stock!AI$2:AI$41)</f>
        <v>0.030718541609122831</v>
      </c>
      <c r="AC31" s="3">
        <f>SUMIFS(Stock!AJ$2:AJ$41,Stock!$C$2:$C$41,FuelShares!$A31,Stock!$C$2:$C$41,FuelShares!$C31)/SUMIF(Stock!$C$2:$C$41,FuelShares!$A31,Stock!AJ$2:AJ$41)</f>
        <v>0</v>
      </c>
      <c r="AD31" s="3">
        <f>SUMIFS(Stock!AK$2:AK$41,Stock!$C$2:$C$41,FuelShares!$A31,Stock!$C$2:$C$41,FuelShares!$C31)/SUMIF(Stock!$C$2:$C$41,FuelShares!$A31,Stock!AK$2:AK$41)</f>
        <v>0.035784519165672657</v>
      </c>
      <c r="AE31" s="3">
        <f>SUMIFS(Stock!AL$2:AL$41,Stock!$C$2:$C$41,FuelShares!$A31,Stock!$C$2:$C$41,FuelShares!$C31)/SUMIF(Stock!$C$2:$C$41,FuelShares!$A31,Stock!AL$2:AL$41)</f>
        <v>0</v>
      </c>
      <c r="AF31" s="3">
        <f>SUMIFS(Stock!AM$2:AM$41,Stock!$C$2:$C$41,FuelShares!$A31,Stock!$C$2:$C$41,FuelShares!$C31)/SUMIF(Stock!$C$2:$C$41,FuelShares!$A31,Stock!AM$2:AM$41)</f>
        <v>0.027275394879206188</v>
      </c>
      <c r="AG31" s="3">
        <f>SUMIFS(Stock!AN$2:AN$41,Stock!$C$2:$C$41,FuelShares!$A31,Stock!$C$2:$C$41,FuelShares!$C31)/SUMIF(Stock!$C$2:$C$41,FuelShares!$A31,Stock!AN$2:AN$41)</f>
        <v>0</v>
      </c>
      <c r="AH31" s="3">
        <f>SUMIFS(Stock!AO$2:AO$41,Stock!$C$2:$C$41,FuelShares!$A31,Stock!$C$2:$C$41,FuelShares!$C31)/SUMIF(Stock!$C$2:$C$41,FuelShares!$A31,Stock!AO$2:AO$41)</f>
        <v>0.14373558221321472</v>
      </c>
      <c r="AI31" s="3">
        <f>SUMIFS(Stock!AP$2:AP$41,Stock!$C$2:$C$41,FuelShares!$A31,Stock!$C$2:$C$41,FuelShares!$C31)/SUMIF(Stock!$C$2:$C$41,FuelShares!$A31,Stock!AP$2:AP$41)</f>
        <v>0.0080967604433077565</v>
      </c>
      <c r="AJ31" s="3">
        <f>SUMIFS(Stock!AQ$2:AQ$41,Stock!$C$2:$C$41,FuelShares!$A31,Stock!$C$2:$C$41,FuelShares!$C31)/SUMIF(Stock!$C$2:$C$41,FuelShares!$A31,Stock!AQ$2:AQ$41)</f>
        <v>0.040366334602320648</v>
      </c>
      <c r="AK31" s="3">
        <f>SUMIFS(Stock!AR$2:AR$41,Stock!$C$2:$C$41,FuelShares!$A31,Stock!$C$2:$C$41,FuelShares!$C31)/SUMIF(Stock!$C$2:$C$41,FuelShares!$A31,Stock!AR$2:AR$41)</f>
        <v>0.17380923206650783</v>
      </c>
      <c r="AL31" s="3">
        <f>SUMIFS(Stock!AS$2:AS$41,Stock!$C$2:$C$41,FuelShares!$A31,Stock!$C$2:$C$41,FuelShares!$C31)/SUMIF(Stock!$C$2:$C$41,FuelShares!$A31,Stock!AS$2:AS$41)</f>
        <v>0</v>
      </c>
      <c r="AM31" s="3">
        <f>SUMIFS(Stock!AT$2:AT$41,Stock!$C$2:$C$41,FuelShares!$A31,Stock!$C$2:$C$41,FuelShares!$C31)/SUMIF(Stock!$C$2:$C$41,FuelShares!$A31,Stock!AT$2:AT$41)</f>
        <v>0</v>
      </c>
      <c r="AN31" s="3">
        <f>SUMIFS(Stock!AU$2:AU$41,Stock!$C$2:$C$41,FuelShares!$A31,Stock!$C$2:$C$41,FuelShares!$C31)/SUMIF(Stock!$C$2:$C$41,FuelShares!$A31,Stock!AU$2:AU$41)</f>
        <v>0.032287054622578769</v>
      </c>
      <c r="AO31" s="3">
        <f>SUMIFS(Stock!AV$2:AV$41,Stock!$C$2:$C$41,FuelShares!$A31,Stock!$C$2:$C$41,FuelShares!$C31)/SUMIF(Stock!$C$2:$C$41,FuelShares!$A31,Stock!AV$2:AV$41)</f>
        <v>0.00091758239625231103</v>
      </c>
    </row>
    <row r="32" spans="1:41" ht="13.2">
      <c r="A32" t="str">
        <f>LEFT(Stock!C30,7)&amp;"*"</f>
        <v>TRA_Car*</v>
      </c>
      <c r="B32" t="str">
        <f>"*"&amp;RIGHT(Stock!C30,3)&amp;"*"</f>
        <v>*Exe*</v>
      </c>
      <c r="C32" t="str">
        <f>"*"&amp;MID(Stock!C30,9,3)&amp;"*"</f>
        <v>*Oth*</v>
      </c>
      <c r="E32" s="3">
        <f>SUMIFS(Stock!L$2:L$41,Stock!$C$2:$C$41,FuelShares!$A32,Stock!$C$2:$C$41,FuelShares!$C32)/SUMIF(Stock!$C$2:$C$41,FuelShares!$A32,Stock!L$2:L$41)</f>
        <v>0</v>
      </c>
      <c r="F32" s="3">
        <f>SUMIFS(Stock!M$2:M$41,Stock!$C$2:$C$41,FuelShares!$A32,Stock!$C$2:$C$41,FuelShares!$C32)/SUMIF(Stock!$C$2:$C$41,FuelShares!$A32,Stock!M$2:M$41)</f>
        <v>0</v>
      </c>
      <c r="G32" s="3">
        <f>SUMIFS(Stock!N$2:N$41,Stock!$C$2:$C$41,FuelShares!$A32,Stock!$C$2:$C$41,FuelShares!$C32)/SUMIF(Stock!$C$2:$C$41,FuelShares!$A32,Stock!N$2:N$41)</f>
        <v>0</v>
      </c>
      <c r="H32" s="3">
        <f>SUMIFS(Stock!O$2:O$41,Stock!$C$2:$C$41,FuelShares!$A32,Stock!$C$2:$C$41,FuelShares!$C32)/SUMIF(Stock!$C$2:$C$41,FuelShares!$A32,Stock!O$2:O$41)</f>
        <v>0</v>
      </c>
      <c r="I32" s="3">
        <f>SUMIFS(Stock!P$2:P$41,Stock!$C$2:$C$41,FuelShares!$A32,Stock!$C$2:$C$41,FuelShares!$C32)/SUMIF(Stock!$C$2:$C$41,FuelShares!$A32,Stock!P$2:P$41)</f>
        <v>0</v>
      </c>
      <c r="J32" s="3">
        <f>SUMIFS(Stock!Q$2:Q$41,Stock!$C$2:$C$41,FuelShares!$A32,Stock!$C$2:$C$41,FuelShares!$C32)/SUMIF(Stock!$C$2:$C$41,FuelShares!$A32,Stock!Q$2:Q$41)</f>
        <v>0</v>
      </c>
      <c r="K32" s="3">
        <f>SUMIFS(Stock!R$2:R$41,Stock!$C$2:$C$41,FuelShares!$A32,Stock!$C$2:$C$41,FuelShares!$C32)/SUMIF(Stock!$C$2:$C$41,FuelShares!$A32,Stock!R$2:R$41)</f>
        <v>0</v>
      </c>
      <c r="L32" s="3">
        <f>SUMIFS(Stock!S$2:S$41,Stock!$C$2:$C$41,FuelShares!$A32,Stock!$C$2:$C$41,FuelShares!$C32)/SUMIF(Stock!$C$2:$C$41,FuelShares!$A32,Stock!S$2:S$41)</f>
        <v>0.001112099644128114</v>
      </c>
      <c r="M32" s="3">
        <f>SUMIFS(Stock!T$2:T$41,Stock!$C$2:$C$41,FuelShares!$A32,Stock!$C$2:$C$41,FuelShares!$C32)/SUMIF(Stock!$C$2:$C$41,FuelShares!$A32,Stock!T$2:T$41)</f>
        <v>0</v>
      </c>
      <c r="N32" s="3">
        <f>SUMIFS(Stock!U$2:U$41,Stock!$C$2:$C$41,FuelShares!$A32,Stock!$C$2:$C$41,FuelShares!$C32)/SUMIF(Stock!$C$2:$C$41,FuelShares!$A32,Stock!U$2:U$41)</f>
        <v>0.00015131191883984815</v>
      </c>
      <c r="O32" s="3">
        <f>SUMIFS(Stock!V$2:V$41,Stock!$C$2:$C$41,FuelShares!$A32,Stock!$C$2:$C$41,FuelShares!$C32)/SUMIF(Stock!$C$2:$C$41,FuelShares!$A32,Stock!V$2:V$41)</f>
        <v>0</v>
      </c>
      <c r="P32" s="3">
        <f>SUMIFS(Stock!W$2:W$41,Stock!$C$2:$C$41,FuelShares!$A32,Stock!$C$2:$C$41,FuelShares!$C32)/SUMIF(Stock!$C$2:$C$41,FuelShares!$A32,Stock!W$2:W$41)</f>
        <v>0</v>
      </c>
      <c r="Q32" s="3">
        <f>SUMIFS(Stock!X$2:X$41,Stock!$C$2:$C$41,FuelShares!$A32,Stock!$C$2:$C$41,FuelShares!$C32)/SUMIF(Stock!$C$2:$C$41,FuelShares!$A32,Stock!X$2:X$41)</f>
        <v>0</v>
      </c>
      <c r="R32" s="3">
        <f>SUMIFS(Stock!Y$2:Y$41,Stock!$C$2:$C$41,FuelShares!$A32,Stock!$C$2:$C$41,FuelShares!$C32)/SUMIF(Stock!$C$2:$C$41,FuelShares!$A32,Stock!Y$2:Y$41)</f>
        <v>0</v>
      </c>
      <c r="S32" s="3">
        <f>SUMIFS(Stock!Z$2:Z$41,Stock!$C$2:$C$41,FuelShares!$A32,Stock!$C$2:$C$41,FuelShares!$C32)/SUMIF(Stock!$C$2:$C$41,FuelShares!$A32,Stock!Z$2:Z$41)</f>
        <v>0</v>
      </c>
      <c r="T32" s="3">
        <f>SUMIFS(Stock!AA$2:AA$41,Stock!$C$2:$C$41,FuelShares!$A32,Stock!$C$2:$C$41,FuelShares!$C32)/SUMIF(Stock!$C$2:$C$41,FuelShares!$A32,Stock!AA$2:AA$41)</f>
        <v>0</v>
      </c>
      <c r="U32" s="3">
        <f>SUMIFS(Stock!AB$2:AB$41,Stock!$C$2:$C$41,FuelShares!$A32,Stock!$C$2:$C$41,FuelShares!$C32)/SUMIF(Stock!$C$2:$C$41,FuelShares!$A32,Stock!AB$2:AB$41)</f>
        <v>0</v>
      </c>
      <c r="V32" s="3">
        <f>SUMIFS(Stock!AC$2:AC$41,Stock!$C$2:$C$41,FuelShares!$A32,Stock!$C$2:$C$41,FuelShares!$C32)/SUMIF(Stock!$C$2:$C$41,FuelShares!$A32,Stock!AC$2:AC$41)</f>
        <v>0</v>
      </c>
      <c r="W32" s="3">
        <f>SUMIFS(Stock!AD$2:AD$41,Stock!$C$2:$C$41,FuelShares!$A32,Stock!$C$2:$C$41,FuelShares!$C32)/SUMIF(Stock!$C$2:$C$41,FuelShares!$A32,Stock!AD$2:AD$41)</f>
        <v>0.0027370478983382222</v>
      </c>
      <c r="X32" s="3">
        <f>SUMIFS(Stock!AE$2:AE$41,Stock!$C$2:$C$41,FuelShares!$A32,Stock!$C$2:$C$41,FuelShares!$C32)/SUMIF(Stock!$C$2:$C$41,FuelShares!$A32,Stock!AE$2:AE$41)</f>
        <v>0</v>
      </c>
      <c r="Y32" s="3">
        <f>SUMIFS(Stock!AF$2:AF$41,Stock!$C$2:$C$41,FuelShares!$A32,Stock!$C$2:$C$41,FuelShares!$C32)/SUMIF(Stock!$C$2:$C$41,FuelShares!$A32,Stock!AF$2:AF$41)</f>
        <v>0</v>
      </c>
      <c r="Z32" s="3">
        <f>SUMIFS(Stock!AG$2:AG$41,Stock!$C$2:$C$41,FuelShares!$A32,Stock!$C$2:$C$41,FuelShares!$C32)/SUMIF(Stock!$C$2:$C$41,FuelShares!$A32,Stock!AG$2:AG$41)</f>
        <v>0</v>
      </c>
      <c r="AA32" s="3">
        <f>SUMIFS(Stock!AH$2:AH$41,Stock!$C$2:$C$41,FuelShares!$A32,Stock!$C$2:$C$41,FuelShares!$C32)/SUMIF(Stock!$C$2:$C$41,FuelShares!$A32,Stock!AH$2:AH$41)</f>
        <v>0</v>
      </c>
      <c r="AB32" s="3">
        <f>SUMIFS(Stock!AI$2:AI$41,Stock!$C$2:$C$41,FuelShares!$A32,Stock!$C$2:$C$41,FuelShares!$C32)/SUMIF(Stock!$C$2:$C$41,FuelShares!$A32,Stock!AI$2:AI$41)</f>
        <v>0</v>
      </c>
      <c r="AC32" s="3">
        <f>SUMIFS(Stock!AJ$2:AJ$41,Stock!$C$2:$C$41,FuelShares!$A32,Stock!$C$2:$C$41,FuelShares!$C32)/SUMIF(Stock!$C$2:$C$41,FuelShares!$A32,Stock!AJ$2:AJ$41)</f>
        <v>0</v>
      </c>
      <c r="AD32" s="3">
        <f>SUMIFS(Stock!AK$2:AK$41,Stock!$C$2:$C$41,FuelShares!$A32,Stock!$C$2:$C$41,FuelShares!$C32)/SUMIF(Stock!$C$2:$C$41,FuelShares!$A32,Stock!AK$2:AK$41)</f>
        <v>0</v>
      </c>
      <c r="AE32" s="3">
        <f>SUMIFS(Stock!AL$2:AL$41,Stock!$C$2:$C$41,FuelShares!$A32,Stock!$C$2:$C$41,FuelShares!$C32)/SUMIF(Stock!$C$2:$C$41,FuelShares!$A32,Stock!AL$2:AL$41)</f>
        <v>0</v>
      </c>
      <c r="AF32" s="3">
        <f>SUMIFS(Stock!AM$2:AM$41,Stock!$C$2:$C$41,FuelShares!$A32,Stock!$C$2:$C$41,FuelShares!$C32)/SUMIF(Stock!$C$2:$C$41,FuelShares!$A32,Stock!AM$2:AM$41)</f>
        <v>0.0072389673613059077</v>
      </c>
      <c r="AG32" s="3">
        <f>SUMIFS(Stock!AN$2:AN$41,Stock!$C$2:$C$41,FuelShares!$A32,Stock!$C$2:$C$41,FuelShares!$C32)/SUMIF(Stock!$C$2:$C$41,FuelShares!$A32,Stock!AN$2:AN$41)</f>
        <v>0</v>
      </c>
      <c r="AH32" s="3">
        <f>SUMIFS(Stock!AO$2:AO$41,Stock!$C$2:$C$41,FuelShares!$A32,Stock!$C$2:$C$41,FuelShares!$C32)/SUMIF(Stock!$C$2:$C$41,FuelShares!$A32,Stock!AO$2:AO$41)</f>
        <v>0.021693748082220465</v>
      </c>
      <c r="AI32" s="3">
        <f>SUMIFS(Stock!AP$2:AP$41,Stock!$C$2:$C$41,FuelShares!$A32,Stock!$C$2:$C$41,FuelShares!$C32)/SUMIF(Stock!$C$2:$C$41,FuelShares!$A32,Stock!AP$2:AP$41)</f>
        <v>0.0017071611253196928</v>
      </c>
      <c r="AJ32" s="3">
        <f>SUMIFS(Stock!AQ$2:AQ$41,Stock!$C$2:$C$41,FuelShares!$A32,Stock!$C$2:$C$41,FuelShares!$C32)/SUMIF(Stock!$C$2:$C$41,FuelShares!$A32,Stock!AQ$2:AQ$41)</f>
        <v>0</v>
      </c>
      <c r="AK32" s="3">
        <f>SUMIFS(Stock!AR$2:AR$41,Stock!$C$2:$C$41,FuelShares!$A32,Stock!$C$2:$C$41,FuelShares!$C32)/SUMIF(Stock!$C$2:$C$41,FuelShares!$A32,Stock!AR$2:AR$41)</f>
        <v>0</v>
      </c>
      <c r="AL32" s="3">
        <f>SUMIFS(Stock!AS$2:AS$41,Stock!$C$2:$C$41,FuelShares!$A32,Stock!$C$2:$C$41,FuelShares!$C32)/SUMIF(Stock!$C$2:$C$41,FuelShares!$A32,Stock!AS$2:AS$41)</f>
        <v>0.0044570279132567303</v>
      </c>
      <c r="AM32" s="3">
        <f>SUMIFS(Stock!AT$2:AT$41,Stock!$C$2:$C$41,FuelShares!$A32,Stock!$C$2:$C$41,FuelShares!$C32)/SUMIF(Stock!$C$2:$C$41,FuelShares!$A32,Stock!AT$2:AT$41)</f>
        <v>0</v>
      </c>
      <c r="AN32" s="3">
        <f>SUMIFS(Stock!AU$2:AU$41,Stock!$C$2:$C$41,FuelShares!$A32,Stock!$C$2:$C$41,FuelShares!$C32)/SUMIF(Stock!$C$2:$C$41,FuelShares!$A32,Stock!AU$2:AU$41)</f>
        <v>0</v>
      </c>
      <c r="AO32" s="3">
        <f>SUMIFS(Stock!AV$2:AV$41,Stock!$C$2:$C$41,FuelShares!$A32,Stock!$C$2:$C$41,FuelShares!$C32)/SUMIF(Stock!$C$2:$C$41,FuelShares!$A32,Stock!AV$2:AV$41)</f>
        <v>7.0583261250177766E-05</v>
      </c>
    </row>
    <row r="33" spans="1:41" ht="13.2">
      <c r="A33" t="str">
        <f>LEFT(Stock!C31,7)&amp;"*"</f>
        <v>TRA_Car*</v>
      </c>
      <c r="B33" t="str">
        <f>"*"&amp;RIGHT(Stock!C31,3)&amp;"*"</f>
        <v>*Lom*</v>
      </c>
      <c r="C33" t="str">
        <f>"*"&amp;MID(Stock!C31,9,3)&amp;"*"</f>
        <v>*Oth*</v>
      </c>
      <c r="E33" s="3">
        <f>SUMIFS(Stock!L$2:L$41,Stock!$C$2:$C$41,FuelShares!$A33,Stock!$C$2:$C$41,FuelShares!$C33)/SUMIF(Stock!$C$2:$C$41,FuelShares!$A33,Stock!L$2:L$41)</f>
        <v>0</v>
      </c>
      <c r="F33" s="3">
        <f>SUMIFS(Stock!M$2:M$41,Stock!$C$2:$C$41,FuelShares!$A33,Stock!$C$2:$C$41,FuelShares!$C33)/SUMIF(Stock!$C$2:$C$41,FuelShares!$A33,Stock!M$2:M$41)</f>
        <v>0</v>
      </c>
      <c r="G33" s="3">
        <f>SUMIFS(Stock!N$2:N$41,Stock!$C$2:$C$41,FuelShares!$A33,Stock!$C$2:$C$41,FuelShares!$C33)/SUMIF(Stock!$C$2:$C$41,FuelShares!$A33,Stock!N$2:N$41)</f>
        <v>0</v>
      </c>
      <c r="H33" s="3">
        <f>SUMIFS(Stock!O$2:O$41,Stock!$C$2:$C$41,FuelShares!$A33,Stock!$C$2:$C$41,FuelShares!$C33)/SUMIF(Stock!$C$2:$C$41,FuelShares!$A33,Stock!O$2:O$41)</f>
        <v>0</v>
      </c>
      <c r="I33" s="3">
        <f>SUMIFS(Stock!P$2:P$41,Stock!$C$2:$C$41,FuelShares!$A33,Stock!$C$2:$C$41,FuelShares!$C33)/SUMIF(Stock!$C$2:$C$41,FuelShares!$A33,Stock!P$2:P$41)</f>
        <v>0</v>
      </c>
      <c r="J33" s="3">
        <f>SUMIFS(Stock!Q$2:Q$41,Stock!$C$2:$C$41,FuelShares!$A33,Stock!$C$2:$C$41,FuelShares!$C33)/SUMIF(Stock!$C$2:$C$41,FuelShares!$A33,Stock!Q$2:Q$41)</f>
        <v>0</v>
      </c>
      <c r="K33" s="3">
        <f>SUMIFS(Stock!R$2:R$41,Stock!$C$2:$C$41,FuelShares!$A33,Stock!$C$2:$C$41,FuelShares!$C33)/SUMIF(Stock!$C$2:$C$41,FuelShares!$A33,Stock!R$2:R$41)</f>
        <v>0</v>
      </c>
      <c r="L33" s="3">
        <f>SUMIFS(Stock!S$2:S$41,Stock!$C$2:$C$41,FuelShares!$A33,Stock!$C$2:$C$41,FuelShares!$C33)/SUMIF(Stock!$C$2:$C$41,FuelShares!$A33,Stock!S$2:S$41)</f>
        <v>0.001112099644128114</v>
      </c>
      <c r="M33" s="3">
        <f>SUMIFS(Stock!T$2:T$41,Stock!$C$2:$C$41,FuelShares!$A33,Stock!$C$2:$C$41,FuelShares!$C33)/SUMIF(Stock!$C$2:$C$41,FuelShares!$A33,Stock!T$2:T$41)</f>
        <v>0</v>
      </c>
      <c r="N33" s="3">
        <f>SUMIFS(Stock!U$2:U$41,Stock!$C$2:$C$41,FuelShares!$A33,Stock!$C$2:$C$41,FuelShares!$C33)/SUMIF(Stock!$C$2:$C$41,FuelShares!$A33,Stock!U$2:U$41)</f>
        <v>0.00015131191883984815</v>
      </c>
      <c r="O33" s="3">
        <f>SUMIFS(Stock!V$2:V$41,Stock!$C$2:$C$41,FuelShares!$A33,Stock!$C$2:$C$41,FuelShares!$C33)/SUMIF(Stock!$C$2:$C$41,FuelShares!$A33,Stock!V$2:V$41)</f>
        <v>0</v>
      </c>
      <c r="P33" s="3">
        <f>SUMIFS(Stock!W$2:W$41,Stock!$C$2:$C$41,FuelShares!$A33,Stock!$C$2:$C$41,FuelShares!$C33)/SUMIF(Stock!$C$2:$C$41,FuelShares!$A33,Stock!W$2:W$41)</f>
        <v>0</v>
      </c>
      <c r="Q33" s="3">
        <f>SUMIFS(Stock!X$2:X$41,Stock!$C$2:$C$41,FuelShares!$A33,Stock!$C$2:$C$41,FuelShares!$C33)/SUMIF(Stock!$C$2:$C$41,FuelShares!$A33,Stock!X$2:X$41)</f>
        <v>0</v>
      </c>
      <c r="R33" s="3">
        <f>SUMIFS(Stock!Y$2:Y$41,Stock!$C$2:$C$41,FuelShares!$A33,Stock!$C$2:$C$41,FuelShares!$C33)/SUMIF(Stock!$C$2:$C$41,FuelShares!$A33,Stock!Y$2:Y$41)</f>
        <v>0</v>
      </c>
      <c r="S33" s="3">
        <f>SUMIFS(Stock!Z$2:Z$41,Stock!$C$2:$C$41,FuelShares!$A33,Stock!$C$2:$C$41,FuelShares!$C33)/SUMIF(Stock!$C$2:$C$41,FuelShares!$A33,Stock!Z$2:Z$41)</f>
        <v>0</v>
      </c>
      <c r="T33" s="3">
        <f>SUMIFS(Stock!AA$2:AA$41,Stock!$C$2:$C$41,FuelShares!$A33,Stock!$C$2:$C$41,FuelShares!$C33)/SUMIF(Stock!$C$2:$C$41,FuelShares!$A33,Stock!AA$2:AA$41)</f>
        <v>0</v>
      </c>
      <c r="U33" s="3">
        <f>SUMIFS(Stock!AB$2:AB$41,Stock!$C$2:$C$41,FuelShares!$A33,Stock!$C$2:$C$41,FuelShares!$C33)/SUMIF(Stock!$C$2:$C$41,FuelShares!$A33,Stock!AB$2:AB$41)</f>
        <v>0</v>
      </c>
      <c r="V33" s="3">
        <f>SUMIFS(Stock!AC$2:AC$41,Stock!$C$2:$C$41,FuelShares!$A33,Stock!$C$2:$C$41,FuelShares!$C33)/SUMIF(Stock!$C$2:$C$41,FuelShares!$A33,Stock!AC$2:AC$41)</f>
        <v>0</v>
      </c>
      <c r="W33" s="3">
        <f>SUMIFS(Stock!AD$2:AD$41,Stock!$C$2:$C$41,FuelShares!$A33,Stock!$C$2:$C$41,FuelShares!$C33)/SUMIF(Stock!$C$2:$C$41,FuelShares!$A33,Stock!AD$2:AD$41)</f>
        <v>0.0027370478983382222</v>
      </c>
      <c r="X33" s="3">
        <f>SUMIFS(Stock!AE$2:AE$41,Stock!$C$2:$C$41,FuelShares!$A33,Stock!$C$2:$C$41,FuelShares!$C33)/SUMIF(Stock!$C$2:$C$41,FuelShares!$A33,Stock!AE$2:AE$41)</f>
        <v>0</v>
      </c>
      <c r="Y33" s="3">
        <f>SUMIFS(Stock!AF$2:AF$41,Stock!$C$2:$C$41,FuelShares!$A33,Stock!$C$2:$C$41,FuelShares!$C33)/SUMIF(Stock!$C$2:$C$41,FuelShares!$A33,Stock!AF$2:AF$41)</f>
        <v>0</v>
      </c>
      <c r="Z33" s="3">
        <f>SUMIFS(Stock!AG$2:AG$41,Stock!$C$2:$C$41,FuelShares!$A33,Stock!$C$2:$C$41,FuelShares!$C33)/SUMIF(Stock!$C$2:$C$41,FuelShares!$A33,Stock!AG$2:AG$41)</f>
        <v>0</v>
      </c>
      <c r="AA33" s="3">
        <f>SUMIFS(Stock!AH$2:AH$41,Stock!$C$2:$C$41,FuelShares!$A33,Stock!$C$2:$C$41,FuelShares!$C33)/SUMIF(Stock!$C$2:$C$41,FuelShares!$A33,Stock!AH$2:AH$41)</f>
        <v>0</v>
      </c>
      <c r="AB33" s="3">
        <f>SUMIFS(Stock!AI$2:AI$41,Stock!$C$2:$C$41,FuelShares!$A33,Stock!$C$2:$C$41,FuelShares!$C33)/SUMIF(Stock!$C$2:$C$41,FuelShares!$A33,Stock!AI$2:AI$41)</f>
        <v>0</v>
      </c>
      <c r="AC33" s="3">
        <f>SUMIFS(Stock!AJ$2:AJ$41,Stock!$C$2:$C$41,FuelShares!$A33,Stock!$C$2:$C$41,FuelShares!$C33)/SUMIF(Stock!$C$2:$C$41,FuelShares!$A33,Stock!AJ$2:AJ$41)</f>
        <v>0</v>
      </c>
      <c r="AD33" s="3">
        <f>SUMIFS(Stock!AK$2:AK$41,Stock!$C$2:$C$41,FuelShares!$A33,Stock!$C$2:$C$41,FuelShares!$C33)/SUMIF(Stock!$C$2:$C$41,FuelShares!$A33,Stock!AK$2:AK$41)</f>
        <v>0</v>
      </c>
      <c r="AE33" s="3">
        <f>SUMIFS(Stock!AL$2:AL$41,Stock!$C$2:$C$41,FuelShares!$A33,Stock!$C$2:$C$41,FuelShares!$C33)/SUMIF(Stock!$C$2:$C$41,FuelShares!$A33,Stock!AL$2:AL$41)</f>
        <v>0</v>
      </c>
      <c r="AF33" s="3">
        <f>SUMIFS(Stock!AM$2:AM$41,Stock!$C$2:$C$41,FuelShares!$A33,Stock!$C$2:$C$41,FuelShares!$C33)/SUMIF(Stock!$C$2:$C$41,FuelShares!$A33,Stock!AM$2:AM$41)</f>
        <v>0.0072389673613059077</v>
      </c>
      <c r="AG33" s="3">
        <f>SUMIFS(Stock!AN$2:AN$41,Stock!$C$2:$C$41,FuelShares!$A33,Stock!$C$2:$C$41,FuelShares!$C33)/SUMIF(Stock!$C$2:$C$41,FuelShares!$A33,Stock!AN$2:AN$41)</f>
        <v>0</v>
      </c>
      <c r="AH33" s="3">
        <f>SUMIFS(Stock!AO$2:AO$41,Stock!$C$2:$C$41,FuelShares!$A33,Stock!$C$2:$C$41,FuelShares!$C33)/SUMIF(Stock!$C$2:$C$41,FuelShares!$A33,Stock!AO$2:AO$41)</f>
        <v>0.021693748082220465</v>
      </c>
      <c r="AI33" s="3">
        <f>SUMIFS(Stock!AP$2:AP$41,Stock!$C$2:$C$41,FuelShares!$A33,Stock!$C$2:$C$41,FuelShares!$C33)/SUMIF(Stock!$C$2:$C$41,FuelShares!$A33,Stock!AP$2:AP$41)</f>
        <v>0.0017071611253196928</v>
      </c>
      <c r="AJ33" s="3">
        <f>SUMIFS(Stock!AQ$2:AQ$41,Stock!$C$2:$C$41,FuelShares!$A33,Stock!$C$2:$C$41,FuelShares!$C33)/SUMIF(Stock!$C$2:$C$41,FuelShares!$A33,Stock!AQ$2:AQ$41)</f>
        <v>0</v>
      </c>
      <c r="AK33" s="3">
        <f>SUMIFS(Stock!AR$2:AR$41,Stock!$C$2:$C$41,FuelShares!$A33,Stock!$C$2:$C$41,FuelShares!$C33)/SUMIF(Stock!$C$2:$C$41,FuelShares!$A33,Stock!AR$2:AR$41)</f>
        <v>0</v>
      </c>
      <c r="AL33" s="3">
        <f>SUMIFS(Stock!AS$2:AS$41,Stock!$C$2:$C$41,FuelShares!$A33,Stock!$C$2:$C$41,FuelShares!$C33)/SUMIF(Stock!$C$2:$C$41,FuelShares!$A33,Stock!AS$2:AS$41)</f>
        <v>0.0044570279132567303</v>
      </c>
      <c r="AM33" s="3">
        <f>SUMIFS(Stock!AT$2:AT$41,Stock!$C$2:$C$41,FuelShares!$A33,Stock!$C$2:$C$41,FuelShares!$C33)/SUMIF(Stock!$C$2:$C$41,FuelShares!$A33,Stock!AT$2:AT$41)</f>
        <v>0</v>
      </c>
      <c r="AN33" s="3">
        <f>SUMIFS(Stock!AU$2:AU$41,Stock!$C$2:$C$41,FuelShares!$A33,Stock!$C$2:$C$41,FuelShares!$C33)/SUMIF(Stock!$C$2:$C$41,FuelShares!$A33,Stock!AU$2:AU$41)</f>
        <v>0</v>
      </c>
      <c r="AO33" s="3">
        <f>SUMIFS(Stock!AV$2:AV$41,Stock!$C$2:$C$41,FuelShares!$A33,Stock!$C$2:$C$41,FuelShares!$C33)/SUMIF(Stock!$C$2:$C$41,FuelShares!$A33,Stock!AV$2:AV$41)</f>
        <v>7.0583261250177766E-05</v>
      </c>
    </row>
    <row r="34" spans="1:41" ht="13.2">
      <c r="A34" t="str">
        <f>LEFT(Stock!C32,7)&amp;"*"</f>
        <v>TRA_Car*</v>
      </c>
      <c r="B34" t="str">
        <f>"*"&amp;RIGHT(Stock!C32,3)&amp;"*"</f>
        <v>*Sma*</v>
      </c>
      <c r="C34" t="str">
        <f>"*"&amp;MID(Stock!C32,9,3)&amp;"*"</f>
        <v>*Oth*</v>
      </c>
      <c r="E34" s="3">
        <f>SUMIFS(Stock!L$2:L$41,Stock!$C$2:$C$41,FuelShares!$A34,Stock!$C$2:$C$41,FuelShares!$C34)/SUMIF(Stock!$C$2:$C$41,FuelShares!$A34,Stock!L$2:L$41)</f>
        <v>0</v>
      </c>
      <c r="F34" s="3">
        <f>SUMIFS(Stock!M$2:M$41,Stock!$C$2:$C$41,FuelShares!$A34,Stock!$C$2:$C$41,FuelShares!$C34)/SUMIF(Stock!$C$2:$C$41,FuelShares!$A34,Stock!M$2:M$41)</f>
        <v>0</v>
      </c>
      <c r="G34" s="3">
        <f>SUMIFS(Stock!N$2:N$41,Stock!$C$2:$C$41,FuelShares!$A34,Stock!$C$2:$C$41,FuelShares!$C34)/SUMIF(Stock!$C$2:$C$41,FuelShares!$A34,Stock!N$2:N$41)</f>
        <v>0</v>
      </c>
      <c r="H34" s="3">
        <f>SUMIFS(Stock!O$2:O$41,Stock!$C$2:$C$41,FuelShares!$A34,Stock!$C$2:$C$41,FuelShares!$C34)/SUMIF(Stock!$C$2:$C$41,FuelShares!$A34,Stock!O$2:O$41)</f>
        <v>0</v>
      </c>
      <c r="I34" s="3">
        <f>SUMIFS(Stock!P$2:P$41,Stock!$C$2:$C$41,FuelShares!$A34,Stock!$C$2:$C$41,FuelShares!$C34)/SUMIF(Stock!$C$2:$C$41,FuelShares!$A34,Stock!P$2:P$41)</f>
        <v>0</v>
      </c>
      <c r="J34" s="3">
        <f>SUMIFS(Stock!Q$2:Q$41,Stock!$C$2:$C$41,FuelShares!$A34,Stock!$C$2:$C$41,FuelShares!$C34)/SUMIF(Stock!$C$2:$C$41,FuelShares!$A34,Stock!Q$2:Q$41)</f>
        <v>0</v>
      </c>
      <c r="K34" s="3">
        <f>SUMIFS(Stock!R$2:R$41,Stock!$C$2:$C$41,FuelShares!$A34,Stock!$C$2:$C$41,FuelShares!$C34)/SUMIF(Stock!$C$2:$C$41,FuelShares!$A34,Stock!R$2:R$41)</f>
        <v>0</v>
      </c>
      <c r="L34" s="3">
        <f>SUMIFS(Stock!S$2:S$41,Stock!$C$2:$C$41,FuelShares!$A34,Stock!$C$2:$C$41,FuelShares!$C34)/SUMIF(Stock!$C$2:$C$41,FuelShares!$A34,Stock!S$2:S$41)</f>
        <v>0.001112099644128114</v>
      </c>
      <c r="M34" s="3">
        <f>SUMIFS(Stock!T$2:T$41,Stock!$C$2:$C$41,FuelShares!$A34,Stock!$C$2:$C$41,FuelShares!$C34)/SUMIF(Stock!$C$2:$C$41,FuelShares!$A34,Stock!T$2:T$41)</f>
        <v>0</v>
      </c>
      <c r="N34" s="3">
        <f>SUMIFS(Stock!U$2:U$41,Stock!$C$2:$C$41,FuelShares!$A34,Stock!$C$2:$C$41,FuelShares!$C34)/SUMIF(Stock!$C$2:$C$41,FuelShares!$A34,Stock!U$2:U$41)</f>
        <v>0.00015131191883984815</v>
      </c>
      <c r="O34" s="3">
        <f>SUMIFS(Stock!V$2:V$41,Stock!$C$2:$C$41,FuelShares!$A34,Stock!$C$2:$C$41,FuelShares!$C34)/SUMIF(Stock!$C$2:$C$41,FuelShares!$A34,Stock!V$2:V$41)</f>
        <v>0</v>
      </c>
      <c r="P34" s="3">
        <f>SUMIFS(Stock!W$2:W$41,Stock!$C$2:$C$41,FuelShares!$A34,Stock!$C$2:$C$41,FuelShares!$C34)/SUMIF(Stock!$C$2:$C$41,FuelShares!$A34,Stock!W$2:W$41)</f>
        <v>0</v>
      </c>
      <c r="Q34" s="3">
        <f>SUMIFS(Stock!X$2:X$41,Stock!$C$2:$C$41,FuelShares!$A34,Stock!$C$2:$C$41,FuelShares!$C34)/SUMIF(Stock!$C$2:$C$41,FuelShares!$A34,Stock!X$2:X$41)</f>
        <v>0</v>
      </c>
      <c r="R34" s="3">
        <f>SUMIFS(Stock!Y$2:Y$41,Stock!$C$2:$C$41,FuelShares!$A34,Stock!$C$2:$C$41,FuelShares!$C34)/SUMIF(Stock!$C$2:$C$41,FuelShares!$A34,Stock!Y$2:Y$41)</f>
        <v>0</v>
      </c>
      <c r="S34" s="3">
        <f>SUMIFS(Stock!Z$2:Z$41,Stock!$C$2:$C$41,FuelShares!$A34,Stock!$C$2:$C$41,FuelShares!$C34)/SUMIF(Stock!$C$2:$C$41,FuelShares!$A34,Stock!Z$2:Z$41)</f>
        <v>0</v>
      </c>
      <c r="T34" s="3">
        <f>SUMIFS(Stock!AA$2:AA$41,Stock!$C$2:$C$41,FuelShares!$A34,Stock!$C$2:$C$41,FuelShares!$C34)/SUMIF(Stock!$C$2:$C$41,FuelShares!$A34,Stock!AA$2:AA$41)</f>
        <v>0</v>
      </c>
      <c r="U34" s="3">
        <f>SUMIFS(Stock!AB$2:AB$41,Stock!$C$2:$C$41,FuelShares!$A34,Stock!$C$2:$C$41,FuelShares!$C34)/SUMIF(Stock!$C$2:$C$41,FuelShares!$A34,Stock!AB$2:AB$41)</f>
        <v>0</v>
      </c>
      <c r="V34" s="3">
        <f>SUMIFS(Stock!AC$2:AC$41,Stock!$C$2:$C$41,FuelShares!$A34,Stock!$C$2:$C$41,FuelShares!$C34)/SUMIF(Stock!$C$2:$C$41,FuelShares!$A34,Stock!AC$2:AC$41)</f>
        <v>0</v>
      </c>
      <c r="W34" s="3">
        <f>SUMIFS(Stock!AD$2:AD$41,Stock!$C$2:$C$41,FuelShares!$A34,Stock!$C$2:$C$41,FuelShares!$C34)/SUMIF(Stock!$C$2:$C$41,FuelShares!$A34,Stock!AD$2:AD$41)</f>
        <v>0.0027370478983382222</v>
      </c>
      <c r="X34" s="3">
        <f>SUMIFS(Stock!AE$2:AE$41,Stock!$C$2:$C$41,FuelShares!$A34,Stock!$C$2:$C$41,FuelShares!$C34)/SUMIF(Stock!$C$2:$C$41,FuelShares!$A34,Stock!AE$2:AE$41)</f>
        <v>0</v>
      </c>
      <c r="Y34" s="3">
        <f>SUMIFS(Stock!AF$2:AF$41,Stock!$C$2:$C$41,FuelShares!$A34,Stock!$C$2:$C$41,FuelShares!$C34)/SUMIF(Stock!$C$2:$C$41,FuelShares!$A34,Stock!AF$2:AF$41)</f>
        <v>0</v>
      </c>
      <c r="Z34" s="3">
        <f>SUMIFS(Stock!AG$2:AG$41,Stock!$C$2:$C$41,FuelShares!$A34,Stock!$C$2:$C$41,FuelShares!$C34)/SUMIF(Stock!$C$2:$C$41,FuelShares!$A34,Stock!AG$2:AG$41)</f>
        <v>0</v>
      </c>
      <c r="AA34" s="3">
        <f>SUMIFS(Stock!AH$2:AH$41,Stock!$C$2:$C$41,FuelShares!$A34,Stock!$C$2:$C$41,FuelShares!$C34)/SUMIF(Stock!$C$2:$C$41,FuelShares!$A34,Stock!AH$2:AH$41)</f>
        <v>0</v>
      </c>
      <c r="AB34" s="3">
        <f>SUMIFS(Stock!AI$2:AI$41,Stock!$C$2:$C$41,FuelShares!$A34,Stock!$C$2:$C$41,FuelShares!$C34)/SUMIF(Stock!$C$2:$C$41,FuelShares!$A34,Stock!AI$2:AI$41)</f>
        <v>0</v>
      </c>
      <c r="AC34" s="3">
        <f>SUMIFS(Stock!AJ$2:AJ$41,Stock!$C$2:$C$41,FuelShares!$A34,Stock!$C$2:$C$41,FuelShares!$C34)/SUMIF(Stock!$C$2:$C$41,FuelShares!$A34,Stock!AJ$2:AJ$41)</f>
        <v>0</v>
      </c>
      <c r="AD34" s="3">
        <f>SUMIFS(Stock!AK$2:AK$41,Stock!$C$2:$C$41,FuelShares!$A34,Stock!$C$2:$C$41,FuelShares!$C34)/SUMIF(Stock!$C$2:$C$41,FuelShares!$A34,Stock!AK$2:AK$41)</f>
        <v>0</v>
      </c>
      <c r="AE34" s="3">
        <f>SUMIFS(Stock!AL$2:AL$41,Stock!$C$2:$C$41,FuelShares!$A34,Stock!$C$2:$C$41,FuelShares!$C34)/SUMIF(Stock!$C$2:$C$41,FuelShares!$A34,Stock!AL$2:AL$41)</f>
        <v>0</v>
      </c>
      <c r="AF34" s="3">
        <f>SUMIFS(Stock!AM$2:AM$41,Stock!$C$2:$C$41,FuelShares!$A34,Stock!$C$2:$C$41,FuelShares!$C34)/SUMIF(Stock!$C$2:$C$41,FuelShares!$A34,Stock!AM$2:AM$41)</f>
        <v>0.0072389673613059077</v>
      </c>
      <c r="AG34" s="3">
        <f>SUMIFS(Stock!AN$2:AN$41,Stock!$C$2:$C$41,FuelShares!$A34,Stock!$C$2:$C$41,FuelShares!$C34)/SUMIF(Stock!$C$2:$C$41,FuelShares!$A34,Stock!AN$2:AN$41)</f>
        <v>0</v>
      </c>
      <c r="AH34" s="3">
        <f>SUMIFS(Stock!AO$2:AO$41,Stock!$C$2:$C$41,FuelShares!$A34,Stock!$C$2:$C$41,FuelShares!$C34)/SUMIF(Stock!$C$2:$C$41,FuelShares!$A34,Stock!AO$2:AO$41)</f>
        <v>0.021693748082220465</v>
      </c>
      <c r="AI34" s="3">
        <f>SUMIFS(Stock!AP$2:AP$41,Stock!$C$2:$C$41,FuelShares!$A34,Stock!$C$2:$C$41,FuelShares!$C34)/SUMIF(Stock!$C$2:$C$41,FuelShares!$A34,Stock!AP$2:AP$41)</f>
        <v>0.0017071611253196928</v>
      </c>
      <c r="AJ34" s="3">
        <f>SUMIFS(Stock!AQ$2:AQ$41,Stock!$C$2:$C$41,FuelShares!$A34,Stock!$C$2:$C$41,FuelShares!$C34)/SUMIF(Stock!$C$2:$C$41,FuelShares!$A34,Stock!AQ$2:AQ$41)</f>
        <v>0</v>
      </c>
      <c r="AK34" s="3">
        <f>SUMIFS(Stock!AR$2:AR$41,Stock!$C$2:$C$41,FuelShares!$A34,Stock!$C$2:$C$41,FuelShares!$C34)/SUMIF(Stock!$C$2:$C$41,FuelShares!$A34,Stock!AR$2:AR$41)</f>
        <v>0</v>
      </c>
      <c r="AL34" s="3">
        <f>SUMIFS(Stock!AS$2:AS$41,Stock!$C$2:$C$41,FuelShares!$A34,Stock!$C$2:$C$41,FuelShares!$C34)/SUMIF(Stock!$C$2:$C$41,FuelShares!$A34,Stock!AS$2:AS$41)</f>
        <v>0.0044570279132567303</v>
      </c>
      <c r="AM34" s="3">
        <f>SUMIFS(Stock!AT$2:AT$41,Stock!$C$2:$C$41,FuelShares!$A34,Stock!$C$2:$C$41,FuelShares!$C34)/SUMIF(Stock!$C$2:$C$41,FuelShares!$A34,Stock!AT$2:AT$41)</f>
        <v>0</v>
      </c>
      <c r="AN34" s="3">
        <f>SUMIFS(Stock!AU$2:AU$41,Stock!$C$2:$C$41,FuelShares!$A34,Stock!$C$2:$C$41,FuelShares!$C34)/SUMIF(Stock!$C$2:$C$41,FuelShares!$A34,Stock!AU$2:AU$41)</f>
        <v>0</v>
      </c>
      <c r="AO34" s="3">
        <f>SUMIFS(Stock!AV$2:AV$41,Stock!$C$2:$C$41,FuelShares!$A34,Stock!$C$2:$C$41,FuelShares!$C34)/SUMIF(Stock!$C$2:$C$41,FuelShares!$A34,Stock!AV$2:AV$41)</f>
        <v>7.0583261250177766E-05</v>
      </c>
    </row>
    <row r="35" spans="1:41" ht="13.2">
      <c r="A35" t="str">
        <f>LEFT(Stock!C33,7)&amp;"*"</f>
        <v>TRA_Car*</v>
      </c>
      <c r="B35" t="str">
        <f>"*"&amp;RIGHT(Stock!C33,3)&amp;"*"</f>
        <v>*Upm*</v>
      </c>
      <c r="C35" t="str">
        <f>"*"&amp;MID(Stock!C33,9,3)&amp;"*"</f>
        <v>*Oth*</v>
      </c>
      <c r="E35" s="3">
        <f>SUMIFS(Stock!L$2:L$41,Stock!$C$2:$C$41,FuelShares!$A35,Stock!$C$2:$C$41,FuelShares!$C35)/SUMIF(Stock!$C$2:$C$41,FuelShares!$A35,Stock!L$2:L$41)</f>
        <v>0</v>
      </c>
      <c r="F35" s="3">
        <f>SUMIFS(Stock!M$2:M$41,Stock!$C$2:$C$41,FuelShares!$A35,Stock!$C$2:$C$41,FuelShares!$C35)/SUMIF(Stock!$C$2:$C$41,FuelShares!$A35,Stock!M$2:M$41)</f>
        <v>0</v>
      </c>
      <c r="G35" s="3">
        <f>SUMIFS(Stock!N$2:N$41,Stock!$C$2:$C$41,FuelShares!$A35,Stock!$C$2:$C$41,FuelShares!$C35)/SUMIF(Stock!$C$2:$C$41,FuelShares!$A35,Stock!N$2:N$41)</f>
        <v>0</v>
      </c>
      <c r="H35" s="3">
        <f>SUMIFS(Stock!O$2:O$41,Stock!$C$2:$C$41,FuelShares!$A35,Stock!$C$2:$C$41,FuelShares!$C35)/SUMIF(Stock!$C$2:$C$41,FuelShares!$A35,Stock!O$2:O$41)</f>
        <v>0</v>
      </c>
      <c r="I35" s="3">
        <f>SUMIFS(Stock!P$2:P$41,Stock!$C$2:$C$41,FuelShares!$A35,Stock!$C$2:$C$41,FuelShares!$C35)/SUMIF(Stock!$C$2:$C$41,FuelShares!$A35,Stock!P$2:P$41)</f>
        <v>0</v>
      </c>
      <c r="J35" s="3">
        <f>SUMIFS(Stock!Q$2:Q$41,Stock!$C$2:$C$41,FuelShares!$A35,Stock!$C$2:$C$41,FuelShares!$C35)/SUMIF(Stock!$C$2:$C$41,FuelShares!$A35,Stock!Q$2:Q$41)</f>
        <v>0</v>
      </c>
      <c r="K35" s="3">
        <f>SUMIFS(Stock!R$2:R$41,Stock!$C$2:$C$41,FuelShares!$A35,Stock!$C$2:$C$41,FuelShares!$C35)/SUMIF(Stock!$C$2:$C$41,FuelShares!$A35,Stock!R$2:R$41)</f>
        <v>0</v>
      </c>
      <c r="L35" s="3">
        <f>SUMIFS(Stock!S$2:S$41,Stock!$C$2:$C$41,FuelShares!$A35,Stock!$C$2:$C$41,FuelShares!$C35)/SUMIF(Stock!$C$2:$C$41,FuelShares!$A35,Stock!S$2:S$41)</f>
        <v>0.001112099644128114</v>
      </c>
      <c r="M35" s="3">
        <f>SUMIFS(Stock!T$2:T$41,Stock!$C$2:$C$41,FuelShares!$A35,Stock!$C$2:$C$41,FuelShares!$C35)/SUMIF(Stock!$C$2:$C$41,FuelShares!$A35,Stock!T$2:T$41)</f>
        <v>0</v>
      </c>
      <c r="N35" s="3">
        <f>SUMIFS(Stock!U$2:U$41,Stock!$C$2:$C$41,FuelShares!$A35,Stock!$C$2:$C$41,FuelShares!$C35)/SUMIF(Stock!$C$2:$C$41,FuelShares!$A35,Stock!U$2:U$41)</f>
        <v>0.00015131191883984815</v>
      </c>
      <c r="O35" s="3">
        <f>SUMIFS(Stock!V$2:V$41,Stock!$C$2:$C$41,FuelShares!$A35,Stock!$C$2:$C$41,FuelShares!$C35)/SUMIF(Stock!$C$2:$C$41,FuelShares!$A35,Stock!V$2:V$41)</f>
        <v>0</v>
      </c>
      <c r="P35" s="3">
        <f>SUMIFS(Stock!W$2:W$41,Stock!$C$2:$C$41,FuelShares!$A35,Stock!$C$2:$C$41,FuelShares!$C35)/SUMIF(Stock!$C$2:$C$41,FuelShares!$A35,Stock!W$2:W$41)</f>
        <v>0</v>
      </c>
      <c r="Q35" s="3">
        <f>SUMIFS(Stock!X$2:X$41,Stock!$C$2:$C$41,FuelShares!$A35,Stock!$C$2:$C$41,FuelShares!$C35)/SUMIF(Stock!$C$2:$C$41,FuelShares!$A35,Stock!X$2:X$41)</f>
        <v>0</v>
      </c>
      <c r="R35" s="3">
        <f>SUMIFS(Stock!Y$2:Y$41,Stock!$C$2:$C$41,FuelShares!$A35,Stock!$C$2:$C$41,FuelShares!$C35)/SUMIF(Stock!$C$2:$C$41,FuelShares!$A35,Stock!Y$2:Y$41)</f>
        <v>0</v>
      </c>
      <c r="S35" s="3">
        <f>SUMIFS(Stock!Z$2:Z$41,Stock!$C$2:$C$41,FuelShares!$A35,Stock!$C$2:$C$41,FuelShares!$C35)/SUMIF(Stock!$C$2:$C$41,FuelShares!$A35,Stock!Z$2:Z$41)</f>
        <v>0</v>
      </c>
      <c r="T35" s="3">
        <f>SUMIFS(Stock!AA$2:AA$41,Stock!$C$2:$C$41,FuelShares!$A35,Stock!$C$2:$C$41,FuelShares!$C35)/SUMIF(Stock!$C$2:$C$41,FuelShares!$A35,Stock!AA$2:AA$41)</f>
        <v>0</v>
      </c>
      <c r="U35" s="3">
        <f>SUMIFS(Stock!AB$2:AB$41,Stock!$C$2:$C$41,FuelShares!$A35,Stock!$C$2:$C$41,FuelShares!$C35)/SUMIF(Stock!$C$2:$C$41,FuelShares!$A35,Stock!AB$2:AB$41)</f>
        <v>0</v>
      </c>
      <c r="V35" s="3">
        <f>SUMIFS(Stock!AC$2:AC$41,Stock!$C$2:$C$41,FuelShares!$A35,Stock!$C$2:$C$41,FuelShares!$C35)/SUMIF(Stock!$C$2:$C$41,FuelShares!$A35,Stock!AC$2:AC$41)</f>
        <v>0</v>
      </c>
      <c r="W35" s="3">
        <f>SUMIFS(Stock!AD$2:AD$41,Stock!$C$2:$C$41,FuelShares!$A35,Stock!$C$2:$C$41,FuelShares!$C35)/SUMIF(Stock!$C$2:$C$41,FuelShares!$A35,Stock!AD$2:AD$41)</f>
        <v>0.0027370478983382222</v>
      </c>
      <c r="X35" s="3">
        <f>SUMIFS(Stock!AE$2:AE$41,Stock!$C$2:$C$41,FuelShares!$A35,Stock!$C$2:$C$41,FuelShares!$C35)/SUMIF(Stock!$C$2:$C$41,FuelShares!$A35,Stock!AE$2:AE$41)</f>
        <v>0</v>
      </c>
      <c r="Y35" s="3">
        <f>SUMIFS(Stock!AF$2:AF$41,Stock!$C$2:$C$41,FuelShares!$A35,Stock!$C$2:$C$41,FuelShares!$C35)/SUMIF(Stock!$C$2:$C$41,FuelShares!$A35,Stock!AF$2:AF$41)</f>
        <v>0</v>
      </c>
      <c r="Z35" s="3">
        <f>SUMIFS(Stock!AG$2:AG$41,Stock!$C$2:$C$41,FuelShares!$A35,Stock!$C$2:$C$41,FuelShares!$C35)/SUMIF(Stock!$C$2:$C$41,FuelShares!$A35,Stock!AG$2:AG$41)</f>
        <v>0</v>
      </c>
      <c r="AA35" s="3">
        <f>SUMIFS(Stock!AH$2:AH$41,Stock!$C$2:$C$41,FuelShares!$A35,Stock!$C$2:$C$41,FuelShares!$C35)/SUMIF(Stock!$C$2:$C$41,FuelShares!$A35,Stock!AH$2:AH$41)</f>
        <v>0</v>
      </c>
      <c r="AB35" s="3">
        <f>SUMIFS(Stock!AI$2:AI$41,Stock!$C$2:$C$41,FuelShares!$A35,Stock!$C$2:$C$41,FuelShares!$C35)/SUMIF(Stock!$C$2:$C$41,FuelShares!$A35,Stock!AI$2:AI$41)</f>
        <v>0</v>
      </c>
      <c r="AC35" s="3">
        <f>SUMIFS(Stock!AJ$2:AJ$41,Stock!$C$2:$C$41,FuelShares!$A35,Stock!$C$2:$C$41,FuelShares!$C35)/SUMIF(Stock!$C$2:$C$41,FuelShares!$A35,Stock!AJ$2:AJ$41)</f>
        <v>0</v>
      </c>
      <c r="AD35" s="3">
        <f>SUMIFS(Stock!AK$2:AK$41,Stock!$C$2:$C$41,FuelShares!$A35,Stock!$C$2:$C$41,FuelShares!$C35)/SUMIF(Stock!$C$2:$C$41,FuelShares!$A35,Stock!AK$2:AK$41)</f>
        <v>0</v>
      </c>
      <c r="AE35" s="3">
        <f>SUMIFS(Stock!AL$2:AL$41,Stock!$C$2:$C$41,FuelShares!$A35,Stock!$C$2:$C$41,FuelShares!$C35)/SUMIF(Stock!$C$2:$C$41,FuelShares!$A35,Stock!AL$2:AL$41)</f>
        <v>0</v>
      </c>
      <c r="AF35" s="3">
        <f>SUMIFS(Stock!AM$2:AM$41,Stock!$C$2:$C$41,FuelShares!$A35,Stock!$C$2:$C$41,FuelShares!$C35)/SUMIF(Stock!$C$2:$C$41,FuelShares!$A35,Stock!AM$2:AM$41)</f>
        <v>0.0072389673613059077</v>
      </c>
      <c r="AG35" s="3">
        <f>SUMIFS(Stock!AN$2:AN$41,Stock!$C$2:$C$41,FuelShares!$A35,Stock!$C$2:$C$41,FuelShares!$C35)/SUMIF(Stock!$C$2:$C$41,FuelShares!$A35,Stock!AN$2:AN$41)</f>
        <v>0</v>
      </c>
      <c r="AH35" s="3">
        <f>SUMIFS(Stock!AO$2:AO$41,Stock!$C$2:$C$41,FuelShares!$A35,Stock!$C$2:$C$41,FuelShares!$C35)/SUMIF(Stock!$C$2:$C$41,FuelShares!$A35,Stock!AO$2:AO$41)</f>
        <v>0.021693748082220465</v>
      </c>
      <c r="AI35" s="3">
        <f>SUMIFS(Stock!AP$2:AP$41,Stock!$C$2:$C$41,FuelShares!$A35,Stock!$C$2:$C$41,FuelShares!$C35)/SUMIF(Stock!$C$2:$C$41,FuelShares!$A35,Stock!AP$2:AP$41)</f>
        <v>0.0017071611253196928</v>
      </c>
      <c r="AJ35" s="3">
        <f>SUMIFS(Stock!AQ$2:AQ$41,Stock!$C$2:$C$41,FuelShares!$A35,Stock!$C$2:$C$41,FuelShares!$C35)/SUMIF(Stock!$C$2:$C$41,FuelShares!$A35,Stock!AQ$2:AQ$41)</f>
        <v>0</v>
      </c>
      <c r="AK35" s="3">
        <f>SUMIFS(Stock!AR$2:AR$41,Stock!$C$2:$C$41,FuelShares!$A35,Stock!$C$2:$C$41,FuelShares!$C35)/SUMIF(Stock!$C$2:$C$41,FuelShares!$A35,Stock!AR$2:AR$41)</f>
        <v>0</v>
      </c>
      <c r="AL35" s="3">
        <f>SUMIFS(Stock!AS$2:AS$41,Stock!$C$2:$C$41,FuelShares!$A35,Stock!$C$2:$C$41,FuelShares!$C35)/SUMIF(Stock!$C$2:$C$41,FuelShares!$A35,Stock!AS$2:AS$41)</f>
        <v>0.0044570279132567303</v>
      </c>
      <c r="AM35" s="3">
        <f>SUMIFS(Stock!AT$2:AT$41,Stock!$C$2:$C$41,FuelShares!$A35,Stock!$C$2:$C$41,FuelShares!$C35)/SUMIF(Stock!$C$2:$C$41,FuelShares!$A35,Stock!AT$2:AT$41)</f>
        <v>0</v>
      </c>
      <c r="AN35" s="3">
        <f>SUMIFS(Stock!AU$2:AU$41,Stock!$C$2:$C$41,FuelShares!$A35,Stock!$C$2:$C$41,FuelShares!$C35)/SUMIF(Stock!$C$2:$C$41,FuelShares!$A35,Stock!AU$2:AU$41)</f>
        <v>0</v>
      </c>
      <c r="AO35" s="3">
        <f>SUMIFS(Stock!AV$2:AV$41,Stock!$C$2:$C$41,FuelShares!$A35,Stock!$C$2:$C$41,FuelShares!$C35)/SUMIF(Stock!$C$2:$C$41,FuelShares!$A35,Stock!AV$2:AV$41)</f>
        <v>7.0583261250177766E-05</v>
      </c>
    </row>
    <row r="36" spans="1:41" ht="13.2">
      <c r="A36" t="str">
        <f>LEFT(Stock!C34,7)&amp;"*"</f>
        <v>TRA_Hdt*</v>
      </c>
      <c r="B36" t="str">
        <f>"*"&amp;RIGHT(Stock!C34,3)&amp;"*"</f>
        <v>*Dis*</v>
      </c>
      <c r="C36" t="str">
        <f>"*"&amp;MID(Stock!C34,9,3)&amp;"*"</f>
        <v>*Dis*</v>
      </c>
      <c r="E36" s="3">
        <f>SUMIFS(Stock!L$2:L$41,Stock!$C$2:$C$41,FuelShares!$A36,Stock!$C$2:$C$41,FuelShares!$C36)/SUMIF(Stock!$C$2:$C$41,FuelShares!$A36,Stock!L$2:L$41)</f>
        <v>0.99578190069046391</v>
      </c>
      <c r="F36" s="3">
        <f>SUMIFS(Stock!M$2:M$41,Stock!$C$2:$C$41,FuelShares!$A36,Stock!$C$2:$C$41,FuelShares!$C36)/SUMIF(Stock!$C$2:$C$41,FuelShares!$A36,Stock!M$2:M$41)</f>
        <v>1</v>
      </c>
      <c r="G36" s="3">
        <f>SUMIFS(Stock!N$2:N$41,Stock!$C$2:$C$41,FuelShares!$A36,Stock!$C$2:$C$41,FuelShares!$C36)/SUMIF(Stock!$C$2:$C$41,FuelShares!$A36,Stock!N$2:N$41)</f>
        <v>0.99735369316948841</v>
      </c>
      <c r="H36" s="3">
        <f>SUMIFS(Stock!O$2:O$41,Stock!$C$2:$C$41,FuelShares!$A36,Stock!$C$2:$C$41,FuelShares!$C36)/SUMIF(Stock!$C$2:$C$41,FuelShares!$A36,Stock!O$2:O$41)</f>
        <v>1</v>
      </c>
      <c r="I36" s="3">
        <f>SUMIFS(Stock!P$2:P$41,Stock!$C$2:$C$41,FuelShares!$A36,Stock!$C$2:$C$41,FuelShares!$C36)/SUMIF(Stock!$C$2:$C$41,FuelShares!$A36,Stock!P$2:P$41)</f>
        <v>0.99933342111587264</v>
      </c>
      <c r="J36" s="3">
        <f>SUMIFS(Stock!Q$2:Q$41,Stock!$C$2:$C$41,FuelShares!$A36,Stock!$C$2:$C$41,FuelShares!$C36)/SUMIF(Stock!$C$2:$C$41,FuelShares!$A36,Stock!Q$2:Q$41)</f>
        <v>1</v>
      </c>
      <c r="K36" s="3">
        <f>SUMIFS(Stock!R$2:R$41,Stock!$C$2:$C$41,FuelShares!$A36,Stock!$C$2:$C$41,FuelShares!$C36)/SUMIF(Stock!$C$2:$C$41,FuelShares!$A36,Stock!R$2:R$41)</f>
        <v>0.99537667919457318</v>
      </c>
      <c r="L36" s="3">
        <f>SUMIFS(Stock!S$2:S$41,Stock!$C$2:$C$41,FuelShares!$A36,Stock!$C$2:$C$41,FuelShares!$C36)/SUMIF(Stock!$C$2:$C$41,FuelShares!$A36,Stock!S$2:S$41)</f>
        <v>0.97956114348955636</v>
      </c>
      <c r="M36" s="3">
        <f>SUMIFS(Stock!T$2:T$41,Stock!$C$2:$C$41,FuelShares!$A36,Stock!$C$2:$C$41,FuelShares!$C36)/SUMIF(Stock!$C$2:$C$41,FuelShares!$A36,Stock!T$2:T$41)</f>
        <v>1</v>
      </c>
      <c r="N36" s="3">
        <f>SUMIFS(Stock!U$2:U$41,Stock!$C$2:$C$41,FuelShares!$A36,Stock!$C$2:$C$41,FuelShares!$C36)/SUMIF(Stock!$C$2:$C$41,FuelShares!$A36,Stock!U$2:U$41)</f>
        <v>0.99234580022983365</v>
      </c>
      <c r="O36" s="3">
        <f>SUMIFS(Stock!V$2:V$41,Stock!$C$2:$C$41,FuelShares!$A36,Stock!$C$2:$C$41,FuelShares!$C36)/SUMIF(Stock!$C$2:$C$41,FuelShares!$A36,Stock!V$2:V$41)</f>
        <v>0.8999236374461892</v>
      </c>
      <c r="P36" s="3">
        <f>SUMIFS(Stock!W$2:W$41,Stock!$C$2:$C$41,FuelShares!$A36,Stock!$C$2:$C$41,FuelShares!$C36)/SUMIF(Stock!$C$2:$C$41,FuelShares!$A36,Stock!W$2:W$41)</f>
        <v>0.97077945026991364</v>
      </c>
      <c r="Q36" s="3">
        <f>SUMIFS(Stock!X$2:X$41,Stock!$C$2:$C$41,FuelShares!$A36,Stock!$C$2:$C$41,FuelShares!$C36)/SUMIF(Stock!$C$2:$C$41,FuelShares!$A36,Stock!X$2:X$41)</f>
        <v>0.99785455836398074</v>
      </c>
      <c r="R36" s="3">
        <f>SUMIFS(Stock!Y$2:Y$41,Stock!$C$2:$C$41,FuelShares!$A36,Stock!$C$2:$C$41,FuelShares!$C36)/SUMIF(Stock!$C$2:$C$41,FuelShares!$A36,Stock!Y$2:Y$41)</f>
        <v>0.97730496465816563</v>
      </c>
      <c r="S36" s="3">
        <f>SUMIFS(Stock!Z$2:Z$41,Stock!$C$2:$C$41,FuelShares!$A36,Stock!$C$2:$C$41,FuelShares!$C36)/SUMIF(Stock!$C$2:$C$41,FuelShares!$A36,Stock!Z$2:Z$41)</f>
        <v>0.99520872649729575</v>
      </c>
      <c r="T36" s="3">
        <f>SUMIFS(Stock!AA$2:AA$41,Stock!$C$2:$C$41,FuelShares!$A36,Stock!$C$2:$C$41,FuelShares!$C36)/SUMIF(Stock!$C$2:$C$41,FuelShares!$A36,Stock!AA$2:AA$41)</f>
        <v>0.99512371320574045</v>
      </c>
      <c r="U36" s="3">
        <f>SUMIFS(Stock!AB$2:AB$41,Stock!$C$2:$C$41,FuelShares!$A36,Stock!$C$2:$C$41,FuelShares!$C36)/SUMIF(Stock!$C$2:$C$41,FuelShares!$A36,Stock!AB$2:AB$41)</f>
        <v>0.97956114358144242</v>
      </c>
      <c r="V36" s="3">
        <f>SUMIFS(Stock!AC$2:AC$41,Stock!$C$2:$C$41,FuelShares!$A36,Stock!$C$2:$C$41,FuelShares!$C36)/SUMIF(Stock!$C$2:$C$41,FuelShares!$A36,Stock!AC$2:AC$41)</f>
        <v>0.99897823641739614</v>
      </c>
      <c r="W36" s="3">
        <f>SUMIFS(Stock!AD$2:AD$41,Stock!$C$2:$C$41,FuelShares!$A36,Stock!$C$2:$C$41,FuelShares!$C36)/SUMIF(Stock!$C$2:$C$41,FuelShares!$A36,Stock!AD$2:AD$41)</f>
        <v>0.93055282310394638</v>
      </c>
      <c r="X36" s="3">
        <f>SUMIFS(Stock!AE$2:AE$41,Stock!$C$2:$C$41,FuelShares!$A36,Stock!$C$2:$C$41,FuelShares!$C36)/SUMIF(Stock!$C$2:$C$41,FuelShares!$A36,Stock!AE$2:AE$41)</f>
        <v>0.99884210077278113</v>
      </c>
      <c r="Y36" s="3">
        <f>SUMIFS(Stock!AF$2:AF$41,Stock!$C$2:$C$41,FuelShares!$A36,Stock!$C$2:$C$41,FuelShares!$C36)/SUMIF(Stock!$C$2:$C$41,FuelShares!$A36,Stock!AF$2:AF$41)</f>
        <v>0.99734549730368627</v>
      </c>
      <c r="Z36" s="3">
        <f>SUMIFS(Stock!AG$2:AG$41,Stock!$C$2:$C$41,FuelShares!$A36,Stock!$C$2:$C$41,FuelShares!$C36)/SUMIF(Stock!$C$2:$C$41,FuelShares!$A36,Stock!AG$2:AG$41)</f>
        <v>0.96135761605734005</v>
      </c>
      <c r="AA36" s="3">
        <f>SUMIFS(Stock!AH$2:AH$41,Stock!$C$2:$C$41,FuelShares!$A36,Stock!$C$2:$C$41,FuelShares!$C36)/SUMIF(Stock!$C$2:$C$41,FuelShares!$A36,Stock!AH$2:AH$41)</f>
        <v>0.99811327220451318</v>
      </c>
      <c r="AB36" s="3">
        <f>SUMIFS(Stock!AI$2:AI$41,Stock!$C$2:$C$41,FuelShares!$A36,Stock!$C$2:$C$41,FuelShares!$C36)/SUMIF(Stock!$C$2:$C$41,FuelShares!$A36,Stock!AI$2:AI$41)</f>
        <v>0.89496619683312306</v>
      </c>
      <c r="AC36" s="3">
        <f>SUMIFS(Stock!AJ$2:AJ$41,Stock!$C$2:$C$41,FuelShares!$A36,Stock!$C$2:$C$41,FuelShares!$C36)/SUMIF(Stock!$C$2:$C$41,FuelShares!$A36,Stock!AJ$2:AJ$41)</f>
        <v>0.9926559523817029</v>
      </c>
      <c r="AD36" s="3">
        <f>SUMIFS(Stock!AK$2:AK$41,Stock!$C$2:$C$41,FuelShares!$A36,Stock!$C$2:$C$41,FuelShares!$C36)/SUMIF(Stock!$C$2:$C$41,FuelShares!$A36,Stock!AK$2:AK$41)</f>
        <v>0.999333421112229</v>
      </c>
      <c r="AE36" s="3">
        <f>SUMIFS(Stock!AL$2:AL$41,Stock!$C$2:$C$41,FuelShares!$A36,Stock!$C$2:$C$41,FuelShares!$C36)/SUMIF(Stock!$C$2:$C$41,FuelShares!$A36,Stock!AL$2:AL$41)</f>
        <v>1</v>
      </c>
      <c r="AF36" s="3">
        <f>SUMIFS(Stock!AM$2:AM$41,Stock!$C$2:$C$41,FuelShares!$A36,Stock!$C$2:$C$41,FuelShares!$C36)/SUMIF(Stock!$C$2:$C$41,FuelShares!$A36,Stock!AM$2:AM$41)</f>
        <v>0.99297548391119494</v>
      </c>
      <c r="AG36" s="3">
        <f>SUMIFS(Stock!AN$2:AN$41,Stock!$C$2:$C$41,FuelShares!$A36,Stock!$C$2:$C$41,FuelShares!$C36)/SUMIF(Stock!$C$2:$C$41,FuelShares!$A36,Stock!AN$2:AN$41)</f>
        <v>0.90949188221272514</v>
      </c>
      <c r="AH36" s="3">
        <f>SUMIFS(Stock!AO$2:AO$41,Stock!$C$2:$C$41,FuelShares!$A36,Stock!$C$2:$C$41,FuelShares!$C36)/SUMIF(Stock!$C$2:$C$41,FuelShares!$A36,Stock!AO$2:AO$41)</f>
        <v>0.83800386748033684</v>
      </c>
      <c r="AI36" s="3">
        <f>SUMIFS(Stock!AP$2:AP$41,Stock!$C$2:$C$41,FuelShares!$A36,Stock!$C$2:$C$41,FuelShares!$C36)/SUMIF(Stock!$C$2:$C$41,FuelShares!$A36,Stock!AP$2:AP$41)</f>
        <v>1</v>
      </c>
      <c r="AJ36" s="3">
        <f>SUMIFS(Stock!AQ$2:AQ$41,Stock!$C$2:$C$41,FuelShares!$A36,Stock!$C$2:$C$41,FuelShares!$C36)/SUMIF(Stock!$C$2:$C$41,FuelShares!$A36,Stock!AQ$2:AQ$41)</f>
        <v>0.98989375073184815</v>
      </c>
      <c r="AK36" s="3">
        <f>SUMIFS(Stock!AR$2:AR$41,Stock!$C$2:$C$41,FuelShares!$A36,Stock!$C$2:$C$41,FuelShares!$C36)/SUMIF(Stock!$C$2:$C$41,FuelShares!$A36,Stock!AR$2:AR$41)</f>
        <v>0.99614988992501963</v>
      </c>
      <c r="AL36" s="3">
        <f>SUMIFS(Stock!AS$2:AS$41,Stock!$C$2:$C$41,FuelShares!$A36,Stock!$C$2:$C$41,FuelShares!$C36)/SUMIF(Stock!$C$2:$C$41,FuelShares!$A36,Stock!AS$2:AS$41)</f>
        <v>0.97730496471693962</v>
      </c>
      <c r="AM36" s="3">
        <f>SUMIFS(Stock!AT$2:AT$41,Stock!$C$2:$C$41,FuelShares!$A36,Stock!$C$2:$C$41,FuelShares!$C36)/SUMIF(Stock!$C$2:$C$41,FuelShares!$A36,Stock!AT$2:AT$41)</f>
        <v>0.99926780210432187</v>
      </c>
      <c r="AN36" s="3">
        <f>SUMIFS(Stock!AU$2:AU$41,Stock!$C$2:$C$41,FuelShares!$A36,Stock!$C$2:$C$41,FuelShares!$C36)/SUMIF(Stock!$C$2:$C$41,FuelShares!$A36,Stock!AU$2:AU$41)</f>
        <v>1</v>
      </c>
      <c r="AO36" s="3">
        <f>SUMIFS(Stock!AV$2:AV$41,Stock!$C$2:$C$41,FuelShares!$A36,Stock!$C$2:$C$41,FuelShares!$C36)/SUMIF(Stock!$C$2:$C$41,FuelShares!$A36,Stock!AV$2:AV$41)</f>
        <v>0.9978654106446837</v>
      </c>
    </row>
    <row r="37" spans="1:41" ht="13.2">
      <c r="A37" t="str">
        <f>LEFT(Stock!C35,7)&amp;"*"</f>
        <v>TRA_Hdt*</v>
      </c>
      <c r="B37" t="str">
        <f>"*"&amp;RIGHT(Stock!C35,3)&amp;"*"</f>
        <v>*Gas*</v>
      </c>
      <c r="C37" t="str">
        <f>"*"&amp;MID(Stock!C35,9,3)&amp;"*"</f>
        <v>*Gas*</v>
      </c>
      <c r="E37" s="3">
        <f>SUMIFS(Stock!L$2:L$41,Stock!$C$2:$C$41,FuelShares!$A37,Stock!$C$2:$C$41,FuelShares!$C37)/SUMIF(Stock!$C$2:$C$41,FuelShares!$A37,Stock!L$2:L$41)</f>
        <v>0.0042180993095361982</v>
      </c>
      <c r="F37" s="3">
        <f>SUMIFS(Stock!M$2:M$41,Stock!$C$2:$C$41,FuelShares!$A37,Stock!$C$2:$C$41,FuelShares!$C37)/SUMIF(Stock!$C$2:$C$41,FuelShares!$A37,Stock!M$2:M$41)</f>
        <v>0</v>
      </c>
      <c r="G37" s="3">
        <f>SUMIFS(Stock!N$2:N$41,Stock!$C$2:$C$41,FuelShares!$A37,Stock!$C$2:$C$41,FuelShares!$C37)/SUMIF(Stock!$C$2:$C$41,FuelShares!$A37,Stock!N$2:N$41)</f>
        <v>0.0026463068305115868</v>
      </c>
      <c r="H37" s="3">
        <f>SUMIFS(Stock!O$2:O$41,Stock!$C$2:$C$41,FuelShares!$A37,Stock!$C$2:$C$41,FuelShares!$C37)/SUMIF(Stock!$C$2:$C$41,FuelShares!$A37,Stock!O$2:O$41)</f>
        <v>0</v>
      </c>
      <c r="I37" s="3">
        <f>SUMIFS(Stock!P$2:P$41,Stock!$C$2:$C$41,FuelShares!$A37,Stock!$C$2:$C$41,FuelShares!$C37)/SUMIF(Stock!$C$2:$C$41,FuelShares!$A37,Stock!P$2:P$41)</f>
        <v>0.00066657888412741074</v>
      </c>
      <c r="J37" s="3">
        <f>SUMIFS(Stock!Q$2:Q$41,Stock!$C$2:$C$41,FuelShares!$A37,Stock!$C$2:$C$41,FuelShares!$C37)/SUMIF(Stock!$C$2:$C$41,FuelShares!$A37,Stock!Q$2:Q$41)</f>
        <v>0</v>
      </c>
      <c r="K37" s="3">
        <f>SUMIFS(Stock!R$2:R$41,Stock!$C$2:$C$41,FuelShares!$A37,Stock!$C$2:$C$41,FuelShares!$C37)/SUMIF(Stock!$C$2:$C$41,FuelShares!$A37,Stock!R$2:R$41)</f>
        <v>0.0046233208054268149</v>
      </c>
      <c r="L37" s="3">
        <f>SUMIFS(Stock!S$2:S$41,Stock!$C$2:$C$41,FuelShares!$A37,Stock!$C$2:$C$41,FuelShares!$C37)/SUMIF(Stock!$C$2:$C$41,FuelShares!$A37,Stock!S$2:S$41)</f>
        <v>0.020438856510443672</v>
      </c>
      <c r="M37" s="3">
        <f>SUMIFS(Stock!T$2:T$41,Stock!$C$2:$C$41,FuelShares!$A37,Stock!$C$2:$C$41,FuelShares!$C37)/SUMIF(Stock!$C$2:$C$41,FuelShares!$A37,Stock!T$2:T$41)</f>
        <v>0</v>
      </c>
      <c r="N37" s="3">
        <f>SUMIFS(Stock!U$2:U$41,Stock!$C$2:$C$41,FuelShares!$A37,Stock!$C$2:$C$41,FuelShares!$C37)/SUMIF(Stock!$C$2:$C$41,FuelShares!$A37,Stock!U$2:U$41)</f>
        <v>0.0076541997701663721</v>
      </c>
      <c r="O37" s="3">
        <f>SUMIFS(Stock!V$2:V$41,Stock!$C$2:$C$41,FuelShares!$A37,Stock!$C$2:$C$41,FuelShares!$C37)/SUMIF(Stock!$C$2:$C$41,FuelShares!$A37,Stock!V$2:V$41)</f>
        <v>0.10007636255381083</v>
      </c>
      <c r="P37" s="3">
        <f>SUMIFS(Stock!W$2:W$41,Stock!$C$2:$C$41,FuelShares!$A37,Stock!$C$2:$C$41,FuelShares!$C37)/SUMIF(Stock!$C$2:$C$41,FuelShares!$A37,Stock!W$2:W$41)</f>
        <v>0.029220549730086448</v>
      </c>
      <c r="Q37" s="3">
        <f>SUMIFS(Stock!X$2:X$41,Stock!$C$2:$C$41,FuelShares!$A37,Stock!$C$2:$C$41,FuelShares!$C37)/SUMIF(Stock!$C$2:$C$41,FuelShares!$A37,Stock!X$2:X$41)</f>
        <v>0.0021454416360192716</v>
      </c>
      <c r="R37" s="3">
        <f>SUMIFS(Stock!Y$2:Y$41,Stock!$C$2:$C$41,FuelShares!$A37,Stock!$C$2:$C$41,FuelShares!$C37)/SUMIF(Stock!$C$2:$C$41,FuelShares!$A37,Stock!Y$2:Y$41)</f>
        <v>0.022695035341834327</v>
      </c>
      <c r="S37" s="3">
        <f>SUMIFS(Stock!Z$2:Z$41,Stock!$C$2:$C$41,FuelShares!$A37,Stock!$C$2:$C$41,FuelShares!$C37)/SUMIF(Stock!$C$2:$C$41,FuelShares!$A37,Stock!Z$2:Z$41)</f>
        <v>0.0047912735027043568</v>
      </c>
      <c r="T37" s="3">
        <f>SUMIFS(Stock!AA$2:AA$41,Stock!$C$2:$C$41,FuelShares!$A37,Stock!$C$2:$C$41,FuelShares!$C37)/SUMIF(Stock!$C$2:$C$41,FuelShares!$A37,Stock!AA$2:AA$41)</f>
        <v>0.0048762867942595605</v>
      </c>
      <c r="U37" s="3">
        <f>SUMIFS(Stock!AB$2:AB$41,Stock!$C$2:$C$41,FuelShares!$A37,Stock!$C$2:$C$41,FuelShares!$C37)/SUMIF(Stock!$C$2:$C$41,FuelShares!$A37,Stock!AB$2:AB$41)</f>
        <v>0.020438856418557558</v>
      </c>
      <c r="V37" s="3">
        <f>SUMIFS(Stock!AC$2:AC$41,Stock!$C$2:$C$41,FuelShares!$A37,Stock!$C$2:$C$41,FuelShares!$C37)/SUMIF(Stock!$C$2:$C$41,FuelShares!$A37,Stock!AC$2:AC$41)</f>
        <v>0.0010217635826038052</v>
      </c>
      <c r="W37" s="3">
        <f>SUMIFS(Stock!AD$2:AD$41,Stock!$C$2:$C$41,FuelShares!$A37,Stock!$C$2:$C$41,FuelShares!$C37)/SUMIF(Stock!$C$2:$C$41,FuelShares!$A37,Stock!AD$2:AD$41)</f>
        <v>0.069447176896053661</v>
      </c>
      <c r="X37" s="3">
        <f>SUMIFS(Stock!AE$2:AE$41,Stock!$C$2:$C$41,FuelShares!$A37,Stock!$C$2:$C$41,FuelShares!$C37)/SUMIF(Stock!$C$2:$C$41,FuelShares!$A37,Stock!AE$2:AE$41)</f>
        <v>0.0011578992272187876</v>
      </c>
      <c r="Y37" s="3">
        <f>SUMIFS(Stock!AF$2:AF$41,Stock!$C$2:$C$41,FuelShares!$A37,Stock!$C$2:$C$41,FuelShares!$C37)/SUMIF(Stock!$C$2:$C$41,FuelShares!$A37,Stock!AF$2:AF$41)</f>
        <v>0.0026545026963137341</v>
      </c>
      <c r="Z37" s="3">
        <f>SUMIFS(Stock!AG$2:AG$41,Stock!$C$2:$C$41,FuelShares!$A37,Stock!$C$2:$C$41,FuelShares!$C37)/SUMIF(Stock!$C$2:$C$41,FuelShares!$A37,Stock!AG$2:AG$41)</f>
        <v>0.038642383942660022</v>
      </c>
      <c r="AA37" s="3">
        <f>SUMIFS(Stock!AH$2:AH$41,Stock!$C$2:$C$41,FuelShares!$A37,Stock!$C$2:$C$41,FuelShares!$C37)/SUMIF(Stock!$C$2:$C$41,FuelShares!$A37,Stock!AH$2:AH$41)</f>
        <v>0.001886727795486895</v>
      </c>
      <c r="AB37" s="3">
        <f>SUMIFS(Stock!AI$2:AI$41,Stock!$C$2:$C$41,FuelShares!$A37,Stock!$C$2:$C$41,FuelShares!$C37)/SUMIF(Stock!$C$2:$C$41,FuelShares!$A37,Stock!AI$2:AI$41)</f>
        <v>0.10503380316687701</v>
      </c>
      <c r="AC37" s="3">
        <f>SUMIFS(Stock!AJ$2:AJ$41,Stock!$C$2:$C$41,FuelShares!$A37,Stock!$C$2:$C$41,FuelShares!$C37)/SUMIF(Stock!$C$2:$C$41,FuelShares!$A37,Stock!AJ$2:AJ$41)</f>
        <v>0.0073440476182971039</v>
      </c>
      <c r="AD37" s="3">
        <f>SUMIFS(Stock!AK$2:AK$41,Stock!$C$2:$C$41,FuelShares!$A37,Stock!$C$2:$C$41,FuelShares!$C37)/SUMIF(Stock!$C$2:$C$41,FuelShares!$A37,Stock!AK$2:AK$41)</f>
        <v>0.00066657888777093503</v>
      </c>
      <c r="AE37" s="3">
        <f>SUMIFS(Stock!AL$2:AL$41,Stock!$C$2:$C$41,FuelShares!$A37,Stock!$C$2:$C$41,FuelShares!$C37)/SUMIF(Stock!$C$2:$C$41,FuelShares!$A37,Stock!AL$2:AL$41)</f>
        <v>0</v>
      </c>
      <c r="AF37" s="3">
        <f>SUMIFS(Stock!AM$2:AM$41,Stock!$C$2:$C$41,FuelShares!$A37,Stock!$C$2:$C$41,FuelShares!$C37)/SUMIF(Stock!$C$2:$C$41,FuelShares!$A37,Stock!AM$2:AM$41)</f>
        <v>0.0070245160888049805</v>
      </c>
      <c r="AG37" s="3">
        <f>SUMIFS(Stock!AN$2:AN$41,Stock!$C$2:$C$41,FuelShares!$A37,Stock!$C$2:$C$41,FuelShares!$C37)/SUMIF(Stock!$C$2:$C$41,FuelShares!$A37,Stock!AN$2:AN$41)</f>
        <v>0.090508117787274842</v>
      </c>
      <c r="AH37" s="3">
        <f>SUMIFS(Stock!AO$2:AO$41,Stock!$C$2:$C$41,FuelShares!$A37,Stock!$C$2:$C$41,FuelShares!$C37)/SUMIF(Stock!$C$2:$C$41,FuelShares!$A37,Stock!AO$2:AO$41)</f>
        <v>0.16199613251966313</v>
      </c>
      <c r="AI37" s="3">
        <f>SUMIFS(Stock!AP$2:AP$41,Stock!$C$2:$C$41,FuelShares!$A37,Stock!$C$2:$C$41,FuelShares!$C37)/SUMIF(Stock!$C$2:$C$41,FuelShares!$A37,Stock!AP$2:AP$41)</f>
        <v>0</v>
      </c>
      <c r="AJ37" s="3">
        <f>SUMIFS(Stock!AQ$2:AQ$41,Stock!$C$2:$C$41,FuelShares!$A37,Stock!$C$2:$C$41,FuelShares!$C37)/SUMIF(Stock!$C$2:$C$41,FuelShares!$A37,Stock!AQ$2:AQ$41)</f>
        <v>0.01010624926815179</v>
      </c>
      <c r="AK37" s="3">
        <f>SUMIFS(Stock!AR$2:AR$41,Stock!$C$2:$C$41,FuelShares!$A37,Stock!$C$2:$C$41,FuelShares!$C37)/SUMIF(Stock!$C$2:$C$41,FuelShares!$A37,Stock!AR$2:AR$41)</f>
        <v>0.0038501100749803721</v>
      </c>
      <c r="AL37" s="3">
        <f>SUMIFS(Stock!AS$2:AS$41,Stock!$C$2:$C$41,FuelShares!$A37,Stock!$C$2:$C$41,FuelShares!$C37)/SUMIF(Stock!$C$2:$C$41,FuelShares!$A37,Stock!AS$2:AS$41)</f>
        <v>0.022695035283060497</v>
      </c>
      <c r="AM37" s="3">
        <f>SUMIFS(Stock!AT$2:AT$41,Stock!$C$2:$C$41,FuelShares!$A37,Stock!$C$2:$C$41,FuelShares!$C37)/SUMIF(Stock!$C$2:$C$41,FuelShares!$A37,Stock!AT$2:AT$41)</f>
        <v>0.00073219789567816876</v>
      </c>
      <c r="AN37" s="3">
        <f>SUMIFS(Stock!AU$2:AU$41,Stock!$C$2:$C$41,FuelShares!$A37,Stock!$C$2:$C$41,FuelShares!$C37)/SUMIF(Stock!$C$2:$C$41,FuelShares!$A37,Stock!AU$2:AU$41)</f>
        <v>0</v>
      </c>
      <c r="AO37" s="3">
        <f>SUMIFS(Stock!AV$2:AV$41,Stock!$C$2:$C$41,FuelShares!$A37,Stock!$C$2:$C$41,FuelShares!$C37)/SUMIF(Stock!$C$2:$C$41,FuelShares!$A37,Stock!AV$2:AV$41)</f>
        <v>0.0021345893553163311</v>
      </c>
    </row>
    <row r="38" spans="1:41" ht="13.2">
      <c r="A38" t="str">
        <f>LEFT(Stock!C36,7)&amp;"*"</f>
        <v>TRA_Lcv*</v>
      </c>
      <c r="B38" t="str">
        <f>"*"&amp;RIGHT(Stock!C36,3)&amp;"*"</f>
        <v>*Cng*</v>
      </c>
      <c r="C38" t="str">
        <f>"*"&amp;MID(Stock!C36,9,3)&amp;"*"</f>
        <v>*Cng*</v>
      </c>
      <c r="E38" s="3">
        <f>SUMIFS(Stock!L$2:L$41,Stock!$C$2:$C$41,FuelShares!$A38,Stock!$C$2:$C$41,FuelShares!$C38)/SUMIF(Stock!$C$2:$C$41,FuelShares!$A38,Stock!L$2:L$41)</f>
        <v>0</v>
      </c>
      <c r="F38" s="3">
        <f>SUMIFS(Stock!M$2:M$41,Stock!$C$2:$C$41,FuelShares!$A38,Stock!$C$2:$C$41,FuelShares!$C38)/SUMIF(Stock!$C$2:$C$41,FuelShares!$A38,Stock!M$2:M$41)</f>
        <v>0</v>
      </c>
      <c r="G38" s="3">
        <f>SUMIFS(Stock!N$2:N$41,Stock!$C$2:$C$41,FuelShares!$A38,Stock!$C$2:$C$41,FuelShares!$C38)/SUMIF(Stock!$C$2:$C$41,FuelShares!$A38,Stock!N$2:N$41)</f>
        <v>0</v>
      </c>
      <c r="H38" s="3">
        <f>SUMIFS(Stock!O$2:O$41,Stock!$C$2:$C$41,FuelShares!$A38,Stock!$C$2:$C$41,FuelShares!$C38)/SUMIF(Stock!$C$2:$C$41,FuelShares!$A38,Stock!O$2:O$41)</f>
        <v>0</v>
      </c>
      <c r="I38" s="3">
        <f>SUMIFS(Stock!P$2:P$41,Stock!$C$2:$C$41,FuelShares!$A38,Stock!$C$2:$C$41,FuelShares!$C38)/SUMIF(Stock!$C$2:$C$41,FuelShares!$A38,Stock!P$2:P$41)</f>
        <v>0</v>
      </c>
      <c r="J38" s="3">
        <f>SUMIFS(Stock!Q$2:Q$41,Stock!$C$2:$C$41,FuelShares!$A38,Stock!$C$2:$C$41,FuelShares!$C38)/SUMIF(Stock!$C$2:$C$41,FuelShares!$A38,Stock!Q$2:Q$41)</f>
        <v>0.0059597180420510173</v>
      </c>
      <c r="K38" s="3">
        <f>SUMIFS(Stock!R$2:R$41,Stock!$C$2:$C$41,FuelShares!$A38,Stock!$C$2:$C$41,FuelShares!$C38)/SUMIF(Stock!$C$2:$C$41,FuelShares!$A38,Stock!R$2:R$41)</f>
        <v>0</v>
      </c>
      <c r="L38" s="3">
        <f>SUMIFS(Stock!S$2:S$41,Stock!$C$2:$C$41,FuelShares!$A38,Stock!$C$2:$C$41,FuelShares!$C38)/SUMIF(Stock!$C$2:$C$41,FuelShares!$A38,Stock!S$2:S$41)</f>
        <v>0</v>
      </c>
      <c r="M38" s="3">
        <f>SUMIFS(Stock!T$2:T$41,Stock!$C$2:$C$41,FuelShares!$A38,Stock!$C$2:$C$41,FuelShares!$C38)/SUMIF(Stock!$C$2:$C$41,FuelShares!$A38,Stock!T$2:T$41)</f>
        <v>0.0074881605550317478</v>
      </c>
      <c r="N38" s="3">
        <f>SUMIFS(Stock!U$2:U$41,Stock!$C$2:$C$41,FuelShares!$A38,Stock!$C$2:$C$41,FuelShares!$C38)/SUMIF(Stock!$C$2:$C$41,FuelShares!$A38,Stock!U$2:U$41)</f>
        <v>0</v>
      </c>
      <c r="O38" s="3">
        <f>SUMIFS(Stock!V$2:V$41,Stock!$C$2:$C$41,FuelShares!$A38,Stock!$C$2:$C$41,FuelShares!$C38)/SUMIF(Stock!$C$2:$C$41,FuelShares!$A38,Stock!V$2:V$41)</f>
        <v>0</v>
      </c>
      <c r="P38" s="3">
        <f>SUMIFS(Stock!W$2:W$41,Stock!$C$2:$C$41,FuelShares!$A38,Stock!$C$2:$C$41,FuelShares!$C38)/SUMIF(Stock!$C$2:$C$41,FuelShares!$A38,Stock!W$2:W$41)</f>
        <v>0</v>
      </c>
      <c r="Q38" s="3">
        <f>SUMIFS(Stock!X$2:X$41,Stock!$C$2:$C$41,FuelShares!$A38,Stock!$C$2:$C$41,FuelShares!$C38)/SUMIF(Stock!$C$2:$C$41,FuelShares!$A38,Stock!X$2:X$41)</f>
        <v>0</v>
      </c>
      <c r="R38" s="3">
        <f>SUMIFS(Stock!Y$2:Y$41,Stock!$C$2:$C$41,FuelShares!$A38,Stock!$C$2:$C$41,FuelShares!$C38)/SUMIF(Stock!$C$2:$C$41,FuelShares!$A38,Stock!Y$2:Y$41)</f>
        <v>0</v>
      </c>
      <c r="S38" s="3">
        <f>SUMIFS(Stock!Z$2:Z$41,Stock!$C$2:$C$41,FuelShares!$A38,Stock!$C$2:$C$41,FuelShares!$C38)/SUMIF(Stock!$C$2:$C$41,FuelShares!$A38,Stock!Z$2:Z$41)</f>
        <v>0</v>
      </c>
      <c r="T38" s="3">
        <f>SUMIFS(Stock!AA$2:AA$41,Stock!$C$2:$C$41,FuelShares!$A38,Stock!$C$2:$C$41,FuelShares!$C38)/SUMIF(Stock!$C$2:$C$41,FuelShares!$A38,Stock!AA$2:AA$41)</f>
        <v>0</v>
      </c>
      <c r="U38" s="3">
        <f>SUMIFS(Stock!AB$2:AB$41,Stock!$C$2:$C$41,FuelShares!$A38,Stock!$C$2:$C$41,FuelShares!$C38)/SUMIF(Stock!$C$2:$C$41,FuelShares!$A38,Stock!AB$2:AB$41)</f>
        <v>0</v>
      </c>
      <c r="V38" s="3">
        <f>SUMIFS(Stock!AC$2:AC$41,Stock!$C$2:$C$41,FuelShares!$A38,Stock!$C$2:$C$41,FuelShares!$C38)/SUMIF(Stock!$C$2:$C$41,FuelShares!$A38,Stock!AC$2:AC$41)</f>
        <v>0</v>
      </c>
      <c r="W38" s="3">
        <f>SUMIFS(Stock!AD$2:AD$41,Stock!$C$2:$C$41,FuelShares!$A38,Stock!$C$2:$C$41,FuelShares!$C38)/SUMIF(Stock!$C$2:$C$41,FuelShares!$A38,Stock!AD$2:AD$41)</f>
        <v>0</v>
      </c>
      <c r="X38" s="3">
        <f>SUMIFS(Stock!AE$2:AE$41,Stock!$C$2:$C$41,FuelShares!$A38,Stock!$C$2:$C$41,FuelShares!$C38)/SUMIF(Stock!$C$2:$C$41,FuelShares!$A38,Stock!AE$2:AE$41)</f>
        <v>0</v>
      </c>
      <c r="Y38" s="3">
        <f>SUMIFS(Stock!AF$2:AF$41,Stock!$C$2:$C$41,FuelShares!$A38,Stock!$C$2:$C$41,FuelShares!$C38)/SUMIF(Stock!$C$2:$C$41,FuelShares!$A38,Stock!AF$2:AF$41)</f>
        <v>0</v>
      </c>
      <c r="Z38" s="3">
        <f>SUMIFS(Stock!AG$2:AG$41,Stock!$C$2:$C$41,FuelShares!$A38,Stock!$C$2:$C$41,FuelShares!$C38)/SUMIF(Stock!$C$2:$C$41,FuelShares!$A38,Stock!AG$2:AG$41)</f>
        <v>0</v>
      </c>
      <c r="AA38" s="3">
        <f>SUMIFS(Stock!AH$2:AH$41,Stock!$C$2:$C$41,FuelShares!$A38,Stock!$C$2:$C$41,FuelShares!$C38)/SUMIF(Stock!$C$2:$C$41,FuelShares!$A38,Stock!AH$2:AH$41)</f>
        <v>0</v>
      </c>
      <c r="AB38" s="3">
        <f>SUMIFS(Stock!AI$2:AI$41,Stock!$C$2:$C$41,FuelShares!$A38,Stock!$C$2:$C$41,FuelShares!$C38)/SUMIF(Stock!$C$2:$C$41,FuelShares!$A38,Stock!AI$2:AI$41)</f>
        <v>0</v>
      </c>
      <c r="AC38" s="3">
        <f>SUMIFS(Stock!AJ$2:AJ$41,Stock!$C$2:$C$41,FuelShares!$A38,Stock!$C$2:$C$41,FuelShares!$C38)/SUMIF(Stock!$C$2:$C$41,FuelShares!$A38,Stock!AJ$2:AJ$41)</f>
        <v>0</v>
      </c>
      <c r="AD38" s="3">
        <f>SUMIFS(Stock!AK$2:AK$41,Stock!$C$2:$C$41,FuelShares!$A38,Stock!$C$2:$C$41,FuelShares!$C38)/SUMIF(Stock!$C$2:$C$41,FuelShares!$A38,Stock!AK$2:AK$41)</f>
        <v>0</v>
      </c>
      <c r="AE38" s="3">
        <f>SUMIFS(Stock!AL$2:AL$41,Stock!$C$2:$C$41,FuelShares!$A38,Stock!$C$2:$C$41,FuelShares!$C38)/SUMIF(Stock!$C$2:$C$41,FuelShares!$A38,Stock!AL$2:AL$41)</f>
        <v>0</v>
      </c>
      <c r="AF38" s="3">
        <f>SUMIFS(Stock!AM$2:AM$41,Stock!$C$2:$C$41,FuelShares!$A38,Stock!$C$2:$C$41,FuelShares!$C38)/SUMIF(Stock!$C$2:$C$41,FuelShares!$A38,Stock!AM$2:AM$41)</f>
        <v>0.0013692001280788239</v>
      </c>
      <c r="AG38" s="3">
        <f>SUMIFS(Stock!AN$2:AN$41,Stock!$C$2:$C$41,FuelShares!$A38,Stock!$C$2:$C$41,FuelShares!$C38)/SUMIF(Stock!$C$2:$C$41,FuelShares!$A38,Stock!AN$2:AN$41)</f>
        <v>0</v>
      </c>
      <c r="AH38" s="3">
        <f>SUMIFS(Stock!AO$2:AO$41,Stock!$C$2:$C$41,FuelShares!$A38,Stock!$C$2:$C$41,FuelShares!$C38)/SUMIF(Stock!$C$2:$C$41,FuelShares!$A38,Stock!AO$2:AO$41)</f>
        <v>0</v>
      </c>
      <c r="AI38" s="3">
        <f>SUMIFS(Stock!AP$2:AP$41,Stock!$C$2:$C$41,FuelShares!$A38,Stock!$C$2:$C$41,FuelShares!$C38)/SUMIF(Stock!$C$2:$C$41,FuelShares!$A38,Stock!AP$2:AP$41)</f>
        <v>0</v>
      </c>
      <c r="AJ38" s="3">
        <f>SUMIFS(Stock!AQ$2:AQ$41,Stock!$C$2:$C$41,FuelShares!$A38,Stock!$C$2:$C$41,FuelShares!$C38)/SUMIF(Stock!$C$2:$C$41,FuelShares!$A38,Stock!AQ$2:AQ$41)</f>
        <v>0</v>
      </c>
      <c r="AK38" s="3">
        <f>SUMIFS(Stock!AR$2:AR$41,Stock!$C$2:$C$41,FuelShares!$A38,Stock!$C$2:$C$41,FuelShares!$C38)/SUMIF(Stock!$C$2:$C$41,FuelShares!$A38,Stock!AR$2:AR$41)</f>
        <v>0</v>
      </c>
      <c r="AL38" s="3">
        <f>SUMIFS(Stock!AS$2:AS$41,Stock!$C$2:$C$41,FuelShares!$A38,Stock!$C$2:$C$41,FuelShares!$C38)/SUMIF(Stock!$C$2:$C$41,FuelShares!$A38,Stock!AS$2:AS$41)</f>
        <v>0</v>
      </c>
      <c r="AM38" s="3">
        <f>SUMIFS(Stock!AT$2:AT$41,Stock!$C$2:$C$41,FuelShares!$A38,Stock!$C$2:$C$41,FuelShares!$C38)/SUMIF(Stock!$C$2:$C$41,FuelShares!$A38,Stock!AT$2:AT$41)</f>
        <v>0</v>
      </c>
      <c r="AN38" s="3">
        <f>SUMIFS(Stock!AU$2:AU$41,Stock!$C$2:$C$41,FuelShares!$A38,Stock!$C$2:$C$41,FuelShares!$C38)/SUMIF(Stock!$C$2:$C$41,FuelShares!$A38,Stock!AU$2:AU$41)</f>
        <v>0</v>
      </c>
      <c r="AO38" s="3">
        <f>SUMIFS(Stock!AV$2:AV$41,Stock!$C$2:$C$41,FuelShares!$A38,Stock!$C$2:$C$41,FuelShares!$C38)/SUMIF(Stock!$C$2:$C$41,FuelShares!$A38,Stock!AV$2:AV$41)</f>
        <v>0.00011332690335805491</v>
      </c>
    </row>
    <row r="39" spans="1:41" ht="13.2">
      <c r="A39" t="str">
        <f>LEFT(Stock!C37,7)&amp;"*"</f>
        <v>TRA_Lcv*</v>
      </c>
      <c r="B39" t="str">
        <f>"*"&amp;RIGHT(Stock!C37,3)&amp;"*"</f>
        <v>*Dis*</v>
      </c>
      <c r="C39" t="str">
        <f>"*"&amp;MID(Stock!C37,9,3)&amp;"*"</f>
        <v>*Dis*</v>
      </c>
      <c r="E39" s="3">
        <f>SUMIFS(Stock!L$2:L$41,Stock!$C$2:$C$41,FuelShares!$A39,Stock!$C$2:$C$41,FuelShares!$C39)/SUMIF(Stock!$C$2:$C$41,FuelShares!$A39,Stock!L$2:L$41)</f>
        <v>0.75161514583111821</v>
      </c>
      <c r="F39" s="3">
        <f>SUMIFS(Stock!M$2:M$41,Stock!$C$2:$C$41,FuelShares!$A39,Stock!$C$2:$C$41,FuelShares!$C39)/SUMIF(Stock!$C$2:$C$41,FuelShares!$A39,Stock!M$2:M$41)</f>
        <v>0.94091973079526481</v>
      </c>
      <c r="G39" s="3">
        <f>SUMIFS(Stock!N$2:N$41,Stock!$C$2:$C$41,FuelShares!$A39,Stock!$C$2:$C$41,FuelShares!$C39)/SUMIF(Stock!$C$2:$C$41,FuelShares!$A39,Stock!N$2:N$41)</f>
        <v>0.96625262004306811</v>
      </c>
      <c r="H39" s="3">
        <f>SUMIFS(Stock!O$2:O$41,Stock!$C$2:$C$41,FuelShares!$A39,Stock!$C$2:$C$41,FuelShares!$C39)/SUMIF(Stock!$C$2:$C$41,FuelShares!$A39,Stock!O$2:O$41)</f>
        <v>0.95098880191554913</v>
      </c>
      <c r="I39" s="3">
        <f>SUMIFS(Stock!P$2:P$41,Stock!$C$2:$C$41,FuelShares!$A39,Stock!$C$2:$C$41,FuelShares!$C39)/SUMIF(Stock!$C$2:$C$41,FuelShares!$A39,Stock!P$2:P$41)</f>
        <v>0.92005097027698479</v>
      </c>
      <c r="J39" s="3">
        <f>SUMIFS(Stock!Q$2:Q$41,Stock!$C$2:$C$41,FuelShares!$A39,Stock!$C$2:$C$41,FuelShares!$C39)/SUMIF(Stock!$C$2:$C$41,FuelShares!$A39,Stock!Q$2:Q$41)</f>
        <v>0.70223597288122752</v>
      </c>
      <c r="K39" s="3">
        <f>SUMIFS(Stock!R$2:R$41,Stock!$C$2:$C$41,FuelShares!$A39,Stock!$C$2:$C$41,FuelShares!$C39)/SUMIF(Stock!$C$2:$C$41,FuelShares!$A39,Stock!R$2:R$41)</f>
        <v>0.94816496595017974</v>
      </c>
      <c r="L39" s="3">
        <f>SUMIFS(Stock!S$2:S$41,Stock!$C$2:$C$41,FuelShares!$A39,Stock!$C$2:$C$41,FuelShares!$C39)/SUMIF(Stock!$C$2:$C$41,FuelShares!$A39,Stock!S$2:S$41)</f>
        <v>0.8223348261826513</v>
      </c>
      <c r="M39" s="3">
        <f>SUMIFS(Stock!T$2:T$41,Stock!$C$2:$C$41,FuelShares!$A39,Stock!$C$2:$C$41,FuelShares!$C39)/SUMIF(Stock!$C$2:$C$41,FuelShares!$A39,Stock!T$2:T$41)</f>
        <v>0.91619092534617852</v>
      </c>
      <c r="N39" s="3">
        <f>SUMIFS(Stock!U$2:U$41,Stock!$C$2:$C$41,FuelShares!$A39,Stock!$C$2:$C$41,FuelShares!$C39)/SUMIF(Stock!$C$2:$C$41,FuelShares!$A39,Stock!U$2:U$41)</f>
        <v>0.88137202244732404</v>
      </c>
      <c r="O39" s="3">
        <f>SUMIFS(Stock!V$2:V$41,Stock!$C$2:$C$41,FuelShares!$A39,Stock!$C$2:$C$41,FuelShares!$C39)/SUMIF(Stock!$C$2:$C$41,FuelShares!$A39,Stock!V$2:V$41)</f>
        <v>0.79488593838265731</v>
      </c>
      <c r="P39" s="3">
        <f>SUMIFS(Stock!W$2:W$41,Stock!$C$2:$C$41,FuelShares!$A39,Stock!$C$2:$C$41,FuelShares!$C39)/SUMIF(Stock!$C$2:$C$41,FuelShares!$A39,Stock!W$2:W$41)</f>
        <v>0.29866324376994396</v>
      </c>
      <c r="Q39" s="3">
        <f>SUMIFS(Stock!X$2:X$41,Stock!$C$2:$C$41,FuelShares!$A39,Stock!$C$2:$C$41,FuelShares!$C39)/SUMIF(Stock!$C$2:$C$41,FuelShares!$A39,Stock!X$2:X$41)</f>
        <v>0.87001219936453345</v>
      </c>
      <c r="R39" s="3">
        <f>SUMIFS(Stock!Y$2:Y$41,Stock!$C$2:$C$41,FuelShares!$A39,Stock!$C$2:$C$41,FuelShares!$C39)/SUMIF(Stock!$C$2:$C$41,FuelShares!$A39,Stock!Y$2:Y$41)</f>
        <v>0.93688683480254686</v>
      </c>
      <c r="S39" s="3">
        <f>SUMIFS(Stock!Z$2:Z$41,Stock!$C$2:$C$41,FuelShares!$A39,Stock!$C$2:$C$41,FuelShares!$C39)/SUMIF(Stock!$C$2:$C$41,FuelShares!$A39,Stock!Z$2:Z$41)</f>
        <v>0.9628603145920499</v>
      </c>
      <c r="T39" s="3">
        <f>SUMIFS(Stock!AA$2:AA$41,Stock!$C$2:$C$41,FuelShares!$A39,Stock!$C$2:$C$41,FuelShares!$C39)/SUMIF(Stock!$C$2:$C$41,FuelShares!$A39,Stock!AA$2:AA$41)</f>
        <v>0.93940675348869973</v>
      </c>
      <c r="U39" s="3">
        <f>SUMIFS(Stock!AB$2:AB$41,Stock!$C$2:$C$41,FuelShares!$A39,Stock!$C$2:$C$41,FuelShares!$C39)/SUMIF(Stock!$C$2:$C$41,FuelShares!$A39,Stock!AB$2:AB$41)</f>
        <v>0.91201652200515126</v>
      </c>
      <c r="V39" s="3">
        <f>SUMIFS(Stock!AC$2:AC$41,Stock!$C$2:$C$41,FuelShares!$A39,Stock!$C$2:$C$41,FuelShares!$C39)/SUMIF(Stock!$C$2:$C$41,FuelShares!$A39,Stock!AC$2:AC$41)</f>
        <v>0.99641963488979535</v>
      </c>
      <c r="W39" s="3">
        <f>SUMIFS(Stock!AD$2:AD$41,Stock!$C$2:$C$41,FuelShares!$A39,Stock!$C$2:$C$41,FuelShares!$C39)/SUMIF(Stock!$C$2:$C$41,FuelShares!$A39,Stock!AD$2:AD$41)</f>
        <v>0.62398293421158024</v>
      </c>
      <c r="X39" s="3">
        <f>SUMIFS(Stock!AE$2:AE$41,Stock!$C$2:$C$41,FuelShares!$A39,Stock!$C$2:$C$41,FuelShares!$C39)/SUMIF(Stock!$C$2:$C$41,FuelShares!$A39,Stock!AE$2:AE$41)</f>
        <v>0.9310132259601267</v>
      </c>
      <c r="Y39" s="3">
        <f>SUMIFS(Stock!AF$2:AF$41,Stock!$C$2:$C$41,FuelShares!$A39,Stock!$C$2:$C$41,FuelShares!$C39)/SUMIF(Stock!$C$2:$C$41,FuelShares!$A39,Stock!AF$2:AF$41)</f>
        <v>0.96615137022653064</v>
      </c>
      <c r="Z39" s="3">
        <f>SUMIFS(Stock!AG$2:AG$41,Stock!$C$2:$C$41,FuelShares!$A39,Stock!$C$2:$C$41,FuelShares!$C39)/SUMIF(Stock!$C$2:$C$41,FuelShares!$A39,Stock!AG$2:AG$41)</f>
        <v>0.9314596283518819</v>
      </c>
      <c r="AA39" s="3">
        <f>SUMIFS(Stock!AH$2:AH$41,Stock!$C$2:$C$41,FuelShares!$A39,Stock!$C$2:$C$41,FuelShares!$C39)/SUMIF(Stock!$C$2:$C$41,FuelShares!$A39,Stock!AH$2:AH$41)</f>
        <v>0.94650223017866886</v>
      </c>
      <c r="AB39" s="3">
        <f>SUMIFS(Stock!AI$2:AI$41,Stock!$C$2:$C$41,FuelShares!$A39,Stock!$C$2:$C$41,FuelShares!$C39)/SUMIF(Stock!$C$2:$C$41,FuelShares!$A39,Stock!AI$2:AI$41)</f>
        <v>0.87733467930477849</v>
      </c>
      <c r="AC39" s="3">
        <f>SUMIFS(Stock!AJ$2:AJ$41,Stock!$C$2:$C$41,FuelShares!$A39,Stock!$C$2:$C$41,FuelShares!$C39)/SUMIF(Stock!$C$2:$C$41,FuelShares!$A39,Stock!AJ$2:AJ$41)</f>
        <v>0.63404171691527078</v>
      </c>
      <c r="AD39" s="3">
        <f>SUMIFS(Stock!AK$2:AK$41,Stock!$C$2:$C$41,FuelShares!$A39,Stock!$C$2:$C$41,FuelShares!$C39)/SUMIF(Stock!$C$2:$C$41,FuelShares!$A39,Stock!AK$2:AK$41)</f>
        <v>0.72032603284830499</v>
      </c>
      <c r="AE39" s="3">
        <f>SUMIFS(Stock!AL$2:AL$41,Stock!$C$2:$C$41,FuelShares!$A39,Stock!$C$2:$C$41,FuelShares!$C39)/SUMIF(Stock!$C$2:$C$41,FuelShares!$A39,Stock!AL$2:AL$41)</f>
        <v>0.95186029995819732</v>
      </c>
      <c r="AF39" s="3">
        <f>SUMIFS(Stock!AM$2:AM$41,Stock!$C$2:$C$41,FuelShares!$A39,Stock!$C$2:$C$41,FuelShares!$C39)/SUMIF(Stock!$C$2:$C$41,FuelShares!$A39,Stock!AM$2:AM$41)</f>
        <v>0.94321971940992233</v>
      </c>
      <c r="AG39" s="3">
        <f>SUMIFS(Stock!AN$2:AN$41,Stock!$C$2:$C$41,FuelShares!$A39,Stock!$C$2:$C$41,FuelShares!$C39)/SUMIF(Stock!$C$2:$C$41,FuelShares!$A39,Stock!AN$2:AN$41)</f>
        <v>0.85578611924507997</v>
      </c>
      <c r="AH39" s="3">
        <f>SUMIFS(Stock!AO$2:AO$41,Stock!$C$2:$C$41,FuelShares!$A39,Stock!$C$2:$C$41,FuelShares!$C39)/SUMIF(Stock!$C$2:$C$41,FuelShares!$A39,Stock!AO$2:AO$41)</f>
        <v>0.66410034651849081</v>
      </c>
      <c r="AI39" s="3">
        <f>SUMIFS(Stock!AP$2:AP$41,Stock!$C$2:$C$41,FuelShares!$A39,Stock!$C$2:$C$41,FuelShares!$C39)/SUMIF(Stock!$C$2:$C$41,FuelShares!$A39,Stock!AP$2:AP$41)</f>
        <v>0.9841742739433792</v>
      </c>
      <c r="AJ39" s="3">
        <f>SUMIFS(Stock!AQ$2:AQ$41,Stock!$C$2:$C$41,FuelShares!$A39,Stock!$C$2:$C$41,FuelShares!$C39)/SUMIF(Stock!$C$2:$C$41,FuelShares!$A39,Stock!AQ$2:AQ$41)</f>
        <v>0.67014820536288633</v>
      </c>
      <c r="AK39" s="3">
        <f>SUMIFS(Stock!AR$2:AR$41,Stock!$C$2:$C$41,FuelShares!$A39,Stock!$C$2:$C$41,FuelShares!$C39)/SUMIF(Stock!$C$2:$C$41,FuelShares!$A39,Stock!AR$2:AR$41)</f>
        <v>0.95158770658542657</v>
      </c>
      <c r="AL39" s="3">
        <f>SUMIFS(Stock!AS$2:AS$41,Stock!$C$2:$C$41,FuelShares!$A39,Stock!$C$2:$C$41,FuelShares!$C39)/SUMIF(Stock!$C$2:$C$41,FuelShares!$A39,Stock!AS$2:AS$41)</f>
        <v>0.78673684575053193</v>
      </c>
      <c r="AM39" s="3">
        <f>SUMIFS(Stock!AT$2:AT$41,Stock!$C$2:$C$41,FuelShares!$A39,Stock!$C$2:$C$41,FuelShares!$C39)/SUMIF(Stock!$C$2:$C$41,FuelShares!$A39,Stock!AT$2:AT$41)</f>
        <v>0.90385860630852655</v>
      </c>
      <c r="AN39" s="3">
        <f>SUMIFS(Stock!AU$2:AU$41,Stock!$C$2:$C$41,FuelShares!$A39,Stock!$C$2:$C$41,FuelShares!$C39)/SUMIF(Stock!$C$2:$C$41,FuelShares!$A39,Stock!AU$2:AU$41)</f>
        <v>0.75380079593931726</v>
      </c>
      <c r="AO39" s="3">
        <f>SUMIFS(Stock!AV$2:AV$41,Stock!$C$2:$C$41,FuelShares!$A39,Stock!$C$2:$C$41,FuelShares!$C39)/SUMIF(Stock!$C$2:$C$41,FuelShares!$A39,Stock!AV$2:AV$41)</f>
        <v>0.94297310379981281</v>
      </c>
    </row>
    <row r="40" spans="1:41" ht="13.2">
      <c r="A40" t="str">
        <f>LEFT(Stock!C38,7)&amp;"*"</f>
        <v>TRA_Lcv*</v>
      </c>
      <c r="B40" t="str">
        <f>"*"&amp;RIGHT(Stock!C38,3)&amp;"*"</f>
        <v>*Gas*</v>
      </c>
      <c r="C40" t="str">
        <f>"*"&amp;MID(Stock!C38,9,3)&amp;"*"</f>
        <v>*Gas*</v>
      </c>
      <c r="E40" s="3">
        <f>SUMIFS(Stock!L$2:L$41,Stock!$C$2:$C$41,FuelShares!$A40,Stock!$C$2:$C$41,FuelShares!$C40)/SUMIF(Stock!$C$2:$C$41,FuelShares!$A40,Stock!L$2:L$41)</f>
        <v>0.24838485416888187</v>
      </c>
      <c r="F40" s="3">
        <f>SUMIFS(Stock!M$2:M$41,Stock!$C$2:$C$41,FuelShares!$A40,Stock!$C$2:$C$41,FuelShares!$C40)/SUMIF(Stock!$C$2:$C$41,FuelShares!$A40,Stock!M$2:M$41)</f>
        <v>0.059080269204735268</v>
      </c>
      <c r="G40" s="3">
        <f>SUMIFS(Stock!N$2:N$41,Stock!$C$2:$C$41,FuelShares!$A40,Stock!$C$2:$C$41,FuelShares!$C40)/SUMIF(Stock!$C$2:$C$41,FuelShares!$A40,Stock!N$2:N$41)</f>
        <v>0.033747379956931986</v>
      </c>
      <c r="H40" s="3">
        <f>SUMIFS(Stock!O$2:O$41,Stock!$C$2:$C$41,FuelShares!$A40,Stock!$C$2:$C$41,FuelShares!$C40)/SUMIF(Stock!$C$2:$C$41,FuelShares!$A40,Stock!O$2:O$41)</f>
        <v>0.049011198084450841</v>
      </c>
      <c r="I40" s="3">
        <f>SUMIFS(Stock!P$2:P$41,Stock!$C$2:$C$41,FuelShares!$A40,Stock!$C$2:$C$41,FuelShares!$C40)/SUMIF(Stock!$C$2:$C$41,FuelShares!$A40,Stock!P$2:P$41)</f>
        <v>0.079949029723015139</v>
      </c>
      <c r="J40" s="3">
        <f>SUMIFS(Stock!Q$2:Q$41,Stock!$C$2:$C$41,FuelShares!$A40,Stock!$C$2:$C$41,FuelShares!$C40)/SUMIF(Stock!$C$2:$C$41,FuelShares!$A40,Stock!Q$2:Q$41)</f>
        <v>0.29180430907672139</v>
      </c>
      <c r="K40" s="3">
        <f>SUMIFS(Stock!R$2:R$41,Stock!$C$2:$C$41,FuelShares!$A40,Stock!$C$2:$C$41,FuelShares!$C40)/SUMIF(Stock!$C$2:$C$41,FuelShares!$A40,Stock!R$2:R$41)</f>
        <v>0.051835034049820317</v>
      </c>
      <c r="L40" s="3">
        <f>SUMIFS(Stock!S$2:S$41,Stock!$C$2:$C$41,FuelShares!$A40,Stock!$C$2:$C$41,FuelShares!$C40)/SUMIF(Stock!$C$2:$C$41,FuelShares!$A40,Stock!S$2:S$41)</f>
        <v>0.1776651738173487</v>
      </c>
      <c r="M40" s="3">
        <f>SUMIFS(Stock!T$2:T$41,Stock!$C$2:$C$41,FuelShares!$A40,Stock!$C$2:$C$41,FuelShares!$C40)/SUMIF(Stock!$C$2:$C$41,FuelShares!$A40,Stock!T$2:T$41)</f>
        <v>0.072673641266574024</v>
      </c>
      <c r="N40" s="3">
        <f>SUMIFS(Stock!U$2:U$41,Stock!$C$2:$C$41,FuelShares!$A40,Stock!$C$2:$C$41,FuelShares!$C40)/SUMIF(Stock!$C$2:$C$41,FuelShares!$A40,Stock!U$2:U$41)</f>
        <v>0.11857830662273575</v>
      </c>
      <c r="O40" s="3">
        <f>SUMIFS(Stock!V$2:V$41,Stock!$C$2:$C$41,FuelShares!$A40,Stock!$C$2:$C$41,FuelShares!$C40)/SUMIF(Stock!$C$2:$C$41,FuelShares!$A40,Stock!V$2:V$41)</f>
        <v>0.20511406161734264</v>
      </c>
      <c r="P40" s="3">
        <f>SUMIFS(Stock!W$2:W$41,Stock!$C$2:$C$41,FuelShares!$A40,Stock!$C$2:$C$41,FuelShares!$C40)/SUMIF(Stock!$C$2:$C$41,FuelShares!$A40,Stock!W$2:W$41)</f>
        <v>0.70133675623005598</v>
      </c>
      <c r="Q40" s="3">
        <f>SUMIFS(Stock!X$2:X$41,Stock!$C$2:$C$41,FuelShares!$A40,Stock!$C$2:$C$41,FuelShares!$C40)/SUMIF(Stock!$C$2:$C$41,FuelShares!$A40,Stock!X$2:X$41)</f>
        <v>0.12998780063546661</v>
      </c>
      <c r="R40" s="3">
        <f>SUMIFS(Stock!Y$2:Y$41,Stock!$C$2:$C$41,FuelShares!$A40,Stock!$C$2:$C$41,FuelShares!$C40)/SUMIF(Stock!$C$2:$C$41,FuelShares!$A40,Stock!Y$2:Y$41)</f>
        <v>0.063113165197453122</v>
      </c>
      <c r="S40" s="3">
        <f>SUMIFS(Stock!Z$2:Z$41,Stock!$C$2:$C$41,FuelShares!$A40,Stock!$C$2:$C$41,FuelShares!$C40)/SUMIF(Stock!$C$2:$C$41,FuelShares!$A40,Stock!Z$2:Z$41)</f>
        <v>0.037139685407950138</v>
      </c>
      <c r="T40" s="3">
        <f>SUMIFS(Stock!AA$2:AA$41,Stock!$C$2:$C$41,FuelShares!$A40,Stock!$C$2:$C$41,FuelShares!$C40)/SUMIF(Stock!$C$2:$C$41,FuelShares!$A40,Stock!AA$2:AA$41)</f>
        <v>0.060593246511300249</v>
      </c>
      <c r="U40" s="3">
        <f>SUMIFS(Stock!AB$2:AB$41,Stock!$C$2:$C$41,FuelShares!$A40,Stock!$C$2:$C$41,FuelShares!$C40)/SUMIF(Stock!$C$2:$C$41,FuelShares!$A40,Stock!AB$2:AB$41)</f>
        <v>0.087983477994848819</v>
      </c>
      <c r="V40" s="3">
        <f>SUMIFS(Stock!AC$2:AC$41,Stock!$C$2:$C$41,FuelShares!$A40,Stock!$C$2:$C$41,FuelShares!$C40)/SUMIF(Stock!$C$2:$C$41,FuelShares!$A40,Stock!AC$2:AC$41)</f>
        <v>0.0035803651102046877</v>
      </c>
      <c r="W40" s="3">
        <f>SUMIFS(Stock!AD$2:AD$41,Stock!$C$2:$C$41,FuelShares!$A40,Stock!$C$2:$C$41,FuelShares!$C40)/SUMIF(Stock!$C$2:$C$41,FuelShares!$A40,Stock!AD$2:AD$41)</f>
        <v>0.37601706578841976</v>
      </c>
      <c r="X40" s="3">
        <f>SUMIFS(Stock!AE$2:AE$41,Stock!$C$2:$C$41,FuelShares!$A40,Stock!$C$2:$C$41,FuelShares!$C40)/SUMIF(Stock!$C$2:$C$41,FuelShares!$A40,Stock!AE$2:AE$41)</f>
        <v>0.068986774039873314</v>
      </c>
      <c r="Y40" s="3">
        <f>SUMIFS(Stock!AF$2:AF$41,Stock!$C$2:$C$41,FuelShares!$A40,Stock!$C$2:$C$41,FuelShares!$C40)/SUMIF(Stock!$C$2:$C$41,FuelShares!$A40,Stock!AF$2:AF$41)</f>
        <v>0.03384862977346928</v>
      </c>
      <c r="Z40" s="3">
        <f>SUMIFS(Stock!AG$2:AG$41,Stock!$C$2:$C$41,FuelShares!$A40,Stock!$C$2:$C$41,FuelShares!$C40)/SUMIF(Stock!$C$2:$C$41,FuelShares!$A40,Stock!AG$2:AG$41)</f>
        <v>0.068540371648118034</v>
      </c>
      <c r="AA40" s="3">
        <f>SUMIFS(Stock!AH$2:AH$41,Stock!$C$2:$C$41,FuelShares!$A40,Stock!$C$2:$C$41,FuelShares!$C40)/SUMIF(Stock!$C$2:$C$41,FuelShares!$A40,Stock!AH$2:AH$41)</f>
        <v>0.053497769821331198</v>
      </c>
      <c r="AB40" s="3">
        <f>SUMIFS(Stock!AI$2:AI$41,Stock!$C$2:$C$41,FuelShares!$A40,Stock!$C$2:$C$41,FuelShares!$C40)/SUMIF(Stock!$C$2:$C$41,FuelShares!$A40,Stock!AI$2:AI$41)</f>
        <v>0.10106007078592276</v>
      </c>
      <c r="AC40" s="3">
        <f>SUMIFS(Stock!AJ$2:AJ$41,Stock!$C$2:$C$41,FuelShares!$A40,Stock!$C$2:$C$41,FuelShares!$C40)/SUMIF(Stock!$C$2:$C$41,FuelShares!$A40,Stock!AJ$2:AJ$41)</f>
        <v>0.36595828308472922</v>
      </c>
      <c r="AD40" s="3">
        <f>SUMIFS(Stock!AK$2:AK$41,Stock!$C$2:$C$41,FuelShares!$A40,Stock!$C$2:$C$41,FuelShares!$C40)/SUMIF(Stock!$C$2:$C$41,FuelShares!$A40,Stock!AK$2:AK$41)</f>
        <v>0.26279018847712959</v>
      </c>
      <c r="AE40" s="3">
        <f>SUMIFS(Stock!AL$2:AL$41,Stock!$C$2:$C$41,FuelShares!$A40,Stock!$C$2:$C$41,FuelShares!$C40)/SUMIF(Stock!$C$2:$C$41,FuelShares!$A40,Stock!AL$2:AL$41)</f>
        <v>0.048139700041802583</v>
      </c>
      <c r="AF40" s="3">
        <f>SUMIFS(Stock!AM$2:AM$41,Stock!$C$2:$C$41,FuelShares!$A40,Stock!$C$2:$C$41,FuelShares!$C40)/SUMIF(Stock!$C$2:$C$41,FuelShares!$A40,Stock!AM$2:AM$41)</f>
        <v>0.036298799561940764</v>
      </c>
      <c r="AG40" s="3">
        <f>SUMIFS(Stock!AN$2:AN$41,Stock!$C$2:$C$41,FuelShares!$A40,Stock!$C$2:$C$41,FuelShares!$C40)/SUMIF(Stock!$C$2:$C$41,FuelShares!$A40,Stock!AN$2:AN$41)</f>
        <v>0.14421388075492006</v>
      </c>
      <c r="AH40" s="3">
        <f>SUMIFS(Stock!AO$2:AO$41,Stock!$C$2:$C$41,FuelShares!$A40,Stock!$C$2:$C$41,FuelShares!$C40)/SUMIF(Stock!$C$2:$C$41,FuelShares!$A40,Stock!AO$2:AO$41)</f>
        <v>0.26968459349268775</v>
      </c>
      <c r="AI40" s="3">
        <f>SUMIFS(Stock!AP$2:AP$41,Stock!$C$2:$C$41,FuelShares!$A40,Stock!$C$2:$C$41,FuelShares!$C40)/SUMIF(Stock!$C$2:$C$41,FuelShares!$A40,Stock!AP$2:AP$41)</f>
        <v>0.015167634773027778</v>
      </c>
      <c r="AJ40" s="3">
        <f>SUMIFS(Stock!AQ$2:AQ$41,Stock!$C$2:$C$41,FuelShares!$A40,Stock!$C$2:$C$41,FuelShares!$C40)/SUMIF(Stock!$C$2:$C$41,FuelShares!$A40,Stock!AQ$2:AQ$41)</f>
        <v>0.32985179463711378</v>
      </c>
      <c r="AK40" s="3">
        <f>SUMIFS(Stock!AR$2:AR$41,Stock!$C$2:$C$41,FuelShares!$A40,Stock!$C$2:$C$41,FuelShares!$C40)/SUMIF(Stock!$C$2:$C$41,FuelShares!$A40,Stock!AR$2:AR$41)</f>
        <v>0.048412293414573447</v>
      </c>
      <c r="AL40" s="3">
        <f>SUMIFS(Stock!AS$2:AS$41,Stock!$C$2:$C$41,FuelShares!$A40,Stock!$C$2:$C$41,FuelShares!$C40)/SUMIF(Stock!$C$2:$C$41,FuelShares!$A40,Stock!AS$2:AS$41)</f>
        <v>0.21326315424946804</v>
      </c>
      <c r="AM40" s="3">
        <f>SUMIFS(Stock!AT$2:AT$41,Stock!$C$2:$C$41,FuelShares!$A40,Stock!$C$2:$C$41,FuelShares!$C40)/SUMIF(Stock!$C$2:$C$41,FuelShares!$A40,Stock!AT$2:AT$41)</f>
        <v>0.096141393691473426</v>
      </c>
      <c r="AN40" s="3">
        <f>SUMIFS(Stock!AU$2:AU$41,Stock!$C$2:$C$41,FuelShares!$A40,Stock!$C$2:$C$41,FuelShares!$C40)/SUMIF(Stock!$C$2:$C$41,FuelShares!$A40,Stock!AU$2:AU$41)</f>
        <v>0.24619920406068282</v>
      </c>
      <c r="AO40" s="3">
        <f>SUMIFS(Stock!AV$2:AV$41,Stock!$C$2:$C$41,FuelShares!$A40,Stock!$C$2:$C$41,FuelShares!$C40)/SUMIF(Stock!$C$2:$C$41,FuelShares!$A40,Stock!AV$2:AV$41)</f>
        <v>0.053150511675253025</v>
      </c>
    </row>
    <row r="41" spans="1:41" ht="13.2">
      <c r="A41" t="str">
        <f>LEFT(Stock!C39,7)&amp;"*"</f>
        <v>TRA_Lcv*</v>
      </c>
      <c r="B41" t="str">
        <f>"*"&amp;RIGHT(Stock!C39,3)&amp;"*"</f>
        <v>*Lpg*</v>
      </c>
      <c r="C41" t="str">
        <f>"*"&amp;MID(Stock!C39,9,3)&amp;"*"</f>
        <v>*Lpg*</v>
      </c>
      <c r="E41" s="3">
        <f>SUMIFS(Stock!L$2:L$41,Stock!$C$2:$C$41,FuelShares!$A41,Stock!$C$2:$C$41,FuelShares!$C41)/SUMIF(Stock!$C$2:$C$41,FuelShares!$A41,Stock!L$2:L$41)</f>
        <v>0</v>
      </c>
      <c r="F41" s="3">
        <f>SUMIFS(Stock!M$2:M$41,Stock!$C$2:$C$41,FuelShares!$A41,Stock!$C$2:$C$41,FuelShares!$C41)/SUMIF(Stock!$C$2:$C$41,FuelShares!$A41,Stock!M$2:M$41)</f>
        <v>0</v>
      </c>
      <c r="G41" s="3">
        <f>SUMIFS(Stock!N$2:N$41,Stock!$C$2:$C$41,FuelShares!$A41,Stock!$C$2:$C$41,FuelShares!$C41)/SUMIF(Stock!$C$2:$C$41,FuelShares!$A41,Stock!N$2:N$41)</f>
        <v>0</v>
      </c>
      <c r="H41" s="3">
        <f>SUMIFS(Stock!O$2:O$41,Stock!$C$2:$C$41,FuelShares!$A41,Stock!$C$2:$C$41,FuelShares!$C41)/SUMIF(Stock!$C$2:$C$41,FuelShares!$A41,Stock!O$2:O$41)</f>
        <v>0</v>
      </c>
      <c r="I41" s="3">
        <f>SUMIFS(Stock!P$2:P$41,Stock!$C$2:$C$41,FuelShares!$A41,Stock!$C$2:$C$41,FuelShares!$C41)/SUMIF(Stock!$C$2:$C$41,FuelShares!$A41,Stock!P$2:P$41)</f>
        <v>0</v>
      </c>
      <c r="J41" s="3">
        <f>SUMIFS(Stock!Q$2:Q$41,Stock!$C$2:$C$41,FuelShares!$A41,Stock!$C$2:$C$41,FuelShares!$C41)/SUMIF(Stock!$C$2:$C$41,FuelShares!$A41,Stock!Q$2:Q$41)</f>
        <v>0</v>
      </c>
      <c r="K41" s="3">
        <f>SUMIFS(Stock!R$2:R$41,Stock!$C$2:$C$41,FuelShares!$A41,Stock!$C$2:$C$41,FuelShares!$C41)/SUMIF(Stock!$C$2:$C$41,FuelShares!$A41,Stock!R$2:R$41)</f>
        <v>0</v>
      </c>
      <c r="L41" s="3">
        <f>SUMIFS(Stock!S$2:S$41,Stock!$C$2:$C$41,FuelShares!$A41,Stock!$C$2:$C$41,FuelShares!$C41)/SUMIF(Stock!$C$2:$C$41,FuelShares!$A41,Stock!S$2:S$41)</f>
        <v>0</v>
      </c>
      <c r="M41" s="3">
        <f>SUMIFS(Stock!T$2:T$41,Stock!$C$2:$C$41,FuelShares!$A41,Stock!$C$2:$C$41,FuelShares!$C41)/SUMIF(Stock!$C$2:$C$41,FuelShares!$A41,Stock!T$2:T$41)</f>
        <v>0.0036472728322155686</v>
      </c>
      <c r="N41" s="3">
        <f>SUMIFS(Stock!U$2:U$41,Stock!$C$2:$C$41,FuelShares!$A41,Stock!$C$2:$C$41,FuelShares!$C41)/SUMIF(Stock!$C$2:$C$41,FuelShares!$A41,Stock!U$2:U$41)</f>
        <v>4.9670929940206001E-05</v>
      </c>
      <c r="O41" s="3">
        <f>SUMIFS(Stock!V$2:V$41,Stock!$C$2:$C$41,FuelShares!$A41,Stock!$C$2:$C$41,FuelShares!$C41)/SUMIF(Stock!$C$2:$C$41,FuelShares!$A41,Stock!V$2:V$41)</f>
        <v>0</v>
      </c>
      <c r="P41" s="3">
        <f>SUMIFS(Stock!W$2:W$41,Stock!$C$2:$C$41,FuelShares!$A41,Stock!$C$2:$C$41,FuelShares!$C41)/SUMIF(Stock!$C$2:$C$41,FuelShares!$A41,Stock!W$2:W$41)</f>
        <v>0</v>
      </c>
      <c r="Q41" s="3">
        <f>SUMIFS(Stock!X$2:X$41,Stock!$C$2:$C$41,FuelShares!$A41,Stock!$C$2:$C$41,FuelShares!$C41)/SUMIF(Stock!$C$2:$C$41,FuelShares!$A41,Stock!X$2:X$41)</f>
        <v>0</v>
      </c>
      <c r="R41" s="3">
        <f>SUMIFS(Stock!Y$2:Y$41,Stock!$C$2:$C$41,FuelShares!$A41,Stock!$C$2:$C$41,FuelShares!$C41)/SUMIF(Stock!$C$2:$C$41,FuelShares!$A41,Stock!Y$2:Y$41)</f>
        <v>0</v>
      </c>
      <c r="S41" s="3">
        <f>SUMIFS(Stock!Z$2:Z$41,Stock!$C$2:$C$41,FuelShares!$A41,Stock!$C$2:$C$41,FuelShares!$C41)/SUMIF(Stock!$C$2:$C$41,FuelShares!$A41,Stock!Z$2:Z$41)</f>
        <v>0</v>
      </c>
      <c r="T41" s="3">
        <f>SUMIFS(Stock!AA$2:AA$41,Stock!$C$2:$C$41,FuelShares!$A41,Stock!$C$2:$C$41,FuelShares!$C41)/SUMIF(Stock!$C$2:$C$41,FuelShares!$A41,Stock!AA$2:AA$41)</f>
        <v>0</v>
      </c>
      <c r="U41" s="3">
        <f>SUMIFS(Stock!AB$2:AB$41,Stock!$C$2:$C$41,FuelShares!$A41,Stock!$C$2:$C$41,FuelShares!$C41)/SUMIF(Stock!$C$2:$C$41,FuelShares!$A41,Stock!AB$2:AB$41)</f>
        <v>0</v>
      </c>
      <c r="V41" s="3">
        <f>SUMIFS(Stock!AC$2:AC$41,Stock!$C$2:$C$41,FuelShares!$A41,Stock!$C$2:$C$41,FuelShares!$C41)/SUMIF(Stock!$C$2:$C$41,FuelShares!$A41,Stock!AC$2:AC$41)</f>
        <v>0</v>
      </c>
      <c r="W41" s="3">
        <f>SUMIFS(Stock!AD$2:AD$41,Stock!$C$2:$C$41,FuelShares!$A41,Stock!$C$2:$C$41,FuelShares!$C41)/SUMIF(Stock!$C$2:$C$41,FuelShares!$A41,Stock!AD$2:AD$41)</f>
        <v>0</v>
      </c>
      <c r="X41" s="3">
        <f>SUMIFS(Stock!AE$2:AE$41,Stock!$C$2:$C$41,FuelShares!$A41,Stock!$C$2:$C$41,FuelShares!$C41)/SUMIF(Stock!$C$2:$C$41,FuelShares!$A41,Stock!AE$2:AE$41)</f>
        <v>0</v>
      </c>
      <c r="Y41" s="3">
        <f>SUMIFS(Stock!AF$2:AF$41,Stock!$C$2:$C$41,FuelShares!$A41,Stock!$C$2:$C$41,FuelShares!$C41)/SUMIF(Stock!$C$2:$C$41,FuelShares!$A41,Stock!AF$2:AF$41)</f>
        <v>0</v>
      </c>
      <c r="Z41" s="3">
        <f>SUMIFS(Stock!AG$2:AG$41,Stock!$C$2:$C$41,FuelShares!$A41,Stock!$C$2:$C$41,FuelShares!$C41)/SUMIF(Stock!$C$2:$C$41,FuelShares!$A41,Stock!AG$2:AG$41)</f>
        <v>0</v>
      </c>
      <c r="AA41" s="3">
        <f>SUMIFS(Stock!AH$2:AH$41,Stock!$C$2:$C$41,FuelShares!$A41,Stock!$C$2:$C$41,FuelShares!$C41)/SUMIF(Stock!$C$2:$C$41,FuelShares!$A41,Stock!AH$2:AH$41)</f>
        <v>0</v>
      </c>
      <c r="AB41" s="3">
        <f>SUMIFS(Stock!AI$2:AI$41,Stock!$C$2:$C$41,FuelShares!$A41,Stock!$C$2:$C$41,FuelShares!$C41)/SUMIF(Stock!$C$2:$C$41,FuelShares!$A41,Stock!AI$2:AI$41)</f>
        <v>0.021605249909298675</v>
      </c>
      <c r="AC41" s="3">
        <f>SUMIFS(Stock!AJ$2:AJ$41,Stock!$C$2:$C$41,FuelShares!$A41,Stock!$C$2:$C$41,FuelShares!$C41)/SUMIF(Stock!$C$2:$C$41,FuelShares!$A41,Stock!AJ$2:AJ$41)</f>
        <v>0</v>
      </c>
      <c r="AD41" s="3">
        <f>SUMIFS(Stock!AK$2:AK$41,Stock!$C$2:$C$41,FuelShares!$A41,Stock!$C$2:$C$41,FuelShares!$C41)/SUMIF(Stock!$C$2:$C$41,FuelShares!$A41,Stock!AK$2:AK$41)</f>
        <v>0.01688377867456527</v>
      </c>
      <c r="AE41" s="3">
        <f>SUMIFS(Stock!AL$2:AL$41,Stock!$C$2:$C$41,FuelShares!$A41,Stock!$C$2:$C$41,FuelShares!$C41)/SUMIF(Stock!$C$2:$C$41,FuelShares!$A41,Stock!AL$2:AL$41)</f>
        <v>0</v>
      </c>
      <c r="AF41" s="3">
        <f>SUMIFS(Stock!AM$2:AM$41,Stock!$C$2:$C$41,FuelShares!$A41,Stock!$C$2:$C$41,FuelShares!$C41)/SUMIF(Stock!$C$2:$C$41,FuelShares!$A41,Stock!AM$2:AM$41)</f>
        <v>0.019112280900058055</v>
      </c>
      <c r="AG41" s="3">
        <f>SUMIFS(Stock!AN$2:AN$41,Stock!$C$2:$C$41,FuelShares!$A41,Stock!$C$2:$C$41,FuelShares!$C41)/SUMIF(Stock!$C$2:$C$41,FuelShares!$A41,Stock!AN$2:AN$41)</f>
        <v>0</v>
      </c>
      <c r="AH41" s="3">
        <f>SUMIFS(Stock!AO$2:AO$41,Stock!$C$2:$C$41,FuelShares!$A41,Stock!$C$2:$C$41,FuelShares!$C41)/SUMIF(Stock!$C$2:$C$41,FuelShares!$A41,Stock!AO$2:AO$41)</f>
        <v>0.066215059988821323</v>
      </c>
      <c r="AI41" s="3">
        <f>SUMIFS(Stock!AP$2:AP$41,Stock!$C$2:$C$41,FuelShares!$A41,Stock!$C$2:$C$41,FuelShares!$C41)/SUMIF(Stock!$C$2:$C$41,FuelShares!$A41,Stock!AP$2:AP$41)</f>
        <v>0.00065809128359294684</v>
      </c>
      <c r="AJ41" s="3">
        <f>SUMIFS(Stock!AQ$2:AQ$41,Stock!$C$2:$C$41,FuelShares!$A41,Stock!$C$2:$C$41,FuelShares!$C41)/SUMIF(Stock!$C$2:$C$41,FuelShares!$A41,Stock!AQ$2:AQ$41)</f>
        <v>0</v>
      </c>
      <c r="AK41" s="3">
        <f>SUMIFS(Stock!AR$2:AR$41,Stock!$C$2:$C$41,FuelShares!$A41,Stock!$C$2:$C$41,FuelShares!$C41)/SUMIF(Stock!$C$2:$C$41,FuelShares!$A41,Stock!AR$2:AR$41)</f>
        <v>0</v>
      </c>
      <c r="AL41" s="3">
        <f>SUMIFS(Stock!AS$2:AS$41,Stock!$C$2:$C$41,FuelShares!$A41,Stock!$C$2:$C$41,FuelShares!$C41)/SUMIF(Stock!$C$2:$C$41,FuelShares!$A41,Stock!AS$2:AS$41)</f>
        <v>0</v>
      </c>
      <c r="AM41" s="3">
        <f>SUMIFS(Stock!AT$2:AT$41,Stock!$C$2:$C$41,FuelShares!$A41,Stock!$C$2:$C$41,FuelShares!$C41)/SUMIF(Stock!$C$2:$C$41,FuelShares!$A41,Stock!AT$2:AT$41)</f>
        <v>0</v>
      </c>
      <c r="AN41" s="3">
        <f>SUMIFS(Stock!AU$2:AU$41,Stock!$C$2:$C$41,FuelShares!$A41,Stock!$C$2:$C$41,FuelShares!$C41)/SUMIF(Stock!$C$2:$C$41,FuelShares!$A41,Stock!AU$2:AU$41)</f>
        <v>0</v>
      </c>
      <c r="AO41" s="3">
        <f>SUMIFS(Stock!AV$2:AV$41,Stock!$C$2:$C$41,FuelShares!$A41,Stock!$C$2:$C$41,FuelShares!$C41)/SUMIF(Stock!$C$2:$C$41,FuelShares!$A41,Stock!AV$2:AV$41)</f>
        <v>0.0037630576215761454</v>
      </c>
    </row>
    <row r="45" spans="5:41" ht="13.2">
      <c r="E45" t="str">
        <f>Stock!L$1</f>
        <v>AL</v>
      </c>
      <c r="F45" t="str">
        <f>Stock!M$1</f>
        <v>AT</v>
      </c>
      <c r="G45" t="str">
        <f>Stock!N$1</f>
        <v>BA</v>
      </c>
      <c r="H45" t="str">
        <f>Stock!O$1</f>
        <v>BE</v>
      </c>
      <c r="I45" t="str">
        <f>Stock!P$1</f>
        <v>BG</v>
      </c>
      <c r="J45" t="str">
        <f>Stock!Q$1</f>
        <v>CH</v>
      </c>
      <c r="K45" t="str">
        <f>Stock!R$1</f>
        <v>CY</v>
      </c>
      <c r="L45" t="str">
        <f>Stock!S$1</f>
        <v>CZ</v>
      </c>
      <c r="M45" t="str">
        <f>Stock!T$1</f>
        <v>DE</v>
      </c>
      <c r="N45" t="str">
        <f>Stock!U$1</f>
        <v>DK</v>
      </c>
      <c r="O45" t="str">
        <f>Stock!V$1</f>
        <v>EE</v>
      </c>
      <c r="P45" t="str">
        <f>Stock!W$1</f>
        <v>EL</v>
      </c>
      <c r="Q45" t="str">
        <f>Stock!X$1</f>
        <v>ES</v>
      </c>
      <c r="R45" t="str">
        <f>Stock!Y$1</f>
        <v>FI</v>
      </c>
      <c r="S45" t="str">
        <f>Stock!Z$1</f>
        <v>FR</v>
      </c>
      <c r="T45" t="str">
        <f>Stock!AA$1</f>
        <v>HR</v>
      </c>
      <c r="U45" t="str">
        <f>Stock!AB$1</f>
        <v>HU</v>
      </c>
      <c r="V45" t="str">
        <f>Stock!AC$1</f>
        <v>IE</v>
      </c>
      <c r="W45" t="str">
        <f>Stock!AD$1</f>
        <v>IS</v>
      </c>
      <c r="X45" t="str">
        <f>Stock!AE$1</f>
        <v>IT</v>
      </c>
      <c r="Y45" t="str">
        <f>Stock!AF$1</f>
        <v>KS</v>
      </c>
      <c r="Z45" t="str">
        <f>Stock!AG$1</f>
        <v>LT</v>
      </c>
      <c r="AA45" t="str">
        <f>Stock!AH$1</f>
        <v>LU</v>
      </c>
      <c r="AB45" t="str">
        <f>Stock!AI$1</f>
        <v>LV</v>
      </c>
      <c r="AC45" t="str">
        <f>Stock!AJ$1</f>
        <v>ME</v>
      </c>
      <c r="AD45" t="str">
        <f>Stock!AK$1</f>
        <v>MK</v>
      </c>
      <c r="AE45" t="str">
        <f>Stock!AL$1</f>
        <v>MT</v>
      </c>
      <c r="AF45" t="str">
        <f>Stock!AM$1</f>
        <v>NL</v>
      </c>
      <c r="AG45" t="str">
        <f>Stock!AN$1</f>
        <v>NO</v>
      </c>
      <c r="AH45" t="str">
        <f>Stock!AO$1</f>
        <v>PL</v>
      </c>
      <c r="AI45" t="str">
        <f>Stock!AP$1</f>
        <v>PT</v>
      </c>
      <c r="AJ45" t="str">
        <f>Stock!AQ$1</f>
        <v>RO</v>
      </c>
      <c r="AK45" t="str">
        <f>Stock!AR$1</f>
        <v>RS</v>
      </c>
      <c r="AL45" t="str">
        <f>Stock!AS$1</f>
        <v>SE</v>
      </c>
      <c r="AM45" t="str">
        <f>Stock!AT$1</f>
        <v>SI</v>
      </c>
      <c r="AN45" t="str">
        <f>Stock!AU$1</f>
        <v>SK</v>
      </c>
      <c r="AO45" t="str">
        <f>Stock!AV$1</f>
        <v>UK</v>
      </c>
    </row>
    <row r="46" spans="1:41" ht="13.2">
      <c r="A46" t="s">
        <v>93</v>
      </c>
      <c r="C46" t="s">
        <v>94</v>
      </c>
      <c r="E46" s="3">
        <f>SUMIFS(Stock!L$2:L$41,Stock!$C$2:$C$41,FuelShares!$A46,Stock!$C$2:$C$41,FuelShares!$C46)/SUMIF(Stock!$C$2:$C$41,FuelShares!$A46,Stock!L$2:L$41)</f>
        <v>0</v>
      </c>
      <c r="F46" s="3">
        <f>SUMIFS(Stock!M$2:M$41,Stock!$C$2:$C$41,FuelShares!$A46,Stock!$C$2:$C$41,FuelShares!$C46)/SUMIF(Stock!$C$2:$C$41,FuelShares!$A46,Stock!M$2:M$41)</f>
        <v>0</v>
      </c>
      <c r="G46" s="3">
        <f>SUMIFS(Stock!N$2:N$41,Stock!$C$2:$C$41,FuelShares!$A46,Stock!$C$2:$C$41,FuelShares!$C46)/SUMIF(Stock!$C$2:$C$41,FuelShares!$A46,Stock!N$2:N$41)</f>
        <v>0</v>
      </c>
      <c r="H46" s="3">
        <f>SUMIFS(Stock!O$2:O$41,Stock!$C$2:$C$41,FuelShares!$A46,Stock!$C$2:$C$41,FuelShares!$C46)/SUMIF(Stock!$C$2:$C$41,FuelShares!$A46,Stock!O$2:O$41)</f>
        <v>0</v>
      </c>
      <c r="I46" s="3">
        <f>SUMIFS(Stock!P$2:P$41,Stock!$C$2:$C$41,FuelShares!$A46,Stock!$C$2:$C$41,FuelShares!$C46)/SUMIF(Stock!$C$2:$C$41,FuelShares!$A46,Stock!P$2:P$41)</f>
        <v>0</v>
      </c>
      <c r="J46" s="3">
        <f>SUMIFS(Stock!Q$2:Q$41,Stock!$C$2:$C$41,FuelShares!$A46,Stock!$C$2:$C$41,FuelShares!$C46)/SUMIF(Stock!$C$2:$C$41,FuelShares!$A46,Stock!Q$2:Q$41)</f>
        <v>0.024423337856173677</v>
      </c>
      <c r="K46" s="3">
        <f>SUMIFS(Stock!R$2:R$41,Stock!$C$2:$C$41,FuelShares!$A46,Stock!$C$2:$C$41,FuelShares!$C46)/SUMIF(Stock!$C$2:$C$41,FuelShares!$A46,Stock!R$2:R$41)</f>
        <v>0</v>
      </c>
      <c r="L46" s="3">
        <f>SUMIFS(Stock!S$2:S$41,Stock!$C$2:$C$41,FuelShares!$A46,Stock!$C$2:$C$41,FuelShares!$C46)/SUMIF(Stock!$C$2:$C$41,FuelShares!$A46,Stock!S$2:S$41)</f>
        <v>0</v>
      </c>
      <c r="M46" s="3">
        <f>SUMIFS(Stock!T$2:T$41,Stock!$C$2:$C$41,FuelShares!$A46,Stock!$C$2:$C$41,FuelShares!$C46)/SUMIF(Stock!$C$2:$C$41,FuelShares!$A46,Stock!T$2:T$41)</f>
        <v>0.020203354020863595</v>
      </c>
      <c r="N46" s="3">
        <f>SUMIFS(Stock!U$2:U$41,Stock!$C$2:$C$41,FuelShares!$A46,Stock!$C$2:$C$41,FuelShares!$C46)/SUMIF(Stock!$C$2:$C$41,FuelShares!$A46,Stock!U$2:U$41)</f>
        <v>0</v>
      </c>
      <c r="O46" s="3">
        <f>SUMIFS(Stock!V$2:V$41,Stock!$C$2:$C$41,FuelShares!$A46,Stock!$C$2:$C$41,FuelShares!$C46)/SUMIF(Stock!$C$2:$C$41,FuelShares!$A46,Stock!V$2:V$41)</f>
        <v>0</v>
      </c>
      <c r="P46" s="3">
        <f>SUMIFS(Stock!W$2:W$41,Stock!$C$2:$C$41,FuelShares!$A46,Stock!$C$2:$C$41,FuelShares!$C46)/SUMIF(Stock!$C$2:$C$41,FuelShares!$A46,Stock!W$2:W$41)</f>
        <v>0</v>
      </c>
      <c r="Q46" s="3">
        <f>SUMIFS(Stock!X$2:X$41,Stock!$C$2:$C$41,FuelShares!$A46,Stock!$C$2:$C$41,FuelShares!$C46)/SUMIF(Stock!$C$2:$C$41,FuelShares!$A46,Stock!X$2:X$41)</f>
        <v>0</v>
      </c>
      <c r="R46" s="3">
        <f>SUMIFS(Stock!Y$2:Y$41,Stock!$C$2:$C$41,FuelShares!$A46,Stock!$C$2:$C$41,FuelShares!$C46)/SUMIF(Stock!$C$2:$C$41,FuelShares!$A46,Stock!Y$2:Y$41)</f>
        <v>0</v>
      </c>
      <c r="S46" s="3">
        <f>SUMIFS(Stock!Z$2:Z$41,Stock!$C$2:$C$41,FuelShares!$A46,Stock!$C$2:$C$41,FuelShares!$C46)/SUMIF(Stock!$C$2:$C$41,FuelShares!$A46,Stock!Z$2:Z$41)</f>
        <v>0</v>
      </c>
      <c r="T46" s="3">
        <f>SUMIFS(Stock!AA$2:AA$41,Stock!$C$2:$C$41,FuelShares!$A46,Stock!$C$2:$C$41,FuelShares!$C46)/SUMIF(Stock!$C$2:$C$41,FuelShares!$A46,Stock!AA$2:AA$41)</f>
        <v>0.012219959266802444</v>
      </c>
      <c r="U46" s="3">
        <f>SUMIFS(Stock!AB$2:AB$41,Stock!$C$2:$C$41,FuelShares!$A46,Stock!$C$2:$C$41,FuelShares!$C46)/SUMIF(Stock!$C$2:$C$41,FuelShares!$A46,Stock!AB$2:AB$41)</f>
        <v>0</v>
      </c>
      <c r="V46" s="3">
        <f>SUMIFS(Stock!AC$2:AC$41,Stock!$C$2:$C$41,FuelShares!$A46,Stock!$C$2:$C$41,FuelShares!$C46)/SUMIF(Stock!$C$2:$C$41,FuelShares!$A46,Stock!AC$2:AC$41)</f>
        <v>0</v>
      </c>
      <c r="W46" s="3">
        <f>SUMIFS(Stock!AD$2:AD$41,Stock!$C$2:$C$41,FuelShares!$A46,Stock!$C$2:$C$41,FuelShares!$C46)/SUMIF(Stock!$C$2:$C$41,FuelShares!$A46,Stock!AD$2:AD$41)</f>
        <v>0</v>
      </c>
      <c r="X46" s="3">
        <f>SUMIFS(Stock!AE$2:AE$41,Stock!$C$2:$C$41,FuelShares!$A46,Stock!$C$2:$C$41,FuelShares!$C46)/SUMIF(Stock!$C$2:$C$41,FuelShares!$A46,Stock!AE$2:AE$41)</f>
        <v>0.036507610037021805</v>
      </c>
      <c r="Y46" s="3">
        <f>SUMIFS(Stock!AF$2:AF$41,Stock!$C$2:$C$41,FuelShares!$A46,Stock!$C$2:$C$41,FuelShares!$C46)/SUMIF(Stock!$C$2:$C$41,FuelShares!$A46,Stock!AF$2:AF$41)</f>
        <v>0</v>
      </c>
      <c r="Z46" s="3">
        <f>SUMIFS(Stock!AG$2:AG$41,Stock!$C$2:$C$41,FuelShares!$A46,Stock!$C$2:$C$41,FuelShares!$C46)/SUMIF(Stock!$C$2:$C$41,FuelShares!$A46,Stock!AG$2:AG$41)</f>
        <v>0</v>
      </c>
      <c r="AA46" s="3">
        <f>SUMIFS(Stock!AH$2:AH$41,Stock!$C$2:$C$41,FuelShares!$A46,Stock!$C$2:$C$41,FuelShares!$C46)/SUMIF(Stock!$C$2:$C$41,FuelShares!$A46,Stock!AH$2:AH$41)</f>
        <v>0</v>
      </c>
      <c r="AB46" s="3">
        <f>SUMIFS(Stock!AI$2:AI$41,Stock!$C$2:$C$41,FuelShares!$A46,Stock!$C$2:$C$41,FuelShares!$C46)/SUMIF(Stock!$C$2:$C$41,FuelShares!$A46,Stock!AI$2:AI$41)</f>
        <v>0</v>
      </c>
      <c r="AC46" s="3">
        <f>SUMIFS(Stock!AJ$2:AJ$41,Stock!$C$2:$C$41,FuelShares!$A46,Stock!$C$2:$C$41,FuelShares!$C46)/SUMIF(Stock!$C$2:$C$41,FuelShares!$A46,Stock!AJ$2:AJ$41)</f>
        <v>0</v>
      </c>
      <c r="AD46" s="3">
        <f>SUMIFS(Stock!AK$2:AK$41,Stock!$C$2:$C$41,FuelShares!$A46,Stock!$C$2:$C$41,FuelShares!$C46)/SUMIF(Stock!$C$2:$C$41,FuelShares!$A46,Stock!AK$2:AK$41)</f>
        <v>0</v>
      </c>
      <c r="AE46" s="3">
        <f>SUMIFS(Stock!AL$2:AL$41,Stock!$C$2:$C$41,FuelShares!$A46,Stock!$C$2:$C$41,FuelShares!$C46)/SUMIF(Stock!$C$2:$C$41,FuelShares!$A46,Stock!AL$2:AL$41)</f>
        <v>0</v>
      </c>
      <c r="AF46" s="3">
        <f>SUMIFS(Stock!AM$2:AM$41,Stock!$C$2:$C$41,FuelShares!$A46,Stock!$C$2:$C$41,FuelShares!$C46)/SUMIF(Stock!$C$2:$C$41,FuelShares!$A46,Stock!AM$2:AM$41)</f>
        <v>0.0427625695542432</v>
      </c>
      <c r="AG46" s="3">
        <f>SUMIFS(Stock!AN$2:AN$41,Stock!$C$2:$C$41,FuelShares!$A46,Stock!$C$2:$C$41,FuelShares!$C46)/SUMIF(Stock!$C$2:$C$41,FuelShares!$A46,Stock!AN$2:AN$41)</f>
        <v>0</v>
      </c>
      <c r="AH46" s="3">
        <f>SUMIFS(Stock!AO$2:AO$41,Stock!$C$2:$C$41,FuelShares!$A46,Stock!$C$2:$C$41,FuelShares!$C46)/SUMIF(Stock!$C$2:$C$41,FuelShares!$A46,Stock!AO$2:AO$41)</f>
        <v>0</v>
      </c>
      <c r="AI46" s="3">
        <f>SUMIFS(Stock!AP$2:AP$41,Stock!$C$2:$C$41,FuelShares!$A46,Stock!$C$2:$C$41,FuelShares!$C46)/SUMIF(Stock!$C$2:$C$41,FuelShares!$A46,Stock!AP$2:AP$41)</f>
        <v>0</v>
      </c>
      <c r="AJ46" s="3">
        <f>SUMIFS(Stock!AQ$2:AQ$41,Stock!$C$2:$C$41,FuelShares!$A46,Stock!$C$2:$C$41,FuelShares!$C46)/SUMIF(Stock!$C$2:$C$41,FuelShares!$A46,Stock!AQ$2:AQ$41)</f>
        <v>0</v>
      </c>
      <c r="AK46" s="3">
        <f>SUMIFS(Stock!AR$2:AR$41,Stock!$C$2:$C$41,FuelShares!$A46,Stock!$C$2:$C$41,FuelShares!$C46)/SUMIF(Stock!$C$2:$C$41,FuelShares!$A46,Stock!AR$2:AR$41)</f>
        <v>0.0084905910059093932</v>
      </c>
      <c r="AL46" s="3">
        <f>SUMIFS(Stock!AS$2:AS$41,Stock!$C$2:$C$41,FuelShares!$A46,Stock!$C$2:$C$41,FuelShares!$C46)/SUMIF(Stock!$C$2:$C$41,FuelShares!$A46,Stock!AS$2:AS$41)</f>
        <v>0.10575539568345324</v>
      </c>
      <c r="AM46" s="3">
        <f>SUMIFS(Stock!AT$2:AT$41,Stock!$C$2:$C$41,FuelShares!$A46,Stock!$C$2:$C$41,FuelShares!$C46)/SUMIF(Stock!$C$2:$C$41,FuelShares!$A46,Stock!AT$2:AT$41)</f>
        <v>0</v>
      </c>
      <c r="AN46" s="3">
        <f>SUMIFS(Stock!AU$2:AU$41,Stock!$C$2:$C$41,FuelShares!$A46,Stock!$C$2:$C$41,FuelShares!$C46)/SUMIF(Stock!$C$2:$C$41,FuelShares!$A46,Stock!AU$2:AU$41)</f>
        <v>0</v>
      </c>
      <c r="AO46" s="3">
        <f>SUMIFS(Stock!AV$2:AV$41,Stock!$C$2:$C$41,FuelShares!$A46,Stock!$C$2:$C$41,FuelShares!$C46)/SUMIF(Stock!$C$2:$C$41,FuelShares!$A46,Stock!AV$2:AV$41)</f>
        <v>0</v>
      </c>
    </row>
    <row r="47" spans="1:41" ht="13.2">
      <c r="A47" t="s">
        <v>93</v>
      </c>
      <c r="C47" t="s">
        <v>100</v>
      </c>
      <c r="E47" s="3">
        <f>SUMIFS(Stock!L$2:L$41,Stock!$C$2:$C$41,FuelShares!$A47,Stock!$C$2:$C$41,FuelShares!$C47)/SUMIF(Stock!$C$2:$C$41,FuelShares!$A47,Stock!L$2:L$41)</f>
        <v>1</v>
      </c>
      <c r="F47" s="3">
        <f>SUMIFS(Stock!M$2:M$41,Stock!$C$2:$C$41,FuelShares!$A47,Stock!$C$2:$C$41,FuelShares!$C47)/SUMIF(Stock!$C$2:$C$41,FuelShares!$A47,Stock!M$2:M$41)</f>
        <v>1</v>
      </c>
      <c r="G47" s="3">
        <f>SUMIFS(Stock!N$2:N$41,Stock!$C$2:$C$41,FuelShares!$A47,Stock!$C$2:$C$41,FuelShares!$C47)/SUMIF(Stock!$C$2:$C$41,FuelShares!$A47,Stock!N$2:N$41)</f>
        <v>1</v>
      </c>
      <c r="H47" s="3">
        <f>SUMIFS(Stock!O$2:O$41,Stock!$C$2:$C$41,FuelShares!$A47,Stock!$C$2:$C$41,FuelShares!$C47)/SUMIF(Stock!$C$2:$C$41,FuelShares!$A47,Stock!O$2:O$41)</f>
        <v>1</v>
      </c>
      <c r="I47" s="3">
        <f>SUMIFS(Stock!P$2:P$41,Stock!$C$2:$C$41,FuelShares!$A47,Stock!$C$2:$C$41,FuelShares!$C47)/SUMIF(Stock!$C$2:$C$41,FuelShares!$A47,Stock!P$2:P$41)</f>
        <v>1</v>
      </c>
      <c r="J47" s="3">
        <f>SUMIFS(Stock!Q$2:Q$41,Stock!$C$2:$C$41,FuelShares!$A47,Stock!$C$2:$C$41,FuelShares!$C47)/SUMIF(Stock!$C$2:$C$41,FuelShares!$A47,Stock!Q$2:Q$41)</f>
        <v>0.97557666214382621</v>
      </c>
      <c r="K47" s="3">
        <f>SUMIFS(Stock!R$2:R$41,Stock!$C$2:$C$41,FuelShares!$A47,Stock!$C$2:$C$41,FuelShares!$C47)/SUMIF(Stock!$C$2:$C$41,FuelShares!$A47,Stock!R$2:R$41)</f>
        <v>1</v>
      </c>
      <c r="L47" s="3">
        <f>SUMIFS(Stock!S$2:S$41,Stock!$C$2:$C$41,FuelShares!$A47,Stock!$C$2:$C$41,FuelShares!$C47)/SUMIF(Stock!$C$2:$C$41,FuelShares!$A47,Stock!S$2:S$41)</f>
        <v>0.89669211195928766</v>
      </c>
      <c r="M47" s="3">
        <f>SUMIFS(Stock!T$2:T$41,Stock!$C$2:$C$41,FuelShares!$A47,Stock!$C$2:$C$41,FuelShares!$C47)/SUMIF(Stock!$C$2:$C$41,FuelShares!$A47,Stock!T$2:T$41)</f>
        <v>0.9797966459791364</v>
      </c>
      <c r="N47" s="3">
        <f>SUMIFS(Stock!U$2:U$41,Stock!$C$2:$C$41,FuelShares!$A47,Stock!$C$2:$C$41,FuelShares!$C47)/SUMIF(Stock!$C$2:$C$41,FuelShares!$A47,Stock!U$2:U$41)</f>
        <v>0.92729766803840874</v>
      </c>
      <c r="O47" s="3">
        <f>SUMIFS(Stock!V$2:V$41,Stock!$C$2:$C$41,FuelShares!$A47,Stock!$C$2:$C$41,FuelShares!$C47)/SUMIF(Stock!$C$2:$C$41,FuelShares!$A47,Stock!V$2:V$41)</f>
        <v>1</v>
      </c>
      <c r="P47" s="3">
        <f>SUMIFS(Stock!W$2:W$41,Stock!$C$2:$C$41,FuelShares!$A47,Stock!$C$2:$C$41,FuelShares!$C47)/SUMIF(Stock!$C$2:$C$41,FuelShares!$A47,Stock!W$2:W$41)</f>
        <v>1</v>
      </c>
      <c r="Q47" s="3">
        <f>SUMIFS(Stock!X$2:X$41,Stock!$C$2:$C$41,FuelShares!$A47,Stock!$C$2:$C$41,FuelShares!$C47)/SUMIF(Stock!$C$2:$C$41,FuelShares!$A47,Stock!X$2:X$41)</f>
        <v>1</v>
      </c>
      <c r="R47" s="3">
        <f>SUMIFS(Stock!Y$2:Y$41,Stock!$C$2:$C$41,FuelShares!$A47,Stock!$C$2:$C$41,FuelShares!$C47)/SUMIF(Stock!$C$2:$C$41,FuelShares!$A47,Stock!Y$2:Y$41)</f>
        <v>1</v>
      </c>
      <c r="S47" s="3">
        <f>SUMIFS(Stock!Z$2:Z$41,Stock!$C$2:$C$41,FuelShares!$A47,Stock!$C$2:$C$41,FuelShares!$C47)/SUMIF(Stock!$C$2:$C$41,FuelShares!$A47,Stock!Z$2:Z$41)</f>
        <v>1</v>
      </c>
      <c r="T47" s="3">
        <f>SUMIFS(Stock!AA$2:AA$41,Stock!$C$2:$C$41,FuelShares!$A47,Stock!$C$2:$C$41,FuelShares!$C47)/SUMIF(Stock!$C$2:$C$41,FuelShares!$A47,Stock!AA$2:AA$41)</f>
        <v>0.98778004073319747</v>
      </c>
      <c r="U47" s="3">
        <f>SUMIFS(Stock!AB$2:AB$41,Stock!$C$2:$C$41,FuelShares!$A47,Stock!$C$2:$C$41,FuelShares!$C47)/SUMIF(Stock!$C$2:$C$41,FuelShares!$A47,Stock!AB$2:AB$41)</f>
        <v>1</v>
      </c>
      <c r="V47" s="3">
        <f>SUMIFS(Stock!AC$2:AC$41,Stock!$C$2:$C$41,FuelShares!$A47,Stock!$C$2:$C$41,FuelShares!$C47)/SUMIF(Stock!$C$2:$C$41,FuelShares!$A47,Stock!AC$2:AC$41)</f>
        <v>1</v>
      </c>
      <c r="W47" s="3">
        <f>SUMIFS(Stock!AD$2:AD$41,Stock!$C$2:$C$41,FuelShares!$A47,Stock!$C$2:$C$41,FuelShares!$C47)/SUMIF(Stock!$C$2:$C$41,FuelShares!$A47,Stock!AD$2:AD$41)</f>
        <v>0.93684210526315792</v>
      </c>
      <c r="X47" s="3">
        <f>SUMIFS(Stock!AE$2:AE$41,Stock!$C$2:$C$41,FuelShares!$A47,Stock!$C$2:$C$41,FuelShares!$C47)/SUMIF(Stock!$C$2:$C$41,FuelShares!$A47,Stock!AE$2:AE$41)</f>
        <v>0.96349238996297826</v>
      </c>
      <c r="Y47" s="3">
        <f>SUMIFS(Stock!AF$2:AF$41,Stock!$C$2:$C$41,FuelShares!$A47,Stock!$C$2:$C$41,FuelShares!$C47)/SUMIF(Stock!$C$2:$C$41,FuelShares!$A47,Stock!AF$2:AF$41)</f>
        <v>1</v>
      </c>
      <c r="Z47" s="3">
        <f>SUMIFS(Stock!AG$2:AG$41,Stock!$C$2:$C$41,FuelShares!$A47,Stock!$C$2:$C$41,FuelShares!$C47)/SUMIF(Stock!$C$2:$C$41,FuelShares!$A47,Stock!AG$2:AG$41)</f>
        <v>1</v>
      </c>
      <c r="AA47" s="3">
        <f>SUMIFS(Stock!AH$2:AH$41,Stock!$C$2:$C$41,FuelShares!$A47,Stock!$C$2:$C$41,FuelShares!$C47)/SUMIF(Stock!$C$2:$C$41,FuelShares!$A47,Stock!AH$2:AH$41)</f>
        <v>1</v>
      </c>
      <c r="AB47" s="3">
        <f>SUMIFS(Stock!AI$2:AI$41,Stock!$C$2:$C$41,FuelShares!$A47,Stock!$C$2:$C$41,FuelShares!$C47)/SUMIF(Stock!$C$2:$C$41,FuelShares!$A47,Stock!AI$2:AI$41)</f>
        <v>0.99639189566890529</v>
      </c>
      <c r="AC47" s="3">
        <f>SUMIFS(Stock!AJ$2:AJ$41,Stock!$C$2:$C$41,FuelShares!$A47,Stock!$C$2:$C$41,FuelShares!$C47)/SUMIF(Stock!$C$2:$C$41,FuelShares!$A47,Stock!AJ$2:AJ$41)</f>
        <v>1</v>
      </c>
      <c r="AD47" s="3">
        <f>SUMIFS(Stock!AK$2:AK$41,Stock!$C$2:$C$41,FuelShares!$A47,Stock!$C$2:$C$41,FuelShares!$C47)/SUMIF(Stock!$C$2:$C$41,FuelShares!$A47,Stock!AK$2:AK$41)</f>
        <v>0.83703703703703702</v>
      </c>
      <c r="AE47" s="3">
        <f>SUMIFS(Stock!AL$2:AL$41,Stock!$C$2:$C$41,FuelShares!$A47,Stock!$C$2:$C$41,FuelShares!$C47)/SUMIF(Stock!$C$2:$C$41,FuelShares!$A47,Stock!AL$2:AL$41)</f>
        <v>1</v>
      </c>
      <c r="AF47" s="3">
        <f>SUMIFS(Stock!AM$2:AM$41,Stock!$C$2:$C$41,FuelShares!$A47,Stock!$C$2:$C$41,FuelShares!$C47)/SUMIF(Stock!$C$2:$C$41,FuelShares!$A47,Stock!AM$2:AM$41)</f>
        <v>0.94739667181500598</v>
      </c>
      <c r="AG47" s="3">
        <f>SUMIFS(Stock!AN$2:AN$41,Stock!$C$2:$C$41,FuelShares!$A47,Stock!$C$2:$C$41,FuelShares!$C47)/SUMIF(Stock!$C$2:$C$41,FuelShares!$A47,Stock!AN$2:AN$41)</f>
        <v>1</v>
      </c>
      <c r="AH47" s="3">
        <f>SUMIFS(Stock!AO$2:AO$41,Stock!$C$2:$C$41,FuelShares!$A47,Stock!$C$2:$C$41,FuelShares!$C47)/SUMIF(Stock!$C$2:$C$41,FuelShares!$A47,Stock!AO$2:AO$41)</f>
        <v>0.94692910140148401</v>
      </c>
      <c r="AI47" s="3">
        <f>SUMIFS(Stock!AP$2:AP$41,Stock!$C$2:$C$41,FuelShares!$A47,Stock!$C$2:$C$41,FuelShares!$C47)/SUMIF(Stock!$C$2:$C$41,FuelShares!$A47,Stock!AP$2:AP$41)</f>
        <v>0.99941668287052587</v>
      </c>
      <c r="AJ47" s="3">
        <f>SUMIFS(Stock!AQ$2:AQ$41,Stock!$C$2:$C$41,FuelShares!$A47,Stock!$C$2:$C$41,FuelShares!$C47)/SUMIF(Stock!$C$2:$C$41,FuelShares!$A47,Stock!AQ$2:AQ$41)</f>
        <v>1</v>
      </c>
      <c r="AK47" s="3">
        <f>SUMIFS(Stock!AR$2:AR$41,Stock!$C$2:$C$41,FuelShares!$A47,Stock!$C$2:$C$41,FuelShares!$C47)/SUMIF(Stock!$C$2:$C$41,FuelShares!$A47,Stock!AR$2:AR$41)</f>
        <v>0.99150940899409046</v>
      </c>
      <c r="AL47" s="3">
        <f>SUMIFS(Stock!AS$2:AS$41,Stock!$C$2:$C$41,FuelShares!$A47,Stock!$C$2:$C$41,FuelShares!$C47)/SUMIF(Stock!$C$2:$C$41,FuelShares!$A47,Stock!AS$2:AS$41)</f>
        <v>0.89424460431654684</v>
      </c>
      <c r="AM47" s="3">
        <f>SUMIFS(Stock!AT$2:AT$41,Stock!$C$2:$C$41,FuelShares!$A47,Stock!$C$2:$C$41,FuelShares!$C47)/SUMIF(Stock!$C$2:$C$41,FuelShares!$A47,Stock!AT$2:AT$41)</f>
        <v>1</v>
      </c>
      <c r="AN47" s="3">
        <f>SUMIFS(Stock!AU$2:AU$41,Stock!$C$2:$C$41,FuelShares!$A47,Stock!$C$2:$C$41,FuelShares!$C47)/SUMIF(Stock!$C$2:$C$41,FuelShares!$A47,Stock!AU$2:AU$41)</f>
        <v>1</v>
      </c>
      <c r="AO47" s="3">
        <f>SUMIFS(Stock!AV$2:AV$41,Stock!$C$2:$C$41,FuelShares!$A47,Stock!$C$2:$C$41,FuelShares!$C47)/SUMIF(Stock!$C$2:$C$41,FuelShares!$A47,Stock!AV$2:AV$41)</f>
        <v>0.95990883057682197</v>
      </c>
    </row>
    <row r="48" spans="1:41" ht="13.2">
      <c r="A48" t="s">
        <v>93</v>
      </c>
      <c r="C48" t="s">
        <v>101</v>
      </c>
      <c r="E48" s="3">
        <f>SUMIFS(Stock!L$2:L$41,Stock!$C$2:$C$41,FuelShares!$A48,Stock!$C$2:$C$41,FuelShares!$C48)/SUMIF(Stock!$C$2:$C$41,FuelShares!$A48,Stock!L$2:L$41)</f>
        <v>0</v>
      </c>
      <c r="F48" s="3">
        <f>SUMIFS(Stock!M$2:M$41,Stock!$C$2:$C$41,FuelShares!$A48,Stock!$C$2:$C$41,FuelShares!$C48)/SUMIF(Stock!$C$2:$C$41,FuelShares!$A48,Stock!M$2:M$41)</f>
        <v>0</v>
      </c>
      <c r="G48" s="3">
        <f>SUMIFS(Stock!N$2:N$41,Stock!$C$2:$C$41,FuelShares!$A48,Stock!$C$2:$C$41,FuelShares!$C48)/SUMIF(Stock!$C$2:$C$41,FuelShares!$A48,Stock!N$2:N$41)</f>
        <v>0</v>
      </c>
      <c r="H48" s="3">
        <f>SUMIFS(Stock!O$2:O$41,Stock!$C$2:$C$41,FuelShares!$A48,Stock!$C$2:$C$41,FuelShares!$C48)/SUMIF(Stock!$C$2:$C$41,FuelShares!$A48,Stock!O$2:O$41)</f>
        <v>0</v>
      </c>
      <c r="I48" s="3">
        <f>SUMIFS(Stock!P$2:P$41,Stock!$C$2:$C$41,FuelShares!$A48,Stock!$C$2:$C$41,FuelShares!$C48)/SUMIF(Stock!$C$2:$C$41,FuelShares!$A48,Stock!P$2:P$41)</f>
        <v>0</v>
      </c>
      <c r="J48" s="3">
        <f>SUMIFS(Stock!Q$2:Q$41,Stock!$C$2:$C$41,FuelShares!$A48,Stock!$C$2:$C$41,FuelShares!$C48)/SUMIF(Stock!$C$2:$C$41,FuelShares!$A48,Stock!Q$2:Q$41)</f>
        <v>0</v>
      </c>
      <c r="K48" s="3">
        <f>SUMIFS(Stock!R$2:R$41,Stock!$C$2:$C$41,FuelShares!$A48,Stock!$C$2:$C$41,FuelShares!$C48)/SUMIF(Stock!$C$2:$C$41,FuelShares!$A48,Stock!R$2:R$41)</f>
        <v>0</v>
      </c>
      <c r="L48" s="3">
        <f>SUMIFS(Stock!S$2:S$41,Stock!$C$2:$C$41,FuelShares!$A48,Stock!$C$2:$C$41,FuelShares!$C48)/SUMIF(Stock!$C$2:$C$41,FuelShares!$A48,Stock!S$2:S$41)</f>
        <v>0.10330788804071246</v>
      </c>
      <c r="M48" s="3">
        <f>SUMIFS(Stock!T$2:T$41,Stock!$C$2:$C$41,FuelShares!$A48,Stock!$C$2:$C$41,FuelShares!$C48)/SUMIF(Stock!$C$2:$C$41,FuelShares!$A48,Stock!T$2:T$41)</f>
        <v>0</v>
      </c>
      <c r="N48" s="3">
        <f>SUMIFS(Stock!U$2:U$41,Stock!$C$2:$C$41,FuelShares!$A48,Stock!$C$2:$C$41,FuelShares!$C48)/SUMIF(Stock!$C$2:$C$41,FuelShares!$A48,Stock!U$2:U$41)</f>
        <v>0.072702331961591218</v>
      </c>
      <c r="O48" s="3">
        <f>SUMIFS(Stock!V$2:V$41,Stock!$C$2:$C$41,FuelShares!$A48,Stock!$C$2:$C$41,FuelShares!$C48)/SUMIF(Stock!$C$2:$C$41,FuelShares!$A48,Stock!V$2:V$41)</f>
        <v>0</v>
      </c>
      <c r="P48" s="3">
        <f>SUMIFS(Stock!W$2:W$41,Stock!$C$2:$C$41,FuelShares!$A48,Stock!$C$2:$C$41,FuelShares!$C48)/SUMIF(Stock!$C$2:$C$41,FuelShares!$A48,Stock!W$2:W$41)</f>
        <v>0</v>
      </c>
      <c r="Q48" s="3">
        <f>SUMIFS(Stock!X$2:X$41,Stock!$C$2:$C$41,FuelShares!$A48,Stock!$C$2:$C$41,FuelShares!$C48)/SUMIF(Stock!$C$2:$C$41,FuelShares!$A48,Stock!X$2:X$41)</f>
        <v>0</v>
      </c>
      <c r="R48" s="3">
        <f>SUMIFS(Stock!Y$2:Y$41,Stock!$C$2:$C$41,FuelShares!$A48,Stock!$C$2:$C$41,FuelShares!$C48)/SUMIF(Stock!$C$2:$C$41,FuelShares!$A48,Stock!Y$2:Y$41)</f>
        <v>0</v>
      </c>
      <c r="S48" s="3">
        <f>SUMIFS(Stock!Z$2:Z$41,Stock!$C$2:$C$41,FuelShares!$A48,Stock!$C$2:$C$41,FuelShares!$C48)/SUMIF(Stock!$C$2:$C$41,FuelShares!$A48,Stock!Z$2:Z$41)</f>
        <v>0</v>
      </c>
      <c r="T48" s="3">
        <f>SUMIFS(Stock!AA$2:AA$41,Stock!$C$2:$C$41,FuelShares!$A48,Stock!$C$2:$C$41,FuelShares!$C48)/SUMIF(Stock!$C$2:$C$41,FuelShares!$A48,Stock!AA$2:AA$41)</f>
        <v>0</v>
      </c>
      <c r="U48" s="3">
        <f>SUMIFS(Stock!AB$2:AB$41,Stock!$C$2:$C$41,FuelShares!$A48,Stock!$C$2:$C$41,FuelShares!$C48)/SUMIF(Stock!$C$2:$C$41,FuelShares!$A48,Stock!AB$2:AB$41)</f>
        <v>0</v>
      </c>
      <c r="V48" s="3">
        <f>SUMIFS(Stock!AC$2:AC$41,Stock!$C$2:$C$41,FuelShares!$A48,Stock!$C$2:$C$41,FuelShares!$C48)/SUMIF(Stock!$C$2:$C$41,FuelShares!$A48,Stock!AC$2:AC$41)</f>
        <v>0</v>
      </c>
      <c r="W48" s="3">
        <f>SUMIFS(Stock!AD$2:AD$41,Stock!$C$2:$C$41,FuelShares!$A48,Stock!$C$2:$C$41,FuelShares!$C48)/SUMIF(Stock!$C$2:$C$41,FuelShares!$A48,Stock!AD$2:AD$41)</f>
        <v>0.063157894736842107</v>
      </c>
      <c r="X48" s="3">
        <f>SUMIFS(Stock!AE$2:AE$41,Stock!$C$2:$C$41,FuelShares!$A48,Stock!$C$2:$C$41,FuelShares!$C48)/SUMIF(Stock!$C$2:$C$41,FuelShares!$A48,Stock!AE$2:AE$41)</f>
        <v>0</v>
      </c>
      <c r="Y48" s="3">
        <f>SUMIFS(Stock!AF$2:AF$41,Stock!$C$2:$C$41,FuelShares!$A48,Stock!$C$2:$C$41,FuelShares!$C48)/SUMIF(Stock!$C$2:$C$41,FuelShares!$A48,Stock!AF$2:AF$41)</f>
        <v>0</v>
      </c>
      <c r="Z48" s="3">
        <f>SUMIFS(Stock!AG$2:AG$41,Stock!$C$2:$C$41,FuelShares!$A48,Stock!$C$2:$C$41,FuelShares!$C48)/SUMIF(Stock!$C$2:$C$41,FuelShares!$A48,Stock!AG$2:AG$41)</f>
        <v>0</v>
      </c>
      <c r="AA48" s="3">
        <f>SUMIFS(Stock!AH$2:AH$41,Stock!$C$2:$C$41,FuelShares!$A48,Stock!$C$2:$C$41,FuelShares!$C48)/SUMIF(Stock!$C$2:$C$41,FuelShares!$A48,Stock!AH$2:AH$41)</f>
        <v>0</v>
      </c>
      <c r="AB48" s="3">
        <f>SUMIFS(Stock!AI$2:AI$41,Stock!$C$2:$C$41,FuelShares!$A48,Stock!$C$2:$C$41,FuelShares!$C48)/SUMIF(Stock!$C$2:$C$41,FuelShares!$A48,Stock!AI$2:AI$41)</f>
        <v>0</v>
      </c>
      <c r="AC48" s="3">
        <f>SUMIFS(Stock!AJ$2:AJ$41,Stock!$C$2:$C$41,FuelShares!$A48,Stock!$C$2:$C$41,FuelShares!$C48)/SUMIF(Stock!$C$2:$C$41,FuelShares!$A48,Stock!AJ$2:AJ$41)</f>
        <v>0</v>
      </c>
      <c r="AD48" s="3">
        <f>SUMIFS(Stock!AK$2:AK$41,Stock!$C$2:$C$41,FuelShares!$A48,Stock!$C$2:$C$41,FuelShares!$C48)/SUMIF(Stock!$C$2:$C$41,FuelShares!$A48,Stock!AK$2:AK$41)</f>
        <v>0.14444444444444446</v>
      </c>
      <c r="AE48" s="3">
        <f>SUMIFS(Stock!AL$2:AL$41,Stock!$C$2:$C$41,FuelShares!$A48,Stock!$C$2:$C$41,FuelShares!$C48)/SUMIF(Stock!$C$2:$C$41,FuelShares!$A48,Stock!AL$2:AL$41)</f>
        <v>0</v>
      </c>
      <c r="AF48" s="3">
        <f>SUMIFS(Stock!AM$2:AM$41,Stock!$C$2:$C$41,FuelShares!$A48,Stock!$C$2:$C$41,FuelShares!$C48)/SUMIF(Stock!$C$2:$C$41,FuelShares!$A48,Stock!AM$2:AM$41)</f>
        <v>0.0026838432629320281</v>
      </c>
      <c r="AG48" s="3">
        <f>SUMIFS(Stock!AN$2:AN$41,Stock!$C$2:$C$41,FuelShares!$A48,Stock!$C$2:$C$41,FuelShares!$C48)/SUMIF(Stock!$C$2:$C$41,FuelShares!$A48,Stock!AN$2:AN$41)</f>
        <v>0</v>
      </c>
      <c r="AH48" s="3">
        <f>SUMIFS(Stock!AO$2:AO$41,Stock!$C$2:$C$41,FuelShares!$A48,Stock!$C$2:$C$41,FuelShares!$C48)/SUMIF(Stock!$C$2:$C$41,FuelShares!$A48,Stock!AO$2:AO$41)</f>
        <v>0.04513602638087387</v>
      </c>
      <c r="AI48" s="3">
        <f>SUMIFS(Stock!AP$2:AP$41,Stock!$C$2:$C$41,FuelShares!$A48,Stock!$C$2:$C$41,FuelShares!$C48)/SUMIF(Stock!$C$2:$C$41,FuelShares!$A48,Stock!AP$2:AP$41)</f>
        <v>0.0003888780860784001</v>
      </c>
      <c r="AJ48" s="3">
        <f>SUMIFS(Stock!AQ$2:AQ$41,Stock!$C$2:$C$41,FuelShares!$A48,Stock!$C$2:$C$41,FuelShares!$C48)/SUMIF(Stock!$C$2:$C$41,FuelShares!$A48,Stock!AQ$2:AQ$41)</f>
        <v>0</v>
      </c>
      <c r="AK48" s="3">
        <f>SUMIFS(Stock!AR$2:AR$41,Stock!$C$2:$C$41,FuelShares!$A48,Stock!$C$2:$C$41,FuelShares!$C48)/SUMIF(Stock!$C$2:$C$41,FuelShares!$A48,Stock!AR$2:AR$41)</f>
        <v>0</v>
      </c>
      <c r="AL48" s="3">
        <f>SUMIFS(Stock!AS$2:AS$41,Stock!$C$2:$C$41,FuelShares!$A48,Stock!$C$2:$C$41,FuelShares!$C48)/SUMIF(Stock!$C$2:$C$41,FuelShares!$A48,Stock!AS$2:AS$41)</f>
        <v>0</v>
      </c>
      <c r="AM48" s="3">
        <f>SUMIFS(Stock!AT$2:AT$41,Stock!$C$2:$C$41,FuelShares!$A48,Stock!$C$2:$C$41,FuelShares!$C48)/SUMIF(Stock!$C$2:$C$41,FuelShares!$A48,Stock!AT$2:AT$41)</f>
        <v>0</v>
      </c>
      <c r="AN48" s="3">
        <f>SUMIFS(Stock!AU$2:AU$41,Stock!$C$2:$C$41,FuelShares!$A48,Stock!$C$2:$C$41,FuelShares!$C48)/SUMIF(Stock!$C$2:$C$41,FuelShares!$A48,Stock!AU$2:AU$41)</f>
        <v>0</v>
      </c>
      <c r="AO48" s="3">
        <f>SUMIFS(Stock!AV$2:AV$41,Stock!$C$2:$C$41,FuelShares!$A48,Stock!$C$2:$C$41,FuelShares!$C48)/SUMIF(Stock!$C$2:$C$41,FuelShares!$A48,Stock!AV$2:AV$41)</f>
        <v>0.038571679036876867</v>
      </c>
    </row>
    <row r="49" spans="1:41" ht="13.2">
      <c r="A49" t="s">
        <v>93</v>
      </c>
      <c r="C49" t="s">
        <v>95</v>
      </c>
      <c r="E49" s="3">
        <f>SUMIFS(Stock!L$2:L$41,Stock!$C$2:$C$41,FuelShares!$A49,Stock!$C$2:$C$41,FuelShares!$C49)/SUMIF(Stock!$C$2:$C$41,FuelShares!$A49,Stock!L$2:L$41)</f>
        <v>0</v>
      </c>
      <c r="F49" s="3">
        <f>SUMIFS(Stock!M$2:M$41,Stock!$C$2:$C$41,FuelShares!$A49,Stock!$C$2:$C$41,FuelShares!$C49)/SUMIF(Stock!$C$2:$C$41,FuelShares!$A49,Stock!M$2:M$41)</f>
        <v>0</v>
      </c>
      <c r="G49" s="3">
        <f>SUMIFS(Stock!N$2:N$41,Stock!$C$2:$C$41,FuelShares!$A49,Stock!$C$2:$C$41,FuelShares!$C49)/SUMIF(Stock!$C$2:$C$41,FuelShares!$A49,Stock!N$2:N$41)</f>
        <v>0</v>
      </c>
      <c r="H49" s="3">
        <f>SUMIFS(Stock!O$2:O$41,Stock!$C$2:$C$41,FuelShares!$A49,Stock!$C$2:$C$41,FuelShares!$C49)/SUMIF(Stock!$C$2:$C$41,FuelShares!$A49,Stock!O$2:O$41)</f>
        <v>0</v>
      </c>
      <c r="I49" s="3">
        <f>SUMIFS(Stock!P$2:P$41,Stock!$C$2:$C$41,FuelShares!$A49,Stock!$C$2:$C$41,FuelShares!$C49)/SUMIF(Stock!$C$2:$C$41,FuelShares!$A49,Stock!P$2:P$41)</f>
        <v>0</v>
      </c>
      <c r="J49" s="3">
        <f>SUMIFS(Stock!Q$2:Q$41,Stock!$C$2:$C$41,FuelShares!$A49,Stock!$C$2:$C$41,FuelShares!$C49)/SUMIF(Stock!$C$2:$C$41,FuelShares!$A49,Stock!Q$2:Q$41)</f>
        <v>0</v>
      </c>
      <c r="K49" s="3">
        <f>SUMIFS(Stock!R$2:R$41,Stock!$C$2:$C$41,FuelShares!$A49,Stock!$C$2:$C$41,FuelShares!$C49)/SUMIF(Stock!$C$2:$C$41,FuelShares!$A49,Stock!R$2:R$41)</f>
        <v>0</v>
      </c>
      <c r="L49" s="3">
        <f>SUMIFS(Stock!S$2:S$41,Stock!$C$2:$C$41,FuelShares!$A49,Stock!$C$2:$C$41,FuelShares!$C49)/SUMIF(Stock!$C$2:$C$41,FuelShares!$A49,Stock!S$2:S$41)</f>
        <v>0</v>
      </c>
      <c r="M49" s="3">
        <f>SUMIFS(Stock!T$2:T$41,Stock!$C$2:$C$41,FuelShares!$A49,Stock!$C$2:$C$41,FuelShares!$C49)/SUMIF(Stock!$C$2:$C$41,FuelShares!$A49,Stock!T$2:T$41)</f>
        <v>0</v>
      </c>
      <c r="N49" s="3">
        <f>SUMIFS(Stock!U$2:U$41,Stock!$C$2:$C$41,FuelShares!$A49,Stock!$C$2:$C$41,FuelShares!$C49)/SUMIF(Stock!$C$2:$C$41,FuelShares!$A49,Stock!U$2:U$41)</f>
        <v>0</v>
      </c>
      <c r="O49" s="3">
        <f>SUMIFS(Stock!V$2:V$41,Stock!$C$2:$C$41,FuelShares!$A49,Stock!$C$2:$C$41,FuelShares!$C49)/SUMIF(Stock!$C$2:$C$41,FuelShares!$A49,Stock!V$2:V$41)</f>
        <v>0</v>
      </c>
      <c r="P49" s="3">
        <f>SUMIFS(Stock!W$2:W$41,Stock!$C$2:$C$41,FuelShares!$A49,Stock!$C$2:$C$41,FuelShares!$C49)/SUMIF(Stock!$C$2:$C$41,FuelShares!$A49,Stock!W$2:W$41)</f>
        <v>0</v>
      </c>
      <c r="Q49" s="3">
        <f>SUMIFS(Stock!X$2:X$41,Stock!$C$2:$C$41,FuelShares!$A49,Stock!$C$2:$C$41,FuelShares!$C49)/SUMIF(Stock!$C$2:$C$41,FuelShares!$A49,Stock!X$2:X$41)</f>
        <v>0</v>
      </c>
      <c r="R49" s="3">
        <f>SUMIFS(Stock!Y$2:Y$41,Stock!$C$2:$C$41,FuelShares!$A49,Stock!$C$2:$C$41,FuelShares!$C49)/SUMIF(Stock!$C$2:$C$41,FuelShares!$A49,Stock!Y$2:Y$41)</f>
        <v>0</v>
      </c>
      <c r="S49" s="3">
        <f>SUMIFS(Stock!Z$2:Z$41,Stock!$C$2:$C$41,FuelShares!$A49,Stock!$C$2:$C$41,FuelShares!$C49)/SUMIF(Stock!$C$2:$C$41,FuelShares!$A49,Stock!Z$2:Z$41)</f>
        <v>0</v>
      </c>
      <c r="T49" s="3">
        <f>SUMIFS(Stock!AA$2:AA$41,Stock!$C$2:$C$41,FuelShares!$A49,Stock!$C$2:$C$41,FuelShares!$C49)/SUMIF(Stock!$C$2:$C$41,FuelShares!$A49,Stock!AA$2:AA$41)</f>
        <v>0</v>
      </c>
      <c r="U49" s="3">
        <f>SUMIFS(Stock!AB$2:AB$41,Stock!$C$2:$C$41,FuelShares!$A49,Stock!$C$2:$C$41,FuelShares!$C49)/SUMIF(Stock!$C$2:$C$41,FuelShares!$A49,Stock!AB$2:AB$41)</f>
        <v>0</v>
      </c>
      <c r="V49" s="3">
        <f>SUMIFS(Stock!AC$2:AC$41,Stock!$C$2:$C$41,FuelShares!$A49,Stock!$C$2:$C$41,FuelShares!$C49)/SUMIF(Stock!$C$2:$C$41,FuelShares!$A49,Stock!AC$2:AC$41)</f>
        <v>0</v>
      </c>
      <c r="W49" s="3">
        <f>SUMIFS(Stock!AD$2:AD$41,Stock!$C$2:$C$41,FuelShares!$A49,Stock!$C$2:$C$41,FuelShares!$C49)/SUMIF(Stock!$C$2:$C$41,FuelShares!$A49,Stock!AD$2:AD$41)</f>
        <v>0</v>
      </c>
      <c r="X49" s="3">
        <f>SUMIFS(Stock!AE$2:AE$41,Stock!$C$2:$C$41,FuelShares!$A49,Stock!$C$2:$C$41,FuelShares!$C49)/SUMIF(Stock!$C$2:$C$41,FuelShares!$A49,Stock!AE$2:AE$41)</f>
        <v>0</v>
      </c>
      <c r="Y49" s="3">
        <f>SUMIFS(Stock!AF$2:AF$41,Stock!$C$2:$C$41,FuelShares!$A49,Stock!$C$2:$C$41,FuelShares!$C49)/SUMIF(Stock!$C$2:$C$41,FuelShares!$A49,Stock!AF$2:AF$41)</f>
        <v>0</v>
      </c>
      <c r="Z49" s="3">
        <f>SUMIFS(Stock!AG$2:AG$41,Stock!$C$2:$C$41,FuelShares!$A49,Stock!$C$2:$C$41,FuelShares!$C49)/SUMIF(Stock!$C$2:$C$41,FuelShares!$A49,Stock!AG$2:AG$41)</f>
        <v>0</v>
      </c>
      <c r="AA49" s="3">
        <f>SUMIFS(Stock!AH$2:AH$41,Stock!$C$2:$C$41,FuelShares!$A49,Stock!$C$2:$C$41,FuelShares!$C49)/SUMIF(Stock!$C$2:$C$41,FuelShares!$A49,Stock!AH$2:AH$41)</f>
        <v>0</v>
      </c>
      <c r="AB49" s="3">
        <f>SUMIFS(Stock!AI$2:AI$41,Stock!$C$2:$C$41,FuelShares!$A49,Stock!$C$2:$C$41,FuelShares!$C49)/SUMIF(Stock!$C$2:$C$41,FuelShares!$A49,Stock!AI$2:AI$41)</f>
        <v>0.0036081043310947128</v>
      </c>
      <c r="AC49" s="3">
        <f>SUMIFS(Stock!AJ$2:AJ$41,Stock!$C$2:$C$41,FuelShares!$A49,Stock!$C$2:$C$41,FuelShares!$C49)/SUMIF(Stock!$C$2:$C$41,FuelShares!$A49,Stock!AJ$2:AJ$41)</f>
        <v>0</v>
      </c>
      <c r="AD49" s="3">
        <f>SUMIFS(Stock!AK$2:AK$41,Stock!$C$2:$C$41,FuelShares!$A49,Stock!$C$2:$C$41,FuelShares!$C49)/SUMIF(Stock!$C$2:$C$41,FuelShares!$A49,Stock!AK$2:AK$41)</f>
        <v>0.018518518518518521</v>
      </c>
      <c r="AE49" s="3">
        <f>SUMIFS(Stock!AL$2:AL$41,Stock!$C$2:$C$41,FuelShares!$A49,Stock!$C$2:$C$41,FuelShares!$C49)/SUMIF(Stock!$C$2:$C$41,FuelShares!$A49,Stock!AL$2:AL$41)</f>
        <v>0</v>
      </c>
      <c r="AF49" s="3">
        <f>SUMIFS(Stock!AM$2:AM$41,Stock!$C$2:$C$41,FuelShares!$A49,Stock!$C$2:$C$41,FuelShares!$C49)/SUMIF(Stock!$C$2:$C$41,FuelShares!$A49,Stock!AM$2:AM$41)</f>
        <v>0.0071569153678187423</v>
      </c>
      <c r="AG49" s="3">
        <f>SUMIFS(Stock!AN$2:AN$41,Stock!$C$2:$C$41,FuelShares!$A49,Stock!$C$2:$C$41,FuelShares!$C49)/SUMIF(Stock!$C$2:$C$41,FuelShares!$A49,Stock!AN$2:AN$41)</f>
        <v>0</v>
      </c>
      <c r="AH49" s="3">
        <f>SUMIFS(Stock!AO$2:AO$41,Stock!$C$2:$C$41,FuelShares!$A49,Stock!$C$2:$C$41,FuelShares!$C49)/SUMIF(Stock!$C$2:$C$41,FuelShares!$A49,Stock!AO$2:AO$41)</f>
        <v>0.0079348722176422106</v>
      </c>
      <c r="AI49" s="3">
        <f>SUMIFS(Stock!AP$2:AP$41,Stock!$C$2:$C$41,FuelShares!$A49,Stock!$C$2:$C$41,FuelShares!$C49)/SUMIF(Stock!$C$2:$C$41,FuelShares!$A49,Stock!AP$2:AP$41)</f>
        <v>0.00019443904339567166</v>
      </c>
      <c r="AJ49" s="3">
        <f>SUMIFS(Stock!AQ$2:AQ$41,Stock!$C$2:$C$41,FuelShares!$A49,Stock!$C$2:$C$41,FuelShares!$C49)/SUMIF(Stock!$C$2:$C$41,FuelShares!$A49,Stock!AQ$2:AQ$41)</f>
        <v>0</v>
      </c>
      <c r="AK49" s="3">
        <f>SUMIFS(Stock!AR$2:AR$41,Stock!$C$2:$C$41,FuelShares!$A49,Stock!$C$2:$C$41,FuelShares!$C49)/SUMIF(Stock!$C$2:$C$41,FuelShares!$A49,Stock!AR$2:AR$41)</f>
        <v>0</v>
      </c>
      <c r="AL49" s="3">
        <f>SUMIFS(Stock!AS$2:AS$41,Stock!$C$2:$C$41,FuelShares!$A49,Stock!$C$2:$C$41,FuelShares!$C49)/SUMIF(Stock!$C$2:$C$41,FuelShares!$A49,Stock!AS$2:AS$41)</f>
        <v>0</v>
      </c>
      <c r="AM49" s="3">
        <f>SUMIFS(Stock!AT$2:AT$41,Stock!$C$2:$C$41,FuelShares!$A49,Stock!$C$2:$C$41,FuelShares!$C49)/SUMIF(Stock!$C$2:$C$41,FuelShares!$A49,Stock!AT$2:AT$41)</f>
        <v>0</v>
      </c>
      <c r="AN49" s="3">
        <f>SUMIFS(Stock!AU$2:AU$41,Stock!$C$2:$C$41,FuelShares!$A49,Stock!$C$2:$C$41,FuelShares!$C49)/SUMIF(Stock!$C$2:$C$41,FuelShares!$A49,Stock!AU$2:AU$41)</f>
        <v>0</v>
      </c>
      <c r="AO49" s="3">
        <f>SUMIFS(Stock!AV$2:AV$41,Stock!$C$2:$C$41,FuelShares!$A49,Stock!$C$2:$C$41,FuelShares!$C49)/SUMIF(Stock!$C$2:$C$41,FuelShares!$A49,Stock!AV$2:AV$41)</f>
        <v>0.0015194903863012098</v>
      </c>
    </row>
    <row r="50" spans="1:41" ht="13.2">
      <c r="A50" t="s">
        <v>96</v>
      </c>
      <c r="C50" t="s">
        <v>94</v>
      </c>
      <c r="E50" s="3">
        <f>SUMIFS(Stock!L$2:L$41,Stock!$C$2:$C$41,FuelShares!$A50,Stock!$C$2:$C$41,FuelShares!$C50)/SUMIF(Stock!$C$2:$C$41,FuelShares!$A50,Stock!L$2:L$41)</f>
        <v>0</v>
      </c>
      <c r="F50" s="3">
        <f>SUMIFS(Stock!M$2:M$41,Stock!$C$2:$C$41,FuelShares!$A50,Stock!$C$2:$C$41,FuelShares!$C50)/SUMIF(Stock!$C$2:$C$41,FuelShares!$A50,Stock!M$2:M$41)</f>
        <v>0</v>
      </c>
      <c r="G50" s="3">
        <f>SUMIFS(Stock!N$2:N$41,Stock!$C$2:$C$41,FuelShares!$A50,Stock!$C$2:$C$41,FuelShares!$C50)/SUMIF(Stock!$C$2:$C$41,FuelShares!$A50,Stock!N$2:N$41)</f>
        <v>0</v>
      </c>
      <c r="H50" s="3">
        <f>SUMIFS(Stock!O$2:O$41,Stock!$C$2:$C$41,FuelShares!$A50,Stock!$C$2:$C$41,FuelShares!$C50)/SUMIF(Stock!$C$2:$C$41,FuelShares!$A50,Stock!O$2:O$41)</f>
        <v>0</v>
      </c>
      <c r="I50" s="3">
        <f>SUMIFS(Stock!P$2:P$41,Stock!$C$2:$C$41,FuelShares!$A50,Stock!$C$2:$C$41,FuelShares!$C50)/SUMIF(Stock!$C$2:$C$41,FuelShares!$A50,Stock!P$2:P$41)</f>
        <v>0</v>
      </c>
      <c r="J50" s="3">
        <f>SUMIFS(Stock!Q$2:Q$41,Stock!$C$2:$C$41,FuelShares!$A50,Stock!$C$2:$C$41,FuelShares!$C50)/SUMIF(Stock!$C$2:$C$41,FuelShares!$A50,Stock!Q$2:Q$41)</f>
        <v>0.0016143951048007397</v>
      </c>
      <c r="K50" s="3">
        <f>SUMIFS(Stock!R$2:R$41,Stock!$C$2:$C$41,FuelShares!$A50,Stock!$C$2:$C$41,FuelShares!$C50)/SUMIF(Stock!$C$2:$C$41,FuelShares!$A50,Stock!R$2:R$41)</f>
        <v>0</v>
      </c>
      <c r="L50" s="3">
        <f>SUMIFS(Stock!S$2:S$41,Stock!$C$2:$C$41,FuelShares!$A50,Stock!$C$2:$C$41,FuelShares!$C50)/SUMIF(Stock!$C$2:$C$41,FuelShares!$A50,Stock!S$2:S$41)</f>
        <v>0</v>
      </c>
      <c r="M50" s="3">
        <f>SUMIFS(Stock!T$2:T$41,Stock!$C$2:$C$41,FuelShares!$A50,Stock!$C$2:$C$41,FuelShares!$C50)/SUMIF(Stock!$C$2:$C$41,FuelShares!$A50,Stock!T$2:T$41)</f>
        <v>0.0016120898094368703</v>
      </c>
      <c r="N50" s="3">
        <f>SUMIFS(Stock!U$2:U$41,Stock!$C$2:$C$41,FuelShares!$A50,Stock!$C$2:$C$41,FuelShares!$C50)/SUMIF(Stock!$C$2:$C$41,FuelShares!$A50,Stock!U$2:U$41)</f>
        <v>0</v>
      </c>
      <c r="O50" s="3">
        <f>SUMIFS(Stock!V$2:V$41,Stock!$C$2:$C$41,FuelShares!$A50,Stock!$C$2:$C$41,FuelShares!$C50)/SUMIF(Stock!$C$2:$C$41,FuelShares!$A50,Stock!V$2:V$41)</f>
        <v>0</v>
      </c>
      <c r="P50" s="3">
        <f>SUMIFS(Stock!W$2:W$41,Stock!$C$2:$C$41,FuelShares!$A50,Stock!$C$2:$C$41,FuelShares!$C50)/SUMIF(Stock!$C$2:$C$41,FuelShares!$A50,Stock!W$2:W$41)</f>
        <v>0</v>
      </c>
      <c r="Q50" s="3">
        <f>SUMIFS(Stock!X$2:X$41,Stock!$C$2:$C$41,FuelShares!$A50,Stock!$C$2:$C$41,FuelShares!$C50)/SUMIF(Stock!$C$2:$C$41,FuelShares!$A50,Stock!X$2:X$41)</f>
        <v>0</v>
      </c>
      <c r="R50" s="3">
        <f>SUMIFS(Stock!Y$2:Y$41,Stock!$C$2:$C$41,FuelShares!$A50,Stock!$C$2:$C$41,FuelShares!$C50)/SUMIF(Stock!$C$2:$C$41,FuelShares!$A50,Stock!Y$2:Y$41)</f>
        <v>0</v>
      </c>
      <c r="S50" s="3">
        <f>SUMIFS(Stock!Z$2:Z$41,Stock!$C$2:$C$41,FuelShares!$A50,Stock!$C$2:$C$41,FuelShares!$C50)/SUMIF(Stock!$C$2:$C$41,FuelShares!$A50,Stock!Z$2:Z$41)</f>
        <v>0</v>
      </c>
      <c r="T50" s="3">
        <f>SUMIFS(Stock!AA$2:AA$41,Stock!$C$2:$C$41,FuelShares!$A50,Stock!$C$2:$C$41,FuelShares!$C50)/SUMIF(Stock!$C$2:$C$41,FuelShares!$A50,Stock!AA$2:AA$41)</f>
        <v>0</v>
      </c>
      <c r="U50" s="3">
        <f>SUMIFS(Stock!AB$2:AB$41,Stock!$C$2:$C$41,FuelShares!$A50,Stock!$C$2:$C$41,FuelShares!$C50)/SUMIF(Stock!$C$2:$C$41,FuelShares!$A50,Stock!AB$2:AB$41)</f>
        <v>0</v>
      </c>
      <c r="V50" s="3">
        <f>SUMIFS(Stock!AC$2:AC$41,Stock!$C$2:$C$41,FuelShares!$A50,Stock!$C$2:$C$41,FuelShares!$C50)/SUMIF(Stock!$C$2:$C$41,FuelShares!$A50,Stock!AC$2:AC$41)</f>
        <v>0</v>
      </c>
      <c r="W50" s="3">
        <f>SUMIFS(Stock!AD$2:AD$41,Stock!$C$2:$C$41,FuelShares!$A50,Stock!$C$2:$C$41,FuelShares!$C50)/SUMIF(Stock!$C$2:$C$41,FuelShares!$A50,Stock!AD$2:AD$41)</f>
        <v>0</v>
      </c>
      <c r="X50" s="3">
        <f>SUMIFS(Stock!AE$2:AE$41,Stock!$C$2:$C$41,FuelShares!$A50,Stock!$C$2:$C$41,FuelShares!$C50)/SUMIF(Stock!$C$2:$C$41,FuelShares!$A50,Stock!AE$2:AE$41)</f>
        <v>0.018975075470568616</v>
      </c>
      <c r="Y50" s="3">
        <f>SUMIFS(Stock!AF$2:AF$41,Stock!$C$2:$C$41,FuelShares!$A50,Stock!$C$2:$C$41,FuelShares!$C50)/SUMIF(Stock!$C$2:$C$41,FuelShares!$A50,Stock!AF$2:AF$41)</f>
        <v>0</v>
      </c>
      <c r="Z50" s="3">
        <f>SUMIFS(Stock!AG$2:AG$41,Stock!$C$2:$C$41,FuelShares!$A50,Stock!$C$2:$C$41,FuelShares!$C50)/SUMIF(Stock!$C$2:$C$41,FuelShares!$A50,Stock!AG$2:AG$41)</f>
        <v>0</v>
      </c>
      <c r="AA50" s="3">
        <f>SUMIFS(Stock!AH$2:AH$41,Stock!$C$2:$C$41,FuelShares!$A50,Stock!$C$2:$C$41,FuelShares!$C50)/SUMIF(Stock!$C$2:$C$41,FuelShares!$A50,Stock!AH$2:AH$41)</f>
        <v>0</v>
      </c>
      <c r="AB50" s="3">
        <f>SUMIFS(Stock!AI$2:AI$41,Stock!$C$2:$C$41,FuelShares!$A50,Stock!$C$2:$C$41,FuelShares!$C50)/SUMIF(Stock!$C$2:$C$41,FuelShares!$A50,Stock!AI$2:AI$41)</f>
        <v>0</v>
      </c>
      <c r="AC50" s="3">
        <f>SUMIFS(Stock!AJ$2:AJ$41,Stock!$C$2:$C$41,FuelShares!$A50,Stock!$C$2:$C$41,FuelShares!$C50)/SUMIF(Stock!$C$2:$C$41,FuelShares!$A50,Stock!AJ$2:AJ$41)</f>
        <v>0</v>
      </c>
      <c r="AD50" s="3">
        <f>SUMIFS(Stock!AK$2:AK$41,Stock!$C$2:$C$41,FuelShares!$A50,Stock!$C$2:$C$41,FuelShares!$C50)/SUMIF(Stock!$C$2:$C$41,FuelShares!$A50,Stock!AK$2:AK$41)</f>
        <v>0</v>
      </c>
      <c r="AE50" s="3">
        <f>SUMIFS(Stock!AL$2:AL$41,Stock!$C$2:$C$41,FuelShares!$A50,Stock!$C$2:$C$41,FuelShares!$C50)/SUMIF(Stock!$C$2:$C$41,FuelShares!$A50,Stock!AL$2:AL$41)</f>
        <v>0</v>
      </c>
      <c r="AF50" s="3">
        <f>SUMIFS(Stock!AM$2:AM$41,Stock!$C$2:$C$41,FuelShares!$A50,Stock!$C$2:$C$41,FuelShares!$C50)/SUMIF(Stock!$C$2:$C$41,FuelShares!$A50,Stock!AM$2:AM$41)</f>
        <v>0.00011763321962122101</v>
      </c>
      <c r="AG50" s="3">
        <f>SUMIFS(Stock!AN$2:AN$41,Stock!$C$2:$C$41,FuelShares!$A50,Stock!$C$2:$C$41,FuelShares!$C50)/SUMIF(Stock!$C$2:$C$41,FuelShares!$A50,Stock!AN$2:AN$41)</f>
        <v>0</v>
      </c>
      <c r="AH50" s="3">
        <f>SUMIFS(Stock!AO$2:AO$41,Stock!$C$2:$C$41,FuelShares!$A50,Stock!$C$2:$C$41,FuelShares!$C50)/SUMIF(Stock!$C$2:$C$41,FuelShares!$A50,Stock!AO$2:AO$41)</f>
        <v>0</v>
      </c>
      <c r="AI50" s="3">
        <f>SUMIFS(Stock!AP$2:AP$41,Stock!$C$2:$C$41,FuelShares!$A50,Stock!$C$2:$C$41,FuelShares!$C50)/SUMIF(Stock!$C$2:$C$41,FuelShares!$A50,Stock!AP$2:AP$41)</f>
        <v>0</v>
      </c>
      <c r="AJ50" s="3">
        <f>SUMIFS(Stock!AQ$2:AQ$41,Stock!$C$2:$C$41,FuelShares!$A50,Stock!$C$2:$C$41,FuelShares!$C50)/SUMIF(Stock!$C$2:$C$41,FuelShares!$A50,Stock!AQ$2:AQ$41)</f>
        <v>0</v>
      </c>
      <c r="AK50" s="3">
        <f>SUMIFS(Stock!AR$2:AR$41,Stock!$C$2:$C$41,FuelShares!$A50,Stock!$C$2:$C$41,FuelShares!$C50)/SUMIF(Stock!$C$2:$C$41,FuelShares!$A50,Stock!AR$2:AR$41)</f>
        <v>0.0054750226909224785</v>
      </c>
      <c r="AL50" s="3">
        <f>SUMIFS(Stock!AS$2:AS$41,Stock!$C$2:$C$41,FuelShares!$A50,Stock!$C$2:$C$41,FuelShares!$C50)/SUMIF(Stock!$C$2:$C$41,FuelShares!$A50,Stock!AS$2:AS$41)</f>
        <v>0.0057406335822472055</v>
      </c>
      <c r="AM50" s="3">
        <f>SUMIFS(Stock!AT$2:AT$41,Stock!$C$2:$C$41,FuelShares!$A50,Stock!$C$2:$C$41,FuelShares!$C50)/SUMIF(Stock!$C$2:$C$41,FuelShares!$A50,Stock!AT$2:AT$41)</f>
        <v>0</v>
      </c>
      <c r="AN50" s="3">
        <f>SUMIFS(Stock!AU$2:AU$41,Stock!$C$2:$C$41,FuelShares!$A50,Stock!$C$2:$C$41,FuelShares!$C50)/SUMIF(Stock!$C$2:$C$41,FuelShares!$A50,Stock!AU$2:AU$41)</f>
        <v>0</v>
      </c>
      <c r="AO50" s="3">
        <f>SUMIFS(Stock!AV$2:AV$41,Stock!$C$2:$C$41,FuelShares!$A50,Stock!$C$2:$C$41,FuelShares!$C50)/SUMIF(Stock!$C$2:$C$41,FuelShares!$A50,Stock!AV$2:AV$41)</f>
        <v>4.7290785037619102E-05</v>
      </c>
    </row>
    <row r="51" spans="1:41" ht="13.2">
      <c r="A51" t="s">
        <v>96</v>
      </c>
      <c r="C51" t="s">
        <v>100</v>
      </c>
      <c r="E51" s="3">
        <f>SUMIFS(Stock!L$2:L$41,Stock!$C$2:$C$41,FuelShares!$A51,Stock!$C$2:$C$41,FuelShares!$C51)/SUMIF(Stock!$C$2:$C$41,FuelShares!$A51,Stock!L$2:L$41)</f>
        <v>0.16784837187435506</v>
      </c>
      <c r="F51" s="3">
        <f>SUMIFS(Stock!M$2:M$41,Stock!$C$2:$C$41,FuelShares!$A51,Stock!$C$2:$C$41,FuelShares!$C51)/SUMIF(Stock!$C$2:$C$41,FuelShares!$A51,Stock!M$2:M$41)</f>
        <v>0.56356561847744857</v>
      </c>
      <c r="G51" s="3">
        <f>SUMIFS(Stock!N$2:N$41,Stock!$C$2:$C$41,FuelShares!$A51,Stock!$C$2:$C$41,FuelShares!$C51)/SUMIF(Stock!$C$2:$C$41,FuelShares!$A51,Stock!N$2:N$41)</f>
        <v>0.4954214924710354</v>
      </c>
      <c r="H51" s="3">
        <f>SUMIFS(Stock!O$2:O$41,Stock!$C$2:$C$41,FuelShares!$A51,Stock!$C$2:$C$41,FuelShares!$C51)/SUMIF(Stock!$C$2:$C$41,FuelShares!$A51,Stock!O$2:O$41)</f>
        <v>0.60792147827634324</v>
      </c>
      <c r="I51" s="3">
        <f>SUMIFS(Stock!P$2:P$41,Stock!$C$2:$C$41,FuelShares!$A51,Stock!$C$2:$C$41,FuelShares!$C51)/SUMIF(Stock!$C$2:$C$41,FuelShares!$A51,Stock!P$2:P$41)</f>
        <v>0.36471669949526037</v>
      </c>
      <c r="J51" s="3">
        <f>SUMIFS(Stock!Q$2:Q$41,Stock!$C$2:$C$41,FuelShares!$A51,Stock!$C$2:$C$41,FuelShares!$C51)/SUMIF(Stock!$C$2:$C$41,FuelShares!$A51,Stock!Q$2:Q$41)</f>
        <v>0.18202672829828526</v>
      </c>
      <c r="K51" s="3">
        <f>SUMIFS(Stock!R$2:R$41,Stock!$C$2:$C$41,FuelShares!$A51,Stock!$C$2:$C$41,FuelShares!$C51)/SUMIF(Stock!$C$2:$C$41,FuelShares!$A51,Stock!R$2:R$41)</f>
        <v>0.10515490903651627</v>
      </c>
      <c r="L51" s="3">
        <f>SUMIFS(Stock!S$2:S$41,Stock!$C$2:$C$41,FuelShares!$A51,Stock!$C$2:$C$41,FuelShares!$C51)/SUMIF(Stock!$C$2:$C$41,FuelShares!$A51,Stock!S$2:S$41)</f>
        <v>0.26823843416370108</v>
      </c>
      <c r="M51" s="3">
        <f>SUMIFS(Stock!T$2:T$41,Stock!$C$2:$C$41,FuelShares!$A51,Stock!$C$2:$C$41,FuelShares!$C51)/SUMIF(Stock!$C$2:$C$41,FuelShares!$A51,Stock!T$2:T$41)</f>
        <v>0.26459060095952469</v>
      </c>
      <c r="N51" s="3">
        <f>SUMIFS(Stock!U$2:U$41,Stock!$C$2:$C$41,FuelShares!$A51,Stock!$C$2:$C$41,FuelShares!$C51)/SUMIF(Stock!$C$2:$C$41,FuelShares!$A51,Stock!U$2:U$41)</f>
        <v>0.2463091017679481</v>
      </c>
      <c r="O51" s="3">
        <f>SUMIFS(Stock!V$2:V$41,Stock!$C$2:$C$41,FuelShares!$A51,Stock!$C$2:$C$41,FuelShares!$C51)/SUMIF(Stock!$C$2:$C$41,FuelShares!$A51,Stock!V$2:V$41)</f>
        <v>0.27198426987586466</v>
      </c>
      <c r="P51" s="3">
        <f>SUMIFS(Stock!W$2:W$41,Stock!$C$2:$C$41,FuelShares!$A51,Stock!$C$2:$C$41,FuelShares!$C51)/SUMIF(Stock!$C$2:$C$41,FuelShares!$A51,Stock!W$2:W$41)</f>
        <v>0.027566337669905523</v>
      </c>
      <c r="Q51" s="3">
        <f>SUMIFS(Stock!X$2:X$41,Stock!$C$2:$C$41,FuelShares!$A51,Stock!$C$2:$C$41,FuelShares!$C51)/SUMIF(Stock!$C$2:$C$41,FuelShares!$A51,Stock!X$2:X$41)</f>
        <v>0.51783430516116447</v>
      </c>
      <c r="R51" s="3">
        <f>SUMIFS(Stock!Y$2:Y$41,Stock!$C$2:$C$41,FuelShares!$A51,Stock!$C$2:$C$41,FuelShares!$C51)/SUMIF(Stock!$C$2:$C$41,FuelShares!$A51,Stock!Y$2:Y$41)</f>
        <v>0.19398109243697478</v>
      </c>
      <c r="S51" s="3">
        <f>SUMIFS(Stock!Z$2:Z$41,Stock!$C$2:$C$41,FuelShares!$A51,Stock!$C$2:$C$41,FuelShares!$C51)/SUMIF(Stock!$C$2:$C$41,FuelShares!$A51,Stock!Z$2:Z$41)</f>
        <v>0.59638160210748792</v>
      </c>
      <c r="T51" s="3">
        <f>SUMIFS(Stock!AA$2:AA$41,Stock!$C$2:$C$41,FuelShares!$A51,Stock!$C$2:$C$41,FuelShares!$C51)/SUMIF(Stock!$C$2:$C$41,FuelShares!$A51,Stock!AA$2:AA$41)</f>
        <v>0.33599383460662113</v>
      </c>
      <c r="U51" s="3">
        <f>SUMIFS(Stock!AB$2:AB$41,Stock!$C$2:$C$41,FuelShares!$A51,Stock!$C$2:$C$41,FuelShares!$C51)/SUMIF(Stock!$C$2:$C$41,FuelShares!$A51,Stock!AB$2:AB$41)</f>
        <v>0.20770916695152111</v>
      </c>
      <c r="V51" s="3">
        <f>SUMIFS(Stock!AC$2:AC$41,Stock!$C$2:$C$41,FuelShares!$A51,Stock!$C$2:$C$41,FuelShares!$C51)/SUMIF(Stock!$C$2:$C$41,FuelShares!$A51,Stock!AC$2:AC$41)</f>
        <v>0.26123342684653483</v>
      </c>
      <c r="W51" s="3">
        <f>SUMIFS(Stock!AD$2:AD$41,Stock!$C$2:$C$41,FuelShares!$A51,Stock!$C$2:$C$41,FuelShares!$C51)/SUMIF(Stock!$C$2:$C$41,FuelShares!$A51,Stock!AD$2:AD$41)</f>
        <v>0.18450635386119263</v>
      </c>
      <c r="X51" s="3">
        <f>SUMIFS(Stock!AE$2:AE$41,Stock!$C$2:$C$41,FuelShares!$A51,Stock!$C$2:$C$41,FuelShares!$C51)/SUMIF(Stock!$C$2:$C$41,FuelShares!$A51,Stock!AE$2:AE$41)</f>
        <v>0.3830898356323707</v>
      </c>
      <c r="Y51" s="3">
        <f>SUMIFS(Stock!AF$2:AF$41,Stock!$C$2:$C$41,FuelShares!$A51,Stock!$C$2:$C$41,FuelShares!$C51)/SUMIF(Stock!$C$2:$C$41,FuelShares!$A51,Stock!AF$2:AF$41)</f>
        <v>0.47258912323928159</v>
      </c>
      <c r="Z51" s="3">
        <f>SUMIFS(Stock!AG$2:AG$41,Stock!$C$2:$C$41,FuelShares!$A51,Stock!$C$2:$C$41,FuelShares!$C51)/SUMIF(Stock!$C$2:$C$41,FuelShares!$A51,Stock!AG$2:AG$41)</f>
        <v>0.33056701747878897</v>
      </c>
      <c r="AA51" s="3">
        <f>SUMIFS(Stock!AH$2:AH$41,Stock!$C$2:$C$41,FuelShares!$A51,Stock!$C$2:$C$41,FuelShares!$C51)/SUMIF(Stock!$C$2:$C$41,FuelShares!$A51,Stock!AH$2:AH$41)</f>
        <v>0.64068249258160248</v>
      </c>
      <c r="AB51" s="3">
        <f>SUMIFS(Stock!AI$2:AI$41,Stock!$C$2:$C$41,FuelShares!$A51,Stock!$C$2:$C$41,FuelShares!$C51)/SUMIF(Stock!$C$2:$C$41,FuelShares!$A51,Stock!AI$2:AI$41)</f>
        <v>0.3299530442331215</v>
      </c>
      <c r="AC51" s="3">
        <f>SUMIFS(Stock!AJ$2:AJ$41,Stock!$C$2:$C$41,FuelShares!$A51,Stock!$C$2:$C$41,FuelShares!$C51)/SUMIF(Stock!$C$2:$C$41,FuelShares!$A51,Stock!AJ$2:AJ$41)</f>
        <v>0.10353001100660934</v>
      </c>
      <c r="AD51" s="3">
        <f>SUMIFS(Stock!AK$2:AK$41,Stock!$C$2:$C$41,FuelShares!$A51,Stock!$C$2:$C$41,FuelShares!$C51)/SUMIF(Stock!$C$2:$C$41,FuelShares!$A51,Stock!AK$2:AK$41)</f>
        <v>0.23182565524356044</v>
      </c>
      <c r="AE51" s="3">
        <f>SUMIFS(Stock!AL$2:AL$41,Stock!$C$2:$C$41,FuelShares!$A51,Stock!$C$2:$C$41,FuelShares!$C51)/SUMIF(Stock!$C$2:$C$41,FuelShares!$A51,Stock!AL$2:AL$41)</f>
        <v>0.28058598937583001</v>
      </c>
      <c r="AF51" s="3">
        <f>SUMIFS(Stock!AM$2:AM$41,Stock!$C$2:$C$41,FuelShares!$A51,Stock!$C$2:$C$41,FuelShares!$C51)/SUMIF(Stock!$C$2:$C$41,FuelShares!$A51,Stock!AM$2:AM$41)</f>
        <v>0.16778892205312623</v>
      </c>
      <c r="AG51" s="3">
        <f>SUMIFS(Stock!AN$2:AN$41,Stock!$C$2:$C$41,FuelShares!$A51,Stock!$C$2:$C$41,FuelShares!$C51)/SUMIF(Stock!$C$2:$C$41,FuelShares!$A51,Stock!AN$2:AN$41)</f>
        <v>0.3037010350948105</v>
      </c>
      <c r="AH51" s="3">
        <f>SUMIFS(Stock!AO$2:AO$41,Stock!$C$2:$C$41,FuelShares!$A51,Stock!$C$2:$C$41,FuelShares!$C51)/SUMIF(Stock!$C$2:$C$41,FuelShares!$A51,Stock!AO$2:AO$41)</f>
        <v>0.22453609311838346</v>
      </c>
      <c r="AI51" s="3">
        <f>SUMIFS(Stock!AP$2:AP$41,Stock!$C$2:$C$41,FuelShares!$A51,Stock!$C$2:$C$41,FuelShares!$C51)/SUMIF(Stock!$C$2:$C$41,FuelShares!$A51,Stock!AP$2:AP$41)</f>
        <v>0.44267050298380206</v>
      </c>
      <c r="AJ51" s="3">
        <f>SUMIFS(Stock!AQ$2:AQ$41,Stock!$C$2:$C$41,FuelShares!$A51,Stock!$C$2:$C$41,FuelShares!$C51)/SUMIF(Stock!$C$2:$C$41,FuelShares!$A51,Stock!AQ$2:AQ$41)</f>
        <v>0.28210651894742439</v>
      </c>
      <c r="AK51" s="3">
        <f>SUMIFS(Stock!AR$2:AR$41,Stock!$C$2:$C$41,FuelShares!$A51,Stock!$C$2:$C$41,FuelShares!$C51)/SUMIF(Stock!$C$2:$C$41,FuelShares!$A51,Stock!AR$2:AR$41)</f>
        <v>0.33045655985072325</v>
      </c>
      <c r="AL51" s="3">
        <f>SUMIFS(Stock!AS$2:AS$41,Stock!$C$2:$C$41,FuelShares!$A51,Stock!$C$2:$C$41,FuelShares!$C51)/SUMIF(Stock!$C$2:$C$41,FuelShares!$A51,Stock!AS$2:AS$41)</f>
        <v>0.14703140356194833</v>
      </c>
      <c r="AM51" s="3">
        <f>SUMIFS(Stock!AT$2:AT$41,Stock!$C$2:$C$41,FuelShares!$A51,Stock!$C$2:$C$41,FuelShares!$C51)/SUMIF(Stock!$C$2:$C$41,FuelShares!$A51,Stock!AT$2:AT$41)</f>
        <v>0.34736598890942699</v>
      </c>
      <c r="AN51" s="3">
        <f>SUMIFS(Stock!AU$2:AU$41,Stock!$C$2:$C$41,FuelShares!$A51,Stock!$C$2:$C$41,FuelShares!$C51)/SUMIF(Stock!$C$2:$C$41,FuelShares!$A51,Stock!AU$2:AU$41)</f>
        <v>0.25885362682659413</v>
      </c>
      <c r="AO51" s="3">
        <f>SUMIFS(Stock!AV$2:AV$41,Stock!$C$2:$C$41,FuelShares!$A51,Stock!$C$2:$C$41,FuelShares!$C51)/SUMIF(Stock!$C$2:$C$41,FuelShares!$A51,Stock!AV$2:AV$41)</f>
        <v>0.28963841254010447</v>
      </c>
    </row>
    <row r="52" spans="1:41" ht="13.2">
      <c r="A52" t="s">
        <v>96</v>
      </c>
      <c r="C52" t="s">
        <v>102</v>
      </c>
      <c r="E52" s="3">
        <f>SUMIFS(Stock!L$2:L$41,Stock!$C$2:$C$41,FuelShares!$A52,Stock!$C$2:$C$41,FuelShares!$C52)/SUMIF(Stock!$C$2:$C$41,FuelShares!$A52,Stock!L$2:L$41)</f>
        <v>0</v>
      </c>
      <c r="F52" s="3">
        <f>SUMIFS(Stock!M$2:M$41,Stock!$C$2:$C$41,FuelShares!$A52,Stock!$C$2:$C$41,FuelShares!$C52)/SUMIF(Stock!$C$2:$C$41,FuelShares!$A52,Stock!M$2:M$41)</f>
        <v>0</v>
      </c>
      <c r="G52" s="3">
        <f>SUMIFS(Stock!N$2:N$41,Stock!$C$2:$C$41,FuelShares!$A52,Stock!$C$2:$C$41,FuelShares!$C52)/SUMIF(Stock!$C$2:$C$41,FuelShares!$A52,Stock!N$2:N$41)</f>
        <v>0</v>
      </c>
      <c r="H52" s="3">
        <f>SUMIFS(Stock!O$2:O$41,Stock!$C$2:$C$41,FuelShares!$A52,Stock!$C$2:$C$41,FuelShares!$C52)/SUMIF(Stock!$C$2:$C$41,FuelShares!$A52,Stock!O$2:O$41)</f>
        <v>0</v>
      </c>
      <c r="I52" s="3">
        <f>SUMIFS(Stock!P$2:P$41,Stock!$C$2:$C$41,FuelShares!$A52,Stock!$C$2:$C$41,FuelShares!$C52)/SUMIF(Stock!$C$2:$C$41,FuelShares!$A52,Stock!P$2:P$41)</f>
        <v>0</v>
      </c>
      <c r="J52" s="3">
        <f>SUMIFS(Stock!Q$2:Q$41,Stock!$C$2:$C$41,FuelShares!$A52,Stock!$C$2:$C$41,FuelShares!$C52)/SUMIF(Stock!$C$2:$C$41,FuelShares!$A52,Stock!Q$2:Q$41)</f>
        <v>0.00078511616038941766</v>
      </c>
      <c r="K52" s="3">
        <f>SUMIFS(Stock!R$2:R$41,Stock!$C$2:$C$41,FuelShares!$A52,Stock!$C$2:$C$41,FuelShares!$C52)/SUMIF(Stock!$C$2:$C$41,FuelShares!$A52,Stock!R$2:R$41)</f>
        <v>0</v>
      </c>
      <c r="L52" s="3">
        <f>SUMIFS(Stock!S$2:S$41,Stock!$C$2:$C$41,FuelShares!$A52,Stock!$C$2:$C$41,FuelShares!$C52)/SUMIF(Stock!$C$2:$C$41,FuelShares!$A52,Stock!S$2:S$41)</f>
        <v>0</v>
      </c>
      <c r="M52" s="3">
        <f>SUMIFS(Stock!T$2:T$41,Stock!$C$2:$C$41,FuelShares!$A52,Stock!$C$2:$C$41,FuelShares!$C52)/SUMIF(Stock!$C$2:$C$41,FuelShares!$A52,Stock!T$2:T$41)</f>
        <v>0</v>
      </c>
      <c r="N52" s="3">
        <f>SUMIFS(Stock!U$2:U$41,Stock!$C$2:$C$41,FuelShares!$A52,Stock!$C$2:$C$41,FuelShares!$C52)/SUMIF(Stock!$C$2:$C$41,FuelShares!$A52,Stock!U$2:U$41)</f>
        <v>0</v>
      </c>
      <c r="O52" s="3">
        <f>SUMIFS(Stock!V$2:V$41,Stock!$C$2:$C$41,FuelShares!$A52,Stock!$C$2:$C$41,FuelShares!$C52)/SUMIF(Stock!$C$2:$C$41,FuelShares!$A52,Stock!V$2:V$41)</f>
        <v>0</v>
      </c>
      <c r="P52" s="3">
        <f>SUMIFS(Stock!W$2:W$41,Stock!$C$2:$C$41,FuelShares!$A52,Stock!$C$2:$C$41,FuelShares!$C52)/SUMIF(Stock!$C$2:$C$41,FuelShares!$A52,Stock!W$2:W$41)</f>
        <v>0</v>
      </c>
      <c r="Q52" s="3">
        <f>SUMIFS(Stock!X$2:X$41,Stock!$C$2:$C$41,FuelShares!$A52,Stock!$C$2:$C$41,FuelShares!$C52)/SUMIF(Stock!$C$2:$C$41,FuelShares!$A52,Stock!X$2:X$41)</f>
        <v>0</v>
      </c>
      <c r="R52" s="3">
        <f>SUMIFS(Stock!Y$2:Y$41,Stock!$C$2:$C$41,FuelShares!$A52,Stock!$C$2:$C$41,FuelShares!$C52)/SUMIF(Stock!$C$2:$C$41,FuelShares!$A52,Stock!Y$2:Y$41)</f>
        <v>0</v>
      </c>
      <c r="S52" s="3">
        <f>SUMIFS(Stock!Z$2:Z$41,Stock!$C$2:$C$41,FuelShares!$A52,Stock!$C$2:$C$41,FuelShares!$C52)/SUMIF(Stock!$C$2:$C$41,FuelShares!$A52,Stock!Z$2:Z$41)</f>
        <v>0</v>
      </c>
      <c r="T52" s="3">
        <f>SUMIFS(Stock!AA$2:AA$41,Stock!$C$2:$C$41,FuelShares!$A52,Stock!$C$2:$C$41,FuelShares!$C52)/SUMIF(Stock!$C$2:$C$41,FuelShares!$A52,Stock!AA$2:AA$41)</f>
        <v>0</v>
      </c>
      <c r="U52" s="3">
        <f>SUMIFS(Stock!AB$2:AB$41,Stock!$C$2:$C$41,FuelShares!$A52,Stock!$C$2:$C$41,FuelShares!$C52)/SUMIF(Stock!$C$2:$C$41,FuelShares!$A52,Stock!AB$2:AB$41)</f>
        <v>0</v>
      </c>
      <c r="V52" s="3">
        <f>SUMIFS(Stock!AC$2:AC$41,Stock!$C$2:$C$41,FuelShares!$A52,Stock!$C$2:$C$41,FuelShares!$C52)/SUMIF(Stock!$C$2:$C$41,FuelShares!$A52,Stock!AC$2:AC$41)</f>
        <v>0</v>
      </c>
      <c r="W52" s="3">
        <f>SUMIFS(Stock!AD$2:AD$41,Stock!$C$2:$C$41,FuelShares!$A52,Stock!$C$2:$C$41,FuelShares!$C52)/SUMIF(Stock!$C$2:$C$41,FuelShares!$A52,Stock!AD$2:AD$41)</f>
        <v>0</v>
      </c>
      <c r="X52" s="3">
        <f>SUMIFS(Stock!AE$2:AE$41,Stock!$C$2:$C$41,FuelShares!$A52,Stock!$C$2:$C$41,FuelShares!$C52)/SUMIF(Stock!$C$2:$C$41,FuelShares!$A52,Stock!AE$2:AE$41)</f>
        <v>0</v>
      </c>
      <c r="Y52" s="3">
        <f>SUMIFS(Stock!AF$2:AF$41,Stock!$C$2:$C$41,FuelShares!$A52,Stock!$C$2:$C$41,FuelShares!$C52)/SUMIF(Stock!$C$2:$C$41,FuelShares!$A52,Stock!AF$2:AF$41)</f>
        <v>0</v>
      </c>
      <c r="Z52" s="3">
        <f>SUMIFS(Stock!AG$2:AG$41,Stock!$C$2:$C$41,FuelShares!$A52,Stock!$C$2:$C$41,FuelShares!$C52)/SUMIF(Stock!$C$2:$C$41,FuelShares!$A52,Stock!AG$2:AG$41)</f>
        <v>0</v>
      </c>
      <c r="AA52" s="3">
        <f>SUMIFS(Stock!AH$2:AH$41,Stock!$C$2:$C$41,FuelShares!$A52,Stock!$C$2:$C$41,FuelShares!$C52)/SUMIF(Stock!$C$2:$C$41,FuelShares!$A52,Stock!AH$2:AH$41)</f>
        <v>0</v>
      </c>
      <c r="AB52" s="3">
        <f>SUMIFS(Stock!AI$2:AI$41,Stock!$C$2:$C$41,FuelShares!$A52,Stock!$C$2:$C$41,FuelShares!$C52)/SUMIF(Stock!$C$2:$C$41,FuelShares!$A52,Stock!AI$2:AI$41)</f>
        <v>0</v>
      </c>
      <c r="AC52" s="3">
        <f>SUMIFS(Stock!AJ$2:AJ$41,Stock!$C$2:$C$41,FuelShares!$A52,Stock!$C$2:$C$41,FuelShares!$C52)/SUMIF(Stock!$C$2:$C$41,FuelShares!$A52,Stock!AJ$2:AJ$41)</f>
        <v>0</v>
      </c>
      <c r="AD52" s="3">
        <f>SUMIFS(Stock!AK$2:AK$41,Stock!$C$2:$C$41,FuelShares!$A52,Stock!$C$2:$C$41,FuelShares!$C52)/SUMIF(Stock!$C$2:$C$41,FuelShares!$A52,Stock!AK$2:AK$41)</f>
        <v>0</v>
      </c>
      <c r="AE52" s="3">
        <f>SUMIFS(Stock!AL$2:AL$41,Stock!$C$2:$C$41,FuelShares!$A52,Stock!$C$2:$C$41,FuelShares!$C52)/SUMIF(Stock!$C$2:$C$41,FuelShares!$A52,Stock!AL$2:AL$41)</f>
        <v>0</v>
      </c>
      <c r="AF52" s="3">
        <f>SUMIFS(Stock!AM$2:AM$41,Stock!$C$2:$C$41,FuelShares!$A52,Stock!$C$2:$C$41,FuelShares!$C52)/SUMIF(Stock!$C$2:$C$41,FuelShares!$A52,Stock!AM$2:AM$41)</f>
        <v>0</v>
      </c>
      <c r="AG52" s="3">
        <f>SUMIFS(Stock!AN$2:AN$41,Stock!$C$2:$C$41,FuelShares!$A52,Stock!$C$2:$C$41,FuelShares!$C52)/SUMIF(Stock!$C$2:$C$41,FuelShares!$A52,Stock!AN$2:AN$41)</f>
        <v>0</v>
      </c>
      <c r="AH52" s="3">
        <f>SUMIFS(Stock!AO$2:AO$41,Stock!$C$2:$C$41,FuelShares!$A52,Stock!$C$2:$C$41,FuelShares!$C52)/SUMIF(Stock!$C$2:$C$41,FuelShares!$A52,Stock!AO$2:AO$41)</f>
        <v>0</v>
      </c>
      <c r="AI52" s="3">
        <f>SUMIFS(Stock!AP$2:AP$41,Stock!$C$2:$C$41,FuelShares!$A52,Stock!$C$2:$C$41,FuelShares!$C52)/SUMIF(Stock!$C$2:$C$41,FuelShares!$A52,Stock!AP$2:AP$41)</f>
        <v>0</v>
      </c>
      <c r="AJ52" s="3">
        <f>SUMIFS(Stock!AQ$2:AQ$41,Stock!$C$2:$C$41,FuelShares!$A52,Stock!$C$2:$C$41,FuelShares!$C52)/SUMIF(Stock!$C$2:$C$41,FuelShares!$A52,Stock!AQ$2:AQ$41)</f>
        <v>0</v>
      </c>
      <c r="AK52" s="3">
        <f>SUMIFS(Stock!AR$2:AR$41,Stock!$C$2:$C$41,FuelShares!$A52,Stock!$C$2:$C$41,FuelShares!$C52)/SUMIF(Stock!$C$2:$C$41,FuelShares!$A52,Stock!AR$2:AR$41)</f>
        <v>0</v>
      </c>
      <c r="AL52" s="3">
        <f>SUMIFS(Stock!AS$2:AS$41,Stock!$C$2:$C$41,FuelShares!$A52,Stock!$C$2:$C$41,FuelShares!$C52)/SUMIF(Stock!$C$2:$C$41,FuelShares!$A52,Stock!AS$2:AS$41)</f>
        <v>0.046956086449349246</v>
      </c>
      <c r="AM52" s="3">
        <f>SUMIFS(Stock!AT$2:AT$41,Stock!$C$2:$C$41,FuelShares!$A52,Stock!$C$2:$C$41,FuelShares!$C52)/SUMIF(Stock!$C$2:$C$41,FuelShares!$A52,Stock!AT$2:AT$41)</f>
        <v>0</v>
      </c>
      <c r="AN52" s="3">
        <f>SUMIFS(Stock!AU$2:AU$41,Stock!$C$2:$C$41,FuelShares!$A52,Stock!$C$2:$C$41,FuelShares!$C52)/SUMIF(Stock!$C$2:$C$41,FuelShares!$A52,Stock!AU$2:AU$41)</f>
        <v>0</v>
      </c>
      <c r="AO52" s="3">
        <f>SUMIFS(Stock!AV$2:AV$41,Stock!$C$2:$C$41,FuelShares!$A52,Stock!$C$2:$C$41,FuelShares!$C52)/SUMIF(Stock!$C$2:$C$41,FuelShares!$A52,Stock!AV$2:AV$41)</f>
        <v>0</v>
      </c>
    </row>
    <row r="53" spans="1:41" ht="13.2">
      <c r="A53" t="s">
        <v>96</v>
      </c>
      <c r="C53" t="s">
        <v>101</v>
      </c>
      <c r="E53" s="3">
        <f>SUMIFS(Stock!L$2:L$41,Stock!$C$2:$C$41,FuelShares!$A53,Stock!$C$2:$C$41,FuelShares!$C53)/SUMIF(Stock!$C$2:$C$41,FuelShares!$A53,Stock!L$2:L$41)</f>
        <v>0.83215162812564492</v>
      </c>
      <c r="F53" s="3">
        <f>SUMIFS(Stock!M$2:M$41,Stock!$C$2:$C$41,FuelShares!$A53,Stock!$C$2:$C$41,FuelShares!$C53)/SUMIF(Stock!$C$2:$C$41,FuelShares!$A53,Stock!M$2:M$41)</f>
        <v>0.43643438152255137</v>
      </c>
      <c r="G53" s="3">
        <f>SUMIFS(Stock!N$2:N$41,Stock!$C$2:$C$41,FuelShares!$A53,Stock!$C$2:$C$41,FuelShares!$C53)/SUMIF(Stock!$C$2:$C$41,FuelShares!$A53,Stock!N$2:N$41)</f>
        <v>0.50457850752896449</v>
      </c>
      <c r="H53" s="3">
        <f>SUMIFS(Stock!O$2:O$41,Stock!$C$2:$C$41,FuelShares!$A53,Stock!$C$2:$C$41,FuelShares!$C53)/SUMIF(Stock!$C$2:$C$41,FuelShares!$A53,Stock!O$2:O$41)</f>
        <v>0.38536334091952085</v>
      </c>
      <c r="I53" s="3">
        <f>SUMIFS(Stock!P$2:P$41,Stock!$C$2:$C$41,FuelShares!$A53,Stock!$C$2:$C$41,FuelShares!$C53)/SUMIF(Stock!$C$2:$C$41,FuelShares!$A53,Stock!P$2:P$41)</f>
        <v>0.59746629939677465</v>
      </c>
      <c r="J53" s="3">
        <f>SUMIFS(Stock!Q$2:Q$41,Stock!$C$2:$C$41,FuelShares!$A53,Stock!$C$2:$C$41,FuelShares!$C53)/SUMIF(Stock!$C$2:$C$41,FuelShares!$A53,Stock!Q$2:Q$41)</f>
        <v>0.81557376043652452</v>
      </c>
      <c r="K53" s="3">
        <f>SUMIFS(Stock!R$2:R$41,Stock!$C$2:$C$41,FuelShares!$A53,Stock!$C$2:$C$41,FuelShares!$C53)/SUMIF(Stock!$C$2:$C$41,FuelShares!$A53,Stock!R$2:R$41)</f>
        <v>0.89484509096348375</v>
      </c>
      <c r="L53" s="3">
        <f>SUMIFS(Stock!S$2:S$41,Stock!$C$2:$C$41,FuelShares!$A53,Stock!$C$2:$C$41,FuelShares!$C53)/SUMIF(Stock!$C$2:$C$41,FuelShares!$A53,Stock!S$2:S$41)</f>
        <v>0.73064946619217086</v>
      </c>
      <c r="M53" s="3">
        <f>SUMIFS(Stock!T$2:T$41,Stock!$C$2:$C$41,FuelShares!$A53,Stock!$C$2:$C$41,FuelShares!$C53)/SUMIF(Stock!$C$2:$C$41,FuelShares!$A53,Stock!T$2:T$41)</f>
        <v>0.72400211136717751</v>
      </c>
      <c r="N53" s="3">
        <f>SUMIFS(Stock!U$2:U$41,Stock!$C$2:$C$41,FuelShares!$A53,Stock!$C$2:$C$41,FuelShares!$C53)/SUMIF(Stock!$C$2:$C$41,FuelShares!$A53,Stock!U$2:U$41)</f>
        <v>0.75353335582244363</v>
      </c>
      <c r="O53" s="3">
        <f>SUMIFS(Stock!V$2:V$41,Stock!$C$2:$C$41,FuelShares!$A53,Stock!$C$2:$C$41,FuelShares!$C53)/SUMIF(Stock!$C$2:$C$41,FuelShares!$A53,Stock!V$2:V$41)</f>
        <v>0.72801573012413534</v>
      </c>
      <c r="P53" s="3">
        <f>SUMIFS(Stock!W$2:W$41,Stock!$C$2:$C$41,FuelShares!$A53,Stock!$C$2:$C$41,FuelShares!$C53)/SUMIF(Stock!$C$2:$C$41,FuelShares!$A53,Stock!W$2:W$41)</f>
        <v>0.97111486389348423</v>
      </c>
      <c r="Q53" s="3">
        <f>SUMIFS(Stock!X$2:X$41,Stock!$C$2:$C$41,FuelShares!$A53,Stock!$C$2:$C$41,FuelShares!$C53)/SUMIF(Stock!$C$2:$C$41,FuelShares!$A53,Stock!X$2:X$41)</f>
        <v>0.48216569483883553</v>
      </c>
      <c r="R53" s="3">
        <f>SUMIFS(Stock!Y$2:Y$41,Stock!$C$2:$C$41,FuelShares!$A53,Stock!$C$2:$C$41,FuelShares!$C53)/SUMIF(Stock!$C$2:$C$41,FuelShares!$A53,Stock!Y$2:Y$41)</f>
        <v>0.80601890756302519</v>
      </c>
      <c r="S53" s="3">
        <f>SUMIFS(Stock!Z$2:Z$41,Stock!$C$2:$C$41,FuelShares!$A53,Stock!$C$2:$C$41,FuelShares!$C53)/SUMIF(Stock!$C$2:$C$41,FuelShares!$A53,Stock!Z$2:Z$41)</f>
        <v>0.39680072942680933</v>
      </c>
      <c r="T53" s="3">
        <f>SUMIFS(Stock!AA$2:AA$41,Stock!$C$2:$C$41,FuelShares!$A53,Stock!$C$2:$C$41,FuelShares!$C53)/SUMIF(Stock!$C$2:$C$41,FuelShares!$A53,Stock!AA$2:AA$41)</f>
        <v>0.6319796273957915</v>
      </c>
      <c r="U53" s="3">
        <f>SUMIFS(Stock!AB$2:AB$41,Stock!$C$2:$C$41,FuelShares!$A53,Stock!$C$2:$C$41,FuelShares!$C53)/SUMIF(Stock!$C$2:$C$41,FuelShares!$A53,Stock!AB$2:AB$41)</f>
        <v>0.79069229686526044</v>
      </c>
      <c r="V53" s="3">
        <f>SUMIFS(Stock!AC$2:AC$41,Stock!$C$2:$C$41,FuelShares!$A53,Stock!$C$2:$C$41,FuelShares!$C53)/SUMIF(Stock!$C$2:$C$41,FuelShares!$A53,Stock!AC$2:AC$41)</f>
        <v>0.73844024190619562</v>
      </c>
      <c r="W53" s="3">
        <f>SUMIFS(Stock!AD$2:AD$41,Stock!$C$2:$C$41,FuelShares!$A53,Stock!$C$2:$C$41,FuelShares!$C53)/SUMIF(Stock!$C$2:$C$41,FuelShares!$A53,Stock!AD$2:AD$41)</f>
        <v>0.81275659824046942</v>
      </c>
      <c r="X53" s="3">
        <f>SUMIFS(Stock!AE$2:AE$41,Stock!$C$2:$C$41,FuelShares!$A53,Stock!$C$2:$C$41,FuelShares!$C53)/SUMIF(Stock!$C$2:$C$41,FuelShares!$A53,Stock!AE$2:AE$41)</f>
        <v>0.54142837137506095</v>
      </c>
      <c r="Y53" s="3">
        <f>SUMIFS(Stock!AF$2:AF$41,Stock!$C$2:$C$41,FuelShares!$A53,Stock!$C$2:$C$41,FuelShares!$C53)/SUMIF(Stock!$C$2:$C$41,FuelShares!$A53,Stock!AF$2:AF$41)</f>
        <v>0.48281879571994668</v>
      </c>
      <c r="Z53" s="3">
        <f>SUMIFS(Stock!AG$2:AG$41,Stock!$C$2:$C$41,FuelShares!$A53,Stock!$C$2:$C$41,FuelShares!$C53)/SUMIF(Stock!$C$2:$C$41,FuelShares!$A53,Stock!AG$2:AG$41)</f>
        <v>0.66943298252121097</v>
      </c>
      <c r="AA53" s="3">
        <f>SUMIFS(Stock!AH$2:AH$41,Stock!$C$2:$C$41,FuelShares!$A53,Stock!$C$2:$C$41,FuelShares!$C53)/SUMIF(Stock!$C$2:$C$41,FuelShares!$A53,Stock!AH$2:AH$41)</f>
        <v>0.35931750741839769</v>
      </c>
      <c r="AB53" s="3">
        <f>SUMIFS(Stock!AI$2:AI$41,Stock!$C$2:$C$41,FuelShares!$A53,Stock!$C$2:$C$41,FuelShares!$C53)/SUMIF(Stock!$C$2:$C$41,FuelShares!$A53,Stock!AI$2:AI$41)</f>
        <v>0.63932841415775554</v>
      </c>
      <c r="AC53" s="3">
        <f>SUMIFS(Stock!AJ$2:AJ$41,Stock!$C$2:$C$41,FuelShares!$A53,Stock!$C$2:$C$41,FuelShares!$C53)/SUMIF(Stock!$C$2:$C$41,FuelShares!$A53,Stock!AJ$2:AJ$41)</f>
        <v>0.8964699889933907</v>
      </c>
      <c r="AD53" s="3">
        <f>SUMIFS(Stock!AK$2:AK$41,Stock!$C$2:$C$41,FuelShares!$A53,Stock!$C$2:$C$41,FuelShares!$C53)/SUMIF(Stock!$C$2:$C$41,FuelShares!$A53,Stock!AK$2:AK$41)</f>
        <v>0.73238982559076715</v>
      </c>
      <c r="AE53" s="3">
        <f>SUMIFS(Stock!AL$2:AL$41,Stock!$C$2:$C$41,FuelShares!$A53,Stock!$C$2:$C$41,FuelShares!$C53)/SUMIF(Stock!$C$2:$C$41,FuelShares!$A53,Stock!AL$2:AL$41)</f>
        <v>0.71941401062416999</v>
      </c>
      <c r="AF53" s="3">
        <f>SUMIFS(Stock!AM$2:AM$41,Stock!$C$2:$C$41,FuelShares!$A53,Stock!$C$2:$C$41,FuelShares!$C53)/SUMIF(Stock!$C$2:$C$41,FuelShares!$A53,Stock!AM$2:AM$41)</f>
        <v>0.79757908248674025</v>
      </c>
      <c r="AG53" s="3">
        <f>SUMIFS(Stock!AN$2:AN$41,Stock!$C$2:$C$41,FuelShares!$A53,Stock!$C$2:$C$41,FuelShares!$C53)/SUMIF(Stock!$C$2:$C$41,FuelShares!$A53,Stock!AN$2:AN$41)</f>
        <v>0.6962989649051895</v>
      </c>
      <c r="AH53" s="3">
        <f>SUMIFS(Stock!AO$2:AO$41,Stock!$C$2:$C$41,FuelShares!$A53,Stock!$C$2:$C$41,FuelShares!$C53)/SUMIF(Stock!$C$2:$C$41,FuelShares!$A53,Stock!AO$2:AO$41)</f>
        <v>0.61003457658618121</v>
      </c>
      <c r="AI53" s="3">
        <f>SUMIFS(Stock!AP$2:AP$41,Stock!$C$2:$C$41,FuelShares!$A53,Stock!$C$2:$C$41,FuelShares!$C53)/SUMIF(Stock!$C$2:$C$41,FuelShares!$A53,Stock!AP$2:AP$41)</f>
        <v>0.5475255754475703</v>
      </c>
      <c r="AJ53" s="3">
        <f>SUMIFS(Stock!AQ$2:AQ$41,Stock!$C$2:$C$41,FuelShares!$A53,Stock!$C$2:$C$41,FuelShares!$C53)/SUMIF(Stock!$C$2:$C$41,FuelShares!$A53,Stock!AQ$2:AQ$41)</f>
        <v>0.67752714645025491</v>
      </c>
      <c r="AK53" s="3">
        <f>SUMIFS(Stock!AR$2:AR$41,Stock!$C$2:$C$41,FuelShares!$A53,Stock!$C$2:$C$41,FuelShares!$C53)/SUMIF(Stock!$C$2:$C$41,FuelShares!$A53,Stock!AR$2:AR$41)</f>
        <v>0.49025918539184649</v>
      </c>
      <c r="AL53" s="3">
        <f>SUMIFS(Stock!AS$2:AS$41,Stock!$C$2:$C$41,FuelShares!$A53,Stock!$C$2:$C$41,FuelShares!$C53)/SUMIF(Stock!$C$2:$C$41,FuelShares!$A53,Stock!AS$2:AS$41)</f>
        <v>0.7958148484931985</v>
      </c>
      <c r="AM53" s="3">
        <f>SUMIFS(Stock!AT$2:AT$41,Stock!$C$2:$C$41,FuelShares!$A53,Stock!$C$2:$C$41,FuelShares!$C53)/SUMIF(Stock!$C$2:$C$41,FuelShares!$A53,Stock!AT$2:AT$41)</f>
        <v>0.65263401109057295</v>
      </c>
      <c r="AN53" s="3">
        <f>SUMIFS(Stock!AU$2:AU$41,Stock!$C$2:$C$41,FuelShares!$A53,Stock!$C$2:$C$41,FuelShares!$C53)/SUMIF(Stock!$C$2:$C$41,FuelShares!$A53,Stock!AU$2:AU$41)</f>
        <v>0.70885931855082707</v>
      </c>
      <c r="AO53" s="3">
        <f>SUMIFS(Stock!AV$2:AV$41,Stock!$C$2:$C$41,FuelShares!$A53,Stock!$C$2:$C$41,FuelShares!$C53)/SUMIF(Stock!$C$2:$C$41,FuelShares!$A53,Stock!AV$2:AV$41)</f>
        <v>0.7093261310173552</v>
      </c>
    </row>
    <row r="54" spans="1:41" ht="13.2">
      <c r="A54" t="s">
        <v>96</v>
      </c>
      <c r="C54" t="s">
        <v>95</v>
      </c>
      <c r="E54" s="3">
        <f>SUMIFS(Stock!L$2:L$41,Stock!$C$2:$C$41,FuelShares!$A54,Stock!$C$2:$C$41,FuelShares!$C54)/SUMIF(Stock!$C$2:$C$41,FuelShares!$A54,Stock!L$2:L$41)</f>
        <v>0</v>
      </c>
      <c r="F54" s="3">
        <f>SUMIFS(Stock!M$2:M$41,Stock!$C$2:$C$41,FuelShares!$A54,Stock!$C$2:$C$41,FuelShares!$C54)/SUMIF(Stock!$C$2:$C$41,FuelShares!$A54,Stock!M$2:M$41)</f>
        <v>0</v>
      </c>
      <c r="G54" s="3">
        <f>SUMIFS(Stock!N$2:N$41,Stock!$C$2:$C$41,FuelShares!$A54,Stock!$C$2:$C$41,FuelShares!$C54)/SUMIF(Stock!$C$2:$C$41,FuelShares!$A54,Stock!N$2:N$41)</f>
        <v>0</v>
      </c>
      <c r="H54" s="3">
        <f>SUMIFS(Stock!O$2:O$41,Stock!$C$2:$C$41,FuelShares!$A54,Stock!$C$2:$C$41,FuelShares!$C54)/SUMIF(Stock!$C$2:$C$41,FuelShares!$A54,Stock!O$2:O$41)</f>
        <v>0.0067151808041358762</v>
      </c>
      <c r="I54" s="3">
        <f>SUMIFS(Stock!P$2:P$41,Stock!$C$2:$C$41,FuelShares!$A54,Stock!$C$2:$C$41,FuelShares!$C54)/SUMIF(Stock!$C$2:$C$41,FuelShares!$A54,Stock!P$2:P$41)</f>
        <v>0.037817001107965036</v>
      </c>
      <c r="J54" s="3">
        <f>SUMIFS(Stock!Q$2:Q$41,Stock!$C$2:$C$41,FuelShares!$A54,Stock!$C$2:$C$41,FuelShares!$C54)/SUMIF(Stock!$C$2:$C$41,FuelShares!$A54,Stock!Q$2:Q$41)</f>
        <v>0</v>
      </c>
      <c r="K54" s="3">
        <f>SUMIFS(Stock!R$2:R$41,Stock!$C$2:$C$41,FuelShares!$A54,Stock!$C$2:$C$41,FuelShares!$C54)/SUMIF(Stock!$C$2:$C$41,FuelShares!$A54,Stock!R$2:R$41)</f>
        <v>0</v>
      </c>
      <c r="L54" s="3">
        <f>SUMIFS(Stock!S$2:S$41,Stock!$C$2:$C$41,FuelShares!$A54,Stock!$C$2:$C$41,FuelShares!$C54)/SUMIF(Stock!$C$2:$C$41,FuelShares!$A54,Stock!S$2:S$41)</f>
        <v>0</v>
      </c>
      <c r="M54" s="3">
        <f>SUMIFS(Stock!T$2:T$41,Stock!$C$2:$C$41,FuelShares!$A54,Stock!$C$2:$C$41,FuelShares!$C54)/SUMIF(Stock!$C$2:$C$41,FuelShares!$A54,Stock!T$2:T$41)</f>
        <v>0.0097951978638609848</v>
      </c>
      <c r="N54" s="3">
        <f>SUMIFS(Stock!U$2:U$41,Stock!$C$2:$C$41,FuelShares!$A54,Stock!$C$2:$C$41,FuelShares!$C54)/SUMIF(Stock!$C$2:$C$41,FuelShares!$A54,Stock!U$2:U$41)</f>
        <v>6.2304907686378872E-06</v>
      </c>
      <c r="O54" s="3">
        <f>SUMIFS(Stock!V$2:V$41,Stock!$C$2:$C$41,FuelShares!$A54,Stock!$C$2:$C$41,FuelShares!$C54)/SUMIF(Stock!$C$2:$C$41,FuelShares!$A54,Stock!V$2:V$41)</f>
        <v>0</v>
      </c>
      <c r="P54" s="3">
        <f>SUMIFS(Stock!W$2:W$41,Stock!$C$2:$C$41,FuelShares!$A54,Stock!$C$2:$C$41,FuelShares!$C54)/SUMIF(Stock!$C$2:$C$41,FuelShares!$A54,Stock!W$2:W$41)</f>
        <v>0.0013187984366104582</v>
      </c>
      <c r="Q54" s="3">
        <f>SUMIFS(Stock!X$2:X$41,Stock!$C$2:$C$41,FuelShares!$A54,Stock!$C$2:$C$41,FuelShares!$C54)/SUMIF(Stock!$C$2:$C$41,FuelShares!$A54,Stock!X$2:X$41)</f>
        <v>0</v>
      </c>
      <c r="R54" s="3">
        <f>SUMIFS(Stock!Y$2:Y$41,Stock!$C$2:$C$41,FuelShares!$A54,Stock!$C$2:$C$41,FuelShares!$C54)/SUMIF(Stock!$C$2:$C$41,FuelShares!$A54,Stock!Y$2:Y$41)</f>
        <v>0</v>
      </c>
      <c r="S54" s="3">
        <f>SUMIFS(Stock!Z$2:Z$41,Stock!$C$2:$C$41,FuelShares!$A54,Stock!$C$2:$C$41,FuelShares!$C54)/SUMIF(Stock!$C$2:$C$41,FuelShares!$A54,Stock!Z$2:Z$41)</f>
        <v>0.0068176684657028268</v>
      </c>
      <c r="T54" s="3">
        <f>SUMIFS(Stock!AA$2:AA$41,Stock!$C$2:$C$41,FuelShares!$A54,Stock!$C$2:$C$41,FuelShares!$C54)/SUMIF(Stock!$C$2:$C$41,FuelShares!$A54,Stock!AA$2:AA$41)</f>
        <v>0.032026537997587458</v>
      </c>
      <c r="U54" s="3">
        <f>SUMIFS(Stock!AB$2:AB$41,Stock!$C$2:$C$41,FuelShares!$A54,Stock!$C$2:$C$41,FuelShares!$C54)/SUMIF(Stock!$C$2:$C$41,FuelShares!$A54,Stock!AB$2:AB$41)</f>
        <v>0.001598536183218386</v>
      </c>
      <c r="V54" s="3">
        <f>SUMIFS(Stock!AC$2:AC$41,Stock!$C$2:$C$41,FuelShares!$A54,Stock!$C$2:$C$41,FuelShares!$C54)/SUMIF(Stock!$C$2:$C$41,FuelShares!$A54,Stock!AC$2:AC$41)</f>
        <v>0.00032633124726960753</v>
      </c>
      <c r="W54" s="3">
        <f>SUMIFS(Stock!AD$2:AD$41,Stock!$C$2:$C$41,FuelShares!$A54,Stock!$C$2:$C$41,FuelShares!$C54)/SUMIF(Stock!$C$2:$C$41,FuelShares!$A54,Stock!AD$2:AD$41)</f>
        <v>0</v>
      </c>
      <c r="X54" s="3">
        <f>SUMIFS(Stock!AE$2:AE$41,Stock!$C$2:$C$41,FuelShares!$A54,Stock!$C$2:$C$41,FuelShares!$C54)/SUMIF(Stock!$C$2:$C$41,FuelShares!$A54,Stock!AE$2:AE$41)</f>
        <v>0.056506717521999782</v>
      </c>
      <c r="Y54" s="3">
        <f>SUMIFS(Stock!AF$2:AF$41,Stock!$C$2:$C$41,FuelShares!$A54,Stock!$C$2:$C$41,FuelShares!$C54)/SUMIF(Stock!$C$2:$C$41,FuelShares!$A54,Stock!AF$2:AF$41)</f>
        <v>0.044592081040771767</v>
      </c>
      <c r="Z54" s="3">
        <f>SUMIFS(Stock!AG$2:AG$41,Stock!$C$2:$C$41,FuelShares!$A54,Stock!$C$2:$C$41,FuelShares!$C54)/SUMIF(Stock!$C$2:$C$41,FuelShares!$A54,Stock!AG$2:AG$41)</f>
        <v>0</v>
      </c>
      <c r="AA54" s="3">
        <f>SUMIFS(Stock!AH$2:AH$41,Stock!$C$2:$C$41,FuelShares!$A54,Stock!$C$2:$C$41,FuelShares!$C54)/SUMIF(Stock!$C$2:$C$41,FuelShares!$A54,Stock!AH$2:AH$41)</f>
        <v>0</v>
      </c>
      <c r="AB54" s="3">
        <f>SUMIFS(Stock!AI$2:AI$41,Stock!$C$2:$C$41,FuelShares!$A54,Stock!$C$2:$C$41,FuelShares!$C54)/SUMIF(Stock!$C$2:$C$41,FuelShares!$A54,Stock!AI$2:AI$41)</f>
        <v>0.030718541609122831</v>
      </c>
      <c r="AC54" s="3">
        <f>SUMIFS(Stock!AJ$2:AJ$41,Stock!$C$2:$C$41,FuelShares!$A54,Stock!$C$2:$C$41,FuelShares!$C54)/SUMIF(Stock!$C$2:$C$41,FuelShares!$A54,Stock!AJ$2:AJ$41)</f>
        <v>0</v>
      </c>
      <c r="AD54" s="3">
        <f>SUMIFS(Stock!AK$2:AK$41,Stock!$C$2:$C$41,FuelShares!$A54,Stock!$C$2:$C$41,FuelShares!$C54)/SUMIF(Stock!$C$2:$C$41,FuelShares!$A54,Stock!AK$2:AK$41)</f>
        <v>0.035784519165672657</v>
      </c>
      <c r="AE54" s="3">
        <f>SUMIFS(Stock!AL$2:AL$41,Stock!$C$2:$C$41,FuelShares!$A54,Stock!$C$2:$C$41,FuelShares!$C54)/SUMIF(Stock!$C$2:$C$41,FuelShares!$A54,Stock!AL$2:AL$41)</f>
        <v>0</v>
      </c>
      <c r="AF54" s="3">
        <f>SUMIFS(Stock!AM$2:AM$41,Stock!$C$2:$C$41,FuelShares!$A54,Stock!$C$2:$C$41,FuelShares!$C54)/SUMIF(Stock!$C$2:$C$41,FuelShares!$A54,Stock!AM$2:AM$41)</f>
        <v>0.027275394879206188</v>
      </c>
      <c r="AG54" s="3">
        <f>SUMIFS(Stock!AN$2:AN$41,Stock!$C$2:$C$41,FuelShares!$A54,Stock!$C$2:$C$41,FuelShares!$C54)/SUMIF(Stock!$C$2:$C$41,FuelShares!$A54,Stock!AN$2:AN$41)</f>
        <v>0</v>
      </c>
      <c r="AH54" s="3">
        <f>SUMIFS(Stock!AO$2:AO$41,Stock!$C$2:$C$41,FuelShares!$A54,Stock!$C$2:$C$41,FuelShares!$C54)/SUMIF(Stock!$C$2:$C$41,FuelShares!$A54,Stock!AO$2:AO$41)</f>
        <v>0.14373558221321472</v>
      </c>
      <c r="AI54" s="3">
        <f>SUMIFS(Stock!AP$2:AP$41,Stock!$C$2:$C$41,FuelShares!$A54,Stock!$C$2:$C$41,FuelShares!$C54)/SUMIF(Stock!$C$2:$C$41,FuelShares!$A54,Stock!AP$2:AP$41)</f>
        <v>0.0080967604433077565</v>
      </c>
      <c r="AJ54" s="3">
        <f>SUMIFS(Stock!AQ$2:AQ$41,Stock!$C$2:$C$41,FuelShares!$A54,Stock!$C$2:$C$41,FuelShares!$C54)/SUMIF(Stock!$C$2:$C$41,FuelShares!$A54,Stock!AQ$2:AQ$41)</f>
        <v>0.040366334602320648</v>
      </c>
      <c r="AK54" s="3">
        <f>SUMIFS(Stock!AR$2:AR$41,Stock!$C$2:$C$41,FuelShares!$A54,Stock!$C$2:$C$41,FuelShares!$C54)/SUMIF(Stock!$C$2:$C$41,FuelShares!$A54,Stock!AR$2:AR$41)</f>
        <v>0.17380923206650783</v>
      </c>
      <c r="AL54" s="3">
        <f>SUMIFS(Stock!AS$2:AS$41,Stock!$C$2:$C$41,FuelShares!$A54,Stock!$C$2:$C$41,FuelShares!$C54)/SUMIF(Stock!$C$2:$C$41,FuelShares!$A54,Stock!AS$2:AS$41)</f>
        <v>0</v>
      </c>
      <c r="AM54" s="3">
        <f>SUMIFS(Stock!AT$2:AT$41,Stock!$C$2:$C$41,FuelShares!$A54,Stock!$C$2:$C$41,FuelShares!$C54)/SUMIF(Stock!$C$2:$C$41,FuelShares!$A54,Stock!AT$2:AT$41)</f>
        <v>0</v>
      </c>
      <c r="AN54" s="3">
        <f>SUMIFS(Stock!AU$2:AU$41,Stock!$C$2:$C$41,FuelShares!$A54,Stock!$C$2:$C$41,FuelShares!$C54)/SUMIF(Stock!$C$2:$C$41,FuelShares!$A54,Stock!AU$2:AU$41)</f>
        <v>0.032287054622578769</v>
      </c>
      <c r="AO54" s="3">
        <f>SUMIFS(Stock!AV$2:AV$41,Stock!$C$2:$C$41,FuelShares!$A54,Stock!$C$2:$C$41,FuelShares!$C54)/SUMIF(Stock!$C$2:$C$41,FuelShares!$A54,Stock!AV$2:AV$41)</f>
        <v>0.00091758239625231103</v>
      </c>
    </row>
    <row r="55" spans="1:41" ht="13.2">
      <c r="A55" t="s">
        <v>96</v>
      </c>
      <c r="C55" t="s">
        <v>103</v>
      </c>
      <c r="E55" s="3">
        <f>SUMIFS(Stock!L$2:L$41,Stock!$C$2:$C$41,FuelShares!$A55,Stock!$C$2:$C$41,FuelShares!$C55)/SUMIF(Stock!$C$2:$C$41,FuelShares!$A55,Stock!L$2:L$41)</f>
        <v>0</v>
      </c>
      <c r="F55" s="3">
        <f>SUMIFS(Stock!M$2:M$41,Stock!$C$2:$C$41,FuelShares!$A55,Stock!$C$2:$C$41,FuelShares!$C55)/SUMIF(Stock!$C$2:$C$41,FuelShares!$A55,Stock!M$2:M$41)</f>
        <v>0</v>
      </c>
      <c r="G55" s="3">
        <f>SUMIFS(Stock!N$2:N$41,Stock!$C$2:$C$41,FuelShares!$A55,Stock!$C$2:$C$41,FuelShares!$C55)/SUMIF(Stock!$C$2:$C$41,FuelShares!$A55,Stock!N$2:N$41)</f>
        <v>0</v>
      </c>
      <c r="H55" s="3">
        <f>SUMIFS(Stock!O$2:O$41,Stock!$C$2:$C$41,FuelShares!$A55,Stock!$C$2:$C$41,FuelShares!$C55)/SUMIF(Stock!$C$2:$C$41,FuelShares!$A55,Stock!O$2:O$41)</f>
        <v>0</v>
      </c>
      <c r="I55" s="3">
        <f>SUMIFS(Stock!P$2:P$41,Stock!$C$2:$C$41,FuelShares!$A55,Stock!$C$2:$C$41,FuelShares!$C55)/SUMIF(Stock!$C$2:$C$41,FuelShares!$A55,Stock!P$2:P$41)</f>
        <v>0</v>
      </c>
      <c r="J55" s="3">
        <f>SUMIFS(Stock!Q$2:Q$41,Stock!$C$2:$C$41,FuelShares!$A55,Stock!$C$2:$C$41,FuelShares!$C55)/SUMIF(Stock!$C$2:$C$41,FuelShares!$A55,Stock!Q$2:Q$41)</f>
        <v>0</v>
      </c>
      <c r="K55" s="3">
        <f>SUMIFS(Stock!R$2:R$41,Stock!$C$2:$C$41,FuelShares!$A55,Stock!$C$2:$C$41,FuelShares!$C55)/SUMIF(Stock!$C$2:$C$41,FuelShares!$A55,Stock!R$2:R$41)</f>
        <v>0</v>
      </c>
      <c r="L55" s="3">
        <f>SUMIFS(Stock!S$2:S$41,Stock!$C$2:$C$41,FuelShares!$A55,Stock!$C$2:$C$41,FuelShares!$C55)/SUMIF(Stock!$C$2:$C$41,FuelShares!$A55,Stock!S$2:S$41)</f>
        <v>0.001112099644128114</v>
      </c>
      <c r="M55" s="3">
        <f>SUMIFS(Stock!T$2:T$41,Stock!$C$2:$C$41,FuelShares!$A55,Stock!$C$2:$C$41,FuelShares!$C55)/SUMIF(Stock!$C$2:$C$41,FuelShares!$A55,Stock!T$2:T$41)</f>
        <v>0</v>
      </c>
      <c r="N55" s="3">
        <f>SUMIFS(Stock!U$2:U$41,Stock!$C$2:$C$41,FuelShares!$A55,Stock!$C$2:$C$41,FuelShares!$C55)/SUMIF(Stock!$C$2:$C$41,FuelShares!$A55,Stock!U$2:U$41)</f>
        <v>0.00015131191883984815</v>
      </c>
      <c r="O55" s="3">
        <f>SUMIFS(Stock!V$2:V$41,Stock!$C$2:$C$41,FuelShares!$A55,Stock!$C$2:$C$41,FuelShares!$C55)/SUMIF(Stock!$C$2:$C$41,FuelShares!$A55,Stock!V$2:V$41)</f>
        <v>0</v>
      </c>
      <c r="P55" s="3">
        <f>SUMIFS(Stock!W$2:W$41,Stock!$C$2:$C$41,FuelShares!$A55,Stock!$C$2:$C$41,FuelShares!$C55)/SUMIF(Stock!$C$2:$C$41,FuelShares!$A55,Stock!W$2:W$41)</f>
        <v>0</v>
      </c>
      <c r="Q55" s="3">
        <f>SUMIFS(Stock!X$2:X$41,Stock!$C$2:$C$41,FuelShares!$A55,Stock!$C$2:$C$41,FuelShares!$C55)/SUMIF(Stock!$C$2:$C$41,FuelShares!$A55,Stock!X$2:X$41)</f>
        <v>0</v>
      </c>
      <c r="R55" s="3">
        <f>SUMIFS(Stock!Y$2:Y$41,Stock!$C$2:$C$41,FuelShares!$A55,Stock!$C$2:$C$41,FuelShares!$C55)/SUMIF(Stock!$C$2:$C$41,FuelShares!$A55,Stock!Y$2:Y$41)</f>
        <v>0</v>
      </c>
      <c r="S55" s="3">
        <f>SUMIFS(Stock!Z$2:Z$41,Stock!$C$2:$C$41,FuelShares!$A55,Stock!$C$2:$C$41,FuelShares!$C55)/SUMIF(Stock!$C$2:$C$41,FuelShares!$A55,Stock!Z$2:Z$41)</f>
        <v>0</v>
      </c>
      <c r="T55" s="3">
        <f>SUMIFS(Stock!AA$2:AA$41,Stock!$C$2:$C$41,FuelShares!$A55,Stock!$C$2:$C$41,FuelShares!$C55)/SUMIF(Stock!$C$2:$C$41,FuelShares!$A55,Stock!AA$2:AA$41)</f>
        <v>0</v>
      </c>
      <c r="U55" s="3">
        <f>SUMIFS(Stock!AB$2:AB$41,Stock!$C$2:$C$41,FuelShares!$A55,Stock!$C$2:$C$41,FuelShares!$C55)/SUMIF(Stock!$C$2:$C$41,FuelShares!$A55,Stock!AB$2:AB$41)</f>
        <v>0</v>
      </c>
      <c r="V55" s="3">
        <f>SUMIFS(Stock!AC$2:AC$41,Stock!$C$2:$C$41,FuelShares!$A55,Stock!$C$2:$C$41,FuelShares!$C55)/SUMIF(Stock!$C$2:$C$41,FuelShares!$A55,Stock!AC$2:AC$41)</f>
        <v>0</v>
      </c>
      <c r="W55" s="3">
        <f>SUMIFS(Stock!AD$2:AD$41,Stock!$C$2:$C$41,FuelShares!$A55,Stock!$C$2:$C$41,FuelShares!$C55)/SUMIF(Stock!$C$2:$C$41,FuelShares!$A55,Stock!AD$2:AD$41)</f>
        <v>0.0027370478983382222</v>
      </c>
      <c r="X55" s="3">
        <f>SUMIFS(Stock!AE$2:AE$41,Stock!$C$2:$C$41,FuelShares!$A55,Stock!$C$2:$C$41,FuelShares!$C55)/SUMIF(Stock!$C$2:$C$41,FuelShares!$A55,Stock!AE$2:AE$41)</f>
        <v>0</v>
      </c>
      <c r="Y55" s="3">
        <f>SUMIFS(Stock!AF$2:AF$41,Stock!$C$2:$C$41,FuelShares!$A55,Stock!$C$2:$C$41,FuelShares!$C55)/SUMIF(Stock!$C$2:$C$41,FuelShares!$A55,Stock!AF$2:AF$41)</f>
        <v>0</v>
      </c>
      <c r="Z55" s="3">
        <f>SUMIFS(Stock!AG$2:AG$41,Stock!$C$2:$C$41,FuelShares!$A55,Stock!$C$2:$C$41,FuelShares!$C55)/SUMIF(Stock!$C$2:$C$41,FuelShares!$A55,Stock!AG$2:AG$41)</f>
        <v>0</v>
      </c>
      <c r="AA55" s="3">
        <f>SUMIFS(Stock!AH$2:AH$41,Stock!$C$2:$C$41,FuelShares!$A55,Stock!$C$2:$C$41,FuelShares!$C55)/SUMIF(Stock!$C$2:$C$41,FuelShares!$A55,Stock!AH$2:AH$41)</f>
        <v>0</v>
      </c>
      <c r="AB55" s="3">
        <f>SUMIFS(Stock!AI$2:AI$41,Stock!$C$2:$C$41,FuelShares!$A55,Stock!$C$2:$C$41,FuelShares!$C55)/SUMIF(Stock!$C$2:$C$41,FuelShares!$A55,Stock!AI$2:AI$41)</f>
        <v>0</v>
      </c>
      <c r="AC55" s="3">
        <f>SUMIFS(Stock!AJ$2:AJ$41,Stock!$C$2:$C$41,FuelShares!$A55,Stock!$C$2:$C$41,FuelShares!$C55)/SUMIF(Stock!$C$2:$C$41,FuelShares!$A55,Stock!AJ$2:AJ$41)</f>
        <v>0</v>
      </c>
      <c r="AD55" s="3">
        <f>SUMIFS(Stock!AK$2:AK$41,Stock!$C$2:$C$41,FuelShares!$A55,Stock!$C$2:$C$41,FuelShares!$C55)/SUMIF(Stock!$C$2:$C$41,FuelShares!$A55,Stock!AK$2:AK$41)</f>
        <v>0</v>
      </c>
      <c r="AE55" s="3">
        <f>SUMIFS(Stock!AL$2:AL$41,Stock!$C$2:$C$41,FuelShares!$A55,Stock!$C$2:$C$41,FuelShares!$C55)/SUMIF(Stock!$C$2:$C$41,FuelShares!$A55,Stock!AL$2:AL$41)</f>
        <v>0</v>
      </c>
      <c r="AF55" s="3">
        <f>SUMIFS(Stock!AM$2:AM$41,Stock!$C$2:$C$41,FuelShares!$A55,Stock!$C$2:$C$41,FuelShares!$C55)/SUMIF(Stock!$C$2:$C$41,FuelShares!$A55,Stock!AM$2:AM$41)</f>
        <v>0.0072389673613059077</v>
      </c>
      <c r="AG55" s="3">
        <f>SUMIFS(Stock!AN$2:AN$41,Stock!$C$2:$C$41,FuelShares!$A55,Stock!$C$2:$C$41,FuelShares!$C55)/SUMIF(Stock!$C$2:$C$41,FuelShares!$A55,Stock!AN$2:AN$41)</f>
        <v>0</v>
      </c>
      <c r="AH55" s="3">
        <f>SUMIFS(Stock!AO$2:AO$41,Stock!$C$2:$C$41,FuelShares!$A55,Stock!$C$2:$C$41,FuelShares!$C55)/SUMIF(Stock!$C$2:$C$41,FuelShares!$A55,Stock!AO$2:AO$41)</f>
        <v>0.021693748082220465</v>
      </c>
      <c r="AI55" s="3">
        <f>SUMIFS(Stock!AP$2:AP$41,Stock!$C$2:$C$41,FuelShares!$A55,Stock!$C$2:$C$41,FuelShares!$C55)/SUMIF(Stock!$C$2:$C$41,FuelShares!$A55,Stock!AP$2:AP$41)</f>
        <v>0.0017071611253196928</v>
      </c>
      <c r="AJ55" s="3">
        <f>SUMIFS(Stock!AQ$2:AQ$41,Stock!$C$2:$C$41,FuelShares!$A55,Stock!$C$2:$C$41,FuelShares!$C55)/SUMIF(Stock!$C$2:$C$41,FuelShares!$A55,Stock!AQ$2:AQ$41)</f>
        <v>0</v>
      </c>
      <c r="AK55" s="3">
        <f>SUMIFS(Stock!AR$2:AR$41,Stock!$C$2:$C$41,FuelShares!$A55,Stock!$C$2:$C$41,FuelShares!$C55)/SUMIF(Stock!$C$2:$C$41,FuelShares!$A55,Stock!AR$2:AR$41)</f>
        <v>0</v>
      </c>
      <c r="AL55" s="3">
        <f>SUMIFS(Stock!AS$2:AS$41,Stock!$C$2:$C$41,FuelShares!$A55,Stock!$C$2:$C$41,FuelShares!$C55)/SUMIF(Stock!$C$2:$C$41,FuelShares!$A55,Stock!AS$2:AS$41)</f>
        <v>0.0044570279132567303</v>
      </c>
      <c r="AM55" s="3">
        <f>SUMIFS(Stock!AT$2:AT$41,Stock!$C$2:$C$41,FuelShares!$A55,Stock!$C$2:$C$41,FuelShares!$C55)/SUMIF(Stock!$C$2:$C$41,FuelShares!$A55,Stock!AT$2:AT$41)</f>
        <v>0</v>
      </c>
      <c r="AN55" s="3">
        <f>SUMIFS(Stock!AU$2:AU$41,Stock!$C$2:$C$41,FuelShares!$A55,Stock!$C$2:$C$41,FuelShares!$C55)/SUMIF(Stock!$C$2:$C$41,FuelShares!$A55,Stock!AU$2:AU$41)</f>
        <v>0</v>
      </c>
      <c r="AO55" s="3">
        <f>SUMIFS(Stock!AV$2:AV$41,Stock!$C$2:$C$41,FuelShares!$A55,Stock!$C$2:$C$41,FuelShares!$C55)/SUMIF(Stock!$C$2:$C$41,FuelShares!$A55,Stock!AV$2:AV$41)</f>
        <v>7.0583261250177766E-05</v>
      </c>
    </row>
    <row r="56" spans="1:41" ht="13.2">
      <c r="A56" t="s">
        <v>99</v>
      </c>
      <c r="C56" t="s">
        <v>100</v>
      </c>
      <c r="E56" s="3">
        <f>SUMIFS(Stock!L$2:L$41,Stock!$C$2:$C$41,FuelShares!$A56,Stock!$C$2:$C$41,FuelShares!$C56)/SUMIF(Stock!$C$2:$C$41,FuelShares!$A56,Stock!L$2:L$41)</f>
        <v>0.99578190069046391</v>
      </c>
      <c r="F56" s="3">
        <f>SUMIFS(Stock!M$2:M$41,Stock!$C$2:$C$41,FuelShares!$A56,Stock!$C$2:$C$41,FuelShares!$C56)/SUMIF(Stock!$C$2:$C$41,FuelShares!$A56,Stock!M$2:M$41)</f>
        <v>1</v>
      </c>
      <c r="G56" s="3">
        <f>SUMIFS(Stock!N$2:N$41,Stock!$C$2:$C$41,FuelShares!$A56,Stock!$C$2:$C$41,FuelShares!$C56)/SUMIF(Stock!$C$2:$C$41,FuelShares!$A56,Stock!N$2:N$41)</f>
        <v>0.99735369316948841</v>
      </c>
      <c r="H56" s="3">
        <f>SUMIFS(Stock!O$2:O$41,Stock!$C$2:$C$41,FuelShares!$A56,Stock!$C$2:$C$41,FuelShares!$C56)/SUMIF(Stock!$C$2:$C$41,FuelShares!$A56,Stock!O$2:O$41)</f>
        <v>1</v>
      </c>
      <c r="I56" s="3">
        <f>SUMIFS(Stock!P$2:P$41,Stock!$C$2:$C$41,FuelShares!$A56,Stock!$C$2:$C$41,FuelShares!$C56)/SUMIF(Stock!$C$2:$C$41,FuelShares!$A56,Stock!P$2:P$41)</f>
        <v>0.99933342111587264</v>
      </c>
      <c r="J56" s="3">
        <f>SUMIFS(Stock!Q$2:Q$41,Stock!$C$2:$C$41,FuelShares!$A56,Stock!$C$2:$C$41,FuelShares!$C56)/SUMIF(Stock!$C$2:$C$41,FuelShares!$A56,Stock!Q$2:Q$41)</f>
        <v>1</v>
      </c>
      <c r="K56" s="3">
        <f>SUMIFS(Stock!R$2:R$41,Stock!$C$2:$C$41,FuelShares!$A56,Stock!$C$2:$C$41,FuelShares!$C56)/SUMIF(Stock!$C$2:$C$41,FuelShares!$A56,Stock!R$2:R$41)</f>
        <v>0.99537667919457318</v>
      </c>
      <c r="L56" s="3">
        <f>SUMIFS(Stock!S$2:S$41,Stock!$C$2:$C$41,FuelShares!$A56,Stock!$C$2:$C$41,FuelShares!$C56)/SUMIF(Stock!$C$2:$C$41,FuelShares!$A56,Stock!S$2:S$41)</f>
        <v>0.97956114348955636</v>
      </c>
      <c r="M56" s="3">
        <f>SUMIFS(Stock!T$2:T$41,Stock!$C$2:$C$41,FuelShares!$A56,Stock!$C$2:$C$41,FuelShares!$C56)/SUMIF(Stock!$C$2:$C$41,FuelShares!$A56,Stock!T$2:T$41)</f>
        <v>1</v>
      </c>
      <c r="N56" s="3">
        <f>SUMIFS(Stock!U$2:U$41,Stock!$C$2:$C$41,FuelShares!$A56,Stock!$C$2:$C$41,FuelShares!$C56)/SUMIF(Stock!$C$2:$C$41,FuelShares!$A56,Stock!U$2:U$41)</f>
        <v>0.99234580022983365</v>
      </c>
      <c r="O56" s="3">
        <f>SUMIFS(Stock!V$2:V$41,Stock!$C$2:$C$41,FuelShares!$A56,Stock!$C$2:$C$41,FuelShares!$C56)/SUMIF(Stock!$C$2:$C$41,FuelShares!$A56,Stock!V$2:V$41)</f>
        <v>0.8999236374461892</v>
      </c>
      <c r="P56" s="3">
        <f>SUMIFS(Stock!W$2:W$41,Stock!$C$2:$C$41,FuelShares!$A56,Stock!$C$2:$C$41,FuelShares!$C56)/SUMIF(Stock!$C$2:$C$41,FuelShares!$A56,Stock!W$2:W$41)</f>
        <v>0.97077945026991364</v>
      </c>
      <c r="Q56" s="3">
        <f>SUMIFS(Stock!X$2:X$41,Stock!$C$2:$C$41,FuelShares!$A56,Stock!$C$2:$C$41,FuelShares!$C56)/SUMIF(Stock!$C$2:$C$41,FuelShares!$A56,Stock!X$2:X$41)</f>
        <v>0.99785455836398074</v>
      </c>
      <c r="R56" s="3">
        <f>SUMIFS(Stock!Y$2:Y$41,Stock!$C$2:$C$41,FuelShares!$A56,Stock!$C$2:$C$41,FuelShares!$C56)/SUMIF(Stock!$C$2:$C$41,FuelShares!$A56,Stock!Y$2:Y$41)</f>
        <v>0.97730496465816563</v>
      </c>
      <c r="S56" s="3">
        <f>SUMIFS(Stock!Z$2:Z$41,Stock!$C$2:$C$41,FuelShares!$A56,Stock!$C$2:$C$41,FuelShares!$C56)/SUMIF(Stock!$C$2:$C$41,FuelShares!$A56,Stock!Z$2:Z$41)</f>
        <v>0.99520872649729575</v>
      </c>
      <c r="T56" s="3">
        <f>SUMIFS(Stock!AA$2:AA$41,Stock!$C$2:$C$41,FuelShares!$A56,Stock!$C$2:$C$41,FuelShares!$C56)/SUMIF(Stock!$C$2:$C$41,FuelShares!$A56,Stock!AA$2:AA$41)</f>
        <v>0.99512371320574045</v>
      </c>
      <c r="U56" s="3">
        <f>SUMIFS(Stock!AB$2:AB$41,Stock!$C$2:$C$41,FuelShares!$A56,Stock!$C$2:$C$41,FuelShares!$C56)/SUMIF(Stock!$C$2:$C$41,FuelShares!$A56,Stock!AB$2:AB$41)</f>
        <v>0.97956114358144242</v>
      </c>
      <c r="V56" s="3">
        <f>SUMIFS(Stock!AC$2:AC$41,Stock!$C$2:$C$41,FuelShares!$A56,Stock!$C$2:$C$41,FuelShares!$C56)/SUMIF(Stock!$C$2:$C$41,FuelShares!$A56,Stock!AC$2:AC$41)</f>
        <v>0.99897823641739614</v>
      </c>
      <c r="W56" s="3">
        <f>SUMIFS(Stock!AD$2:AD$41,Stock!$C$2:$C$41,FuelShares!$A56,Stock!$C$2:$C$41,FuelShares!$C56)/SUMIF(Stock!$C$2:$C$41,FuelShares!$A56,Stock!AD$2:AD$41)</f>
        <v>0.93055282310394638</v>
      </c>
      <c r="X56" s="3">
        <f>SUMIFS(Stock!AE$2:AE$41,Stock!$C$2:$C$41,FuelShares!$A56,Stock!$C$2:$C$41,FuelShares!$C56)/SUMIF(Stock!$C$2:$C$41,FuelShares!$A56,Stock!AE$2:AE$41)</f>
        <v>0.99884210077278113</v>
      </c>
      <c r="Y56" s="3">
        <f>SUMIFS(Stock!AF$2:AF$41,Stock!$C$2:$C$41,FuelShares!$A56,Stock!$C$2:$C$41,FuelShares!$C56)/SUMIF(Stock!$C$2:$C$41,FuelShares!$A56,Stock!AF$2:AF$41)</f>
        <v>0.99734549730368627</v>
      </c>
      <c r="Z56" s="3">
        <f>SUMIFS(Stock!AG$2:AG$41,Stock!$C$2:$C$41,FuelShares!$A56,Stock!$C$2:$C$41,FuelShares!$C56)/SUMIF(Stock!$C$2:$C$41,FuelShares!$A56,Stock!AG$2:AG$41)</f>
        <v>0.96135761605734005</v>
      </c>
      <c r="AA56" s="3">
        <f>SUMIFS(Stock!AH$2:AH$41,Stock!$C$2:$C$41,FuelShares!$A56,Stock!$C$2:$C$41,FuelShares!$C56)/SUMIF(Stock!$C$2:$C$41,FuelShares!$A56,Stock!AH$2:AH$41)</f>
        <v>0.99811327220451318</v>
      </c>
      <c r="AB56" s="3">
        <f>SUMIFS(Stock!AI$2:AI$41,Stock!$C$2:$C$41,FuelShares!$A56,Stock!$C$2:$C$41,FuelShares!$C56)/SUMIF(Stock!$C$2:$C$41,FuelShares!$A56,Stock!AI$2:AI$41)</f>
        <v>0.89496619683312306</v>
      </c>
      <c r="AC56" s="3">
        <f>SUMIFS(Stock!AJ$2:AJ$41,Stock!$C$2:$C$41,FuelShares!$A56,Stock!$C$2:$C$41,FuelShares!$C56)/SUMIF(Stock!$C$2:$C$41,FuelShares!$A56,Stock!AJ$2:AJ$41)</f>
        <v>0.9926559523817029</v>
      </c>
      <c r="AD56" s="3">
        <f>SUMIFS(Stock!AK$2:AK$41,Stock!$C$2:$C$41,FuelShares!$A56,Stock!$C$2:$C$41,FuelShares!$C56)/SUMIF(Stock!$C$2:$C$41,FuelShares!$A56,Stock!AK$2:AK$41)</f>
        <v>0.999333421112229</v>
      </c>
      <c r="AE56" s="3">
        <f>SUMIFS(Stock!AL$2:AL$41,Stock!$C$2:$C$41,FuelShares!$A56,Stock!$C$2:$C$41,FuelShares!$C56)/SUMIF(Stock!$C$2:$C$41,FuelShares!$A56,Stock!AL$2:AL$41)</f>
        <v>1</v>
      </c>
      <c r="AF56" s="3">
        <f>SUMIFS(Stock!AM$2:AM$41,Stock!$C$2:$C$41,FuelShares!$A56,Stock!$C$2:$C$41,FuelShares!$C56)/SUMIF(Stock!$C$2:$C$41,FuelShares!$A56,Stock!AM$2:AM$41)</f>
        <v>0.99297548391119494</v>
      </c>
      <c r="AG56" s="3">
        <f>SUMIFS(Stock!AN$2:AN$41,Stock!$C$2:$C$41,FuelShares!$A56,Stock!$C$2:$C$41,FuelShares!$C56)/SUMIF(Stock!$C$2:$C$41,FuelShares!$A56,Stock!AN$2:AN$41)</f>
        <v>0.90949188221272514</v>
      </c>
      <c r="AH56" s="3">
        <f>SUMIFS(Stock!AO$2:AO$41,Stock!$C$2:$C$41,FuelShares!$A56,Stock!$C$2:$C$41,FuelShares!$C56)/SUMIF(Stock!$C$2:$C$41,FuelShares!$A56,Stock!AO$2:AO$41)</f>
        <v>0.83800386748033684</v>
      </c>
      <c r="AI56" s="3">
        <f>SUMIFS(Stock!AP$2:AP$41,Stock!$C$2:$C$41,FuelShares!$A56,Stock!$C$2:$C$41,FuelShares!$C56)/SUMIF(Stock!$C$2:$C$41,FuelShares!$A56,Stock!AP$2:AP$41)</f>
        <v>1</v>
      </c>
      <c r="AJ56" s="3">
        <f>SUMIFS(Stock!AQ$2:AQ$41,Stock!$C$2:$C$41,FuelShares!$A56,Stock!$C$2:$C$41,FuelShares!$C56)/SUMIF(Stock!$C$2:$C$41,FuelShares!$A56,Stock!AQ$2:AQ$41)</f>
        <v>0.98989375073184815</v>
      </c>
      <c r="AK56" s="3">
        <f>SUMIFS(Stock!AR$2:AR$41,Stock!$C$2:$C$41,FuelShares!$A56,Stock!$C$2:$C$41,FuelShares!$C56)/SUMIF(Stock!$C$2:$C$41,FuelShares!$A56,Stock!AR$2:AR$41)</f>
        <v>0.99614988992501963</v>
      </c>
      <c r="AL56" s="3">
        <f>SUMIFS(Stock!AS$2:AS$41,Stock!$C$2:$C$41,FuelShares!$A56,Stock!$C$2:$C$41,FuelShares!$C56)/SUMIF(Stock!$C$2:$C$41,FuelShares!$A56,Stock!AS$2:AS$41)</f>
        <v>0.97730496471693962</v>
      </c>
      <c r="AM56" s="3">
        <f>SUMIFS(Stock!AT$2:AT$41,Stock!$C$2:$C$41,FuelShares!$A56,Stock!$C$2:$C$41,FuelShares!$C56)/SUMIF(Stock!$C$2:$C$41,FuelShares!$A56,Stock!AT$2:AT$41)</f>
        <v>0.99926780210432187</v>
      </c>
      <c r="AN56" s="3">
        <f>SUMIFS(Stock!AU$2:AU$41,Stock!$C$2:$C$41,FuelShares!$A56,Stock!$C$2:$C$41,FuelShares!$C56)/SUMIF(Stock!$C$2:$C$41,FuelShares!$A56,Stock!AU$2:AU$41)</f>
        <v>1</v>
      </c>
      <c r="AO56" s="3">
        <f>SUMIFS(Stock!AV$2:AV$41,Stock!$C$2:$C$41,FuelShares!$A56,Stock!$C$2:$C$41,FuelShares!$C56)/SUMIF(Stock!$C$2:$C$41,FuelShares!$A56,Stock!AV$2:AV$41)</f>
        <v>0.9978654106446837</v>
      </c>
    </row>
    <row r="57" spans="1:41" ht="13.2">
      <c r="A57" t="s">
        <v>99</v>
      </c>
      <c r="C57" t="s">
        <v>101</v>
      </c>
      <c r="E57" s="3">
        <f>SUMIFS(Stock!L$2:L$41,Stock!$C$2:$C$41,FuelShares!$A57,Stock!$C$2:$C$41,FuelShares!$C57)/SUMIF(Stock!$C$2:$C$41,FuelShares!$A57,Stock!L$2:L$41)</f>
        <v>0.0042180993095361982</v>
      </c>
      <c r="F57" s="3">
        <f>SUMIFS(Stock!M$2:M$41,Stock!$C$2:$C$41,FuelShares!$A57,Stock!$C$2:$C$41,FuelShares!$C57)/SUMIF(Stock!$C$2:$C$41,FuelShares!$A57,Stock!M$2:M$41)</f>
        <v>0</v>
      </c>
      <c r="G57" s="3">
        <f>SUMIFS(Stock!N$2:N$41,Stock!$C$2:$C$41,FuelShares!$A57,Stock!$C$2:$C$41,FuelShares!$C57)/SUMIF(Stock!$C$2:$C$41,FuelShares!$A57,Stock!N$2:N$41)</f>
        <v>0.0026463068305115868</v>
      </c>
      <c r="H57" s="3">
        <f>SUMIFS(Stock!O$2:O$41,Stock!$C$2:$C$41,FuelShares!$A57,Stock!$C$2:$C$41,FuelShares!$C57)/SUMIF(Stock!$C$2:$C$41,FuelShares!$A57,Stock!O$2:O$41)</f>
        <v>0</v>
      </c>
      <c r="I57" s="3">
        <f>SUMIFS(Stock!P$2:P$41,Stock!$C$2:$C$41,FuelShares!$A57,Stock!$C$2:$C$41,FuelShares!$C57)/SUMIF(Stock!$C$2:$C$41,FuelShares!$A57,Stock!P$2:P$41)</f>
        <v>0.00066657888412741074</v>
      </c>
      <c r="J57" s="3">
        <f>SUMIFS(Stock!Q$2:Q$41,Stock!$C$2:$C$41,FuelShares!$A57,Stock!$C$2:$C$41,FuelShares!$C57)/SUMIF(Stock!$C$2:$C$41,FuelShares!$A57,Stock!Q$2:Q$41)</f>
        <v>0</v>
      </c>
      <c r="K57" s="3">
        <f>SUMIFS(Stock!R$2:R$41,Stock!$C$2:$C$41,FuelShares!$A57,Stock!$C$2:$C$41,FuelShares!$C57)/SUMIF(Stock!$C$2:$C$41,FuelShares!$A57,Stock!R$2:R$41)</f>
        <v>0.0046233208054268149</v>
      </c>
      <c r="L57" s="3">
        <f>SUMIFS(Stock!S$2:S$41,Stock!$C$2:$C$41,FuelShares!$A57,Stock!$C$2:$C$41,FuelShares!$C57)/SUMIF(Stock!$C$2:$C$41,FuelShares!$A57,Stock!S$2:S$41)</f>
        <v>0.020438856510443672</v>
      </c>
      <c r="M57" s="3">
        <f>SUMIFS(Stock!T$2:T$41,Stock!$C$2:$C$41,FuelShares!$A57,Stock!$C$2:$C$41,FuelShares!$C57)/SUMIF(Stock!$C$2:$C$41,FuelShares!$A57,Stock!T$2:T$41)</f>
        <v>0</v>
      </c>
      <c r="N57" s="3">
        <f>SUMIFS(Stock!U$2:U$41,Stock!$C$2:$C$41,FuelShares!$A57,Stock!$C$2:$C$41,FuelShares!$C57)/SUMIF(Stock!$C$2:$C$41,FuelShares!$A57,Stock!U$2:U$41)</f>
        <v>0.0076541997701663721</v>
      </c>
      <c r="O57" s="3">
        <f>SUMIFS(Stock!V$2:V$41,Stock!$C$2:$C$41,FuelShares!$A57,Stock!$C$2:$C$41,FuelShares!$C57)/SUMIF(Stock!$C$2:$C$41,FuelShares!$A57,Stock!V$2:V$41)</f>
        <v>0.10007636255381083</v>
      </c>
      <c r="P57" s="3">
        <f>SUMIFS(Stock!W$2:W$41,Stock!$C$2:$C$41,FuelShares!$A57,Stock!$C$2:$C$41,FuelShares!$C57)/SUMIF(Stock!$C$2:$C$41,FuelShares!$A57,Stock!W$2:W$41)</f>
        <v>0.029220549730086448</v>
      </c>
      <c r="Q57" s="3">
        <f>SUMIFS(Stock!X$2:X$41,Stock!$C$2:$C$41,FuelShares!$A57,Stock!$C$2:$C$41,FuelShares!$C57)/SUMIF(Stock!$C$2:$C$41,FuelShares!$A57,Stock!X$2:X$41)</f>
        <v>0.0021454416360192716</v>
      </c>
      <c r="R57" s="3">
        <f>SUMIFS(Stock!Y$2:Y$41,Stock!$C$2:$C$41,FuelShares!$A57,Stock!$C$2:$C$41,FuelShares!$C57)/SUMIF(Stock!$C$2:$C$41,FuelShares!$A57,Stock!Y$2:Y$41)</f>
        <v>0.022695035341834327</v>
      </c>
      <c r="S57" s="3">
        <f>SUMIFS(Stock!Z$2:Z$41,Stock!$C$2:$C$41,FuelShares!$A57,Stock!$C$2:$C$41,FuelShares!$C57)/SUMIF(Stock!$C$2:$C$41,FuelShares!$A57,Stock!Z$2:Z$41)</f>
        <v>0.0047912735027043568</v>
      </c>
      <c r="T57" s="3">
        <f>SUMIFS(Stock!AA$2:AA$41,Stock!$C$2:$C$41,FuelShares!$A57,Stock!$C$2:$C$41,FuelShares!$C57)/SUMIF(Stock!$C$2:$C$41,FuelShares!$A57,Stock!AA$2:AA$41)</f>
        <v>0.0048762867942595605</v>
      </c>
      <c r="U57" s="3">
        <f>SUMIFS(Stock!AB$2:AB$41,Stock!$C$2:$C$41,FuelShares!$A57,Stock!$C$2:$C$41,FuelShares!$C57)/SUMIF(Stock!$C$2:$C$41,FuelShares!$A57,Stock!AB$2:AB$41)</f>
        <v>0.020438856418557558</v>
      </c>
      <c r="V57" s="3">
        <f>SUMIFS(Stock!AC$2:AC$41,Stock!$C$2:$C$41,FuelShares!$A57,Stock!$C$2:$C$41,FuelShares!$C57)/SUMIF(Stock!$C$2:$C$41,FuelShares!$A57,Stock!AC$2:AC$41)</f>
        <v>0.0010217635826038052</v>
      </c>
      <c r="W57" s="3">
        <f>SUMIFS(Stock!AD$2:AD$41,Stock!$C$2:$C$41,FuelShares!$A57,Stock!$C$2:$C$41,FuelShares!$C57)/SUMIF(Stock!$C$2:$C$41,FuelShares!$A57,Stock!AD$2:AD$41)</f>
        <v>0.069447176896053661</v>
      </c>
      <c r="X57" s="3">
        <f>SUMIFS(Stock!AE$2:AE$41,Stock!$C$2:$C$41,FuelShares!$A57,Stock!$C$2:$C$41,FuelShares!$C57)/SUMIF(Stock!$C$2:$C$41,FuelShares!$A57,Stock!AE$2:AE$41)</f>
        <v>0.0011578992272187876</v>
      </c>
      <c r="Y57" s="3">
        <f>SUMIFS(Stock!AF$2:AF$41,Stock!$C$2:$C$41,FuelShares!$A57,Stock!$C$2:$C$41,FuelShares!$C57)/SUMIF(Stock!$C$2:$C$41,FuelShares!$A57,Stock!AF$2:AF$41)</f>
        <v>0.0026545026963137341</v>
      </c>
      <c r="Z57" s="3">
        <f>SUMIFS(Stock!AG$2:AG$41,Stock!$C$2:$C$41,FuelShares!$A57,Stock!$C$2:$C$41,FuelShares!$C57)/SUMIF(Stock!$C$2:$C$41,FuelShares!$A57,Stock!AG$2:AG$41)</f>
        <v>0.038642383942660022</v>
      </c>
      <c r="AA57" s="3">
        <f>SUMIFS(Stock!AH$2:AH$41,Stock!$C$2:$C$41,FuelShares!$A57,Stock!$C$2:$C$41,FuelShares!$C57)/SUMIF(Stock!$C$2:$C$41,FuelShares!$A57,Stock!AH$2:AH$41)</f>
        <v>0.001886727795486895</v>
      </c>
      <c r="AB57" s="3">
        <f>SUMIFS(Stock!AI$2:AI$41,Stock!$C$2:$C$41,FuelShares!$A57,Stock!$C$2:$C$41,FuelShares!$C57)/SUMIF(Stock!$C$2:$C$41,FuelShares!$A57,Stock!AI$2:AI$41)</f>
        <v>0.10503380316687701</v>
      </c>
      <c r="AC57" s="3">
        <f>SUMIFS(Stock!AJ$2:AJ$41,Stock!$C$2:$C$41,FuelShares!$A57,Stock!$C$2:$C$41,FuelShares!$C57)/SUMIF(Stock!$C$2:$C$41,FuelShares!$A57,Stock!AJ$2:AJ$41)</f>
        <v>0.0073440476182971039</v>
      </c>
      <c r="AD57" s="3">
        <f>SUMIFS(Stock!AK$2:AK$41,Stock!$C$2:$C$41,FuelShares!$A57,Stock!$C$2:$C$41,FuelShares!$C57)/SUMIF(Stock!$C$2:$C$41,FuelShares!$A57,Stock!AK$2:AK$41)</f>
        <v>0.00066657888777093503</v>
      </c>
      <c r="AE57" s="3">
        <f>SUMIFS(Stock!AL$2:AL$41,Stock!$C$2:$C$41,FuelShares!$A57,Stock!$C$2:$C$41,FuelShares!$C57)/SUMIF(Stock!$C$2:$C$41,FuelShares!$A57,Stock!AL$2:AL$41)</f>
        <v>0</v>
      </c>
      <c r="AF57" s="3">
        <f>SUMIFS(Stock!AM$2:AM$41,Stock!$C$2:$C$41,FuelShares!$A57,Stock!$C$2:$C$41,FuelShares!$C57)/SUMIF(Stock!$C$2:$C$41,FuelShares!$A57,Stock!AM$2:AM$41)</f>
        <v>0.0070245160888049805</v>
      </c>
      <c r="AG57" s="3">
        <f>SUMIFS(Stock!AN$2:AN$41,Stock!$C$2:$C$41,FuelShares!$A57,Stock!$C$2:$C$41,FuelShares!$C57)/SUMIF(Stock!$C$2:$C$41,FuelShares!$A57,Stock!AN$2:AN$41)</f>
        <v>0.090508117787274842</v>
      </c>
      <c r="AH57" s="3">
        <f>SUMIFS(Stock!AO$2:AO$41,Stock!$C$2:$C$41,FuelShares!$A57,Stock!$C$2:$C$41,FuelShares!$C57)/SUMIF(Stock!$C$2:$C$41,FuelShares!$A57,Stock!AO$2:AO$41)</f>
        <v>0.16199613251966313</v>
      </c>
      <c r="AI57" s="3">
        <f>SUMIFS(Stock!AP$2:AP$41,Stock!$C$2:$C$41,FuelShares!$A57,Stock!$C$2:$C$41,FuelShares!$C57)/SUMIF(Stock!$C$2:$C$41,FuelShares!$A57,Stock!AP$2:AP$41)</f>
        <v>0</v>
      </c>
      <c r="AJ57" s="3">
        <f>SUMIFS(Stock!AQ$2:AQ$41,Stock!$C$2:$C$41,FuelShares!$A57,Stock!$C$2:$C$41,FuelShares!$C57)/SUMIF(Stock!$C$2:$C$41,FuelShares!$A57,Stock!AQ$2:AQ$41)</f>
        <v>0.01010624926815179</v>
      </c>
      <c r="AK57" s="3">
        <f>SUMIFS(Stock!AR$2:AR$41,Stock!$C$2:$C$41,FuelShares!$A57,Stock!$C$2:$C$41,FuelShares!$C57)/SUMIF(Stock!$C$2:$C$41,FuelShares!$A57,Stock!AR$2:AR$41)</f>
        <v>0.0038501100749803721</v>
      </c>
      <c r="AL57" s="3">
        <f>SUMIFS(Stock!AS$2:AS$41,Stock!$C$2:$C$41,FuelShares!$A57,Stock!$C$2:$C$41,FuelShares!$C57)/SUMIF(Stock!$C$2:$C$41,FuelShares!$A57,Stock!AS$2:AS$41)</f>
        <v>0.022695035283060497</v>
      </c>
      <c r="AM57" s="3">
        <f>SUMIFS(Stock!AT$2:AT$41,Stock!$C$2:$C$41,FuelShares!$A57,Stock!$C$2:$C$41,FuelShares!$C57)/SUMIF(Stock!$C$2:$C$41,FuelShares!$A57,Stock!AT$2:AT$41)</f>
        <v>0.00073219789567816876</v>
      </c>
      <c r="AN57" s="3">
        <f>SUMIFS(Stock!AU$2:AU$41,Stock!$C$2:$C$41,FuelShares!$A57,Stock!$C$2:$C$41,FuelShares!$C57)/SUMIF(Stock!$C$2:$C$41,FuelShares!$A57,Stock!AU$2:AU$41)</f>
        <v>0</v>
      </c>
      <c r="AO57" s="3">
        <f>SUMIFS(Stock!AV$2:AV$41,Stock!$C$2:$C$41,FuelShares!$A57,Stock!$C$2:$C$41,FuelShares!$C57)/SUMIF(Stock!$C$2:$C$41,FuelShares!$A57,Stock!AV$2:AV$41)</f>
        <v>0.0021345893553163311</v>
      </c>
    </row>
    <row r="58" spans="1:41" ht="13.2">
      <c r="A58" t="s">
        <v>97</v>
      </c>
      <c r="C58" t="s">
        <v>94</v>
      </c>
      <c r="E58" s="3">
        <f>SUMIFS(Stock!L$2:L$41,Stock!$C$2:$C$41,FuelShares!$A58,Stock!$C$2:$C$41,FuelShares!$C58)/SUMIF(Stock!$C$2:$C$41,FuelShares!$A58,Stock!L$2:L$41)</f>
        <v>0</v>
      </c>
      <c r="F58" s="3">
        <f>SUMIFS(Stock!M$2:M$41,Stock!$C$2:$C$41,FuelShares!$A58,Stock!$C$2:$C$41,FuelShares!$C58)/SUMIF(Stock!$C$2:$C$41,FuelShares!$A58,Stock!M$2:M$41)</f>
        <v>0</v>
      </c>
      <c r="G58" s="3">
        <f>SUMIFS(Stock!N$2:N$41,Stock!$C$2:$C$41,FuelShares!$A58,Stock!$C$2:$C$41,FuelShares!$C58)/SUMIF(Stock!$C$2:$C$41,FuelShares!$A58,Stock!N$2:N$41)</f>
        <v>0</v>
      </c>
      <c r="H58" s="3">
        <f>SUMIFS(Stock!O$2:O$41,Stock!$C$2:$C$41,FuelShares!$A58,Stock!$C$2:$C$41,FuelShares!$C58)/SUMIF(Stock!$C$2:$C$41,FuelShares!$A58,Stock!O$2:O$41)</f>
        <v>0</v>
      </c>
      <c r="I58" s="3">
        <f>SUMIFS(Stock!P$2:P$41,Stock!$C$2:$C$41,FuelShares!$A58,Stock!$C$2:$C$41,FuelShares!$C58)/SUMIF(Stock!$C$2:$C$41,FuelShares!$A58,Stock!P$2:P$41)</f>
        <v>0</v>
      </c>
      <c r="J58" s="3">
        <f>SUMIFS(Stock!Q$2:Q$41,Stock!$C$2:$C$41,FuelShares!$A58,Stock!$C$2:$C$41,FuelShares!$C58)/SUMIF(Stock!$C$2:$C$41,FuelShares!$A58,Stock!Q$2:Q$41)</f>
        <v>0.0059597180420510173</v>
      </c>
      <c r="K58" s="3">
        <f>SUMIFS(Stock!R$2:R$41,Stock!$C$2:$C$41,FuelShares!$A58,Stock!$C$2:$C$41,FuelShares!$C58)/SUMIF(Stock!$C$2:$C$41,FuelShares!$A58,Stock!R$2:R$41)</f>
        <v>0</v>
      </c>
      <c r="L58" s="3">
        <f>SUMIFS(Stock!S$2:S$41,Stock!$C$2:$C$41,FuelShares!$A58,Stock!$C$2:$C$41,FuelShares!$C58)/SUMIF(Stock!$C$2:$C$41,FuelShares!$A58,Stock!S$2:S$41)</f>
        <v>0</v>
      </c>
      <c r="M58" s="3">
        <f>SUMIFS(Stock!T$2:T$41,Stock!$C$2:$C$41,FuelShares!$A58,Stock!$C$2:$C$41,FuelShares!$C58)/SUMIF(Stock!$C$2:$C$41,FuelShares!$A58,Stock!T$2:T$41)</f>
        <v>0.0074881605550317478</v>
      </c>
      <c r="N58" s="3">
        <f>SUMIFS(Stock!U$2:U$41,Stock!$C$2:$C$41,FuelShares!$A58,Stock!$C$2:$C$41,FuelShares!$C58)/SUMIF(Stock!$C$2:$C$41,FuelShares!$A58,Stock!U$2:U$41)</f>
        <v>0</v>
      </c>
      <c r="O58" s="3">
        <f>SUMIFS(Stock!V$2:V$41,Stock!$C$2:$C$41,FuelShares!$A58,Stock!$C$2:$C$41,FuelShares!$C58)/SUMIF(Stock!$C$2:$C$41,FuelShares!$A58,Stock!V$2:V$41)</f>
        <v>0</v>
      </c>
      <c r="P58" s="3">
        <f>SUMIFS(Stock!W$2:W$41,Stock!$C$2:$C$41,FuelShares!$A58,Stock!$C$2:$C$41,FuelShares!$C58)/SUMIF(Stock!$C$2:$C$41,FuelShares!$A58,Stock!W$2:W$41)</f>
        <v>0</v>
      </c>
      <c r="Q58" s="3">
        <f>SUMIFS(Stock!X$2:X$41,Stock!$C$2:$C$41,FuelShares!$A58,Stock!$C$2:$C$41,FuelShares!$C58)/SUMIF(Stock!$C$2:$C$41,FuelShares!$A58,Stock!X$2:X$41)</f>
        <v>0</v>
      </c>
      <c r="R58" s="3">
        <f>SUMIFS(Stock!Y$2:Y$41,Stock!$C$2:$C$41,FuelShares!$A58,Stock!$C$2:$C$41,FuelShares!$C58)/SUMIF(Stock!$C$2:$C$41,FuelShares!$A58,Stock!Y$2:Y$41)</f>
        <v>0</v>
      </c>
      <c r="S58" s="3">
        <f>SUMIFS(Stock!Z$2:Z$41,Stock!$C$2:$C$41,FuelShares!$A58,Stock!$C$2:$C$41,FuelShares!$C58)/SUMIF(Stock!$C$2:$C$41,FuelShares!$A58,Stock!Z$2:Z$41)</f>
        <v>0</v>
      </c>
      <c r="T58" s="3">
        <f>SUMIFS(Stock!AA$2:AA$41,Stock!$C$2:$C$41,FuelShares!$A58,Stock!$C$2:$C$41,FuelShares!$C58)/SUMIF(Stock!$C$2:$C$41,FuelShares!$A58,Stock!AA$2:AA$41)</f>
        <v>0</v>
      </c>
      <c r="U58" s="3">
        <f>SUMIFS(Stock!AB$2:AB$41,Stock!$C$2:$C$41,FuelShares!$A58,Stock!$C$2:$C$41,FuelShares!$C58)/SUMIF(Stock!$C$2:$C$41,FuelShares!$A58,Stock!AB$2:AB$41)</f>
        <v>0</v>
      </c>
      <c r="V58" s="3">
        <f>SUMIFS(Stock!AC$2:AC$41,Stock!$C$2:$C$41,FuelShares!$A58,Stock!$C$2:$C$41,FuelShares!$C58)/SUMIF(Stock!$C$2:$C$41,FuelShares!$A58,Stock!AC$2:AC$41)</f>
        <v>0</v>
      </c>
      <c r="W58" s="3">
        <f>SUMIFS(Stock!AD$2:AD$41,Stock!$C$2:$C$41,FuelShares!$A58,Stock!$C$2:$C$41,FuelShares!$C58)/SUMIF(Stock!$C$2:$C$41,FuelShares!$A58,Stock!AD$2:AD$41)</f>
        <v>0</v>
      </c>
      <c r="X58" s="3">
        <f>SUMIFS(Stock!AE$2:AE$41,Stock!$C$2:$C$41,FuelShares!$A58,Stock!$C$2:$C$41,FuelShares!$C58)/SUMIF(Stock!$C$2:$C$41,FuelShares!$A58,Stock!AE$2:AE$41)</f>
        <v>0</v>
      </c>
      <c r="Y58" s="3">
        <f>SUMIFS(Stock!AF$2:AF$41,Stock!$C$2:$C$41,FuelShares!$A58,Stock!$C$2:$C$41,FuelShares!$C58)/SUMIF(Stock!$C$2:$C$41,FuelShares!$A58,Stock!AF$2:AF$41)</f>
        <v>0</v>
      </c>
      <c r="Z58" s="3">
        <f>SUMIFS(Stock!AG$2:AG$41,Stock!$C$2:$C$41,FuelShares!$A58,Stock!$C$2:$C$41,FuelShares!$C58)/SUMIF(Stock!$C$2:$C$41,FuelShares!$A58,Stock!AG$2:AG$41)</f>
        <v>0</v>
      </c>
      <c r="AA58" s="3">
        <f>SUMIFS(Stock!AH$2:AH$41,Stock!$C$2:$C$41,FuelShares!$A58,Stock!$C$2:$C$41,FuelShares!$C58)/SUMIF(Stock!$C$2:$C$41,FuelShares!$A58,Stock!AH$2:AH$41)</f>
        <v>0</v>
      </c>
      <c r="AB58" s="3">
        <f>SUMIFS(Stock!AI$2:AI$41,Stock!$C$2:$C$41,FuelShares!$A58,Stock!$C$2:$C$41,FuelShares!$C58)/SUMIF(Stock!$C$2:$C$41,FuelShares!$A58,Stock!AI$2:AI$41)</f>
        <v>0</v>
      </c>
      <c r="AC58" s="3">
        <f>SUMIFS(Stock!AJ$2:AJ$41,Stock!$C$2:$C$41,FuelShares!$A58,Stock!$C$2:$C$41,FuelShares!$C58)/SUMIF(Stock!$C$2:$C$41,FuelShares!$A58,Stock!AJ$2:AJ$41)</f>
        <v>0</v>
      </c>
      <c r="AD58" s="3">
        <f>SUMIFS(Stock!AK$2:AK$41,Stock!$C$2:$C$41,FuelShares!$A58,Stock!$C$2:$C$41,FuelShares!$C58)/SUMIF(Stock!$C$2:$C$41,FuelShares!$A58,Stock!AK$2:AK$41)</f>
        <v>0</v>
      </c>
      <c r="AE58" s="3">
        <f>SUMIFS(Stock!AL$2:AL$41,Stock!$C$2:$C$41,FuelShares!$A58,Stock!$C$2:$C$41,FuelShares!$C58)/SUMIF(Stock!$C$2:$C$41,FuelShares!$A58,Stock!AL$2:AL$41)</f>
        <v>0</v>
      </c>
      <c r="AF58" s="3">
        <f>SUMIFS(Stock!AM$2:AM$41,Stock!$C$2:$C$41,FuelShares!$A58,Stock!$C$2:$C$41,FuelShares!$C58)/SUMIF(Stock!$C$2:$C$41,FuelShares!$A58,Stock!AM$2:AM$41)</f>
        <v>0.0013692001280788239</v>
      </c>
      <c r="AG58" s="3">
        <f>SUMIFS(Stock!AN$2:AN$41,Stock!$C$2:$C$41,FuelShares!$A58,Stock!$C$2:$C$41,FuelShares!$C58)/SUMIF(Stock!$C$2:$C$41,FuelShares!$A58,Stock!AN$2:AN$41)</f>
        <v>0</v>
      </c>
      <c r="AH58" s="3">
        <f>SUMIFS(Stock!AO$2:AO$41,Stock!$C$2:$C$41,FuelShares!$A58,Stock!$C$2:$C$41,FuelShares!$C58)/SUMIF(Stock!$C$2:$C$41,FuelShares!$A58,Stock!AO$2:AO$41)</f>
        <v>0</v>
      </c>
      <c r="AI58" s="3">
        <f>SUMIFS(Stock!AP$2:AP$41,Stock!$C$2:$C$41,FuelShares!$A58,Stock!$C$2:$C$41,FuelShares!$C58)/SUMIF(Stock!$C$2:$C$41,FuelShares!$A58,Stock!AP$2:AP$41)</f>
        <v>0</v>
      </c>
      <c r="AJ58" s="3">
        <f>SUMIFS(Stock!AQ$2:AQ$41,Stock!$C$2:$C$41,FuelShares!$A58,Stock!$C$2:$C$41,FuelShares!$C58)/SUMIF(Stock!$C$2:$C$41,FuelShares!$A58,Stock!AQ$2:AQ$41)</f>
        <v>0</v>
      </c>
      <c r="AK58" s="3">
        <f>SUMIFS(Stock!AR$2:AR$41,Stock!$C$2:$C$41,FuelShares!$A58,Stock!$C$2:$C$41,FuelShares!$C58)/SUMIF(Stock!$C$2:$C$41,FuelShares!$A58,Stock!AR$2:AR$41)</f>
        <v>0</v>
      </c>
      <c r="AL58" s="3">
        <f>SUMIFS(Stock!AS$2:AS$41,Stock!$C$2:$C$41,FuelShares!$A58,Stock!$C$2:$C$41,FuelShares!$C58)/SUMIF(Stock!$C$2:$C$41,FuelShares!$A58,Stock!AS$2:AS$41)</f>
        <v>0</v>
      </c>
      <c r="AM58" s="3">
        <f>SUMIFS(Stock!AT$2:AT$41,Stock!$C$2:$C$41,FuelShares!$A58,Stock!$C$2:$C$41,FuelShares!$C58)/SUMIF(Stock!$C$2:$C$41,FuelShares!$A58,Stock!AT$2:AT$41)</f>
        <v>0</v>
      </c>
      <c r="AN58" s="3">
        <f>SUMIFS(Stock!AU$2:AU$41,Stock!$C$2:$C$41,FuelShares!$A58,Stock!$C$2:$C$41,FuelShares!$C58)/SUMIF(Stock!$C$2:$C$41,FuelShares!$A58,Stock!AU$2:AU$41)</f>
        <v>0</v>
      </c>
      <c r="AO58" s="3">
        <f>SUMIFS(Stock!AV$2:AV$41,Stock!$C$2:$C$41,FuelShares!$A58,Stock!$C$2:$C$41,FuelShares!$C58)/SUMIF(Stock!$C$2:$C$41,FuelShares!$A58,Stock!AV$2:AV$41)</f>
        <v>0.00011332690335805491</v>
      </c>
    </row>
    <row r="59" spans="1:41" ht="13.2">
      <c r="A59" t="s">
        <v>97</v>
      </c>
      <c r="C59" t="s">
        <v>100</v>
      </c>
      <c r="E59" s="3">
        <f>SUMIFS(Stock!L$2:L$41,Stock!$C$2:$C$41,FuelShares!$A59,Stock!$C$2:$C$41,FuelShares!$C59)/SUMIF(Stock!$C$2:$C$41,FuelShares!$A59,Stock!L$2:L$41)</f>
        <v>0.75161514583111821</v>
      </c>
      <c r="F59" s="3">
        <f>SUMIFS(Stock!M$2:M$41,Stock!$C$2:$C$41,FuelShares!$A59,Stock!$C$2:$C$41,FuelShares!$C59)/SUMIF(Stock!$C$2:$C$41,FuelShares!$A59,Stock!M$2:M$41)</f>
        <v>0.94091973079526481</v>
      </c>
      <c r="G59" s="3">
        <f>SUMIFS(Stock!N$2:N$41,Stock!$C$2:$C$41,FuelShares!$A59,Stock!$C$2:$C$41,FuelShares!$C59)/SUMIF(Stock!$C$2:$C$41,FuelShares!$A59,Stock!N$2:N$41)</f>
        <v>0.96625262004306811</v>
      </c>
      <c r="H59" s="3">
        <f>SUMIFS(Stock!O$2:O$41,Stock!$C$2:$C$41,FuelShares!$A59,Stock!$C$2:$C$41,FuelShares!$C59)/SUMIF(Stock!$C$2:$C$41,FuelShares!$A59,Stock!O$2:O$41)</f>
        <v>0.95098880191554913</v>
      </c>
      <c r="I59" s="3">
        <f>SUMIFS(Stock!P$2:P$41,Stock!$C$2:$C$41,FuelShares!$A59,Stock!$C$2:$C$41,FuelShares!$C59)/SUMIF(Stock!$C$2:$C$41,FuelShares!$A59,Stock!P$2:P$41)</f>
        <v>0.92005097027698479</v>
      </c>
      <c r="J59" s="3">
        <f>SUMIFS(Stock!Q$2:Q$41,Stock!$C$2:$C$41,FuelShares!$A59,Stock!$C$2:$C$41,FuelShares!$C59)/SUMIF(Stock!$C$2:$C$41,FuelShares!$A59,Stock!Q$2:Q$41)</f>
        <v>0.70223597288122752</v>
      </c>
      <c r="K59" s="3">
        <f>SUMIFS(Stock!R$2:R$41,Stock!$C$2:$C$41,FuelShares!$A59,Stock!$C$2:$C$41,FuelShares!$C59)/SUMIF(Stock!$C$2:$C$41,FuelShares!$A59,Stock!R$2:R$41)</f>
        <v>0.94816496595017974</v>
      </c>
      <c r="L59" s="3">
        <f>SUMIFS(Stock!S$2:S$41,Stock!$C$2:$C$41,FuelShares!$A59,Stock!$C$2:$C$41,FuelShares!$C59)/SUMIF(Stock!$C$2:$C$41,FuelShares!$A59,Stock!S$2:S$41)</f>
        <v>0.8223348261826513</v>
      </c>
      <c r="M59" s="3">
        <f>SUMIFS(Stock!T$2:T$41,Stock!$C$2:$C$41,FuelShares!$A59,Stock!$C$2:$C$41,FuelShares!$C59)/SUMIF(Stock!$C$2:$C$41,FuelShares!$A59,Stock!T$2:T$41)</f>
        <v>0.91619092534617852</v>
      </c>
      <c r="N59" s="3">
        <f>SUMIFS(Stock!U$2:U$41,Stock!$C$2:$C$41,FuelShares!$A59,Stock!$C$2:$C$41,FuelShares!$C59)/SUMIF(Stock!$C$2:$C$41,FuelShares!$A59,Stock!U$2:U$41)</f>
        <v>0.88137202244732404</v>
      </c>
      <c r="O59" s="3">
        <f>SUMIFS(Stock!V$2:V$41,Stock!$C$2:$C$41,FuelShares!$A59,Stock!$C$2:$C$41,FuelShares!$C59)/SUMIF(Stock!$C$2:$C$41,FuelShares!$A59,Stock!V$2:V$41)</f>
        <v>0.79488593838265731</v>
      </c>
      <c r="P59" s="3">
        <f>SUMIFS(Stock!W$2:W$41,Stock!$C$2:$C$41,FuelShares!$A59,Stock!$C$2:$C$41,FuelShares!$C59)/SUMIF(Stock!$C$2:$C$41,FuelShares!$A59,Stock!W$2:W$41)</f>
        <v>0.29866324376994396</v>
      </c>
      <c r="Q59" s="3">
        <f>SUMIFS(Stock!X$2:X$41,Stock!$C$2:$C$41,FuelShares!$A59,Stock!$C$2:$C$41,FuelShares!$C59)/SUMIF(Stock!$C$2:$C$41,FuelShares!$A59,Stock!X$2:X$41)</f>
        <v>0.87001219936453345</v>
      </c>
      <c r="R59" s="3">
        <f>SUMIFS(Stock!Y$2:Y$41,Stock!$C$2:$C$41,FuelShares!$A59,Stock!$C$2:$C$41,FuelShares!$C59)/SUMIF(Stock!$C$2:$C$41,FuelShares!$A59,Stock!Y$2:Y$41)</f>
        <v>0.93688683480254686</v>
      </c>
      <c r="S59" s="3">
        <f>SUMIFS(Stock!Z$2:Z$41,Stock!$C$2:$C$41,FuelShares!$A59,Stock!$C$2:$C$41,FuelShares!$C59)/SUMIF(Stock!$C$2:$C$41,FuelShares!$A59,Stock!Z$2:Z$41)</f>
        <v>0.9628603145920499</v>
      </c>
      <c r="T59" s="3">
        <f>SUMIFS(Stock!AA$2:AA$41,Stock!$C$2:$C$41,FuelShares!$A59,Stock!$C$2:$C$41,FuelShares!$C59)/SUMIF(Stock!$C$2:$C$41,FuelShares!$A59,Stock!AA$2:AA$41)</f>
        <v>0.93940675348869973</v>
      </c>
      <c r="U59" s="3">
        <f>SUMIFS(Stock!AB$2:AB$41,Stock!$C$2:$C$41,FuelShares!$A59,Stock!$C$2:$C$41,FuelShares!$C59)/SUMIF(Stock!$C$2:$C$41,FuelShares!$A59,Stock!AB$2:AB$41)</f>
        <v>0.91201652200515126</v>
      </c>
      <c r="V59" s="3">
        <f>SUMIFS(Stock!AC$2:AC$41,Stock!$C$2:$C$41,FuelShares!$A59,Stock!$C$2:$C$41,FuelShares!$C59)/SUMIF(Stock!$C$2:$C$41,FuelShares!$A59,Stock!AC$2:AC$41)</f>
        <v>0.99641963488979535</v>
      </c>
      <c r="W59" s="3">
        <f>SUMIFS(Stock!AD$2:AD$41,Stock!$C$2:$C$41,FuelShares!$A59,Stock!$C$2:$C$41,FuelShares!$C59)/SUMIF(Stock!$C$2:$C$41,FuelShares!$A59,Stock!AD$2:AD$41)</f>
        <v>0.62398293421158024</v>
      </c>
      <c r="X59" s="3">
        <f>SUMIFS(Stock!AE$2:AE$41,Stock!$C$2:$C$41,FuelShares!$A59,Stock!$C$2:$C$41,FuelShares!$C59)/SUMIF(Stock!$C$2:$C$41,FuelShares!$A59,Stock!AE$2:AE$41)</f>
        <v>0.9310132259601267</v>
      </c>
      <c r="Y59" s="3">
        <f>SUMIFS(Stock!AF$2:AF$41,Stock!$C$2:$C$41,FuelShares!$A59,Stock!$C$2:$C$41,FuelShares!$C59)/SUMIF(Stock!$C$2:$C$41,FuelShares!$A59,Stock!AF$2:AF$41)</f>
        <v>0.96615137022653064</v>
      </c>
      <c r="Z59" s="3">
        <f>SUMIFS(Stock!AG$2:AG$41,Stock!$C$2:$C$41,FuelShares!$A59,Stock!$C$2:$C$41,FuelShares!$C59)/SUMIF(Stock!$C$2:$C$41,FuelShares!$A59,Stock!AG$2:AG$41)</f>
        <v>0.9314596283518819</v>
      </c>
      <c r="AA59" s="3">
        <f>SUMIFS(Stock!AH$2:AH$41,Stock!$C$2:$C$41,FuelShares!$A59,Stock!$C$2:$C$41,FuelShares!$C59)/SUMIF(Stock!$C$2:$C$41,FuelShares!$A59,Stock!AH$2:AH$41)</f>
        <v>0.94650223017866886</v>
      </c>
      <c r="AB59" s="3">
        <f>SUMIFS(Stock!AI$2:AI$41,Stock!$C$2:$C$41,FuelShares!$A59,Stock!$C$2:$C$41,FuelShares!$C59)/SUMIF(Stock!$C$2:$C$41,FuelShares!$A59,Stock!AI$2:AI$41)</f>
        <v>0.87733467930477849</v>
      </c>
      <c r="AC59" s="3">
        <f>SUMIFS(Stock!AJ$2:AJ$41,Stock!$C$2:$C$41,FuelShares!$A59,Stock!$C$2:$C$41,FuelShares!$C59)/SUMIF(Stock!$C$2:$C$41,FuelShares!$A59,Stock!AJ$2:AJ$41)</f>
        <v>0.63404171691527078</v>
      </c>
      <c r="AD59" s="3">
        <f>SUMIFS(Stock!AK$2:AK$41,Stock!$C$2:$C$41,FuelShares!$A59,Stock!$C$2:$C$41,FuelShares!$C59)/SUMIF(Stock!$C$2:$C$41,FuelShares!$A59,Stock!AK$2:AK$41)</f>
        <v>0.72032603284830499</v>
      </c>
      <c r="AE59" s="3">
        <f>SUMIFS(Stock!AL$2:AL$41,Stock!$C$2:$C$41,FuelShares!$A59,Stock!$C$2:$C$41,FuelShares!$C59)/SUMIF(Stock!$C$2:$C$41,FuelShares!$A59,Stock!AL$2:AL$41)</f>
        <v>0.95186029995819732</v>
      </c>
      <c r="AF59" s="3">
        <f>SUMIFS(Stock!AM$2:AM$41,Stock!$C$2:$C$41,FuelShares!$A59,Stock!$C$2:$C$41,FuelShares!$C59)/SUMIF(Stock!$C$2:$C$41,FuelShares!$A59,Stock!AM$2:AM$41)</f>
        <v>0.94321971940992233</v>
      </c>
      <c r="AG59" s="3">
        <f>SUMIFS(Stock!AN$2:AN$41,Stock!$C$2:$C$41,FuelShares!$A59,Stock!$C$2:$C$41,FuelShares!$C59)/SUMIF(Stock!$C$2:$C$41,FuelShares!$A59,Stock!AN$2:AN$41)</f>
        <v>0.85578611924507997</v>
      </c>
      <c r="AH59" s="3">
        <f>SUMIFS(Stock!AO$2:AO$41,Stock!$C$2:$C$41,FuelShares!$A59,Stock!$C$2:$C$41,FuelShares!$C59)/SUMIF(Stock!$C$2:$C$41,FuelShares!$A59,Stock!AO$2:AO$41)</f>
        <v>0.66410034651849081</v>
      </c>
      <c r="AI59" s="3">
        <f>SUMIFS(Stock!AP$2:AP$41,Stock!$C$2:$C$41,FuelShares!$A59,Stock!$C$2:$C$41,FuelShares!$C59)/SUMIF(Stock!$C$2:$C$41,FuelShares!$A59,Stock!AP$2:AP$41)</f>
        <v>0.9841742739433792</v>
      </c>
      <c r="AJ59" s="3">
        <f>SUMIFS(Stock!AQ$2:AQ$41,Stock!$C$2:$C$41,FuelShares!$A59,Stock!$C$2:$C$41,FuelShares!$C59)/SUMIF(Stock!$C$2:$C$41,FuelShares!$A59,Stock!AQ$2:AQ$41)</f>
        <v>0.67014820536288633</v>
      </c>
      <c r="AK59" s="3">
        <f>SUMIFS(Stock!AR$2:AR$41,Stock!$C$2:$C$41,FuelShares!$A59,Stock!$C$2:$C$41,FuelShares!$C59)/SUMIF(Stock!$C$2:$C$41,FuelShares!$A59,Stock!AR$2:AR$41)</f>
        <v>0.95158770658542657</v>
      </c>
      <c r="AL59" s="3">
        <f>SUMIFS(Stock!AS$2:AS$41,Stock!$C$2:$C$41,FuelShares!$A59,Stock!$C$2:$C$41,FuelShares!$C59)/SUMIF(Stock!$C$2:$C$41,FuelShares!$A59,Stock!AS$2:AS$41)</f>
        <v>0.78673684575053193</v>
      </c>
      <c r="AM59" s="3">
        <f>SUMIFS(Stock!AT$2:AT$41,Stock!$C$2:$C$41,FuelShares!$A59,Stock!$C$2:$C$41,FuelShares!$C59)/SUMIF(Stock!$C$2:$C$41,FuelShares!$A59,Stock!AT$2:AT$41)</f>
        <v>0.90385860630852655</v>
      </c>
      <c r="AN59" s="3">
        <f>SUMIFS(Stock!AU$2:AU$41,Stock!$C$2:$C$41,FuelShares!$A59,Stock!$C$2:$C$41,FuelShares!$C59)/SUMIF(Stock!$C$2:$C$41,FuelShares!$A59,Stock!AU$2:AU$41)</f>
        <v>0.75380079593931726</v>
      </c>
      <c r="AO59" s="3">
        <f>SUMIFS(Stock!AV$2:AV$41,Stock!$C$2:$C$41,FuelShares!$A59,Stock!$C$2:$C$41,FuelShares!$C59)/SUMIF(Stock!$C$2:$C$41,FuelShares!$A59,Stock!AV$2:AV$41)</f>
        <v>0.94297310379981281</v>
      </c>
    </row>
    <row r="60" spans="1:41" ht="13.2">
      <c r="A60" t="s">
        <v>97</v>
      </c>
      <c r="C60" t="s">
        <v>101</v>
      </c>
      <c r="E60" s="3">
        <f>SUMIFS(Stock!L$2:L$41,Stock!$C$2:$C$41,FuelShares!$A60,Stock!$C$2:$C$41,FuelShares!$C60)/SUMIF(Stock!$C$2:$C$41,FuelShares!$A60,Stock!L$2:L$41)</f>
        <v>0.24838485416888187</v>
      </c>
      <c r="F60" s="3">
        <f>SUMIFS(Stock!M$2:M$41,Stock!$C$2:$C$41,FuelShares!$A60,Stock!$C$2:$C$41,FuelShares!$C60)/SUMIF(Stock!$C$2:$C$41,FuelShares!$A60,Stock!M$2:M$41)</f>
        <v>0.059080269204735268</v>
      </c>
      <c r="G60" s="3">
        <f>SUMIFS(Stock!N$2:N$41,Stock!$C$2:$C$41,FuelShares!$A60,Stock!$C$2:$C$41,FuelShares!$C60)/SUMIF(Stock!$C$2:$C$41,FuelShares!$A60,Stock!N$2:N$41)</f>
        <v>0.033747379956931986</v>
      </c>
      <c r="H60" s="3">
        <f>SUMIFS(Stock!O$2:O$41,Stock!$C$2:$C$41,FuelShares!$A60,Stock!$C$2:$C$41,FuelShares!$C60)/SUMIF(Stock!$C$2:$C$41,FuelShares!$A60,Stock!O$2:O$41)</f>
        <v>0.049011198084450841</v>
      </c>
      <c r="I60" s="3">
        <f>SUMIFS(Stock!P$2:P$41,Stock!$C$2:$C$41,FuelShares!$A60,Stock!$C$2:$C$41,FuelShares!$C60)/SUMIF(Stock!$C$2:$C$41,FuelShares!$A60,Stock!P$2:P$41)</f>
        <v>0.079949029723015139</v>
      </c>
      <c r="J60" s="3">
        <f>SUMIFS(Stock!Q$2:Q$41,Stock!$C$2:$C$41,FuelShares!$A60,Stock!$C$2:$C$41,FuelShares!$C60)/SUMIF(Stock!$C$2:$C$41,FuelShares!$A60,Stock!Q$2:Q$41)</f>
        <v>0.29180430907672139</v>
      </c>
      <c r="K60" s="3">
        <f>SUMIFS(Stock!R$2:R$41,Stock!$C$2:$C$41,FuelShares!$A60,Stock!$C$2:$C$41,FuelShares!$C60)/SUMIF(Stock!$C$2:$C$41,FuelShares!$A60,Stock!R$2:R$41)</f>
        <v>0.051835034049820317</v>
      </c>
      <c r="L60" s="3">
        <f>SUMIFS(Stock!S$2:S$41,Stock!$C$2:$C$41,FuelShares!$A60,Stock!$C$2:$C$41,FuelShares!$C60)/SUMIF(Stock!$C$2:$C$41,FuelShares!$A60,Stock!S$2:S$41)</f>
        <v>0.1776651738173487</v>
      </c>
      <c r="M60" s="3">
        <f>SUMIFS(Stock!T$2:T$41,Stock!$C$2:$C$41,FuelShares!$A60,Stock!$C$2:$C$41,FuelShares!$C60)/SUMIF(Stock!$C$2:$C$41,FuelShares!$A60,Stock!T$2:T$41)</f>
        <v>0.072673641266574024</v>
      </c>
      <c r="N60" s="3">
        <f>SUMIFS(Stock!U$2:U$41,Stock!$C$2:$C$41,FuelShares!$A60,Stock!$C$2:$C$41,FuelShares!$C60)/SUMIF(Stock!$C$2:$C$41,FuelShares!$A60,Stock!U$2:U$41)</f>
        <v>0.11857830662273575</v>
      </c>
      <c r="O60" s="3">
        <f>SUMIFS(Stock!V$2:V$41,Stock!$C$2:$C$41,FuelShares!$A60,Stock!$C$2:$C$41,FuelShares!$C60)/SUMIF(Stock!$C$2:$C$41,FuelShares!$A60,Stock!V$2:V$41)</f>
        <v>0.20511406161734264</v>
      </c>
      <c r="P60" s="3">
        <f>SUMIFS(Stock!W$2:W$41,Stock!$C$2:$C$41,FuelShares!$A60,Stock!$C$2:$C$41,FuelShares!$C60)/SUMIF(Stock!$C$2:$C$41,FuelShares!$A60,Stock!W$2:W$41)</f>
        <v>0.70133675623005598</v>
      </c>
      <c r="Q60" s="3">
        <f>SUMIFS(Stock!X$2:X$41,Stock!$C$2:$C$41,FuelShares!$A60,Stock!$C$2:$C$41,FuelShares!$C60)/SUMIF(Stock!$C$2:$C$41,FuelShares!$A60,Stock!X$2:X$41)</f>
        <v>0.12998780063546661</v>
      </c>
      <c r="R60" s="3">
        <f>SUMIFS(Stock!Y$2:Y$41,Stock!$C$2:$C$41,FuelShares!$A60,Stock!$C$2:$C$41,FuelShares!$C60)/SUMIF(Stock!$C$2:$C$41,FuelShares!$A60,Stock!Y$2:Y$41)</f>
        <v>0.063113165197453122</v>
      </c>
      <c r="S60" s="3">
        <f>SUMIFS(Stock!Z$2:Z$41,Stock!$C$2:$C$41,FuelShares!$A60,Stock!$C$2:$C$41,FuelShares!$C60)/SUMIF(Stock!$C$2:$C$41,FuelShares!$A60,Stock!Z$2:Z$41)</f>
        <v>0.037139685407950138</v>
      </c>
      <c r="T60" s="3">
        <f>SUMIFS(Stock!AA$2:AA$41,Stock!$C$2:$C$41,FuelShares!$A60,Stock!$C$2:$C$41,FuelShares!$C60)/SUMIF(Stock!$C$2:$C$41,FuelShares!$A60,Stock!AA$2:AA$41)</f>
        <v>0.060593246511300249</v>
      </c>
      <c r="U60" s="3">
        <f>SUMIFS(Stock!AB$2:AB$41,Stock!$C$2:$C$41,FuelShares!$A60,Stock!$C$2:$C$41,FuelShares!$C60)/SUMIF(Stock!$C$2:$C$41,FuelShares!$A60,Stock!AB$2:AB$41)</f>
        <v>0.087983477994848819</v>
      </c>
      <c r="V60" s="3">
        <f>SUMIFS(Stock!AC$2:AC$41,Stock!$C$2:$C$41,FuelShares!$A60,Stock!$C$2:$C$41,FuelShares!$C60)/SUMIF(Stock!$C$2:$C$41,FuelShares!$A60,Stock!AC$2:AC$41)</f>
        <v>0.0035803651102046877</v>
      </c>
      <c r="W60" s="3">
        <f>SUMIFS(Stock!AD$2:AD$41,Stock!$C$2:$C$41,FuelShares!$A60,Stock!$C$2:$C$41,FuelShares!$C60)/SUMIF(Stock!$C$2:$C$41,FuelShares!$A60,Stock!AD$2:AD$41)</f>
        <v>0.37601706578841976</v>
      </c>
      <c r="X60" s="3">
        <f>SUMIFS(Stock!AE$2:AE$41,Stock!$C$2:$C$41,FuelShares!$A60,Stock!$C$2:$C$41,FuelShares!$C60)/SUMIF(Stock!$C$2:$C$41,FuelShares!$A60,Stock!AE$2:AE$41)</f>
        <v>0.068986774039873314</v>
      </c>
      <c r="Y60" s="3">
        <f>SUMIFS(Stock!AF$2:AF$41,Stock!$C$2:$C$41,FuelShares!$A60,Stock!$C$2:$C$41,FuelShares!$C60)/SUMIF(Stock!$C$2:$C$41,FuelShares!$A60,Stock!AF$2:AF$41)</f>
        <v>0.03384862977346928</v>
      </c>
      <c r="Z60" s="3">
        <f>SUMIFS(Stock!AG$2:AG$41,Stock!$C$2:$C$41,FuelShares!$A60,Stock!$C$2:$C$41,FuelShares!$C60)/SUMIF(Stock!$C$2:$C$41,FuelShares!$A60,Stock!AG$2:AG$41)</f>
        <v>0.068540371648118034</v>
      </c>
      <c r="AA60" s="3">
        <f>SUMIFS(Stock!AH$2:AH$41,Stock!$C$2:$C$41,FuelShares!$A60,Stock!$C$2:$C$41,FuelShares!$C60)/SUMIF(Stock!$C$2:$C$41,FuelShares!$A60,Stock!AH$2:AH$41)</f>
        <v>0.053497769821331198</v>
      </c>
      <c r="AB60" s="3">
        <f>SUMIFS(Stock!AI$2:AI$41,Stock!$C$2:$C$41,FuelShares!$A60,Stock!$C$2:$C$41,FuelShares!$C60)/SUMIF(Stock!$C$2:$C$41,FuelShares!$A60,Stock!AI$2:AI$41)</f>
        <v>0.10106007078592276</v>
      </c>
      <c r="AC60" s="3">
        <f>SUMIFS(Stock!AJ$2:AJ$41,Stock!$C$2:$C$41,FuelShares!$A60,Stock!$C$2:$C$41,FuelShares!$C60)/SUMIF(Stock!$C$2:$C$41,FuelShares!$A60,Stock!AJ$2:AJ$41)</f>
        <v>0.36595828308472922</v>
      </c>
      <c r="AD60" s="3">
        <f>SUMIFS(Stock!AK$2:AK$41,Stock!$C$2:$C$41,FuelShares!$A60,Stock!$C$2:$C$41,FuelShares!$C60)/SUMIF(Stock!$C$2:$C$41,FuelShares!$A60,Stock!AK$2:AK$41)</f>
        <v>0.26279018847712959</v>
      </c>
      <c r="AE60" s="3">
        <f>SUMIFS(Stock!AL$2:AL$41,Stock!$C$2:$C$41,FuelShares!$A60,Stock!$C$2:$C$41,FuelShares!$C60)/SUMIF(Stock!$C$2:$C$41,FuelShares!$A60,Stock!AL$2:AL$41)</f>
        <v>0.048139700041802583</v>
      </c>
      <c r="AF60" s="3">
        <f>SUMIFS(Stock!AM$2:AM$41,Stock!$C$2:$C$41,FuelShares!$A60,Stock!$C$2:$C$41,FuelShares!$C60)/SUMIF(Stock!$C$2:$C$41,FuelShares!$A60,Stock!AM$2:AM$41)</f>
        <v>0.036298799561940764</v>
      </c>
      <c r="AG60" s="3">
        <f>SUMIFS(Stock!AN$2:AN$41,Stock!$C$2:$C$41,FuelShares!$A60,Stock!$C$2:$C$41,FuelShares!$C60)/SUMIF(Stock!$C$2:$C$41,FuelShares!$A60,Stock!AN$2:AN$41)</f>
        <v>0.14421388075492006</v>
      </c>
      <c r="AH60" s="3">
        <f>SUMIFS(Stock!AO$2:AO$41,Stock!$C$2:$C$41,FuelShares!$A60,Stock!$C$2:$C$41,FuelShares!$C60)/SUMIF(Stock!$C$2:$C$41,FuelShares!$A60,Stock!AO$2:AO$41)</f>
        <v>0.26968459349268775</v>
      </c>
      <c r="AI60" s="3">
        <f>SUMIFS(Stock!AP$2:AP$41,Stock!$C$2:$C$41,FuelShares!$A60,Stock!$C$2:$C$41,FuelShares!$C60)/SUMIF(Stock!$C$2:$C$41,FuelShares!$A60,Stock!AP$2:AP$41)</f>
        <v>0.015167634773027778</v>
      </c>
      <c r="AJ60" s="3">
        <f>SUMIFS(Stock!AQ$2:AQ$41,Stock!$C$2:$C$41,FuelShares!$A60,Stock!$C$2:$C$41,FuelShares!$C60)/SUMIF(Stock!$C$2:$C$41,FuelShares!$A60,Stock!AQ$2:AQ$41)</f>
        <v>0.32985179463711378</v>
      </c>
      <c r="AK60" s="3">
        <f>SUMIFS(Stock!AR$2:AR$41,Stock!$C$2:$C$41,FuelShares!$A60,Stock!$C$2:$C$41,FuelShares!$C60)/SUMIF(Stock!$C$2:$C$41,FuelShares!$A60,Stock!AR$2:AR$41)</f>
        <v>0.048412293414573447</v>
      </c>
      <c r="AL60" s="3">
        <f>SUMIFS(Stock!AS$2:AS$41,Stock!$C$2:$C$41,FuelShares!$A60,Stock!$C$2:$C$41,FuelShares!$C60)/SUMIF(Stock!$C$2:$C$41,FuelShares!$A60,Stock!AS$2:AS$41)</f>
        <v>0.21326315424946804</v>
      </c>
      <c r="AM60" s="3">
        <f>SUMIFS(Stock!AT$2:AT$41,Stock!$C$2:$C$41,FuelShares!$A60,Stock!$C$2:$C$41,FuelShares!$C60)/SUMIF(Stock!$C$2:$C$41,FuelShares!$A60,Stock!AT$2:AT$41)</f>
        <v>0.096141393691473426</v>
      </c>
      <c r="AN60" s="3">
        <f>SUMIFS(Stock!AU$2:AU$41,Stock!$C$2:$C$41,FuelShares!$A60,Stock!$C$2:$C$41,FuelShares!$C60)/SUMIF(Stock!$C$2:$C$41,FuelShares!$A60,Stock!AU$2:AU$41)</f>
        <v>0.24619920406068282</v>
      </c>
      <c r="AO60" s="3">
        <f>SUMIFS(Stock!AV$2:AV$41,Stock!$C$2:$C$41,FuelShares!$A60,Stock!$C$2:$C$41,FuelShares!$C60)/SUMIF(Stock!$C$2:$C$41,FuelShares!$A60,Stock!AV$2:AV$41)</f>
        <v>0.053150511675253025</v>
      </c>
    </row>
    <row r="61" spans="1:41" ht="13.2">
      <c r="A61" t="s">
        <v>97</v>
      </c>
      <c r="C61" t="s">
        <v>95</v>
      </c>
      <c r="E61" s="3">
        <f>SUMIFS(Stock!L$2:L$41,Stock!$C$2:$C$41,FuelShares!$A61,Stock!$C$2:$C$41,FuelShares!$C61)/SUMIF(Stock!$C$2:$C$41,FuelShares!$A61,Stock!L$2:L$41)</f>
        <v>0</v>
      </c>
      <c r="F61" s="3">
        <f>SUMIFS(Stock!M$2:M$41,Stock!$C$2:$C$41,FuelShares!$A61,Stock!$C$2:$C$41,FuelShares!$C61)/SUMIF(Stock!$C$2:$C$41,FuelShares!$A61,Stock!M$2:M$41)</f>
        <v>0</v>
      </c>
      <c r="G61" s="3">
        <f>SUMIFS(Stock!N$2:N$41,Stock!$C$2:$C$41,FuelShares!$A61,Stock!$C$2:$C$41,FuelShares!$C61)/SUMIF(Stock!$C$2:$C$41,FuelShares!$A61,Stock!N$2:N$41)</f>
        <v>0</v>
      </c>
      <c r="H61" s="3">
        <f>SUMIFS(Stock!O$2:O$41,Stock!$C$2:$C$41,FuelShares!$A61,Stock!$C$2:$C$41,FuelShares!$C61)/SUMIF(Stock!$C$2:$C$41,FuelShares!$A61,Stock!O$2:O$41)</f>
        <v>0</v>
      </c>
      <c r="I61" s="3">
        <f>SUMIFS(Stock!P$2:P$41,Stock!$C$2:$C$41,FuelShares!$A61,Stock!$C$2:$C$41,FuelShares!$C61)/SUMIF(Stock!$C$2:$C$41,FuelShares!$A61,Stock!P$2:P$41)</f>
        <v>0</v>
      </c>
      <c r="J61" s="3">
        <f>SUMIFS(Stock!Q$2:Q$41,Stock!$C$2:$C$41,FuelShares!$A61,Stock!$C$2:$C$41,FuelShares!$C61)/SUMIF(Stock!$C$2:$C$41,FuelShares!$A61,Stock!Q$2:Q$41)</f>
        <v>0</v>
      </c>
      <c r="K61" s="3">
        <f>SUMIFS(Stock!R$2:R$41,Stock!$C$2:$C$41,FuelShares!$A61,Stock!$C$2:$C$41,FuelShares!$C61)/SUMIF(Stock!$C$2:$C$41,FuelShares!$A61,Stock!R$2:R$41)</f>
        <v>0</v>
      </c>
      <c r="L61" s="3">
        <f>SUMIFS(Stock!S$2:S$41,Stock!$C$2:$C$41,FuelShares!$A61,Stock!$C$2:$C$41,FuelShares!$C61)/SUMIF(Stock!$C$2:$C$41,FuelShares!$A61,Stock!S$2:S$41)</f>
        <v>0</v>
      </c>
      <c r="M61" s="3">
        <f>SUMIFS(Stock!T$2:T$41,Stock!$C$2:$C$41,FuelShares!$A61,Stock!$C$2:$C$41,FuelShares!$C61)/SUMIF(Stock!$C$2:$C$41,FuelShares!$A61,Stock!T$2:T$41)</f>
        <v>0.0036472728322155686</v>
      </c>
      <c r="N61" s="3">
        <f>SUMIFS(Stock!U$2:U$41,Stock!$C$2:$C$41,FuelShares!$A61,Stock!$C$2:$C$41,FuelShares!$C61)/SUMIF(Stock!$C$2:$C$41,FuelShares!$A61,Stock!U$2:U$41)</f>
        <v>4.9670929940206001E-05</v>
      </c>
      <c r="O61" s="3">
        <f>SUMIFS(Stock!V$2:V$41,Stock!$C$2:$C$41,FuelShares!$A61,Stock!$C$2:$C$41,FuelShares!$C61)/SUMIF(Stock!$C$2:$C$41,FuelShares!$A61,Stock!V$2:V$41)</f>
        <v>0</v>
      </c>
      <c r="P61" s="3">
        <f>SUMIFS(Stock!W$2:W$41,Stock!$C$2:$C$41,FuelShares!$A61,Stock!$C$2:$C$41,FuelShares!$C61)/SUMIF(Stock!$C$2:$C$41,FuelShares!$A61,Stock!W$2:W$41)</f>
        <v>0</v>
      </c>
      <c r="Q61" s="3">
        <f>SUMIFS(Stock!X$2:X$41,Stock!$C$2:$C$41,FuelShares!$A61,Stock!$C$2:$C$41,FuelShares!$C61)/SUMIF(Stock!$C$2:$C$41,FuelShares!$A61,Stock!X$2:X$41)</f>
        <v>0</v>
      </c>
      <c r="R61" s="3">
        <f>SUMIFS(Stock!Y$2:Y$41,Stock!$C$2:$C$41,FuelShares!$A61,Stock!$C$2:$C$41,FuelShares!$C61)/SUMIF(Stock!$C$2:$C$41,FuelShares!$A61,Stock!Y$2:Y$41)</f>
        <v>0</v>
      </c>
      <c r="S61" s="3">
        <f>SUMIFS(Stock!Z$2:Z$41,Stock!$C$2:$C$41,FuelShares!$A61,Stock!$C$2:$C$41,FuelShares!$C61)/SUMIF(Stock!$C$2:$C$41,FuelShares!$A61,Stock!Z$2:Z$41)</f>
        <v>0</v>
      </c>
      <c r="T61" s="3">
        <f>SUMIFS(Stock!AA$2:AA$41,Stock!$C$2:$C$41,FuelShares!$A61,Stock!$C$2:$C$41,FuelShares!$C61)/SUMIF(Stock!$C$2:$C$41,FuelShares!$A61,Stock!AA$2:AA$41)</f>
        <v>0</v>
      </c>
      <c r="U61" s="3">
        <f>SUMIFS(Stock!AB$2:AB$41,Stock!$C$2:$C$41,FuelShares!$A61,Stock!$C$2:$C$41,FuelShares!$C61)/SUMIF(Stock!$C$2:$C$41,FuelShares!$A61,Stock!AB$2:AB$41)</f>
        <v>0</v>
      </c>
      <c r="V61" s="3">
        <f>SUMIFS(Stock!AC$2:AC$41,Stock!$C$2:$C$41,FuelShares!$A61,Stock!$C$2:$C$41,FuelShares!$C61)/SUMIF(Stock!$C$2:$C$41,FuelShares!$A61,Stock!AC$2:AC$41)</f>
        <v>0</v>
      </c>
      <c r="W61" s="3">
        <f>SUMIFS(Stock!AD$2:AD$41,Stock!$C$2:$C$41,FuelShares!$A61,Stock!$C$2:$C$41,FuelShares!$C61)/SUMIF(Stock!$C$2:$C$41,FuelShares!$A61,Stock!AD$2:AD$41)</f>
        <v>0</v>
      </c>
      <c r="X61" s="3">
        <f>SUMIFS(Stock!AE$2:AE$41,Stock!$C$2:$C$41,FuelShares!$A61,Stock!$C$2:$C$41,FuelShares!$C61)/SUMIF(Stock!$C$2:$C$41,FuelShares!$A61,Stock!AE$2:AE$41)</f>
        <v>0</v>
      </c>
      <c r="Y61" s="3">
        <f>SUMIFS(Stock!AF$2:AF$41,Stock!$C$2:$C$41,FuelShares!$A61,Stock!$C$2:$C$41,FuelShares!$C61)/SUMIF(Stock!$C$2:$C$41,FuelShares!$A61,Stock!AF$2:AF$41)</f>
        <v>0</v>
      </c>
      <c r="Z61" s="3">
        <f>SUMIFS(Stock!AG$2:AG$41,Stock!$C$2:$C$41,FuelShares!$A61,Stock!$C$2:$C$41,FuelShares!$C61)/SUMIF(Stock!$C$2:$C$41,FuelShares!$A61,Stock!AG$2:AG$41)</f>
        <v>0</v>
      </c>
      <c r="AA61" s="3">
        <f>SUMIFS(Stock!AH$2:AH$41,Stock!$C$2:$C$41,FuelShares!$A61,Stock!$C$2:$C$41,FuelShares!$C61)/SUMIF(Stock!$C$2:$C$41,FuelShares!$A61,Stock!AH$2:AH$41)</f>
        <v>0</v>
      </c>
      <c r="AB61" s="3">
        <f>SUMIFS(Stock!AI$2:AI$41,Stock!$C$2:$C$41,FuelShares!$A61,Stock!$C$2:$C$41,FuelShares!$C61)/SUMIF(Stock!$C$2:$C$41,FuelShares!$A61,Stock!AI$2:AI$41)</f>
        <v>0.021605249909298675</v>
      </c>
      <c r="AC61" s="3">
        <f>SUMIFS(Stock!AJ$2:AJ$41,Stock!$C$2:$C$41,FuelShares!$A61,Stock!$C$2:$C$41,FuelShares!$C61)/SUMIF(Stock!$C$2:$C$41,FuelShares!$A61,Stock!AJ$2:AJ$41)</f>
        <v>0</v>
      </c>
      <c r="AD61" s="3">
        <f>SUMIFS(Stock!AK$2:AK$41,Stock!$C$2:$C$41,FuelShares!$A61,Stock!$C$2:$C$41,FuelShares!$C61)/SUMIF(Stock!$C$2:$C$41,FuelShares!$A61,Stock!AK$2:AK$41)</f>
        <v>0.01688377867456527</v>
      </c>
      <c r="AE61" s="3">
        <f>SUMIFS(Stock!AL$2:AL$41,Stock!$C$2:$C$41,FuelShares!$A61,Stock!$C$2:$C$41,FuelShares!$C61)/SUMIF(Stock!$C$2:$C$41,FuelShares!$A61,Stock!AL$2:AL$41)</f>
        <v>0</v>
      </c>
      <c r="AF61" s="3">
        <f>SUMIFS(Stock!AM$2:AM$41,Stock!$C$2:$C$41,FuelShares!$A61,Stock!$C$2:$C$41,FuelShares!$C61)/SUMIF(Stock!$C$2:$C$41,FuelShares!$A61,Stock!AM$2:AM$41)</f>
        <v>0.019112280900058055</v>
      </c>
      <c r="AG61" s="3">
        <f>SUMIFS(Stock!AN$2:AN$41,Stock!$C$2:$C$41,FuelShares!$A61,Stock!$C$2:$C$41,FuelShares!$C61)/SUMIF(Stock!$C$2:$C$41,FuelShares!$A61,Stock!AN$2:AN$41)</f>
        <v>0</v>
      </c>
      <c r="AH61" s="3">
        <f>SUMIFS(Stock!AO$2:AO$41,Stock!$C$2:$C$41,FuelShares!$A61,Stock!$C$2:$C$41,FuelShares!$C61)/SUMIF(Stock!$C$2:$C$41,FuelShares!$A61,Stock!AO$2:AO$41)</f>
        <v>0.066215059988821323</v>
      </c>
      <c r="AI61" s="3">
        <f>SUMIFS(Stock!AP$2:AP$41,Stock!$C$2:$C$41,FuelShares!$A61,Stock!$C$2:$C$41,FuelShares!$C61)/SUMIF(Stock!$C$2:$C$41,FuelShares!$A61,Stock!AP$2:AP$41)</f>
        <v>0.00065809128359294684</v>
      </c>
      <c r="AJ61" s="3">
        <f>SUMIFS(Stock!AQ$2:AQ$41,Stock!$C$2:$C$41,FuelShares!$A61,Stock!$C$2:$C$41,FuelShares!$C61)/SUMIF(Stock!$C$2:$C$41,FuelShares!$A61,Stock!AQ$2:AQ$41)</f>
        <v>0</v>
      </c>
      <c r="AK61" s="3">
        <f>SUMIFS(Stock!AR$2:AR$41,Stock!$C$2:$C$41,FuelShares!$A61,Stock!$C$2:$C$41,FuelShares!$C61)/SUMIF(Stock!$C$2:$C$41,FuelShares!$A61,Stock!AR$2:AR$41)</f>
        <v>0</v>
      </c>
      <c r="AL61" s="3">
        <f>SUMIFS(Stock!AS$2:AS$41,Stock!$C$2:$C$41,FuelShares!$A61,Stock!$C$2:$C$41,FuelShares!$C61)/SUMIF(Stock!$C$2:$C$41,FuelShares!$A61,Stock!AS$2:AS$41)</f>
        <v>0</v>
      </c>
      <c r="AM61" s="3">
        <f>SUMIFS(Stock!AT$2:AT$41,Stock!$C$2:$C$41,FuelShares!$A61,Stock!$C$2:$C$41,FuelShares!$C61)/SUMIF(Stock!$C$2:$C$41,FuelShares!$A61,Stock!AT$2:AT$41)</f>
        <v>0</v>
      </c>
      <c r="AN61" s="3">
        <f>SUMIFS(Stock!AU$2:AU$41,Stock!$C$2:$C$41,FuelShares!$A61,Stock!$C$2:$C$41,FuelShares!$C61)/SUMIF(Stock!$C$2:$C$41,FuelShares!$A61,Stock!AU$2:AU$41)</f>
        <v>0</v>
      </c>
      <c r="AO61" s="3">
        <f>SUMIFS(Stock!AV$2:AV$41,Stock!$C$2:$C$41,FuelShares!$A61,Stock!$C$2:$C$41,FuelShares!$C61)/SUMIF(Stock!$C$2:$C$41,FuelShares!$A61,Stock!AV$2:AV$41)</f>
        <v>0.0037630576215761454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30"/>
  <sheetViews>
    <sheetView tabSelected="1" workbookViewId="0" topLeftCell="A1">
      <selection pane="topLeft" activeCell="AU24" sqref="AU24"/>
    </sheetView>
  </sheetViews>
  <sheetFormatPr defaultRowHeight="13.2"/>
  <cols>
    <col min="5" max="5" width="17.5714285714286" bestFit="1" customWidth="1"/>
  </cols>
  <sheetData>
    <row r="1" spans="5:12" ht="13.2">
      <c r="E1" s="4" t="s">
        <v>82</v>
      </c>
      <c r="L1" s="1" t="s">
        <v>109</v>
      </c>
    </row>
    <row r="2" spans="11:16" ht="13.2">
      <c r="K2">
        <v>2015</v>
      </c>
      <c r="L2">
        <v>1</v>
      </c>
      <c r="M2">
        <v>2025</v>
      </c>
      <c r="N2">
        <v>0.50</v>
      </c>
      <c r="O2">
        <v>2050</v>
      </c>
      <c r="P2">
        <v>0.05</v>
      </c>
    </row>
    <row r="3" spans="8:8" ht="13.2">
      <c r="H3" s="4" t="s">
        <v>112</v>
      </c>
    </row>
    <row r="4" spans="5:48" s="4" customFormat="1" ht="13.2">
      <c r="E4" s="8" t="s">
        <v>83</v>
      </c>
      <c r="F4" s="8" t="s">
        <v>84</v>
      </c>
      <c r="G4" s="8" t="s">
        <v>85</v>
      </c>
      <c r="H4" s="8" t="s">
        <v>3</v>
      </c>
      <c r="I4" s="8" t="s">
        <v>88</v>
      </c>
      <c r="J4" s="9" t="str">
        <f>FuelShares!E$45</f>
        <v>AL</v>
      </c>
      <c r="K4" s="9" t="str">
        <f>FuelShares!F$45</f>
        <v>AT</v>
      </c>
      <c r="L4" s="9" t="str">
        <f>FuelShares!G$45</f>
        <v>BA</v>
      </c>
      <c r="M4" s="9" t="str">
        <f>FuelShares!H$45</f>
        <v>BE</v>
      </c>
      <c r="N4" s="9" t="str">
        <f>FuelShares!I$45</f>
        <v>BG</v>
      </c>
      <c r="O4" s="9" t="str">
        <f>FuelShares!J$45</f>
        <v>CH</v>
      </c>
      <c r="P4" s="9" t="str">
        <f>FuelShares!K$45</f>
        <v>CY</v>
      </c>
      <c r="Q4" s="9" t="str">
        <f>FuelShares!L$45</f>
        <v>CZ</v>
      </c>
      <c r="R4" s="9" t="str">
        <f>FuelShares!M$45</f>
        <v>DE</v>
      </c>
      <c r="S4" s="9" t="str">
        <f>FuelShares!N$45</f>
        <v>DK</v>
      </c>
      <c r="T4" s="9" t="str">
        <f>FuelShares!O$45</f>
        <v>EE</v>
      </c>
      <c r="U4" s="9" t="str">
        <f>FuelShares!P$45</f>
        <v>EL</v>
      </c>
      <c r="V4" s="9" t="str">
        <f>FuelShares!Q$45</f>
        <v>ES</v>
      </c>
      <c r="W4" s="9" t="str">
        <f>FuelShares!R$45</f>
        <v>FI</v>
      </c>
      <c r="X4" s="9" t="str">
        <f>FuelShares!S$45</f>
        <v>FR</v>
      </c>
      <c r="Y4" s="9" t="str">
        <f>FuelShares!T$45</f>
        <v>HR</v>
      </c>
      <c r="Z4" s="9" t="str">
        <f>FuelShares!U$45</f>
        <v>HU</v>
      </c>
      <c r="AA4" s="9" t="str">
        <f>FuelShares!V$45</f>
        <v>IE</v>
      </c>
      <c r="AB4" s="9" t="str">
        <f>FuelShares!W$45</f>
        <v>IS</v>
      </c>
      <c r="AC4" s="9" t="str">
        <f>FuelShares!X$45</f>
        <v>IT</v>
      </c>
      <c r="AD4" s="9" t="str">
        <f>FuelShares!Y$45</f>
        <v>KS</v>
      </c>
      <c r="AE4" s="9" t="str">
        <f>FuelShares!Z$45</f>
        <v>LT</v>
      </c>
      <c r="AF4" s="9" t="str">
        <f>FuelShares!AA$45</f>
        <v>LU</v>
      </c>
      <c r="AG4" s="9" t="str">
        <f>FuelShares!AB$45</f>
        <v>LV</v>
      </c>
      <c r="AH4" s="9" t="str">
        <f>FuelShares!AC$45</f>
        <v>ME</v>
      </c>
      <c r="AI4" s="9" t="str">
        <f>FuelShares!AD$45</f>
        <v>MK</v>
      </c>
      <c r="AJ4" s="9" t="str">
        <f>FuelShares!AE$45</f>
        <v>MT</v>
      </c>
      <c r="AK4" s="9" t="str">
        <f>FuelShares!AF$45</f>
        <v>NL</v>
      </c>
      <c r="AL4" s="9" t="str">
        <f>FuelShares!AG$45</f>
        <v>NO</v>
      </c>
      <c r="AM4" s="9" t="str">
        <f>FuelShares!AH$45</f>
        <v>PL</v>
      </c>
      <c r="AN4" s="9" t="str">
        <f>FuelShares!AI$45</f>
        <v>PT</v>
      </c>
      <c r="AO4" s="9" t="str">
        <f>FuelShares!AJ$45</f>
        <v>RO</v>
      </c>
      <c r="AP4" s="9" t="str">
        <f>FuelShares!AK$45</f>
        <v>RS</v>
      </c>
      <c r="AQ4" s="9" t="str">
        <f>FuelShares!AL$45</f>
        <v>SE</v>
      </c>
      <c r="AR4" s="9" t="str">
        <f>FuelShares!AM$45</f>
        <v>SI</v>
      </c>
      <c r="AS4" s="9" t="str">
        <f>FuelShares!AN$45</f>
        <v>SK</v>
      </c>
      <c r="AT4" s="9" t="str">
        <f>FuelShares!AO$45</f>
        <v>UK</v>
      </c>
      <c r="AU4" s="9" t="s">
        <v>89</v>
      </c>
      <c r="AV4" s="9" t="s">
        <v>90</v>
      </c>
    </row>
    <row r="5" spans="5:48" ht="13.2">
      <c r="E5" s="1" t="s">
        <v>110</v>
      </c>
      <c r="F5" s="1" t="s">
        <v>111</v>
      </c>
      <c r="G5" s="1" t="s">
        <v>87</v>
      </c>
      <c r="H5">
        <v>2011</v>
      </c>
      <c r="I5">
        <v>1</v>
      </c>
      <c r="J5" s="6">
        <f>-FuelShares!E24</f>
        <v>-0.83215162812564492</v>
      </c>
      <c r="K5" s="6">
        <f>-FuelShares!F24</f>
        <v>-0.43643438152255137</v>
      </c>
      <c r="L5" s="6">
        <f>-FuelShares!G24</f>
        <v>-0.50457850752896449</v>
      </c>
      <c r="M5" s="6">
        <f>-FuelShares!H24</f>
        <v>-0.38536334091952085</v>
      </c>
      <c r="N5" s="6">
        <f>-FuelShares!I24</f>
        <v>-0.59746629939677465</v>
      </c>
      <c r="O5" s="6">
        <f>-FuelShares!J24</f>
        <v>-0.81557376043652452</v>
      </c>
      <c r="P5" s="6">
        <f>-FuelShares!K24</f>
        <v>-0.89484509096348375</v>
      </c>
      <c r="Q5" s="6">
        <f>-FuelShares!L24</f>
        <v>-0.73064946619217086</v>
      </c>
      <c r="R5" s="6">
        <f>-FuelShares!M24</f>
        <v>-0.72400211136717751</v>
      </c>
      <c r="S5" s="6">
        <f>-FuelShares!N24</f>
        <v>-0.75353335582244363</v>
      </c>
      <c r="T5" s="6">
        <f>-FuelShares!O24</f>
        <v>-0.72801573012413534</v>
      </c>
      <c r="U5" s="6">
        <f>-FuelShares!P24</f>
        <v>-0.97111486389348423</v>
      </c>
      <c r="V5" s="6">
        <f>-FuelShares!Q24</f>
        <v>-0.48216569483883553</v>
      </c>
      <c r="W5" s="6">
        <f>-FuelShares!R24</f>
        <v>-0.80601890756302519</v>
      </c>
      <c r="X5" s="6">
        <f>-FuelShares!S24</f>
        <v>-0.39680072942680933</v>
      </c>
      <c r="Y5" s="6">
        <f>-FuelShares!T24</f>
        <v>-0.6319796273957915</v>
      </c>
      <c r="Z5" s="6">
        <f>-FuelShares!U24</f>
        <v>-0.79069229686526044</v>
      </c>
      <c r="AA5" s="6">
        <f>-FuelShares!V24</f>
        <v>-0.73844024190619562</v>
      </c>
      <c r="AB5" s="6">
        <f>-FuelShares!W24</f>
        <v>-0.81275659824046942</v>
      </c>
      <c r="AC5" s="6">
        <f>-FuelShares!X24</f>
        <v>-0.54142837137506095</v>
      </c>
      <c r="AD5" s="6">
        <f>-FuelShares!Y24</f>
        <v>-0.48281879571994668</v>
      </c>
      <c r="AE5" s="6">
        <f>-FuelShares!Z24</f>
        <v>-0.66943298252121097</v>
      </c>
      <c r="AF5" s="6">
        <f>-FuelShares!AA24</f>
        <v>-0.35931750741839769</v>
      </c>
      <c r="AG5" s="6">
        <f>-FuelShares!AB24</f>
        <v>-0.63932841415775554</v>
      </c>
      <c r="AH5" s="6">
        <f>-FuelShares!AC24</f>
        <v>-0.8964699889933907</v>
      </c>
      <c r="AI5" s="6">
        <f>-FuelShares!AD24</f>
        <v>-0.73238982559076715</v>
      </c>
      <c r="AJ5" s="6">
        <f>-FuelShares!AE24</f>
        <v>-0.71941401062416999</v>
      </c>
      <c r="AK5" s="6">
        <f>-FuelShares!AF24</f>
        <v>-0.79757908248674025</v>
      </c>
      <c r="AL5" s="6">
        <f>-FuelShares!AG24</f>
        <v>-0.6962989649051895</v>
      </c>
      <c r="AM5" s="6">
        <f>-FuelShares!AH24</f>
        <v>-0.61003457658618121</v>
      </c>
      <c r="AN5" s="6">
        <f>-FuelShares!AI24</f>
        <v>-0.5475255754475703</v>
      </c>
      <c r="AO5" s="6">
        <f>-FuelShares!AJ24</f>
        <v>-0.67752714645025491</v>
      </c>
      <c r="AP5" s="6">
        <f>-FuelShares!AK24</f>
        <v>-0.49025918539184649</v>
      </c>
      <c r="AQ5" s="6">
        <f>-FuelShares!AL24</f>
        <v>-0.7958148484931985</v>
      </c>
      <c r="AR5" s="6">
        <f>-FuelShares!AM24</f>
        <v>-0.65263401109057295</v>
      </c>
      <c r="AS5" s="6">
        <f>-FuelShares!AN24</f>
        <v>-0.70885931855082707</v>
      </c>
      <c r="AT5" s="6">
        <f>-FuelShares!AO24</f>
        <v>-0.7093261310173552</v>
      </c>
      <c r="AU5">
        <v>0</v>
      </c>
      <c r="AV5">
        <v>1</v>
      </c>
    </row>
    <row r="6" spans="7:46" ht="13.2">
      <c r="G6" t="str">
        <f>G5</f>
        <v>Tcar</v>
      </c>
      <c r="H6">
        <f>K2</f>
        <v>2015</v>
      </c>
      <c r="J6" s="6">
        <f>J$5*$L$2</f>
        <v>-0.83215162812564492</v>
      </c>
      <c r="K6" s="6">
        <f t="shared" si="0" ref="K6:AT6">K$5*$L$2</f>
        <v>-0.43643438152255137</v>
      </c>
      <c r="L6" s="6">
        <f t="shared" si="0"/>
        <v>-0.50457850752896449</v>
      </c>
      <c r="M6" s="6">
        <f t="shared" si="0"/>
        <v>-0.38536334091952085</v>
      </c>
      <c r="N6" s="6">
        <f t="shared" si="0"/>
        <v>-0.59746629939677465</v>
      </c>
      <c r="O6" s="6">
        <f t="shared" si="0"/>
        <v>-0.81557376043652452</v>
      </c>
      <c r="P6" s="6">
        <f t="shared" si="0"/>
        <v>-0.89484509096348375</v>
      </c>
      <c r="Q6" s="6">
        <f t="shared" si="0"/>
        <v>-0.73064946619217086</v>
      </c>
      <c r="R6" s="6">
        <f t="shared" si="0"/>
        <v>-0.72400211136717751</v>
      </c>
      <c r="S6" s="6">
        <f t="shared" si="0"/>
        <v>-0.75353335582244363</v>
      </c>
      <c r="T6" s="6">
        <f t="shared" si="0"/>
        <v>-0.72801573012413534</v>
      </c>
      <c r="U6" s="6">
        <f t="shared" si="0"/>
        <v>-0.97111486389348423</v>
      </c>
      <c r="V6" s="6">
        <f t="shared" si="0"/>
        <v>-0.48216569483883553</v>
      </c>
      <c r="W6" s="6">
        <f t="shared" si="0"/>
        <v>-0.80601890756302519</v>
      </c>
      <c r="X6" s="6">
        <f t="shared" si="0"/>
        <v>-0.39680072942680933</v>
      </c>
      <c r="Y6" s="6">
        <f t="shared" si="0"/>
        <v>-0.6319796273957915</v>
      </c>
      <c r="Z6" s="6">
        <f t="shared" si="0"/>
        <v>-0.79069229686526044</v>
      </c>
      <c r="AA6" s="6">
        <f t="shared" si="0"/>
        <v>-0.73844024190619562</v>
      </c>
      <c r="AB6" s="6">
        <f t="shared" si="0"/>
        <v>-0.81275659824046942</v>
      </c>
      <c r="AC6" s="6">
        <f t="shared" si="0"/>
        <v>-0.54142837137506095</v>
      </c>
      <c r="AD6" s="6">
        <f t="shared" si="0"/>
        <v>-0.48281879571994668</v>
      </c>
      <c r="AE6" s="6">
        <f t="shared" si="0"/>
        <v>-0.66943298252121097</v>
      </c>
      <c r="AF6" s="6">
        <f t="shared" si="0"/>
        <v>-0.35931750741839769</v>
      </c>
      <c r="AG6" s="6">
        <f t="shared" si="0"/>
        <v>-0.63932841415775554</v>
      </c>
      <c r="AH6" s="6">
        <f t="shared" si="0"/>
        <v>-0.8964699889933907</v>
      </c>
      <c r="AI6" s="6">
        <f t="shared" si="0"/>
        <v>-0.73238982559076715</v>
      </c>
      <c r="AJ6" s="6">
        <f t="shared" si="0"/>
        <v>-0.71941401062416999</v>
      </c>
      <c r="AK6" s="6">
        <f t="shared" si="0"/>
        <v>-0.79757908248674025</v>
      </c>
      <c r="AL6" s="6">
        <f t="shared" si="0"/>
        <v>-0.6962989649051895</v>
      </c>
      <c r="AM6" s="6">
        <f t="shared" si="0"/>
        <v>-0.61003457658618121</v>
      </c>
      <c r="AN6" s="6">
        <f t="shared" si="0"/>
        <v>-0.5475255754475703</v>
      </c>
      <c r="AO6" s="6">
        <f t="shared" si="0"/>
        <v>-0.67752714645025491</v>
      </c>
      <c r="AP6" s="6">
        <f t="shared" si="0"/>
        <v>-0.49025918539184649</v>
      </c>
      <c r="AQ6" s="6">
        <f t="shared" si="0"/>
        <v>-0.7958148484931985</v>
      </c>
      <c r="AR6" s="6">
        <f t="shared" si="0"/>
        <v>-0.65263401109057295</v>
      </c>
      <c r="AS6" s="6">
        <f t="shared" si="0"/>
        <v>-0.70885931855082707</v>
      </c>
      <c r="AT6" s="6">
        <f t="shared" si="0"/>
        <v>-0.7093261310173552</v>
      </c>
    </row>
    <row r="12" spans="6:11" ht="13.2">
      <c r="F12" s="7" t="s">
        <v>132</v>
      </c>
      <c r="G12" s="7"/>
      <c r="H12" s="7"/>
      <c r="I12" s="7"/>
      <c r="J12" s="7"/>
      <c r="K12" s="7"/>
    </row>
    <row r="13" spans="7:46" ht="13.2">
      <c r="G13" t="str">
        <f>G6</f>
        <v>Tcar</v>
      </c>
      <c r="H13">
        <f>M2</f>
        <v>2025</v>
      </c>
      <c r="J13" s="6">
        <f>J$5*$N$2</f>
        <v>-0.41607581406282246</v>
      </c>
      <c r="K13" s="6">
        <f t="shared" si="1" ref="K13:AT13">K$5*$N$2</f>
        <v>-0.21821719076127569</v>
      </c>
      <c r="L13" s="6">
        <f t="shared" si="1"/>
        <v>-0.25228925376448225</v>
      </c>
      <c r="M13" s="6">
        <f t="shared" si="1"/>
        <v>-0.19268167045976042</v>
      </c>
      <c r="N13" s="6">
        <f t="shared" si="1"/>
        <v>-0.29873314969838732</v>
      </c>
      <c r="O13" s="6">
        <f t="shared" si="1"/>
        <v>-0.40778688021826226</v>
      </c>
      <c r="P13" s="6">
        <f t="shared" si="1"/>
        <v>-0.44742254548174187</v>
      </c>
      <c r="Q13" s="6">
        <f t="shared" si="1"/>
        <v>-0.36532473309608543</v>
      </c>
      <c r="R13" s="6">
        <f t="shared" si="1"/>
        <v>-0.36200105568358876</v>
      </c>
      <c r="S13" s="6">
        <f t="shared" si="1"/>
        <v>-0.37676667791122181</v>
      </c>
      <c r="T13" s="6">
        <f t="shared" si="1"/>
        <v>-0.36400786506206767</v>
      </c>
      <c r="U13" s="6">
        <f t="shared" si="1"/>
        <v>-0.48555743194674211</v>
      </c>
      <c r="V13" s="6">
        <f t="shared" si="1"/>
        <v>-0.24108284741941777</v>
      </c>
      <c r="W13" s="6">
        <f t="shared" si="1"/>
        <v>-0.40300945378151259</v>
      </c>
      <c r="X13" s="6">
        <f t="shared" si="1"/>
        <v>-0.19840036471340466</v>
      </c>
      <c r="Y13" s="6">
        <f t="shared" si="1"/>
        <v>-0.31598981369789575</v>
      </c>
      <c r="Z13" s="6">
        <f t="shared" si="1"/>
        <v>-0.39534614843263022</v>
      </c>
      <c r="AA13" s="6">
        <f t="shared" si="1"/>
        <v>-0.36922012095309781</v>
      </c>
      <c r="AB13" s="6">
        <f t="shared" si="1"/>
        <v>-0.40637829912023471</v>
      </c>
      <c r="AC13" s="6">
        <f t="shared" si="1"/>
        <v>-0.27071418568753047</v>
      </c>
      <c r="AD13" s="6">
        <f t="shared" si="1"/>
        <v>-0.24140939785997334</v>
      </c>
      <c r="AE13" s="6">
        <f t="shared" si="1"/>
        <v>-0.33471649126060549</v>
      </c>
      <c r="AF13" s="6">
        <f t="shared" si="1"/>
        <v>-0.17965875370919884</v>
      </c>
      <c r="AG13" s="6">
        <f t="shared" si="1"/>
        <v>-0.31966420707887777</v>
      </c>
      <c r="AH13" s="6">
        <f t="shared" si="1"/>
        <v>-0.44823499449669535</v>
      </c>
      <c r="AI13" s="6">
        <f t="shared" si="1"/>
        <v>-0.36619491279538358</v>
      </c>
      <c r="AJ13" s="6">
        <f t="shared" si="1"/>
        <v>-0.35970700531208499</v>
      </c>
      <c r="AK13" s="6">
        <f t="shared" si="1"/>
        <v>-0.39878954124337013</v>
      </c>
      <c r="AL13" s="6">
        <f t="shared" si="1"/>
        <v>-0.34814948245259475</v>
      </c>
      <c r="AM13" s="6">
        <f t="shared" si="1"/>
        <v>-0.3050172882930906</v>
      </c>
      <c r="AN13" s="6">
        <f t="shared" si="1"/>
        <v>-0.27376278772378515</v>
      </c>
      <c r="AO13" s="6">
        <f t="shared" si="1"/>
        <v>-0.33876357322512746</v>
      </c>
      <c r="AP13" s="6">
        <f t="shared" si="1"/>
        <v>-0.24512959269592324</v>
      </c>
      <c r="AQ13" s="6">
        <f t="shared" si="1"/>
        <v>-0.39790742424659925</v>
      </c>
      <c r="AR13" s="6">
        <f t="shared" si="1"/>
        <v>-0.32631700554528648</v>
      </c>
      <c r="AS13" s="6">
        <f t="shared" si="1"/>
        <v>-0.35442965927541353</v>
      </c>
      <c r="AT13" s="6">
        <f t="shared" si="1"/>
        <v>-0.3546630655086776</v>
      </c>
    </row>
    <row r="14" spans="7:46" ht="13.2">
      <c r="G14" t="str">
        <f>G13</f>
        <v>Tcar</v>
      </c>
      <c r="H14">
        <f>O2</f>
        <v>2050</v>
      </c>
      <c r="J14" s="6">
        <f>J$5*$P$2</f>
        <v>-0.041607581406282249</v>
      </c>
      <c r="K14" s="6">
        <f t="shared" si="2" ref="K14:AT14">K$5*$P$2</f>
        <v>-0.021821719076127569</v>
      </c>
      <c r="L14" s="6">
        <f t="shared" si="2"/>
        <v>-0.025228925376448226</v>
      </c>
      <c r="M14" s="6">
        <f t="shared" si="2"/>
        <v>-0.019268167045976045</v>
      </c>
      <c r="N14" s="6">
        <f t="shared" si="2"/>
        <v>-0.029873314969838735</v>
      </c>
      <c r="O14" s="6">
        <f t="shared" si="2"/>
        <v>-0.040778688021826229</v>
      </c>
      <c r="P14" s="6">
        <f t="shared" si="2"/>
        <v>-0.044742254548174189</v>
      </c>
      <c r="Q14" s="6">
        <f t="shared" si="2"/>
        <v>-0.036532473309608543</v>
      </c>
      <c r="R14" s="6">
        <f t="shared" si="2"/>
        <v>-0.036200105568358877</v>
      </c>
      <c r="S14" s="6">
        <f t="shared" si="2"/>
        <v>-0.037676667791122186</v>
      </c>
      <c r="T14" s="6">
        <f t="shared" si="2"/>
        <v>-0.036400786506206768</v>
      </c>
      <c r="U14" s="6">
        <f t="shared" si="2"/>
        <v>-0.048555743194674213</v>
      </c>
      <c r="V14" s="6">
        <f t="shared" si="2"/>
        <v>-0.02410828474194178</v>
      </c>
      <c r="W14" s="6">
        <f t="shared" si="2"/>
        <v>-0.040300945378151265</v>
      </c>
      <c r="X14" s="6">
        <f t="shared" si="2"/>
        <v>-0.019840036471340469</v>
      </c>
      <c r="Y14" s="6">
        <f t="shared" si="2"/>
        <v>-0.031598981369789579</v>
      </c>
      <c r="Z14" s="6">
        <f t="shared" si="2"/>
        <v>-0.039534614843263025</v>
      </c>
      <c r="AA14" s="6">
        <f t="shared" si="2"/>
        <v>-0.036922012095309785</v>
      </c>
      <c r="AB14" s="6">
        <f t="shared" si="2"/>
        <v>-0.040637829912023471</v>
      </c>
      <c r="AC14" s="6">
        <f t="shared" si="2"/>
        <v>-0.027071418568753048</v>
      </c>
      <c r="AD14" s="6">
        <f t="shared" si="2"/>
        <v>-0.024140939785997337</v>
      </c>
      <c r="AE14" s="6">
        <f t="shared" si="2"/>
        <v>-0.03347164912606055</v>
      </c>
      <c r="AF14" s="6">
        <f t="shared" si="2"/>
        <v>-0.017965875370919884</v>
      </c>
      <c r="AG14" s="6">
        <f t="shared" si="2"/>
        <v>-0.031966420707887779</v>
      </c>
      <c r="AH14" s="6">
        <f t="shared" si="2"/>
        <v>-0.04482349944966954</v>
      </c>
      <c r="AI14" s="6">
        <f t="shared" si="2"/>
        <v>-0.036619491279538362</v>
      </c>
      <c r="AJ14" s="6">
        <f t="shared" si="2"/>
        <v>-0.035970700531208502</v>
      </c>
      <c r="AK14" s="6">
        <f t="shared" si="2"/>
        <v>-0.039878954124337014</v>
      </c>
      <c r="AL14" s="6">
        <f t="shared" si="2"/>
        <v>-0.034814948245259478</v>
      </c>
      <c r="AM14" s="6">
        <f t="shared" si="2"/>
        <v>-0.030501728829309061</v>
      </c>
      <c r="AN14" s="6">
        <f t="shared" si="2"/>
        <v>-0.027376278772378516</v>
      </c>
      <c r="AO14" s="6">
        <f t="shared" si="2"/>
        <v>-0.033876357322512748</v>
      </c>
      <c r="AP14" s="6">
        <f t="shared" si="2"/>
        <v>-0.024512959269592325</v>
      </c>
      <c r="AQ14" s="6">
        <f t="shared" si="2"/>
        <v>-0.039790742424659929</v>
      </c>
      <c r="AR14" s="6">
        <f t="shared" si="2"/>
        <v>-0.032631700554528652</v>
      </c>
      <c r="AS14" s="6">
        <f t="shared" si="2"/>
        <v>-0.035442965927541356</v>
      </c>
      <c r="AT14" s="6">
        <f t="shared" si="2"/>
        <v>-0.035466306550867764</v>
      </c>
    </row>
    <row r="17" spans="6:10" ht="13.2">
      <c r="F17" s="10"/>
      <c r="G17" s="7"/>
      <c r="H17" s="11" t="s">
        <v>133</v>
      </c>
      <c r="I17" s="7"/>
      <c r="J17" s="7"/>
    </row>
    <row r="18" spans="5:49" s="4" customFormat="1" ht="13.2">
      <c r="E18" s="8" t="s">
        <v>83</v>
      </c>
      <c r="F18" s="8" t="s">
        <v>104</v>
      </c>
      <c r="G18" s="8" t="s">
        <v>86</v>
      </c>
      <c r="H18" s="8" t="s">
        <v>85</v>
      </c>
      <c r="I18" s="4" t="s">
        <v>3</v>
      </c>
      <c r="J18" s="8" t="s">
        <v>88</v>
      </c>
      <c r="K18" s="9" t="str">
        <f>FuelShares!E$45</f>
        <v>AL</v>
      </c>
      <c r="L18" s="9" t="str">
        <f>FuelShares!F$45</f>
        <v>AT</v>
      </c>
      <c r="M18" s="9" t="str">
        <f>FuelShares!G$45</f>
        <v>BA</v>
      </c>
      <c r="N18" s="9" t="str">
        <f>FuelShares!H$45</f>
        <v>BE</v>
      </c>
      <c r="O18" s="9" t="str">
        <f>FuelShares!I$45</f>
        <v>BG</v>
      </c>
      <c r="P18" s="9" t="str">
        <f>FuelShares!J$45</f>
        <v>CH</v>
      </c>
      <c r="Q18" s="9" t="str">
        <f>FuelShares!K$45</f>
        <v>CY</v>
      </c>
      <c r="R18" s="9" t="str">
        <f>FuelShares!L$45</f>
        <v>CZ</v>
      </c>
      <c r="S18" s="9" t="str">
        <f>FuelShares!M$45</f>
        <v>DE</v>
      </c>
      <c r="T18" s="9" t="str">
        <f>FuelShares!N$45</f>
        <v>DK</v>
      </c>
      <c r="U18" s="9" t="str">
        <f>FuelShares!O$45</f>
        <v>EE</v>
      </c>
      <c r="V18" s="9" t="str">
        <f>FuelShares!P$45</f>
        <v>EL</v>
      </c>
      <c r="W18" s="9" t="str">
        <f>FuelShares!Q$45</f>
        <v>ES</v>
      </c>
      <c r="X18" s="9" t="str">
        <f>FuelShares!R$45</f>
        <v>FI</v>
      </c>
      <c r="Y18" s="9" t="str">
        <f>FuelShares!S$45</f>
        <v>FR</v>
      </c>
      <c r="Z18" s="9" t="str">
        <f>FuelShares!T$45</f>
        <v>HR</v>
      </c>
      <c r="AA18" s="9" t="str">
        <f>FuelShares!U$45</f>
        <v>HU</v>
      </c>
      <c r="AB18" s="9" t="str">
        <f>FuelShares!V$45</f>
        <v>IE</v>
      </c>
      <c r="AC18" s="9" t="str">
        <f>FuelShares!W$45</f>
        <v>IS</v>
      </c>
      <c r="AD18" s="9" t="str">
        <f>FuelShares!X$45</f>
        <v>IT</v>
      </c>
      <c r="AE18" s="9" t="str">
        <f>FuelShares!Y$45</f>
        <v>KS</v>
      </c>
      <c r="AF18" s="9" t="str">
        <f>FuelShares!Z$45</f>
        <v>LT</v>
      </c>
      <c r="AG18" s="9" t="str">
        <f>FuelShares!AA$45</f>
        <v>LU</v>
      </c>
      <c r="AH18" s="9" t="str">
        <f>FuelShares!AB$45</f>
        <v>LV</v>
      </c>
      <c r="AI18" s="9" t="str">
        <f>FuelShares!AC$45</f>
        <v>ME</v>
      </c>
      <c r="AJ18" s="9" t="str">
        <f>FuelShares!AD$45</f>
        <v>MK</v>
      </c>
      <c r="AK18" s="9" t="str">
        <f>FuelShares!AE$45</f>
        <v>MT</v>
      </c>
      <c r="AL18" s="9" t="str">
        <f>FuelShares!AF$45</f>
        <v>NL</v>
      </c>
      <c r="AM18" s="9" t="str">
        <f>FuelShares!AG$45</f>
        <v>NO</v>
      </c>
      <c r="AN18" s="9" t="str">
        <f>FuelShares!AH$45</f>
        <v>PL</v>
      </c>
      <c r="AO18" s="9" t="str">
        <f>FuelShares!AI$45</f>
        <v>PT</v>
      </c>
      <c r="AP18" s="9" t="str">
        <f>FuelShares!AJ$45</f>
        <v>RO</v>
      </c>
      <c r="AQ18" s="9" t="str">
        <f>FuelShares!AK$45</f>
        <v>RS</v>
      </c>
      <c r="AR18" s="9" t="str">
        <f>FuelShares!AL$45</f>
        <v>SE</v>
      </c>
      <c r="AS18" s="9" t="str">
        <f>FuelShares!AM$45</f>
        <v>SI</v>
      </c>
      <c r="AT18" s="9" t="str">
        <f>FuelShares!AN$45</f>
        <v>SK</v>
      </c>
      <c r="AU18" s="9" t="str">
        <f>FuelShares!AO$45</f>
        <v>UK</v>
      </c>
      <c r="AV18" s="9" t="s">
        <v>89</v>
      </c>
      <c r="AW18" s="9" t="s">
        <v>90</v>
      </c>
    </row>
    <row r="19" spans="1:49" ht="13.2">
      <c r="A19" t="s">
        <v>93</v>
      </c>
      <c r="C19" t="s">
        <v>95</v>
      </c>
      <c r="E19" t="str">
        <f t="shared" si="3" ref="E19:E21">"TUC_"&amp;LEFT(A19,7)&amp;"-"&amp;MID(C19,2,3)</f>
        <v>TUC_TRA_Bus-Lpg</v>
      </c>
      <c r="F19" t="str">
        <f>"TRA"&amp;MID(C19,2,3)</f>
        <v>TRALpg</v>
      </c>
      <c r="G19" t="str">
        <f>G28</f>
        <v>Tbus</v>
      </c>
      <c r="H19" t="str">
        <f t="shared" si="4" ref="H19:H21">G19</f>
        <v>Tbus</v>
      </c>
      <c r="I19">
        <v>2011</v>
      </c>
      <c r="J19">
        <v>1</v>
      </c>
      <c r="K19">
        <f>IF(FuelShares!E49&gt;0.0001,-FuelShares!E49,0)</f>
        <v>0</v>
      </c>
      <c r="L19">
        <f>IF(FuelShares!F49&gt;0.0001,-FuelShares!F49,0)</f>
        <v>0</v>
      </c>
      <c r="M19">
        <f>IF(FuelShares!G49&gt;0.0001,-FuelShares!G49,0)</f>
        <v>0</v>
      </c>
      <c r="N19">
        <f>IF(FuelShares!H49&gt;0.0001,-FuelShares!H49,0)</f>
        <v>0</v>
      </c>
      <c r="O19">
        <f>IF(FuelShares!I49&gt;0.0001,-FuelShares!I49,0)</f>
        <v>0</v>
      </c>
      <c r="P19">
        <f>IF(FuelShares!J49&gt;0.0001,-FuelShares!J49,0)</f>
        <v>0</v>
      </c>
      <c r="Q19">
        <f>IF(FuelShares!K49&gt;0.0001,-FuelShares!K49,0)</f>
        <v>0</v>
      </c>
      <c r="R19">
        <f>IF(FuelShares!L49&gt;0.0001,-FuelShares!L49,0)</f>
        <v>0</v>
      </c>
      <c r="S19">
        <f>IF(FuelShares!M49&gt;0.0001,-FuelShares!M49,0)</f>
        <v>0</v>
      </c>
      <c r="T19">
        <f>IF(FuelShares!N49&gt;0.0001,-FuelShares!N49,0)</f>
        <v>0</v>
      </c>
      <c r="U19">
        <f>IF(FuelShares!O49&gt;0.0001,-FuelShares!O49,0)</f>
        <v>0</v>
      </c>
      <c r="V19">
        <f>IF(FuelShares!P49&gt;0.0001,-FuelShares!P49,0)</f>
        <v>0</v>
      </c>
      <c r="W19">
        <f>IF(FuelShares!Q49&gt;0.0001,-FuelShares!Q49,0)</f>
        <v>0</v>
      </c>
      <c r="X19">
        <f>IF(FuelShares!R49&gt;0.0001,-FuelShares!R49,0)</f>
        <v>0</v>
      </c>
      <c r="Y19">
        <f>IF(FuelShares!S49&gt;0.0001,-FuelShares!S49,0)</f>
        <v>0</v>
      </c>
      <c r="Z19">
        <f>IF(FuelShares!T49&gt;0.0001,-FuelShares!T49,0)</f>
        <v>0</v>
      </c>
      <c r="AA19">
        <f>IF(FuelShares!U49&gt;0.0001,-FuelShares!U49,0)</f>
        <v>0</v>
      </c>
      <c r="AB19">
        <f>IF(FuelShares!V49&gt;0.0001,-FuelShares!V49,0)</f>
        <v>0</v>
      </c>
      <c r="AC19">
        <f>IF(FuelShares!W49&gt;0.0001,-FuelShares!W49,0)</f>
        <v>0</v>
      </c>
      <c r="AD19">
        <f>IF(FuelShares!X49&gt;0.0001,-FuelShares!X49,0)</f>
        <v>0</v>
      </c>
      <c r="AE19">
        <f>IF(FuelShares!Y49&gt;0.0001,-FuelShares!Y49,0)</f>
        <v>0</v>
      </c>
      <c r="AF19">
        <f>IF(FuelShares!Z49&gt;0.0001,-FuelShares!Z49,0)</f>
        <v>0</v>
      </c>
      <c r="AG19">
        <f>IF(FuelShares!AA49&gt;0.0001,-FuelShares!AA49,0)</f>
        <v>0</v>
      </c>
      <c r="AH19">
        <f>IF(FuelShares!AB49&gt;0.0001,-FuelShares!AB49,0)</f>
        <v>-0.0036081043310947128</v>
      </c>
      <c r="AI19">
        <f>IF(FuelShares!AC49&gt;0.0001,-FuelShares!AC49,0)</f>
        <v>0</v>
      </c>
      <c r="AJ19">
        <f>IF(FuelShares!AD49&gt;0.0001,-FuelShares!AD49,0)</f>
        <v>-0.018518518518518521</v>
      </c>
      <c r="AK19">
        <f>IF(FuelShares!AE49&gt;0.0001,-FuelShares!AE49,0)</f>
        <v>0</v>
      </c>
      <c r="AL19">
        <f>IF(FuelShares!AF49&gt;0.0001,-FuelShares!AF49,0)</f>
        <v>-0.0071569153678187423</v>
      </c>
      <c r="AM19">
        <f>IF(FuelShares!AG49&gt;0.0001,-FuelShares!AG49,0)</f>
        <v>0</v>
      </c>
      <c r="AN19">
        <f>IF(FuelShares!AH49&gt;0.0001,-FuelShares!AH49,0)</f>
        <v>-0.0079348722176422106</v>
      </c>
      <c r="AO19">
        <f>IF(FuelShares!AI49&gt;0.0001,-FuelShares!AI49,0)</f>
        <v>-0.00019443904339567166</v>
      </c>
      <c r="AP19">
        <f>IF(FuelShares!AJ49&gt;0.0001,-FuelShares!AJ49,0)</f>
        <v>0</v>
      </c>
      <c r="AQ19">
        <f>IF(FuelShares!AK49&gt;0.0001,-FuelShares!AK49,0)</f>
        <v>0</v>
      </c>
      <c r="AR19">
        <f>IF(FuelShares!AL49&gt;0.0001,-FuelShares!AL49,0)</f>
        <v>0</v>
      </c>
      <c r="AS19">
        <f>IF(FuelShares!AM49&gt;0.0001,-FuelShares!AM49,0)</f>
        <v>0</v>
      </c>
      <c r="AT19">
        <f>IF(FuelShares!AN49&gt;0.0001,-FuelShares!AN49,0)</f>
        <v>0</v>
      </c>
      <c r="AU19">
        <f>IF(FuelShares!AO49&gt;0.0001,-FuelShares!AO49,0)</f>
        <v>-0.0015194903863012098</v>
      </c>
      <c r="AV19">
        <v>0</v>
      </c>
      <c r="AW19">
        <v>5</v>
      </c>
    </row>
    <row r="20" spans="1:49" ht="13.2">
      <c r="A20" t="s">
        <v>96</v>
      </c>
      <c r="C20" t="s">
        <v>95</v>
      </c>
      <c r="E20" t="str">
        <f t="shared" si="3"/>
        <v>TUC_TRA_Car-Lpg</v>
      </c>
      <c r="F20" t="str">
        <f>"TRA"&amp;MID(C20,2,3)</f>
        <v>TRALpg</v>
      </c>
      <c r="G20" t="str">
        <f>G29</f>
        <v>Tcar</v>
      </c>
      <c r="H20" t="str">
        <f t="shared" si="4"/>
        <v>Tcar</v>
      </c>
      <c r="I20">
        <v>2011</v>
      </c>
      <c r="J20">
        <v>1</v>
      </c>
      <c r="K20">
        <f>IF(FuelShares!E54&gt;0.0001,-FuelShares!E54,0)</f>
        <v>0</v>
      </c>
      <c r="L20">
        <f>IF(FuelShares!F54&gt;0.0001,-FuelShares!F54,0)</f>
        <v>0</v>
      </c>
      <c r="M20">
        <f>IF(FuelShares!G54&gt;0.0001,-FuelShares!G54,0)</f>
        <v>0</v>
      </c>
      <c r="N20">
        <f>IF(FuelShares!H54&gt;0.0001,-FuelShares!H54,0)</f>
        <v>-0.0067151808041358762</v>
      </c>
      <c r="O20">
        <f>IF(FuelShares!I54&gt;0.0001,-FuelShares!I54,0)</f>
        <v>-0.037817001107965036</v>
      </c>
      <c r="P20">
        <f>IF(FuelShares!J54&gt;0.0001,-FuelShares!J54,0)</f>
        <v>0</v>
      </c>
      <c r="Q20">
        <f>IF(FuelShares!K54&gt;0.0001,-FuelShares!K54,0)</f>
        <v>0</v>
      </c>
      <c r="R20">
        <f>IF(FuelShares!L54&gt;0.0001,-FuelShares!L54,0)</f>
        <v>0</v>
      </c>
      <c r="S20">
        <f>IF(FuelShares!M54&gt;0.0001,-FuelShares!M54,0)</f>
        <v>-0.0097951978638609848</v>
      </c>
      <c r="T20">
        <f>IF(FuelShares!N54&gt;0.0001,-FuelShares!N54,0)</f>
        <v>0</v>
      </c>
      <c r="U20">
        <f>IF(FuelShares!O54&gt;0.0001,-FuelShares!O54,0)</f>
        <v>0</v>
      </c>
      <c r="V20">
        <f>IF(FuelShares!P54&gt;0.0001,-FuelShares!P54,0)</f>
        <v>-0.0013187984366104582</v>
      </c>
      <c r="W20">
        <f>IF(FuelShares!Q54&gt;0.0001,-FuelShares!Q54,0)</f>
        <v>0</v>
      </c>
      <c r="X20">
        <f>IF(FuelShares!R54&gt;0.0001,-FuelShares!R54,0)</f>
        <v>0</v>
      </c>
      <c r="Y20">
        <f>IF(FuelShares!S54&gt;0.0001,-FuelShares!S54,0)</f>
        <v>-0.0068176684657028268</v>
      </c>
      <c r="Z20">
        <f>IF(FuelShares!T54&gt;0.0001,-FuelShares!T54,0)</f>
        <v>-0.032026537997587458</v>
      </c>
      <c r="AA20">
        <f>IF(FuelShares!U54&gt;0.0001,-FuelShares!U54,0)</f>
        <v>-0.001598536183218386</v>
      </c>
      <c r="AB20">
        <f>IF(FuelShares!V54&gt;0.0001,-FuelShares!V54,0)</f>
        <v>-0.00032633124726960753</v>
      </c>
      <c r="AC20">
        <f>IF(FuelShares!W54&gt;0.0001,-FuelShares!W54,0)</f>
        <v>0</v>
      </c>
      <c r="AD20">
        <f>IF(FuelShares!X54&gt;0.0001,-FuelShares!X54,0)</f>
        <v>-0.056506717521999782</v>
      </c>
      <c r="AE20">
        <f>IF(FuelShares!Y54&gt;0.0001,-FuelShares!Y54,0)</f>
        <v>-0.044592081040771767</v>
      </c>
      <c r="AF20">
        <f>IF(FuelShares!Z54&gt;0.0001,-FuelShares!Z54,0)</f>
        <v>0</v>
      </c>
      <c r="AG20">
        <f>IF(FuelShares!AA54&gt;0.0001,-FuelShares!AA54,0)</f>
        <v>0</v>
      </c>
      <c r="AH20">
        <f>IF(FuelShares!AB54&gt;0.0001,-FuelShares!AB54,0)</f>
        <v>-0.030718541609122831</v>
      </c>
      <c r="AI20">
        <f>IF(FuelShares!AC54&gt;0.0001,-FuelShares!AC54,0)</f>
        <v>0</v>
      </c>
      <c r="AJ20">
        <f>IF(FuelShares!AD54&gt;0.0001,-FuelShares!AD54,0)</f>
        <v>-0.035784519165672657</v>
      </c>
      <c r="AK20">
        <f>IF(FuelShares!AE54&gt;0.0001,-FuelShares!AE54,0)</f>
        <v>0</v>
      </c>
      <c r="AL20">
        <f>IF(FuelShares!AF54&gt;0.0001,-FuelShares!AF54,0)</f>
        <v>-0.027275394879206188</v>
      </c>
      <c r="AM20">
        <f>IF(FuelShares!AG54&gt;0.0001,-FuelShares!AG54,0)</f>
        <v>0</v>
      </c>
      <c r="AN20">
        <f>IF(FuelShares!AH54&gt;0.0001,-FuelShares!AH54,0)</f>
        <v>-0.14373558221321472</v>
      </c>
      <c r="AO20">
        <f>IF(FuelShares!AI54&gt;0.0001,-FuelShares!AI54,0)</f>
        <v>-0.0080967604433077565</v>
      </c>
      <c r="AP20">
        <f>IF(FuelShares!AJ54&gt;0.0001,-FuelShares!AJ54,0)</f>
        <v>-0.040366334602320648</v>
      </c>
      <c r="AQ20">
        <f>IF(FuelShares!AK54&gt;0.0001,-FuelShares!AK54,0)</f>
        <v>-0.17380923206650783</v>
      </c>
      <c r="AR20">
        <f>IF(FuelShares!AL54&gt;0.0001,-FuelShares!AL54,0)</f>
        <v>0</v>
      </c>
      <c r="AS20">
        <f>IF(FuelShares!AM54&gt;0.0001,-FuelShares!AM54,0)</f>
        <v>0</v>
      </c>
      <c r="AT20">
        <f>IF(FuelShares!AN54&gt;0.0001,-FuelShares!AN54,0)</f>
        <v>-0.032287054622578769</v>
      </c>
      <c r="AU20">
        <f>IF(FuelShares!AO54&gt;0.0001,-FuelShares!AO54,0)</f>
        <v>-0.00091758239625231103</v>
      </c>
      <c r="AV20">
        <v>0</v>
      </c>
      <c r="AW20">
        <v>5</v>
      </c>
    </row>
    <row r="21" spans="1:49" ht="13.2">
      <c r="A21" t="s">
        <v>97</v>
      </c>
      <c r="C21" t="s">
        <v>95</v>
      </c>
      <c r="E21" t="str">
        <f t="shared" si="3"/>
        <v>TUC_TRA_Lcv-Lpg</v>
      </c>
      <c r="F21" t="str">
        <f>"TRA"&amp;MID(C21,2,3)</f>
        <v>TRALpg</v>
      </c>
      <c r="G21" t="str">
        <f>G30</f>
        <v>TLCV</v>
      </c>
      <c r="H21" t="str">
        <f t="shared" si="4"/>
        <v>TLCV</v>
      </c>
      <c r="I21">
        <v>2011</v>
      </c>
      <c r="J21">
        <v>1</v>
      </c>
      <c r="K21">
        <f>IF(FuelShares!E61&gt;0.0001,-FuelShares!E61,0)</f>
        <v>0</v>
      </c>
      <c r="L21">
        <f>IF(FuelShares!F61&gt;0.0001,-FuelShares!F61,0)</f>
        <v>0</v>
      </c>
      <c r="M21">
        <f>IF(FuelShares!G61&gt;0.0001,-FuelShares!G61,0)</f>
        <v>0</v>
      </c>
      <c r="N21">
        <f>IF(FuelShares!H61&gt;0.0001,-FuelShares!H61,0)</f>
        <v>0</v>
      </c>
      <c r="O21">
        <f>IF(FuelShares!I61&gt;0.0001,-FuelShares!I61,0)</f>
        <v>0</v>
      </c>
      <c r="P21">
        <f>IF(FuelShares!J61&gt;0.0001,-FuelShares!J61,0)</f>
        <v>0</v>
      </c>
      <c r="Q21">
        <f>IF(FuelShares!K61&gt;0.0001,-FuelShares!K61,0)</f>
        <v>0</v>
      </c>
      <c r="R21">
        <f>IF(FuelShares!L61&gt;0.0001,-FuelShares!L61,0)</f>
        <v>0</v>
      </c>
      <c r="S21">
        <f>IF(FuelShares!M61&gt;0.0001,-FuelShares!M61,0)</f>
        <v>-0.0036472728322155686</v>
      </c>
      <c r="T21">
        <f>IF(FuelShares!N61&gt;0.0001,-FuelShares!N61,0)</f>
        <v>0</v>
      </c>
      <c r="U21">
        <f>IF(FuelShares!O61&gt;0.0001,-FuelShares!O61,0)</f>
        <v>0</v>
      </c>
      <c r="V21">
        <f>IF(FuelShares!P61&gt;0.0001,-FuelShares!P61,0)</f>
        <v>0</v>
      </c>
      <c r="W21">
        <f>IF(FuelShares!Q61&gt;0.0001,-FuelShares!Q61,0)</f>
        <v>0</v>
      </c>
      <c r="X21">
        <f>IF(FuelShares!R61&gt;0.0001,-FuelShares!R61,0)</f>
        <v>0</v>
      </c>
      <c r="Y21">
        <f>IF(FuelShares!S61&gt;0.0001,-FuelShares!S61,0)</f>
        <v>0</v>
      </c>
      <c r="Z21">
        <f>IF(FuelShares!T61&gt;0.0001,-FuelShares!T61,0)</f>
        <v>0</v>
      </c>
      <c r="AA21">
        <f>IF(FuelShares!U61&gt;0.0001,-FuelShares!U61,0)</f>
        <v>0</v>
      </c>
      <c r="AB21">
        <f>IF(FuelShares!V61&gt;0.0001,-FuelShares!V61,0)</f>
        <v>0</v>
      </c>
      <c r="AC21">
        <f>IF(FuelShares!W61&gt;0.0001,-FuelShares!W61,0)</f>
        <v>0</v>
      </c>
      <c r="AD21">
        <f>IF(FuelShares!X61&gt;0.0001,-FuelShares!X61,0)</f>
        <v>0</v>
      </c>
      <c r="AE21">
        <f>IF(FuelShares!Y61&gt;0.0001,-FuelShares!Y61,0)</f>
        <v>0</v>
      </c>
      <c r="AF21">
        <f>IF(FuelShares!Z61&gt;0.0001,-FuelShares!Z61,0)</f>
        <v>0</v>
      </c>
      <c r="AG21">
        <f>IF(FuelShares!AA61&gt;0.0001,-FuelShares!AA61,0)</f>
        <v>0</v>
      </c>
      <c r="AH21">
        <f>IF(FuelShares!AB61&gt;0.0001,-FuelShares!AB61,0)</f>
        <v>-0.021605249909298675</v>
      </c>
      <c r="AI21">
        <f>IF(FuelShares!AC61&gt;0.0001,-FuelShares!AC61,0)</f>
        <v>0</v>
      </c>
      <c r="AJ21">
        <f>IF(FuelShares!AD61&gt;0.0001,-FuelShares!AD61,0)</f>
        <v>-0.01688377867456527</v>
      </c>
      <c r="AK21">
        <f>IF(FuelShares!AE61&gt;0.0001,-FuelShares!AE61,0)</f>
        <v>0</v>
      </c>
      <c r="AL21">
        <f>IF(FuelShares!AF61&gt;0.0001,-FuelShares!AF61,0)</f>
        <v>-0.019112280900058055</v>
      </c>
      <c r="AM21">
        <f>IF(FuelShares!AG61&gt;0.0001,-FuelShares!AG61,0)</f>
        <v>0</v>
      </c>
      <c r="AN21">
        <f>IF(FuelShares!AH61&gt;0.0001,-FuelShares!AH61,0)</f>
        <v>-0.066215059988821323</v>
      </c>
      <c r="AO21">
        <f>IF(FuelShares!AI61&gt;0.0001,-FuelShares!AI61,0)</f>
        <v>-0.00065809128359294684</v>
      </c>
      <c r="AP21">
        <f>IF(FuelShares!AJ61&gt;0.0001,-FuelShares!AJ61,0)</f>
        <v>0</v>
      </c>
      <c r="AQ21">
        <f>IF(FuelShares!AK61&gt;0.0001,-FuelShares!AK61,0)</f>
        <v>0</v>
      </c>
      <c r="AR21">
        <f>IF(FuelShares!AL61&gt;0.0001,-FuelShares!AL61,0)</f>
        <v>0</v>
      </c>
      <c r="AS21">
        <f>IF(FuelShares!AM61&gt;0.0001,-FuelShares!AM61,0)</f>
        <v>0</v>
      </c>
      <c r="AT21">
        <f>IF(FuelShares!AN61&gt;0.0001,-FuelShares!AN61,0)</f>
        <v>0</v>
      </c>
      <c r="AU21">
        <f>IF(FuelShares!AO61&gt;0.0001,-FuelShares!AO61,0)</f>
        <v>-0.0037630576215761454</v>
      </c>
      <c r="AV21">
        <v>0</v>
      </c>
      <c r="AW21">
        <v>5</v>
      </c>
    </row>
    <row r="22" spans="1:49" ht="13.2">
      <c r="A22" t="s">
        <v>99</v>
      </c>
      <c r="C22" t="s">
        <v>95</v>
      </c>
      <c r="E22" t="str">
        <f t="shared" si="5" ref="E22">"TUC_"&amp;LEFT(A22,7)&amp;"-"&amp;MID(C22,2,3)</f>
        <v>TUC_TRA_Hdt-Lpg</v>
      </c>
      <c r="F22" t="str">
        <f>"TRA"&amp;MID(C22,2,3)</f>
        <v>TRALpg</v>
      </c>
      <c r="G22" t="s">
        <v>134</v>
      </c>
      <c r="H22" t="str">
        <f t="shared" si="6" ref="H22">G22</f>
        <v>THDT</v>
      </c>
      <c r="I22">
        <v>2011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5</v>
      </c>
    </row>
    <row r="23" spans="5:49" ht="13.2">
      <c r="E23" t="s">
        <v>136</v>
      </c>
      <c r="F23" t="s">
        <v>137</v>
      </c>
      <c r="G23" t="s">
        <v>105</v>
      </c>
      <c r="H23" t="s">
        <v>105</v>
      </c>
      <c r="I23">
        <v>2025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5</v>
      </c>
    </row>
    <row r="24" spans="5:49" ht="13.2">
      <c r="E24" t="s">
        <v>138</v>
      </c>
      <c r="F24" t="s">
        <v>137</v>
      </c>
      <c r="G24" t="s">
        <v>87</v>
      </c>
      <c r="H24" t="s">
        <v>87</v>
      </c>
      <c r="I24">
        <v>2025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5</v>
      </c>
    </row>
    <row r="25" spans="5:49" ht="13.2">
      <c r="E25" t="s">
        <v>139</v>
      </c>
      <c r="F25" t="s">
        <v>137</v>
      </c>
      <c r="G25" t="s">
        <v>106</v>
      </c>
      <c r="H25" t="s">
        <v>106</v>
      </c>
      <c r="I25">
        <v>2025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5</v>
      </c>
    </row>
    <row r="26" spans="5:49" ht="13.2">
      <c r="E26" t="s">
        <v>140</v>
      </c>
      <c r="F26" t="s">
        <v>137</v>
      </c>
      <c r="G26" t="s">
        <v>134</v>
      </c>
      <c r="H26" t="s">
        <v>134</v>
      </c>
      <c r="I26">
        <v>2025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5</v>
      </c>
    </row>
    <row r="28" spans="1:48" ht="13.2">
      <c r="A28" t="s">
        <v>93</v>
      </c>
      <c r="C28" t="s">
        <v>94</v>
      </c>
      <c r="E28" t="str">
        <f>"TUC_"&amp;LEFT(A28,7)&amp;"-"&amp;MID(C28,2,3)</f>
        <v>TUC_TRA_Bus-Cng</v>
      </c>
      <c r="F28" s="1" t="s">
        <v>108</v>
      </c>
      <c r="G28" s="1" t="s">
        <v>105</v>
      </c>
      <c r="H28" t="str">
        <f>G28</f>
        <v>Tbus</v>
      </c>
      <c r="I28">
        <v>1</v>
      </c>
      <c r="J28">
        <f>IF(FuelShares!E46&gt;0.0001,-FuelShares!E46,0)</f>
        <v>0</v>
      </c>
      <c r="K28">
        <f>IF(FuelShares!F46&gt;0.0001,-FuelShares!F46,0)</f>
        <v>0</v>
      </c>
      <c r="L28">
        <f>IF(FuelShares!G46&gt;0.0001,-FuelShares!G46,0)</f>
        <v>0</v>
      </c>
      <c r="M28">
        <f>IF(FuelShares!H46&gt;0.0001,-FuelShares!H46,0)</f>
        <v>0</v>
      </c>
      <c r="N28">
        <f>IF(FuelShares!I46&gt;0.0001,-FuelShares!I46,0)</f>
        <v>0</v>
      </c>
      <c r="O28">
        <f>IF(FuelShares!J46&gt;0.0001,-FuelShares!J46,0)</f>
        <v>-0.024423337856173677</v>
      </c>
      <c r="P28">
        <f>IF(FuelShares!K46&gt;0.0001,-FuelShares!K46,0)</f>
        <v>0</v>
      </c>
      <c r="Q28">
        <f>IF(FuelShares!L46&gt;0.0001,-FuelShares!L46,0)</f>
        <v>0</v>
      </c>
      <c r="R28">
        <f>IF(FuelShares!M46&gt;0.0001,-FuelShares!M46,0)</f>
        <v>-0.020203354020863595</v>
      </c>
      <c r="S28">
        <f>IF(FuelShares!N46&gt;0.0001,-FuelShares!N46,0)</f>
        <v>0</v>
      </c>
      <c r="T28">
        <f>IF(FuelShares!O46&gt;0.0001,-FuelShares!O46,0)</f>
        <v>0</v>
      </c>
      <c r="U28">
        <f>IF(FuelShares!P46&gt;0.0001,-FuelShares!P46,0)</f>
        <v>0</v>
      </c>
      <c r="V28">
        <f>IF(FuelShares!Q46&gt;0.0001,-FuelShares!Q46,0)</f>
        <v>0</v>
      </c>
      <c r="W28">
        <f>IF(FuelShares!R46&gt;0.0001,-FuelShares!R46,0)</f>
        <v>0</v>
      </c>
      <c r="X28">
        <f>IF(FuelShares!S46&gt;0.0001,-FuelShares!S46,0)</f>
        <v>0</v>
      </c>
      <c r="Y28">
        <f>IF(FuelShares!T46&gt;0.0001,-FuelShares!T46,0)</f>
        <v>-0.012219959266802444</v>
      </c>
      <c r="Z28">
        <f>IF(FuelShares!U46&gt;0.0001,-FuelShares!U46,0)</f>
        <v>0</v>
      </c>
      <c r="AA28">
        <f>IF(FuelShares!V46&gt;0.0001,-FuelShares!V46,0)</f>
        <v>0</v>
      </c>
      <c r="AB28">
        <f>IF(FuelShares!W46&gt;0.0001,-FuelShares!W46,0)</f>
        <v>0</v>
      </c>
      <c r="AC28">
        <f>IF(FuelShares!X46&gt;0.0001,-FuelShares!X46,0)</f>
        <v>-0.036507610037021805</v>
      </c>
      <c r="AD28">
        <f>IF(FuelShares!Y46&gt;0.0001,-FuelShares!Y46,0)</f>
        <v>0</v>
      </c>
      <c r="AE28">
        <f>IF(FuelShares!Z46&gt;0.0001,-FuelShares!Z46,0)</f>
        <v>0</v>
      </c>
      <c r="AF28">
        <f>IF(FuelShares!AA46&gt;0.0001,-FuelShares!AA46,0)</f>
        <v>0</v>
      </c>
      <c r="AG28">
        <f>IF(FuelShares!AB46&gt;0.0001,-FuelShares!AB46,0)</f>
        <v>0</v>
      </c>
      <c r="AH28">
        <f>IF(FuelShares!AC46&gt;0.0001,-FuelShares!AC46,0)</f>
        <v>0</v>
      </c>
      <c r="AI28">
        <f>IF(FuelShares!AD46&gt;0.0001,-FuelShares!AD46,0)</f>
        <v>0</v>
      </c>
      <c r="AJ28">
        <f>IF(FuelShares!AE46&gt;0.0001,-FuelShares!AE46,0)</f>
        <v>0</v>
      </c>
      <c r="AK28">
        <f>IF(FuelShares!AF46&gt;0.0001,-FuelShares!AF46,0)</f>
        <v>-0.0427625695542432</v>
      </c>
      <c r="AL28">
        <f>IF(FuelShares!AG46&gt;0.0001,-FuelShares!AG46,0)</f>
        <v>0</v>
      </c>
      <c r="AM28">
        <f>IF(FuelShares!AH46&gt;0.0001,-FuelShares!AH46,0)</f>
        <v>0</v>
      </c>
      <c r="AN28">
        <f>IF(FuelShares!AI46&gt;0.0001,-FuelShares!AI46,0)</f>
        <v>0</v>
      </c>
      <c r="AO28">
        <f>IF(FuelShares!AJ46&gt;0.0001,-FuelShares!AJ46,0)</f>
        <v>0</v>
      </c>
      <c r="AP28">
        <f>IF(FuelShares!AK46&gt;0.0001,-FuelShares!AK46,0)</f>
        <v>-0.0084905910059093932</v>
      </c>
      <c r="AQ28">
        <f>IF(FuelShares!AL46&gt;0.0001,-FuelShares!AL46,0)</f>
        <v>-0.10575539568345324</v>
      </c>
      <c r="AR28">
        <f>IF(FuelShares!AM46&gt;0.0001,-FuelShares!AM46,0)</f>
        <v>0</v>
      </c>
      <c r="AS28">
        <f>IF(FuelShares!AN46&gt;0.0001,-FuelShares!AN46,0)</f>
        <v>0</v>
      </c>
      <c r="AT28">
        <f>IF(FuelShares!AO46&gt;0.0001,-FuelShares!AO46,0)</f>
        <v>0</v>
      </c>
      <c r="AU28">
        <v>0</v>
      </c>
      <c r="AV28">
        <v>5</v>
      </c>
    </row>
    <row r="29" spans="1:48" ht="13.2">
      <c r="A29" t="s">
        <v>96</v>
      </c>
      <c r="C29" t="s">
        <v>94</v>
      </c>
      <c r="E29" t="str">
        <f>"TUC_"&amp;LEFT(A29,7)&amp;"-"&amp;MID(C29,2,3)</f>
        <v>TUC_TRA_Car-Cng</v>
      </c>
      <c r="F29" s="1" t="s">
        <v>108</v>
      </c>
      <c r="G29" s="1" t="s">
        <v>87</v>
      </c>
      <c r="H29" t="str">
        <f>G29</f>
        <v>Tcar</v>
      </c>
      <c r="I29">
        <v>1</v>
      </c>
      <c r="J29">
        <f>IF(FuelShares!E50&gt;0.0001,-FuelShares!E50,0)</f>
        <v>0</v>
      </c>
      <c r="K29">
        <f>IF(FuelShares!F50&gt;0.0001,-FuelShares!F50,0)</f>
        <v>0</v>
      </c>
      <c r="L29">
        <f>IF(FuelShares!G50&gt;0.0001,-FuelShares!G50,0)</f>
        <v>0</v>
      </c>
      <c r="M29">
        <f>IF(FuelShares!H50&gt;0.0001,-FuelShares!H50,0)</f>
        <v>0</v>
      </c>
      <c r="N29">
        <f>IF(FuelShares!I50&gt;0.0001,-FuelShares!I50,0)</f>
        <v>0</v>
      </c>
      <c r="O29">
        <f>IF(FuelShares!J50&gt;0.0001,-FuelShares!J50,0)</f>
        <v>-0.0016143951048007397</v>
      </c>
      <c r="P29">
        <f>IF(FuelShares!K50&gt;0.0001,-FuelShares!K50,0)</f>
        <v>0</v>
      </c>
      <c r="Q29">
        <f>IF(FuelShares!L50&gt;0.0001,-FuelShares!L50,0)</f>
        <v>0</v>
      </c>
      <c r="R29">
        <f>IF(FuelShares!M50&gt;0.0001,-FuelShares!M50,0)</f>
        <v>-0.0016120898094368703</v>
      </c>
      <c r="S29">
        <f>IF(FuelShares!N50&gt;0.0001,-FuelShares!N50,0)</f>
        <v>0</v>
      </c>
      <c r="T29">
        <f>IF(FuelShares!O50&gt;0.0001,-FuelShares!O50,0)</f>
        <v>0</v>
      </c>
      <c r="U29">
        <f>IF(FuelShares!P50&gt;0.0001,-FuelShares!P50,0)</f>
        <v>0</v>
      </c>
      <c r="V29">
        <f>IF(FuelShares!Q50&gt;0.0001,-FuelShares!Q50,0)</f>
        <v>0</v>
      </c>
      <c r="W29">
        <f>IF(FuelShares!R50&gt;0.0001,-FuelShares!R50,0)</f>
        <v>0</v>
      </c>
      <c r="X29">
        <f>IF(FuelShares!S50&gt;0.0001,-FuelShares!S50,0)</f>
        <v>0</v>
      </c>
      <c r="Y29">
        <f>IF(FuelShares!T50&gt;0.0001,-FuelShares!T50,0)</f>
        <v>0</v>
      </c>
      <c r="Z29">
        <f>IF(FuelShares!U50&gt;0.0001,-FuelShares!U50,0)</f>
        <v>0</v>
      </c>
      <c r="AA29">
        <f>IF(FuelShares!V50&gt;0.0001,-FuelShares!V50,0)</f>
        <v>0</v>
      </c>
      <c r="AB29">
        <f>IF(FuelShares!W50&gt;0.0001,-FuelShares!W50,0)</f>
        <v>0</v>
      </c>
      <c r="AC29">
        <f>IF(FuelShares!X50&gt;0.0001,-FuelShares!X50,0)</f>
        <v>-0.018975075470568616</v>
      </c>
      <c r="AD29">
        <f>IF(FuelShares!Y50&gt;0.0001,-FuelShares!Y50,0)</f>
        <v>0</v>
      </c>
      <c r="AE29">
        <f>IF(FuelShares!Z50&gt;0.0001,-FuelShares!Z50,0)</f>
        <v>0</v>
      </c>
      <c r="AF29">
        <f>IF(FuelShares!AA50&gt;0.0001,-FuelShares!AA50,0)</f>
        <v>0</v>
      </c>
      <c r="AG29">
        <f>IF(FuelShares!AB50&gt;0.0001,-FuelShares!AB50,0)</f>
        <v>0</v>
      </c>
      <c r="AH29">
        <f>IF(FuelShares!AC50&gt;0.0001,-FuelShares!AC50,0)</f>
        <v>0</v>
      </c>
      <c r="AI29">
        <f>IF(FuelShares!AD50&gt;0.0001,-FuelShares!AD50,0)</f>
        <v>0</v>
      </c>
      <c r="AJ29">
        <f>IF(FuelShares!AE50&gt;0.0001,-FuelShares!AE50,0)</f>
        <v>0</v>
      </c>
      <c r="AK29">
        <f>IF(FuelShares!AF50&gt;0.0001,-FuelShares!AF50,0)</f>
        <v>-0.00011763321962122101</v>
      </c>
      <c r="AL29">
        <f>IF(FuelShares!AG50&gt;0.0001,-FuelShares!AG50,0)</f>
        <v>0</v>
      </c>
      <c r="AM29">
        <f>IF(FuelShares!AH50&gt;0.0001,-FuelShares!AH50,0)</f>
        <v>0</v>
      </c>
      <c r="AN29">
        <f>IF(FuelShares!AI50&gt;0.0001,-FuelShares!AI50,0)</f>
        <v>0</v>
      </c>
      <c r="AO29">
        <f>IF(FuelShares!AJ50&gt;0.0001,-FuelShares!AJ50,0)</f>
        <v>0</v>
      </c>
      <c r="AP29">
        <f>IF(FuelShares!AK50&gt;0.0001,-FuelShares!AK50,0)</f>
        <v>-0.0054750226909224785</v>
      </c>
      <c r="AQ29">
        <f>IF(FuelShares!AL50&gt;0.0001,-FuelShares!AL50,0)</f>
        <v>-0.0057406335822472055</v>
      </c>
      <c r="AR29">
        <f>IF(FuelShares!AM50&gt;0.0001,-FuelShares!AM50,0)</f>
        <v>0</v>
      </c>
      <c r="AS29">
        <f>IF(FuelShares!AN50&gt;0.0001,-FuelShares!AN50,0)</f>
        <v>0</v>
      </c>
      <c r="AT29">
        <f>IF(FuelShares!AO50&gt;0.0001,-FuelShares!AO50,0)</f>
        <v>0</v>
      </c>
      <c r="AU29">
        <v>0</v>
      </c>
      <c r="AV29">
        <v>5</v>
      </c>
    </row>
    <row r="30" spans="1:48" ht="13.2">
      <c r="A30" t="s">
        <v>97</v>
      </c>
      <c r="C30" t="s">
        <v>94</v>
      </c>
      <c r="E30" t="str">
        <f>"TUC_"&amp;LEFT(A30,7)&amp;"-"&amp;MID(C30,2,3)</f>
        <v>TUC_TRA_Lcv-Cng</v>
      </c>
      <c r="F30" s="1" t="s">
        <v>108</v>
      </c>
      <c r="G30" s="1" t="s">
        <v>106</v>
      </c>
      <c r="H30" t="str">
        <f>G30</f>
        <v>TLCV</v>
      </c>
      <c r="I30">
        <v>1</v>
      </c>
      <c r="J30">
        <f>IF(FuelShares!E58&gt;0.0001,-FuelShares!E58,0)</f>
        <v>0</v>
      </c>
      <c r="K30">
        <f>IF(FuelShares!F58&gt;0.0001,-FuelShares!F58,0)</f>
        <v>0</v>
      </c>
      <c r="L30">
        <f>IF(FuelShares!G58&gt;0.0001,-FuelShares!G58,0)</f>
        <v>0</v>
      </c>
      <c r="M30">
        <f>IF(FuelShares!H58&gt;0.0001,-FuelShares!H58,0)</f>
        <v>0</v>
      </c>
      <c r="N30">
        <f>IF(FuelShares!I58&gt;0.0001,-FuelShares!I58,0)</f>
        <v>0</v>
      </c>
      <c r="O30">
        <f>IF(FuelShares!J58&gt;0.0001,-FuelShares!J58,0)</f>
        <v>-0.0059597180420510173</v>
      </c>
      <c r="P30">
        <f>IF(FuelShares!K58&gt;0.0001,-FuelShares!K58,0)</f>
        <v>0</v>
      </c>
      <c r="Q30">
        <f>IF(FuelShares!L58&gt;0.0001,-FuelShares!L58,0)</f>
        <v>0</v>
      </c>
      <c r="R30">
        <f>IF(FuelShares!M58&gt;0.0001,-FuelShares!M58,0)</f>
        <v>-0.0074881605550317478</v>
      </c>
      <c r="S30">
        <f>IF(FuelShares!N58&gt;0.0001,-FuelShares!N58,0)</f>
        <v>0</v>
      </c>
      <c r="T30">
        <f>IF(FuelShares!O58&gt;0.0001,-FuelShares!O58,0)</f>
        <v>0</v>
      </c>
      <c r="U30">
        <f>IF(FuelShares!P58&gt;0.0001,-FuelShares!P58,0)</f>
        <v>0</v>
      </c>
      <c r="V30">
        <f>IF(FuelShares!Q58&gt;0.0001,-FuelShares!Q58,0)</f>
        <v>0</v>
      </c>
      <c r="W30">
        <f>IF(FuelShares!R58&gt;0.0001,-FuelShares!R58,0)</f>
        <v>0</v>
      </c>
      <c r="X30">
        <f>IF(FuelShares!S58&gt;0.0001,-FuelShares!S58,0)</f>
        <v>0</v>
      </c>
      <c r="Y30">
        <f>IF(FuelShares!T58&gt;0.0001,-FuelShares!T58,0)</f>
        <v>0</v>
      </c>
      <c r="Z30">
        <f>IF(FuelShares!U58&gt;0.0001,-FuelShares!U58,0)</f>
        <v>0</v>
      </c>
      <c r="AA30">
        <f>IF(FuelShares!V58&gt;0.0001,-FuelShares!V58,0)</f>
        <v>0</v>
      </c>
      <c r="AB30">
        <f>IF(FuelShares!W58&gt;0.0001,-FuelShares!W58,0)</f>
        <v>0</v>
      </c>
      <c r="AC30">
        <f>IF(FuelShares!X58&gt;0.0001,-FuelShares!X58,0)</f>
        <v>0</v>
      </c>
      <c r="AD30">
        <f>IF(FuelShares!Y58&gt;0.0001,-FuelShares!Y58,0)</f>
        <v>0</v>
      </c>
      <c r="AE30">
        <f>IF(FuelShares!Z58&gt;0.0001,-FuelShares!Z58,0)</f>
        <v>0</v>
      </c>
      <c r="AF30">
        <f>IF(FuelShares!AA58&gt;0.0001,-FuelShares!AA58,0)</f>
        <v>0</v>
      </c>
      <c r="AG30">
        <f>IF(FuelShares!AB58&gt;0.0001,-FuelShares!AB58,0)</f>
        <v>0</v>
      </c>
      <c r="AH30">
        <f>IF(FuelShares!AC58&gt;0.0001,-FuelShares!AC58,0)</f>
        <v>0</v>
      </c>
      <c r="AI30">
        <f>IF(FuelShares!AD58&gt;0.0001,-FuelShares!AD58,0)</f>
        <v>0</v>
      </c>
      <c r="AJ30">
        <f>IF(FuelShares!AE58&gt;0.0001,-FuelShares!AE58,0)</f>
        <v>0</v>
      </c>
      <c r="AK30">
        <f>IF(FuelShares!AF58&gt;0.0001,-FuelShares!AF58,0)</f>
        <v>-0.0013692001280788239</v>
      </c>
      <c r="AL30">
        <f>IF(FuelShares!AG58&gt;0.0001,-FuelShares!AG58,0)</f>
        <v>0</v>
      </c>
      <c r="AM30">
        <f>IF(FuelShares!AH58&gt;0.0001,-FuelShares!AH58,0)</f>
        <v>0</v>
      </c>
      <c r="AN30">
        <f>IF(FuelShares!AI58&gt;0.0001,-FuelShares!AI58,0)</f>
        <v>0</v>
      </c>
      <c r="AO30">
        <f>IF(FuelShares!AJ58&gt;0.0001,-FuelShares!AJ58,0)</f>
        <v>0</v>
      </c>
      <c r="AP30">
        <f>IF(FuelShares!AK58&gt;0.0001,-FuelShares!AK58,0)</f>
        <v>0</v>
      </c>
      <c r="AQ30">
        <f>IF(FuelShares!AL58&gt;0.0001,-FuelShares!AL58,0)</f>
        <v>0</v>
      </c>
      <c r="AR30">
        <f>IF(FuelShares!AM58&gt;0.0001,-FuelShares!AM58,0)</f>
        <v>0</v>
      </c>
      <c r="AS30">
        <f>IF(FuelShares!AN58&gt;0.0001,-FuelShares!AN58,0)</f>
        <v>0</v>
      </c>
      <c r="AT30">
        <f>IF(FuelShares!AO58&gt;0.0001,-FuelShares!AO58,0)</f>
        <v>-0.00011332690335805491</v>
      </c>
      <c r="AU30">
        <v>0</v>
      </c>
      <c r="AV30">
        <v>5</v>
      </c>
    </row>
  </sheetData>
  <pageMargins left="0.7" right="0.7" top="0.75" bottom="0.75" header="0.3" footer="0.3"/>
  <pageSetup horizontalDpi="300" verticalDpi="3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fill data</vt:lpstr>
      <vt:lpstr>Stock</vt:lpstr>
      <vt:lpstr>TypeShares</vt:lpstr>
      <vt:lpstr>TypeUC</vt:lpstr>
      <vt:lpstr>FuelShares</vt:lpstr>
      <vt:lpstr>FuelUC</vt:lpstr>
    </vt:vector>
  </TitlesOfParts>
  <Template/>
  <Manager/>
  <Company>Dell Computer Corporation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Johanna Markkanen</cp:lastModifiedBy>
  <cp:lastPrinted>2001-09-28T20:39:50Z</cp:lastPrinted>
  <dcterms:created xsi:type="dcterms:W3CDTF">2001-09-28T18:48:17Z</dcterms:created>
  <dcterms:modified xsi:type="dcterms:W3CDTF">2025-07-07T10:04:02Z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920264840126038</vt:lpwstr>
  </property>
</Properties>
</file>