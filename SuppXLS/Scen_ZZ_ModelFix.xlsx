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B37E0C48-E1B8-4487-8555-6054A51E9176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PulpPaper" sheetId="13" r:id="rId1"/>
    <sheet name="DISVARUC" sheetId="1" r:id="rId2"/>
    <sheet name="DISLOWAF" sheetId="2" r:id="rId3"/>
    <sheet name="DISOTUC" sheetId="6" r:id="rId4"/>
    <sheet name="FIXUCRHS" sheetId="3" r:id="rId5"/>
    <sheet name="RCUCS" sheetId="4" r:id="rId6"/>
    <sheet name="WINCAP" sheetId="9" r:id="rId7"/>
    <sheet name="MISC" sheetId="5" r:id="rId8"/>
    <sheet name="FIXDD" sheetId="7" r:id="rId9"/>
    <sheet name="Sheet7" sheetId="8" r:id="rId10"/>
    <sheet name="transferred" sheetId="14" r:id="rId11"/>
  </sheets>
  <definedNames>
    <definedName name="BE" localSheetId="10">#REF!</definedName>
    <definedName name="BE">#REF!</definedName>
    <definedName name="bel" localSheetId="10">#REF!</definedName>
    <definedName name="bel">#REF!</definedName>
    <definedName name="dsg" localSheetId="10">#REF!</definedName>
    <definedName name="dsg">#REF!</definedName>
    <definedName name="ktoe2PJ">transferred!#REF!</definedName>
    <definedName name="Scenario" localSheetId="10">#REF!</definedName>
    <definedName name="Scenario">#REF!</definedName>
    <definedName name="Summer" localSheetId="10">#REF!</definedName>
    <definedName name="Summer">#REF!</definedName>
    <definedName name="Summer1" localSheetId="10">#REF!</definedName>
    <definedName name="Summer1">#REF!</definedName>
    <definedName name="ToeTJ" localSheetId="10">#REF!</definedName>
    <definedName name="ToeTJ">#REF!</definedName>
    <definedName name="TSeg" localSheetId="10">#REF!</definedName>
    <definedName name="TSeg">#REF!</definedName>
    <definedName name="TSEG1" localSheetId="10">#REF!</definedName>
    <definedName name="TSEG1">#REF!</definedName>
    <definedName name="TSEG2" localSheetId="10">#REF!</definedName>
    <definedName name="TSEG2">#REF!</definedName>
    <definedName name="TSEG3" localSheetId="10">#REF!</definedName>
    <definedName name="TSEG3">#REF!</definedName>
    <definedName name="TSEG4" localSheetId="10">#REF!</definedName>
    <definedName name="TSEG4">#REF!</definedName>
    <definedName name="TSEG5" localSheetId="10">#REF!</definedName>
    <definedName name="TSEG5">#REF!</definedName>
    <definedName name="Winter" localSheetId="10">#REF!</definedName>
    <definedName name="Winter">#REF!</definedName>
    <definedName name="XLSIMSIM" localSheetId="10" hidden="1">{"Sim",1,"normal","'Costs'!$Q$8","1","2","100","0"}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4" l="1"/>
  <c r="H73" i="4" s="1"/>
  <c r="M22" i="6"/>
  <c r="M21" i="6"/>
  <c r="G31" i="9"/>
  <c r="H31" i="9" s="1"/>
  <c r="G17" i="9"/>
  <c r="H17" i="9" s="1"/>
  <c r="U47" i="9"/>
  <c r="U46" i="9"/>
  <c r="U45" i="9"/>
  <c r="U44" i="9"/>
  <c r="U43" i="9"/>
  <c r="U42" i="9"/>
  <c r="U40" i="9"/>
  <c r="U39" i="9"/>
  <c r="H5" i="9" s="1"/>
  <c r="U38" i="9"/>
  <c r="U37" i="9"/>
  <c r="U36" i="9"/>
  <c r="U35" i="9"/>
  <c r="U34" i="9"/>
  <c r="U33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31" i="9"/>
  <c r="T47" i="9"/>
  <c r="T46" i="9"/>
  <c r="T45" i="9"/>
  <c r="T44" i="9"/>
  <c r="T43" i="9"/>
  <c r="T42" i="9"/>
  <c r="T40" i="9"/>
  <c r="T39" i="9"/>
  <c r="T38" i="9"/>
  <c r="T37" i="9"/>
  <c r="T36" i="9"/>
  <c r="T35" i="9"/>
  <c r="T34" i="9"/>
  <c r="T33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U41" i="9"/>
  <c r="U32" i="9"/>
  <c r="J31" i="9"/>
  <c r="J17" i="9"/>
  <c r="J13" i="9"/>
  <c r="J21" i="9"/>
  <c r="G21" i="9"/>
  <c r="J7" i="9"/>
  <c r="G7" i="9"/>
  <c r="J6" i="9"/>
  <c r="H6" i="9"/>
  <c r="I6" i="9" s="1"/>
  <c r="H25" i="5"/>
  <c r="V98" i="3"/>
  <c r="V97" i="3"/>
  <c r="V96" i="3"/>
  <c r="V99" i="3"/>
  <c r="V100" i="3"/>
  <c r="V95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I100" i="4"/>
  <c r="K100" i="4"/>
  <c r="G100" i="4"/>
  <c r="B59" i="4"/>
  <c r="G48" i="3"/>
  <c r="K48" i="3"/>
  <c r="G7" i="3"/>
  <c r="G6" i="3"/>
  <c r="H6" i="3" s="1"/>
  <c r="I6" i="3" s="1"/>
  <c r="K7" i="3"/>
  <c r="K6" i="3"/>
  <c r="L53" i="4"/>
  <c r="H31" i="5"/>
  <c r="L12" i="6"/>
  <c r="M20" i="6"/>
  <c r="K24" i="5"/>
  <c r="K22" i="5"/>
  <c r="K23" i="5" s="1"/>
  <c r="G31" i="5"/>
  <c r="W41" i="5"/>
  <c r="N31" i="5"/>
  <c r="H30" i="5"/>
  <c r="J117" i="4"/>
  <c r="J116" i="4"/>
  <c r="J115" i="4"/>
  <c r="J114" i="4"/>
  <c r="J113" i="4"/>
  <c r="J112" i="4"/>
  <c r="K88" i="4"/>
  <c r="K87" i="4"/>
  <c r="K86" i="4"/>
  <c r="K85" i="4"/>
  <c r="K84" i="4"/>
  <c r="K83" i="4"/>
  <c r="P93" i="4"/>
  <c r="P94" i="4"/>
  <c r="J123" i="4"/>
  <c r="J122" i="4"/>
  <c r="J121" i="4"/>
  <c r="J120" i="4"/>
  <c r="J119" i="4"/>
  <c r="J118" i="4"/>
  <c r="G101" i="4"/>
  <c r="G99" i="4"/>
  <c r="K94" i="4"/>
  <c r="K93" i="4"/>
  <c r="K92" i="4"/>
  <c r="K91" i="4"/>
  <c r="K90" i="4"/>
  <c r="K89" i="4"/>
  <c r="L5" i="6"/>
  <c r="M16" i="5"/>
  <c r="M15" i="5"/>
  <c r="M14" i="5"/>
  <c r="M13" i="5"/>
  <c r="M12" i="5"/>
  <c r="M11" i="5"/>
  <c r="M10" i="5"/>
  <c r="M9" i="5"/>
  <c r="M8" i="5"/>
  <c r="M7" i="5"/>
  <c r="M6" i="5"/>
  <c r="K46" i="3"/>
  <c r="K45" i="3"/>
  <c r="E48" i="3"/>
  <c r="G19" i="3"/>
  <c r="G46" i="3"/>
  <c r="G45" i="3"/>
  <c r="E46" i="3"/>
  <c r="E45" i="3"/>
  <c r="K28" i="3"/>
  <c r="K27" i="3"/>
  <c r="K26" i="3"/>
  <c r="K25" i="3"/>
  <c r="K24" i="3"/>
  <c r="G28" i="3"/>
  <c r="G27" i="3"/>
  <c r="G26" i="3"/>
  <c r="G25" i="3"/>
  <c r="G24" i="3"/>
  <c r="E27" i="3"/>
  <c r="E26" i="3"/>
  <c r="E25" i="3"/>
  <c r="E24" i="3"/>
  <c r="E28" i="3"/>
  <c r="K9" i="3"/>
  <c r="G13" i="3"/>
  <c r="E9" i="3"/>
  <c r="G9" i="3"/>
  <c r="F16" i="5"/>
  <c r="F15" i="5"/>
  <c r="F14" i="5"/>
  <c r="F13" i="5"/>
  <c r="F12" i="5"/>
  <c r="F11" i="5"/>
  <c r="F10" i="5"/>
  <c r="F9" i="5"/>
  <c r="F8" i="5"/>
  <c r="F7" i="5"/>
  <c r="F6" i="5"/>
  <c r="E16" i="5"/>
  <c r="E15" i="5"/>
  <c r="E14" i="5"/>
  <c r="E13" i="5"/>
  <c r="E12" i="5"/>
  <c r="E11" i="5"/>
  <c r="E10" i="5"/>
  <c r="E9" i="5"/>
  <c r="E8" i="5"/>
  <c r="E7" i="5"/>
  <c r="E6" i="5"/>
  <c r="K6" i="5"/>
  <c r="K16" i="5"/>
  <c r="K15" i="5"/>
  <c r="K14" i="5"/>
  <c r="K13" i="5"/>
  <c r="K12" i="5"/>
  <c r="K11" i="5"/>
  <c r="K10" i="5"/>
  <c r="K9" i="5"/>
  <c r="K8" i="5"/>
  <c r="K7" i="5"/>
  <c r="G20" i="3"/>
  <c r="G18" i="3"/>
  <c r="G16" i="3"/>
  <c r="G15" i="3"/>
  <c r="K43" i="3"/>
  <c r="K42" i="3"/>
  <c r="K41" i="3"/>
  <c r="H43" i="3"/>
  <c r="H42" i="3"/>
  <c r="H41" i="3"/>
  <c r="F42" i="3"/>
  <c r="F43" i="3"/>
  <c r="F41" i="3"/>
  <c r="E41" i="3"/>
  <c r="E42" i="3"/>
  <c r="E43" i="3"/>
  <c r="K14" i="3"/>
  <c r="K10" i="3"/>
  <c r="K11" i="3"/>
  <c r="K12" i="3"/>
  <c r="K13" i="3"/>
  <c r="F14" i="3"/>
  <c r="E14" i="3"/>
  <c r="E10" i="3"/>
  <c r="E11" i="3"/>
  <c r="E12" i="3"/>
  <c r="E13" i="3"/>
  <c r="F10" i="3"/>
  <c r="F11" i="3"/>
  <c r="F12" i="3"/>
  <c r="F13" i="3"/>
  <c r="K33" i="3"/>
  <c r="F39" i="3"/>
  <c r="F38" i="3"/>
  <c r="F37" i="3"/>
  <c r="F36" i="3"/>
  <c r="F35" i="3"/>
  <c r="F34" i="3"/>
  <c r="F33" i="3"/>
  <c r="F30" i="3"/>
  <c r="F31" i="3"/>
  <c r="F32" i="3"/>
  <c r="E33" i="3"/>
  <c r="G75" i="4"/>
  <c r="G74" i="4"/>
  <c r="G73" i="4"/>
  <c r="G72" i="4"/>
  <c r="G71" i="4"/>
  <c r="G70" i="4"/>
  <c r="J36" i="3"/>
  <c r="H35" i="3"/>
  <c r="K38" i="3"/>
  <c r="K37" i="3"/>
  <c r="I39" i="3"/>
  <c r="I38" i="3"/>
  <c r="I37" i="3"/>
  <c r="E38" i="3"/>
  <c r="E37" i="3"/>
  <c r="I36" i="3"/>
  <c r="I32" i="3"/>
  <c r="K35" i="3"/>
  <c r="K34" i="3"/>
  <c r="K30" i="3"/>
  <c r="K31" i="3"/>
  <c r="I35" i="3"/>
  <c r="I34" i="3"/>
  <c r="E35" i="3"/>
  <c r="E34" i="3"/>
  <c r="I30" i="3"/>
  <c r="I31" i="3"/>
  <c r="E30" i="3"/>
  <c r="E31" i="3"/>
  <c r="K50" i="4"/>
  <c r="K43" i="4"/>
  <c r="L43" i="4" s="1"/>
  <c r="M43" i="4"/>
  <c r="K42" i="4"/>
  <c r="L42" i="4" s="1"/>
  <c r="M42" i="4"/>
  <c r="K34" i="4"/>
  <c r="K27" i="4"/>
  <c r="M27" i="4" s="1"/>
  <c r="L27" i="4" s="1"/>
  <c r="K26" i="4"/>
  <c r="M26" i="4" s="1"/>
  <c r="K18" i="4"/>
  <c r="M18" i="4" s="1"/>
  <c r="K11" i="4"/>
  <c r="K10" i="4"/>
  <c r="M10" i="4" s="1"/>
  <c r="L10" i="4" s="1"/>
  <c r="K39" i="3"/>
  <c r="K36" i="3"/>
  <c r="K32" i="3"/>
  <c r="H39" i="3"/>
  <c r="H36" i="3"/>
  <c r="H32" i="3"/>
  <c r="E39" i="3"/>
  <c r="E36" i="3"/>
  <c r="E32" i="3"/>
  <c r="B62" i="4"/>
  <c r="D59" i="4"/>
  <c r="D61" i="4"/>
  <c r="D60" i="4"/>
  <c r="D58" i="4"/>
  <c r="B61" i="4"/>
  <c r="B60" i="4"/>
  <c r="B58" i="4"/>
  <c r="K57" i="4"/>
  <c r="M57" i="4"/>
  <c r="K56" i="4"/>
  <c r="M56" i="4"/>
  <c r="K55" i="4"/>
  <c r="M55" i="4" s="1"/>
  <c r="K54" i="4"/>
  <c r="K53" i="4"/>
  <c r="M53" i="4"/>
  <c r="K52" i="4"/>
  <c r="M52" i="4"/>
  <c r="L52" i="4" s="1"/>
  <c r="K51" i="4"/>
  <c r="K49" i="4"/>
  <c r="K48" i="4"/>
  <c r="M48" i="4"/>
  <c r="K47" i="4"/>
  <c r="M47" i="4" s="1"/>
  <c r="K46" i="4"/>
  <c r="K45" i="4"/>
  <c r="M45" i="4" s="1"/>
  <c r="L45" i="4" s="1"/>
  <c r="K44" i="4"/>
  <c r="L44" i="4" s="1"/>
  <c r="M44" i="4"/>
  <c r="K41" i="4"/>
  <c r="M41" i="4"/>
  <c r="K40" i="4"/>
  <c r="K39" i="4"/>
  <c r="K38" i="4"/>
  <c r="M38" i="4"/>
  <c r="K37" i="4"/>
  <c r="M37" i="4"/>
  <c r="L37" i="4" s="1"/>
  <c r="K36" i="4"/>
  <c r="M36" i="4" s="1"/>
  <c r="K35" i="4"/>
  <c r="M35" i="4" s="1"/>
  <c r="L35" i="4" s="1"/>
  <c r="K33" i="4"/>
  <c r="M33" i="4"/>
  <c r="K32" i="4"/>
  <c r="M32" i="4"/>
  <c r="K31" i="4"/>
  <c r="M31" i="4" s="1"/>
  <c r="K30" i="4"/>
  <c r="K29" i="4"/>
  <c r="M29" i="4" s="1"/>
  <c r="K28" i="4"/>
  <c r="M28" i="4" s="1"/>
  <c r="L28" i="4" s="1"/>
  <c r="K25" i="4"/>
  <c r="K24" i="4"/>
  <c r="M24" i="4" s="1"/>
  <c r="K23" i="4"/>
  <c r="M23" i="4"/>
  <c r="K22" i="4"/>
  <c r="M22" i="4"/>
  <c r="K21" i="4"/>
  <c r="K20" i="4"/>
  <c r="K19" i="4"/>
  <c r="M19" i="4"/>
  <c r="K17" i="4"/>
  <c r="M17" i="4"/>
  <c r="L17" i="4" s="1"/>
  <c r="K16" i="4"/>
  <c r="M16" i="4" s="1"/>
  <c r="K15" i="4"/>
  <c r="K14" i="4"/>
  <c r="M14" i="4"/>
  <c r="K13" i="4"/>
  <c r="M13" i="4"/>
  <c r="K12" i="4"/>
  <c r="K9" i="4"/>
  <c r="M9" i="4" s="1"/>
  <c r="L9" i="4" s="1"/>
  <c r="K8" i="4"/>
  <c r="L8" i="4" s="1"/>
  <c r="M8" i="4"/>
  <c r="K7" i="4"/>
  <c r="M7" i="4" s="1"/>
  <c r="L7" i="4" s="1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K22" i="3"/>
  <c r="K21" i="3"/>
  <c r="K20" i="3"/>
  <c r="K19" i="3"/>
  <c r="K18" i="3"/>
  <c r="K17" i="3"/>
  <c r="K16" i="3"/>
  <c r="K15" i="3"/>
  <c r="H22" i="3"/>
  <c r="H21" i="3"/>
  <c r="H20" i="3"/>
  <c r="H19" i="3"/>
  <c r="H18" i="3"/>
  <c r="H17" i="3"/>
  <c r="H16" i="3"/>
  <c r="H15" i="3"/>
  <c r="E22" i="3"/>
  <c r="E21" i="3"/>
  <c r="E20" i="3"/>
  <c r="E19" i="3"/>
  <c r="E18" i="3"/>
  <c r="E17" i="3"/>
  <c r="E16" i="3"/>
  <c r="E15" i="3"/>
  <c r="K5" i="3"/>
  <c r="K4" i="3"/>
  <c r="K75" i="3" l="1"/>
  <c r="H19" i="9"/>
  <c r="L19" i="4"/>
  <c r="L57" i="4"/>
  <c r="L18" i="4"/>
  <c r="H74" i="4"/>
  <c r="L41" i="4"/>
  <c r="L26" i="4"/>
  <c r="L47" i="4"/>
  <c r="L38" i="4"/>
  <c r="L29" i="4"/>
  <c r="L22" i="4"/>
  <c r="L48" i="4"/>
  <c r="L23" i="4"/>
  <c r="L13" i="4"/>
  <c r="L32" i="4"/>
  <c r="L14" i="4"/>
  <c r="L33" i="4"/>
  <c r="L56" i="4"/>
  <c r="H75" i="4"/>
  <c r="L21" i="4"/>
  <c r="L20" i="4"/>
  <c r="L30" i="4"/>
  <c r="M34" i="4"/>
  <c r="L34" i="4" s="1"/>
  <c r="M25" i="4"/>
  <c r="L25" i="4" s="1"/>
  <c r="M51" i="4"/>
  <c r="L51" i="4" s="1"/>
  <c r="M50" i="4"/>
  <c r="L50" i="4" s="1"/>
  <c r="L16" i="4"/>
  <c r="L24" i="4"/>
  <c r="M15" i="4"/>
  <c r="L15" i="4" s="1"/>
  <c r="M20" i="4"/>
  <c r="M30" i="4"/>
  <c r="M39" i="4"/>
  <c r="L39" i="4" s="1"/>
  <c r="M49" i="4"/>
  <c r="L49" i="4" s="1"/>
  <c r="M54" i="4"/>
  <c r="L54" i="4" s="1"/>
  <c r="M12" i="4"/>
  <c r="L12" i="4" s="1"/>
  <c r="M21" i="4"/>
  <c r="M40" i="4"/>
  <c r="L40" i="4" s="1"/>
  <c r="M11" i="4"/>
  <c r="L11" i="4" s="1"/>
  <c r="L31" i="4"/>
  <c r="L55" i="4"/>
  <c r="L36" i="4"/>
  <c r="M46" i="4"/>
  <c r="L46" i="4" s="1"/>
  <c r="G15" i="9"/>
  <c r="G8" i="9"/>
  <c r="G13" i="9"/>
  <c r="H33" i="9"/>
  <c r="G10" i="9"/>
  <c r="I34" i="9"/>
  <c r="H13" i="9"/>
  <c r="I13" i="9" s="1"/>
  <c r="G16" i="9"/>
  <c r="G26" i="9"/>
  <c r="H34" i="9"/>
  <c r="G11" i="9"/>
  <c r="G28" i="9"/>
  <c r="G33" i="9"/>
  <c r="G19" i="9"/>
  <c r="G9" i="9"/>
  <c r="H15" i="9"/>
  <c r="G30" i="9"/>
  <c r="G5" i="9"/>
  <c r="H14" i="9"/>
  <c r="I14" i="9" s="1"/>
  <c r="G24" i="9"/>
  <c r="H29" i="9"/>
  <c r="G34" i="9"/>
  <c r="H27" i="9"/>
  <c r="G25" i="9"/>
  <c r="G14" i="9"/>
  <c r="G23" i="9"/>
  <c r="G29" i="9"/>
  <c r="I33" i="9"/>
  <c r="G27" i="9"/>
  <c r="G12" i="9"/>
  <c r="G22" i="9"/>
  <c r="H28" i="9"/>
  <c r="I28" i="9" s="1"/>
  <c r="J78" i="3"/>
  <c r="J79" i="3"/>
  <c r="H79" i="3"/>
  <c r="I72" i="3"/>
  <c r="H77" i="3"/>
  <c r="J72" i="3"/>
  <c r="G73" i="3"/>
  <c r="I78" i="3"/>
  <c r="F80" i="3"/>
  <c r="K80" i="3" s="1"/>
  <c r="J76" i="3"/>
  <c r="I76" i="3"/>
  <c r="H72" i="3"/>
  <c r="J71" i="3"/>
  <c r="J74" i="3"/>
  <c r="H78" i="3"/>
  <c r="H73" i="3"/>
  <c r="F82" i="3"/>
  <c r="K82" i="3" s="1"/>
  <c r="H76" i="3"/>
  <c r="H71" i="3"/>
  <c r="J73" i="3"/>
  <c r="J77" i="3"/>
  <c r="I73" i="3"/>
  <c r="I77" i="3"/>
  <c r="F74" i="3"/>
  <c r="F81" i="3"/>
  <c r="K81" i="3" s="1"/>
  <c r="F78" i="3"/>
  <c r="K74" i="3" l="1"/>
  <c r="K76" i="3"/>
  <c r="K71" i="3"/>
  <c r="K79" i="3"/>
  <c r="K72" i="3"/>
  <c r="K77" i="3"/>
  <c r="K73" i="3"/>
  <c r="G78" i="3"/>
  <c r="K7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K13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12/6/2015
making this ANNUAL as very high elec prices in WP can lead to dummies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3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<sst xmlns="http://schemas.openxmlformats.org/spreadsheetml/2006/main" count="3410" uniqueCount="772">
  <si>
    <t>TimeSlice</t>
  </si>
  <si>
    <t>LimType</t>
  </si>
  <si>
    <t>Attribute</t>
  </si>
  <si>
    <t>Year</t>
  </si>
  <si>
    <t>AllRegions</t>
  </si>
  <si>
    <t>Pset_Set</t>
  </si>
  <si>
    <t>Pset_PN</t>
  </si>
  <si>
    <t>ACT_BND</t>
  </si>
  <si>
    <t>~TFM_INS</t>
  </si>
  <si>
    <t>UP</t>
  </si>
  <si>
    <t>ANNUAL</t>
  </si>
  <si>
    <t>* UCs to disable for improved performance</t>
  </si>
  <si>
    <t>LowAF_EUH2FCPEM</t>
  </si>
  <si>
    <t>LowAF_EUSTCOHcon01</t>
  </si>
  <si>
    <t>LowAF_EUSTCOHsup01</t>
  </si>
  <si>
    <t>LowAF_EUFBCOH15</t>
  </si>
  <si>
    <t>LowAF_EUIGCCCOH15</t>
  </si>
  <si>
    <t>LowAF_EUPCCOHCCSpos20</t>
  </si>
  <si>
    <t>LowAF_EUPCCOHCCSoxy20</t>
  </si>
  <si>
    <t>LowAF_EUIGCOHCCSpre20</t>
  </si>
  <si>
    <t>LowAF_EUSTCOLcon01</t>
  </si>
  <si>
    <t>LowAF_EUSTCOLsup01</t>
  </si>
  <si>
    <t>LowAF_EUFBCOL01</t>
  </si>
  <si>
    <t>LowAF_EUIGCCCOL01</t>
  </si>
  <si>
    <t>LowAF_EUPCCOLCCSpos20</t>
  </si>
  <si>
    <t>LowAF_EUIGCOLCCSpre20</t>
  </si>
  <si>
    <t>LowAF_EUICDST101</t>
  </si>
  <si>
    <t>LowAF_EUSTHFOsup01</t>
  </si>
  <si>
    <t>LowAF_EUICDST01</t>
  </si>
  <si>
    <t>LowAF_EUICDST201</t>
  </si>
  <si>
    <t>LowAF_EUOCGTGAS01</t>
  </si>
  <si>
    <t>LowAF_EUCCGTGAS15</t>
  </si>
  <si>
    <t>LowAF_EUCCGASCCSpos20</t>
  </si>
  <si>
    <t>LowAF_EUICGAS01</t>
  </si>
  <si>
    <t>LowAF_EUOCGTGASA01</t>
  </si>
  <si>
    <t>LowAF_EUSTWOO01</t>
  </si>
  <si>
    <t>LowAF_EUIGCCWOO01</t>
  </si>
  <si>
    <t>LowAF_EUSTWOOCCS01</t>
  </si>
  <si>
    <t>LowAF_EUIGCCWOOCCS01</t>
  </si>
  <si>
    <t>LowAF_EUICBGS01</t>
  </si>
  <si>
    <t>LowAF_EUGEOF01</t>
  </si>
  <si>
    <t>LowAF_EUGEOORC01</t>
  </si>
  <si>
    <t>LowAF_EUGEOEGS01</t>
  </si>
  <si>
    <t>LowAF_EUNUC3rd10</t>
  </si>
  <si>
    <t>LowAF_EUNUC4th40</t>
  </si>
  <si>
    <t>LowAF_EUNUCLifeExt</t>
  </si>
  <si>
    <t>LowAF_EEPP_coal_th</t>
  </si>
  <si>
    <t>LowAF_EEPP_lignite_th</t>
  </si>
  <si>
    <t>LowAF_EEPP_natgas_CCGT</t>
  </si>
  <si>
    <t>LowAF_EEPP_naturalgas_th</t>
  </si>
  <si>
    <t>LowAF_EEPP_HFO_th</t>
  </si>
  <si>
    <t>LowAF_EEPP_natgas_OCGT</t>
  </si>
  <si>
    <t>LowAF_EEPP_HFO_OCGT</t>
  </si>
  <si>
    <t>LowAF_DumBase</t>
  </si>
  <si>
    <t>LowAF_DumPeak</t>
  </si>
  <si>
    <t>ALL-LOWAF</t>
  </si>
  <si>
    <t>LOWAF_*,-LOWAF_DUM*</t>
  </si>
  <si>
    <t>START</t>
  </si>
  <si>
    <t>Cset_CN</t>
  </si>
  <si>
    <t>Cset_Set</t>
  </si>
  <si>
    <t>UC_VARU_CAP_EUH2FCPEM</t>
  </si>
  <si>
    <t>UC_VARU_CAP_EUSTCOHcon01</t>
  </si>
  <si>
    <t>UC_VARU_CAP_EUSTCOHsup01</t>
  </si>
  <si>
    <t>UC_VARU_CAP_EUFBCOH15</t>
  </si>
  <si>
    <t>UC_VARU_CAP_EUIGCCCOH15</t>
  </si>
  <si>
    <t>UC_VARU_CAP_EUPCCOHCCSpos20</t>
  </si>
  <si>
    <t>UC_VARU_CAP_EUPCCOHCCSoxy20</t>
  </si>
  <si>
    <t>UC_VARU_CAP_EUIGCOHCCSpre20</t>
  </si>
  <si>
    <t>UC_VARU_CAP_EUSTCOLcon01</t>
  </si>
  <si>
    <t>UC_VARU_CAP_EUSTCOLsup01</t>
  </si>
  <si>
    <t>UC_VARU_CAP_EUFBCOL01</t>
  </si>
  <si>
    <t>UC_VARU_CAP_EUIGCCCOL01</t>
  </si>
  <si>
    <t>UC_VARU_CAP_EUPCCOLCCSpos20</t>
  </si>
  <si>
    <t>UC_VARU_CAP_EUIGCOLCCSpre20</t>
  </si>
  <si>
    <t>UC_VARU_CAP_EUICDST101</t>
  </si>
  <si>
    <t>UC_VARU_CAP_EUSTHFOsup01</t>
  </si>
  <si>
    <t>UC_VARU_CAP_EUICDST01</t>
  </si>
  <si>
    <t>UC_VARU_CAP_EUICDST201</t>
  </si>
  <si>
    <t>UC_VARU_CAP_EUOCGTGAS01</t>
  </si>
  <si>
    <t>UC_VARU_CAP_EUCCGTGAS15</t>
  </si>
  <si>
    <t>UC_VARU_CAP_EUCCGASCCSpos20</t>
  </si>
  <si>
    <t>UC_VARU_CAP_EUICGAS01</t>
  </si>
  <si>
    <t>UC_VARU_CAP_EUOCGTGASA01</t>
  </si>
  <si>
    <t>UC_VARU_CAP_EUSTWOO01</t>
  </si>
  <si>
    <t>UC_VARU_CAP_EUIGCCWOO01</t>
  </si>
  <si>
    <t>UC_VARU_CAP_EUSTWOOCCS01</t>
  </si>
  <si>
    <t>UC_VARU_CAP_EUIGCCWOOCCS01</t>
  </si>
  <si>
    <t>UC_VARU_CAP_EUICBGS01</t>
  </si>
  <si>
    <t>UC_VARU_CAP_EUGEOF01</t>
  </si>
  <si>
    <t>UC_VARU_CAP_EUGEOORC01</t>
  </si>
  <si>
    <t>UC_VARU_CAP_EUGEOEGS01</t>
  </si>
  <si>
    <t>UC_VARU_CAP_EUNUC3rd10</t>
  </si>
  <si>
    <t>UC_VARU_CAP_EUNUC4th40</t>
  </si>
  <si>
    <t>UC_VARU_CAP_EUNUCLifeExt</t>
  </si>
  <si>
    <t>UC_VARU_CAP_EEPP_coal_th</t>
  </si>
  <si>
    <t>UC_VARU_CAP_EEPP_lignite_th</t>
  </si>
  <si>
    <t>UC_VARU_CAP_EEPP_natgas_CCGT</t>
  </si>
  <si>
    <t>UC_VARU_CAP_EEPP_naturalgas_th</t>
  </si>
  <si>
    <t>UC_VARU_CAP_EEPP_HFO_th</t>
  </si>
  <si>
    <t>UC_VARU_CAP_EEPP_natgas_OCGT</t>
  </si>
  <si>
    <t>UC_VARU_CAP_EEPP_HFO_OCGT</t>
  </si>
  <si>
    <t>0-0</t>
  </si>
  <si>
    <t>UC_N</t>
  </si>
  <si>
    <t>UC_RHSRT</t>
  </si>
  <si>
    <t>UC_RHSRTS</t>
  </si>
  <si>
    <t>UC_VAR1_USE</t>
  </si>
  <si>
    <t>UC_VAR3_RES</t>
  </si>
  <si>
    <t>UC_VAR3_WIWA</t>
  </si>
  <si>
    <t>UC_VAR4_IMP</t>
  </si>
  <si>
    <t>UC_VAR5_DSM</t>
  </si>
  <si>
    <t>UC_VARI_CurStorTr</t>
  </si>
  <si>
    <t>*UC_VARI_ELE_Cons_Cap</t>
  </si>
  <si>
    <t>*UC_VARI_CAP_SystemAdequacy</t>
  </si>
  <si>
    <t>*UC_VARI_MINDISP</t>
  </si>
  <si>
    <t>* Ziet_VAR_NoStor</t>
  </si>
  <si>
    <t>UC_VAR2_EXC_Day_I1</t>
  </si>
  <si>
    <t>UC_VAR2_EXC_Day_I2</t>
  </si>
  <si>
    <t>UC_VAR2_EXC_WiWa_I1</t>
  </si>
  <si>
    <t>UC_VAR2_EXC_WiWa_I2</t>
  </si>
  <si>
    <t>UC_VARI_UTILISATION_Base</t>
  </si>
  <si>
    <t>UC_VARI_UTILISATION_Peak</t>
  </si>
  <si>
    <t>FX</t>
  </si>
  <si>
    <t>*</t>
  </si>
  <si>
    <t>LO</t>
  </si>
  <si>
    <t>~TFM_MIG</t>
  </si>
  <si>
    <t>Year2</t>
  </si>
  <si>
    <t>UC_VARU_ACT_EUH2FCPEM</t>
  </si>
  <si>
    <t>UC_VARU_ACT_EUSTCOHcon01</t>
  </si>
  <si>
    <t>UC_VARU_ACT_EUSTCOHsup01</t>
  </si>
  <si>
    <t>UC_VARU_ACT_EUFBCOH15</t>
  </si>
  <si>
    <t>UC_VARU_ACT_EUIGCCCOH15</t>
  </si>
  <si>
    <t>UC_VARU_ACT_EUPCCOHCCSpos20</t>
  </si>
  <si>
    <t>UC_VARU_ACT_EUPCCOHCCSoxy20</t>
  </si>
  <si>
    <t>UC_VARU_ACT_EUIGCOHCCSpre20</t>
  </si>
  <si>
    <t>UC_VARU_ACT_EUSTCOLcon01</t>
  </si>
  <si>
    <t>UC_VARU_ACT_EUSTCOLsup01</t>
  </si>
  <si>
    <t>UC_VARU_ACT_EUFBCOL01</t>
  </si>
  <si>
    <t>UC_VARU_ACT_EUIGCCCOL01</t>
  </si>
  <si>
    <t>UC_VARU_ACT_EUPCCOLCCSpos20</t>
  </si>
  <si>
    <t>UC_VARU_ACT_EUIGCOLCCSpre20</t>
  </si>
  <si>
    <t>UC_VARU_ACT_EUICDST101</t>
  </si>
  <si>
    <t>UC_VARU_ACT_EUSTHFOsup01</t>
  </si>
  <si>
    <t>UC_VARU_ACT_EUICDST01</t>
  </si>
  <si>
    <t>UC_VARU_ACT_EUICDST201</t>
  </si>
  <si>
    <t>UC_VARU_ACT_EUOCGTGAS01</t>
  </si>
  <si>
    <t>UC_VARU_ACT_EUCCGTGAS15</t>
  </si>
  <si>
    <t>UC_VARU_ACT_EUCCGASCCSpos20</t>
  </si>
  <si>
    <t>UC_VARU_ACT_EUICGAS01</t>
  </si>
  <si>
    <t>UC_VARU_ACT_EUOCGTGASA01</t>
  </si>
  <si>
    <t>UC_VARU_ACT_EUSTWOO01</t>
  </si>
  <si>
    <t>UC_VARU_ACT_EUIGCCWOO01</t>
  </si>
  <si>
    <t>UC_VARU_ACT_EUSTWOOCCS01</t>
  </si>
  <si>
    <t>UC_VARU_ACT_EUIGCCWOOCCS01</t>
  </si>
  <si>
    <t>UC_VARU_ACT_EUICBGS01</t>
  </si>
  <si>
    <t>UC_VARU_ACT_EUGEOF01</t>
  </si>
  <si>
    <t>UC_VARU_ACT_EUGEOORC01</t>
  </si>
  <si>
    <t>UC_VARU_ACT_EUGEOEGS01</t>
  </si>
  <si>
    <t>UC_VARU_ACT_EUNUC3rd10</t>
  </si>
  <si>
    <t>UC_VARU_ACT_EUNUC4th40</t>
  </si>
  <si>
    <t>UC_VARU_ACT_EUNUCLifeExt</t>
  </si>
  <si>
    <t>UC_VARU_ACT_EEPP_coal_th</t>
  </si>
  <si>
    <t>UC_VARU_ACT_EEPP_lignite_th</t>
  </si>
  <si>
    <t>UC_VARU_ACT_EEPP_natgas_CCGT</t>
  </si>
  <si>
    <t>UC_VARU_ACT_EEPP_naturalgas_th</t>
  </si>
  <si>
    <t>UC_VARU_ACT_EEPP_HFO_th</t>
  </si>
  <si>
    <t>UC_VARU_ACT_EEPP_natgas_OCGT</t>
  </si>
  <si>
    <t>UC_VARU_ACT_EEPP_HFO_OCGT</t>
  </si>
  <si>
    <t>PARAMETER UC_RHSRT /</t>
  </si>
  <si>
    <t>BG.AU_NUC_CAPLifeExt.2020.UP  1.91</t>
  </si>
  <si>
    <t>BG.AU_NUC_CAPLifeExt.2030.UP  1.91</t>
  </si>
  <si>
    <t>RO.AU_NUC_CAPLifeExt.2020.UP  1.31</t>
  </si>
  <si>
    <t>RO.AU_NUC_CAPLifeExt.2030.UP  1.31</t>
  </si>
  <si>
    <t>/;</t>
  </si>
  <si>
    <t>IT.AU_ELC_HYPCAP.2020.UP  7.560868</t>
  </si>
  <si>
    <t>DK.AU_ELC_WONCAP_H.2020.UP    2.45</t>
  </si>
  <si>
    <t>DK.AU_ELC_WONCAP_M.2020.UP    2.45</t>
  </si>
  <si>
    <t>SK.AU_ELC_WONCAP_H.2020.UP    0.003</t>
  </si>
  <si>
    <t>SK.AU_ELC_WONCAP_M.2020.UP    0.003</t>
  </si>
  <si>
    <t>UC_RHSRT('RO','UCE_Base-Imp-Calib-Max','2020','UP')=35.1 ;</t>
  </si>
  <si>
    <t>PARAMETER UC_RHSRTS /</t>
  </si>
  <si>
    <t>BG.UC_AUCoalWithoutCCS.2020.ANNUAL.UP  6.27219269322227</t>
  </si>
  <si>
    <t>DK.UC_AUCoalWithoutCCS.2020.ANNUAL.UP  6.6966791</t>
  </si>
  <si>
    <t>EL.UC_AUCoalWithoutCCS.2020.ANNUAL.UP  3.56126425620539</t>
  </si>
  <si>
    <t>ES.UC_AUCoalWithoutCCS.2020.ANNUAL.UP  11.796698308511</t>
  </si>
  <si>
    <t>HU.UC_AUCoalWithoutCCS.2020.ANNUAL.UP  1.26798215278112</t>
  </si>
  <si>
    <t>PL.UC_AUCoalWithoutCCS.2020.ANNUAL.UP  33.2807179502183</t>
  </si>
  <si>
    <t>RO.UC_AUCoalWithoutCCS.2020.ANNUAL.UP  5.9058712</t>
  </si>
  <si>
    <t>SI.UC_AUCoalWithoutCCS.2020.ANNUAL.UP  0.7934137</t>
  </si>
  <si>
    <t>Region</t>
  </si>
  <si>
    <t>BG</t>
  </si>
  <si>
    <t>RO</t>
  </si>
  <si>
    <t>DK</t>
  </si>
  <si>
    <t>SK</t>
  </si>
  <si>
    <t>* Charging station limit relaxed -- should add storage as well!</t>
  </si>
  <si>
    <t>* Take out completely (only 2010 left)</t>
  </si>
  <si>
    <t>UC_RHSRTS(R,'UC_TraBatChgStn_LnkTo_Evs_PiH','2015',ANNUAL,'UP')=0;</t>
  </si>
  <si>
    <t>UC_RHSRTS(R,'UC_TraBatChgStn_LnkTo_Evs_PiH','0',ANNUAL,'UP')=1;</t>
  </si>
  <si>
    <t>RELAX SOME UC_N</t>
  </si>
  <si>
    <t>Mt.RCUC-Lo_C_ES-SH-OF_HET.NR_ES-OF-SpHeat</t>
  </si>
  <si>
    <t>BE.RCUC-Lo_C_ES-SH-OF_HET.NR_ES-OF-SpHeat</t>
  </si>
  <si>
    <t>DE.RCUC-Lo_C_ES-SH-OF_HET.NR_ES-OF-SpHeat</t>
  </si>
  <si>
    <t>EE.RCUC-Lo_C_ES-SH-OF_HET.NR_ES-OF-SpHeat</t>
  </si>
  <si>
    <t>HR.RCUC-Lo_C_ES-SH-OF_HET.NR_ES-OF-SpHeat</t>
  </si>
  <si>
    <t>HU.RCUC-Lo_C_ES-SH-OF_HET.NR_ES-OF-SpHeat</t>
  </si>
  <si>
    <t>LV.RCUC-Lo_C_ES-SH-OF_HET.NR_ES-OF-SpHeat</t>
  </si>
  <si>
    <t>NL.RCUC-Lo_C_ES-SH-OF_HET.NR_ES-OF-SpHeat</t>
  </si>
  <si>
    <t>RO.RCUC-Lo_C_ES-SH-OF_HET.NR_ES-OF-SpHeat</t>
  </si>
  <si>
    <t>SK.RCUC-Lo_C_ES-SH-OF_HET.NR_ES-OF-SpHeat</t>
  </si>
  <si>
    <t>BE.RCUC-Lo_C_ES-SH-HO_HET.NR_ES-HO-SpHeat</t>
  </si>
  <si>
    <t>DE.RCUC-Lo_C_ES-SH-HO_HET.NR_ES-HO-SpHeat</t>
  </si>
  <si>
    <t>EE.RCUC-Lo_C_ES-SH-HO_HET.NR_ES-HO-SpHeat</t>
  </si>
  <si>
    <t>FI.RCUC-Lo_C_ES-SH-HO_HET.NR_ES-HO-SpHeat</t>
  </si>
  <si>
    <t>HR.RCUC-Lo_C_ES-SH-HO_HET.NR_ES-HO-SpHeat</t>
  </si>
  <si>
    <t>HU.RCUC-Lo_C_ES-SH-HO_HET.NR_ES-HO-SpHeat</t>
  </si>
  <si>
    <t>LV.RCUC-Lo_C_ES-SH-HO_HET.NR_ES-HO-SpHeat</t>
  </si>
  <si>
    <t>NL.RCUC-Lo_C_ES-SH-HO_HET.NR_ES-HO-SpHeat</t>
  </si>
  <si>
    <t>SK.RCUC-Lo_C_ES-SH-HO_HET.NR_ES-HO-SpHeat</t>
  </si>
  <si>
    <t>EE.RCUC-Lo_C_ES-SH-HR_HET.NR_ES-HR-SpHeat</t>
  </si>
  <si>
    <t>FR.RCUC-Lo_C_ES-SH-HR_HET.NR_ES-HR-SpHeat</t>
  </si>
  <si>
    <t>HU.RCUC-Lo_C_ES-SH-HR_HET.NR_ES-HR-SpHeat</t>
  </si>
  <si>
    <t>NL.RCUC-Lo_C_ES-SH-HR_HET.NR_ES-HR-SpHeat</t>
  </si>
  <si>
    <t>SK.RCUC-Lo_C_ES-SH-HR_HET.NR_ES-HR-SpHeat</t>
  </si>
  <si>
    <t>BE.RCUC-Lo_C_ES-SH-SL_HET.NR_ES-SL-SpHeat</t>
  </si>
  <si>
    <t>DE.RCUC-Lo_C_ES-SH-SL_HET.NR_ES-SL-SpHeat</t>
  </si>
  <si>
    <t>EE.RCUC-Lo_C_ES-SH-SL_HET.NR_ES-SL-SpHeat</t>
  </si>
  <si>
    <t>FI.RCUC-Lo_C_ES-SH-SL_HET.NR_ES-SL-SpHeat</t>
  </si>
  <si>
    <t>FR.RCUC-Lo_C_ES-SH-SL_HET.NR_ES-SL-SpHeat</t>
  </si>
  <si>
    <t>HU.RCUC-Lo_C_ES-SH-SL_HET.NR_ES-SL-SpHeat</t>
  </si>
  <si>
    <t>LV.RCUC-Lo_C_ES-SH-SL_HET.NR_ES-SL-SpHeat</t>
  </si>
  <si>
    <t>NL.RCUC-Lo_C_ES-SH-SL_HET.NR_ES-SL-SpHeat</t>
  </si>
  <si>
    <t>SI.RCUC-Lo_C_ES-SH-SL_HET.NR_ES-SL-SpHeat</t>
  </si>
  <si>
    <t>SK.RCUC-Lo_C_ES-SH-SL_HET.NR_ES-SL-SpHeat</t>
  </si>
  <si>
    <t>DE.RCUC-Lo_C_ES-SH-SR_HET.NR_ES-SR-SpHeat</t>
  </si>
  <si>
    <t>EE.RCUC-Lo_C_ES-SH-SR_HET.NR_ES-SR-SpHeat</t>
  </si>
  <si>
    <t>LV.RCUC-Lo_C_ES-SH-SR_HET.NR_ES-SR-SpHeat</t>
  </si>
  <si>
    <t>NL.RCUC-Lo_C_ES-SH-SR_HET.NR_ES-SR-SpHeat</t>
  </si>
  <si>
    <t>SK.RCUC-Lo_C_ES-SH-SR_HET.NR_ES-SR-SpHeat</t>
  </si>
  <si>
    <t>BE.RCUC-Lo_C_ES-SH-SS_HET.NR_ES-SS-SpHeat</t>
  </si>
  <si>
    <t>BG.RCUC-Lo_C_ES-SH-SS_HET.NR_ES-SS-SpHeat</t>
  </si>
  <si>
    <t>DE.RCUC-Lo_C_ES-SH-SS_HET.NR_ES-SS-SpHeat</t>
  </si>
  <si>
    <t>EE.RCUC-Lo_C_ES-SH-SS_HET.NR_ES-SS-SpHeat</t>
  </si>
  <si>
    <t>FI.RCUC-Lo_C_ES-SH-SS_HET.NR_ES-SS-SpHeat</t>
  </si>
  <si>
    <t>FR.RCUC-Lo_C_ES-SH-SS_HET.NR_ES-SS-SpHeat</t>
  </si>
  <si>
    <t>HU.RCUC-Lo_C_ES-SH-SS_HET.NR_ES-SS-SpHeat</t>
  </si>
  <si>
    <t>LT.RCUC-Lo_C_ES-SH-SS_HET.NR_ES-SS-SpHeat</t>
  </si>
  <si>
    <t>LV.RCUC-Lo_C_ES-SH-SS_HET.NR_ES-SS-SpHeat</t>
  </si>
  <si>
    <t>NL.RCUC-Lo_C_ES-SH-SS_HET.NR_ES-SS-SpHeat</t>
  </si>
  <si>
    <t>RO.RCUC-Lo_C_ES-SH-SS_HET.NR_ES-SS-SpHeat</t>
  </si>
  <si>
    <t>SK.RCUC-Lo_C_ES-SH-SS_HET.NR_ES-SS-SpHeat</t>
  </si>
  <si>
    <t>UC_COMPRD(UC_N,'LHS',R,'2020',C,ANNUAL)$HETSHFIX(R,UC_N,C) = HETSHFIX(R,UC_N,C);</t>
  </si>
  <si>
    <t>PARAMETER UC_COMPRD /</t>
  </si>
  <si>
    <t>RCUC-Lo_R_ES-SH-DH_HET.LHS.BE.2020.R_ES-DH-SpHeat.ANNUAL EPS</t>
  </si>
  <si>
    <t>RCUC-Lo_R_ES-SH-DH-70_HET.LHS.BE.2020.R_ES-DH-70-SpHeat.ANNUAL EPS</t>
  </si>
  <si>
    <t>RCUC-Lo_R_ES-SH-FL_HET.LHS.BE.2020.R_ES-FL-SpHeat.ANNUAL EPS</t>
  </si>
  <si>
    <t>RCUC-Lo_R_ES-SH-SD_HET.LHS.BE.2020.R_ES-SD-SpHeat.ANNUAL EPS</t>
  </si>
  <si>
    <t>UC_COMPRD</t>
  </si>
  <si>
    <t>~UC_T</t>
  </si>
  <si>
    <t>SIDE</t>
  </si>
  <si>
    <t>LHS</t>
  </si>
  <si>
    <t>BE</t>
  </si>
  <si>
    <t>NL.TUC_Istruc_ALU-HHE.2015.ANNUAL.LO  -0.007</t>
  </si>
  <si>
    <t>NL</t>
  </si>
  <si>
    <t>ACT_BND('LU',T,'MINBIOSLU1',ANNUAL,'UP')$(ORD(T)&gt;2)= 0.4;</t>
  </si>
  <si>
    <t>* ESTONIA SpCool</t>
  </si>
  <si>
    <t>NCAP_AFA(R('EE'),T('2015'),P,'UP')$((NCAP_AFA(R,'2015',P,'UP')&lt;0.007)$NCAP_AFA(R,'2015',P,'UP')$TOP(R,P,'R_ES-DH-SpCool','OUT')) =</t>
  </si>
  <si>
    <t xml:space="preserve">   0.007*(NCAP_AFA(R,'2015',P,'UP')/0.007)**.5;</t>
  </si>
  <si>
    <t>NCAP_AFA(R('EE'),T('2020'),P,'UP')$((NCAP_AFA(R,'2015',P,'UP')&lt;0.007)$NCAP_AFA(R,'2015',P,'UP')$TOP(R,P,'R_ES-DH-SpCool','OUT')) =</t>
  </si>
  <si>
    <t>NCAP_AFA(R('EE'),T('2020'),P,'UP')$((NCAP_AFA(R,'2015',P,'UP')&lt;0.007)$NCAP_AFA(R,'2015',P,'UP')$TOP(R,P,'R_ES-SD-SpCool','OUT')) =</t>
  </si>
  <si>
    <t>LU</t>
  </si>
  <si>
    <t>MINBIOSLU1</t>
  </si>
  <si>
    <t>PARAMETER UC_COMPRD ' '/</t>
  </si>
  <si>
    <t>* 'UELC_UpShare-CoalELC'.LHS.'BG'.2010.'ELCHIG'.ANNUAL -0.422605833457931</t>
  </si>
  <si>
    <t>'UELC_UpShare-CoalELC'.LHS.'BG'.2010.'ELCHIG'.ANNUAL -0.444</t>
  </si>
  <si>
    <t>ELCHIG</t>
  </si>
  <si>
    <t>* Sweden may need more!</t>
  </si>
  <si>
    <t>BG.AU_ELC_HYPCAP.2020.UP  1.02449</t>
  </si>
  <si>
    <t>NO.AU_ELC_HYPCAP.2020.UP  4.03673</t>
  </si>
  <si>
    <t>SE.AU_ELC_HYPCAP.2020.UP  0.119212</t>
  </si>
  <si>
    <t>BG.UC_AUCoalWithoutCCS.2015.ANNUAL.UP  6.0582416</t>
  </si>
  <si>
    <t>DK.UC_AUCoalWithoutCCS.2015.ANNUAL.UP  6.6780851</t>
  </si>
  <si>
    <t>ES.UC_AUCoalWithoutCCS.2015.ANNUAL.UP  11.7868577</t>
  </si>
  <si>
    <t>HU.UC_AUCoalWithoutCCS.2015.ANNUAL.UP  0.43781196</t>
  </si>
  <si>
    <t>PL.UC_AUCoalWithoutCCS.2015.ANNUAL.UP  28.8426043</t>
  </si>
  <si>
    <t>AT.AU_ELC_HYPCAP.2030.UP  4.8504</t>
  </si>
  <si>
    <t>BE.AU_ELC_HYPCAP.2030.UP  1.388</t>
  </si>
  <si>
    <t>BG.AU_ELC_HYPCAP.2030.UP  1.02449</t>
  </si>
  <si>
    <t>DE.AU_ELC_HYPCAP.2030.UP  6.979234</t>
  </si>
  <si>
    <t>IT.AU_ELC_HYPCAP.2030.UP  7.560868</t>
  </si>
  <si>
    <t>NO.AU_ELC_HYPCAP.2030.UP  4.03673</t>
  </si>
  <si>
    <t>PL.AU_ELC_HYPCAP.2030.UP  1.796063</t>
  </si>
  <si>
    <t>PT.AU_ELC_HYPCAP.2030.UP  2.305</t>
  </si>
  <si>
    <t>SE.AU_ELC_HYPCAP.2030.UP  0.119212</t>
  </si>
  <si>
    <t>NO.AU_ELC_HYPCAP.2050.UP  4.03673</t>
  </si>
  <si>
    <t>CY.AU_ELC_WONCAP_H.2030.ANNUAL.UP    0.1</t>
  </si>
  <si>
    <t>LU.AU_ELC_WONCAP_H.2030.ANNUAL.UP    0.1</t>
  </si>
  <si>
    <t>CY.AU_ELC_WONCAP_H.2050.ANNUAL.UP    0.1</t>
  </si>
  <si>
    <t>LU.AU_ELC_WONCAP_H.2050.ANNUAL.UP    0.1</t>
  </si>
  <si>
    <t>DE.TUC_Istruc_ALU-HHE.2020.ANNUAL.LO  -0.1</t>
  </si>
  <si>
    <t>NOT DONE!!!</t>
  </si>
  <si>
    <t>DE</t>
  </si>
  <si>
    <t>CY</t>
  </si>
  <si>
    <t>DK.AU_ELC_WONCAP_H.2020.ANNUAL.UP    2.45</t>
  </si>
  <si>
    <t>DK.AU_ELC_WONCAP_M.2020.ANNUAL.UP    2.45</t>
  </si>
  <si>
    <t>RCUC-Lo_C_ES-SH-HO_HET</t>
  </si>
  <si>
    <t>RCUC-Lo_C_ES-SH-HR_HET</t>
  </si>
  <si>
    <t>RCUC-Lo_C_ES-SH-OF_HET</t>
  </si>
  <si>
    <t>RCUC-Lo_C_ES-SH-SL_HET</t>
  </si>
  <si>
    <t>RCUC-Lo_C_ES-SH-SR_HET</t>
  </si>
  <si>
    <t>RCUC-Lo_C_ES-SH-SS_HET</t>
  </si>
  <si>
    <t>NR_ES-OF-SpHeat</t>
  </si>
  <si>
    <t>NR_ES-HO-SpHeat</t>
  </si>
  <si>
    <t>NR_ES-HR-SpHeat</t>
  </si>
  <si>
    <t>NR_ES-SL-SpHeat</t>
  </si>
  <si>
    <t>NR_ES-SR-SpHeat</t>
  </si>
  <si>
    <t>NR_ES-SS-SpHeat</t>
  </si>
  <si>
    <t>AT.AU_ELC_HYPCAP.2010.UP  4.820427</t>
  </si>
  <si>
    <t>BE.AU_ELC_HYPCAP.2010.UP  1.32003</t>
  </si>
  <si>
    <t>BG.AU_ELC_HYPCAP.2010.UP  1.02449</t>
  </si>
  <si>
    <t>CZ.AU_ELC_HYPCAP.2010.UP  1.15801</t>
  </si>
  <si>
    <t>DE.AU_ELC_HYPCAP.2010.UP  6.979234</t>
  </si>
  <si>
    <t>IT.AU_ELC_HYPCAP.2010.UP  7.560868</t>
  </si>
  <si>
    <t>NO.AU_ELC_HYPCAP.2010.UP  4.03673</t>
  </si>
  <si>
    <t>PL.AU_ELC_HYPCAP.2010.UP  1.796063</t>
  </si>
  <si>
    <t>PT.AU_ELC_HYPCAP.2010.UP  1.103438</t>
  </si>
  <si>
    <t>SE.AU_ELC_HYPCAP.2010.UP  0.119212</t>
  </si>
  <si>
    <t>UC_RHSRT('SI','UCE_Base-Exp-Calib-Min','2010','LO')=35.2751 ;</t>
  </si>
  <si>
    <t>UC_RHSRT('SI','UCE_Base-Imp-Calib-Min','2010','LO')=27.1222 ;</t>
  </si>
  <si>
    <t>UC_RHSRT('LT','UCE_Base-Imp-Calib-Min','2010','LO')=22.3523 ;</t>
  </si>
  <si>
    <t>UC_RHSRT('RO','UCE_Base-Imp-Calib-Max','2010','UP')=10.8856 ;</t>
  </si>
  <si>
    <t>UC_RHSRT('EE','UCE_Base-Imp-Calib-Max','2010','UP')=7.26123 ;</t>
  </si>
  <si>
    <t>'AT'.'AU_ELC_GEOMIN'.2010.ANNUAL.UP 21</t>
  </si>
  <si>
    <t>'AT'.'AU_ELC_GEOMIN'.2020.ANNUAL.UP 25</t>
  </si>
  <si>
    <t>'FR'.'AU_ELC_GEOMIN'.2010.ANNUAL.UP 10</t>
  </si>
  <si>
    <t>'FR'.'AU_ELC_GEOMIN'.2020.ANNUAL.UP 20</t>
  </si>
  <si>
    <t>'IS'.'AU_ELC_GEOMIN'.2010.ANNUAL.UP 25</t>
  </si>
  <si>
    <t>'IS'.'AU_ELC_GEOMIN'.2020.ANNUAL.UP 30</t>
  </si>
  <si>
    <t>RCUC-Lo_C_ES-SH-HO_ELC</t>
  </si>
  <si>
    <t>RCUC-Lo_C_ES-SH-HR_ELC</t>
  </si>
  <si>
    <t>RCUC-Lo_C_ES-SH-OF_ELC</t>
  </si>
  <si>
    <t>RCUC-Lo_C_ES-SH-SL_ELC</t>
  </si>
  <si>
    <t>RCUC-Lo_C_ES-SH-SR_ELC</t>
  </si>
  <si>
    <t>RCUC-Lo_C_ES-SH-SS_ELC</t>
  </si>
  <si>
    <t>RCUC-Lo_C_ES-WH-HO_ELC</t>
  </si>
  <si>
    <t>RCUC-Lo_C_ES-WH-HR_ELC</t>
  </si>
  <si>
    <t>RCUC-Lo_C_ES-WH-OF_ELC</t>
  </si>
  <si>
    <t>RCUC-Lo_C_ES-WH-SL_ELC</t>
  </si>
  <si>
    <t>RCUC-Lo_C_ES-WH-SR_ELC</t>
  </si>
  <si>
    <t>RCUC-Lo_C_ES-WH-SS_ELC</t>
  </si>
  <si>
    <t>RCUC-Lo_R_ES-SH-DH_HET</t>
  </si>
  <si>
    <t>RCUC-Lo_R_ES-SH-DH-70_HET</t>
  </si>
  <si>
    <t>RCUC-Lo_R_ES-SH-FL_HET</t>
  </si>
  <si>
    <t>RCUC-Lo_R_ES-SH-SD_HET</t>
  </si>
  <si>
    <t>*1</t>
  </si>
  <si>
    <t>* Capacity fixed to real capacities, so set life=1</t>
  </si>
  <si>
    <t>NCAP_TLIFE(R,'2015',P)$TOP(R,P,'LowAF_Base','IN') = 1;</t>
  </si>
  <si>
    <t>NCAP_TLIFE(R,'2015',P)$TOP(R,P,'LowAF_Peak','IN') = 1;</t>
  </si>
  <si>
    <t>NCAP_TLIFE</t>
  </si>
  <si>
    <t>Pset_CI</t>
  </si>
  <si>
    <t>LowAF_Base</t>
  </si>
  <si>
    <t>LowAF_Peak</t>
  </si>
  <si>
    <t>Other_Indexes</t>
  </si>
  <si>
    <t>~TFM_DINS-TS</t>
  </si>
  <si>
    <t>PARAMETER ACT_BND /</t>
  </si>
  <si>
    <t>LU.2015.MINBIOSLU1.ANNUAL.UP 0.55</t>
  </si>
  <si>
    <t>PARAMETER FLO_BND /</t>
  </si>
  <si>
    <t>'FR'.2015.'COMHTH00'.'HETHTH'.ANNUAL.UP 33.4836</t>
  </si>
  <si>
    <t>'IS'.2015.'COMHTH00'.'HETHTH'.ANNUAL.UP 10.64455</t>
  </si>
  <si>
    <t>'MT'.2015.'COMHTH00'.'HETHTH'.ANNUAL.UP 0.5</t>
  </si>
  <si>
    <t>'NO'.2015.'COMHTH00'.'HETHTH'.ANNUAL.UP 12</t>
  </si>
  <si>
    <t>'PT'.2015.'COMHTH00'.'HETHTH'.ANNUAL.UP 1.1</t>
  </si>
  <si>
    <t>'SI'.2015.'COMHTH00'.'HETHTH'.ANNUAL.UP 2</t>
  </si>
  <si>
    <t>'DE'.2015.'RSDHET00'.'HETHTH'.ANNUAL.UP 162</t>
  </si>
  <si>
    <t>'FR'.2015.'RSDHET00'.'HETHTH'.ANNUAL.UP 55</t>
  </si>
  <si>
    <t>'IT'.2015.'RSDHET00'.'HETHTH'.ANNUAL.UP 36.2</t>
  </si>
  <si>
    <t>'NL'.2015.'RSDHET00'.'HETHTH'.ANNUAL.UP 12</t>
  </si>
  <si>
    <t>'SI'.2015.'RSDHET00'.'HETHTH'.ANNUAL.UP 3.5</t>
  </si>
  <si>
    <t>FLO_BND</t>
  </si>
  <si>
    <t>SI</t>
  </si>
  <si>
    <t>UC_RHSRT('BG','UCE_Base-Exp-Calib-Min','2015','LO')=32.6 ;</t>
  </si>
  <si>
    <t>UC_RHSRT('RO','UCE_Base-Imp-Calib-Max','2015','UP')=18.3 ;</t>
  </si>
  <si>
    <t>BE.TUC_Istruc_ALU-HHE.2015.ANNUAL.LO  -0.001</t>
  </si>
  <si>
    <t>CH.TUC_Istruc_ALU-ANO.2015.ANNUAL.LO  -0.002193</t>
  </si>
  <si>
    <t>DK.TUC_Istruc_ALU-HHE.2015.ANNUAL.LO  -0.0245208</t>
  </si>
  <si>
    <t>IS.TUC_Istruc_ALU-HHE.2015.ANNUAL.LO  -0.0259182</t>
  </si>
  <si>
    <t>SE.TUC_Istruc_ALU-HHE.2015.ANNUAL.LO  -0.0236946</t>
  </si>
  <si>
    <t>IS.TUC_Istruc_ALU-RCY.2015.ANNUAL.LO  -0.006477</t>
  </si>
  <si>
    <t>CY.TUC_Istruc_COP_RCY.2015.ANNUAL.LO  -0.0021216</t>
  </si>
  <si>
    <t>CH.TUC_Istruc_PUP-MEC.2015.ANNUAL.LO  -0.0202266</t>
  </si>
  <si>
    <t>LU.TUC_Istruc_PUP-MEC.2015.ANNUAL.LO  -0.0134844</t>
  </si>
  <si>
    <t>CY.UC_TraBatChgStn_LnkTo_Evs_PiH.2015.ANNUAL.UP  0.2229312</t>
  </si>
  <si>
    <t>NO.UC_TraBatChgStn_LnkTo_Evs_PiH.2015.ANNUAL.UP  0.0018054</t>
  </si>
  <si>
    <t>HU.UC_AUCoalWithoutCCS.2015.ANNUAL.UP  1.26461</t>
  </si>
  <si>
    <t>SE.AU_NUC_CAPLifeExt.2015.UP  9.43392</t>
  </si>
  <si>
    <t>SI.AU_NUC_CAPLifeExt.2015.UP  1.23456</t>
  </si>
  <si>
    <t>SE.AU_NUC_CAPLim.2015.UP  9.43392</t>
  </si>
  <si>
    <t>* All ILEDs negative</t>
  </si>
  <si>
    <t>NCAP_ILED(R,YEAR,P)$NCAP_ILED(R,YEAR,P) = -ABS(NCAP_ILED(R,YEAR,P));</t>
  </si>
  <si>
    <t>SET UCNO12(UC_N) /</t>
  </si>
  <si>
    <t>UCR_OldStock-DetH</t>
  </si>
  <si>
    <t>UCR_OldStock-DetH-70</t>
  </si>
  <si>
    <t>UCR_OldStock-Flat</t>
  </si>
  <si>
    <t>UCR_OldStock-SDetH</t>
  </si>
  <si>
    <t>UC_RHSRT(R,UCNO12,'2012',BD)=0;</t>
  </si>
  <si>
    <t>UC_RHSRTS('MT','TUC_EU-BiofuelTarget_1','2010',ANNUAL,BD)=0;</t>
  </si>
  <si>
    <t>UC_RHSRTS('NL','TUC_EU-BiofuelTarget_1','2010',ANNUAL,BD)=0;</t>
  </si>
  <si>
    <t>$ONTEXT</t>
  </si>
  <si>
    <t>UCE_Base-Exp-Calib-Min</t>
  </si>
  <si>
    <t>UCE_Base-Imp-Calib-Min</t>
  </si>
  <si>
    <t>LT</t>
  </si>
  <si>
    <t>2.885245 UCE_Base-Imp-Calib-Max</t>
  </si>
  <si>
    <t>EE</t>
  </si>
  <si>
    <t>UCE_Base-Imp-Calib-Max</t>
  </si>
  <si>
    <t>$OFFTEXT</t>
  </si>
  <si>
    <t>*-------------------------------------------------------</t>
  </si>
  <si>
    <t>PRC_RESID(R,'2020',P('R_ES-SC-FL_ELC')) = PRC_RESID(R,'2010',P)*.75;</t>
  </si>
  <si>
    <t>NCAP_AFA(R,T('2010'),P('R_ES-SC-FL_ELC'),'UP')$(NCAP_AFA(R,T,P,'UP')&lt;0.0017) = NCAP_AFA(R,T,P,'UP')*1.2;</t>
  </si>
  <si>
    <t>DONE HERE</t>
  </si>
  <si>
    <t>DISOTUC</t>
  </si>
  <si>
    <t>FIXUCRHS</t>
  </si>
  <si>
    <t>* Newtechs Start from 2020</t>
  </si>
  <si>
    <t>SET UC15TO20(UC_N) /</t>
  </si>
  <si>
    <t>UC_RHSRT(R,UC15TO20,'2020','LO')$(NOT UC_RHSRT(R,UC15TO20,'2020','LO')) $=UC_RHSRT(R,UC15TO20,'2015','LO');</t>
  </si>
  <si>
    <t>UC_RHSRT(R,UC15TO20,'2015','LO')$UC_RHSRT(R,UC15TO20,'2020','LO') = 0;</t>
  </si>
  <si>
    <t>****** Added 2010 relaxations ANS Malta; check if needed finally!</t>
  </si>
  <si>
    <t>UC_RHSRTS('BE','TUC_EU-BiofuelTarget_1','2010',ANNUAL,BD)=0;</t>
  </si>
  <si>
    <t>UC_RHSRTS('MT','TUC_EU-BiofuelTarget_1','2015',ANNUAL,BD)=0;</t>
  </si>
  <si>
    <t>*******************************************************</t>
  </si>
  <si>
    <t>* Too low values for at least Norway and Latvia</t>
  </si>
  <si>
    <t>UC_FLO('UC_VARI_MINDISP','LHS',R,'2015','EUHYDDAM00','ELCHIG',S)$=UC_FLO('UC_VARI_MINDISP','LHS',R,'2015','EUHYDDAM00','ELCHIG',S)*2;</t>
  </si>
  <si>
    <t>*-------------------------------------------------</t>
  </si>
  <si>
    <t>* .... Ziet_VAR problems ....</t>
  </si>
  <si>
    <t>* may need to remove scenario(s) and replace with ABS</t>
  </si>
  <si>
    <t>SET UCS15TO20(UC_N) /</t>
  </si>
  <si>
    <t>* Ziet_VAR</t>
  </si>
  <si>
    <t>UC_VARI_ELE_Cons_Cap</t>
  </si>
  <si>
    <t>UC_VARI_CAP_SystemAdequacy</t>
  </si>
  <si>
    <t>UC_VARI_MINDISP</t>
  </si>
  <si>
    <t>* Move UCs to start from 2020</t>
  </si>
  <si>
    <t>UC_RHSRTS(R,UCS15TO20,'2020',S,BD)$(NOT UC_RHSRTS(R,UCS15TO20,'2020',S,BD)) $=UC_RHSRTS(R,UCS15TO20,'2015',S,BD);</t>
  </si>
  <si>
    <t>UC_RHSRTS(R,UCS15TO20,'2015',S,BD)$UC_RHSRTS(R,UCS15TO20,'2020',S,BD) = 0;</t>
  </si>
  <si>
    <t>* NUC_CAP fix</t>
  </si>
  <si>
    <t>*------------------------------------------------------------------------------</t>
  </si>
  <si>
    <t>* COMMODITY DUMMIES</t>
  </si>
  <si>
    <t>*FR</t>
  </si>
  <si>
    <t>HETHTH</t>
  </si>
  <si>
    <t>Fuel Tech*</t>
  </si>
  <si>
    <t>COM*</t>
  </si>
  <si>
    <t>*IS</t>
  </si>
  <si>
    <t>*MT</t>
  </si>
  <si>
    <t>*NO</t>
  </si>
  <si>
    <t>*PT</t>
  </si>
  <si>
    <t>*SI</t>
  </si>
  <si>
    <t>*-------------</t>
  </si>
  <si>
    <t>*DE</t>
  </si>
  <si>
    <t>RSD*</t>
  </si>
  <si>
    <t>*IT</t>
  </si>
  <si>
    <t>*NL</t>
  </si>
  <si>
    <t>SET LOWCOOL(P) /</t>
  </si>
  <si>
    <t>R_ES-SC-DH_ELC01</t>
  </si>
  <si>
    <t>R_ES-SC-DH_ELC02</t>
  </si>
  <si>
    <t>R_ES-SC-DH_ELC03</t>
  </si>
  <si>
    <t>R_ES-SC-DH_ELC04</t>
  </si>
  <si>
    <t>R_ES-SC-DH_ELC05</t>
  </si>
  <si>
    <t>R_ES-SC-FL_ELC01</t>
  </si>
  <si>
    <t>R_ES-SC-FL_ELC02</t>
  </si>
  <si>
    <t>R_ES-SC-FL_ELC03</t>
  </si>
  <si>
    <t>R_ES-SC-FL_ELC04</t>
  </si>
  <si>
    <t>R_ES-SC-FL_ELC05</t>
  </si>
  <si>
    <t>R_ES-SC-SD_ELC01</t>
  </si>
  <si>
    <t>R_ES-SC-SD_ELC02</t>
  </si>
  <si>
    <t>R_ES-SC-SD_ELC03</t>
  </si>
  <si>
    <t>R_ES-SC-SD_ELC04</t>
  </si>
  <si>
    <t>R_ES-SC-SD_ELC05</t>
  </si>
  <si>
    <t xml:space="preserve">NCAP_AFA(R,T('2015'),LOWCOOL(P),'UP')$((NCAP_AFA(R,'2011',P,'UP')&lt;0.009)$NCAP_AFA(R,'2011',P,'UP')) = </t>
  </si>
  <si>
    <t xml:space="preserve">   0.009*(NCAP_AFA(R,'2011',P,'UP')/0.009)**.5;</t>
  </si>
  <si>
    <t>*--------------------------------------------------</t>
  </si>
  <si>
    <t>* Malta + Metals</t>
  </si>
  <si>
    <t>* 'TUC_TRA_Car-Gsl'.LHS.'MT'.2015.'TCar'.ANNUAL -0.71941401062417</t>
  </si>
  <si>
    <t>'TUC_TRA_Car-Gsl'.LHS.'MT'.2015.'TCar'.ANNUAL -0.4</t>
  </si>
  <si>
    <t>* Latvia fixed IIS, may be too large</t>
  </si>
  <si>
    <t>PARAMETER COM_BNDPRD /</t>
  </si>
  <si>
    <t>MT.2015.TRAGAS.ANNUAL.UP 3.5</t>
  </si>
  <si>
    <t>MT.2015.TRAFINOIL.ANNUAL.UP 19</t>
  </si>
  <si>
    <t>LV.2015.INDFINGAS.ANNUAL.UP 8.3</t>
  </si>
  <si>
    <t>IS.2015.INDFINGAS.ANNUAL.UP 1</t>
  </si>
  <si>
    <t>CY.2015.INDFINGAS.ANNUAL.UP 1</t>
  </si>
  <si>
    <t>RCUCS</t>
  </si>
  <si>
    <t>MOVE TO 2020</t>
  </si>
  <si>
    <t>MISC</t>
  </si>
  <si>
    <t>SET UCSNOVAR(UC_N) /</t>
  </si>
  <si>
    <t>UC_RHSRT(R,UC_N(UCSNOVAR),'2015',BD)$UC_RHSRT(R,UC_N,'2015',BD) = 0;</t>
  </si>
  <si>
    <t>UC_RHSRTS(R,UC_N(UCSNOVAR),'2020',S,BD)$UC_RHSRTS(R,UC_N,'2020',S,BD) = 0;</t>
  </si>
  <si>
    <t>UC_RHSRT(R,UC_N(UCSNOVAR),'0',BD)$UC_RHSRT(R,UC_N,'0',BD) = 1;</t>
  </si>
  <si>
    <t>CAP_BND('RO',T,P('TB_ELCHIG_HU_RO_01'),'FX')$(YEARVAL(T)&lt;2025) $= CAP_BND('RO','2010',P,'FX');</t>
  </si>
  <si>
    <t>CAP_BND('RO','2025',P('TB_ELCHIG_HU_RO_01'),'UP') $= CAP_BND('RO','2010',P,'FX');</t>
  </si>
  <si>
    <t>$ONEPS</t>
  </si>
  <si>
    <t>PARAMETER HETSHFIX(R,UC_N,C) /</t>
  </si>
  <si>
    <t>*-----------------------------------------------------</t>
  </si>
  <si>
    <t>DISVARUC</t>
  </si>
  <si>
    <t>DISLOWAF</t>
  </si>
  <si>
    <t>FIX20</t>
  </si>
  <si>
    <t>FIX30</t>
  </si>
  <si>
    <t>*---------------------------------------------------------------------</t>
  </si>
  <si>
    <t>* Small values fixes</t>
  </si>
  <si>
    <t>* 1</t>
  </si>
  <si>
    <t>*VDA_FLOP(R,DATAYEAR,P,CG,S)$((VDA_FLOP(R,DATAYEAR,P,CG,S)&lt;1E-5)$(VDA_FLOP(R,DATAYEAR,P,CG,S)&gt;0)$VDA_FLOP(R,DATAYEAR,P,CG,S)) = 1E-5;</t>
  </si>
  <si>
    <t>VDA_FLOP(R,DATAYEAR,P,CG,S)$((VDA_FLOP(R,DATAYEAR,P,CG,S)&lt;1E-5)$(VDA_FLOP(R,DATAYEAR,P,CG,S)&gt;0)$VDA_FLOP(R,DATAYEAR,P,CG,S)) = EPS;</t>
  </si>
  <si>
    <t>* 2</t>
  </si>
  <si>
    <t>ACT_BND(R,DATAYEAR,P,S,BD)$((ACT_BND(R,DATAYEAR,P,S,BD)&lt;3E-5)$ACT_BND(R,DATAYEAR,P,S,BD)) = EPS;</t>
  </si>
  <si>
    <t>* 3</t>
  </si>
  <si>
    <t>PRC_RESID(R,DATAYEAR,P)$((PRC_RESID(R,DATAYEAR,P)&lt;1E-4)$(PRC_RESID(R,DATAYEAR,P)&gt;0)$PRC_RESID(R,DATAYEAR,P)) = 1E-4;</t>
  </si>
  <si>
    <t>NCAP_PASTI(R,DATAYEAR,P)$((NCAP_PASTI(R,DATAYEAR,P)&lt;2E-5)$NCAP_PASTI(R,DATAYEAR,P)) = EPS;</t>
  </si>
  <si>
    <t>*4</t>
  </si>
  <si>
    <t>FLO_SHAR(R,DATAYEAR,P,C,CG,S,BD)$((FLO_SHAR(R,DATAYEAR,P,C,CG,S,BD)&lt;1E-5)$FLO_SHAR(R,DATAYEAR,P,C,CG,S,BD))=EPS;</t>
  </si>
  <si>
    <t>* 5</t>
  </si>
  <si>
    <t>UC_RHSRTS(R,UC_N,DATAYEAR,ANNUAL,'UP')$((UC_RHSRTS(R,UC_N,DATAYEAR,ANNUAL,'UP')&lt;1E-4)$(UC_RHSRTS(R,UC_N,DATAYEAR,ANNUAL,'UP')&gt;0)$UC_RHSRTS(R,UC_N,DATAYEAR,ANNUAL,'UP'))=EPS;</t>
  </si>
  <si>
    <t>* 6</t>
  </si>
  <si>
    <t>UC_COMPRD(UC_N('TUC_UP_IOIHET-INDCO'),SIDE,R,DATAYEAR,C,S)$((ABS(UC_COMPRD(UC_N,SIDE,R,DATAYEAR,C,S))&lt;1E-4)$UC_COMPRD(UC_N,SIDE,R,DATAYEAR,C,S)) = -1E-4;</t>
  </si>
  <si>
    <t>* 7</t>
  </si>
  <si>
    <t>NCAP_COST(R,DATAYEAR,P,CUR)$((NCAP_COST(R,DATAYEAR,P,CUR)&lt;1E-4)$(NCAP_COST(R,DATAYEAR,P,CUR)&gt;0)$NCAP_COST(R,DATAYEAR,P,CUR)) = 1E-4;</t>
  </si>
  <si>
    <t>SET UCRSHHET(UC_N) /</t>
  </si>
  <si>
    <t>UC_COMPRD(UCRSHHET(UC_N),'LHS',R,'2030',C,ANNUAL)$UC_COMPRD(UC_N,'LHS',R,'2015',C,ANNUAL) =</t>
  </si>
  <si>
    <t xml:space="preserve">   UC_COMPRD(UC_N,'LHS',R,'2015',C,ANNUAL)*.5;</t>
  </si>
  <si>
    <t>UC_COMPRD(UCRSHHET(UC_N),'LHS',R,'2030',C,ANNUAL)$UC_COMPRD(UC_N,'LHS',R,'2020',C,ANNUAL) =</t>
  </si>
  <si>
    <t xml:space="preserve">   UC_COMPRD(UC_N,'LHS',R,'2020',C,ANNUAL)*.5;</t>
  </si>
  <si>
    <t>PARAMETER FLO_SHAR /</t>
  </si>
  <si>
    <t>'SK'.2025.'IOIOTH-NRG'.'INDCOG'.'IOIOTH-NRG_NRGI'.ANNUAL.LO 0.001</t>
  </si>
  <si>
    <t>*-------------------------------------------------------------</t>
  </si>
  <si>
    <t>* 2030 FIXES</t>
  </si>
  <si>
    <t>* Ireland off</t>
  </si>
  <si>
    <t>UC_RHSRT('IE','UC_Interconn_INV_MS_15pct',T,BD)=0;</t>
  </si>
  <si>
    <t>UC_RHSRT('CY','UC_ForecastHeat',T,BD)=0;</t>
  </si>
  <si>
    <t>UC_RHSRT('MT','UC_ForecastHeat',T,BD)=0;</t>
  </si>
  <si>
    <t>UC_RHSRT(REG,'UC_ForecastHeat',T,BD)=0;</t>
  </si>
  <si>
    <t>IS.2030.INDFINGAS.ANNUAL.UP 1</t>
  </si>
  <si>
    <t>CY.2030.INDFINGAS.ANNUAL.UP 1</t>
  </si>
  <si>
    <t>* Relax DH upper bounds (negative fraction of COMPRD)</t>
  </si>
  <si>
    <t>UC_COMPRD(UC_N('RCUC-Up_R_ES-SH-SD_HET'),'LHS',R,YEAR('2050'),C,ANNUAL)$UC_COMPRD(UC_N,'LHS',R,YEAR,C,ANNUAL) =</t>
  </si>
  <si>
    <t xml:space="preserve">  UC_COMPRD(UC_N,'LHS',R,YEAR,C,ANNUAL)-.01;</t>
  </si>
  <si>
    <t>UC_COMPRD(UC_N('RCUC-Up_R_ES-SH-DH_HET'),'LHS',R,YEAR('2050'),C,ANNUAL)$UC_COMPRD(UC_N,'LHS',R,YEAR,C,ANNUAL) =</t>
  </si>
  <si>
    <t>PARAMETER RPT_OPT /</t>
  </si>
  <si>
    <t>'ACT'.'9' 0.001</t>
  </si>
  <si>
    <t>'CAP'.'9' 0.001</t>
  </si>
  <si>
    <t>'FLO'.'9' 0</t>
  </si>
  <si>
    <t>Low*</t>
  </si>
  <si>
    <t>RCUC-Up_R_ES-SH-DH_HET</t>
  </si>
  <si>
    <t>RCUC-Up_R_ES-SH-SD_HET</t>
  </si>
  <si>
    <t>R_ES-DH-SpHeat</t>
  </si>
  <si>
    <t>R_ES-SD-SpHeat</t>
  </si>
  <si>
    <t>TUC_EU-BiofuelTarget_1</t>
  </si>
  <si>
    <t>TS_Filter</t>
  </si>
  <si>
    <t>MT</t>
  </si>
  <si>
    <t>UC_FLO</t>
  </si>
  <si>
    <t>EUHYDDAM00</t>
  </si>
  <si>
    <t>TRY:</t>
  </si>
  <si>
    <t>TCAR</t>
  </si>
  <si>
    <t>COM_BNDPRD</t>
  </si>
  <si>
    <t>LV</t>
  </si>
  <si>
    <t>IS</t>
  </si>
  <si>
    <t>TRAGAS</t>
  </si>
  <si>
    <t>TRAFINOIL</t>
  </si>
  <si>
    <t>INDFINGAS</t>
  </si>
  <si>
    <t>CAP_BND</t>
  </si>
  <si>
    <t>SHARE</t>
  </si>
  <si>
    <t>INDCOG</t>
  </si>
  <si>
    <t>IE</t>
  </si>
  <si>
    <t>NCAP_AFA</t>
  </si>
  <si>
    <t>PRC_RESID</t>
  </si>
  <si>
    <t>*0.75</t>
  </si>
  <si>
    <t>Val_Cond</t>
  </si>
  <si>
    <t>&lt;0.0017</t>
  </si>
  <si>
    <t>R_ES-SC-FL_ELC</t>
  </si>
  <si>
    <t>*1.2345</t>
  </si>
  <si>
    <t>NCAP_ILED</t>
  </si>
  <si>
    <t>&gt;0</t>
  </si>
  <si>
    <t>*-1</t>
  </si>
  <si>
    <t>&lt;0.0003</t>
  </si>
  <si>
    <t>VAR</t>
  </si>
  <si>
    <t>NOSTOR</t>
  </si>
  <si>
    <t>UC_VAR2_T1</t>
  </si>
  <si>
    <t>UC_VAR2_T2</t>
  </si>
  <si>
    <t>UC_VAR2_EXC_NightW</t>
  </si>
  <si>
    <t>UC_VAR2_EXC_NightR</t>
  </si>
  <si>
    <t>UC_VAR2_EXC_NightS</t>
  </si>
  <si>
    <t>UC_VAR2_EXC_NightF</t>
  </si>
  <si>
    <t>* Ziet_VAR_Stor</t>
  </si>
  <si>
    <t>UC_RHSRTS~LO</t>
  </si>
  <si>
    <t>UC_RHSRT~LO~0</t>
  </si>
  <si>
    <t>NOSTOR+STOR</t>
  </si>
  <si>
    <t>STOR</t>
  </si>
  <si>
    <t>UC_VARI_CAP_Charg</t>
  </si>
  <si>
    <t>Pset_CO</t>
  </si>
  <si>
    <t>PSET_SET</t>
  </si>
  <si>
    <t>COM_TSL</t>
  </si>
  <si>
    <t>DAYNITE</t>
  </si>
  <si>
    <t>HETHTH,HETLTH</t>
  </si>
  <si>
    <t>PRC_TSL</t>
  </si>
  <si>
    <t>*,-IMPNRGZ</t>
  </si>
  <si>
    <t>SEASON</t>
  </si>
  <si>
    <t>GASNAT,GASLNG,___GAS,GASRSV</t>
  </si>
  <si>
    <t>I*HTH</t>
  </si>
  <si>
    <t>GASNAT,GASLNG,GASPIP,GASRSV</t>
  </si>
  <si>
    <t>GASNAT</t>
  </si>
  <si>
    <t>___LTH*,___HTH*,-STG*</t>
  </si>
  <si>
    <t>SRET*,STRAN*</t>
  </si>
  <si>
    <t>IMPELC*,EXPELC*</t>
  </si>
  <si>
    <t>IMPNRGZ</t>
  </si>
  <si>
    <t>ORIG-SYSSETS</t>
  </si>
  <si>
    <t>SE</t>
  </si>
  <si>
    <t>RCUC-Up_R_ES-SH-DH-70_HET'.LHS.'EL'.2050.'R_ES-DH-70-SpHeat'</t>
  </si>
  <si>
    <t>TUC_Istruc_ALU-HHE</t>
  </si>
  <si>
    <t>DE.TUC_Istruc_ALU-HHE.2030.ANNUAL.LO  -0.13215</t>
  </si>
  <si>
    <t>DE.TUC_Istruc_ALU-HHE.2035.ANNUAL.LO  -0.15295</t>
  </si>
  <si>
    <t>BG.TUC_Istruc_ALU-HHE.2040.ANNUAL.LO  -0.00179</t>
  </si>
  <si>
    <t>DE.TUC_Istruc_ALU-HHE.2040.ANNUAL.LO  -0.16541</t>
  </si>
  <si>
    <t>DK.TUC_Istruc_ALU-HHE.2040.ANNUAL.LO  -0.02631</t>
  </si>
  <si>
    <t>FR.TUC_Istruc_ALU-HHE.2040.ANNUAL.LO  -0.02973</t>
  </si>
  <si>
    <t>NL.TUC_Istruc_ALU-HHE.2040.ANNUAL.LO  -0.05924</t>
  </si>
  <si>
    <t>PL.TUC_Istruc_ALU-HHE.2040.ANNUAL.LO  -0.01714</t>
  </si>
  <si>
    <t>BE.TUC_Istruc_ALU-HHE.2050.ANNUAL.LO  -0.00128</t>
  </si>
  <si>
    <t>BG.TUC_Istruc_ALU-HHE.2050.ANNUAL.LO  -0.00217</t>
  </si>
  <si>
    <t>DK.TUC_Istruc_ALU-HHE.2050.ANNUAL.LO  -0.02694</t>
  </si>
  <si>
    <t>NL.TUC_Istruc_ALU-HHE.2050.ANNUAL.LO  -0.06063</t>
  </si>
  <si>
    <t>PL.TUC_Istruc_ALU-HHE.2050.ANNUAL.LO  -0.01958</t>
  </si>
  <si>
    <t>CH</t>
  </si>
  <si>
    <t>ES</t>
  </si>
  <si>
    <t>FR</t>
  </si>
  <si>
    <t>PL</t>
  </si>
  <si>
    <t>EUSTIISGASCS101</t>
  </si>
  <si>
    <t>INDCO2N</t>
  </si>
  <si>
    <t>NO</t>
  </si>
  <si>
    <t>Other_indexes</t>
  </si>
  <si>
    <t>ELCBFT</t>
  </si>
  <si>
    <t>FLO_EMIS</t>
  </si>
  <si>
    <t>EL</t>
  </si>
  <si>
    <t>FI</t>
  </si>
  <si>
    <t>HR</t>
  </si>
  <si>
    <t>AU_ELC_WONCAP_H</t>
  </si>
  <si>
    <t>AU_ELC_WONCAP_M</t>
  </si>
  <si>
    <t>CH.AU_ELC_WONCAP_H.2020.ANNUAL.UP  0.0306</t>
  </si>
  <si>
    <t>EL.AU_ELC_WONCAP_H.2020.ANNUAL.UP  1.8497</t>
  </si>
  <si>
    <t>ES.AU_ELC_WONCAP_H.2020.ANNUAL.UP  13.0265</t>
  </si>
  <si>
    <t>FI.AU_ELC_WONCAP_H.2020.ANNUAL.UP  1.2415</t>
  </si>
  <si>
    <t>FR.AU_ELC_WONCAP_H.2020.ANNUAL.UP  7.9817</t>
  </si>
  <si>
    <t>HR.AU_ELC_WONCAP_H.2020.ANNUAL.UP  0.4035</t>
  </si>
  <si>
    <t>LU.AU_ELC_WONCAP_H.2020.ANNUAL.UP  0.0676</t>
  </si>
  <si>
    <t>Mt.AU_ELC_WONCAP_H.2020.ANNUAL.UP  0.0010</t>
  </si>
  <si>
    <t>NO.AU_ELC_WONCAP_H.2020.ANNUAL.UP  1.7374</t>
  </si>
  <si>
    <t>SE.AU_ELC_WONCAP_H.2020.ANNUAL.UP  4.9385</t>
  </si>
  <si>
    <t>CH.AU_ELC_WONCAP_M.2020.ANNUAL.UP  0.0306</t>
  </si>
  <si>
    <t>EL.AU_ELC_WONCAP_M.2020.ANNUAL.UP  1.8497</t>
  </si>
  <si>
    <t>ES.AU_ELC_WONCAP_M.2020.ANNUAL.UP  13.0265</t>
  </si>
  <si>
    <t>FI.AU_ELC_WONCAP_M.2020.ANNUAL.UP  1.2415</t>
  </si>
  <si>
    <t>FR.AU_ELC_WONCAP_M.2020.ANNUAL.UP  7.9817</t>
  </si>
  <si>
    <t>HR.AU_ELC_WONCAP_M.2020.ANNUAL.UP  0.4035</t>
  </si>
  <si>
    <t>LU.AU_ELC_WONCAP_M.2020.ANNUAL.UP  0.0676</t>
  </si>
  <si>
    <t>Mt.AU_ELC_WONCAP_M.2020.ANNUAL.UP  0.0010</t>
  </si>
  <si>
    <t>NO.AU_ELC_WONCAP_M.2020.ANNUAL.UP  1.7374</t>
  </si>
  <si>
    <t>SE.AU_ELC_WONCAP_M.2020.ANNUAL.UP  4.9385</t>
  </si>
  <si>
    <t>CH.AU_ELC_WONCAP_H.2030.ANNUAL.UP  0.0796</t>
  </si>
  <si>
    <t>LU.AU_ELC_WONCAP_H.2030.ANNUAL.UP  0.1166</t>
  </si>
  <si>
    <t>Mt.AU_ELC_WONCAP_H.2030.ANNUAL.UP  0.0010</t>
  </si>
  <si>
    <t>NO.AU_ELC_WONCAP_H.2030.ANNUAL.UP  2.9414</t>
  </si>
  <si>
    <t>CH.AU_ELC_WONCAP_M.2030.ANNUAL.UP  0.0796</t>
  </si>
  <si>
    <t>LU.AU_ELC_WONCAP_M.2030.ANNUAL.UP  0.1826</t>
  </si>
  <si>
    <t>Mt.AU_ELC_WONCAP_M.2030.ANNUAL.UP  0.0010</t>
  </si>
  <si>
    <t>NO.AU_ELC_WONCAP_M.2030.ANNUAL.UP  2.9414</t>
  </si>
  <si>
    <t>NO.AU_ELC_WOFCAP_H.2020.ANNUAL.UP  1.1</t>
  </si>
  <si>
    <t>NO.AU_ELC_WOFCAP_H.2030.ANNUAL.UP  10.1</t>
  </si>
  <si>
    <t>NO.AU_ELC_WOFCAP_H.2050.ANNUAL.UP  31.0</t>
  </si>
  <si>
    <t>PT.AU_ELC_WOFCAP_H.2020.ANNUAL.UP  0.1</t>
  </si>
  <si>
    <t>PT.AU_ELC_WOFCAP_H.2030.ANNUAL.UP  0.5</t>
  </si>
  <si>
    <t>PT.AU_ELC_WOFCAP_H.2050.ANNUAL.UP  3.0</t>
  </si>
  <si>
    <t>PT</t>
  </si>
  <si>
    <t>AU_ELC_WOFCAP_H</t>
  </si>
  <si>
    <t>IS.UC_NONDECRSOLCAP.0.ANNUAL.UP   1</t>
  </si>
  <si>
    <t>IS.UC_NonDecrWinONCAP.0.ANNUAL.UP 1</t>
  </si>
  <si>
    <t>BG.TUC_Istruc_ALU-HHE.2030.ANNUAL.LO  -0.00175</t>
  </si>
  <si>
    <t>attribute</t>
  </si>
  <si>
    <t>commodity</t>
  </si>
  <si>
    <t>process</t>
  </si>
  <si>
    <t>scenario</t>
  </si>
  <si>
    <t>region</t>
  </si>
  <si>
    <t>-</t>
  </si>
  <si>
    <t>UC_ElcPot</t>
  </si>
  <si>
    <t>AL</t>
  </si>
  <si>
    <t>AT</t>
  </si>
  <si>
    <t>BA</t>
  </si>
  <si>
    <t>CZ</t>
  </si>
  <si>
    <t>HU</t>
  </si>
  <si>
    <t>IT</t>
  </si>
  <si>
    <t>KS</t>
  </si>
  <si>
    <t>ME</t>
  </si>
  <si>
    <t>MK</t>
  </si>
  <si>
    <t>RS</t>
  </si>
  <si>
    <t>UK</t>
  </si>
  <si>
    <t>~TFM_DINS-AT</t>
  </si>
  <si>
    <t xml:space="preserve">VDA_FLOP(R,DATAYEAR,P,CG,S)$((VDA_FLOP(R,DATAYEAR,P,CG,S)&lt;1E-5)$(VDA_FLOP(R,DATAYEAR,P,CG,S)&gt;0)$VDA_FLOP(R,DATAYEAR,P,CG,S)) = EPS;
</t>
  </si>
  <si>
    <t xml:space="preserve">ACT_BND(R,DATAYEAR,P,S,BD)$((ACT_BND(R,DATAYEAR,P,S,BD)&lt;3E-5)$ACT_BND(R,DATAYEAR,P,S,BD)) = EPS;
</t>
  </si>
  <si>
    <t xml:space="preserve">PRC_RESID(R,DATAYEAR,P)$((PRC_RESID(R,DATAYEAR,P)&lt;1E-4)$(PRC_RESID(R,DATAYEAR,P)&gt;0)$PRC_RESID(R,DATAYEAR,P)) = 1E-4;
</t>
  </si>
  <si>
    <t xml:space="preserve">NCAP_PASTI(R,DATAYEAR,P)$((NCAP_PASTI(R,DATAYEAR,P)&lt;2E-5)$NCAP_PASTI(R,DATAYEAR,P)) = EPS;
</t>
  </si>
  <si>
    <t xml:space="preserve">UC_RHSRTS(R,UC_N,DATAYEAR,ANNUAL,'UP')$((UC_RHSRTS(R,UC_N,DATAYEAR,ANNUAL,'UP')&lt;1E-4)$(UC_RHSRTS(R,UC_N,DATAYEAR,ANNUAL,'UP')&gt;0)$UC_RHSRTS(R,UC_N,DATAYEAR,ANNUAL,'UP'))=EPS;
</t>
  </si>
  <si>
    <t xml:space="preserve">UC_COMPRD(UC_N('TUC_UP_IOIHET-INDCO'),SIDE,R,DATAYEAR,C,S)$((ABS(UC_COMPRD(UC_N,SIDE,R,DATAYEAR,C,S))&lt;1E-4)$UC_COMPRD(UC_N,SIDE,R,DATAYEAR,C,S)) = -1E-4;
</t>
  </si>
  <si>
    <t xml:space="preserve">NCAP_COST(R,DATAYEAR,P,CUR)$((NCAP_COST(R,DATAYEAR,P,CUR)&lt;1E-4)$(NCAP_COST(R,DATAYEAR,P,CUR)&gt;0)$NCAP_COST(R,DATAYEAR,P,CUR)) = 1E-4;
</t>
  </si>
  <si>
    <t>SFCmd_B</t>
  </si>
  <si>
    <t>CH.TUC_Istruc_ALU-HHE.2030.ANNUAL.LO  -0.0015</t>
  </si>
  <si>
    <t>CH.TUC_Istruc_ALU-HHE.2035.ANNUAL.LO  -0.0015</t>
  </si>
  <si>
    <t>ES.TUC_Istruc_ALU-HHE.2030.ANNUAL.LO  -0.1760</t>
  </si>
  <si>
    <t>FR.TUC_Istruc_ALU-HHE.2030.ANNUAL.LO  -0.0160</t>
  </si>
  <si>
    <t>NL.TUC_Istruc_ALU-HHE.2030.ANNUAL.LO  -0.0510</t>
  </si>
  <si>
    <t>PL.TUC_Istruc_ALU-HHE.2030.ANNUAL.LO  -0.0120</t>
  </si>
  <si>
    <t>ES.TUC_Istruc_ALU-HHE.2035.ANNUAL.LO  -0.1760</t>
  </si>
  <si>
    <t>FR.TUC_Istruc_ALU-HHE.2035.ANNUAL.LO  -0.0250</t>
  </si>
  <si>
    <t>NL.TUC_Istruc_ALU-HHE.2035.ANNUAL.LO  -0.0570</t>
  </si>
  <si>
    <t>CH.TUC_Istruc_ALU-HHE.2040.ANNUAL.LO  -0.00150</t>
  </si>
  <si>
    <t>ES.TUC_Istruc_ALU-HHE.2040.ANNUAL.LO  -0.1760</t>
  </si>
  <si>
    <t>TLCV</t>
  </si>
  <si>
    <t>TUC_TRA_Lcv-Cng</t>
  </si>
  <si>
    <t>EU-Renewable-Target</t>
  </si>
  <si>
    <t>INDELC</t>
  </si>
  <si>
    <t>PRC_AOFF</t>
  </si>
  <si>
    <t>2024-2100</t>
  </si>
  <si>
    <t>IMPGAS_RU*</t>
  </si>
  <si>
    <t>IMPELC-RU*</t>
  </si>
  <si>
    <t>IMPELC-UA*</t>
  </si>
  <si>
    <t>OUTPUT</t>
  </si>
  <si>
    <t>IPPPUPCHE0*</t>
  </si>
  <si>
    <t>INDBLQ</t>
  </si>
  <si>
    <t>IPPPUPCHE01</t>
  </si>
  <si>
    <t>FLO_MARK</t>
  </si>
  <si>
    <t>IPPPUPRYC01</t>
  </si>
  <si>
    <t>MPPPUP</t>
  </si>
  <si>
    <t>NCAP_AFAC</t>
  </si>
  <si>
    <t>PUSCSBIO*</t>
  </si>
  <si>
    <t>NCAP_START</t>
  </si>
  <si>
    <t>TUC_MinShareofCenELCinINDELC</t>
  </si>
  <si>
    <t>CHPIPREBLQ07</t>
  </si>
  <si>
    <t>EUWINOFH*</t>
  </si>
  <si>
    <t>~UC_T: UC_RHSRTS~UP</t>
  </si>
  <si>
    <t>Maximum Wind Offshore CF &gt;25% up to 60m depth</t>
  </si>
  <si>
    <t>INDRFG</t>
  </si>
  <si>
    <t>IOIOTH-NRG</t>
  </si>
  <si>
    <t>SHARE-I</t>
  </si>
  <si>
    <t>INDLPG</t>
  </si>
  <si>
    <t>INDLFO</t>
  </si>
  <si>
    <t>INDHFO</t>
  </si>
  <si>
    <t>INDGAS</t>
  </si>
  <si>
    <t>ICHOTH-NRG</t>
  </si>
  <si>
    <t>INDNAP</t>
  </si>
  <si>
    <t>INDCOL</t>
  </si>
  <si>
    <t>INDCOK</t>
  </si>
  <si>
    <t>INDCOB</t>
  </si>
  <si>
    <t>INDCOA</t>
  </si>
  <si>
    <t>Scen_Z_IndustryFlexibility.xlsx</t>
  </si>
  <si>
    <t>REP-ALL</t>
  </si>
  <si>
    <t>IPPPUPMEC01</t>
  </si>
  <si>
    <t>IPPPUPMEC00</t>
  </si>
  <si>
    <t>IPPPUPMEC10</t>
  </si>
  <si>
    <t>MINMPPRYC9</t>
  </si>
  <si>
    <t>~TFM_DINS</t>
  </si>
  <si>
    <t>limit the use of recycled paper in pulp and paper industry in FI to match actual production statistics and forecasts</t>
  </si>
  <si>
    <t>NCAP_BND</t>
  </si>
  <si>
    <t>PSET_PN</t>
  </si>
  <si>
    <t>PASTI</t>
  </si>
  <si>
    <t/>
  </si>
  <si>
    <t>EEPP_windOFF</t>
  </si>
  <si>
    <t>EEPP_windON</t>
  </si>
  <si>
    <t>TRA_Car_Lpg*</t>
  </si>
  <si>
    <t>TRA_Bus_Lpg*</t>
  </si>
  <si>
    <t>TRA_Hdt_Lpg*</t>
  </si>
  <si>
    <t>TRA_Lcv_Lpg*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</si>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</sst>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48"/>
      <name val="Calibri"/>
      <family val="2"/>
    </font>
    <font>
      <sz val="8"/>
      <name val="Calibri"/>
      <family val="2"/>
    </font>
    <font>
      <sz val="10"/>
      <name val="Arial"/>
      <family val="2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0404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color rgb="FF0070C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indexed="12"/>
      <name val="Arial"/>
      <family val="2"/>
    </font>
    <font>
      <sz val="11"/>
      <color indexed="6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4" fillId="0" borderId="0"/>
    <xf numFmtId="0" fontId="7" fillId="0" borderId="0"/>
    <xf numFmtId="0" fontId="15" fillId="0" borderId="0"/>
    <xf numFmtId="0" fontId="16" fillId="0" borderId="0">
      <alignment wrapText="1"/>
    </xf>
    <xf numFmtId="0" fontId="15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7" fillId="0" borderId="0"/>
    <xf numFmtId="0" fontId="24" fillId="27" borderId="0" applyNumberFormat="0" applyBorder="0" applyAlignment="0" applyProtection="0"/>
  </cellStyleXfs>
  <cellXfs count="1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4" borderId="1" xfId="0" applyFill="1" applyBorder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1" xfId="0" applyFill="1" applyBorder="1"/>
    <xf numFmtId="0" fontId="5" fillId="0" borderId="0" xfId="1" applyNumberFormat="1" applyFont="1" applyFill="1" applyBorder="1" applyAlignment="1">
      <alignment horizontal="left" vertical="center"/>
    </xf>
    <xf numFmtId="0" fontId="8" fillId="12" borderId="2" xfId="2" applyFont="1" applyFill="1" applyBorder="1" applyAlignment="1">
      <alignment vertical="center"/>
    </xf>
    <xf numFmtId="0" fontId="0" fillId="11" borderId="0" xfId="0" applyFill="1"/>
    <xf numFmtId="0" fontId="0" fillId="13" borderId="0" xfId="0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1" fontId="0" fillId="14" borderId="0" xfId="0" applyNumberFormat="1" applyFill="1" applyAlignment="1">
      <alignment horizontal="center"/>
    </xf>
    <xf numFmtId="0" fontId="0" fillId="14" borderId="1" xfId="0" applyFill="1" applyBorder="1"/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applyFont="1"/>
    <xf numFmtId="0" fontId="6" fillId="14" borderId="0" xfId="0" applyFont="1" applyFill="1" applyAlignment="1">
      <alignment vertical="center"/>
    </xf>
    <xf numFmtId="0" fontId="13" fillId="0" borderId="0" xfId="0" applyFont="1"/>
    <xf numFmtId="166" fontId="0" fillId="13" borderId="0" xfId="0" applyNumberFormat="1" applyFill="1"/>
    <xf numFmtId="164" fontId="0" fillId="13" borderId="0" xfId="0" applyNumberFormat="1" applyFill="1"/>
    <xf numFmtId="0" fontId="18" fillId="0" borderId="0" xfId="1" applyFont="1" applyFill="1" applyBorder="1" applyAlignment="1">
      <alignment horizontal="left"/>
    </xf>
    <xf numFmtId="0" fontId="17" fillId="9" borderId="0" xfId="1" applyFont="1" applyFill="1"/>
    <xf numFmtId="0" fontId="17" fillId="17" borderId="0" xfId="1" applyFont="1" applyFill="1" applyAlignment="1">
      <alignment horizontal="center"/>
    </xf>
    <xf numFmtId="0" fontId="0" fillId="15" borderId="1" xfId="0" applyFill="1" applyBorder="1" applyAlignment="1"/>
    <xf numFmtId="0" fontId="0" fillId="15" borderId="1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/>
    <xf numFmtId="0" fontId="0" fillId="21" borderId="0" xfId="0" applyFill="1"/>
    <xf numFmtId="0" fontId="0" fillId="21" borderId="0" xfId="0" applyFill="1" applyAlignment="1">
      <alignment horizontal="center"/>
    </xf>
    <xf numFmtId="1" fontId="0" fillId="21" borderId="0" xfId="0" applyNumberFormat="1" applyFill="1" applyAlignment="1">
      <alignment horizontal="center"/>
    </xf>
    <xf numFmtId="167" fontId="0" fillId="21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21" borderId="0" xfId="0" applyFill="1" applyAlignment="1"/>
    <xf numFmtId="0" fontId="0" fillId="21" borderId="0" xfId="0" applyFill="1" applyAlignment="1">
      <alignment horizontal="left"/>
    </xf>
    <xf numFmtId="167" fontId="0" fillId="21" borderId="0" xfId="0" applyNumberFormat="1" applyFill="1" applyAlignment="1"/>
    <xf numFmtId="0" fontId="19" fillId="0" borderId="0" xfId="10" applyFont="1"/>
    <xf numFmtId="0" fontId="15" fillId="0" borderId="0" xfId="10"/>
    <xf numFmtId="0" fontId="17" fillId="22" borderId="3" xfId="10" applyFont="1" applyFill="1" applyBorder="1"/>
    <xf numFmtId="0" fontId="17" fillId="22" borderId="3" xfId="10" applyFont="1" applyFill="1" applyBorder="1" applyAlignment="1">
      <alignment horizontal="center"/>
    </xf>
    <xf numFmtId="0" fontId="17" fillId="9" borderId="3" xfId="10" applyFont="1" applyFill="1" applyBorder="1"/>
    <xf numFmtId="0" fontId="4" fillId="22" borderId="3" xfId="10" applyFont="1" applyFill="1" applyBorder="1"/>
    <xf numFmtId="0" fontId="15" fillId="19" borderId="0" xfId="10" applyFill="1" applyBorder="1"/>
    <xf numFmtId="0" fontId="15" fillId="19" borderId="0" xfId="10" applyFill="1" applyAlignment="1">
      <alignment horizontal="center"/>
    </xf>
    <xf numFmtId="0" fontId="15" fillId="19" borderId="0" xfId="10" applyFill="1" applyBorder="1" applyAlignment="1">
      <alignment horizontal="center"/>
    </xf>
    <xf numFmtId="0" fontId="20" fillId="22" borderId="3" xfId="11" applyFont="1" applyFill="1" applyBorder="1" applyAlignment="1">
      <alignment horizontal="center" vertical="center"/>
    </xf>
    <xf numFmtId="0" fontId="20" fillId="22" borderId="3" xfId="11" applyFont="1" applyFill="1" applyBorder="1" applyAlignment="1">
      <alignment horizontal="justify" vertical="center"/>
    </xf>
    <xf numFmtId="0" fontId="16" fillId="0" borderId="0" xfId="4" applyAlignment="1"/>
    <xf numFmtId="1" fontId="15" fillId="16" borderId="0" xfId="3" applyNumberFormat="1" applyFill="1" applyAlignment="1"/>
    <xf numFmtId="0" fontId="15" fillId="24" borderId="0" xfId="4" applyFont="1" applyFill="1" applyAlignment="1"/>
    <xf numFmtId="0" fontId="15" fillId="13" borderId="0" xfId="3" applyFill="1" applyAlignment="1"/>
    <xf numFmtId="0" fontId="12" fillId="13" borderId="0" xfId="7" applyFont="1" applyFill="1" applyAlignment="1"/>
    <xf numFmtId="0" fontId="12" fillId="13" borderId="0" xfId="7" applyFont="1" applyFill="1" applyAlignment="1">
      <alignment horizontal="center"/>
    </xf>
    <xf numFmtId="164" fontId="15" fillId="16" borderId="0" xfId="3" applyNumberFormat="1" applyFill="1" applyAlignment="1"/>
    <xf numFmtId="2" fontId="15" fillId="16" borderId="0" xfId="3" applyNumberFormat="1" applyFill="1" applyAlignment="1"/>
    <xf numFmtId="0" fontId="17" fillId="9" borderId="3" xfId="7" applyFont="1" applyFill="1" applyBorder="1" applyAlignment="1">
      <alignment horizontal="right"/>
    </xf>
    <xf numFmtId="0" fontId="4" fillId="22" borderId="3" xfId="7" applyFont="1" applyFill="1" applyBorder="1" applyAlignment="1"/>
    <xf numFmtId="0" fontId="17" fillId="22" borderId="3" xfId="7" applyFont="1" applyFill="1" applyBorder="1" applyAlignment="1"/>
    <xf numFmtId="0" fontId="17" fillId="22" borderId="3" xfId="7" applyFont="1" applyFill="1" applyBorder="1" applyAlignment="1">
      <alignment horizontal="center"/>
    </xf>
    <xf numFmtId="0" fontId="14" fillId="0" borderId="0" xfId="7" applyAlignment="1"/>
    <xf numFmtId="0" fontId="17" fillId="0" borderId="0" xfId="7" applyFont="1" applyAlignment="1">
      <alignment horizontal="center"/>
    </xf>
    <xf numFmtId="0" fontId="15" fillId="0" borderId="0" xfId="3" applyAlignment="1">
      <alignment horizontal="center"/>
    </xf>
    <xf numFmtId="0" fontId="18" fillId="0" borderId="0" xfId="7" applyFont="1" applyAlignment="1"/>
    <xf numFmtId="0" fontId="21" fillId="23" borderId="0" xfId="11" applyFont="1" applyFill="1" applyAlignment="1">
      <alignment wrapText="1"/>
    </xf>
    <xf numFmtId="0" fontId="21" fillId="0" borderId="0" xfId="11" applyFont="1" applyAlignment="1">
      <alignment wrapText="1"/>
    </xf>
    <xf numFmtId="0" fontId="21" fillId="0" borderId="0" xfId="11" applyFont="1" applyAlignment="1"/>
    <xf numFmtId="0" fontId="21" fillId="25" borderId="0" xfId="11" applyFont="1" applyFill="1" applyAlignment="1"/>
    <xf numFmtId="0" fontId="20" fillId="0" borderId="0" xfId="3" applyFont="1"/>
    <xf numFmtId="0" fontId="20" fillId="26" borderId="0" xfId="11" applyFont="1" applyFill="1" applyAlignment="1"/>
    <xf numFmtId="0" fontId="22" fillId="0" borderId="0" xfId="11" applyFont="1" applyAlignment="1">
      <alignment wrapText="1"/>
    </xf>
    <xf numFmtId="0" fontId="21" fillId="0" borderId="0" xfId="4" applyFont="1">
      <alignment wrapText="1"/>
    </xf>
    <xf numFmtId="0" fontId="22" fillId="23" borderId="0" xfId="11" applyFont="1" applyFill="1" applyAlignment="1">
      <alignment wrapText="1"/>
    </xf>
    <xf numFmtId="0" fontId="21" fillId="23" borderId="0" xfId="4" applyFont="1" applyFill="1">
      <alignment wrapText="1"/>
    </xf>
    <xf numFmtId="0" fontId="20" fillId="15" borderId="0" xfId="5" applyFont="1" applyFill="1" applyAlignment="1">
      <alignment horizontal="center"/>
    </xf>
    <xf numFmtId="0" fontId="23" fillId="0" borderId="0" xfId="6" applyFont="1"/>
    <xf numFmtId="0" fontId="22" fillId="0" borderId="0" xfId="11" applyFont="1" applyAlignment="1"/>
    <xf numFmtId="0" fontId="20" fillId="9" borderId="3" xfId="6" applyFont="1" applyFill="1" applyBorder="1" applyAlignment="1">
      <alignment horizontal="center"/>
    </xf>
    <xf numFmtId="0" fontId="21" fillId="0" borderId="0" xfId="4" applyFont="1" applyAlignment="1"/>
    <xf numFmtId="0" fontId="21" fillId="0" borderId="0" xfId="3" applyFont="1"/>
    <xf numFmtId="0" fontId="23" fillId="0" borderId="0" xfId="3" applyFont="1"/>
    <xf numFmtId="0" fontId="20" fillId="0" borderId="0" xfId="3" applyFont="1" applyAlignment="1">
      <alignment horizontal="center"/>
    </xf>
    <xf numFmtId="0" fontId="20" fillId="22" borderId="3" xfId="3" applyFont="1" applyFill="1" applyBorder="1"/>
    <xf numFmtId="0" fontId="20" fillId="9" borderId="3" xfId="3" applyFont="1" applyFill="1" applyBorder="1"/>
    <xf numFmtId="0" fontId="21" fillId="22" borderId="3" xfId="3" applyFont="1" applyFill="1" applyBorder="1"/>
    <xf numFmtId="0" fontId="20" fillId="0" borderId="0" xfId="11" applyFont="1" applyAlignment="1"/>
    <xf numFmtId="167" fontId="22" fillId="0" borderId="0" xfId="11" applyNumberFormat="1" applyFont="1" applyAlignment="1"/>
    <xf numFmtId="0" fontId="22" fillId="28" borderId="0" xfId="11" applyFont="1" applyFill="1" applyAlignment="1"/>
    <xf numFmtId="0" fontId="21" fillId="28" borderId="0" xfId="11" applyFont="1" applyFill="1" applyAlignment="1"/>
    <xf numFmtId="0" fontId="21" fillId="28" borderId="0" xfId="4" applyFont="1" applyFill="1">
      <alignment wrapText="1"/>
    </xf>
    <xf numFmtId="0" fontId="20" fillId="9" borderId="3" xfId="6" applyFont="1" applyFill="1" applyBorder="1" applyAlignment="1">
      <alignment horizontal="right"/>
    </xf>
  </cellXfs>
  <cellStyles count="14">
    <cellStyle name="Neutral 2" xfId="13" xr:uid="{00000000-0005-0000-0000-000000000000}"/>
    <cellStyle name="Normal" xfId="0" builtinId="0"/>
    <cellStyle name="Normal 10 2 2 2 2 2" xfId="1" xr:uid="{00000000-0005-0000-0000-000002000000}"/>
    <cellStyle name="Normal 11 2 2 3" xfId="9" xr:uid="{00000000-0005-0000-0000-000003000000}"/>
    <cellStyle name="Normal 11 2 3" xfId="7" xr:uid="{00000000-0005-0000-0000-000004000000}"/>
    <cellStyle name="Normal 19 3" xfId="6" xr:uid="{00000000-0005-0000-0000-000005000000}"/>
    <cellStyle name="Normal 2" xfId="3" xr:uid="{00000000-0005-0000-0000-000006000000}"/>
    <cellStyle name="Normal 2 2 16 2" xfId="10" xr:uid="{00000000-0005-0000-0000-000007000000}"/>
    <cellStyle name="Normal 3" xfId="4" xr:uid="{00000000-0005-0000-0000-000008000000}"/>
    <cellStyle name="Normal 3 13" xfId="5" xr:uid="{00000000-0005-0000-0000-000009000000}"/>
    <cellStyle name="Normal 3 2" xfId="11" xr:uid="{00000000-0005-0000-0000-00000A000000}"/>
    <cellStyle name="Normal 30" xfId="8" xr:uid="{00000000-0005-0000-0000-00000B000000}"/>
    <cellStyle name="Normal 4 2 3 4" xfId="2" xr:uid="{00000000-0005-0000-0000-00000C000000}"/>
    <cellStyle name="Normale_Scen_UC_IND-StrucConst" xfId="12" xr:uid="{00000000-0005-0000-0000-00000D000000}"/>
  </cellStyles>
  <dxfs count="0"/>
  <tableStyles count="0" defaultTableStyle="TableStyleMedium9" defaultPivotStyle="PivotStyleLight16"/>
  <colors>
    <mruColors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54"/>
  <sheetViews>
    <sheetView workbookViewId="0">
      <selection activeCell="N35" sqref="N35"/>
    </sheetView>
  </sheetViews>
  <sheetFormatPr defaultRowHeight="14.4" x14ac:dyDescent="0.3"/>
  <cols>
    <col min="2" max="2" width="15.6640625" customWidth="1"/>
    <col min="6" max="6" width="17.33203125" customWidth="1"/>
  </cols>
  <sheetData>
    <row r="2" spans="2:22" x14ac:dyDescent="0.3">
      <c r="B2" s="49" t="s">
        <v>8</v>
      </c>
      <c r="C2" s="49"/>
    </row>
    <row r="3" spans="2:22" x14ac:dyDescent="0.3">
      <c r="B3" s="50" t="s">
        <v>2</v>
      </c>
      <c r="C3" s="50" t="s">
        <v>1</v>
      </c>
      <c r="D3" s="51" t="s">
        <v>3</v>
      </c>
      <c r="E3" s="52" t="s">
        <v>4</v>
      </c>
      <c r="F3" s="53" t="s">
        <v>299</v>
      </c>
      <c r="G3" s="53" t="s">
        <v>410</v>
      </c>
      <c r="H3" s="53" t="s">
        <v>635</v>
      </c>
      <c r="I3" s="53" t="s">
        <v>626</v>
      </c>
      <c r="J3" s="53" t="s">
        <v>408</v>
      </c>
      <c r="K3" s="53" t="s">
        <v>557</v>
      </c>
      <c r="L3" s="53" t="s">
        <v>689</v>
      </c>
      <c r="M3" s="53" t="s">
        <v>627</v>
      </c>
      <c r="N3" s="53" t="s">
        <v>190</v>
      </c>
      <c r="O3" s="53" t="s">
        <v>192</v>
      </c>
      <c r="P3" s="53" t="s">
        <v>630</v>
      </c>
      <c r="Q3" s="53" t="s">
        <v>608</v>
      </c>
      <c r="R3" s="1" t="s">
        <v>6</v>
      </c>
      <c r="S3" s="1" t="s">
        <v>5</v>
      </c>
      <c r="T3" s="1" t="s">
        <v>58</v>
      </c>
      <c r="U3" s="1" t="s">
        <v>631</v>
      </c>
      <c r="V3" s="1" t="s">
        <v>102</v>
      </c>
    </row>
    <row r="4" spans="2:22" x14ac:dyDescent="0.3">
      <c r="B4" t="s">
        <v>720</v>
      </c>
      <c r="D4" t="s">
        <v>721</v>
      </c>
      <c r="F4" s="54">
        <v>1</v>
      </c>
      <c r="G4" s="54">
        <v>1</v>
      </c>
      <c r="H4" s="54">
        <v>1</v>
      </c>
      <c r="J4" s="54">
        <v>1</v>
      </c>
      <c r="K4" s="54">
        <v>1</v>
      </c>
      <c r="L4" s="55">
        <v>0</v>
      </c>
      <c r="M4" s="54">
        <v>1</v>
      </c>
      <c r="N4" s="55">
        <v>0</v>
      </c>
      <c r="O4" s="55">
        <v>0</v>
      </c>
      <c r="P4" s="55">
        <v>0</v>
      </c>
      <c r="Q4" s="55">
        <v>0</v>
      </c>
      <c r="R4" t="s">
        <v>722</v>
      </c>
    </row>
    <row r="5" spans="2:22" x14ac:dyDescent="0.3">
      <c r="B5" t="s">
        <v>720</v>
      </c>
      <c r="D5" t="s">
        <v>721</v>
      </c>
      <c r="F5" s="54">
        <v>1</v>
      </c>
      <c r="G5" s="54">
        <v>1</v>
      </c>
      <c r="H5" s="54">
        <v>1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4">
        <v>1</v>
      </c>
      <c r="Q5" s="55">
        <v>0</v>
      </c>
      <c r="R5" t="s">
        <v>723</v>
      </c>
    </row>
    <row r="6" spans="2:22" x14ac:dyDescent="0.3">
      <c r="B6" t="s">
        <v>720</v>
      </c>
      <c r="D6" t="s">
        <v>721</v>
      </c>
      <c r="F6" s="55">
        <v>0</v>
      </c>
      <c r="G6" s="55">
        <v>0</v>
      </c>
      <c r="H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t="s">
        <v>724</v>
      </c>
    </row>
    <row r="7" spans="2:22" x14ac:dyDescent="0.3">
      <c r="B7" s="56" t="s">
        <v>122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6"/>
      <c r="O7" s="57"/>
      <c r="P7" s="57"/>
      <c r="Q7" s="57"/>
      <c r="R7" s="57"/>
      <c r="S7" s="57"/>
      <c r="T7" s="57"/>
      <c r="U7" s="57"/>
      <c r="V7" s="57"/>
    </row>
    <row r="8" spans="2:22" x14ac:dyDescent="0.3">
      <c r="B8" s="58" t="s">
        <v>732</v>
      </c>
      <c r="C8" s="59" t="s">
        <v>9</v>
      </c>
      <c r="D8" s="59">
        <v>2030</v>
      </c>
      <c r="E8" s="59">
        <v>0.45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8" t="s">
        <v>733</v>
      </c>
      <c r="S8" s="58"/>
      <c r="T8" s="58" t="s">
        <v>444</v>
      </c>
      <c r="U8" s="58"/>
      <c r="V8" s="58"/>
    </row>
    <row r="9" spans="2:22" x14ac:dyDescent="0.3">
      <c r="B9" s="58" t="s">
        <v>734</v>
      </c>
      <c r="C9" s="59"/>
      <c r="D9" s="59"/>
      <c r="E9" s="63">
        <v>2030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8" t="s">
        <v>733</v>
      </c>
      <c r="S9" s="58"/>
      <c r="T9" s="58" t="s">
        <v>444</v>
      </c>
      <c r="U9" s="58"/>
      <c r="V9" s="58"/>
    </row>
    <row r="10" spans="2:22" x14ac:dyDescent="0.3">
      <c r="B10" s="58" t="s">
        <v>255</v>
      </c>
      <c r="C10" s="59"/>
      <c r="D10" s="59">
        <v>2050</v>
      </c>
      <c r="E10" s="59"/>
      <c r="F10" s="62">
        <v>-0.77567470845391084</v>
      </c>
      <c r="G10" s="62">
        <v>-0.87410745882058327</v>
      </c>
      <c r="H10" s="62">
        <v>-0.71075857885865035</v>
      </c>
      <c r="I10" s="59"/>
      <c r="J10" s="62">
        <v>-0.88640466451933719</v>
      </c>
      <c r="K10" s="62">
        <v>-0.87184364269963222</v>
      </c>
      <c r="L10" s="62">
        <v>-0.87410745882058327</v>
      </c>
      <c r="M10" s="62">
        <v>-0.80800000000000005</v>
      </c>
      <c r="N10" s="62">
        <v>-0.54800000000000004</v>
      </c>
      <c r="O10" s="62">
        <v>-0.74194179207607613</v>
      </c>
      <c r="P10" s="62">
        <v>-0.67800000000000005</v>
      </c>
      <c r="Q10" s="62">
        <v>-0.84146222912064106</v>
      </c>
      <c r="R10" s="59"/>
      <c r="S10" s="59"/>
      <c r="T10" s="64" t="s">
        <v>719</v>
      </c>
      <c r="U10" s="59"/>
      <c r="V10" s="65" t="s">
        <v>735</v>
      </c>
    </row>
    <row r="11" spans="2:22" x14ac:dyDescent="0.3">
      <c r="B11" s="58" t="s">
        <v>556</v>
      </c>
      <c r="C11" s="59" t="s">
        <v>9</v>
      </c>
      <c r="D11" s="59">
        <v>0</v>
      </c>
      <c r="E11" s="59">
        <v>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58"/>
      <c r="S11" s="58"/>
      <c r="T11" s="58" t="s">
        <v>727</v>
      </c>
      <c r="U11" s="58"/>
      <c r="V11" s="58"/>
    </row>
    <row r="12" spans="2:22" x14ac:dyDescent="0.3">
      <c r="B12" s="58" t="s">
        <v>729</v>
      </c>
      <c r="C12" s="59" t="s">
        <v>9</v>
      </c>
      <c r="D12" s="59">
        <v>2040</v>
      </c>
      <c r="E12" s="62">
        <v>0.6</v>
      </c>
      <c r="F12" s="61"/>
      <c r="G12" s="61"/>
      <c r="H12" s="62"/>
      <c r="I12" s="61"/>
      <c r="J12" s="61"/>
      <c r="K12" s="61"/>
      <c r="L12" s="61"/>
      <c r="M12" s="61"/>
      <c r="N12" s="61"/>
      <c r="O12" s="61"/>
      <c r="P12" s="61"/>
      <c r="Q12" s="62">
        <v>0.66700000000000004</v>
      </c>
      <c r="R12" s="66" t="s">
        <v>736</v>
      </c>
      <c r="S12" s="58"/>
      <c r="T12" s="58" t="s">
        <v>727</v>
      </c>
      <c r="U12" s="58"/>
      <c r="V12" s="58"/>
    </row>
    <row r="13" spans="2:22" x14ac:dyDescent="0.3">
      <c r="B13" s="58" t="s">
        <v>725</v>
      </c>
      <c r="C13" s="58"/>
      <c r="D13" s="59">
        <v>2020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8"/>
      <c r="P13" s="58"/>
      <c r="Q13" s="59">
        <v>18</v>
      </c>
      <c r="R13" s="58" t="s">
        <v>726</v>
      </c>
      <c r="S13" s="58"/>
      <c r="T13" s="58" t="s">
        <v>727</v>
      </c>
      <c r="U13" s="58"/>
      <c r="V13" s="58"/>
    </row>
    <row r="14" spans="2:22" x14ac:dyDescent="0.3">
      <c r="B14" s="58" t="s">
        <v>725</v>
      </c>
      <c r="C14" s="58"/>
      <c r="D14" s="59">
        <v>2050</v>
      </c>
      <c r="E14" s="59"/>
      <c r="F14" s="59"/>
      <c r="G14" s="59"/>
      <c r="H14" s="60"/>
      <c r="I14" s="59"/>
      <c r="J14" s="59"/>
      <c r="K14" s="59"/>
      <c r="L14" s="59"/>
      <c r="M14" s="59"/>
      <c r="N14" s="59"/>
      <c r="O14" s="58"/>
      <c r="P14" s="58"/>
      <c r="Q14" s="60">
        <v>16.600000000000001</v>
      </c>
      <c r="R14" s="58" t="s">
        <v>728</v>
      </c>
      <c r="S14" s="58"/>
      <c r="T14" s="58" t="s">
        <v>727</v>
      </c>
      <c r="U14" s="58"/>
      <c r="V14" s="58"/>
    </row>
    <row r="15" spans="2:22" x14ac:dyDescent="0.3">
      <c r="B15" s="58" t="s">
        <v>729</v>
      </c>
      <c r="C15" s="59" t="s">
        <v>9</v>
      </c>
      <c r="D15" s="59">
        <v>2020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8"/>
      <c r="P15" s="58"/>
      <c r="Q15" s="59">
        <v>0.25</v>
      </c>
      <c r="R15" s="58" t="s">
        <v>730</v>
      </c>
      <c r="S15" s="58"/>
      <c r="T15" s="58" t="s">
        <v>731</v>
      </c>
      <c r="U15" s="58"/>
      <c r="V15" s="58"/>
    </row>
    <row r="16" spans="2:22" x14ac:dyDescent="0.3">
      <c r="B16" s="58" t="s">
        <v>729</v>
      </c>
      <c r="C16" s="59" t="s">
        <v>9</v>
      </c>
      <c r="D16" s="59">
        <v>2040</v>
      </c>
      <c r="E16" s="59"/>
      <c r="F16" s="59"/>
      <c r="G16" s="59"/>
      <c r="H16" s="61"/>
      <c r="I16" s="59"/>
      <c r="J16" s="59"/>
      <c r="K16" s="59"/>
      <c r="L16" s="59"/>
      <c r="M16" s="59"/>
      <c r="N16" s="59"/>
      <c r="O16" s="58"/>
      <c r="P16" s="58"/>
      <c r="Q16" s="59">
        <v>0.2</v>
      </c>
      <c r="R16" s="58" t="s">
        <v>730</v>
      </c>
      <c r="S16" s="58"/>
      <c r="T16" s="58" t="s">
        <v>731</v>
      </c>
      <c r="U16" s="58"/>
      <c r="V16" s="58"/>
    </row>
    <row r="17" spans="1:22" x14ac:dyDescent="0.3">
      <c r="B17" s="58" t="s">
        <v>729</v>
      </c>
      <c r="C17" s="59" t="s">
        <v>9</v>
      </c>
      <c r="D17" s="59">
        <v>2030</v>
      </c>
      <c r="E17" s="59"/>
      <c r="F17" s="59"/>
      <c r="G17" s="59"/>
      <c r="H17" s="61"/>
      <c r="I17" s="59"/>
      <c r="J17" s="59"/>
      <c r="K17" s="59"/>
      <c r="L17" s="59"/>
      <c r="M17" s="59"/>
      <c r="N17" s="59"/>
      <c r="O17" s="58"/>
      <c r="P17" s="58"/>
      <c r="Q17" s="59">
        <v>0.8</v>
      </c>
      <c r="R17" s="58" t="s">
        <v>728</v>
      </c>
      <c r="S17" s="58"/>
      <c r="T17" s="58" t="s">
        <v>731</v>
      </c>
      <c r="U17" s="58"/>
      <c r="V17" s="58"/>
    </row>
    <row r="18" spans="1:22" x14ac:dyDescent="0.3">
      <c r="B18" s="58" t="s">
        <v>729</v>
      </c>
      <c r="C18" s="59" t="s">
        <v>123</v>
      </c>
      <c r="D18" s="59">
        <v>2018</v>
      </c>
      <c r="E18" s="59"/>
      <c r="F18" s="59"/>
      <c r="G18" s="59"/>
      <c r="H18" s="61"/>
      <c r="I18" s="59"/>
      <c r="J18" s="59"/>
      <c r="K18" s="59"/>
      <c r="L18" s="59"/>
      <c r="M18" s="59"/>
      <c r="N18" s="59"/>
      <c r="O18" s="58"/>
      <c r="P18" s="58"/>
      <c r="Q18" s="61">
        <v>0</v>
      </c>
      <c r="R18" s="58" t="s">
        <v>728</v>
      </c>
      <c r="S18" s="58"/>
      <c r="T18" s="58" t="s">
        <v>731</v>
      </c>
      <c r="U18" s="58"/>
      <c r="V18" s="58"/>
    </row>
    <row r="19" spans="1:22" x14ac:dyDescent="0.3">
      <c r="B19" s="58" t="s">
        <v>729</v>
      </c>
      <c r="C19" s="59" t="s">
        <v>123</v>
      </c>
      <c r="D19" s="59">
        <v>2040</v>
      </c>
      <c r="E19" s="59"/>
      <c r="F19" s="59"/>
      <c r="G19" s="59"/>
      <c r="H19" s="62"/>
      <c r="I19" s="59"/>
      <c r="J19" s="59"/>
      <c r="K19" s="59"/>
      <c r="L19" s="59"/>
      <c r="M19" s="59"/>
      <c r="N19" s="59"/>
      <c r="O19" s="58"/>
      <c r="P19" s="58"/>
      <c r="Q19" s="62">
        <v>0.6</v>
      </c>
      <c r="R19" s="58" t="s">
        <v>728</v>
      </c>
      <c r="S19" s="58"/>
      <c r="T19" s="58" t="s">
        <v>731</v>
      </c>
      <c r="U19" s="58"/>
      <c r="V19" s="58"/>
    </row>
    <row r="23" spans="1:22" x14ac:dyDescent="0.3">
      <c r="B23" s="67" t="s">
        <v>124</v>
      </c>
      <c r="C23" s="68"/>
      <c r="D23" s="68"/>
      <c r="E23" s="68"/>
      <c r="F23" s="68"/>
      <c r="G23" s="68"/>
      <c r="H23" s="68"/>
      <c r="I23" s="68"/>
    </row>
    <row r="24" spans="1:22" ht="15" thickBot="1" x14ac:dyDescent="0.35">
      <c r="B24" s="69" t="s">
        <v>2</v>
      </c>
      <c r="C24" s="69" t="s">
        <v>1</v>
      </c>
      <c r="D24" s="70" t="s">
        <v>3</v>
      </c>
      <c r="E24" s="69" t="s">
        <v>125</v>
      </c>
      <c r="F24" s="71" t="s">
        <v>4</v>
      </c>
      <c r="G24" s="71" t="s">
        <v>551</v>
      </c>
      <c r="H24" s="72" t="s">
        <v>6</v>
      </c>
      <c r="I24" s="72" t="s">
        <v>58</v>
      </c>
    </row>
    <row r="25" spans="1:22" x14ac:dyDescent="0.3">
      <c r="B25" s="73" t="s">
        <v>556</v>
      </c>
      <c r="C25" s="74" t="s">
        <v>123</v>
      </c>
      <c r="D25" s="74">
        <v>2030</v>
      </c>
      <c r="E25" s="75">
        <v>2020</v>
      </c>
      <c r="F25" s="74" t="s">
        <v>352</v>
      </c>
      <c r="G25" s="73"/>
      <c r="H25" s="73"/>
      <c r="I25" s="73" t="s">
        <v>560</v>
      </c>
    </row>
    <row r="26" spans="1:22" x14ac:dyDescent="0.3">
      <c r="B26" s="73"/>
      <c r="C26" s="74"/>
      <c r="D26" s="74"/>
      <c r="E26" s="74"/>
      <c r="F26" s="74"/>
      <c r="G26" s="74"/>
      <c r="H26" s="73"/>
      <c r="I26" s="73"/>
    </row>
    <row r="29" spans="1:22" x14ac:dyDescent="0.3">
      <c r="A29" s="78" t="s">
        <v>760</v>
      </c>
      <c r="B29" s="78"/>
      <c r="C29" s="78"/>
      <c r="D29" s="78"/>
      <c r="E29" s="78"/>
      <c r="F29" s="78"/>
      <c r="G29" s="78"/>
      <c r="H29" s="78"/>
    </row>
    <row r="30" spans="1:22" x14ac:dyDescent="0.3">
      <c r="A30" s="78"/>
      <c r="B30" s="78"/>
      <c r="C30" s="78"/>
      <c r="D30" s="78"/>
      <c r="E30" s="78"/>
      <c r="F30" s="78"/>
      <c r="G30" s="78"/>
      <c r="H30" s="78"/>
    </row>
    <row r="31" spans="1:22" x14ac:dyDescent="0.3">
      <c r="A31" s="78"/>
      <c r="B31" s="93" t="s">
        <v>759</v>
      </c>
      <c r="C31" s="90"/>
      <c r="D31" s="92"/>
      <c r="E31" s="90"/>
      <c r="F31" s="90"/>
      <c r="G31" s="91"/>
      <c r="H31" s="90"/>
    </row>
    <row r="32" spans="1:22" ht="15" thickBot="1" x14ac:dyDescent="0.35">
      <c r="A32" s="78"/>
      <c r="B32" s="88" t="s">
        <v>0</v>
      </c>
      <c r="C32" s="88" t="s">
        <v>1</v>
      </c>
      <c r="D32" s="89" t="s">
        <v>3</v>
      </c>
      <c r="E32" s="88" t="s">
        <v>2</v>
      </c>
      <c r="F32" s="87" t="s">
        <v>58</v>
      </c>
      <c r="G32" s="87" t="s">
        <v>6</v>
      </c>
      <c r="H32" s="86" t="s">
        <v>635</v>
      </c>
    </row>
    <row r="33" spans="1:8" x14ac:dyDescent="0.3">
      <c r="A33" s="78"/>
      <c r="B33" s="82" t="s">
        <v>10</v>
      </c>
      <c r="C33" s="83" t="s">
        <v>9</v>
      </c>
      <c r="D33" s="83">
        <v>2010</v>
      </c>
      <c r="E33" s="82" t="s">
        <v>7</v>
      </c>
      <c r="F33" s="81"/>
      <c r="G33" s="81" t="s">
        <v>758</v>
      </c>
      <c r="H33" s="79">
        <v>0</v>
      </c>
    </row>
    <row r="34" spans="1:8" x14ac:dyDescent="0.3">
      <c r="A34" s="78"/>
      <c r="B34" s="82" t="s">
        <v>10</v>
      </c>
      <c r="C34" s="83" t="s">
        <v>9</v>
      </c>
      <c r="D34" s="83">
        <v>2050</v>
      </c>
      <c r="E34" s="82" t="s">
        <v>7</v>
      </c>
      <c r="F34" s="81"/>
      <c r="G34" s="81" t="s">
        <v>758</v>
      </c>
      <c r="H34" s="79">
        <v>0</v>
      </c>
    </row>
    <row r="35" spans="1:8" x14ac:dyDescent="0.3">
      <c r="A35" s="78"/>
      <c r="B35" s="82" t="s">
        <v>10</v>
      </c>
      <c r="C35" s="83" t="s">
        <v>9</v>
      </c>
      <c r="D35" s="83">
        <v>0</v>
      </c>
      <c r="E35" s="82" t="s">
        <v>7</v>
      </c>
      <c r="F35" s="81"/>
      <c r="G35" s="81" t="s">
        <v>758</v>
      </c>
      <c r="H35" s="79">
        <v>5</v>
      </c>
    </row>
    <row r="36" spans="1:8" x14ac:dyDescent="0.3">
      <c r="A36" s="78"/>
      <c r="B36" s="82" t="s">
        <v>10</v>
      </c>
      <c r="C36" s="83" t="s">
        <v>9</v>
      </c>
      <c r="D36" s="83">
        <v>2010</v>
      </c>
      <c r="E36" s="82" t="s">
        <v>7</v>
      </c>
      <c r="F36" s="81"/>
      <c r="G36" s="80" t="s">
        <v>757</v>
      </c>
      <c r="H36" s="79">
        <v>0</v>
      </c>
    </row>
    <row r="37" spans="1:8" x14ac:dyDescent="0.3">
      <c r="A37" s="78"/>
      <c r="B37" s="82" t="s">
        <v>10</v>
      </c>
      <c r="C37" s="83" t="s">
        <v>9</v>
      </c>
      <c r="D37" s="83">
        <v>2050</v>
      </c>
      <c r="E37" s="82" t="s">
        <v>7</v>
      </c>
      <c r="F37" s="81"/>
      <c r="G37" s="80" t="s">
        <v>757</v>
      </c>
      <c r="H37" s="79">
        <v>0</v>
      </c>
    </row>
    <row r="38" spans="1:8" x14ac:dyDescent="0.3">
      <c r="A38" s="78"/>
      <c r="B38" s="82" t="s">
        <v>10</v>
      </c>
      <c r="C38" s="83" t="s">
        <v>9</v>
      </c>
      <c r="D38" s="83">
        <v>0</v>
      </c>
      <c r="E38" s="82" t="s">
        <v>7</v>
      </c>
      <c r="F38" s="81"/>
      <c r="G38" s="80" t="s">
        <v>757</v>
      </c>
      <c r="H38" s="79">
        <v>5</v>
      </c>
    </row>
    <row r="39" spans="1:8" x14ac:dyDescent="0.3">
      <c r="A39" s="78"/>
      <c r="B39" s="82" t="s">
        <v>10</v>
      </c>
      <c r="C39" s="83" t="s">
        <v>9</v>
      </c>
      <c r="D39" s="83">
        <v>2010</v>
      </c>
      <c r="E39" s="82" t="s">
        <v>7</v>
      </c>
      <c r="F39" s="81"/>
      <c r="G39" s="80" t="s">
        <v>756</v>
      </c>
      <c r="H39" s="85">
        <v>0.67239163759645226</v>
      </c>
    </row>
    <row r="40" spans="1:8" x14ac:dyDescent="0.3">
      <c r="A40" s="78"/>
      <c r="B40" s="82" t="s">
        <v>10</v>
      </c>
      <c r="C40" s="83" t="s">
        <v>9</v>
      </c>
      <c r="D40" s="83">
        <v>2015</v>
      </c>
      <c r="E40" s="82" t="s">
        <v>7</v>
      </c>
      <c r="F40" s="81"/>
      <c r="G40" s="80" t="s">
        <v>756</v>
      </c>
      <c r="H40" s="85">
        <v>0.36797947754231952</v>
      </c>
    </row>
    <row r="41" spans="1:8" x14ac:dyDescent="0.3">
      <c r="A41" s="78"/>
      <c r="B41" s="82" t="s">
        <v>10</v>
      </c>
      <c r="C41" s="83" t="s">
        <v>9</v>
      </c>
      <c r="D41" s="83">
        <v>2020</v>
      </c>
      <c r="E41" s="82" t="s">
        <v>7</v>
      </c>
      <c r="F41" s="81"/>
      <c r="G41" s="80" t="s">
        <v>756</v>
      </c>
      <c r="H41" s="85">
        <v>0.19418696590759285</v>
      </c>
    </row>
    <row r="42" spans="1:8" x14ac:dyDescent="0.3">
      <c r="A42" s="78"/>
      <c r="B42" s="82" t="s">
        <v>10</v>
      </c>
      <c r="C42" s="83" t="s">
        <v>9</v>
      </c>
      <c r="D42" s="83">
        <v>2025</v>
      </c>
      <c r="E42" s="82" t="s">
        <v>7</v>
      </c>
      <c r="F42" s="81"/>
      <c r="G42" s="80" t="s">
        <v>756</v>
      </c>
      <c r="H42" s="85">
        <v>0.12267064257588946</v>
      </c>
    </row>
    <row r="43" spans="1:8" x14ac:dyDescent="0.3">
      <c r="A43" s="78"/>
      <c r="B43" s="82" t="s">
        <v>10</v>
      </c>
      <c r="C43" s="83" t="s">
        <v>9</v>
      </c>
      <c r="D43" s="83">
        <v>2030</v>
      </c>
      <c r="E43" s="82" t="s">
        <v>7</v>
      </c>
      <c r="F43" s="81"/>
      <c r="G43" s="80" t="s">
        <v>756</v>
      </c>
      <c r="H43" s="85">
        <v>0.28011576032701324</v>
      </c>
    </row>
    <row r="44" spans="1:8" x14ac:dyDescent="0.3">
      <c r="A44" s="78"/>
      <c r="B44" s="82" t="s">
        <v>10</v>
      </c>
      <c r="C44" s="83" t="s">
        <v>9</v>
      </c>
      <c r="D44" s="83">
        <v>2040</v>
      </c>
      <c r="E44" s="82" t="s">
        <v>7</v>
      </c>
      <c r="F44" s="81"/>
      <c r="G44" s="80" t="s">
        <v>756</v>
      </c>
      <c r="H44" s="79">
        <v>0</v>
      </c>
    </row>
    <row r="45" spans="1:8" x14ac:dyDescent="0.3">
      <c r="A45" s="78"/>
      <c r="B45" s="82" t="s">
        <v>10</v>
      </c>
      <c r="C45" s="83" t="s">
        <v>9</v>
      </c>
      <c r="D45" s="83">
        <v>2050</v>
      </c>
      <c r="E45" s="82" t="s">
        <v>7</v>
      </c>
      <c r="F45" s="81"/>
      <c r="G45" s="80" t="s">
        <v>756</v>
      </c>
      <c r="H45" s="79">
        <v>0</v>
      </c>
    </row>
    <row r="46" spans="1:8" x14ac:dyDescent="0.3">
      <c r="A46" s="78"/>
      <c r="B46" s="82" t="s">
        <v>10</v>
      </c>
      <c r="C46" s="83" t="s">
        <v>9</v>
      </c>
      <c r="D46" s="83">
        <v>0</v>
      </c>
      <c r="E46" s="82" t="s">
        <v>7</v>
      </c>
      <c r="F46" s="81"/>
      <c r="G46" s="80" t="s">
        <v>756</v>
      </c>
      <c r="H46" s="79">
        <v>5</v>
      </c>
    </row>
    <row r="47" spans="1:8" x14ac:dyDescent="0.3">
      <c r="A47" s="78"/>
      <c r="B47" s="82" t="s">
        <v>10</v>
      </c>
      <c r="C47" s="83" t="s">
        <v>9</v>
      </c>
      <c r="D47" s="83">
        <v>2010</v>
      </c>
      <c r="E47" s="82" t="s">
        <v>7</v>
      </c>
      <c r="F47" s="81"/>
      <c r="G47" s="80" t="s">
        <v>755</v>
      </c>
      <c r="H47" s="84">
        <v>0.27642767422354775</v>
      </c>
    </row>
    <row r="48" spans="1:8" x14ac:dyDescent="0.3">
      <c r="A48" s="78"/>
      <c r="B48" s="82" t="s">
        <v>10</v>
      </c>
      <c r="C48" s="83" t="s">
        <v>9</v>
      </c>
      <c r="D48" s="83">
        <v>2015</v>
      </c>
      <c r="E48" s="82" t="s">
        <v>7</v>
      </c>
      <c r="F48" s="81"/>
      <c r="G48" s="80" t="s">
        <v>755</v>
      </c>
      <c r="H48" s="84">
        <v>0.35951169629768032</v>
      </c>
    </row>
    <row r="49" spans="1:8" x14ac:dyDescent="0.3">
      <c r="A49" s="78"/>
      <c r="B49" s="82" t="s">
        <v>10</v>
      </c>
      <c r="C49" s="83" t="s">
        <v>9</v>
      </c>
      <c r="D49" s="83">
        <v>2020</v>
      </c>
      <c r="E49" s="82" t="s">
        <v>7</v>
      </c>
      <c r="F49" s="81"/>
      <c r="G49" s="80" t="s">
        <v>755</v>
      </c>
      <c r="H49" s="84">
        <v>0.42850966039240712</v>
      </c>
    </row>
    <row r="50" spans="1:8" x14ac:dyDescent="0.3">
      <c r="A50" s="78"/>
      <c r="B50" s="82" t="s">
        <v>10</v>
      </c>
      <c r="C50" s="83" t="s">
        <v>9</v>
      </c>
      <c r="D50" s="83">
        <v>2025</v>
      </c>
      <c r="E50" s="82" t="s">
        <v>7</v>
      </c>
      <c r="F50" s="81"/>
      <c r="G50" s="80" t="s">
        <v>755</v>
      </c>
      <c r="H50" s="84">
        <v>0.53680838791411067</v>
      </c>
    </row>
    <row r="51" spans="1:8" x14ac:dyDescent="0.3">
      <c r="A51" s="78"/>
      <c r="B51" s="82" t="s">
        <v>10</v>
      </c>
      <c r="C51" s="83" t="s">
        <v>9</v>
      </c>
      <c r="D51" s="83">
        <v>2030</v>
      </c>
      <c r="E51" s="82" t="s">
        <v>7</v>
      </c>
      <c r="F51" s="81"/>
      <c r="G51" s="80" t="s">
        <v>755</v>
      </c>
      <c r="H51" s="84">
        <v>0.32634717723298656</v>
      </c>
    </row>
    <row r="52" spans="1:8" x14ac:dyDescent="0.3">
      <c r="A52" s="78"/>
      <c r="B52" s="82" t="s">
        <v>10</v>
      </c>
      <c r="C52" s="83" t="s">
        <v>9</v>
      </c>
      <c r="D52" s="83">
        <v>2040</v>
      </c>
      <c r="E52" s="82" t="s">
        <v>7</v>
      </c>
      <c r="F52" s="81"/>
      <c r="G52" s="80" t="s">
        <v>755</v>
      </c>
      <c r="H52" s="84">
        <v>0.50538578129999989</v>
      </c>
    </row>
    <row r="53" spans="1:8" ht="13.95" customHeight="1" x14ac:dyDescent="0.3">
      <c r="A53" s="78"/>
      <c r="B53" s="82" t="s">
        <v>10</v>
      </c>
      <c r="C53" s="83" t="s">
        <v>9</v>
      </c>
      <c r="D53" s="83">
        <v>2050</v>
      </c>
      <c r="E53" s="82" t="s">
        <v>7</v>
      </c>
      <c r="F53" s="81"/>
      <c r="G53" s="80" t="s">
        <v>755</v>
      </c>
      <c r="H53" s="84">
        <v>0.50538578129999989</v>
      </c>
    </row>
    <row r="54" spans="1:8" x14ac:dyDescent="0.3">
      <c r="A54" s="78"/>
      <c r="B54" s="82" t="s">
        <v>10</v>
      </c>
      <c r="C54" s="83" t="s">
        <v>9</v>
      </c>
      <c r="D54" s="83">
        <v>0</v>
      </c>
      <c r="E54" s="82" t="s">
        <v>7</v>
      </c>
      <c r="F54" s="81"/>
      <c r="G54" s="80" t="s">
        <v>755</v>
      </c>
      <c r="H54" s="7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4"/>
  <sheetViews>
    <sheetView topLeftCell="C4" zoomScale="115" zoomScaleNormal="115" workbookViewId="0">
      <selection activeCell="D35" sqref="D35"/>
    </sheetView>
  </sheetViews>
  <sheetFormatPr defaultRowHeight="14.4" x14ac:dyDescent="0.3"/>
  <cols>
    <col min="3" max="3" width="14.109375" customWidth="1"/>
    <col min="4" max="4" width="9.44140625" customWidth="1"/>
    <col min="7" max="7" width="28.88671875" bestFit="1" customWidth="1"/>
    <col min="8" max="8" width="10.44140625" bestFit="1" customWidth="1"/>
    <col min="46" max="54" width="0" hidden="1" customWidth="1"/>
  </cols>
  <sheetData>
    <row r="2" spans="1:19" x14ac:dyDescent="0.3">
      <c r="C2" t="s">
        <v>11</v>
      </c>
    </row>
    <row r="3" spans="1:19" x14ac:dyDescent="0.3">
      <c r="A3" s="3"/>
      <c r="B3" s="3"/>
      <c r="E3" s="3"/>
      <c r="F3" s="3"/>
      <c r="H3" s="3"/>
      <c r="L3" s="31" t="s">
        <v>433</v>
      </c>
      <c r="M3" s="31"/>
      <c r="N3" s="31"/>
    </row>
    <row r="4" spans="1:19" x14ac:dyDescent="0.3">
      <c r="A4" s="7" t="s">
        <v>8</v>
      </c>
      <c r="L4" t="s">
        <v>105</v>
      </c>
    </row>
    <row r="5" spans="1:19" x14ac:dyDescent="0.3">
      <c r="A5" s="1" t="s">
        <v>0</v>
      </c>
      <c r="B5" s="1" t="s">
        <v>1</v>
      </c>
      <c r="C5" s="1" t="s">
        <v>2</v>
      </c>
      <c r="D5" s="1" t="s">
        <v>360</v>
      </c>
      <c r="E5" s="6" t="s">
        <v>3</v>
      </c>
      <c r="F5" s="2" t="s">
        <v>4</v>
      </c>
      <c r="G5" s="1" t="s">
        <v>102</v>
      </c>
      <c r="L5" t="s">
        <v>106</v>
      </c>
    </row>
    <row r="6" spans="1:19" x14ac:dyDescent="0.3">
      <c r="A6" s="10"/>
      <c r="B6" s="10" t="s">
        <v>121</v>
      </c>
      <c r="C6" s="10" t="s">
        <v>104</v>
      </c>
      <c r="D6" s="11"/>
      <c r="E6" s="11" t="s">
        <v>101</v>
      </c>
      <c r="F6" s="11">
        <v>1</v>
      </c>
      <c r="G6" s="10" t="s">
        <v>105</v>
      </c>
      <c r="I6" t="s">
        <v>577</v>
      </c>
      <c r="L6" t="s">
        <v>107</v>
      </c>
    </row>
    <row r="7" spans="1:19" x14ac:dyDescent="0.3">
      <c r="A7" s="10"/>
      <c r="B7" s="10" t="s">
        <v>121</v>
      </c>
      <c r="C7" s="10" t="s">
        <v>104</v>
      </c>
      <c r="D7" s="11"/>
      <c r="E7" s="11" t="s">
        <v>101</v>
      </c>
      <c r="F7" s="11">
        <v>5</v>
      </c>
      <c r="G7" s="10" t="s">
        <v>106</v>
      </c>
      <c r="I7" t="s">
        <v>577</v>
      </c>
      <c r="L7" t="s">
        <v>108</v>
      </c>
    </row>
    <row r="8" spans="1:19" x14ac:dyDescent="0.3">
      <c r="A8" s="10"/>
      <c r="B8" s="10" t="s">
        <v>121</v>
      </c>
      <c r="C8" s="10" t="s">
        <v>104</v>
      </c>
      <c r="D8" s="11"/>
      <c r="E8" s="11" t="s">
        <v>101</v>
      </c>
      <c r="F8" s="11">
        <v>5</v>
      </c>
      <c r="G8" s="10" t="s">
        <v>107</v>
      </c>
      <c r="I8" t="s">
        <v>577</v>
      </c>
      <c r="L8" t="s">
        <v>109</v>
      </c>
    </row>
    <row r="9" spans="1:19" x14ac:dyDescent="0.3">
      <c r="A9" s="10"/>
      <c r="B9" s="10" t="s">
        <v>121</v>
      </c>
      <c r="C9" s="10" t="s">
        <v>104</v>
      </c>
      <c r="D9" s="11"/>
      <c r="E9" s="11" t="s">
        <v>101</v>
      </c>
      <c r="F9" s="11">
        <v>5</v>
      </c>
      <c r="G9" s="10" t="s">
        <v>108</v>
      </c>
      <c r="I9" t="s">
        <v>577</v>
      </c>
      <c r="L9" t="s">
        <v>110</v>
      </c>
    </row>
    <row r="10" spans="1:19" x14ac:dyDescent="0.3">
      <c r="A10" s="10"/>
      <c r="B10" s="10" t="s">
        <v>121</v>
      </c>
      <c r="C10" s="10" t="s">
        <v>104</v>
      </c>
      <c r="D10" s="11"/>
      <c r="E10" s="11" t="s">
        <v>101</v>
      </c>
      <c r="F10" s="11">
        <v>5</v>
      </c>
      <c r="G10" s="10" t="s">
        <v>109</v>
      </c>
      <c r="I10" t="s">
        <v>577</v>
      </c>
      <c r="L10" t="s">
        <v>111</v>
      </c>
    </row>
    <row r="11" spans="1:19" x14ac:dyDescent="0.3">
      <c r="A11" s="10"/>
      <c r="B11" s="10" t="s">
        <v>123</v>
      </c>
      <c r="C11" s="10" t="s">
        <v>104</v>
      </c>
      <c r="D11" s="11"/>
      <c r="E11" s="11" t="s">
        <v>101</v>
      </c>
      <c r="F11" s="11">
        <v>5</v>
      </c>
      <c r="G11" s="10" t="s">
        <v>110</v>
      </c>
      <c r="I11" t="s">
        <v>577</v>
      </c>
      <c r="L11" t="s">
        <v>112</v>
      </c>
    </row>
    <row r="12" spans="1:19" x14ac:dyDescent="0.3">
      <c r="A12" s="10"/>
      <c r="B12" s="10" t="s">
        <v>121</v>
      </c>
      <c r="C12" s="10" t="s">
        <v>104</v>
      </c>
      <c r="D12" s="11"/>
      <c r="E12" s="11" t="s">
        <v>101</v>
      </c>
      <c r="F12" s="11">
        <v>5</v>
      </c>
      <c r="G12" s="10" t="s">
        <v>434</v>
      </c>
      <c r="I12" t="s">
        <v>577</v>
      </c>
      <c r="L12" t="s">
        <v>113</v>
      </c>
    </row>
    <row r="13" spans="1:19" x14ac:dyDescent="0.3">
      <c r="A13" s="10"/>
      <c r="B13" s="10" t="s">
        <v>123</v>
      </c>
      <c r="C13" s="10" t="s">
        <v>104</v>
      </c>
      <c r="D13" s="11"/>
      <c r="E13" s="11" t="s">
        <v>101</v>
      </c>
      <c r="F13" s="11">
        <v>5</v>
      </c>
      <c r="G13" s="10" t="s">
        <v>435</v>
      </c>
      <c r="I13" t="s">
        <v>577</v>
      </c>
      <c r="L13" s="31" t="s">
        <v>114</v>
      </c>
      <c r="M13" s="31"/>
      <c r="N13" s="31"/>
      <c r="P13" s="31" t="s">
        <v>585</v>
      </c>
      <c r="Q13" s="31"/>
      <c r="R13" s="31"/>
    </row>
    <row r="14" spans="1:19" x14ac:dyDescent="0.3">
      <c r="A14" s="10"/>
      <c r="B14" s="10" t="s">
        <v>123</v>
      </c>
      <c r="C14" s="10" t="s">
        <v>104</v>
      </c>
      <c r="D14" s="11"/>
      <c r="E14" s="11" t="s">
        <v>101</v>
      </c>
      <c r="F14" s="11">
        <v>5</v>
      </c>
      <c r="G14" s="10" t="s">
        <v>436</v>
      </c>
      <c r="I14" t="s">
        <v>577</v>
      </c>
      <c r="L14" t="s">
        <v>115</v>
      </c>
      <c r="P14" t="s">
        <v>115</v>
      </c>
      <c r="S14" t="s">
        <v>586</v>
      </c>
    </row>
    <row r="15" spans="1:19" x14ac:dyDescent="0.3">
      <c r="A15" s="10"/>
      <c r="B15" s="10" t="s">
        <v>123</v>
      </c>
      <c r="C15" s="10" t="s">
        <v>104</v>
      </c>
      <c r="D15" s="11"/>
      <c r="E15" s="11" t="s">
        <v>101</v>
      </c>
      <c r="F15" s="11">
        <v>5</v>
      </c>
      <c r="G15" s="10" t="s">
        <v>115</v>
      </c>
      <c r="I15" t="s">
        <v>588</v>
      </c>
      <c r="L15" t="s">
        <v>116</v>
      </c>
      <c r="P15" t="s">
        <v>116</v>
      </c>
      <c r="S15" t="s">
        <v>586</v>
      </c>
    </row>
    <row r="16" spans="1:19" x14ac:dyDescent="0.3">
      <c r="A16" s="10"/>
      <c r="B16" s="10" t="s">
        <v>123</v>
      </c>
      <c r="C16" s="10" t="s">
        <v>104</v>
      </c>
      <c r="D16" s="11"/>
      <c r="E16" s="11" t="s">
        <v>101</v>
      </c>
      <c r="F16" s="11">
        <v>5</v>
      </c>
      <c r="G16" s="10" t="s">
        <v>116</v>
      </c>
      <c r="I16" t="s">
        <v>588</v>
      </c>
      <c r="L16" t="s">
        <v>117</v>
      </c>
      <c r="P16" t="s">
        <v>579</v>
      </c>
      <c r="S16" t="s">
        <v>586</v>
      </c>
    </row>
    <row r="17" spans="1:19" x14ac:dyDescent="0.3">
      <c r="A17" s="10"/>
      <c r="B17" s="10" t="s">
        <v>123</v>
      </c>
      <c r="C17" s="10" t="s">
        <v>104</v>
      </c>
      <c r="D17" s="11"/>
      <c r="E17" s="11" t="s">
        <v>101</v>
      </c>
      <c r="F17" s="11">
        <v>1</v>
      </c>
      <c r="G17" s="10" t="s">
        <v>117</v>
      </c>
      <c r="I17" t="s">
        <v>578</v>
      </c>
      <c r="L17" t="s">
        <v>118</v>
      </c>
      <c r="P17" t="s">
        <v>580</v>
      </c>
      <c r="S17" t="s">
        <v>586</v>
      </c>
    </row>
    <row r="18" spans="1:19" x14ac:dyDescent="0.3">
      <c r="A18" s="10"/>
      <c r="B18" s="10" t="s">
        <v>123</v>
      </c>
      <c r="C18" s="10" t="s">
        <v>104</v>
      </c>
      <c r="D18" s="11"/>
      <c r="E18" s="11" t="s">
        <v>101</v>
      </c>
      <c r="F18" s="11">
        <v>5</v>
      </c>
      <c r="G18" s="10" t="s">
        <v>118</v>
      </c>
      <c r="I18" t="s">
        <v>588</v>
      </c>
      <c r="L18" t="s">
        <v>119</v>
      </c>
      <c r="P18" t="s">
        <v>581</v>
      </c>
      <c r="S18" t="s">
        <v>587</v>
      </c>
    </row>
    <row r="19" spans="1:19" x14ac:dyDescent="0.3">
      <c r="A19" s="10"/>
      <c r="B19" s="10" t="s">
        <v>123</v>
      </c>
      <c r="C19" s="10" t="s">
        <v>104</v>
      </c>
      <c r="D19" s="11"/>
      <c r="E19" s="11" t="s">
        <v>101</v>
      </c>
      <c r="F19" s="11">
        <v>1</v>
      </c>
      <c r="G19" s="10" t="s">
        <v>119</v>
      </c>
      <c r="I19" t="s">
        <v>578</v>
      </c>
      <c r="L19" t="s">
        <v>120</v>
      </c>
      <c r="P19" t="s">
        <v>582</v>
      </c>
      <c r="S19" t="s">
        <v>587</v>
      </c>
    </row>
    <row r="20" spans="1:19" x14ac:dyDescent="0.3">
      <c r="A20" s="10"/>
      <c r="B20" s="10" t="s">
        <v>123</v>
      </c>
      <c r="C20" s="10" t="s">
        <v>104</v>
      </c>
      <c r="D20" s="11"/>
      <c r="E20" s="11" t="s">
        <v>101</v>
      </c>
      <c r="F20" s="11">
        <v>1</v>
      </c>
      <c r="G20" s="10" t="s">
        <v>120</v>
      </c>
      <c r="I20" t="s">
        <v>578</v>
      </c>
      <c r="P20" t="s">
        <v>583</v>
      </c>
      <c r="S20" t="s">
        <v>587</v>
      </c>
    </row>
    <row r="21" spans="1:19" x14ac:dyDescent="0.3">
      <c r="A21" s="10"/>
      <c r="B21" s="10" t="s">
        <v>123</v>
      </c>
      <c r="C21" s="10" t="s">
        <v>104</v>
      </c>
      <c r="D21" s="11"/>
      <c r="E21" s="11" t="s">
        <v>101</v>
      </c>
      <c r="F21" s="11">
        <v>5</v>
      </c>
      <c r="G21" s="10" t="s">
        <v>579</v>
      </c>
      <c r="I21" t="s">
        <v>589</v>
      </c>
      <c r="L21" s="4" t="s">
        <v>487</v>
      </c>
      <c r="P21" t="s">
        <v>584</v>
      </c>
      <c r="S21" t="s">
        <v>587</v>
      </c>
    </row>
    <row r="22" spans="1:19" x14ac:dyDescent="0.3">
      <c r="A22" s="10"/>
      <c r="B22" s="10" t="s">
        <v>123</v>
      </c>
      <c r="C22" s="10" t="s">
        <v>104</v>
      </c>
      <c r="D22" s="11"/>
      <c r="E22" s="11" t="s">
        <v>101</v>
      </c>
      <c r="F22" s="11">
        <v>5</v>
      </c>
      <c r="G22" s="10" t="s">
        <v>580</v>
      </c>
      <c r="I22" t="s">
        <v>589</v>
      </c>
      <c r="L22" t="s">
        <v>434</v>
      </c>
      <c r="P22" t="s">
        <v>118</v>
      </c>
      <c r="S22" t="s">
        <v>586</v>
      </c>
    </row>
    <row r="23" spans="1:19" x14ac:dyDescent="0.3">
      <c r="A23" s="10"/>
      <c r="B23" s="10" t="s">
        <v>123</v>
      </c>
      <c r="C23" s="10" t="s">
        <v>103</v>
      </c>
      <c r="D23" s="11"/>
      <c r="E23" s="11" t="s">
        <v>101</v>
      </c>
      <c r="F23" s="11">
        <v>5</v>
      </c>
      <c r="G23" s="10" t="s">
        <v>581</v>
      </c>
      <c r="I23" t="s">
        <v>589</v>
      </c>
      <c r="L23" t="s">
        <v>435</v>
      </c>
      <c r="P23" t="s">
        <v>590</v>
      </c>
      <c r="S23" t="s">
        <v>586</v>
      </c>
    </row>
    <row r="24" spans="1:19" x14ac:dyDescent="0.3">
      <c r="A24" s="10"/>
      <c r="B24" s="10" t="s">
        <v>123</v>
      </c>
      <c r="C24" s="10" t="s">
        <v>103</v>
      </c>
      <c r="D24" s="11"/>
      <c r="E24" s="11" t="s">
        <v>101</v>
      </c>
      <c r="F24" s="11">
        <v>5</v>
      </c>
      <c r="G24" s="10" t="s">
        <v>582</v>
      </c>
      <c r="I24" t="s">
        <v>589</v>
      </c>
      <c r="L24" t="s">
        <v>436</v>
      </c>
    </row>
    <row r="25" spans="1:19" x14ac:dyDescent="0.3">
      <c r="A25" s="10"/>
      <c r="B25" s="10" t="s">
        <v>123</v>
      </c>
      <c r="C25" s="10" t="s">
        <v>103</v>
      </c>
      <c r="D25" s="11"/>
      <c r="E25" s="11" t="s">
        <v>101</v>
      </c>
      <c r="F25" s="11">
        <v>5</v>
      </c>
      <c r="G25" s="10" t="s">
        <v>583</v>
      </c>
      <c r="I25" t="s">
        <v>589</v>
      </c>
    </row>
    <row r="26" spans="1:19" x14ac:dyDescent="0.3">
      <c r="A26" s="10"/>
      <c r="B26" s="10" t="s">
        <v>123</v>
      </c>
      <c r="C26" s="10" t="s">
        <v>103</v>
      </c>
      <c r="D26" s="11"/>
      <c r="E26" s="11" t="s">
        <v>101</v>
      </c>
      <c r="F26" s="11">
        <v>5</v>
      </c>
      <c r="G26" s="10" t="s">
        <v>584</v>
      </c>
      <c r="I26" t="s">
        <v>589</v>
      </c>
    </row>
    <row r="27" spans="1:19" x14ac:dyDescent="0.3">
      <c r="A27" s="10"/>
      <c r="B27" s="10" t="s">
        <v>123</v>
      </c>
      <c r="C27" s="10" t="s">
        <v>104</v>
      </c>
      <c r="D27" s="11"/>
      <c r="E27" s="11" t="s">
        <v>101</v>
      </c>
      <c r="F27" s="11">
        <v>1</v>
      </c>
      <c r="G27" s="10" t="s">
        <v>590</v>
      </c>
      <c r="I27" t="s">
        <v>589</v>
      </c>
    </row>
    <row r="28" spans="1:19" x14ac:dyDescent="0.3">
      <c r="A28" s="29"/>
      <c r="B28" s="29" t="s">
        <v>121</v>
      </c>
      <c r="C28" s="29" t="s">
        <v>104</v>
      </c>
      <c r="D28" s="30"/>
      <c r="E28" s="30">
        <v>2020</v>
      </c>
      <c r="F28" s="30">
        <v>0</v>
      </c>
      <c r="G28" s="29" t="s">
        <v>106</v>
      </c>
      <c r="I28" t="s">
        <v>577</v>
      </c>
    </row>
    <row r="29" spans="1:19" x14ac:dyDescent="0.3">
      <c r="A29" s="29"/>
      <c r="B29" s="29" t="s">
        <v>121</v>
      </c>
      <c r="C29" s="29" t="s">
        <v>104</v>
      </c>
      <c r="D29" s="30"/>
      <c r="E29" s="30">
        <v>2020</v>
      </c>
      <c r="F29" s="30">
        <v>0</v>
      </c>
      <c r="G29" s="29" t="s">
        <v>107</v>
      </c>
      <c r="I29" t="s">
        <v>577</v>
      </c>
    </row>
    <row r="30" spans="1:19" x14ac:dyDescent="0.3">
      <c r="A30" s="29"/>
      <c r="B30" s="29" t="s">
        <v>121</v>
      </c>
      <c r="C30" s="29" t="s">
        <v>104</v>
      </c>
      <c r="D30" s="30"/>
      <c r="E30" s="30">
        <v>2020</v>
      </c>
      <c r="F30" s="30">
        <v>0</v>
      </c>
      <c r="G30" s="29" t="s">
        <v>108</v>
      </c>
      <c r="I30" t="s">
        <v>577</v>
      </c>
    </row>
    <row r="31" spans="1:19" x14ac:dyDescent="0.3">
      <c r="A31" s="29"/>
      <c r="B31" s="29" t="s">
        <v>121</v>
      </c>
      <c r="C31" s="29" t="s">
        <v>104</v>
      </c>
      <c r="D31" s="30"/>
      <c r="E31" s="30">
        <v>2020</v>
      </c>
      <c r="F31" s="30">
        <v>0</v>
      </c>
      <c r="G31" s="29" t="s">
        <v>109</v>
      </c>
      <c r="I31" t="s">
        <v>577</v>
      </c>
    </row>
    <row r="32" spans="1:19" x14ac:dyDescent="0.3">
      <c r="A32" s="29"/>
      <c r="B32" s="29" t="s">
        <v>123</v>
      </c>
      <c r="C32" s="29" t="s">
        <v>104</v>
      </c>
      <c r="D32" s="30"/>
      <c r="E32" s="30">
        <v>2020</v>
      </c>
      <c r="F32" s="30">
        <v>0</v>
      </c>
      <c r="G32" s="29" t="s">
        <v>110</v>
      </c>
      <c r="I32" t="s">
        <v>577</v>
      </c>
    </row>
    <row r="33" spans="1:9" x14ac:dyDescent="0.3">
      <c r="A33" s="10"/>
      <c r="B33" s="10" t="s">
        <v>121</v>
      </c>
      <c r="C33" s="10" t="s">
        <v>104</v>
      </c>
      <c r="D33" s="11"/>
      <c r="E33" s="11">
        <v>2020</v>
      </c>
      <c r="F33" s="11">
        <v>0</v>
      </c>
      <c r="G33" s="10" t="s">
        <v>434</v>
      </c>
      <c r="I33" t="s">
        <v>577</v>
      </c>
    </row>
    <row r="34" spans="1:9" x14ac:dyDescent="0.3">
      <c r="A34" s="10"/>
      <c r="B34" s="10" t="s">
        <v>123</v>
      </c>
      <c r="C34" s="10" t="s">
        <v>104</v>
      </c>
      <c r="D34" s="11"/>
      <c r="E34" s="11">
        <v>2020</v>
      </c>
      <c r="F34" s="11">
        <v>0</v>
      </c>
      <c r="G34" s="10" t="s">
        <v>435</v>
      </c>
      <c r="I34" t="s">
        <v>577</v>
      </c>
    </row>
    <row r="35" spans="1:9" x14ac:dyDescent="0.3">
      <c r="A35" s="10"/>
      <c r="B35" s="10" t="s">
        <v>123</v>
      </c>
      <c r="C35" s="10" t="s">
        <v>104</v>
      </c>
      <c r="D35" s="11"/>
      <c r="E35" s="11">
        <v>2020</v>
      </c>
      <c r="F35" s="11">
        <v>0</v>
      </c>
      <c r="G35" s="10" t="s">
        <v>436</v>
      </c>
      <c r="I35" t="s">
        <v>577</v>
      </c>
    </row>
    <row r="36" spans="1:9" x14ac:dyDescent="0.3">
      <c r="A36" s="10"/>
      <c r="B36" s="10" t="s">
        <v>123</v>
      </c>
      <c r="C36" s="10" t="s">
        <v>104</v>
      </c>
      <c r="D36" s="11"/>
      <c r="E36" s="11">
        <v>2020</v>
      </c>
      <c r="F36" s="11">
        <v>0</v>
      </c>
      <c r="G36" s="10" t="s">
        <v>115</v>
      </c>
      <c r="I36" t="s">
        <v>588</v>
      </c>
    </row>
    <row r="37" spans="1:9" x14ac:dyDescent="0.3">
      <c r="A37" s="10"/>
      <c r="B37" s="10" t="s">
        <v>123</v>
      </c>
      <c r="C37" s="10" t="s">
        <v>104</v>
      </c>
      <c r="D37" s="11"/>
      <c r="E37" s="11">
        <v>2020</v>
      </c>
      <c r="F37" s="11">
        <v>0</v>
      </c>
      <c r="G37" s="10" t="s">
        <v>116</v>
      </c>
      <c r="I37" t="s">
        <v>588</v>
      </c>
    </row>
    <row r="38" spans="1:9" x14ac:dyDescent="0.3">
      <c r="A38" s="10"/>
      <c r="B38" s="10" t="s">
        <v>123</v>
      </c>
      <c r="C38" s="10" t="s">
        <v>104</v>
      </c>
      <c r="D38" s="11"/>
      <c r="E38" s="11">
        <v>2020</v>
      </c>
      <c r="F38" s="11">
        <v>0</v>
      </c>
      <c r="G38" s="10" t="s">
        <v>579</v>
      </c>
      <c r="I38" t="s">
        <v>589</v>
      </c>
    </row>
    <row r="39" spans="1:9" x14ac:dyDescent="0.3">
      <c r="A39" s="10"/>
      <c r="B39" s="10" t="s">
        <v>123</v>
      </c>
      <c r="C39" s="10" t="s">
        <v>104</v>
      </c>
      <c r="D39" s="11"/>
      <c r="E39" s="11">
        <v>2020</v>
      </c>
      <c r="F39" s="11">
        <v>0</v>
      </c>
      <c r="G39" s="10" t="s">
        <v>580</v>
      </c>
      <c r="I39" t="s">
        <v>589</v>
      </c>
    </row>
    <row r="40" spans="1:9" x14ac:dyDescent="0.3">
      <c r="A40" s="10"/>
      <c r="B40" s="10" t="s">
        <v>123</v>
      </c>
      <c r="C40" s="10" t="s">
        <v>103</v>
      </c>
      <c r="D40" s="11"/>
      <c r="E40" s="11">
        <v>2020</v>
      </c>
      <c r="F40" s="11">
        <v>0</v>
      </c>
      <c r="G40" s="10" t="s">
        <v>581</v>
      </c>
      <c r="I40" t="s">
        <v>589</v>
      </c>
    </row>
    <row r="41" spans="1:9" x14ac:dyDescent="0.3">
      <c r="A41" s="10"/>
      <c r="B41" s="10" t="s">
        <v>123</v>
      </c>
      <c r="C41" s="10" t="s">
        <v>103</v>
      </c>
      <c r="D41" s="11"/>
      <c r="E41" s="11">
        <v>2020</v>
      </c>
      <c r="F41" s="11">
        <v>0</v>
      </c>
      <c r="G41" s="10" t="s">
        <v>582</v>
      </c>
      <c r="I41" t="s">
        <v>589</v>
      </c>
    </row>
    <row r="42" spans="1:9" x14ac:dyDescent="0.3">
      <c r="A42" s="10"/>
      <c r="B42" s="10" t="s">
        <v>123</v>
      </c>
      <c r="C42" s="10" t="s">
        <v>103</v>
      </c>
      <c r="D42" s="11"/>
      <c r="E42" s="11">
        <v>2020</v>
      </c>
      <c r="F42" s="11">
        <v>0</v>
      </c>
      <c r="G42" s="10" t="s">
        <v>583</v>
      </c>
      <c r="I42" t="s">
        <v>589</v>
      </c>
    </row>
    <row r="43" spans="1:9" x14ac:dyDescent="0.3">
      <c r="A43" s="10"/>
      <c r="B43" s="10" t="s">
        <v>123</v>
      </c>
      <c r="C43" s="10" t="s">
        <v>103</v>
      </c>
      <c r="D43" s="11"/>
      <c r="E43" s="11">
        <v>2020</v>
      </c>
      <c r="F43" s="11">
        <v>0</v>
      </c>
      <c r="G43" s="10" t="s">
        <v>584</v>
      </c>
      <c r="I43" t="s">
        <v>589</v>
      </c>
    </row>
    <row r="44" spans="1:9" x14ac:dyDescent="0.3">
      <c r="A44" s="10"/>
      <c r="B44" s="10" t="s">
        <v>123</v>
      </c>
      <c r="C44" s="10" t="s">
        <v>104</v>
      </c>
      <c r="D44" s="11"/>
      <c r="E44" s="11">
        <v>2020</v>
      </c>
      <c r="F44" s="11">
        <v>0</v>
      </c>
      <c r="G44" s="10" t="s">
        <v>118</v>
      </c>
      <c r="I44" t="s">
        <v>588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91"/>
  <sheetViews>
    <sheetView workbookViewId="0"/>
  </sheetViews>
  <sheetFormatPr defaultRowHeight="14.4" x14ac:dyDescent="0.3"/>
  <cols>
    <col min="4" max="4" width="11.33203125" customWidth="1"/>
  </cols>
  <sheetData>
    <row r="1" spans="2:24" x14ac:dyDescent="0.3">
      <c r="P1" s="4" t="s">
        <v>55</v>
      </c>
    </row>
    <row r="2" spans="2:24" x14ac:dyDescent="0.3">
      <c r="P2" t="s">
        <v>53</v>
      </c>
    </row>
    <row r="3" spans="2:24" x14ac:dyDescent="0.3">
      <c r="B3" s="7" t="s">
        <v>8</v>
      </c>
      <c r="P3" t="s">
        <v>54</v>
      </c>
    </row>
    <row r="4" spans="2:24" x14ac:dyDescent="0.3">
      <c r="B4" s="1" t="s">
        <v>0</v>
      </c>
      <c r="C4" s="1" t="s">
        <v>1</v>
      </c>
      <c r="D4" s="1" t="s">
        <v>2</v>
      </c>
      <c r="E4" s="6" t="s">
        <v>3</v>
      </c>
      <c r="F4" s="2" t="s">
        <v>4</v>
      </c>
      <c r="G4" s="1" t="s">
        <v>5</v>
      </c>
      <c r="H4" s="1" t="s">
        <v>6</v>
      </c>
      <c r="I4" s="1" t="s">
        <v>357</v>
      </c>
      <c r="J4" s="1" t="s">
        <v>59</v>
      </c>
      <c r="K4" s="1" t="s">
        <v>102</v>
      </c>
      <c r="L4" s="1"/>
      <c r="M4" s="1"/>
      <c r="P4" t="s">
        <v>52</v>
      </c>
      <c r="T4" t="s">
        <v>60</v>
      </c>
      <c r="X4" t="s">
        <v>126</v>
      </c>
    </row>
    <row r="5" spans="2:24" x14ac:dyDescent="0.3">
      <c r="B5" s="10"/>
      <c r="C5" s="10" t="s">
        <v>121</v>
      </c>
      <c r="D5" s="10" t="s">
        <v>103</v>
      </c>
      <c r="E5" s="11" t="s">
        <v>101</v>
      </c>
      <c r="F5" s="11">
        <v>1</v>
      </c>
      <c r="G5" s="10"/>
      <c r="H5" s="10"/>
      <c r="I5" s="10"/>
      <c r="J5" s="11"/>
      <c r="K5" s="20" t="s">
        <v>60</v>
      </c>
      <c r="L5" s="20"/>
      <c r="M5" s="20"/>
      <c r="P5" t="s">
        <v>50</v>
      </c>
      <c r="T5" t="s">
        <v>61</v>
      </c>
      <c r="X5" t="s">
        <v>127</v>
      </c>
    </row>
    <row r="6" spans="2:24" x14ac:dyDescent="0.3">
      <c r="B6" s="10"/>
      <c r="C6" s="10" t="s">
        <v>121</v>
      </c>
      <c r="D6" s="10" t="s">
        <v>103</v>
      </c>
      <c r="E6" s="11" t="s">
        <v>101</v>
      </c>
      <c r="F6" s="11">
        <v>1</v>
      </c>
      <c r="G6" s="10"/>
      <c r="H6" s="10"/>
      <c r="I6" s="10"/>
      <c r="J6" s="11"/>
      <c r="K6" s="20" t="s">
        <v>61</v>
      </c>
      <c r="L6" s="20"/>
      <c r="M6" s="20"/>
      <c r="P6" t="s">
        <v>46</v>
      </c>
      <c r="T6" t="s">
        <v>62</v>
      </c>
      <c r="X6" t="s">
        <v>128</v>
      </c>
    </row>
    <row r="7" spans="2:24" x14ac:dyDescent="0.3">
      <c r="B7" s="10"/>
      <c r="C7" s="10" t="s">
        <v>121</v>
      </c>
      <c r="D7" s="10" t="s">
        <v>103</v>
      </c>
      <c r="E7" s="11" t="s">
        <v>101</v>
      </c>
      <c r="F7" s="11">
        <v>1</v>
      </c>
      <c r="G7" s="10"/>
      <c r="H7" s="10"/>
      <c r="I7" s="10"/>
      <c r="J7" s="11"/>
      <c r="K7" s="20" t="s">
        <v>62</v>
      </c>
      <c r="L7" s="20"/>
      <c r="M7" s="20"/>
      <c r="P7" t="s">
        <v>47</v>
      </c>
      <c r="T7" t="s">
        <v>63</v>
      </c>
      <c r="X7" t="s">
        <v>129</v>
      </c>
    </row>
    <row r="8" spans="2:24" x14ac:dyDescent="0.3">
      <c r="B8" s="10"/>
      <c r="C8" s="10" t="s">
        <v>121</v>
      </c>
      <c r="D8" s="10" t="s">
        <v>103</v>
      </c>
      <c r="E8" s="11" t="s">
        <v>101</v>
      </c>
      <c r="F8" s="11">
        <v>1</v>
      </c>
      <c r="G8" s="10"/>
      <c r="H8" s="10"/>
      <c r="I8" s="10"/>
      <c r="J8" s="11"/>
      <c r="K8" s="20" t="s">
        <v>63</v>
      </c>
      <c r="L8" s="20"/>
      <c r="M8" s="20"/>
      <c r="P8" t="s">
        <v>48</v>
      </c>
      <c r="T8" t="s">
        <v>64</v>
      </c>
      <c r="X8" t="s">
        <v>130</v>
      </c>
    </row>
    <row r="9" spans="2:24" x14ac:dyDescent="0.3">
      <c r="B9" s="10"/>
      <c r="C9" s="10" t="s">
        <v>121</v>
      </c>
      <c r="D9" s="10" t="s">
        <v>103</v>
      </c>
      <c r="E9" s="11" t="s">
        <v>101</v>
      </c>
      <c r="F9" s="11">
        <v>1</v>
      </c>
      <c r="G9" s="10"/>
      <c r="H9" s="10"/>
      <c r="I9" s="10"/>
      <c r="J9" s="11"/>
      <c r="K9" s="20" t="s">
        <v>64</v>
      </c>
      <c r="L9" s="20"/>
      <c r="M9" s="20"/>
      <c r="P9" t="s">
        <v>51</v>
      </c>
      <c r="T9" t="s">
        <v>65</v>
      </c>
      <c r="X9" t="s">
        <v>131</v>
      </c>
    </row>
    <row r="10" spans="2:24" x14ac:dyDescent="0.3">
      <c r="B10" s="10"/>
      <c r="C10" s="10" t="s">
        <v>121</v>
      </c>
      <c r="D10" s="10" t="s">
        <v>103</v>
      </c>
      <c r="E10" s="11" t="s">
        <v>101</v>
      </c>
      <c r="F10" s="11">
        <v>1</v>
      </c>
      <c r="G10" s="10"/>
      <c r="H10" s="10"/>
      <c r="I10" s="10"/>
      <c r="J10" s="11"/>
      <c r="K10" s="20" t="s">
        <v>65</v>
      </c>
      <c r="L10" s="20"/>
      <c r="M10" s="20"/>
      <c r="P10" t="s">
        <v>49</v>
      </c>
      <c r="T10" t="s">
        <v>66</v>
      </c>
      <c r="X10" t="s">
        <v>132</v>
      </c>
    </row>
    <row r="11" spans="2:24" x14ac:dyDescent="0.3">
      <c r="B11" s="10"/>
      <c r="C11" s="10" t="s">
        <v>121</v>
      </c>
      <c r="D11" s="10" t="s">
        <v>103</v>
      </c>
      <c r="E11" s="11" t="s">
        <v>101</v>
      </c>
      <c r="F11" s="11">
        <v>1</v>
      </c>
      <c r="G11" s="10"/>
      <c r="H11" s="10"/>
      <c r="I11" s="10"/>
      <c r="J11" s="11"/>
      <c r="K11" s="20" t="s">
        <v>66</v>
      </c>
      <c r="L11" s="20"/>
      <c r="M11" s="20"/>
      <c r="P11" t="s">
        <v>32</v>
      </c>
      <c r="T11" t="s">
        <v>67</v>
      </c>
      <c r="X11" t="s">
        <v>133</v>
      </c>
    </row>
    <row r="12" spans="2:24" x14ac:dyDescent="0.3">
      <c r="B12" s="10"/>
      <c r="C12" s="10" t="s">
        <v>121</v>
      </c>
      <c r="D12" s="10" t="s">
        <v>103</v>
      </c>
      <c r="E12" s="11" t="s">
        <v>101</v>
      </c>
      <c r="F12" s="11">
        <v>1</v>
      </c>
      <c r="G12" s="10"/>
      <c r="H12" s="10"/>
      <c r="I12" s="10"/>
      <c r="J12" s="11"/>
      <c r="K12" s="20" t="s">
        <v>67</v>
      </c>
      <c r="L12" s="20"/>
      <c r="M12" s="20"/>
      <c r="P12" t="s">
        <v>31</v>
      </c>
      <c r="T12" t="s">
        <v>68</v>
      </c>
      <c r="X12" t="s">
        <v>134</v>
      </c>
    </row>
    <row r="13" spans="2:24" x14ac:dyDescent="0.3">
      <c r="B13" s="10"/>
      <c r="C13" s="10" t="s">
        <v>121</v>
      </c>
      <c r="D13" s="10" t="s">
        <v>103</v>
      </c>
      <c r="E13" s="11" t="s">
        <v>101</v>
      </c>
      <c r="F13" s="11">
        <v>1</v>
      </c>
      <c r="G13" s="10"/>
      <c r="H13" s="10"/>
      <c r="I13" s="10"/>
      <c r="J13" s="11"/>
      <c r="K13" s="20" t="s">
        <v>68</v>
      </c>
      <c r="L13" s="20"/>
      <c r="M13" s="20"/>
      <c r="P13" t="s">
        <v>15</v>
      </c>
      <c r="T13" t="s">
        <v>69</v>
      </c>
      <c r="X13" t="s">
        <v>135</v>
      </c>
    </row>
    <row r="14" spans="2:24" x14ac:dyDescent="0.3">
      <c r="B14" s="10"/>
      <c r="C14" s="10" t="s">
        <v>121</v>
      </c>
      <c r="D14" s="10" t="s">
        <v>103</v>
      </c>
      <c r="E14" s="11" t="s">
        <v>101</v>
      </c>
      <c r="F14" s="11">
        <v>1</v>
      </c>
      <c r="G14" s="10"/>
      <c r="H14" s="10"/>
      <c r="I14" s="10"/>
      <c r="J14" s="11"/>
      <c r="K14" s="20" t="s">
        <v>69</v>
      </c>
      <c r="L14" s="20"/>
      <c r="M14" s="20"/>
      <c r="P14" t="s">
        <v>22</v>
      </c>
      <c r="T14" t="s">
        <v>70</v>
      </c>
      <c r="X14" t="s">
        <v>136</v>
      </c>
    </row>
    <row r="15" spans="2:24" x14ac:dyDescent="0.3">
      <c r="B15" s="10"/>
      <c r="C15" s="10" t="s">
        <v>121</v>
      </c>
      <c r="D15" s="10" t="s">
        <v>103</v>
      </c>
      <c r="E15" s="11" t="s">
        <v>101</v>
      </c>
      <c r="F15" s="11">
        <v>1</v>
      </c>
      <c r="G15" s="10"/>
      <c r="H15" s="10"/>
      <c r="I15" s="10"/>
      <c r="J15" s="11"/>
      <c r="K15" s="20" t="s">
        <v>70</v>
      </c>
      <c r="L15" s="20"/>
      <c r="M15" s="20"/>
      <c r="P15" t="s">
        <v>42</v>
      </c>
      <c r="T15" t="s">
        <v>71</v>
      </c>
      <c r="X15" t="s">
        <v>137</v>
      </c>
    </row>
    <row r="16" spans="2:24" x14ac:dyDescent="0.3">
      <c r="B16" s="10"/>
      <c r="C16" s="10" t="s">
        <v>121</v>
      </c>
      <c r="D16" s="10" t="s">
        <v>103</v>
      </c>
      <c r="E16" s="11" t="s">
        <v>101</v>
      </c>
      <c r="F16" s="11">
        <v>1</v>
      </c>
      <c r="G16" s="10"/>
      <c r="H16" s="10"/>
      <c r="I16" s="10"/>
      <c r="J16" s="11"/>
      <c r="K16" s="20" t="s">
        <v>71</v>
      </c>
      <c r="L16" s="20"/>
      <c r="M16" s="20"/>
      <c r="P16" t="s">
        <v>40</v>
      </c>
      <c r="T16" t="s">
        <v>72</v>
      </c>
      <c r="X16" t="s">
        <v>138</v>
      </c>
    </row>
    <row r="17" spans="2:24" x14ac:dyDescent="0.3">
      <c r="B17" s="10"/>
      <c r="C17" s="10" t="s">
        <v>121</v>
      </c>
      <c r="D17" s="10" t="s">
        <v>103</v>
      </c>
      <c r="E17" s="11" t="s">
        <v>101</v>
      </c>
      <c r="F17" s="11">
        <v>1</v>
      </c>
      <c r="G17" s="10"/>
      <c r="H17" s="10"/>
      <c r="I17" s="10"/>
      <c r="J17" s="11"/>
      <c r="K17" s="20" t="s">
        <v>72</v>
      </c>
      <c r="L17" s="20"/>
      <c r="M17" s="20"/>
      <c r="P17" t="s">
        <v>41</v>
      </c>
      <c r="T17" t="s">
        <v>73</v>
      </c>
      <c r="X17" t="s">
        <v>139</v>
      </c>
    </row>
    <row r="18" spans="2:24" x14ac:dyDescent="0.3">
      <c r="B18" s="10"/>
      <c r="C18" s="10" t="s">
        <v>121</v>
      </c>
      <c r="D18" s="10" t="s">
        <v>103</v>
      </c>
      <c r="E18" s="11" t="s">
        <v>101</v>
      </c>
      <c r="F18" s="11">
        <v>1</v>
      </c>
      <c r="G18" s="10"/>
      <c r="H18" s="10"/>
      <c r="I18" s="10"/>
      <c r="J18" s="11"/>
      <c r="K18" s="20" t="s">
        <v>73</v>
      </c>
      <c r="L18" s="20"/>
      <c r="M18" s="20"/>
      <c r="P18" t="s">
        <v>12</v>
      </c>
      <c r="T18" t="s">
        <v>74</v>
      </c>
      <c r="X18" t="s">
        <v>140</v>
      </c>
    </row>
    <row r="19" spans="2:24" x14ac:dyDescent="0.3">
      <c r="B19" s="10"/>
      <c r="C19" s="10" t="s">
        <v>121</v>
      </c>
      <c r="D19" s="10" t="s">
        <v>103</v>
      </c>
      <c r="E19" s="11" t="s">
        <v>101</v>
      </c>
      <c r="F19" s="11">
        <v>1</v>
      </c>
      <c r="G19" s="10"/>
      <c r="H19" s="10"/>
      <c r="I19" s="10"/>
      <c r="J19" s="11"/>
      <c r="K19" s="20" t="s">
        <v>74</v>
      </c>
      <c r="L19" s="20"/>
      <c r="M19" s="20"/>
      <c r="P19" t="s">
        <v>39</v>
      </c>
      <c r="T19" t="s">
        <v>75</v>
      </c>
      <c r="X19" t="s">
        <v>141</v>
      </c>
    </row>
    <row r="20" spans="2:24" x14ac:dyDescent="0.3">
      <c r="B20" s="10"/>
      <c r="C20" s="10" t="s">
        <v>121</v>
      </c>
      <c r="D20" s="10" t="s">
        <v>103</v>
      </c>
      <c r="E20" s="11" t="s">
        <v>101</v>
      </c>
      <c r="F20" s="11">
        <v>1</v>
      </c>
      <c r="G20" s="10"/>
      <c r="H20" s="10"/>
      <c r="I20" s="10"/>
      <c r="J20" s="11"/>
      <c r="K20" s="20" t="s">
        <v>75</v>
      </c>
      <c r="L20" s="20"/>
      <c r="M20" s="20"/>
      <c r="P20" t="s">
        <v>28</v>
      </c>
      <c r="T20" t="s">
        <v>76</v>
      </c>
      <c r="X20" t="s">
        <v>142</v>
      </c>
    </row>
    <row r="21" spans="2:24" x14ac:dyDescent="0.3">
      <c r="B21" s="10"/>
      <c r="C21" s="10" t="s">
        <v>121</v>
      </c>
      <c r="D21" s="10" t="s">
        <v>103</v>
      </c>
      <c r="E21" s="11" t="s">
        <v>101</v>
      </c>
      <c r="F21" s="11">
        <v>1</v>
      </c>
      <c r="G21" s="10"/>
      <c r="H21" s="10"/>
      <c r="I21" s="10"/>
      <c r="J21" s="11"/>
      <c r="K21" s="20" t="s">
        <v>76</v>
      </c>
      <c r="L21" s="20"/>
      <c r="M21" s="20"/>
      <c r="P21" t="s">
        <v>26</v>
      </c>
      <c r="T21" t="s">
        <v>77</v>
      </c>
      <c r="X21" t="s">
        <v>143</v>
      </c>
    </row>
    <row r="22" spans="2:24" x14ac:dyDescent="0.3">
      <c r="B22" s="10"/>
      <c r="C22" s="10" t="s">
        <v>121</v>
      </c>
      <c r="D22" s="10" t="s">
        <v>103</v>
      </c>
      <c r="E22" s="11" t="s">
        <v>101</v>
      </c>
      <c r="F22" s="11">
        <v>1</v>
      </c>
      <c r="G22" s="10"/>
      <c r="H22" s="10"/>
      <c r="I22" s="10"/>
      <c r="J22" s="11"/>
      <c r="K22" s="20" t="s">
        <v>77</v>
      </c>
      <c r="L22" s="20"/>
      <c r="M22" s="20"/>
      <c r="P22" t="s">
        <v>29</v>
      </c>
      <c r="T22" t="s">
        <v>78</v>
      </c>
      <c r="X22" t="s">
        <v>144</v>
      </c>
    </row>
    <row r="23" spans="2:24" x14ac:dyDescent="0.3">
      <c r="B23" s="10"/>
      <c r="C23" s="10" t="s">
        <v>121</v>
      </c>
      <c r="D23" s="10" t="s">
        <v>103</v>
      </c>
      <c r="E23" s="11" t="s">
        <v>101</v>
      </c>
      <c r="F23" s="11">
        <v>1</v>
      </c>
      <c r="G23" s="10"/>
      <c r="H23" s="10"/>
      <c r="I23" s="10"/>
      <c r="J23" s="11"/>
      <c r="K23" s="20" t="s">
        <v>78</v>
      </c>
      <c r="L23" s="20"/>
      <c r="M23" s="20"/>
      <c r="P23" t="s">
        <v>33</v>
      </c>
      <c r="T23" t="s">
        <v>79</v>
      </c>
      <c r="X23" t="s">
        <v>145</v>
      </c>
    </row>
    <row r="24" spans="2:24" x14ac:dyDescent="0.3">
      <c r="B24" s="10"/>
      <c r="C24" s="10" t="s">
        <v>121</v>
      </c>
      <c r="D24" s="10" t="s">
        <v>103</v>
      </c>
      <c r="E24" s="11" t="s">
        <v>101</v>
      </c>
      <c r="F24" s="11">
        <v>1</v>
      </c>
      <c r="G24" s="10"/>
      <c r="H24" s="10"/>
      <c r="I24" s="10"/>
      <c r="J24" s="11"/>
      <c r="K24" s="20" t="s">
        <v>79</v>
      </c>
      <c r="L24" s="20"/>
      <c r="M24" s="20"/>
      <c r="P24" t="s">
        <v>16</v>
      </c>
      <c r="T24" t="s">
        <v>80</v>
      </c>
      <c r="X24" t="s">
        <v>146</v>
      </c>
    </row>
    <row r="25" spans="2:24" x14ac:dyDescent="0.3">
      <c r="B25" s="10"/>
      <c r="C25" s="10" t="s">
        <v>121</v>
      </c>
      <c r="D25" s="10" t="s">
        <v>103</v>
      </c>
      <c r="E25" s="11" t="s">
        <v>101</v>
      </c>
      <c r="F25" s="11">
        <v>1</v>
      </c>
      <c r="G25" s="10"/>
      <c r="H25" s="10"/>
      <c r="I25" s="10"/>
      <c r="J25" s="11"/>
      <c r="K25" s="20" t="s">
        <v>80</v>
      </c>
      <c r="L25" s="20"/>
      <c r="M25" s="20"/>
      <c r="P25" t="s">
        <v>23</v>
      </c>
      <c r="T25" t="s">
        <v>81</v>
      </c>
      <c r="X25" t="s">
        <v>147</v>
      </c>
    </row>
    <row r="26" spans="2:24" x14ac:dyDescent="0.3">
      <c r="B26" s="10"/>
      <c r="C26" s="10" t="s">
        <v>121</v>
      </c>
      <c r="D26" s="10" t="s">
        <v>103</v>
      </c>
      <c r="E26" s="11" t="s">
        <v>101</v>
      </c>
      <c r="F26" s="11">
        <v>1</v>
      </c>
      <c r="G26" s="10"/>
      <c r="H26" s="10"/>
      <c r="I26" s="10"/>
      <c r="J26" s="11"/>
      <c r="K26" s="20" t="s">
        <v>81</v>
      </c>
      <c r="L26" s="20"/>
      <c r="M26" s="20"/>
      <c r="P26" t="s">
        <v>36</v>
      </c>
      <c r="T26" t="s">
        <v>82</v>
      </c>
      <c r="X26" t="s">
        <v>148</v>
      </c>
    </row>
    <row r="27" spans="2:24" x14ac:dyDescent="0.3">
      <c r="B27" s="10"/>
      <c r="C27" s="10" t="s">
        <v>121</v>
      </c>
      <c r="D27" s="10" t="s">
        <v>103</v>
      </c>
      <c r="E27" s="11" t="s">
        <v>101</v>
      </c>
      <c r="F27" s="11">
        <v>1</v>
      </c>
      <c r="G27" s="10"/>
      <c r="H27" s="10"/>
      <c r="I27" s="10"/>
      <c r="J27" s="11"/>
      <c r="K27" s="20" t="s">
        <v>82</v>
      </c>
      <c r="L27" s="20"/>
      <c r="M27" s="20"/>
      <c r="P27" t="s">
        <v>38</v>
      </c>
      <c r="T27" t="s">
        <v>83</v>
      </c>
      <c r="X27" t="s">
        <v>149</v>
      </c>
    </row>
    <row r="28" spans="2:24" x14ac:dyDescent="0.3">
      <c r="B28" s="10"/>
      <c r="C28" s="10" t="s">
        <v>121</v>
      </c>
      <c r="D28" s="10" t="s">
        <v>103</v>
      </c>
      <c r="E28" s="11" t="s">
        <v>101</v>
      </c>
      <c r="F28" s="11">
        <v>1</v>
      </c>
      <c r="G28" s="10"/>
      <c r="H28" s="10"/>
      <c r="I28" s="10"/>
      <c r="J28" s="11"/>
      <c r="K28" s="20" t="s">
        <v>83</v>
      </c>
      <c r="L28" s="20"/>
      <c r="M28" s="20"/>
      <c r="P28" t="s">
        <v>19</v>
      </c>
      <c r="T28" t="s">
        <v>84</v>
      </c>
      <c r="X28" t="s">
        <v>150</v>
      </c>
    </row>
    <row r="29" spans="2:24" x14ac:dyDescent="0.3">
      <c r="B29" s="10"/>
      <c r="C29" s="10" t="s">
        <v>121</v>
      </c>
      <c r="D29" s="10" t="s">
        <v>103</v>
      </c>
      <c r="E29" s="11" t="s">
        <v>101</v>
      </c>
      <c r="F29" s="11">
        <v>1</v>
      </c>
      <c r="G29" s="10"/>
      <c r="H29" s="10"/>
      <c r="I29" s="10"/>
      <c r="J29" s="11"/>
      <c r="K29" s="20" t="s">
        <v>84</v>
      </c>
      <c r="L29" s="20"/>
      <c r="M29" s="20"/>
      <c r="P29" t="s">
        <v>25</v>
      </c>
      <c r="T29" t="s">
        <v>85</v>
      </c>
      <c r="X29" t="s">
        <v>151</v>
      </c>
    </row>
    <row r="30" spans="2:24" x14ac:dyDescent="0.3">
      <c r="B30" s="10"/>
      <c r="C30" s="10" t="s">
        <v>121</v>
      </c>
      <c r="D30" s="10" t="s">
        <v>103</v>
      </c>
      <c r="E30" s="11" t="s">
        <v>101</v>
      </c>
      <c r="F30" s="11">
        <v>1</v>
      </c>
      <c r="G30" s="10"/>
      <c r="H30" s="10"/>
      <c r="I30" s="10"/>
      <c r="J30" s="11"/>
      <c r="K30" s="20" t="s">
        <v>85</v>
      </c>
      <c r="L30" s="20"/>
      <c r="M30" s="20"/>
      <c r="P30" t="s">
        <v>43</v>
      </c>
      <c r="T30" t="s">
        <v>86</v>
      </c>
      <c r="X30" t="s">
        <v>152</v>
      </c>
    </row>
    <row r="31" spans="2:24" x14ac:dyDescent="0.3">
      <c r="B31" s="10"/>
      <c r="C31" s="10" t="s">
        <v>121</v>
      </c>
      <c r="D31" s="10" t="s">
        <v>103</v>
      </c>
      <c r="E31" s="11" t="s">
        <v>101</v>
      </c>
      <c r="F31" s="11">
        <v>1</v>
      </c>
      <c r="G31" s="10"/>
      <c r="H31" s="10"/>
      <c r="I31" s="10"/>
      <c r="J31" s="11"/>
      <c r="K31" s="20" t="s">
        <v>86</v>
      </c>
      <c r="L31" s="20"/>
      <c r="M31" s="20"/>
      <c r="P31" t="s">
        <v>44</v>
      </c>
      <c r="T31" t="s">
        <v>87</v>
      </c>
      <c r="X31" t="s">
        <v>153</v>
      </c>
    </row>
    <row r="32" spans="2:24" x14ac:dyDescent="0.3">
      <c r="B32" s="10"/>
      <c r="C32" s="10" t="s">
        <v>121</v>
      </c>
      <c r="D32" s="10" t="s">
        <v>103</v>
      </c>
      <c r="E32" s="11" t="s">
        <v>101</v>
      </c>
      <c r="F32" s="11">
        <v>1</v>
      </c>
      <c r="G32" s="10"/>
      <c r="H32" s="10"/>
      <c r="I32" s="10"/>
      <c r="J32" s="11"/>
      <c r="K32" s="20" t="s">
        <v>87</v>
      </c>
      <c r="L32" s="20"/>
      <c r="M32" s="20"/>
      <c r="P32" t="s">
        <v>45</v>
      </c>
      <c r="T32" t="s">
        <v>88</v>
      </c>
      <c r="X32" t="s">
        <v>154</v>
      </c>
    </row>
    <row r="33" spans="2:24" x14ac:dyDescent="0.3">
      <c r="B33" s="10"/>
      <c r="C33" s="10" t="s">
        <v>121</v>
      </c>
      <c r="D33" s="10" t="s">
        <v>103</v>
      </c>
      <c r="E33" s="11" t="s">
        <v>101</v>
      </c>
      <c r="F33" s="11">
        <v>1</v>
      </c>
      <c r="G33" s="10"/>
      <c r="H33" s="10"/>
      <c r="I33" s="10"/>
      <c r="J33" s="11"/>
      <c r="K33" s="20" t="s">
        <v>88</v>
      </c>
      <c r="L33" s="20"/>
      <c r="M33" s="20"/>
      <c r="P33" t="s">
        <v>30</v>
      </c>
      <c r="T33" t="s">
        <v>89</v>
      </c>
      <c r="X33" t="s">
        <v>155</v>
      </c>
    </row>
    <row r="34" spans="2:24" x14ac:dyDescent="0.3">
      <c r="B34" s="10"/>
      <c r="C34" s="10" t="s">
        <v>121</v>
      </c>
      <c r="D34" s="10" t="s">
        <v>103</v>
      </c>
      <c r="E34" s="11" t="s">
        <v>101</v>
      </c>
      <c r="F34" s="11">
        <v>1</v>
      </c>
      <c r="G34" s="10"/>
      <c r="H34" s="10"/>
      <c r="I34" s="10"/>
      <c r="J34" s="11"/>
      <c r="K34" s="20" t="s">
        <v>89</v>
      </c>
      <c r="L34" s="20"/>
      <c r="M34" s="20"/>
      <c r="P34" t="s">
        <v>34</v>
      </c>
      <c r="T34" t="s">
        <v>90</v>
      </c>
      <c r="X34" t="s">
        <v>156</v>
      </c>
    </row>
    <row r="35" spans="2:24" x14ac:dyDescent="0.3">
      <c r="B35" s="10"/>
      <c r="C35" s="10" t="s">
        <v>121</v>
      </c>
      <c r="D35" s="10" t="s">
        <v>103</v>
      </c>
      <c r="E35" s="11" t="s">
        <v>101</v>
      </c>
      <c r="F35" s="11">
        <v>1</v>
      </c>
      <c r="G35" s="10"/>
      <c r="H35" s="10"/>
      <c r="I35" s="10"/>
      <c r="J35" s="11"/>
      <c r="K35" s="20" t="s">
        <v>90</v>
      </c>
      <c r="L35" s="20"/>
      <c r="M35" s="20"/>
      <c r="P35" t="s">
        <v>18</v>
      </c>
      <c r="T35" t="s">
        <v>91</v>
      </c>
      <c r="X35" t="s">
        <v>157</v>
      </c>
    </row>
    <row r="36" spans="2:24" x14ac:dyDescent="0.3">
      <c r="B36" s="10"/>
      <c r="C36" s="10" t="s">
        <v>121</v>
      </c>
      <c r="D36" s="10" t="s">
        <v>103</v>
      </c>
      <c r="E36" s="11" t="s">
        <v>101</v>
      </c>
      <c r="F36" s="11">
        <v>1</v>
      </c>
      <c r="G36" s="10"/>
      <c r="H36" s="10"/>
      <c r="I36" s="10"/>
      <c r="J36" s="11"/>
      <c r="K36" s="20" t="s">
        <v>91</v>
      </c>
      <c r="L36" s="20"/>
      <c r="M36" s="20"/>
      <c r="P36" t="s">
        <v>17</v>
      </c>
      <c r="T36" t="s">
        <v>92</v>
      </c>
      <c r="X36" t="s">
        <v>158</v>
      </c>
    </row>
    <row r="37" spans="2:24" x14ac:dyDescent="0.3">
      <c r="B37" s="10"/>
      <c r="C37" s="10" t="s">
        <v>121</v>
      </c>
      <c r="D37" s="10" t="s">
        <v>103</v>
      </c>
      <c r="E37" s="11" t="s">
        <v>101</v>
      </c>
      <c r="F37" s="11">
        <v>1</v>
      </c>
      <c r="G37" s="10"/>
      <c r="H37" s="10"/>
      <c r="I37" s="10"/>
      <c r="J37" s="11"/>
      <c r="K37" s="20" t="s">
        <v>92</v>
      </c>
      <c r="L37" s="20"/>
      <c r="M37" s="20"/>
      <c r="P37" t="s">
        <v>24</v>
      </c>
      <c r="T37" t="s">
        <v>93</v>
      </c>
      <c r="X37" t="s">
        <v>159</v>
      </c>
    </row>
    <row r="38" spans="2:24" x14ac:dyDescent="0.3">
      <c r="B38" s="10"/>
      <c r="C38" s="10" t="s">
        <v>121</v>
      </c>
      <c r="D38" s="10" t="s">
        <v>103</v>
      </c>
      <c r="E38" s="11" t="s">
        <v>101</v>
      </c>
      <c r="F38" s="11">
        <v>1</v>
      </c>
      <c r="G38" s="10"/>
      <c r="H38" s="10"/>
      <c r="I38" s="10"/>
      <c r="J38" s="11"/>
      <c r="K38" s="20" t="s">
        <v>93</v>
      </c>
      <c r="L38" s="20"/>
      <c r="M38" s="20"/>
      <c r="P38" t="s">
        <v>13</v>
      </c>
      <c r="T38" t="s">
        <v>94</v>
      </c>
      <c r="X38" t="s">
        <v>160</v>
      </c>
    </row>
    <row r="39" spans="2:24" x14ac:dyDescent="0.3">
      <c r="B39" s="10"/>
      <c r="C39" s="10" t="s">
        <v>121</v>
      </c>
      <c r="D39" s="10" t="s">
        <v>103</v>
      </c>
      <c r="E39" s="11" t="s">
        <v>101</v>
      </c>
      <c r="F39" s="11">
        <v>1</v>
      </c>
      <c r="G39" s="10"/>
      <c r="H39" s="10"/>
      <c r="I39" s="10"/>
      <c r="J39" s="11"/>
      <c r="K39" s="20" t="s">
        <v>94</v>
      </c>
      <c r="L39" s="20"/>
      <c r="M39" s="20"/>
      <c r="P39" t="s">
        <v>14</v>
      </c>
      <c r="T39" t="s">
        <v>95</v>
      </c>
      <c r="X39" t="s">
        <v>161</v>
      </c>
    </row>
    <row r="40" spans="2:24" x14ac:dyDescent="0.3">
      <c r="B40" s="10"/>
      <c r="C40" s="10" t="s">
        <v>121</v>
      </c>
      <c r="D40" s="10" t="s">
        <v>103</v>
      </c>
      <c r="E40" s="11" t="s">
        <v>101</v>
      </c>
      <c r="F40" s="11">
        <v>1</v>
      </c>
      <c r="G40" s="10"/>
      <c r="H40" s="10"/>
      <c r="I40" s="10"/>
      <c r="J40" s="11"/>
      <c r="K40" s="20" t="s">
        <v>95</v>
      </c>
      <c r="L40" s="20"/>
      <c r="M40" s="20"/>
      <c r="P40" t="s">
        <v>20</v>
      </c>
      <c r="T40" t="s">
        <v>96</v>
      </c>
      <c r="X40" t="s">
        <v>162</v>
      </c>
    </row>
    <row r="41" spans="2:24" x14ac:dyDescent="0.3">
      <c r="B41" s="10"/>
      <c r="C41" s="10" t="s">
        <v>121</v>
      </c>
      <c r="D41" s="10" t="s">
        <v>103</v>
      </c>
      <c r="E41" s="11" t="s">
        <v>101</v>
      </c>
      <c r="F41" s="11">
        <v>1</v>
      </c>
      <c r="G41" s="10"/>
      <c r="H41" s="10"/>
      <c r="I41" s="10"/>
      <c r="J41" s="11"/>
      <c r="K41" s="20" t="s">
        <v>96</v>
      </c>
      <c r="L41" s="20"/>
      <c r="M41" s="20"/>
      <c r="P41" t="s">
        <v>21</v>
      </c>
      <c r="T41" t="s">
        <v>97</v>
      </c>
      <c r="X41" t="s">
        <v>163</v>
      </c>
    </row>
    <row r="42" spans="2:24" x14ac:dyDescent="0.3">
      <c r="B42" s="10"/>
      <c r="C42" s="10" t="s">
        <v>121</v>
      </c>
      <c r="D42" s="10" t="s">
        <v>103</v>
      </c>
      <c r="E42" s="11" t="s">
        <v>101</v>
      </c>
      <c r="F42" s="11">
        <v>1</v>
      </c>
      <c r="G42" s="10"/>
      <c r="H42" s="10"/>
      <c r="I42" s="10"/>
      <c r="J42" s="11"/>
      <c r="K42" s="20" t="s">
        <v>97</v>
      </c>
      <c r="L42" s="20"/>
      <c r="M42" s="20"/>
      <c r="P42" t="s">
        <v>27</v>
      </c>
      <c r="T42" t="s">
        <v>98</v>
      </c>
      <c r="X42" t="s">
        <v>164</v>
      </c>
    </row>
    <row r="43" spans="2:24" x14ac:dyDescent="0.3">
      <c r="B43" s="10"/>
      <c r="C43" s="10" t="s">
        <v>121</v>
      </c>
      <c r="D43" s="10" t="s">
        <v>103</v>
      </c>
      <c r="E43" s="11" t="s">
        <v>101</v>
      </c>
      <c r="F43" s="11">
        <v>1</v>
      </c>
      <c r="G43" s="10"/>
      <c r="H43" s="10"/>
      <c r="I43" s="10"/>
      <c r="J43" s="11"/>
      <c r="K43" s="20" t="s">
        <v>98</v>
      </c>
      <c r="L43" s="20"/>
      <c r="M43" s="20"/>
      <c r="P43" t="s">
        <v>35</v>
      </c>
      <c r="T43" t="s">
        <v>99</v>
      </c>
      <c r="X43" t="s">
        <v>165</v>
      </c>
    </row>
    <row r="44" spans="2:24" x14ac:dyDescent="0.3">
      <c r="B44" s="10"/>
      <c r="C44" s="10" t="s">
        <v>121</v>
      </c>
      <c r="D44" s="10" t="s">
        <v>103</v>
      </c>
      <c r="E44" s="11" t="s">
        <v>101</v>
      </c>
      <c r="F44" s="11">
        <v>1</v>
      </c>
      <c r="G44" s="10"/>
      <c r="H44" s="10"/>
      <c r="I44" s="10"/>
      <c r="J44" s="11"/>
      <c r="K44" s="20" t="s">
        <v>99</v>
      </c>
      <c r="L44" s="20"/>
      <c r="M44" s="20"/>
      <c r="P44" t="s">
        <v>37</v>
      </c>
      <c r="T44" t="s">
        <v>100</v>
      </c>
      <c r="X44" t="s">
        <v>166</v>
      </c>
    </row>
    <row r="45" spans="2:24" x14ac:dyDescent="0.3">
      <c r="B45" s="10"/>
      <c r="C45" s="10" t="s">
        <v>121</v>
      </c>
      <c r="D45" s="10" t="s">
        <v>103</v>
      </c>
      <c r="E45" s="11" t="s">
        <v>101</v>
      </c>
      <c r="F45" s="11">
        <v>1</v>
      </c>
      <c r="G45" s="10"/>
      <c r="H45" s="10"/>
      <c r="I45" s="10"/>
      <c r="J45" s="11"/>
      <c r="K45" s="20" t="s">
        <v>100</v>
      </c>
      <c r="L45" s="20"/>
      <c r="M45" s="20"/>
    </row>
    <row r="46" spans="2:24" x14ac:dyDescent="0.3">
      <c r="B46" s="21"/>
      <c r="C46" s="21"/>
      <c r="D46" s="21" t="s">
        <v>122</v>
      </c>
      <c r="E46" s="21"/>
      <c r="F46" s="21"/>
      <c r="G46" s="21"/>
      <c r="H46" s="21"/>
      <c r="I46" s="21"/>
      <c r="J46" s="21"/>
      <c r="K46" s="21"/>
      <c r="L46" s="21"/>
      <c r="M46" s="21"/>
    </row>
    <row r="47" spans="2:24" x14ac:dyDescent="0.3">
      <c r="B47" s="10"/>
      <c r="C47" s="10" t="s">
        <v>121</v>
      </c>
      <c r="D47" s="10" t="s">
        <v>104</v>
      </c>
      <c r="E47" s="11" t="s">
        <v>101</v>
      </c>
      <c r="F47" s="11">
        <v>1</v>
      </c>
      <c r="G47" s="10"/>
      <c r="H47" s="10"/>
      <c r="I47" s="10"/>
      <c r="J47" s="11"/>
      <c r="K47" s="20" t="s">
        <v>126</v>
      </c>
      <c r="L47" s="20"/>
      <c r="M47" s="20"/>
    </row>
    <row r="48" spans="2:24" x14ac:dyDescent="0.3">
      <c r="B48" s="10"/>
      <c r="C48" s="10" t="s">
        <v>121</v>
      </c>
      <c r="D48" s="10" t="s">
        <v>104</v>
      </c>
      <c r="E48" s="11" t="s">
        <v>101</v>
      </c>
      <c r="F48" s="11">
        <v>1</v>
      </c>
      <c r="G48" s="10"/>
      <c r="H48" s="10"/>
      <c r="I48" s="10"/>
      <c r="J48" s="11"/>
      <c r="K48" s="20" t="s">
        <v>127</v>
      </c>
      <c r="L48" s="20"/>
      <c r="M48" s="20"/>
    </row>
    <row r="49" spans="2:13" x14ac:dyDescent="0.3">
      <c r="B49" s="10"/>
      <c r="C49" s="10" t="s">
        <v>121</v>
      </c>
      <c r="D49" s="10" t="s">
        <v>104</v>
      </c>
      <c r="E49" s="11" t="s">
        <v>101</v>
      </c>
      <c r="F49" s="11">
        <v>1</v>
      </c>
      <c r="G49" s="10"/>
      <c r="H49" s="10"/>
      <c r="I49" s="10"/>
      <c r="J49" s="11"/>
      <c r="K49" s="20" t="s">
        <v>128</v>
      </c>
      <c r="L49" s="20"/>
      <c r="M49" s="20"/>
    </row>
    <row r="50" spans="2:13" x14ac:dyDescent="0.3">
      <c r="B50" s="10"/>
      <c r="C50" s="10" t="s">
        <v>121</v>
      </c>
      <c r="D50" s="10" t="s">
        <v>104</v>
      </c>
      <c r="E50" s="11" t="s">
        <v>101</v>
      </c>
      <c r="F50" s="11">
        <v>1</v>
      </c>
      <c r="G50" s="10"/>
      <c r="H50" s="10"/>
      <c r="I50" s="10"/>
      <c r="J50" s="11"/>
      <c r="K50" s="20" t="s">
        <v>129</v>
      </c>
      <c r="L50" s="20"/>
      <c r="M50" s="20"/>
    </row>
    <row r="51" spans="2:13" x14ac:dyDescent="0.3">
      <c r="B51" s="10"/>
      <c r="C51" s="10" t="s">
        <v>121</v>
      </c>
      <c r="D51" s="10" t="s">
        <v>104</v>
      </c>
      <c r="E51" s="11" t="s">
        <v>101</v>
      </c>
      <c r="F51" s="11">
        <v>1</v>
      </c>
      <c r="G51" s="10"/>
      <c r="H51" s="10"/>
      <c r="I51" s="10"/>
      <c r="J51" s="11"/>
      <c r="K51" s="20" t="s">
        <v>130</v>
      </c>
      <c r="L51" s="20"/>
      <c r="M51" s="20"/>
    </row>
    <row r="52" spans="2:13" x14ac:dyDescent="0.3">
      <c r="B52" s="10"/>
      <c r="C52" s="10" t="s">
        <v>121</v>
      </c>
      <c r="D52" s="10" t="s">
        <v>104</v>
      </c>
      <c r="E52" s="11" t="s">
        <v>101</v>
      </c>
      <c r="F52" s="11">
        <v>1</v>
      </c>
      <c r="G52" s="10"/>
      <c r="H52" s="10"/>
      <c r="I52" s="10"/>
      <c r="J52" s="11"/>
      <c r="K52" s="20" t="s">
        <v>131</v>
      </c>
      <c r="L52" s="20"/>
      <c r="M52" s="20"/>
    </row>
    <row r="53" spans="2:13" x14ac:dyDescent="0.3">
      <c r="B53" s="10"/>
      <c r="C53" s="10" t="s">
        <v>121</v>
      </c>
      <c r="D53" s="10" t="s">
        <v>104</v>
      </c>
      <c r="E53" s="11" t="s">
        <v>101</v>
      </c>
      <c r="F53" s="11">
        <v>1</v>
      </c>
      <c r="G53" s="10"/>
      <c r="H53" s="10"/>
      <c r="I53" s="10"/>
      <c r="J53" s="11"/>
      <c r="K53" s="20" t="s">
        <v>132</v>
      </c>
      <c r="L53" s="20"/>
      <c r="M53" s="20"/>
    </row>
    <row r="54" spans="2:13" x14ac:dyDescent="0.3">
      <c r="B54" s="10"/>
      <c r="C54" s="10" t="s">
        <v>121</v>
      </c>
      <c r="D54" s="10" t="s">
        <v>104</v>
      </c>
      <c r="E54" s="11" t="s">
        <v>101</v>
      </c>
      <c r="F54" s="11">
        <v>1</v>
      </c>
      <c r="G54" s="10"/>
      <c r="H54" s="10"/>
      <c r="I54" s="10"/>
      <c r="J54" s="11"/>
      <c r="K54" s="20" t="s">
        <v>133</v>
      </c>
      <c r="L54" s="20"/>
      <c r="M54" s="20"/>
    </row>
    <row r="55" spans="2:13" x14ac:dyDescent="0.3">
      <c r="B55" s="10"/>
      <c r="C55" s="10" t="s">
        <v>121</v>
      </c>
      <c r="D55" s="10" t="s">
        <v>104</v>
      </c>
      <c r="E55" s="11" t="s">
        <v>101</v>
      </c>
      <c r="F55" s="11">
        <v>1</v>
      </c>
      <c r="G55" s="10"/>
      <c r="H55" s="10"/>
      <c r="I55" s="10"/>
      <c r="J55" s="11"/>
      <c r="K55" s="20" t="s">
        <v>134</v>
      </c>
      <c r="L55" s="20"/>
      <c r="M55" s="20"/>
    </row>
    <row r="56" spans="2:13" x14ac:dyDescent="0.3">
      <c r="B56" s="10"/>
      <c r="C56" s="10" t="s">
        <v>121</v>
      </c>
      <c r="D56" s="10" t="s">
        <v>104</v>
      </c>
      <c r="E56" s="11" t="s">
        <v>101</v>
      </c>
      <c r="F56" s="11">
        <v>1</v>
      </c>
      <c r="G56" s="10"/>
      <c r="H56" s="10"/>
      <c r="I56" s="10"/>
      <c r="J56" s="11"/>
      <c r="K56" s="20" t="s">
        <v>135</v>
      </c>
      <c r="L56" s="20"/>
      <c r="M56" s="20"/>
    </row>
    <row r="57" spans="2:13" x14ac:dyDescent="0.3">
      <c r="B57" s="10"/>
      <c r="C57" s="10" t="s">
        <v>121</v>
      </c>
      <c r="D57" s="10" t="s">
        <v>104</v>
      </c>
      <c r="E57" s="11" t="s">
        <v>101</v>
      </c>
      <c r="F57" s="11">
        <v>1</v>
      </c>
      <c r="G57" s="10"/>
      <c r="H57" s="10"/>
      <c r="I57" s="10"/>
      <c r="J57" s="11"/>
      <c r="K57" s="20" t="s">
        <v>136</v>
      </c>
      <c r="L57" s="20"/>
      <c r="M57" s="20"/>
    </row>
    <row r="58" spans="2:13" x14ac:dyDescent="0.3">
      <c r="B58" s="10"/>
      <c r="C58" s="10" t="s">
        <v>121</v>
      </c>
      <c r="D58" s="10" t="s">
        <v>104</v>
      </c>
      <c r="E58" s="11" t="s">
        <v>101</v>
      </c>
      <c r="F58" s="11">
        <v>1</v>
      </c>
      <c r="G58" s="10"/>
      <c r="H58" s="10"/>
      <c r="I58" s="10"/>
      <c r="J58" s="11"/>
      <c r="K58" s="20" t="s">
        <v>137</v>
      </c>
      <c r="L58" s="20"/>
      <c r="M58" s="20"/>
    </row>
    <row r="59" spans="2:13" x14ac:dyDescent="0.3">
      <c r="B59" s="10"/>
      <c r="C59" s="10" t="s">
        <v>121</v>
      </c>
      <c r="D59" s="10" t="s">
        <v>104</v>
      </c>
      <c r="E59" s="11" t="s">
        <v>101</v>
      </c>
      <c r="F59" s="11">
        <v>1</v>
      </c>
      <c r="G59" s="10"/>
      <c r="H59" s="10"/>
      <c r="I59" s="10"/>
      <c r="J59" s="11"/>
      <c r="K59" s="20" t="s">
        <v>138</v>
      </c>
      <c r="L59" s="20"/>
      <c r="M59" s="20"/>
    </row>
    <row r="60" spans="2:13" x14ac:dyDescent="0.3">
      <c r="B60" s="10"/>
      <c r="C60" s="10" t="s">
        <v>121</v>
      </c>
      <c r="D60" s="10" t="s">
        <v>104</v>
      </c>
      <c r="E60" s="11" t="s">
        <v>101</v>
      </c>
      <c r="F60" s="11">
        <v>1</v>
      </c>
      <c r="G60" s="10"/>
      <c r="H60" s="10"/>
      <c r="I60" s="10"/>
      <c r="J60" s="11"/>
      <c r="K60" s="20" t="s">
        <v>139</v>
      </c>
      <c r="L60" s="20"/>
      <c r="M60" s="20"/>
    </row>
    <row r="61" spans="2:13" x14ac:dyDescent="0.3">
      <c r="B61" s="10"/>
      <c r="C61" s="10" t="s">
        <v>121</v>
      </c>
      <c r="D61" s="10" t="s">
        <v>104</v>
      </c>
      <c r="E61" s="11" t="s">
        <v>101</v>
      </c>
      <c r="F61" s="11">
        <v>1</v>
      </c>
      <c r="G61" s="10"/>
      <c r="H61" s="10"/>
      <c r="I61" s="10"/>
      <c r="J61" s="11"/>
      <c r="K61" s="20" t="s">
        <v>140</v>
      </c>
      <c r="L61" s="20"/>
      <c r="M61" s="20"/>
    </row>
    <row r="62" spans="2:13" x14ac:dyDescent="0.3">
      <c r="B62" s="10"/>
      <c r="C62" s="10" t="s">
        <v>121</v>
      </c>
      <c r="D62" s="10" t="s">
        <v>104</v>
      </c>
      <c r="E62" s="11" t="s">
        <v>101</v>
      </c>
      <c r="F62" s="11">
        <v>1</v>
      </c>
      <c r="G62" s="10"/>
      <c r="H62" s="10"/>
      <c r="I62" s="10"/>
      <c r="J62" s="11"/>
      <c r="K62" s="20" t="s">
        <v>141</v>
      </c>
      <c r="L62" s="20"/>
      <c r="M62" s="20"/>
    </row>
    <row r="63" spans="2:13" x14ac:dyDescent="0.3">
      <c r="B63" s="10"/>
      <c r="C63" s="10" t="s">
        <v>121</v>
      </c>
      <c r="D63" s="10" t="s">
        <v>104</v>
      </c>
      <c r="E63" s="11" t="s">
        <v>101</v>
      </c>
      <c r="F63" s="11">
        <v>1</v>
      </c>
      <c r="G63" s="10"/>
      <c r="H63" s="10"/>
      <c r="I63" s="10"/>
      <c r="J63" s="11"/>
      <c r="K63" s="20" t="s">
        <v>142</v>
      </c>
      <c r="L63" s="20"/>
      <c r="M63" s="20"/>
    </row>
    <row r="64" spans="2:13" x14ac:dyDescent="0.3">
      <c r="B64" s="10"/>
      <c r="C64" s="10" t="s">
        <v>121</v>
      </c>
      <c r="D64" s="10" t="s">
        <v>104</v>
      </c>
      <c r="E64" s="11" t="s">
        <v>101</v>
      </c>
      <c r="F64" s="11">
        <v>1</v>
      </c>
      <c r="G64" s="10"/>
      <c r="H64" s="10"/>
      <c r="I64" s="10"/>
      <c r="J64" s="11"/>
      <c r="K64" s="20" t="s">
        <v>143</v>
      </c>
      <c r="L64" s="20"/>
      <c r="M64" s="20"/>
    </row>
    <row r="65" spans="2:13" x14ac:dyDescent="0.3">
      <c r="B65" s="10"/>
      <c r="C65" s="10" t="s">
        <v>121</v>
      </c>
      <c r="D65" s="10" t="s">
        <v>104</v>
      </c>
      <c r="E65" s="11" t="s">
        <v>101</v>
      </c>
      <c r="F65" s="11">
        <v>1</v>
      </c>
      <c r="G65" s="10"/>
      <c r="H65" s="10"/>
      <c r="I65" s="10"/>
      <c r="J65" s="11"/>
      <c r="K65" s="20" t="s">
        <v>144</v>
      </c>
      <c r="L65" s="20"/>
      <c r="M65" s="20"/>
    </row>
    <row r="66" spans="2:13" x14ac:dyDescent="0.3">
      <c r="B66" s="10"/>
      <c r="C66" s="10" t="s">
        <v>121</v>
      </c>
      <c r="D66" s="10" t="s">
        <v>104</v>
      </c>
      <c r="E66" s="11" t="s">
        <v>101</v>
      </c>
      <c r="F66" s="11">
        <v>1</v>
      </c>
      <c r="G66" s="10"/>
      <c r="H66" s="10"/>
      <c r="I66" s="10"/>
      <c r="J66" s="11"/>
      <c r="K66" s="20" t="s">
        <v>145</v>
      </c>
      <c r="L66" s="20"/>
      <c r="M66" s="20"/>
    </row>
    <row r="67" spans="2:13" x14ac:dyDescent="0.3">
      <c r="B67" s="10"/>
      <c r="C67" s="10" t="s">
        <v>121</v>
      </c>
      <c r="D67" s="10" t="s">
        <v>104</v>
      </c>
      <c r="E67" s="11" t="s">
        <v>101</v>
      </c>
      <c r="F67" s="11">
        <v>1</v>
      </c>
      <c r="G67" s="10"/>
      <c r="H67" s="10"/>
      <c r="I67" s="10"/>
      <c r="J67" s="11"/>
      <c r="K67" s="20" t="s">
        <v>146</v>
      </c>
      <c r="L67" s="20"/>
      <c r="M67" s="20"/>
    </row>
    <row r="68" spans="2:13" x14ac:dyDescent="0.3">
      <c r="B68" s="10"/>
      <c r="C68" s="10" t="s">
        <v>121</v>
      </c>
      <c r="D68" s="10" t="s">
        <v>104</v>
      </c>
      <c r="E68" s="11" t="s">
        <v>101</v>
      </c>
      <c r="F68" s="11">
        <v>1</v>
      </c>
      <c r="G68" s="10"/>
      <c r="H68" s="10"/>
      <c r="I68" s="10"/>
      <c r="J68" s="11"/>
      <c r="K68" s="20" t="s">
        <v>147</v>
      </c>
      <c r="L68" s="20"/>
      <c r="M68" s="20"/>
    </row>
    <row r="69" spans="2:13" x14ac:dyDescent="0.3">
      <c r="B69" s="10"/>
      <c r="C69" s="10" t="s">
        <v>121</v>
      </c>
      <c r="D69" s="10" t="s">
        <v>104</v>
      </c>
      <c r="E69" s="11" t="s">
        <v>101</v>
      </c>
      <c r="F69" s="11">
        <v>1</v>
      </c>
      <c r="G69" s="10"/>
      <c r="H69" s="10"/>
      <c r="I69" s="10"/>
      <c r="J69" s="11"/>
      <c r="K69" s="20" t="s">
        <v>148</v>
      </c>
      <c r="L69" s="20"/>
      <c r="M69" s="20"/>
    </row>
    <row r="70" spans="2:13" x14ac:dyDescent="0.3">
      <c r="B70" s="10"/>
      <c r="C70" s="10" t="s">
        <v>121</v>
      </c>
      <c r="D70" s="10" t="s">
        <v>104</v>
      </c>
      <c r="E70" s="11" t="s">
        <v>101</v>
      </c>
      <c r="F70" s="11">
        <v>1</v>
      </c>
      <c r="G70" s="10"/>
      <c r="H70" s="10"/>
      <c r="I70" s="10"/>
      <c r="J70" s="11"/>
      <c r="K70" s="20" t="s">
        <v>149</v>
      </c>
      <c r="L70" s="20"/>
      <c r="M70" s="20"/>
    </row>
    <row r="71" spans="2:13" x14ac:dyDescent="0.3">
      <c r="B71" s="10"/>
      <c r="C71" s="10" t="s">
        <v>121</v>
      </c>
      <c r="D71" s="10" t="s">
        <v>104</v>
      </c>
      <c r="E71" s="11" t="s">
        <v>101</v>
      </c>
      <c r="F71" s="11">
        <v>1</v>
      </c>
      <c r="G71" s="10"/>
      <c r="H71" s="10"/>
      <c r="I71" s="10"/>
      <c r="J71" s="11"/>
      <c r="K71" s="20" t="s">
        <v>150</v>
      </c>
      <c r="L71" s="20"/>
      <c r="M71" s="20"/>
    </row>
    <row r="72" spans="2:13" x14ac:dyDescent="0.3">
      <c r="B72" s="10"/>
      <c r="C72" s="10" t="s">
        <v>121</v>
      </c>
      <c r="D72" s="10" t="s">
        <v>104</v>
      </c>
      <c r="E72" s="11" t="s">
        <v>101</v>
      </c>
      <c r="F72" s="11">
        <v>1</v>
      </c>
      <c r="G72" s="10"/>
      <c r="H72" s="10"/>
      <c r="I72" s="10"/>
      <c r="J72" s="11"/>
      <c r="K72" s="20" t="s">
        <v>151</v>
      </c>
      <c r="L72" s="20"/>
      <c r="M72" s="20"/>
    </row>
    <row r="73" spans="2:13" x14ac:dyDescent="0.3">
      <c r="B73" s="10"/>
      <c r="C73" s="10" t="s">
        <v>121</v>
      </c>
      <c r="D73" s="10" t="s">
        <v>104</v>
      </c>
      <c r="E73" s="11" t="s">
        <v>101</v>
      </c>
      <c r="F73" s="11">
        <v>1</v>
      </c>
      <c r="G73" s="10"/>
      <c r="H73" s="10"/>
      <c r="I73" s="10"/>
      <c r="J73" s="11"/>
      <c r="K73" s="20" t="s">
        <v>152</v>
      </c>
      <c r="L73" s="20"/>
      <c r="M73" s="20"/>
    </row>
    <row r="74" spans="2:13" x14ac:dyDescent="0.3">
      <c r="B74" s="10"/>
      <c r="C74" s="10" t="s">
        <v>121</v>
      </c>
      <c r="D74" s="10" t="s">
        <v>104</v>
      </c>
      <c r="E74" s="11" t="s">
        <v>101</v>
      </c>
      <c r="F74" s="11">
        <v>1</v>
      </c>
      <c r="G74" s="10"/>
      <c r="H74" s="10"/>
      <c r="I74" s="10"/>
      <c r="J74" s="11"/>
      <c r="K74" s="20" t="s">
        <v>153</v>
      </c>
      <c r="L74" s="20"/>
      <c r="M74" s="20"/>
    </row>
    <row r="75" spans="2:13" x14ac:dyDescent="0.3">
      <c r="B75" s="10"/>
      <c r="C75" s="10" t="s">
        <v>121</v>
      </c>
      <c r="D75" s="10" t="s">
        <v>104</v>
      </c>
      <c r="E75" s="11" t="s">
        <v>101</v>
      </c>
      <c r="F75" s="11">
        <v>1</v>
      </c>
      <c r="G75" s="10"/>
      <c r="H75" s="10"/>
      <c r="I75" s="10"/>
      <c r="J75" s="11"/>
      <c r="K75" s="20" t="s">
        <v>154</v>
      </c>
      <c r="L75" s="20"/>
      <c r="M75" s="20"/>
    </row>
    <row r="76" spans="2:13" x14ac:dyDescent="0.3">
      <c r="B76" s="10"/>
      <c r="C76" s="10" t="s">
        <v>121</v>
      </c>
      <c r="D76" s="10" t="s">
        <v>104</v>
      </c>
      <c r="E76" s="11" t="s">
        <v>101</v>
      </c>
      <c r="F76" s="11">
        <v>1</v>
      </c>
      <c r="G76" s="10"/>
      <c r="H76" s="10"/>
      <c r="I76" s="10"/>
      <c r="J76" s="11"/>
      <c r="K76" s="20" t="s">
        <v>155</v>
      </c>
      <c r="L76" s="20"/>
      <c r="M76" s="20"/>
    </row>
    <row r="77" spans="2:13" x14ac:dyDescent="0.3">
      <c r="B77" s="10"/>
      <c r="C77" s="10" t="s">
        <v>121</v>
      </c>
      <c r="D77" s="10" t="s">
        <v>104</v>
      </c>
      <c r="E77" s="11" t="s">
        <v>101</v>
      </c>
      <c r="F77" s="11">
        <v>1</v>
      </c>
      <c r="G77" s="10"/>
      <c r="H77" s="10"/>
      <c r="I77" s="10"/>
      <c r="J77" s="11"/>
      <c r="K77" s="20" t="s">
        <v>156</v>
      </c>
      <c r="L77" s="20"/>
      <c r="M77" s="20"/>
    </row>
    <row r="78" spans="2:13" x14ac:dyDescent="0.3">
      <c r="B78" s="10"/>
      <c r="C78" s="10" t="s">
        <v>121</v>
      </c>
      <c r="D78" s="10" t="s">
        <v>104</v>
      </c>
      <c r="E78" s="11" t="s">
        <v>101</v>
      </c>
      <c r="F78" s="11">
        <v>1</v>
      </c>
      <c r="G78" s="10"/>
      <c r="H78" s="10"/>
      <c r="I78" s="10"/>
      <c r="J78" s="11"/>
      <c r="K78" s="20" t="s">
        <v>157</v>
      </c>
      <c r="L78" s="20"/>
      <c r="M78" s="20"/>
    </row>
    <row r="79" spans="2:13" x14ac:dyDescent="0.3">
      <c r="B79" s="10"/>
      <c r="C79" s="10" t="s">
        <v>121</v>
      </c>
      <c r="D79" s="10" t="s">
        <v>104</v>
      </c>
      <c r="E79" s="11" t="s">
        <v>101</v>
      </c>
      <c r="F79" s="11">
        <v>1</v>
      </c>
      <c r="G79" s="10"/>
      <c r="H79" s="10"/>
      <c r="I79" s="10"/>
      <c r="J79" s="11"/>
      <c r="K79" s="20" t="s">
        <v>158</v>
      </c>
      <c r="L79" s="20"/>
      <c r="M79" s="20"/>
    </row>
    <row r="80" spans="2:13" x14ac:dyDescent="0.3">
      <c r="B80" s="10"/>
      <c r="C80" s="10" t="s">
        <v>121</v>
      </c>
      <c r="D80" s="10" t="s">
        <v>104</v>
      </c>
      <c r="E80" s="11" t="s">
        <v>101</v>
      </c>
      <c r="F80" s="11">
        <v>1</v>
      </c>
      <c r="G80" s="10"/>
      <c r="H80" s="10"/>
      <c r="I80" s="10"/>
      <c r="J80" s="11"/>
      <c r="K80" s="20" t="s">
        <v>159</v>
      </c>
      <c r="L80" s="20"/>
      <c r="M80" s="20"/>
    </row>
    <row r="81" spans="2:13" x14ac:dyDescent="0.3">
      <c r="B81" s="10"/>
      <c r="C81" s="10" t="s">
        <v>121</v>
      </c>
      <c r="D81" s="10" t="s">
        <v>104</v>
      </c>
      <c r="E81" s="11" t="s">
        <v>101</v>
      </c>
      <c r="F81" s="11">
        <v>1</v>
      </c>
      <c r="G81" s="10"/>
      <c r="H81" s="10"/>
      <c r="I81" s="10"/>
      <c r="J81" s="11"/>
      <c r="K81" s="20" t="s">
        <v>160</v>
      </c>
      <c r="L81" s="20"/>
      <c r="M81" s="20"/>
    </row>
    <row r="82" spans="2:13" x14ac:dyDescent="0.3">
      <c r="B82" s="10"/>
      <c r="C82" s="10" t="s">
        <v>121</v>
      </c>
      <c r="D82" s="10" t="s">
        <v>104</v>
      </c>
      <c r="E82" s="11" t="s">
        <v>101</v>
      </c>
      <c r="F82" s="11">
        <v>1</v>
      </c>
      <c r="G82" s="10"/>
      <c r="H82" s="10"/>
      <c r="I82" s="10"/>
      <c r="J82" s="11"/>
      <c r="K82" s="20" t="s">
        <v>161</v>
      </c>
      <c r="L82" s="20"/>
      <c r="M82" s="20"/>
    </row>
    <row r="83" spans="2:13" x14ac:dyDescent="0.3">
      <c r="B83" s="10"/>
      <c r="C83" s="10" t="s">
        <v>121</v>
      </c>
      <c r="D83" s="10" t="s">
        <v>104</v>
      </c>
      <c r="E83" s="11" t="s">
        <v>101</v>
      </c>
      <c r="F83" s="11">
        <v>1</v>
      </c>
      <c r="G83" s="10"/>
      <c r="H83" s="10"/>
      <c r="I83" s="10"/>
      <c r="J83" s="11"/>
      <c r="K83" s="20" t="s">
        <v>162</v>
      </c>
      <c r="L83" s="20"/>
      <c r="M83" s="20"/>
    </row>
    <row r="84" spans="2:13" x14ac:dyDescent="0.3">
      <c r="B84" s="10"/>
      <c r="C84" s="10" t="s">
        <v>121</v>
      </c>
      <c r="D84" s="10" t="s">
        <v>104</v>
      </c>
      <c r="E84" s="11" t="s">
        <v>101</v>
      </c>
      <c r="F84" s="11">
        <v>1</v>
      </c>
      <c r="G84" s="10"/>
      <c r="H84" s="10"/>
      <c r="I84" s="10"/>
      <c r="J84" s="11"/>
      <c r="K84" s="20" t="s">
        <v>163</v>
      </c>
      <c r="L84" s="20"/>
      <c r="M84" s="20"/>
    </row>
    <row r="85" spans="2:13" x14ac:dyDescent="0.3">
      <c r="B85" s="10"/>
      <c r="C85" s="10" t="s">
        <v>121</v>
      </c>
      <c r="D85" s="10" t="s">
        <v>104</v>
      </c>
      <c r="E85" s="11" t="s">
        <v>101</v>
      </c>
      <c r="F85" s="11">
        <v>1</v>
      </c>
      <c r="G85" s="10"/>
      <c r="H85" s="10"/>
      <c r="I85" s="10"/>
      <c r="J85" s="11"/>
      <c r="K85" s="20" t="s">
        <v>164</v>
      </c>
      <c r="L85" s="20"/>
      <c r="M85" s="20"/>
    </row>
    <row r="86" spans="2:13" x14ac:dyDescent="0.3">
      <c r="B86" s="10"/>
      <c r="C86" s="10" t="s">
        <v>121</v>
      </c>
      <c r="D86" s="10" t="s">
        <v>104</v>
      </c>
      <c r="E86" s="11" t="s">
        <v>101</v>
      </c>
      <c r="F86" s="11">
        <v>1</v>
      </c>
      <c r="G86" s="10"/>
      <c r="H86" s="10"/>
      <c r="I86" s="10"/>
      <c r="J86" s="11"/>
      <c r="K86" s="20" t="s">
        <v>165</v>
      </c>
      <c r="L86" s="20"/>
      <c r="M86" s="20"/>
    </row>
    <row r="87" spans="2:13" x14ac:dyDescent="0.3">
      <c r="B87" s="10"/>
      <c r="C87" s="10" t="s">
        <v>121</v>
      </c>
      <c r="D87" s="10" t="s">
        <v>104</v>
      </c>
      <c r="E87" s="11" t="s">
        <v>101</v>
      </c>
      <c r="F87" s="11">
        <v>1</v>
      </c>
      <c r="G87" s="10"/>
      <c r="H87" s="10"/>
      <c r="I87" s="10"/>
      <c r="J87" s="11"/>
      <c r="K87" s="20" t="s">
        <v>166</v>
      </c>
      <c r="L87" s="20"/>
      <c r="M87" s="20"/>
    </row>
    <row r="88" spans="2:13" x14ac:dyDescent="0.3">
      <c r="B88" s="26"/>
      <c r="C88" s="26"/>
      <c r="D88" s="26" t="s">
        <v>122</v>
      </c>
      <c r="E88" s="27"/>
      <c r="F88" s="27"/>
      <c r="G88" s="26"/>
      <c r="H88" s="26"/>
      <c r="I88" s="26"/>
      <c r="J88" s="26"/>
      <c r="K88" s="26"/>
      <c r="L88" s="26"/>
      <c r="M88" s="26"/>
    </row>
    <row r="89" spans="2:13" x14ac:dyDescent="0.3">
      <c r="B89" s="20"/>
      <c r="C89" s="20"/>
      <c r="D89" s="20" t="s">
        <v>356</v>
      </c>
      <c r="E89" s="22">
        <v>2015</v>
      </c>
      <c r="F89" s="22">
        <v>1</v>
      </c>
      <c r="G89" s="22"/>
      <c r="H89" s="20" t="s">
        <v>544</v>
      </c>
      <c r="I89" s="20" t="s">
        <v>358</v>
      </c>
      <c r="J89" s="20"/>
      <c r="K89" s="20"/>
      <c r="L89" s="20"/>
      <c r="M89" s="20"/>
    </row>
    <row r="90" spans="2:13" x14ac:dyDescent="0.3">
      <c r="B90" s="20"/>
      <c r="C90" s="20"/>
      <c r="D90" s="20" t="s">
        <v>356</v>
      </c>
      <c r="E90" s="22">
        <v>2015</v>
      </c>
      <c r="F90" s="22">
        <v>1</v>
      </c>
      <c r="G90" s="22"/>
      <c r="H90" s="20" t="s">
        <v>544</v>
      </c>
      <c r="I90" s="20" t="s">
        <v>359</v>
      </c>
      <c r="J90" s="20"/>
      <c r="K90" s="20"/>
      <c r="L90" s="20"/>
      <c r="M90" s="20"/>
    </row>
    <row r="91" spans="2:13" x14ac:dyDescent="0.3">
      <c r="E91" s="5"/>
      <c r="F91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U23"/>
  <sheetViews>
    <sheetView workbookViewId="0"/>
  </sheetViews>
  <sheetFormatPr defaultRowHeight="14.4" x14ac:dyDescent="0.3"/>
  <cols>
    <col min="4" max="4" width="11.6640625" customWidth="1"/>
  </cols>
  <sheetData>
    <row r="3" spans="2:21" x14ac:dyDescent="0.3">
      <c r="B3" s="7" t="s">
        <v>8</v>
      </c>
      <c r="P3" t="s">
        <v>193</v>
      </c>
    </row>
    <row r="4" spans="2:21" x14ac:dyDescent="0.3">
      <c r="B4" s="1" t="s">
        <v>0</v>
      </c>
      <c r="C4" s="1" t="s">
        <v>1</v>
      </c>
      <c r="D4" s="1" t="s">
        <v>2</v>
      </c>
      <c r="E4" s="1" t="s">
        <v>360</v>
      </c>
      <c r="F4" s="6" t="s">
        <v>3</v>
      </c>
      <c r="G4" s="2" t="s">
        <v>4</v>
      </c>
      <c r="H4" s="1" t="s">
        <v>5</v>
      </c>
      <c r="I4" s="1" t="s">
        <v>6</v>
      </c>
      <c r="J4" s="1" t="s">
        <v>58</v>
      </c>
      <c r="K4" s="1" t="s">
        <v>59</v>
      </c>
      <c r="L4" s="1" t="s">
        <v>102</v>
      </c>
      <c r="M4" s="1"/>
      <c r="P4" t="s">
        <v>194</v>
      </c>
    </row>
    <row r="5" spans="2:21" x14ac:dyDescent="0.3">
      <c r="B5" s="10" t="s">
        <v>10</v>
      </c>
      <c r="C5" s="10" t="s">
        <v>9</v>
      </c>
      <c r="D5" s="10" t="s">
        <v>104</v>
      </c>
      <c r="E5" s="11"/>
      <c r="F5" s="11">
        <v>0</v>
      </c>
      <c r="G5" s="11">
        <v>4</v>
      </c>
      <c r="H5" s="10"/>
      <c r="I5" s="10"/>
      <c r="J5" s="10"/>
      <c r="K5" s="10"/>
      <c r="L5" s="10" t="str">
        <f>MID(DISOTUC!P5,14,29)</f>
        <v>UC_TraBatChgStn_LnkTo_Evs_PiH</v>
      </c>
      <c r="M5" s="10"/>
      <c r="P5" t="s">
        <v>195</v>
      </c>
    </row>
    <row r="6" spans="2:21" x14ac:dyDescent="0.3">
      <c r="B6" s="10"/>
      <c r="C6" s="10"/>
      <c r="D6" s="10" t="s">
        <v>122</v>
      </c>
      <c r="E6" s="10"/>
      <c r="F6" s="10"/>
      <c r="G6" s="10"/>
      <c r="H6" s="10"/>
      <c r="I6" s="10"/>
      <c r="J6" s="10"/>
      <c r="K6" s="10"/>
      <c r="L6" s="10"/>
      <c r="M6" s="10"/>
      <c r="P6" t="s">
        <v>196</v>
      </c>
    </row>
    <row r="7" spans="2:21" x14ac:dyDescent="0.3">
      <c r="B7" s="10"/>
      <c r="C7" s="10" t="s">
        <v>121</v>
      </c>
      <c r="D7" s="10" t="s">
        <v>103</v>
      </c>
      <c r="E7" s="11"/>
      <c r="F7" s="11">
        <v>0</v>
      </c>
      <c r="G7" s="11">
        <v>1</v>
      </c>
      <c r="H7" s="10"/>
      <c r="I7" s="10"/>
      <c r="J7" s="10"/>
      <c r="K7" s="10"/>
      <c r="L7" s="10" t="s">
        <v>398</v>
      </c>
      <c r="M7" s="10"/>
    </row>
    <row r="8" spans="2:21" x14ac:dyDescent="0.3">
      <c r="B8" s="10"/>
      <c r="C8" s="10" t="s">
        <v>121</v>
      </c>
      <c r="D8" s="10" t="s">
        <v>103</v>
      </c>
      <c r="E8" s="11"/>
      <c r="F8" s="11">
        <v>0</v>
      </c>
      <c r="G8" s="11">
        <v>1</v>
      </c>
      <c r="H8" s="10"/>
      <c r="I8" s="10"/>
      <c r="J8" s="10"/>
      <c r="K8" s="10"/>
      <c r="L8" s="10" t="s">
        <v>399</v>
      </c>
      <c r="M8" s="10"/>
      <c r="P8" t="s">
        <v>398</v>
      </c>
    </row>
    <row r="9" spans="2:21" x14ac:dyDescent="0.3">
      <c r="B9" s="10"/>
      <c r="C9" s="10" t="s">
        <v>121</v>
      </c>
      <c r="D9" s="10" t="s">
        <v>103</v>
      </c>
      <c r="E9" s="11"/>
      <c r="F9" s="11">
        <v>0</v>
      </c>
      <c r="G9" s="11">
        <v>1</v>
      </c>
      <c r="H9" s="10"/>
      <c r="I9" s="10"/>
      <c r="J9" s="10"/>
      <c r="K9" s="10"/>
      <c r="L9" s="10" t="s">
        <v>400</v>
      </c>
      <c r="M9" s="10"/>
      <c r="P9" t="s">
        <v>399</v>
      </c>
    </row>
    <row r="10" spans="2:21" x14ac:dyDescent="0.3">
      <c r="B10" s="10"/>
      <c r="C10" s="10" t="s">
        <v>121</v>
      </c>
      <c r="D10" s="10" t="s">
        <v>103</v>
      </c>
      <c r="E10" s="11"/>
      <c r="F10" s="11">
        <v>0</v>
      </c>
      <c r="G10" s="11">
        <v>1</v>
      </c>
      <c r="H10" s="10"/>
      <c r="I10" s="10"/>
      <c r="J10" s="10"/>
      <c r="K10" s="10"/>
      <c r="L10" s="10" t="s">
        <v>401</v>
      </c>
      <c r="M10" s="10"/>
      <c r="P10" t="s">
        <v>400</v>
      </c>
    </row>
    <row r="11" spans="2:21" x14ac:dyDescent="0.3">
      <c r="B11" s="10"/>
      <c r="C11" s="10"/>
      <c r="D11" s="10" t="s">
        <v>57</v>
      </c>
      <c r="E11" s="11"/>
      <c r="F11" s="11"/>
      <c r="G11" s="11">
        <v>2150</v>
      </c>
      <c r="H11" s="10"/>
      <c r="I11" s="10" t="s">
        <v>56</v>
      </c>
      <c r="J11" s="10"/>
      <c r="K11" s="10"/>
      <c r="L11" s="10"/>
      <c r="M11" s="10"/>
      <c r="P11" t="s">
        <v>401</v>
      </c>
      <c r="U11" t="s">
        <v>531</v>
      </c>
    </row>
    <row r="12" spans="2:21" x14ac:dyDescent="0.3">
      <c r="B12" s="10"/>
      <c r="C12" s="10" t="s">
        <v>121</v>
      </c>
      <c r="D12" s="20" t="s">
        <v>103</v>
      </c>
      <c r="E12" s="11"/>
      <c r="F12" s="11" t="s">
        <v>101</v>
      </c>
      <c r="G12" s="11">
        <v>1</v>
      </c>
      <c r="H12" s="10"/>
      <c r="I12" s="10"/>
      <c r="J12" s="10"/>
      <c r="K12" s="10"/>
      <c r="L12" s="10" t="str">
        <f>MID($P$13,15,15)</f>
        <v>UC_ForecastHeat</v>
      </c>
      <c r="M12" s="10"/>
      <c r="U12" t="s">
        <v>532</v>
      </c>
    </row>
    <row r="13" spans="2:21" x14ac:dyDescent="0.3">
      <c r="P13" t="s">
        <v>533</v>
      </c>
      <c r="U13" t="s">
        <v>533</v>
      </c>
    </row>
    <row r="15" spans="2:21" x14ac:dyDescent="0.3">
      <c r="B15" s="7" t="s">
        <v>361</v>
      </c>
      <c r="P15" t="s">
        <v>403</v>
      </c>
    </row>
    <row r="16" spans="2:21" x14ac:dyDescent="0.3">
      <c r="B16" s="1" t="s">
        <v>0</v>
      </c>
      <c r="C16" s="1" t="s">
        <v>1</v>
      </c>
      <c r="D16" s="1" t="s">
        <v>2</v>
      </c>
      <c r="E16" s="1" t="s">
        <v>188</v>
      </c>
      <c r="F16" s="12">
        <v>2010</v>
      </c>
      <c r="G16" s="12">
        <v>2015</v>
      </c>
      <c r="H16" s="12">
        <v>2020</v>
      </c>
      <c r="I16" s="12">
        <v>2040</v>
      </c>
      <c r="J16" s="12">
        <v>2050</v>
      </c>
      <c r="K16" s="12">
        <v>0</v>
      </c>
      <c r="L16" s="1" t="s">
        <v>550</v>
      </c>
      <c r="M16" s="1" t="s">
        <v>102</v>
      </c>
      <c r="N16" s="1"/>
      <c r="P16" t="s">
        <v>404</v>
      </c>
    </row>
    <row r="17" spans="2:16" x14ac:dyDescent="0.3">
      <c r="B17" s="20" t="s">
        <v>10</v>
      </c>
      <c r="C17" s="20" t="s">
        <v>123</v>
      </c>
      <c r="D17" s="20" t="s">
        <v>104</v>
      </c>
      <c r="E17" s="22" t="s">
        <v>259</v>
      </c>
      <c r="F17" s="20"/>
      <c r="G17" s="20"/>
      <c r="H17" s="22">
        <v>0</v>
      </c>
      <c r="I17" s="22">
        <v>0</v>
      </c>
      <c r="J17" s="20"/>
      <c r="K17" s="22">
        <v>11</v>
      </c>
      <c r="L17" s="22">
        <v>0</v>
      </c>
      <c r="M17" s="23" t="s">
        <v>549</v>
      </c>
      <c r="N17" s="20"/>
      <c r="P17" t="s">
        <v>424</v>
      </c>
    </row>
    <row r="18" spans="2:16" x14ac:dyDescent="0.3">
      <c r="B18" s="20" t="s">
        <v>10</v>
      </c>
      <c r="C18" s="20" t="s">
        <v>123</v>
      </c>
      <c r="D18" s="20" t="s">
        <v>104</v>
      </c>
      <c r="E18" s="22" t="s">
        <v>551</v>
      </c>
      <c r="F18" s="20"/>
      <c r="G18" s="20"/>
      <c r="H18" s="22">
        <v>0</v>
      </c>
      <c r="I18" s="22">
        <v>0</v>
      </c>
      <c r="J18" s="20"/>
      <c r="K18" s="22">
        <v>11</v>
      </c>
      <c r="L18" s="22">
        <v>0</v>
      </c>
      <c r="M18" s="23" t="s">
        <v>549</v>
      </c>
      <c r="N18" s="20"/>
      <c r="P18" t="s">
        <v>425</v>
      </c>
    </row>
    <row r="19" spans="2:16" x14ac:dyDescent="0.3">
      <c r="B19" s="20" t="s">
        <v>10</v>
      </c>
      <c r="C19" s="20" t="s">
        <v>123</v>
      </c>
      <c r="D19" s="20" t="s">
        <v>104</v>
      </c>
      <c r="E19" s="22" t="s">
        <v>261</v>
      </c>
      <c r="F19" s="20"/>
      <c r="G19" s="20"/>
      <c r="H19" s="22">
        <v>0</v>
      </c>
      <c r="I19" s="22">
        <v>0</v>
      </c>
      <c r="J19" s="20"/>
      <c r="K19" s="22">
        <v>11</v>
      </c>
      <c r="L19" s="22">
        <v>0</v>
      </c>
      <c r="M19" s="23" t="s">
        <v>549</v>
      </c>
      <c r="N19" s="20"/>
    </row>
    <row r="20" spans="2:16" x14ac:dyDescent="0.3">
      <c r="B20" s="20"/>
      <c r="C20" s="20" t="s">
        <v>123</v>
      </c>
      <c r="D20" s="20" t="s">
        <v>103</v>
      </c>
      <c r="E20" s="22" t="s">
        <v>565</v>
      </c>
      <c r="F20" s="20"/>
      <c r="G20" s="20"/>
      <c r="H20" s="22"/>
      <c r="I20" s="22"/>
      <c r="J20" s="20"/>
      <c r="K20" s="22">
        <v>1</v>
      </c>
      <c r="L20" s="22">
        <v>0</v>
      </c>
      <c r="M20" s="23" t="str">
        <f>MID($P20,16,25)</f>
        <v>UC_Interconn_INV_MS_15pct</v>
      </c>
      <c r="N20" s="20"/>
      <c r="P20" t="s">
        <v>530</v>
      </c>
    </row>
    <row r="21" spans="2:16" x14ac:dyDescent="0.3">
      <c r="B21" s="20" t="s">
        <v>10</v>
      </c>
      <c r="C21" s="20" t="s">
        <v>9</v>
      </c>
      <c r="D21" s="20" t="s">
        <v>104</v>
      </c>
      <c r="E21" s="22" t="s">
        <v>558</v>
      </c>
      <c r="F21" s="20"/>
      <c r="G21" s="20"/>
      <c r="H21" s="22"/>
      <c r="I21" s="22"/>
      <c r="J21" s="20"/>
      <c r="K21" s="22">
        <v>1</v>
      </c>
      <c r="L21" s="22"/>
      <c r="M21" s="23" t="str">
        <f>MID($P22,4,16)</f>
        <v>UC_NONDECRSOLCAP</v>
      </c>
      <c r="N21" s="20"/>
      <c r="P21" t="s">
        <v>179</v>
      </c>
    </row>
    <row r="22" spans="2:16" x14ac:dyDescent="0.3">
      <c r="B22" s="20" t="s">
        <v>10</v>
      </c>
      <c r="C22" s="20" t="s">
        <v>9</v>
      </c>
      <c r="D22" s="20" t="s">
        <v>104</v>
      </c>
      <c r="E22" s="22" t="s">
        <v>558</v>
      </c>
      <c r="F22" s="20"/>
      <c r="G22" s="20"/>
      <c r="H22" s="22"/>
      <c r="I22" s="22"/>
      <c r="J22" s="20"/>
      <c r="K22" s="22">
        <v>1</v>
      </c>
      <c r="L22" s="22"/>
      <c r="M22" s="23" t="str">
        <f>MID($P23,4,18)</f>
        <v>UC_NonDecrWinONCAP</v>
      </c>
      <c r="N22" s="20"/>
      <c r="P22" t="s">
        <v>675</v>
      </c>
    </row>
    <row r="23" spans="2:16" x14ac:dyDescent="0.3">
      <c r="P23" t="s">
        <v>676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D100"/>
  <sheetViews>
    <sheetView tabSelected="1" topLeftCell="A2" workbookViewId="0">
      <selection activeCell="D12" sqref="D12"/>
    </sheetView>
  </sheetViews>
  <sheetFormatPr defaultRowHeight="14.4" x14ac:dyDescent="0.3"/>
  <cols>
    <col min="3" max="3" width="8.33203125" customWidth="1"/>
    <col min="4" max="4" width="12.6640625" customWidth="1"/>
    <col min="5" max="5" width="5.6640625" customWidth="1"/>
    <col min="6" max="10" width="8.5546875" customWidth="1"/>
    <col min="11" max="11" width="10.88671875" customWidth="1"/>
    <col min="17" max="17" width="7.88671875" customWidth="1"/>
  </cols>
  <sheetData>
    <row r="2" spans="2:29" x14ac:dyDescent="0.3">
      <c r="B2" s="7" t="s">
        <v>361</v>
      </c>
      <c r="O2" t="s">
        <v>167</v>
      </c>
      <c r="S2" t="s">
        <v>167</v>
      </c>
    </row>
    <row r="3" spans="2:29" x14ac:dyDescent="0.3">
      <c r="B3" s="1" t="s">
        <v>0</v>
      </c>
      <c r="C3" s="1" t="s">
        <v>1</v>
      </c>
      <c r="D3" s="1" t="s">
        <v>2</v>
      </c>
      <c r="E3" s="1" t="s">
        <v>188</v>
      </c>
      <c r="F3" s="12">
        <v>2010</v>
      </c>
      <c r="G3" s="12">
        <v>2015</v>
      </c>
      <c r="H3" s="12">
        <v>2020</v>
      </c>
      <c r="I3" s="12">
        <v>2030</v>
      </c>
      <c r="J3" s="12">
        <v>2050</v>
      </c>
      <c r="K3" s="1" t="s">
        <v>102</v>
      </c>
      <c r="L3" s="1"/>
      <c r="O3" t="s">
        <v>392</v>
      </c>
      <c r="S3" t="s">
        <v>168</v>
      </c>
    </row>
    <row r="4" spans="2:29" x14ac:dyDescent="0.3">
      <c r="B4" s="10"/>
      <c r="C4" s="10" t="s">
        <v>9</v>
      </c>
      <c r="D4" s="10" t="s">
        <v>103</v>
      </c>
      <c r="E4" s="10" t="s">
        <v>189</v>
      </c>
      <c r="F4" s="10"/>
      <c r="G4" s="10"/>
      <c r="H4" s="10">
        <v>1.91</v>
      </c>
      <c r="I4" s="10">
        <v>1.91</v>
      </c>
      <c r="J4" s="10"/>
      <c r="K4" s="10" t="str">
        <f>MID(S3,4,17)</f>
        <v>AU_NUC_CAPLifeExt</v>
      </c>
      <c r="L4" s="10"/>
      <c r="O4" t="s">
        <v>393</v>
      </c>
      <c r="S4" t="s">
        <v>169</v>
      </c>
    </row>
    <row r="5" spans="2:29" x14ac:dyDescent="0.3">
      <c r="B5" s="10"/>
      <c r="C5" s="10" t="s">
        <v>9</v>
      </c>
      <c r="D5" s="10" t="s">
        <v>103</v>
      </c>
      <c r="E5" s="10" t="s">
        <v>190</v>
      </c>
      <c r="F5" s="10"/>
      <c r="G5" s="10"/>
      <c r="H5" s="10">
        <v>1.31</v>
      </c>
      <c r="I5" s="10">
        <v>1.31</v>
      </c>
      <c r="J5" s="10"/>
      <c r="K5" s="10" t="str">
        <f>MID(S4,4,17)</f>
        <v>AU_NUC_CAPLifeExt</v>
      </c>
      <c r="L5" s="10"/>
      <c r="O5" t="s">
        <v>394</v>
      </c>
      <c r="S5" t="s">
        <v>170</v>
      </c>
    </row>
    <row r="6" spans="2:29" x14ac:dyDescent="0.3">
      <c r="B6" s="10"/>
      <c r="C6" s="10" t="s">
        <v>9</v>
      </c>
      <c r="D6" s="10" t="s">
        <v>103</v>
      </c>
      <c r="E6" s="10" t="s">
        <v>608</v>
      </c>
      <c r="F6" s="10"/>
      <c r="G6" s="10">
        <f>MID($O3,30,12)*1</f>
        <v>9.4339200000000005</v>
      </c>
      <c r="H6" s="10">
        <f>G6</f>
        <v>9.4339200000000005</v>
      </c>
      <c r="I6" s="10">
        <f>H6*0.695</f>
        <v>6.5565743999999997</v>
      </c>
      <c r="J6" s="10"/>
      <c r="K6" s="10" t="str">
        <f>MID(O3,4,17)</f>
        <v>AU_NUC_CAPLifeExt</v>
      </c>
      <c r="L6" s="10"/>
      <c r="S6" t="s">
        <v>171</v>
      </c>
      <c r="V6" s="24"/>
      <c r="W6" s="24"/>
      <c r="X6" s="24"/>
      <c r="Y6" s="24"/>
      <c r="Z6" s="24"/>
      <c r="AA6" s="24"/>
      <c r="AB6" s="24"/>
      <c r="AC6" s="24"/>
    </row>
    <row r="7" spans="2:29" x14ac:dyDescent="0.3">
      <c r="B7" s="10"/>
      <c r="C7" s="10" t="s">
        <v>9</v>
      </c>
      <c r="D7" s="10" t="s">
        <v>103</v>
      </c>
      <c r="E7" s="10" t="s">
        <v>377</v>
      </c>
      <c r="F7" s="10"/>
      <c r="G7" s="10">
        <f>MID($O4,30,12)*1</f>
        <v>1.2345600000000001</v>
      </c>
      <c r="H7" s="10"/>
      <c r="I7" s="10"/>
      <c r="J7" s="10"/>
      <c r="K7" s="10" t="str">
        <f>MID(O4,4,17)</f>
        <v>AU_NUC_CAPLifeExt</v>
      </c>
      <c r="L7" s="10"/>
      <c r="S7" t="s">
        <v>172</v>
      </c>
      <c r="V7" s="24"/>
      <c r="W7" s="24"/>
      <c r="X7" s="24"/>
      <c r="Y7" s="24"/>
      <c r="Z7" s="24"/>
      <c r="AA7" s="24"/>
      <c r="AB7" s="24"/>
      <c r="AC7" s="24"/>
    </row>
    <row r="8" spans="2:29" x14ac:dyDescent="0.3">
      <c r="B8" s="10"/>
      <c r="C8" s="10"/>
      <c r="D8" s="10" t="s">
        <v>122</v>
      </c>
      <c r="E8" s="10"/>
      <c r="F8" s="10"/>
      <c r="G8" s="10"/>
      <c r="H8" s="10"/>
      <c r="I8" s="10"/>
      <c r="J8" s="10"/>
      <c r="K8" s="10"/>
      <c r="L8" s="10"/>
      <c r="V8" s="24"/>
      <c r="W8" s="24"/>
      <c r="X8" s="24"/>
      <c r="Y8" s="24"/>
      <c r="Z8" s="24"/>
      <c r="AA8" s="24"/>
      <c r="AB8" s="24"/>
      <c r="AC8" s="24"/>
    </row>
    <row r="9" spans="2:29" x14ac:dyDescent="0.3">
      <c r="B9" s="10"/>
      <c r="C9" s="10" t="s">
        <v>123</v>
      </c>
      <c r="D9" s="10" t="s">
        <v>103</v>
      </c>
      <c r="E9" s="10" t="str">
        <f>MID(V10,11,2)</f>
        <v>BG</v>
      </c>
      <c r="F9" s="10"/>
      <c r="G9" s="10">
        <f>MID($V10,53,4)*1</f>
        <v>32.6</v>
      </c>
      <c r="H9" s="10"/>
      <c r="I9" s="10"/>
      <c r="J9" s="10"/>
      <c r="K9" s="10" t="str">
        <f>MID(V10,16,22)</f>
        <v>UCE_Base-Exp-Calib-Min</v>
      </c>
      <c r="L9" s="10"/>
      <c r="S9" t="s">
        <v>172</v>
      </c>
      <c r="V9" s="24"/>
      <c r="W9" s="24"/>
      <c r="X9" s="24"/>
      <c r="Y9" s="24"/>
      <c r="Z9" s="24"/>
      <c r="AA9" s="24"/>
      <c r="AB9" s="24"/>
      <c r="AC9" s="24"/>
    </row>
    <row r="10" spans="2:29" x14ac:dyDescent="0.3">
      <c r="B10" s="10"/>
      <c r="C10" s="10" t="s">
        <v>123</v>
      </c>
      <c r="D10" s="10" t="s">
        <v>103</v>
      </c>
      <c r="E10" s="10" t="str">
        <f>MID(O10,11,2)</f>
        <v>SI</v>
      </c>
      <c r="F10" s="10">
        <f>MID(O10,53,8)*1</f>
        <v>35.275100000000002</v>
      </c>
      <c r="G10" s="10"/>
      <c r="H10" s="10"/>
      <c r="I10" s="10"/>
      <c r="J10" s="10"/>
      <c r="K10" s="10" t="str">
        <f>MID(O10,16,22)</f>
        <v>UCE_Base-Exp-Calib-Min</v>
      </c>
      <c r="L10" s="10"/>
      <c r="O10" t="s">
        <v>325</v>
      </c>
      <c r="V10" s="24" t="s">
        <v>378</v>
      </c>
      <c r="W10" s="24"/>
      <c r="X10" s="24"/>
      <c r="Y10" s="24"/>
      <c r="Z10" s="24"/>
      <c r="AA10" s="24"/>
      <c r="AB10" s="24"/>
      <c r="AC10" s="24"/>
    </row>
    <row r="11" spans="2:29" x14ac:dyDescent="0.3">
      <c r="B11" s="10"/>
      <c r="C11" s="10" t="s">
        <v>123</v>
      </c>
      <c r="D11" s="10" t="s">
        <v>103</v>
      </c>
      <c r="E11" s="10" t="str">
        <f>MID(O11,11,2)</f>
        <v>SI</v>
      </c>
      <c r="F11" s="10">
        <f>MID(O11,53,8)*1</f>
        <v>27.122199999999999</v>
      </c>
      <c r="G11" s="10"/>
      <c r="H11" s="10"/>
      <c r="I11" s="10"/>
      <c r="J11" s="10"/>
      <c r="K11" s="10" t="str">
        <f>MID(O11,16,22)</f>
        <v>UCE_Base-Imp-Calib-Min</v>
      </c>
      <c r="L11" s="10"/>
      <c r="O11" t="s">
        <v>326</v>
      </c>
      <c r="V11" s="24"/>
      <c r="W11" s="24"/>
      <c r="X11" s="24"/>
      <c r="Y11" s="24"/>
      <c r="Z11" s="24"/>
      <c r="AA11" s="24"/>
      <c r="AB11" s="24"/>
      <c r="AC11" s="24"/>
    </row>
    <row r="12" spans="2:29" x14ac:dyDescent="0.3">
      <c r="B12" s="10"/>
      <c r="C12" s="10" t="s">
        <v>123</v>
      </c>
      <c r="D12" s="10" t="s">
        <v>103</v>
      </c>
      <c r="E12" s="10" t="str">
        <f>MID(O12,11,2)</f>
        <v>LT</v>
      </c>
      <c r="F12" s="10">
        <f>MID(O12,53,8)*1</f>
        <v>22.3523</v>
      </c>
      <c r="G12" s="10"/>
      <c r="H12" s="10"/>
      <c r="I12" s="10"/>
      <c r="J12" s="10"/>
      <c r="K12" s="10" t="str">
        <f>MID(O12,16,22)</f>
        <v>UCE_Base-Imp-Calib-Min</v>
      </c>
      <c r="L12" s="10"/>
      <c r="O12" t="s">
        <v>327</v>
      </c>
      <c r="V12" s="24"/>
      <c r="W12" s="24"/>
      <c r="X12" s="24"/>
      <c r="Y12" s="24"/>
      <c r="Z12" s="24"/>
      <c r="AA12" s="24"/>
      <c r="AB12" s="24"/>
      <c r="AC12" s="24"/>
    </row>
    <row r="13" spans="2:29" x14ac:dyDescent="0.3">
      <c r="B13" s="10"/>
      <c r="C13" s="10" t="s">
        <v>9</v>
      </c>
      <c r="D13" s="10" t="s">
        <v>103</v>
      </c>
      <c r="E13" s="10" t="str">
        <f>MID(O13,11,2)</f>
        <v>RO</v>
      </c>
      <c r="F13" s="10">
        <f>MID(O13,53,8)*1</f>
        <v>10.8856</v>
      </c>
      <c r="G13" s="10">
        <f>MID($V13,53,4)*1</f>
        <v>18.3</v>
      </c>
      <c r="H13" s="10">
        <v>35.1</v>
      </c>
      <c r="I13" s="10"/>
      <c r="J13" s="10"/>
      <c r="K13" s="10" t="str">
        <f>MID(O13,16,22)</f>
        <v>UCE_Base-Imp-Calib-Max</v>
      </c>
      <c r="L13" s="10"/>
      <c r="O13" t="s">
        <v>328</v>
      </c>
      <c r="V13" s="24" t="s">
        <v>379</v>
      </c>
      <c r="W13" s="24"/>
      <c r="X13" s="24"/>
      <c r="Y13" s="24"/>
      <c r="Z13" s="24"/>
      <c r="AA13" s="24"/>
      <c r="AB13" s="24"/>
      <c r="AC13" s="24"/>
    </row>
    <row r="14" spans="2:29" x14ac:dyDescent="0.3">
      <c r="B14" s="10"/>
      <c r="C14" s="10" t="s">
        <v>9</v>
      </c>
      <c r="D14" s="10" t="s">
        <v>103</v>
      </c>
      <c r="E14" s="10" t="str">
        <f>MID(O14,11,2)</f>
        <v>EE</v>
      </c>
      <c r="F14" s="10">
        <f>MID(O14,53,8)*1</f>
        <v>7.2612300000000003</v>
      </c>
      <c r="G14" s="10"/>
      <c r="H14" s="10"/>
      <c r="I14" s="10"/>
      <c r="J14" s="10"/>
      <c r="K14" s="10" t="str">
        <f>MID(O14,16,22)</f>
        <v>UCE_Base-Imp-Calib-Max</v>
      </c>
      <c r="L14" s="10"/>
      <c r="O14" t="s">
        <v>329</v>
      </c>
      <c r="V14" s="24"/>
      <c r="W14" s="24"/>
      <c r="X14" s="24"/>
      <c r="Y14" s="24"/>
      <c r="Z14" s="24"/>
      <c r="AA14" s="24"/>
      <c r="AB14" s="24"/>
      <c r="AC14" s="24"/>
    </row>
    <row r="15" spans="2:29" x14ac:dyDescent="0.3">
      <c r="B15" s="10" t="s">
        <v>10</v>
      </c>
      <c r="C15" s="10" t="s">
        <v>9</v>
      </c>
      <c r="D15" s="10" t="s">
        <v>104</v>
      </c>
      <c r="E15" s="10" t="str">
        <f t="shared" ref="E15:E22" si="0">LEFT(S17,2)</f>
        <v>BG</v>
      </c>
      <c r="F15" s="10"/>
      <c r="G15" s="10">
        <f>MID(O17,38,15)*1</f>
        <v>6.0582415999999997</v>
      </c>
      <c r="H15" s="10">
        <f t="shared" ref="H15:H22" si="1">MID(S17,38,15)*1</f>
        <v>6.2721926932200001</v>
      </c>
      <c r="I15" s="10"/>
      <c r="J15" s="10"/>
      <c r="K15" s="10" t="str">
        <f t="shared" ref="K15:K22" si="2">MID(S17,4,19)</f>
        <v>UC_AUCoalWithoutCCS</v>
      </c>
      <c r="L15" s="10"/>
      <c r="O15" t="s">
        <v>178</v>
      </c>
      <c r="V15" s="24"/>
      <c r="W15" s="24"/>
      <c r="X15" s="24"/>
      <c r="Y15" s="24"/>
      <c r="Z15" s="24"/>
      <c r="AA15" s="24"/>
      <c r="AB15" s="24"/>
      <c r="AC15" s="24"/>
    </row>
    <row r="16" spans="2:29" x14ac:dyDescent="0.3">
      <c r="B16" s="10" t="s">
        <v>10</v>
      </c>
      <c r="C16" s="10" t="s">
        <v>9</v>
      </c>
      <c r="D16" s="10" t="s">
        <v>104</v>
      </c>
      <c r="E16" s="10" t="str">
        <f t="shared" si="0"/>
        <v>DK</v>
      </c>
      <c r="F16" s="10"/>
      <c r="G16" s="10">
        <f>MID(O18,38,15)*1</f>
        <v>6.6780850999999997</v>
      </c>
      <c r="H16" s="10">
        <f t="shared" si="1"/>
        <v>6.6966790999999999</v>
      </c>
      <c r="I16" s="10"/>
      <c r="J16" s="10"/>
      <c r="K16" s="10" t="str">
        <f t="shared" si="2"/>
        <v>UC_AUCoalWithoutCCS</v>
      </c>
      <c r="L16" s="10"/>
      <c r="O16" t="s">
        <v>179</v>
      </c>
      <c r="S16" t="s">
        <v>179</v>
      </c>
    </row>
    <row r="17" spans="2:23" x14ac:dyDescent="0.3">
      <c r="B17" s="10" t="s">
        <v>10</v>
      </c>
      <c r="C17" s="10" t="s">
        <v>9</v>
      </c>
      <c r="D17" s="10" t="s">
        <v>104</v>
      </c>
      <c r="E17" s="10" t="str">
        <f t="shared" si="0"/>
        <v>EL</v>
      </c>
      <c r="F17" s="10"/>
      <c r="G17" s="10"/>
      <c r="H17" s="10">
        <f t="shared" si="1"/>
        <v>3.5612642561999999</v>
      </c>
      <c r="I17" s="10"/>
      <c r="J17" s="10"/>
      <c r="K17" s="10" t="str">
        <f t="shared" si="2"/>
        <v>UC_AUCoalWithoutCCS</v>
      </c>
      <c r="L17" s="10"/>
      <c r="O17" t="s">
        <v>278</v>
      </c>
      <c r="S17" t="s">
        <v>180</v>
      </c>
    </row>
    <row r="18" spans="2:23" x14ac:dyDescent="0.3">
      <c r="B18" s="10" t="s">
        <v>10</v>
      </c>
      <c r="C18" s="10" t="s">
        <v>9</v>
      </c>
      <c r="D18" s="10" t="s">
        <v>104</v>
      </c>
      <c r="E18" s="10" t="str">
        <f t="shared" si="0"/>
        <v>ES</v>
      </c>
      <c r="F18" s="10"/>
      <c r="G18" s="10">
        <f>MID(O20,38,15)*1</f>
        <v>11.786857700000001</v>
      </c>
      <c r="H18" s="10">
        <f t="shared" si="1"/>
        <v>11.7966983085</v>
      </c>
      <c r="I18" s="10"/>
      <c r="J18" s="10"/>
      <c r="K18" s="10" t="str">
        <f t="shared" si="2"/>
        <v>UC_AUCoalWithoutCCS</v>
      </c>
      <c r="L18" s="10"/>
      <c r="O18" t="s">
        <v>279</v>
      </c>
      <c r="S18" t="s">
        <v>181</v>
      </c>
    </row>
    <row r="19" spans="2:23" x14ac:dyDescent="0.3">
      <c r="B19" s="10" t="s">
        <v>10</v>
      </c>
      <c r="C19" s="10" t="s">
        <v>9</v>
      </c>
      <c r="D19" s="10" t="s">
        <v>104</v>
      </c>
      <c r="E19" s="10" t="str">
        <f t="shared" si="0"/>
        <v>HU</v>
      </c>
      <c r="F19" s="10"/>
      <c r="G19" s="10">
        <f>MID(O24,38,15)*1</f>
        <v>1.26461</v>
      </c>
      <c r="H19" s="10">
        <f t="shared" si="1"/>
        <v>1.2679821527799999</v>
      </c>
      <c r="I19" s="10"/>
      <c r="J19" s="10"/>
      <c r="K19" s="10" t="str">
        <f t="shared" si="2"/>
        <v>UC_AUCoalWithoutCCS</v>
      </c>
      <c r="L19" s="10"/>
      <c r="S19" t="s">
        <v>182</v>
      </c>
    </row>
    <row r="20" spans="2:23" x14ac:dyDescent="0.3">
      <c r="B20" s="10" t="s">
        <v>10</v>
      </c>
      <c r="C20" s="10" t="s">
        <v>9</v>
      </c>
      <c r="D20" s="10" t="s">
        <v>104</v>
      </c>
      <c r="E20" s="10" t="str">
        <f t="shared" si="0"/>
        <v>PL</v>
      </c>
      <c r="F20" s="10"/>
      <c r="G20" s="10">
        <f>MID(O22,38,15)*1</f>
        <v>28.842604300000001</v>
      </c>
      <c r="H20" s="10">
        <f t="shared" si="1"/>
        <v>33.2807179502</v>
      </c>
      <c r="I20" s="10"/>
      <c r="J20" s="10"/>
      <c r="K20" s="10" t="str">
        <f t="shared" si="2"/>
        <v>UC_AUCoalWithoutCCS</v>
      </c>
      <c r="L20" s="10"/>
      <c r="O20" t="s">
        <v>280</v>
      </c>
      <c r="S20" t="s">
        <v>183</v>
      </c>
    </row>
    <row r="21" spans="2:23" x14ac:dyDescent="0.3">
      <c r="B21" s="10" t="s">
        <v>10</v>
      </c>
      <c r="C21" s="10" t="s">
        <v>9</v>
      </c>
      <c r="D21" s="10" t="s">
        <v>104</v>
      </c>
      <c r="E21" s="10" t="str">
        <f t="shared" si="0"/>
        <v>RO</v>
      </c>
      <c r="F21" s="10"/>
      <c r="G21" s="10"/>
      <c r="H21" s="10">
        <f t="shared" si="1"/>
        <v>5.9058712</v>
      </c>
      <c r="I21" s="10"/>
      <c r="J21" s="10"/>
      <c r="K21" s="10" t="str">
        <f t="shared" si="2"/>
        <v>UC_AUCoalWithoutCCS</v>
      </c>
      <c r="L21" s="10"/>
      <c r="O21" t="s">
        <v>281</v>
      </c>
      <c r="S21" t="s">
        <v>184</v>
      </c>
    </row>
    <row r="22" spans="2:23" x14ac:dyDescent="0.3">
      <c r="B22" s="10" t="s">
        <v>10</v>
      </c>
      <c r="C22" s="10" t="s">
        <v>9</v>
      </c>
      <c r="D22" s="10" t="s">
        <v>104</v>
      </c>
      <c r="E22" s="10" t="str">
        <f t="shared" si="0"/>
        <v>SI</v>
      </c>
      <c r="F22" s="10"/>
      <c r="G22" s="10"/>
      <c r="H22" s="10">
        <f t="shared" si="1"/>
        <v>0.7934137</v>
      </c>
      <c r="I22" s="10"/>
      <c r="J22" s="10"/>
      <c r="K22" s="10" t="str">
        <f t="shared" si="2"/>
        <v>UC_AUCoalWithoutCCS</v>
      </c>
      <c r="L22" s="10"/>
      <c r="O22" t="s">
        <v>282</v>
      </c>
      <c r="S22" t="s">
        <v>185</v>
      </c>
    </row>
    <row r="23" spans="2:23" x14ac:dyDescent="0.3">
      <c r="B23" s="10"/>
      <c r="C23" s="10"/>
      <c r="D23" s="10" t="s">
        <v>122</v>
      </c>
      <c r="E23" s="10"/>
      <c r="F23" s="10"/>
      <c r="G23" s="10"/>
      <c r="H23" s="10"/>
      <c r="I23" s="10"/>
      <c r="J23" s="10"/>
      <c r="K23" s="10"/>
      <c r="L23" s="10"/>
      <c r="O23" t="s">
        <v>172</v>
      </c>
      <c r="S23" t="s">
        <v>186</v>
      </c>
    </row>
    <row r="24" spans="2:23" x14ac:dyDescent="0.3">
      <c r="B24" s="10" t="s">
        <v>10</v>
      </c>
      <c r="C24" s="10" t="s">
        <v>123</v>
      </c>
      <c r="D24" s="10" t="s">
        <v>104</v>
      </c>
      <c r="E24" s="10" t="str">
        <f>LEFT(O25,2)</f>
        <v>CH</v>
      </c>
      <c r="F24" s="10"/>
      <c r="G24" s="15">
        <f>MID($O25,38,15)*1</f>
        <v>-2.1930000000000001E-3</v>
      </c>
      <c r="H24" s="10"/>
      <c r="I24" s="10"/>
      <c r="J24" s="10"/>
      <c r="K24" s="10" t="str">
        <f>MID(O25,4,18)</f>
        <v>TUC_Istruc_ALU-ANO</v>
      </c>
      <c r="L24" s="10"/>
      <c r="O24" s="13" t="s">
        <v>391</v>
      </c>
      <c r="P24" s="13"/>
      <c r="Q24" s="13"/>
      <c r="R24" s="13"/>
      <c r="S24" t="s">
        <v>187</v>
      </c>
    </row>
    <row r="25" spans="2:23" x14ac:dyDescent="0.3">
      <c r="B25" s="10" t="s">
        <v>10</v>
      </c>
      <c r="C25" s="10" t="s">
        <v>123</v>
      </c>
      <c r="D25" s="10" t="s">
        <v>104</v>
      </c>
      <c r="E25" s="10" t="str">
        <f>LEFT(O26,2)</f>
        <v>IS</v>
      </c>
      <c r="F25" s="10"/>
      <c r="G25" s="15">
        <f>MID($O26,38,15)*1</f>
        <v>-6.4770000000000001E-3</v>
      </c>
      <c r="H25" s="10"/>
      <c r="I25" s="10"/>
      <c r="J25" s="10"/>
      <c r="K25" s="10" t="str">
        <f>MID(O26,4,18)</f>
        <v>TUC_Istruc_ALU-RCY</v>
      </c>
      <c r="L25" s="10"/>
      <c r="O25" t="s">
        <v>381</v>
      </c>
      <c r="S25" s="13"/>
      <c r="T25" s="13"/>
      <c r="U25" s="13"/>
      <c r="V25" s="13"/>
      <c r="W25" s="13"/>
    </row>
    <row r="26" spans="2:23" x14ac:dyDescent="0.3">
      <c r="B26" s="10" t="s">
        <v>10</v>
      </c>
      <c r="C26" s="10" t="s">
        <v>123</v>
      </c>
      <c r="D26" s="10" t="s">
        <v>104</v>
      </c>
      <c r="E26" s="10" t="str">
        <f>LEFT(O27,2)</f>
        <v>CY</v>
      </c>
      <c r="F26" s="10"/>
      <c r="G26" s="15">
        <f>MID($O27,38,15)*1</f>
        <v>-2.1216E-3</v>
      </c>
      <c r="H26" s="10"/>
      <c r="I26" s="10"/>
      <c r="J26" s="10"/>
      <c r="K26" s="10" t="str">
        <f>MID(O27,4,18)</f>
        <v>TUC_Istruc_COP_RCY</v>
      </c>
      <c r="L26" s="10"/>
      <c r="O26" t="s">
        <v>385</v>
      </c>
    </row>
    <row r="27" spans="2:23" x14ac:dyDescent="0.3">
      <c r="B27" s="10" t="s">
        <v>10</v>
      </c>
      <c r="C27" s="10" t="s">
        <v>123</v>
      </c>
      <c r="D27" s="10" t="s">
        <v>104</v>
      </c>
      <c r="E27" s="10" t="str">
        <f>LEFT(O28,2)</f>
        <v>CH</v>
      </c>
      <c r="F27" s="10"/>
      <c r="G27" s="15">
        <f>MID($O28,38,15)*1</f>
        <v>-2.0226600000000001E-2</v>
      </c>
      <c r="H27" s="10"/>
      <c r="I27" s="10"/>
      <c r="J27" s="10"/>
      <c r="K27" s="10" t="str">
        <f>MID(O28,4,18)</f>
        <v>TUC_Istruc_PUP-MEC</v>
      </c>
      <c r="L27" s="10"/>
      <c r="O27" t="s">
        <v>386</v>
      </c>
    </row>
    <row r="28" spans="2:23" x14ac:dyDescent="0.3">
      <c r="B28" s="10" t="s">
        <v>10</v>
      </c>
      <c r="C28" s="10" t="s">
        <v>123</v>
      </c>
      <c r="D28" s="10" t="s">
        <v>104</v>
      </c>
      <c r="E28" s="10" t="str">
        <f>LEFT(O29,2)</f>
        <v>LU</v>
      </c>
      <c r="F28" s="10"/>
      <c r="G28" s="15">
        <f>MID($O29,38,15)*1</f>
        <v>-1.3484400000000001E-2</v>
      </c>
      <c r="H28" s="10"/>
      <c r="I28" s="10"/>
      <c r="J28" s="10"/>
      <c r="K28" s="10" t="str">
        <f>MID(O29,4,18)</f>
        <v>TUC_Istruc_PUP-MEC</v>
      </c>
      <c r="L28" s="10"/>
      <c r="O28" t="s">
        <v>387</v>
      </c>
    </row>
    <row r="29" spans="2:23" x14ac:dyDescent="0.3">
      <c r="B29" s="10"/>
      <c r="C29" s="10"/>
      <c r="D29" s="10" t="s">
        <v>122</v>
      </c>
      <c r="E29" s="10"/>
      <c r="F29" s="10"/>
      <c r="G29" s="10"/>
      <c r="H29" s="10"/>
      <c r="I29" s="10"/>
      <c r="J29" s="10"/>
      <c r="K29" s="10"/>
      <c r="L29" s="10"/>
      <c r="O29" t="s">
        <v>388</v>
      </c>
    </row>
    <row r="30" spans="2:23" x14ac:dyDescent="0.3">
      <c r="B30" s="10"/>
      <c r="C30" s="10" t="s">
        <v>9</v>
      </c>
      <c r="D30" s="10" t="s">
        <v>103</v>
      </c>
      <c r="E30" s="10" t="str">
        <f>LEFT(W32,2)</f>
        <v>AT</v>
      </c>
      <c r="F30" s="10">
        <f t="shared" ref="F30:F39" si="3">MID(O32,27,20)*1</f>
        <v>4.8204269999999996</v>
      </c>
      <c r="G30" s="10"/>
      <c r="H30" s="10"/>
      <c r="I30" s="10">
        <f>MID(W32,27,20)*1</f>
        <v>4.8503999999999996</v>
      </c>
      <c r="J30" s="10"/>
      <c r="K30" s="10" t="str">
        <f>MID(W32,4,13)</f>
        <v>AU_ELC_HYPCAP</v>
      </c>
      <c r="L30" s="10"/>
      <c r="S30" t="s">
        <v>274</v>
      </c>
    </row>
    <row r="31" spans="2:23" x14ac:dyDescent="0.3">
      <c r="B31" s="10"/>
      <c r="C31" s="10" t="s">
        <v>9</v>
      </c>
      <c r="D31" s="10" t="s">
        <v>103</v>
      </c>
      <c r="E31" s="10" t="str">
        <f>LEFT(W33,2)</f>
        <v>BE</v>
      </c>
      <c r="F31" s="10">
        <f t="shared" si="3"/>
        <v>1.32003</v>
      </c>
      <c r="G31" s="10"/>
      <c r="H31" s="10"/>
      <c r="I31" s="10">
        <f>MID(W33,27,20)*1</f>
        <v>1.3879999999999999</v>
      </c>
      <c r="J31" s="10"/>
      <c r="K31" s="10" t="str">
        <f>MID(W33,4,13)</f>
        <v>AU_ELC_HYPCAP</v>
      </c>
      <c r="L31" s="10"/>
      <c r="O31" t="s">
        <v>167</v>
      </c>
      <c r="S31" t="s">
        <v>167</v>
      </c>
    </row>
    <row r="32" spans="2:23" x14ac:dyDescent="0.3">
      <c r="B32" s="10"/>
      <c r="C32" s="10" t="s">
        <v>9</v>
      </c>
      <c r="D32" s="10" t="s">
        <v>103</v>
      </c>
      <c r="E32" s="10" t="str">
        <f>LEFT(S34,2)</f>
        <v>BG</v>
      </c>
      <c r="F32" s="10">
        <f t="shared" si="3"/>
        <v>1.0244899999999999</v>
      </c>
      <c r="G32" s="10"/>
      <c r="H32" s="10">
        <f>MID(S34,27,20)*1</f>
        <v>1.0244899999999999</v>
      </c>
      <c r="I32" s="10">
        <f>MID(W34,27,20)*1</f>
        <v>1.0244899999999999</v>
      </c>
      <c r="J32" s="10"/>
      <c r="K32" s="10" t="str">
        <f>MID(S34,4,13)</f>
        <v>AU_ELC_HYPCAP</v>
      </c>
      <c r="L32" s="10"/>
      <c r="O32" t="s">
        <v>315</v>
      </c>
      <c r="W32" s="13" t="s">
        <v>283</v>
      </c>
    </row>
    <row r="33" spans="2:30" x14ac:dyDescent="0.3">
      <c r="B33" s="10"/>
      <c r="C33" s="10" t="s">
        <v>9</v>
      </c>
      <c r="D33" s="10" t="s">
        <v>103</v>
      </c>
      <c r="E33" s="10" t="str">
        <f>LEFT(O35,2)</f>
        <v>CZ</v>
      </c>
      <c r="F33" s="10">
        <f t="shared" si="3"/>
        <v>1.15801</v>
      </c>
      <c r="G33" s="10"/>
      <c r="H33" s="10"/>
      <c r="I33" s="10"/>
      <c r="J33" s="10"/>
      <c r="K33" s="10" t="str">
        <f>MID(O35,4,13)</f>
        <v>AU_ELC_HYPCAP</v>
      </c>
      <c r="L33" s="10"/>
      <c r="O33" t="s">
        <v>316</v>
      </c>
      <c r="W33" s="13" t="s">
        <v>284</v>
      </c>
    </row>
    <row r="34" spans="2:30" x14ac:dyDescent="0.3">
      <c r="B34" s="10"/>
      <c r="C34" s="10" t="s">
        <v>9</v>
      </c>
      <c r="D34" s="10" t="s">
        <v>103</v>
      </c>
      <c r="E34" s="10" t="str">
        <f>LEFT(W36,2)</f>
        <v>DE</v>
      </c>
      <c r="F34" s="10">
        <f t="shared" si="3"/>
        <v>6.9792339999999999</v>
      </c>
      <c r="G34" s="10"/>
      <c r="H34" s="10"/>
      <c r="I34" s="10">
        <f t="shared" ref="I34:I39" si="4">MID(W36,27,20)*1</f>
        <v>6.9792339999999999</v>
      </c>
      <c r="J34" s="10"/>
      <c r="K34" s="10" t="str">
        <f>MID(W36,4,13)</f>
        <v>AU_ELC_HYPCAP</v>
      </c>
      <c r="L34" s="10"/>
      <c r="O34" t="s">
        <v>317</v>
      </c>
      <c r="S34" t="s">
        <v>275</v>
      </c>
      <c r="W34" s="13" t="s">
        <v>285</v>
      </c>
    </row>
    <row r="35" spans="2:30" x14ac:dyDescent="0.3">
      <c r="B35" s="10"/>
      <c r="C35" s="10" t="s">
        <v>9</v>
      </c>
      <c r="D35" s="10" t="s">
        <v>103</v>
      </c>
      <c r="E35" s="10" t="str">
        <f>LEFT(W37,2)</f>
        <v>IT</v>
      </c>
      <c r="F35" s="10">
        <f t="shared" si="3"/>
        <v>7.5608680000000001</v>
      </c>
      <c r="G35" s="10"/>
      <c r="H35" s="10">
        <f>MID(S37,27,20)*1</f>
        <v>7.5608680000000001</v>
      </c>
      <c r="I35" s="10">
        <f t="shared" si="4"/>
        <v>7.5608680000000001</v>
      </c>
      <c r="J35" s="10"/>
      <c r="K35" s="10" t="str">
        <f>MID(W37,4,13)</f>
        <v>AU_ELC_HYPCAP</v>
      </c>
      <c r="L35" s="10"/>
      <c r="O35" t="s">
        <v>318</v>
      </c>
    </row>
    <row r="36" spans="2:30" x14ac:dyDescent="0.3">
      <c r="B36" s="10"/>
      <c r="C36" s="10" t="s">
        <v>9</v>
      </c>
      <c r="D36" s="10" t="s">
        <v>103</v>
      </c>
      <c r="E36" s="10" t="str">
        <f>LEFT(S38,2)</f>
        <v>NO</v>
      </c>
      <c r="F36" s="10">
        <f t="shared" si="3"/>
        <v>4.0367300000000004</v>
      </c>
      <c r="G36" s="10"/>
      <c r="H36" s="10">
        <f>MID(S38,27,20)*1</f>
        <v>4.0367300000000004</v>
      </c>
      <c r="I36" s="10">
        <f t="shared" si="4"/>
        <v>4.0367300000000004</v>
      </c>
      <c r="J36" s="10">
        <f>MID(AA38,27,20)*1</f>
        <v>4.0367300000000004</v>
      </c>
      <c r="K36" s="10" t="str">
        <f>MID(S38,4,13)</f>
        <v>AU_ELC_HYPCAP</v>
      </c>
      <c r="L36" s="10"/>
      <c r="O36" t="s">
        <v>319</v>
      </c>
      <c r="W36" s="13" t="s">
        <v>286</v>
      </c>
    </row>
    <row r="37" spans="2:30" x14ac:dyDescent="0.3">
      <c r="B37" s="10"/>
      <c r="C37" s="10" t="s">
        <v>9</v>
      </c>
      <c r="D37" s="10" t="s">
        <v>103</v>
      </c>
      <c r="E37" s="10" t="str">
        <f>LEFT(W39,2)</f>
        <v>PL</v>
      </c>
      <c r="F37" s="10">
        <f t="shared" si="3"/>
        <v>1.796063</v>
      </c>
      <c r="G37" s="10"/>
      <c r="H37" s="10"/>
      <c r="I37" s="10">
        <f t="shared" si="4"/>
        <v>1.796063</v>
      </c>
      <c r="J37" s="10"/>
      <c r="K37" s="10" t="str">
        <f>MID(W39,4,13)</f>
        <v>AU_ELC_HYPCAP</v>
      </c>
      <c r="L37" s="10"/>
      <c r="O37" t="s">
        <v>320</v>
      </c>
      <c r="S37" t="s">
        <v>173</v>
      </c>
      <c r="W37" s="13" t="s">
        <v>287</v>
      </c>
    </row>
    <row r="38" spans="2:30" x14ac:dyDescent="0.3">
      <c r="B38" s="10"/>
      <c r="C38" s="10" t="s">
        <v>9</v>
      </c>
      <c r="D38" s="10" t="s">
        <v>103</v>
      </c>
      <c r="E38" s="10" t="str">
        <f>LEFT(W40,2)</f>
        <v>PT</v>
      </c>
      <c r="F38" s="10">
        <f t="shared" si="3"/>
        <v>1.1034379999999999</v>
      </c>
      <c r="G38" s="10"/>
      <c r="H38" s="10"/>
      <c r="I38" s="10">
        <f t="shared" si="4"/>
        <v>2.3050000000000002</v>
      </c>
      <c r="J38" s="10"/>
      <c r="K38" s="10" t="str">
        <f>MID(W40,4,13)</f>
        <v>AU_ELC_HYPCAP</v>
      </c>
      <c r="L38" s="10"/>
      <c r="O38" t="s">
        <v>321</v>
      </c>
      <c r="S38" t="s">
        <v>276</v>
      </c>
      <c r="W38" s="13" t="s">
        <v>288</v>
      </c>
      <c r="AA38" s="13" t="s">
        <v>292</v>
      </c>
      <c r="AB38" s="13"/>
      <c r="AC38" s="13"/>
      <c r="AD38" s="13"/>
    </row>
    <row r="39" spans="2:30" x14ac:dyDescent="0.3">
      <c r="B39" s="10"/>
      <c r="C39" s="10" t="s">
        <v>9</v>
      </c>
      <c r="D39" s="10" t="s">
        <v>103</v>
      </c>
      <c r="E39" s="10" t="str">
        <f>LEFT(S41,2)</f>
        <v>SE</v>
      </c>
      <c r="F39" s="10">
        <f t="shared" si="3"/>
        <v>0.119212</v>
      </c>
      <c r="G39" s="10"/>
      <c r="H39" s="10">
        <f>MID(S41,27,20)*1</f>
        <v>0.119212</v>
      </c>
      <c r="I39" s="10">
        <f t="shared" si="4"/>
        <v>0.119212</v>
      </c>
      <c r="J39" s="10"/>
      <c r="K39" s="10" t="str">
        <f>MID(S41,4,13)</f>
        <v>AU_ELC_HYPCAP</v>
      </c>
      <c r="L39" s="10"/>
      <c r="O39" t="s">
        <v>322</v>
      </c>
      <c r="W39" s="13" t="s">
        <v>289</v>
      </c>
    </row>
    <row r="40" spans="2:30" x14ac:dyDescent="0.3">
      <c r="B40" s="10"/>
      <c r="C40" s="10"/>
      <c r="D40" s="10" t="s">
        <v>122</v>
      </c>
      <c r="E40" s="10"/>
      <c r="F40" s="10"/>
      <c r="G40" s="10"/>
      <c r="H40" s="10"/>
      <c r="I40" s="10"/>
      <c r="J40" s="10"/>
      <c r="K40" s="10"/>
      <c r="L40" s="10"/>
      <c r="O40" t="s">
        <v>323</v>
      </c>
      <c r="W40" s="13" t="s">
        <v>290</v>
      </c>
    </row>
    <row r="41" spans="2:30" x14ac:dyDescent="0.3">
      <c r="B41" s="10" t="s">
        <v>10</v>
      </c>
      <c r="C41" s="10" t="s">
        <v>9</v>
      </c>
      <c r="D41" s="10" t="s">
        <v>104</v>
      </c>
      <c r="E41" s="10" t="str">
        <f>MID($S44,2,2)</f>
        <v>AT</v>
      </c>
      <c r="F41" s="10">
        <f>MID($S44,36,3)*1</f>
        <v>21</v>
      </c>
      <c r="G41" s="10"/>
      <c r="H41" s="10">
        <f>MID($S45,36,3)*1</f>
        <v>25</v>
      </c>
      <c r="I41" s="10"/>
      <c r="J41" s="10"/>
      <c r="K41" s="10" t="str">
        <f>MID($S44,7,13)</f>
        <v>AU_ELC_GEOMIN</v>
      </c>
      <c r="L41" s="10"/>
      <c r="O41" t="s">
        <v>324</v>
      </c>
      <c r="S41" t="s">
        <v>277</v>
      </c>
      <c r="W41" s="13" t="s">
        <v>291</v>
      </c>
    </row>
    <row r="42" spans="2:30" x14ac:dyDescent="0.3">
      <c r="B42" s="10" t="s">
        <v>10</v>
      </c>
      <c r="C42" s="10" t="s">
        <v>9</v>
      </c>
      <c r="D42" s="10" t="s">
        <v>104</v>
      </c>
      <c r="E42" s="10" t="str">
        <f>MID($S$46,2,2)</f>
        <v>FR</v>
      </c>
      <c r="F42" s="10">
        <f>MID($S46,36,3)*1</f>
        <v>10</v>
      </c>
      <c r="G42" s="10"/>
      <c r="H42" s="10">
        <f>MID($S47,36,3)*1</f>
        <v>20</v>
      </c>
      <c r="I42" s="10"/>
      <c r="J42" s="10"/>
      <c r="K42" s="10" t="str">
        <f>MID($S45,7,13)</f>
        <v>AU_ELC_GEOMIN</v>
      </c>
      <c r="L42" s="10"/>
      <c r="O42" t="s">
        <v>172</v>
      </c>
      <c r="S42" t="s">
        <v>172</v>
      </c>
    </row>
    <row r="43" spans="2:30" x14ac:dyDescent="0.3">
      <c r="B43" s="10" t="s">
        <v>10</v>
      </c>
      <c r="C43" s="10" t="s">
        <v>9</v>
      </c>
      <c r="D43" s="10" t="s">
        <v>104</v>
      </c>
      <c r="E43" s="10" t="str">
        <f>MID($S$48,2,2)</f>
        <v>IS</v>
      </c>
      <c r="F43" s="10">
        <f>MID($S48,36,3)*1</f>
        <v>25</v>
      </c>
      <c r="G43" s="10"/>
      <c r="H43" s="10">
        <f>MID($S49,36,3)*1</f>
        <v>30</v>
      </c>
      <c r="I43" s="10"/>
      <c r="J43" s="10"/>
      <c r="K43" s="10" t="str">
        <f>MID($S46,7,13)</f>
        <v>AU_ELC_GEOMIN</v>
      </c>
      <c r="L43" s="10"/>
      <c r="S43" t="s">
        <v>179</v>
      </c>
    </row>
    <row r="44" spans="2:30" x14ac:dyDescent="0.3">
      <c r="B44" s="10"/>
      <c r="C44" s="10"/>
      <c r="D44" s="10" t="s">
        <v>122</v>
      </c>
      <c r="E44" s="10"/>
      <c r="F44" s="10"/>
      <c r="G44" s="10"/>
      <c r="H44" s="10"/>
      <c r="I44" s="10"/>
      <c r="J44" s="10"/>
      <c r="K44" s="10"/>
      <c r="L44" s="10"/>
      <c r="S44" t="s">
        <v>330</v>
      </c>
    </row>
    <row r="45" spans="2:30" x14ac:dyDescent="0.3">
      <c r="B45" s="17" t="s">
        <v>10</v>
      </c>
      <c r="C45" s="17" t="s">
        <v>9</v>
      </c>
      <c r="D45" s="17" t="s">
        <v>104</v>
      </c>
      <c r="E45" s="17" t="str">
        <f>MID($O51,1,2)</f>
        <v>CY</v>
      </c>
      <c r="F45" s="17"/>
      <c r="G45" s="17">
        <f>MID($O51,50,12)*1</f>
        <v>0.2229312</v>
      </c>
      <c r="H45" s="17"/>
      <c r="I45" s="17"/>
      <c r="J45" s="17"/>
      <c r="K45" s="17" t="str">
        <f>MID($O51,4,29)</f>
        <v>UC_TraBatChgStn_LnkTo_Evs_PiH</v>
      </c>
      <c r="L45" s="17"/>
      <c r="S45" t="s">
        <v>331</v>
      </c>
    </row>
    <row r="46" spans="2:30" x14ac:dyDescent="0.3">
      <c r="B46" s="17" t="s">
        <v>10</v>
      </c>
      <c r="C46" s="17" t="s">
        <v>9</v>
      </c>
      <c r="D46" s="17" t="s">
        <v>104</v>
      </c>
      <c r="E46" s="17" t="str">
        <f>MID($O52,1,2)</f>
        <v>NO</v>
      </c>
      <c r="F46" s="17"/>
      <c r="G46" s="17">
        <f>MID($O52,50,12)*1</f>
        <v>1.8054E-3</v>
      </c>
      <c r="H46" s="17"/>
      <c r="I46" s="17"/>
      <c r="J46" s="17"/>
      <c r="K46" s="17" t="str">
        <f>MID($O52,4,29)</f>
        <v>UC_TraBatChgStn_LnkTo_Evs_PiH</v>
      </c>
      <c r="L46" s="17"/>
      <c r="S46" t="s">
        <v>332</v>
      </c>
    </row>
    <row r="47" spans="2:30" x14ac:dyDescent="0.3">
      <c r="B47" s="10"/>
      <c r="C47" s="10"/>
      <c r="D47" s="10" t="s">
        <v>122</v>
      </c>
      <c r="E47" s="10"/>
      <c r="F47" s="10"/>
      <c r="G47" s="10"/>
      <c r="H47" s="10"/>
      <c r="I47" s="10"/>
      <c r="J47" s="10"/>
      <c r="K47" s="10"/>
      <c r="L47" s="10"/>
      <c r="S47" t="s">
        <v>333</v>
      </c>
    </row>
    <row r="48" spans="2:30" x14ac:dyDescent="0.3">
      <c r="B48" s="10"/>
      <c r="C48" s="10" t="s">
        <v>9</v>
      </c>
      <c r="D48" s="10" t="s">
        <v>103</v>
      </c>
      <c r="E48" s="10" t="str">
        <f>LEFT($O55,2)</f>
        <v>SE</v>
      </c>
      <c r="F48" s="10"/>
      <c r="G48" s="10">
        <f>MID($O55,27,12)*1.03</f>
        <v>9.7169376000000014</v>
      </c>
      <c r="H48" s="10"/>
      <c r="I48" s="10"/>
      <c r="J48" s="10"/>
      <c r="K48" s="10" t="str">
        <f>MID($O55,4,13)</f>
        <v>AU_NUC_CAPLim</v>
      </c>
      <c r="L48" s="10"/>
      <c r="S48" t="s">
        <v>334</v>
      </c>
    </row>
    <row r="49" spans="2:19" x14ac:dyDescent="0.3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S49" t="s">
        <v>335</v>
      </c>
    </row>
    <row r="50" spans="2:19" x14ac:dyDescent="0.3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O50" t="s">
        <v>179</v>
      </c>
      <c r="S50" t="s">
        <v>172</v>
      </c>
    </row>
    <row r="51" spans="2:19" x14ac:dyDescent="0.3">
      <c r="O51" t="s">
        <v>389</v>
      </c>
    </row>
    <row r="52" spans="2:19" x14ac:dyDescent="0.3">
      <c r="O52" t="s">
        <v>390</v>
      </c>
    </row>
    <row r="53" spans="2:19" x14ac:dyDescent="0.3">
      <c r="O53" t="s">
        <v>172</v>
      </c>
    </row>
    <row r="54" spans="2:19" x14ac:dyDescent="0.3">
      <c r="O54" t="s">
        <v>167</v>
      </c>
    </row>
    <row r="55" spans="2:19" x14ac:dyDescent="0.3">
      <c r="O55" t="s">
        <v>394</v>
      </c>
    </row>
    <row r="57" spans="2:19" x14ac:dyDescent="0.3">
      <c r="B57" t="s">
        <v>771</v>
      </c>
    </row>
    <row r="64" spans="2:19" x14ac:dyDescent="0.3">
      <c r="B64" t="s">
        <v>771</v>
      </c>
    </row>
    <row r="67" spans="2:23" x14ac:dyDescent="0.3">
      <c r="F67" s="12">
        <v>2015</v>
      </c>
      <c r="G67" s="12">
        <v>2020</v>
      </c>
      <c r="H67" s="12">
        <v>2030</v>
      </c>
      <c r="I67" s="12">
        <v>2035</v>
      </c>
      <c r="J67" s="12">
        <v>2040</v>
      </c>
      <c r="K67" s="12">
        <v>2050</v>
      </c>
    </row>
    <row r="69" spans="2:23" x14ac:dyDescent="0.3">
      <c r="B69" s="7" t="s">
        <v>361</v>
      </c>
    </row>
    <row r="70" spans="2:23" x14ac:dyDescent="0.3">
      <c r="B70" s="1" t="s">
        <v>0</v>
      </c>
      <c r="C70" s="1" t="s">
        <v>1</v>
      </c>
      <c r="D70" s="1" t="s">
        <v>2</v>
      </c>
      <c r="E70" s="1" t="s">
        <v>188</v>
      </c>
      <c r="F70" s="12">
        <v>2015</v>
      </c>
      <c r="G70" s="12">
        <v>2020</v>
      </c>
      <c r="H70" s="12">
        <v>2030</v>
      </c>
      <c r="I70" s="12">
        <v>2035</v>
      </c>
      <c r="J70" s="12">
        <v>2040</v>
      </c>
      <c r="K70" s="12">
        <v>2050</v>
      </c>
      <c r="L70" s="1" t="s">
        <v>102</v>
      </c>
      <c r="P70" t="s">
        <v>677</v>
      </c>
      <c r="V70">
        <f>RIGHT(P70,9)*1</f>
        <v>-1.75E-3</v>
      </c>
      <c r="W70" t="str">
        <f>LEFT(P70,26)</f>
        <v>BG.TUC_Istruc_ALU-HHE.2030</v>
      </c>
    </row>
    <row r="71" spans="2:23" x14ac:dyDescent="0.3">
      <c r="B71" s="10" t="s">
        <v>10</v>
      </c>
      <c r="C71" s="10" t="s">
        <v>123</v>
      </c>
      <c r="D71" s="10" t="s">
        <v>104</v>
      </c>
      <c r="E71" s="10" t="s">
        <v>189</v>
      </c>
      <c r="G71">
        <v>-4.0000000000000001E-3</v>
      </c>
      <c r="H71">
        <f>SUMIF($W$70:$W$94,$E71&amp;"."&amp;$L71&amp;"."&amp;H$67,$V$70:$V$94)</f>
        <v>-1.75E-3</v>
      </c>
      <c r="J71">
        <f t="shared" ref="J71:J74" si="5">SUMIF($W$70:$W$94,$E71&amp;"."&amp;$L71&amp;"."&amp;J$67,$V$70:$V$94)</f>
        <v>-1.7899999999999999E-3</v>
      </c>
      <c r="K71" s="35">
        <f t="shared" ref="K71:K74" si="6">MIN(-0.05,MIN(F71:J71),MAX(-0.1,J71*1.5),SUMIF($W$70:$W$104,$E71&amp;"."&amp;$L71&amp;"."&amp;K$67,$V$70:$V$104))</f>
        <v>-0.05</v>
      </c>
      <c r="L71" s="10" t="s">
        <v>610</v>
      </c>
      <c r="M71" s="10"/>
      <c r="P71" t="s">
        <v>705</v>
      </c>
      <c r="V71">
        <f t="shared" ref="V71:V94" si="7">RIGHT(P71,9)*1</f>
        <v>-1.5E-3</v>
      </c>
      <c r="W71" t="str">
        <f t="shared" ref="W71:W94" si="8">LEFT(P71,26)</f>
        <v>CH.TUC_Istruc_ALU-HHE.2030</v>
      </c>
    </row>
    <row r="72" spans="2:23" x14ac:dyDescent="0.3">
      <c r="B72" s="10" t="s">
        <v>10</v>
      </c>
      <c r="C72" s="10" t="s">
        <v>123</v>
      </c>
      <c r="D72" s="10" t="s">
        <v>104</v>
      </c>
      <c r="E72" s="10" t="s">
        <v>624</v>
      </c>
      <c r="H72">
        <f>SUMIF($W$70:$W$94,$E72&amp;"."&amp;$L72&amp;"."&amp;H$67,$V$70:$V$94)</f>
        <v>-1.5E-3</v>
      </c>
      <c r="I72">
        <f>SUMIF($W$70:$W$94,$E72&amp;"."&amp;$L72&amp;"."&amp;I$67,$V$70:$V$94)</f>
        <v>-1.5E-3</v>
      </c>
      <c r="J72">
        <f t="shared" si="5"/>
        <v>-1.5E-3</v>
      </c>
      <c r="K72" s="35">
        <f t="shared" si="6"/>
        <v>-0.05</v>
      </c>
      <c r="L72" s="10" t="s">
        <v>610</v>
      </c>
      <c r="M72" s="10"/>
      <c r="P72" t="s">
        <v>611</v>
      </c>
      <c r="V72">
        <f t="shared" si="7"/>
        <v>-0.13214999999999999</v>
      </c>
      <c r="W72" t="str">
        <f t="shared" si="8"/>
        <v>DE.TUC_Istruc_ALU-HHE.2030</v>
      </c>
    </row>
    <row r="73" spans="2:23" x14ac:dyDescent="0.3">
      <c r="B73" s="10" t="s">
        <v>10</v>
      </c>
      <c r="C73" s="10" t="s">
        <v>123</v>
      </c>
      <c r="D73" s="10" t="s">
        <v>104</v>
      </c>
      <c r="E73" s="10" t="s">
        <v>299</v>
      </c>
      <c r="G73">
        <f>SUMIF($W$70:$W$100,$E73&amp;"."&amp;$L73&amp;"."&amp;G$67,$V$70:$V$100)</f>
        <v>-0.1</v>
      </c>
      <c r="H73">
        <f>SUMIF($W$70:$W$94,$E73&amp;"."&amp;$L73&amp;"."&amp;H$67,$V$70:$V$94)</f>
        <v>-0.13214999999999999</v>
      </c>
      <c r="I73">
        <f>SUMIF($W$70:$W$94,$E73&amp;"."&amp;$L73&amp;"."&amp;I$67,$V$70:$V$94)</f>
        <v>-0.15295</v>
      </c>
      <c r="J73">
        <f t="shared" si="5"/>
        <v>-0.16541</v>
      </c>
      <c r="K73" s="47">
        <f t="shared" si="6"/>
        <v>-0.16541</v>
      </c>
      <c r="L73" s="10" t="s">
        <v>610</v>
      </c>
      <c r="M73" s="10"/>
      <c r="P73" t="s">
        <v>707</v>
      </c>
      <c r="V73">
        <f t="shared" si="7"/>
        <v>-0.17599999999999999</v>
      </c>
      <c r="W73" t="str">
        <f t="shared" si="8"/>
        <v>ES.TUC_Istruc_ALU-HHE.2030</v>
      </c>
    </row>
    <row r="74" spans="2:23" x14ac:dyDescent="0.3">
      <c r="B74" s="10" t="s">
        <v>10</v>
      </c>
      <c r="C74" s="10" t="s">
        <v>123</v>
      </c>
      <c r="D74" s="10" t="s">
        <v>104</v>
      </c>
      <c r="E74" s="10" t="s">
        <v>191</v>
      </c>
      <c r="F74">
        <f>SUMIF($W$70:$W$100,$E74&amp;"."&amp;$L74&amp;"."&amp;F$67,$V$70:$V$100)</f>
        <v>-2.4520799999999999E-2</v>
      </c>
      <c r="J74">
        <f t="shared" si="5"/>
        <v>-2.631E-2</v>
      </c>
      <c r="K74" s="35">
        <f t="shared" si="6"/>
        <v>-0.05</v>
      </c>
      <c r="L74" s="10" t="s">
        <v>610</v>
      </c>
      <c r="M74" s="10"/>
      <c r="P74" t="s">
        <v>708</v>
      </c>
      <c r="V74">
        <f t="shared" si="7"/>
        <v>-1.6E-2</v>
      </c>
      <c r="W74" t="str">
        <f t="shared" si="8"/>
        <v>FR.TUC_Istruc_ALU-HHE.2030</v>
      </c>
    </row>
    <row r="75" spans="2:23" x14ac:dyDescent="0.3">
      <c r="B75" s="10" t="s">
        <v>10</v>
      </c>
      <c r="C75" s="10" t="s">
        <v>123</v>
      </c>
      <c r="D75" s="10" t="s">
        <v>104</v>
      </c>
      <c r="E75" s="10" t="s">
        <v>634</v>
      </c>
      <c r="G75">
        <v>-6.0000000000000001E-3</v>
      </c>
      <c r="K75" s="35">
        <f t="shared" ref="K75:K80" si="9">MIN(-0.05,MIN(F75:J75),MAX(-0.1,J75*1.5),SUMIF($W$70:$W$104,$E75&amp;"."&amp;$L75&amp;"."&amp;K$67,$V$70:$V$104))</f>
        <v>-0.05</v>
      </c>
      <c r="L75" s="10" t="s">
        <v>610</v>
      </c>
      <c r="M75" s="10"/>
      <c r="P75" t="s">
        <v>709</v>
      </c>
      <c r="V75">
        <f t="shared" si="7"/>
        <v>-5.0999999999999997E-2</v>
      </c>
      <c r="W75" t="str">
        <f t="shared" si="8"/>
        <v>NL.TUC_Istruc_ALU-HHE.2030</v>
      </c>
    </row>
    <row r="76" spans="2:23" x14ac:dyDescent="0.3">
      <c r="B76" s="10" t="s">
        <v>10</v>
      </c>
      <c r="C76" s="10" t="s">
        <v>123</v>
      </c>
      <c r="D76" s="10" t="s">
        <v>104</v>
      </c>
      <c r="E76" s="10" t="s">
        <v>625</v>
      </c>
      <c r="H76">
        <f t="shared" ref="H76:J78" si="10">SUMIF($W$70:$W$94,$E76&amp;"."&amp;$L76&amp;"."&amp;H$67,$V$70:$V$94)</f>
        <v>-0.17599999999999999</v>
      </c>
      <c r="I76">
        <f t="shared" si="10"/>
        <v>-0.17599999999999999</v>
      </c>
      <c r="J76">
        <f t="shared" si="10"/>
        <v>-0.17599999999999999</v>
      </c>
      <c r="K76" s="35">
        <f t="shared" si="9"/>
        <v>-0.17599999999999999</v>
      </c>
      <c r="L76" s="10" t="s">
        <v>610</v>
      </c>
      <c r="M76" s="10"/>
      <c r="P76" t="s">
        <v>710</v>
      </c>
      <c r="V76">
        <f t="shared" si="7"/>
        <v>-1.2E-2</v>
      </c>
      <c r="W76" t="str">
        <f t="shared" si="8"/>
        <v>PL.TUC_Istruc_ALU-HHE.2030</v>
      </c>
    </row>
    <row r="77" spans="2:23" x14ac:dyDescent="0.3">
      <c r="B77" s="10" t="s">
        <v>10</v>
      </c>
      <c r="C77" s="10" t="s">
        <v>123</v>
      </c>
      <c r="D77" s="10" t="s">
        <v>104</v>
      </c>
      <c r="E77" s="10" t="s">
        <v>626</v>
      </c>
      <c r="H77">
        <f t="shared" si="10"/>
        <v>-1.6E-2</v>
      </c>
      <c r="I77">
        <f t="shared" si="10"/>
        <v>-2.5000000000000001E-2</v>
      </c>
      <c r="J77">
        <f t="shared" si="10"/>
        <v>-2.9729999999999999E-2</v>
      </c>
      <c r="K77" s="35">
        <f t="shared" si="9"/>
        <v>-0.05</v>
      </c>
      <c r="L77" s="10" t="s">
        <v>610</v>
      </c>
      <c r="M77" s="10"/>
      <c r="P77" t="s">
        <v>706</v>
      </c>
      <c r="V77">
        <f t="shared" si="7"/>
        <v>-1.5E-3</v>
      </c>
      <c r="W77" t="str">
        <f t="shared" si="8"/>
        <v>CH.TUC_Istruc_ALU-HHE.2035</v>
      </c>
    </row>
    <row r="78" spans="2:23" x14ac:dyDescent="0.3">
      <c r="B78" s="10" t="s">
        <v>10</v>
      </c>
      <c r="C78" s="10" t="s">
        <v>123</v>
      </c>
      <c r="D78" s="10" t="s">
        <v>104</v>
      </c>
      <c r="E78" s="10" t="s">
        <v>261</v>
      </c>
      <c r="F78">
        <f>SUMIF($W$70:$W$100,$E78&amp;"."&amp;$L78&amp;"."&amp;F$67,$V$70:$V$100)</f>
        <v>-7.0000000000000001E-3</v>
      </c>
      <c r="G78" s="36">
        <f>F78*2.1</f>
        <v>-1.4700000000000001E-2</v>
      </c>
      <c r="H78">
        <f t="shared" si="10"/>
        <v>-5.0999999999999997E-2</v>
      </c>
      <c r="I78">
        <f t="shared" si="10"/>
        <v>-5.7000000000000002E-2</v>
      </c>
      <c r="J78">
        <f t="shared" si="10"/>
        <v>-5.9240000000000001E-2</v>
      </c>
      <c r="K78" s="48">
        <f t="shared" si="9"/>
        <v>-8.8859999999999995E-2</v>
      </c>
      <c r="L78" s="10" t="s">
        <v>610</v>
      </c>
      <c r="M78" s="10"/>
      <c r="P78" t="s">
        <v>612</v>
      </c>
      <c r="V78">
        <f t="shared" si="7"/>
        <v>-0.15295</v>
      </c>
      <c r="W78" t="str">
        <f t="shared" si="8"/>
        <v>DE.TUC_Istruc_ALU-HHE.2035</v>
      </c>
    </row>
    <row r="79" spans="2:23" x14ac:dyDescent="0.3">
      <c r="B79" s="10" t="s">
        <v>10</v>
      </c>
      <c r="C79" s="10" t="s">
        <v>123</v>
      </c>
      <c r="D79" s="10" t="s">
        <v>104</v>
      </c>
      <c r="E79" s="10" t="s">
        <v>627</v>
      </c>
      <c r="G79">
        <v>-8.0000000000000002E-3</v>
      </c>
      <c r="H79">
        <f>SUMIF($W$70:$W$94,$E79&amp;"."&amp;$L79&amp;"."&amp;H$67,$V$70:$V$94)</f>
        <v>-1.2E-2</v>
      </c>
      <c r="J79">
        <f>SUMIF($W$70:$W$94,$E79&amp;"."&amp;$L79&amp;"."&amp;J$67,$V$70:$V$94)</f>
        <v>-1.7139999999999999E-2</v>
      </c>
      <c r="K79" s="35">
        <f t="shared" si="9"/>
        <v>-0.05</v>
      </c>
      <c r="L79" s="10" t="s">
        <v>610</v>
      </c>
      <c r="M79" s="10"/>
      <c r="P79" t="s">
        <v>711</v>
      </c>
      <c r="V79">
        <f t="shared" si="7"/>
        <v>-0.17599999999999999</v>
      </c>
      <c r="W79" t="str">
        <f t="shared" si="8"/>
        <v>ES.TUC_Istruc_ALU-HHE.2035</v>
      </c>
    </row>
    <row r="80" spans="2:23" x14ac:dyDescent="0.3">
      <c r="B80" s="10" t="s">
        <v>10</v>
      </c>
      <c r="C80" s="10" t="s">
        <v>123</v>
      </c>
      <c r="D80" s="10" t="s">
        <v>104</v>
      </c>
      <c r="E80" s="10" t="s">
        <v>259</v>
      </c>
      <c r="F80">
        <f>SUMIF($W$70:$W$100,$E80&amp;"."&amp;$L80&amp;"."&amp;F$67,$V$70:$V$100)</f>
        <v>-1E-3</v>
      </c>
      <c r="K80" s="35">
        <f t="shared" si="9"/>
        <v>-0.05</v>
      </c>
      <c r="L80" s="10" t="s">
        <v>610</v>
      </c>
      <c r="M80" s="10"/>
      <c r="P80" t="s">
        <v>712</v>
      </c>
      <c r="V80">
        <f t="shared" si="7"/>
        <v>-2.5000000000000001E-2</v>
      </c>
      <c r="W80" t="str">
        <f t="shared" si="8"/>
        <v>FR.TUC_Istruc_ALU-HHE.2035</v>
      </c>
    </row>
    <row r="81" spans="2:23" x14ac:dyDescent="0.3">
      <c r="B81" s="10" t="s">
        <v>10</v>
      </c>
      <c r="C81" s="10" t="s">
        <v>123</v>
      </c>
      <c r="D81" s="10" t="s">
        <v>104</v>
      </c>
      <c r="E81" s="10" t="s">
        <v>558</v>
      </c>
      <c r="F81">
        <f>SUMIF($W$70:$W$100,$E81&amp;"."&amp;$L81&amp;"."&amp;F$67,$V$70:$V$100)</f>
        <v>-2.5918199999999999E-2</v>
      </c>
      <c r="K81" s="35">
        <f t="shared" ref="K81:K82" si="11">MIN(-0.05,MIN(F81:J81),MAX(-0.1,J81*1.5))</f>
        <v>-0.05</v>
      </c>
      <c r="L81" s="10" t="s">
        <v>610</v>
      </c>
      <c r="M81" s="10"/>
      <c r="P81" t="s">
        <v>713</v>
      </c>
      <c r="V81">
        <f t="shared" si="7"/>
        <v>-5.7000000000000002E-2</v>
      </c>
      <c r="W81" t="str">
        <f t="shared" si="8"/>
        <v>NL.TUC_Istruc_ALU-HHE.2035</v>
      </c>
    </row>
    <row r="82" spans="2:23" x14ac:dyDescent="0.3">
      <c r="B82" s="10" t="s">
        <v>10</v>
      </c>
      <c r="C82" s="10" t="s">
        <v>123</v>
      </c>
      <c r="D82" s="10" t="s">
        <v>104</v>
      </c>
      <c r="E82" s="10" t="s">
        <v>608</v>
      </c>
      <c r="F82">
        <f>SUMIF($W$70:$W$100,$E82&amp;"."&amp;$L82&amp;"."&amp;F$67,$V$70:$V$100)</f>
        <v>-2.36946E-2</v>
      </c>
      <c r="K82" s="35">
        <f t="shared" si="11"/>
        <v>-0.05</v>
      </c>
      <c r="L82" s="10" t="s">
        <v>610</v>
      </c>
      <c r="M82" s="10"/>
      <c r="P82" t="s">
        <v>613</v>
      </c>
      <c r="V82">
        <f t="shared" si="7"/>
        <v>-1.7899999999999999E-3</v>
      </c>
      <c r="W82" t="str">
        <f t="shared" si="8"/>
        <v>BG.TUC_Istruc_ALU-HHE.2040</v>
      </c>
    </row>
    <row r="83" spans="2:23" x14ac:dyDescent="0.3">
      <c r="B83" s="10" t="s">
        <v>10</v>
      </c>
      <c r="C83" s="10" t="s">
        <v>123</v>
      </c>
      <c r="D83" s="10" t="s">
        <v>104</v>
      </c>
      <c r="E83" s="10" t="s">
        <v>551</v>
      </c>
      <c r="F83" s="5">
        <v>0</v>
      </c>
      <c r="G83" s="5">
        <v>-1</v>
      </c>
      <c r="L83" s="10" t="s">
        <v>718</v>
      </c>
      <c r="M83" s="10"/>
      <c r="P83" t="s">
        <v>714</v>
      </c>
      <c r="V83">
        <f t="shared" si="7"/>
        <v>-1.5E-3</v>
      </c>
      <c r="W83" t="str">
        <f t="shared" si="8"/>
        <v>CH.TUC_Istruc_ALU-HHE.2040</v>
      </c>
    </row>
    <row r="84" spans="2:23" x14ac:dyDescent="0.3">
      <c r="P84" t="s">
        <v>614</v>
      </c>
      <c r="V84">
        <f t="shared" si="7"/>
        <v>-0.16541</v>
      </c>
      <c r="W84" t="str">
        <f t="shared" si="8"/>
        <v>DE.TUC_Istruc_ALU-HHE.2040</v>
      </c>
    </row>
    <row r="85" spans="2:23" x14ac:dyDescent="0.3">
      <c r="P85" t="s">
        <v>615</v>
      </c>
      <c r="V85">
        <f t="shared" si="7"/>
        <v>-2.631E-2</v>
      </c>
      <c r="W85" t="str">
        <f t="shared" si="8"/>
        <v>DK.TUC_Istruc_ALU-HHE.2040</v>
      </c>
    </row>
    <row r="86" spans="2:23" x14ac:dyDescent="0.3">
      <c r="P86" t="s">
        <v>715</v>
      </c>
      <c r="V86">
        <f t="shared" si="7"/>
        <v>-0.17599999999999999</v>
      </c>
      <c r="W86" t="str">
        <f t="shared" si="8"/>
        <v>ES.TUC_Istruc_ALU-HHE.2040</v>
      </c>
    </row>
    <row r="87" spans="2:23" x14ac:dyDescent="0.3">
      <c r="P87" t="s">
        <v>616</v>
      </c>
      <c r="V87">
        <f t="shared" si="7"/>
        <v>-2.9729999999999999E-2</v>
      </c>
      <c r="W87" t="str">
        <f t="shared" si="8"/>
        <v>FR.TUC_Istruc_ALU-HHE.2040</v>
      </c>
    </row>
    <row r="88" spans="2:23" x14ac:dyDescent="0.3">
      <c r="P88" t="s">
        <v>617</v>
      </c>
      <c r="V88">
        <f t="shared" si="7"/>
        <v>-5.9240000000000001E-2</v>
      </c>
      <c r="W88" t="str">
        <f t="shared" si="8"/>
        <v>NL.TUC_Istruc_ALU-HHE.2040</v>
      </c>
    </row>
    <row r="89" spans="2:23" x14ac:dyDescent="0.3">
      <c r="P89" t="s">
        <v>618</v>
      </c>
      <c r="V89">
        <f t="shared" si="7"/>
        <v>-1.7139999999999999E-2</v>
      </c>
      <c r="W89" t="str">
        <f t="shared" si="8"/>
        <v>PL.TUC_Istruc_ALU-HHE.2040</v>
      </c>
    </row>
    <row r="90" spans="2:23" x14ac:dyDescent="0.3">
      <c r="P90" t="s">
        <v>619</v>
      </c>
      <c r="V90">
        <f t="shared" si="7"/>
        <v>-1.2800000000000001E-3</v>
      </c>
      <c r="W90" t="str">
        <f t="shared" si="8"/>
        <v>BE.TUC_Istruc_ALU-HHE.2050</v>
      </c>
    </row>
    <row r="91" spans="2:23" x14ac:dyDescent="0.3">
      <c r="P91" t="s">
        <v>620</v>
      </c>
      <c r="V91">
        <f t="shared" si="7"/>
        <v>-2.1700000000000001E-3</v>
      </c>
      <c r="W91" t="str">
        <f t="shared" si="8"/>
        <v>BG.TUC_Istruc_ALU-HHE.2050</v>
      </c>
    </row>
    <row r="92" spans="2:23" x14ac:dyDescent="0.3">
      <c r="P92" t="s">
        <v>621</v>
      </c>
      <c r="V92">
        <f t="shared" si="7"/>
        <v>-2.6939999999999999E-2</v>
      </c>
      <c r="W92" t="str">
        <f t="shared" si="8"/>
        <v>DK.TUC_Istruc_ALU-HHE.2050</v>
      </c>
    </row>
    <row r="93" spans="2:23" x14ac:dyDescent="0.3">
      <c r="P93" t="s">
        <v>622</v>
      </c>
      <c r="V93">
        <f t="shared" si="7"/>
        <v>-6.0630000000000003E-2</v>
      </c>
      <c r="W93" t="str">
        <f t="shared" si="8"/>
        <v>NL.TUC_Istruc_ALU-HHE.2050</v>
      </c>
    </row>
    <row r="94" spans="2:23" x14ac:dyDescent="0.3">
      <c r="P94" t="s">
        <v>623</v>
      </c>
      <c r="V94">
        <f t="shared" si="7"/>
        <v>-1.958E-2</v>
      </c>
      <c r="W94" t="str">
        <f t="shared" si="8"/>
        <v>PL.TUC_Istruc_ALU-HHE.2050</v>
      </c>
    </row>
    <row r="95" spans="2:23" x14ac:dyDescent="0.3">
      <c r="P95" s="34" t="s">
        <v>380</v>
      </c>
      <c r="Q95" s="34"/>
      <c r="R95" s="34"/>
      <c r="S95" s="34"/>
      <c r="T95" s="34"/>
      <c r="V95">
        <f>RIGHT(P95,7)*1</f>
        <v>-1E-3</v>
      </c>
      <c r="W95" t="str">
        <f t="shared" ref="W95:W100" si="12">LEFT(P95,26)</f>
        <v>BE.TUC_Istruc_ALU-HHE.2015</v>
      </c>
    </row>
    <row r="96" spans="2:23" x14ac:dyDescent="0.3">
      <c r="P96" s="34" t="s">
        <v>382</v>
      </c>
      <c r="Q96" s="34"/>
      <c r="R96" s="34"/>
      <c r="S96" s="34"/>
      <c r="T96" s="34"/>
      <c r="V96">
        <f>RIGHT(P96,10)*1</f>
        <v>-2.4520799999999999E-2</v>
      </c>
      <c r="W96" t="str">
        <f t="shared" si="12"/>
        <v>DK.TUC_Istruc_ALU-HHE.2015</v>
      </c>
    </row>
    <row r="97" spans="16:23" x14ac:dyDescent="0.3">
      <c r="P97" s="34" t="s">
        <v>383</v>
      </c>
      <c r="Q97" s="34"/>
      <c r="R97" s="34"/>
      <c r="S97" s="34"/>
      <c r="T97" s="34"/>
      <c r="V97">
        <f>RIGHT(P97,10)*1</f>
        <v>-2.5918199999999999E-2</v>
      </c>
      <c r="W97" t="str">
        <f t="shared" si="12"/>
        <v>IS.TUC_Istruc_ALU-HHE.2015</v>
      </c>
    </row>
    <row r="98" spans="16:23" x14ac:dyDescent="0.3">
      <c r="P98" s="34" t="s">
        <v>384</v>
      </c>
      <c r="Q98" s="34"/>
      <c r="R98" s="34"/>
      <c r="S98" s="34"/>
      <c r="T98" s="34"/>
      <c r="V98">
        <f>RIGHT(P98,10)*1</f>
        <v>-2.36946E-2</v>
      </c>
      <c r="W98" t="str">
        <f t="shared" si="12"/>
        <v>SE.TUC_Istruc_ALU-HHE.2015</v>
      </c>
    </row>
    <row r="99" spans="16:23" x14ac:dyDescent="0.3">
      <c r="P99" s="34" t="s">
        <v>297</v>
      </c>
      <c r="Q99" s="34"/>
      <c r="R99" s="34"/>
      <c r="S99" s="34"/>
      <c r="T99" s="34"/>
      <c r="V99">
        <f>RIGHT(P99,5)*1</f>
        <v>-0.1</v>
      </c>
      <c r="W99" t="str">
        <f t="shared" si="12"/>
        <v>DE.TUC_Istruc_ALU-HHE.2020</v>
      </c>
    </row>
    <row r="100" spans="16:23" x14ac:dyDescent="0.3">
      <c r="P100" s="34" t="s">
        <v>260</v>
      </c>
      <c r="Q100" s="34"/>
      <c r="R100" s="34"/>
      <c r="S100" s="34"/>
      <c r="T100" s="34"/>
      <c r="V100">
        <f>RIGHT(P100,7)*1</f>
        <v>-7.0000000000000001E-3</v>
      </c>
      <c r="W100" t="str">
        <f t="shared" si="12"/>
        <v>NL.TUC_Istruc_ALU-HHE.2015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27"/>
  <sheetViews>
    <sheetView workbookViewId="0"/>
  </sheetViews>
  <sheetFormatPr defaultRowHeight="14.4" x14ac:dyDescent="0.3"/>
  <cols>
    <col min="2" max="2" width="15.33203125" customWidth="1"/>
    <col min="4" max="4" width="12" customWidth="1"/>
    <col min="7" max="7" width="12.44140625" customWidth="1"/>
    <col min="8" max="8" width="8.6640625" customWidth="1"/>
  </cols>
  <sheetData>
    <row r="1" spans="1:21" x14ac:dyDescent="0.3">
      <c r="A1" t="s">
        <v>197</v>
      </c>
    </row>
    <row r="3" spans="1:21" x14ac:dyDescent="0.3">
      <c r="L3" s="5">
        <v>0.5</v>
      </c>
    </row>
    <row r="5" spans="1:21" x14ac:dyDescent="0.3">
      <c r="I5" s="7" t="s">
        <v>256</v>
      </c>
    </row>
    <row r="6" spans="1:21" x14ac:dyDescent="0.3">
      <c r="B6" s="1" t="s">
        <v>102</v>
      </c>
      <c r="C6" s="1" t="s">
        <v>59</v>
      </c>
      <c r="D6" s="1" t="s">
        <v>58</v>
      </c>
      <c r="E6" s="1" t="s">
        <v>6</v>
      </c>
      <c r="F6" s="1" t="s">
        <v>188</v>
      </c>
      <c r="G6" s="1" t="s">
        <v>2</v>
      </c>
      <c r="H6" s="1" t="s">
        <v>0</v>
      </c>
      <c r="I6" s="6" t="s">
        <v>257</v>
      </c>
      <c r="J6" s="12">
        <v>2010</v>
      </c>
      <c r="K6" s="12">
        <v>2020</v>
      </c>
      <c r="L6" s="12">
        <v>2028</v>
      </c>
      <c r="M6" s="12">
        <v>2030</v>
      </c>
    </row>
    <row r="7" spans="1:21" x14ac:dyDescent="0.3">
      <c r="B7" s="8" t="str">
        <f t="shared" ref="B7:B38" si="0">MID(P7,4,22)</f>
        <v>RCUC-Lo_C_ES-SH-OF_HET</v>
      </c>
      <c r="C7" s="8"/>
      <c r="D7" s="8" t="str">
        <f t="shared" ref="D7:D38" si="1">MID(P7,27,20)</f>
        <v>NR_ES-OF-SpHeat</v>
      </c>
      <c r="E7" s="8"/>
      <c r="F7" s="9" t="str">
        <f t="shared" ref="F7:F38" si="2">LEFT(P7,2)</f>
        <v>Mt</v>
      </c>
      <c r="G7" s="8" t="s">
        <v>255</v>
      </c>
      <c r="H7" s="8" t="s">
        <v>10</v>
      </c>
      <c r="I7" s="9" t="s">
        <v>258</v>
      </c>
      <c r="J7" s="8"/>
      <c r="K7" s="8">
        <f t="shared" ref="K7:K38" si="3">U7</f>
        <v>0</v>
      </c>
      <c r="L7" s="8">
        <f>(2*K7+8*M7)/10</f>
        <v>0</v>
      </c>
      <c r="M7" s="8">
        <f t="shared" ref="M7:M38" si="4">K7*L$3</f>
        <v>0</v>
      </c>
      <c r="P7" t="s">
        <v>198</v>
      </c>
      <c r="U7">
        <v>0</v>
      </c>
    </row>
    <row r="8" spans="1:21" x14ac:dyDescent="0.3">
      <c r="B8" s="8" t="str">
        <f t="shared" si="0"/>
        <v>RCUC-Lo_C_ES-SH-OF_HET</v>
      </c>
      <c r="C8" s="8"/>
      <c r="D8" s="8" t="str">
        <f t="shared" si="1"/>
        <v>NR_ES-OF-SpHeat</v>
      </c>
      <c r="E8" s="8"/>
      <c r="F8" s="9" t="str">
        <f t="shared" si="2"/>
        <v>BE</v>
      </c>
      <c r="G8" s="8" t="s">
        <v>255</v>
      </c>
      <c r="H8" s="8" t="s">
        <v>10</v>
      </c>
      <c r="I8" s="9" t="s">
        <v>258</v>
      </c>
      <c r="J8" s="8"/>
      <c r="K8" s="8">
        <f t="shared" si="3"/>
        <v>-2.5821561999999999E-2</v>
      </c>
      <c r="L8" s="8">
        <f>(2*K8+8*M8)/10</f>
        <v>-1.5492937200000001E-2</v>
      </c>
      <c r="M8" s="8">
        <f t="shared" si="4"/>
        <v>-1.2910781E-2</v>
      </c>
      <c r="P8" t="s">
        <v>199</v>
      </c>
      <c r="U8">
        <v>-2.5821561999999999E-2</v>
      </c>
    </row>
    <row r="9" spans="1:21" x14ac:dyDescent="0.3">
      <c r="B9" s="8" t="str">
        <f t="shared" si="0"/>
        <v>RCUC-Lo_C_ES-SH-OF_HET</v>
      </c>
      <c r="C9" s="8"/>
      <c r="D9" s="8" t="str">
        <f t="shared" si="1"/>
        <v>NR_ES-OF-SpHeat</v>
      </c>
      <c r="E9" s="8"/>
      <c r="F9" s="9" t="str">
        <f t="shared" si="2"/>
        <v>DE</v>
      </c>
      <c r="G9" s="8" t="s">
        <v>255</v>
      </c>
      <c r="H9" s="8" t="s">
        <v>10</v>
      </c>
      <c r="I9" s="9" t="s">
        <v>258</v>
      </c>
      <c r="J9" s="8"/>
      <c r="K9" s="8">
        <f t="shared" si="3"/>
        <v>-7.1943584000000005E-2</v>
      </c>
      <c r="L9" s="8">
        <f t="shared" ref="L9:L57" si="5">(2*K9+8*M9)/10</f>
        <v>-4.3166150400000006E-2</v>
      </c>
      <c r="M9" s="8">
        <f t="shared" si="4"/>
        <v>-3.5971792000000002E-2</v>
      </c>
      <c r="P9" t="s">
        <v>200</v>
      </c>
      <c r="U9">
        <v>-7.1943584000000005E-2</v>
      </c>
    </row>
    <row r="10" spans="1:21" x14ac:dyDescent="0.3">
      <c r="B10" s="8" t="str">
        <f t="shared" si="0"/>
        <v>RCUC-Lo_C_ES-SH-OF_HET</v>
      </c>
      <c r="C10" s="8"/>
      <c r="D10" s="8" t="str">
        <f t="shared" si="1"/>
        <v>NR_ES-OF-SpHeat</v>
      </c>
      <c r="E10" s="8"/>
      <c r="F10" s="9" t="str">
        <f t="shared" si="2"/>
        <v>EE</v>
      </c>
      <c r="G10" s="8" t="s">
        <v>255</v>
      </c>
      <c r="H10" s="8" t="s">
        <v>10</v>
      </c>
      <c r="I10" s="9" t="s">
        <v>258</v>
      </c>
      <c r="J10" s="8"/>
      <c r="K10" s="8">
        <f t="shared" si="3"/>
        <v>-0.30842335599999998</v>
      </c>
      <c r="L10" s="8">
        <f t="shared" si="5"/>
        <v>-0.18505401359999998</v>
      </c>
      <c r="M10" s="8">
        <f t="shared" si="4"/>
        <v>-0.15421167799999999</v>
      </c>
      <c r="P10" t="s">
        <v>201</v>
      </c>
      <c r="U10">
        <v>-0.30842335599999998</v>
      </c>
    </row>
    <row r="11" spans="1:21" x14ac:dyDescent="0.3">
      <c r="B11" s="8" t="str">
        <f t="shared" si="0"/>
        <v>RCUC-Lo_C_ES-SH-OF_HET</v>
      </c>
      <c r="C11" s="8"/>
      <c r="D11" s="8" t="str">
        <f t="shared" si="1"/>
        <v>NR_ES-OF-SpHeat</v>
      </c>
      <c r="E11" s="8"/>
      <c r="F11" s="9" t="str">
        <f t="shared" si="2"/>
        <v>HR</v>
      </c>
      <c r="G11" s="8" t="s">
        <v>255</v>
      </c>
      <c r="H11" s="8" t="s">
        <v>10</v>
      </c>
      <c r="I11" s="9" t="s">
        <v>258</v>
      </c>
      <c r="J11" s="8"/>
      <c r="K11" s="8">
        <f t="shared" si="3"/>
        <v>-0.116453453</v>
      </c>
      <c r="L11" s="8">
        <f t="shared" si="5"/>
        <v>-6.9872071800000005E-2</v>
      </c>
      <c r="M11" s="8">
        <f t="shared" si="4"/>
        <v>-5.8226726499999999E-2</v>
      </c>
      <c r="P11" t="s">
        <v>202</v>
      </c>
      <c r="U11">
        <v>-0.116453453</v>
      </c>
    </row>
    <row r="12" spans="1:21" x14ac:dyDescent="0.3">
      <c r="B12" s="8" t="str">
        <f t="shared" si="0"/>
        <v>RCUC-Lo_C_ES-SH-OF_HET</v>
      </c>
      <c r="C12" s="8"/>
      <c r="D12" s="8" t="str">
        <f t="shared" si="1"/>
        <v>NR_ES-OF-SpHeat</v>
      </c>
      <c r="E12" s="8"/>
      <c r="F12" s="9" t="str">
        <f t="shared" si="2"/>
        <v>HU</v>
      </c>
      <c r="G12" s="8" t="s">
        <v>255</v>
      </c>
      <c r="H12" s="8" t="s">
        <v>10</v>
      </c>
      <c r="I12" s="9" t="s">
        <v>258</v>
      </c>
      <c r="J12" s="8"/>
      <c r="K12" s="8">
        <f t="shared" si="3"/>
        <v>-9.2785686000000006E-2</v>
      </c>
      <c r="L12" s="8">
        <f t="shared" si="5"/>
        <v>-5.5671411599999998E-2</v>
      </c>
      <c r="M12" s="8">
        <f t="shared" si="4"/>
        <v>-4.6392843000000003E-2</v>
      </c>
      <c r="P12" t="s">
        <v>203</v>
      </c>
      <c r="U12">
        <v>-9.2785686000000006E-2</v>
      </c>
    </row>
    <row r="13" spans="1:21" x14ac:dyDescent="0.3">
      <c r="B13" s="8" t="str">
        <f t="shared" si="0"/>
        <v>RCUC-Lo_C_ES-SH-OF_HET</v>
      </c>
      <c r="C13" s="8"/>
      <c r="D13" s="8" t="str">
        <f t="shared" si="1"/>
        <v>NR_ES-OF-SpHeat</v>
      </c>
      <c r="E13" s="8"/>
      <c r="F13" s="9" t="str">
        <f t="shared" si="2"/>
        <v>LV</v>
      </c>
      <c r="G13" s="8" t="s">
        <v>255</v>
      </c>
      <c r="H13" s="8" t="s">
        <v>10</v>
      </c>
      <c r="I13" s="9" t="s">
        <v>258</v>
      </c>
      <c r="J13" s="8"/>
      <c r="K13" s="8">
        <f t="shared" si="3"/>
        <v>-0.34920402</v>
      </c>
      <c r="L13" s="8">
        <f t="shared" si="5"/>
        <v>-0.20952241200000002</v>
      </c>
      <c r="M13" s="8">
        <f t="shared" si="4"/>
        <v>-0.17460201</v>
      </c>
      <c r="P13" t="s">
        <v>204</v>
      </c>
      <c r="U13">
        <v>-0.34920402</v>
      </c>
    </row>
    <row r="14" spans="1:21" x14ac:dyDescent="0.3">
      <c r="B14" s="8" t="str">
        <f t="shared" si="0"/>
        <v>RCUC-Lo_C_ES-SH-OF_HET</v>
      </c>
      <c r="C14" s="8"/>
      <c r="D14" s="8" t="str">
        <f t="shared" si="1"/>
        <v>NR_ES-OF-SpHeat</v>
      </c>
      <c r="E14" s="8"/>
      <c r="F14" s="9" t="str">
        <f t="shared" si="2"/>
        <v>NL</v>
      </c>
      <c r="G14" s="8" t="s">
        <v>255</v>
      </c>
      <c r="H14" s="8" t="s">
        <v>10</v>
      </c>
      <c r="I14" s="9" t="s">
        <v>258</v>
      </c>
      <c r="J14" s="8"/>
      <c r="K14" s="8">
        <f t="shared" si="3"/>
        <v>-2.7414646000000001E-2</v>
      </c>
      <c r="L14" s="8">
        <f t="shared" si="5"/>
        <v>-1.6448787600000001E-2</v>
      </c>
      <c r="M14" s="8">
        <f t="shared" si="4"/>
        <v>-1.3707323E-2</v>
      </c>
      <c r="P14" t="s">
        <v>205</v>
      </c>
      <c r="U14">
        <v>-2.7414646000000001E-2</v>
      </c>
    </row>
    <row r="15" spans="1:21" x14ac:dyDescent="0.3">
      <c r="B15" s="8" t="str">
        <f t="shared" si="0"/>
        <v>RCUC-Lo_C_ES-SH-OF_HET</v>
      </c>
      <c r="C15" s="8"/>
      <c r="D15" s="8" t="str">
        <f t="shared" si="1"/>
        <v>NR_ES-OF-SpHeat</v>
      </c>
      <c r="E15" s="8"/>
      <c r="F15" s="9" t="str">
        <f t="shared" si="2"/>
        <v>RO</v>
      </c>
      <c r="G15" s="8" t="s">
        <v>255</v>
      </c>
      <c r="H15" s="8" t="s">
        <v>10</v>
      </c>
      <c r="I15" s="9" t="s">
        <v>258</v>
      </c>
      <c r="J15" s="8"/>
      <c r="K15" s="8">
        <f t="shared" si="3"/>
        <v>-0.18871505</v>
      </c>
      <c r="L15" s="8">
        <f t="shared" si="5"/>
        <v>-0.11322902999999999</v>
      </c>
      <c r="M15" s="8">
        <f t="shared" si="4"/>
        <v>-9.4357524999999998E-2</v>
      </c>
      <c r="P15" t="s">
        <v>206</v>
      </c>
      <c r="U15">
        <v>-0.18871505</v>
      </c>
    </row>
    <row r="16" spans="1:21" x14ac:dyDescent="0.3">
      <c r="B16" s="8" t="str">
        <f t="shared" si="0"/>
        <v>RCUC-Lo_C_ES-SH-OF_HET</v>
      </c>
      <c r="C16" s="8"/>
      <c r="D16" s="8" t="str">
        <f t="shared" si="1"/>
        <v>NR_ES-OF-SpHeat</v>
      </c>
      <c r="E16" s="8"/>
      <c r="F16" s="9" t="str">
        <f t="shared" si="2"/>
        <v>SK</v>
      </c>
      <c r="G16" s="8" t="s">
        <v>255</v>
      </c>
      <c r="H16" s="8" t="s">
        <v>10</v>
      </c>
      <c r="I16" s="9" t="s">
        <v>258</v>
      </c>
      <c r="J16" s="8"/>
      <c r="K16" s="8">
        <f t="shared" si="3"/>
        <v>-4.2374818000000002E-2</v>
      </c>
      <c r="L16" s="8">
        <f t="shared" si="5"/>
        <v>-2.5424890799999999E-2</v>
      </c>
      <c r="M16" s="8">
        <f t="shared" si="4"/>
        <v>-2.1187409000000001E-2</v>
      </c>
      <c r="P16" t="s">
        <v>207</v>
      </c>
      <c r="U16">
        <v>-4.2374818000000002E-2</v>
      </c>
    </row>
    <row r="17" spans="2:21" x14ac:dyDescent="0.3">
      <c r="B17" s="8" t="str">
        <f t="shared" si="0"/>
        <v>RCUC-Lo_C_ES-SH-HO_HET</v>
      </c>
      <c r="C17" s="8"/>
      <c r="D17" s="8" t="str">
        <f t="shared" si="1"/>
        <v>NR_ES-HO-SpHeat</v>
      </c>
      <c r="E17" s="8"/>
      <c r="F17" s="9" t="str">
        <f t="shared" si="2"/>
        <v>BE</v>
      </c>
      <c r="G17" s="8" t="s">
        <v>255</v>
      </c>
      <c r="H17" s="8" t="s">
        <v>10</v>
      </c>
      <c r="I17" s="9" t="s">
        <v>258</v>
      </c>
      <c r="J17" s="8"/>
      <c r="K17" s="8">
        <f t="shared" si="3"/>
        <v>-2.0604602E-2</v>
      </c>
      <c r="L17" s="8">
        <f t="shared" si="5"/>
        <v>-1.2362761199999999E-2</v>
      </c>
      <c r="M17" s="8">
        <f t="shared" si="4"/>
        <v>-1.0302301E-2</v>
      </c>
      <c r="P17" t="s">
        <v>208</v>
      </c>
      <c r="U17">
        <v>-2.0604602E-2</v>
      </c>
    </row>
    <row r="18" spans="2:21" x14ac:dyDescent="0.3">
      <c r="B18" s="8" t="str">
        <f t="shared" si="0"/>
        <v>RCUC-Lo_C_ES-SH-HO_HET</v>
      </c>
      <c r="C18" s="8"/>
      <c r="D18" s="8" t="str">
        <f t="shared" si="1"/>
        <v>NR_ES-HO-SpHeat</v>
      </c>
      <c r="E18" s="8"/>
      <c r="F18" s="9" t="str">
        <f t="shared" si="2"/>
        <v>DE</v>
      </c>
      <c r="G18" s="8" t="s">
        <v>255</v>
      </c>
      <c r="H18" s="8" t="s">
        <v>10</v>
      </c>
      <c r="I18" s="9" t="s">
        <v>258</v>
      </c>
      <c r="J18" s="8"/>
      <c r="K18" s="8">
        <f t="shared" si="3"/>
        <v>-5.9525482999999997E-2</v>
      </c>
      <c r="L18" s="8">
        <f t="shared" si="5"/>
        <v>-3.5715289800000001E-2</v>
      </c>
      <c r="M18" s="8">
        <f t="shared" si="4"/>
        <v>-2.9762741499999999E-2</v>
      </c>
      <c r="P18" t="s">
        <v>209</v>
      </c>
      <c r="U18">
        <v>-5.9525482999999997E-2</v>
      </c>
    </row>
    <row r="19" spans="2:21" x14ac:dyDescent="0.3">
      <c r="B19" s="8" t="str">
        <f t="shared" si="0"/>
        <v>RCUC-Lo_C_ES-SH-HO_HET</v>
      </c>
      <c r="C19" s="8"/>
      <c r="D19" s="8" t="str">
        <f t="shared" si="1"/>
        <v>NR_ES-HO-SpHeat</v>
      </c>
      <c r="E19" s="8"/>
      <c r="F19" s="9" t="str">
        <f t="shared" si="2"/>
        <v>EE</v>
      </c>
      <c r="G19" s="8" t="s">
        <v>255</v>
      </c>
      <c r="H19" s="8" t="s">
        <v>10</v>
      </c>
      <c r="I19" s="9" t="s">
        <v>258</v>
      </c>
      <c r="J19" s="8"/>
      <c r="K19" s="8">
        <f t="shared" si="3"/>
        <v>-0.31948262399999999</v>
      </c>
      <c r="L19" s="8">
        <f t="shared" si="5"/>
        <v>-0.19168957440000001</v>
      </c>
      <c r="M19" s="8">
        <f t="shared" si="4"/>
        <v>-0.159741312</v>
      </c>
      <c r="P19" t="s">
        <v>210</v>
      </c>
      <c r="U19">
        <v>-0.31948262399999999</v>
      </c>
    </row>
    <row r="20" spans="2:21" x14ac:dyDescent="0.3">
      <c r="B20" s="8" t="str">
        <f t="shared" si="0"/>
        <v>RCUC-Lo_C_ES-SH-HO_HET</v>
      </c>
      <c r="C20" s="8"/>
      <c r="D20" s="8" t="str">
        <f t="shared" si="1"/>
        <v>NR_ES-HO-SpHeat</v>
      </c>
      <c r="E20" s="8"/>
      <c r="F20" s="9" t="str">
        <f t="shared" si="2"/>
        <v>FI</v>
      </c>
      <c r="G20" s="8" t="s">
        <v>255</v>
      </c>
      <c r="H20" s="8" t="s">
        <v>10</v>
      </c>
      <c r="I20" s="9" t="s">
        <v>258</v>
      </c>
      <c r="J20" s="8"/>
      <c r="K20" s="8">
        <f t="shared" si="3"/>
        <v>-0.48607881800000002</v>
      </c>
      <c r="L20" s="8">
        <f t="shared" si="5"/>
        <v>-0.29164729080000001</v>
      </c>
      <c r="M20" s="8">
        <f t="shared" si="4"/>
        <v>-0.24303940900000001</v>
      </c>
      <c r="P20" t="s">
        <v>211</v>
      </c>
      <c r="U20">
        <v>-0.48607881800000002</v>
      </c>
    </row>
    <row r="21" spans="2:21" x14ac:dyDescent="0.3">
      <c r="B21" s="8" t="str">
        <f t="shared" si="0"/>
        <v>RCUC-Lo_C_ES-SH-HO_HET</v>
      </c>
      <c r="C21" s="8"/>
      <c r="D21" s="8" t="str">
        <f t="shared" si="1"/>
        <v>NR_ES-HO-SpHeat</v>
      </c>
      <c r="E21" s="8"/>
      <c r="F21" s="9" t="str">
        <f t="shared" si="2"/>
        <v>HR</v>
      </c>
      <c r="G21" s="8" t="s">
        <v>255</v>
      </c>
      <c r="H21" s="8" t="s">
        <v>10</v>
      </c>
      <c r="I21" s="9" t="s">
        <v>258</v>
      </c>
      <c r="J21" s="8"/>
      <c r="K21" s="8">
        <f t="shared" si="3"/>
        <v>-0.132021841</v>
      </c>
      <c r="L21" s="8">
        <f t="shared" si="5"/>
        <v>-7.9213104600000001E-2</v>
      </c>
      <c r="M21" s="8">
        <f t="shared" si="4"/>
        <v>-6.60109205E-2</v>
      </c>
      <c r="P21" t="s">
        <v>212</v>
      </c>
      <c r="U21">
        <v>-0.132021841</v>
      </c>
    </row>
    <row r="22" spans="2:21" x14ac:dyDescent="0.3">
      <c r="B22" s="8" t="str">
        <f t="shared" si="0"/>
        <v>RCUC-Lo_C_ES-SH-HO_HET</v>
      </c>
      <c r="C22" s="8"/>
      <c r="D22" s="8" t="str">
        <f t="shared" si="1"/>
        <v>NR_ES-HO-SpHeat</v>
      </c>
      <c r="E22" s="8"/>
      <c r="F22" s="9" t="str">
        <f t="shared" si="2"/>
        <v>HU</v>
      </c>
      <c r="G22" s="8" t="s">
        <v>255</v>
      </c>
      <c r="H22" s="8" t="s">
        <v>10</v>
      </c>
      <c r="I22" s="9" t="s">
        <v>258</v>
      </c>
      <c r="J22" s="8"/>
      <c r="K22" s="8">
        <f t="shared" si="3"/>
        <v>-5.5975430999999999E-2</v>
      </c>
      <c r="L22" s="8">
        <f t="shared" si="5"/>
        <v>-3.3585258600000001E-2</v>
      </c>
      <c r="M22" s="8">
        <f t="shared" si="4"/>
        <v>-2.79877155E-2</v>
      </c>
      <c r="P22" t="s">
        <v>213</v>
      </c>
      <c r="U22">
        <v>-5.5975430999999999E-2</v>
      </c>
    </row>
    <row r="23" spans="2:21" x14ac:dyDescent="0.3">
      <c r="B23" s="8" t="str">
        <f t="shared" si="0"/>
        <v>RCUC-Lo_C_ES-SH-HO_HET</v>
      </c>
      <c r="C23" s="8"/>
      <c r="D23" s="8" t="str">
        <f t="shared" si="1"/>
        <v>NR_ES-HO-SpHeat</v>
      </c>
      <c r="E23" s="8"/>
      <c r="F23" s="9" t="str">
        <f t="shared" si="2"/>
        <v>LV</v>
      </c>
      <c r="G23" s="8" t="s">
        <v>255</v>
      </c>
      <c r="H23" s="8" t="s">
        <v>10</v>
      </c>
      <c r="I23" s="9" t="s">
        <v>258</v>
      </c>
      <c r="J23" s="8"/>
      <c r="K23" s="8">
        <f t="shared" si="3"/>
        <v>-0.16445589099999999</v>
      </c>
      <c r="L23" s="8">
        <f t="shared" si="5"/>
        <v>-9.8673534599999987E-2</v>
      </c>
      <c r="M23" s="8">
        <f t="shared" si="4"/>
        <v>-8.2227945499999996E-2</v>
      </c>
      <c r="P23" t="s">
        <v>214</v>
      </c>
      <c r="U23">
        <v>-0.16445589099999999</v>
      </c>
    </row>
    <row r="24" spans="2:21" x14ac:dyDescent="0.3">
      <c r="B24" s="8" t="str">
        <f t="shared" si="0"/>
        <v>RCUC-Lo_C_ES-SH-HO_HET</v>
      </c>
      <c r="C24" s="8"/>
      <c r="D24" s="8" t="str">
        <f t="shared" si="1"/>
        <v>NR_ES-HO-SpHeat</v>
      </c>
      <c r="E24" s="8"/>
      <c r="F24" s="9" t="str">
        <f t="shared" si="2"/>
        <v>NL</v>
      </c>
      <c r="G24" s="8" t="s">
        <v>255</v>
      </c>
      <c r="H24" s="8" t="s">
        <v>10</v>
      </c>
      <c r="I24" s="9" t="s">
        <v>258</v>
      </c>
      <c r="J24" s="8"/>
      <c r="K24" s="8">
        <f t="shared" si="3"/>
        <v>-5.2178064000000003E-2</v>
      </c>
      <c r="L24" s="8">
        <f t="shared" si="5"/>
        <v>-3.1306838400000002E-2</v>
      </c>
      <c r="M24" s="8">
        <f t="shared" si="4"/>
        <v>-2.6089032000000002E-2</v>
      </c>
      <c r="P24" t="s">
        <v>215</v>
      </c>
      <c r="U24">
        <v>-5.2178064000000003E-2</v>
      </c>
    </row>
    <row r="25" spans="2:21" x14ac:dyDescent="0.3">
      <c r="B25" s="8" t="str">
        <f t="shared" si="0"/>
        <v>RCUC-Lo_C_ES-SH-HO_HET</v>
      </c>
      <c r="C25" s="8"/>
      <c r="D25" s="8" t="str">
        <f t="shared" si="1"/>
        <v>NR_ES-HO-SpHeat</v>
      </c>
      <c r="E25" s="8"/>
      <c r="F25" s="9" t="str">
        <f t="shared" si="2"/>
        <v>SK</v>
      </c>
      <c r="G25" s="8" t="s">
        <v>255</v>
      </c>
      <c r="H25" s="8" t="s">
        <v>10</v>
      </c>
      <c r="I25" s="9" t="s">
        <v>258</v>
      </c>
      <c r="J25" s="8"/>
      <c r="K25" s="8">
        <f t="shared" si="3"/>
        <v>0</v>
      </c>
      <c r="L25" s="8">
        <f t="shared" si="5"/>
        <v>0</v>
      </c>
      <c r="M25" s="8">
        <f t="shared" si="4"/>
        <v>0</v>
      </c>
      <c r="P25" t="s">
        <v>216</v>
      </c>
      <c r="U25">
        <v>0</v>
      </c>
    </row>
    <row r="26" spans="2:21" x14ac:dyDescent="0.3">
      <c r="B26" s="8" t="str">
        <f t="shared" si="0"/>
        <v>RCUC-Lo_C_ES-SH-HR_HET</v>
      </c>
      <c r="C26" s="8"/>
      <c r="D26" s="8" t="str">
        <f t="shared" si="1"/>
        <v>NR_ES-HR-SpHeat</v>
      </c>
      <c r="E26" s="8"/>
      <c r="F26" s="9" t="str">
        <f t="shared" si="2"/>
        <v>EE</v>
      </c>
      <c r="G26" s="8" t="s">
        <v>255</v>
      </c>
      <c r="H26" s="8" t="s">
        <v>10</v>
      </c>
      <c r="I26" s="9" t="s">
        <v>258</v>
      </c>
      <c r="J26" s="8"/>
      <c r="K26" s="8">
        <f t="shared" si="3"/>
        <v>-0.44990544399999999</v>
      </c>
      <c r="L26" s="8">
        <f t="shared" si="5"/>
        <v>-0.26994326639999999</v>
      </c>
      <c r="M26" s="8">
        <f t="shared" si="4"/>
        <v>-0.22495272199999999</v>
      </c>
      <c r="P26" t="s">
        <v>217</v>
      </c>
      <c r="U26">
        <v>-0.44990544399999999</v>
      </c>
    </row>
    <row r="27" spans="2:21" x14ac:dyDescent="0.3">
      <c r="B27" s="8" t="str">
        <f t="shared" si="0"/>
        <v>RCUC-Lo_C_ES-SH-HR_HET</v>
      </c>
      <c r="C27" s="8"/>
      <c r="D27" s="8" t="str">
        <f t="shared" si="1"/>
        <v>NR_ES-HR-SpHeat</v>
      </c>
      <c r="E27" s="8"/>
      <c r="F27" s="9" t="str">
        <f t="shared" si="2"/>
        <v>FR</v>
      </c>
      <c r="G27" s="8" t="s">
        <v>255</v>
      </c>
      <c r="H27" s="8" t="s">
        <v>10</v>
      </c>
      <c r="I27" s="9" t="s">
        <v>258</v>
      </c>
      <c r="J27" s="8"/>
      <c r="K27" s="8">
        <f t="shared" si="3"/>
        <v>-4.3231341E-2</v>
      </c>
      <c r="L27" s="8">
        <f t="shared" si="5"/>
        <v>-2.5938804599999997E-2</v>
      </c>
      <c r="M27" s="8">
        <f t="shared" si="4"/>
        <v>-2.16156705E-2</v>
      </c>
      <c r="P27" t="s">
        <v>218</v>
      </c>
      <c r="U27">
        <v>-4.3231341E-2</v>
      </c>
    </row>
    <row r="28" spans="2:21" x14ac:dyDescent="0.3">
      <c r="B28" s="8" t="str">
        <f t="shared" si="0"/>
        <v>RCUC-Lo_C_ES-SH-HR_HET</v>
      </c>
      <c r="C28" s="8"/>
      <c r="D28" s="8" t="str">
        <f t="shared" si="1"/>
        <v>NR_ES-HR-SpHeat</v>
      </c>
      <c r="E28" s="8"/>
      <c r="F28" s="9" t="str">
        <f t="shared" si="2"/>
        <v>HU</v>
      </c>
      <c r="G28" s="8" t="s">
        <v>255</v>
      </c>
      <c r="H28" s="8" t="s">
        <v>10</v>
      </c>
      <c r="I28" s="9" t="s">
        <v>258</v>
      </c>
      <c r="J28" s="8"/>
      <c r="K28" s="8">
        <f t="shared" si="3"/>
        <v>-0.10406538</v>
      </c>
      <c r="L28" s="8">
        <f t="shared" si="5"/>
        <v>-6.2439227999999999E-2</v>
      </c>
      <c r="M28" s="8">
        <f t="shared" si="4"/>
        <v>-5.2032689999999999E-2</v>
      </c>
      <c r="P28" t="s">
        <v>219</v>
      </c>
      <c r="U28">
        <v>-0.10406538</v>
      </c>
    </row>
    <row r="29" spans="2:21" x14ac:dyDescent="0.3">
      <c r="B29" s="8" t="str">
        <f t="shared" si="0"/>
        <v>RCUC-Lo_C_ES-SH-HR_HET</v>
      </c>
      <c r="C29" s="8"/>
      <c r="D29" s="8" t="str">
        <f t="shared" si="1"/>
        <v>NR_ES-HR-SpHeat</v>
      </c>
      <c r="E29" s="8"/>
      <c r="F29" s="9" t="str">
        <f t="shared" si="2"/>
        <v>NL</v>
      </c>
      <c r="G29" s="8" t="s">
        <v>255</v>
      </c>
      <c r="H29" s="8" t="s">
        <v>10</v>
      </c>
      <c r="I29" s="9" t="s">
        <v>258</v>
      </c>
      <c r="J29" s="8"/>
      <c r="K29" s="8">
        <f t="shared" si="3"/>
        <v>-2.7412501999999998E-2</v>
      </c>
      <c r="L29" s="8">
        <f t="shared" si="5"/>
        <v>-1.6447501199999999E-2</v>
      </c>
      <c r="M29" s="8">
        <f t="shared" si="4"/>
        <v>-1.3706250999999999E-2</v>
      </c>
      <c r="P29" t="s">
        <v>220</v>
      </c>
      <c r="U29">
        <v>-2.7412501999999998E-2</v>
      </c>
    </row>
    <row r="30" spans="2:21" x14ac:dyDescent="0.3">
      <c r="B30" s="8" t="str">
        <f t="shared" si="0"/>
        <v>RCUC-Lo_C_ES-SH-HR_HET</v>
      </c>
      <c r="C30" s="8"/>
      <c r="D30" s="8" t="str">
        <f t="shared" si="1"/>
        <v>NR_ES-HR-SpHeat</v>
      </c>
      <c r="E30" s="8"/>
      <c r="F30" s="9" t="str">
        <f t="shared" si="2"/>
        <v>SK</v>
      </c>
      <c r="G30" s="8" t="s">
        <v>255</v>
      </c>
      <c r="H30" s="8" t="s">
        <v>10</v>
      </c>
      <c r="I30" s="9" t="s">
        <v>258</v>
      </c>
      <c r="J30" s="8"/>
      <c r="K30" s="8">
        <f t="shared" si="3"/>
        <v>0</v>
      </c>
      <c r="L30" s="8">
        <f t="shared" si="5"/>
        <v>0</v>
      </c>
      <c r="M30" s="8">
        <f t="shared" si="4"/>
        <v>0</v>
      </c>
      <c r="P30" t="s">
        <v>221</v>
      </c>
      <c r="U30">
        <v>0</v>
      </c>
    </row>
    <row r="31" spans="2:21" x14ac:dyDescent="0.3">
      <c r="B31" s="8" t="str">
        <f t="shared" si="0"/>
        <v>RCUC-Lo_C_ES-SH-SL_HET</v>
      </c>
      <c r="C31" s="8"/>
      <c r="D31" s="8" t="str">
        <f t="shared" si="1"/>
        <v>NR_ES-SL-SpHeat</v>
      </c>
      <c r="E31" s="8"/>
      <c r="F31" s="9" t="str">
        <f t="shared" si="2"/>
        <v>BE</v>
      </c>
      <c r="G31" s="8" t="s">
        <v>255</v>
      </c>
      <c r="H31" s="8" t="s">
        <v>10</v>
      </c>
      <c r="I31" s="9" t="s">
        <v>258</v>
      </c>
      <c r="J31" s="8"/>
      <c r="K31" s="8">
        <f t="shared" si="3"/>
        <v>-2.0604511999999998E-2</v>
      </c>
      <c r="L31" s="8">
        <f t="shared" si="5"/>
        <v>-1.23627072E-2</v>
      </c>
      <c r="M31" s="8">
        <f t="shared" si="4"/>
        <v>-1.0302255999999999E-2</v>
      </c>
      <c r="P31" t="s">
        <v>222</v>
      </c>
      <c r="U31">
        <v>-2.0604511999999998E-2</v>
      </c>
    </row>
    <row r="32" spans="2:21" x14ac:dyDescent="0.3">
      <c r="B32" s="8" t="str">
        <f t="shared" si="0"/>
        <v>RCUC-Lo_C_ES-SH-SL_HET</v>
      </c>
      <c r="C32" s="8"/>
      <c r="D32" s="8" t="str">
        <f t="shared" si="1"/>
        <v>NR_ES-SL-SpHeat</v>
      </c>
      <c r="E32" s="8"/>
      <c r="F32" s="9" t="str">
        <f t="shared" si="2"/>
        <v>DE</v>
      </c>
      <c r="G32" s="8" t="s">
        <v>255</v>
      </c>
      <c r="H32" s="8" t="s">
        <v>10</v>
      </c>
      <c r="I32" s="9" t="s">
        <v>258</v>
      </c>
      <c r="J32" s="8"/>
      <c r="K32" s="8">
        <f t="shared" si="3"/>
        <v>-9.8434289999999994E-2</v>
      </c>
      <c r="L32" s="8">
        <f t="shared" si="5"/>
        <v>-5.9060573999999998E-2</v>
      </c>
      <c r="M32" s="8">
        <f t="shared" si="4"/>
        <v>-4.9217144999999997E-2</v>
      </c>
      <c r="P32" t="s">
        <v>223</v>
      </c>
      <c r="U32">
        <v>-9.8434289999999994E-2</v>
      </c>
    </row>
    <row r="33" spans="2:21" x14ac:dyDescent="0.3">
      <c r="B33" s="8" t="str">
        <f t="shared" si="0"/>
        <v>RCUC-Lo_C_ES-SH-SL_HET</v>
      </c>
      <c r="C33" s="8"/>
      <c r="D33" s="8" t="str">
        <f t="shared" si="1"/>
        <v>NR_ES-SL-SpHeat</v>
      </c>
      <c r="E33" s="8"/>
      <c r="F33" s="9" t="str">
        <f t="shared" si="2"/>
        <v>EE</v>
      </c>
      <c r="G33" s="8" t="s">
        <v>255</v>
      </c>
      <c r="H33" s="8" t="s">
        <v>10</v>
      </c>
      <c r="I33" s="9" t="s">
        <v>258</v>
      </c>
      <c r="J33" s="8"/>
      <c r="K33" s="8">
        <f t="shared" si="3"/>
        <v>-0.236125697</v>
      </c>
      <c r="L33" s="8">
        <f t="shared" si="5"/>
        <v>-0.14167541820000001</v>
      </c>
      <c r="M33" s="8">
        <f t="shared" si="4"/>
        <v>-0.1180628485</v>
      </c>
      <c r="P33" t="s">
        <v>224</v>
      </c>
      <c r="U33">
        <v>-0.236125697</v>
      </c>
    </row>
    <row r="34" spans="2:21" x14ac:dyDescent="0.3">
      <c r="B34" s="8" t="str">
        <f t="shared" si="0"/>
        <v>RCUC-Lo_C_ES-SH-SL_HET</v>
      </c>
      <c r="C34" s="8"/>
      <c r="D34" s="8" t="str">
        <f t="shared" si="1"/>
        <v>NR_ES-SL-SpHeat</v>
      </c>
      <c r="E34" s="8"/>
      <c r="F34" s="9" t="str">
        <f t="shared" si="2"/>
        <v>FI</v>
      </c>
      <c r="G34" s="8" t="s">
        <v>255</v>
      </c>
      <c r="H34" s="8" t="s">
        <v>10</v>
      </c>
      <c r="I34" s="9" t="s">
        <v>258</v>
      </c>
      <c r="J34" s="8"/>
      <c r="K34" s="8">
        <f t="shared" si="3"/>
        <v>-0.345665736</v>
      </c>
      <c r="L34" s="8">
        <f t="shared" si="5"/>
        <v>-0.20739944160000001</v>
      </c>
      <c r="M34" s="8">
        <f t="shared" si="4"/>
        <v>-0.172832868</v>
      </c>
      <c r="P34" t="s">
        <v>225</v>
      </c>
      <c r="U34">
        <v>-0.345665736</v>
      </c>
    </row>
    <row r="35" spans="2:21" x14ac:dyDescent="0.3">
      <c r="B35" s="8" t="str">
        <f t="shared" si="0"/>
        <v>RCUC-Lo_C_ES-SH-SL_HET</v>
      </c>
      <c r="C35" s="8"/>
      <c r="D35" s="8" t="str">
        <f t="shared" si="1"/>
        <v>NR_ES-SL-SpHeat</v>
      </c>
      <c r="E35" s="8"/>
      <c r="F35" s="9" t="str">
        <f t="shared" si="2"/>
        <v>FR</v>
      </c>
      <c r="G35" s="8" t="s">
        <v>255</v>
      </c>
      <c r="H35" s="8" t="s">
        <v>10</v>
      </c>
      <c r="I35" s="9" t="s">
        <v>258</v>
      </c>
      <c r="J35" s="8"/>
      <c r="K35" s="8">
        <f t="shared" si="3"/>
        <v>-6.9904252E-2</v>
      </c>
      <c r="L35" s="8">
        <f t="shared" si="5"/>
        <v>-4.1942551199999997E-2</v>
      </c>
      <c r="M35" s="8">
        <f t="shared" si="4"/>
        <v>-3.4952126E-2</v>
      </c>
      <c r="P35" t="s">
        <v>226</v>
      </c>
      <c r="U35">
        <v>-6.9904252E-2</v>
      </c>
    </row>
    <row r="36" spans="2:21" x14ac:dyDescent="0.3">
      <c r="B36" s="8" t="str">
        <f t="shared" si="0"/>
        <v>RCUC-Lo_C_ES-SH-SL_HET</v>
      </c>
      <c r="C36" s="8"/>
      <c r="D36" s="8" t="str">
        <f t="shared" si="1"/>
        <v>NR_ES-SL-SpHeat</v>
      </c>
      <c r="E36" s="8"/>
      <c r="F36" s="9" t="str">
        <f t="shared" si="2"/>
        <v>HU</v>
      </c>
      <c r="G36" s="8" t="s">
        <v>255</v>
      </c>
      <c r="H36" s="8" t="s">
        <v>10</v>
      </c>
      <c r="I36" s="9" t="s">
        <v>258</v>
      </c>
      <c r="J36" s="8"/>
      <c r="K36" s="8">
        <f t="shared" si="3"/>
        <v>-7.5737030999999996E-2</v>
      </c>
      <c r="L36" s="8">
        <f t="shared" si="5"/>
        <v>-4.5442218599999994E-2</v>
      </c>
      <c r="M36" s="8">
        <f t="shared" si="4"/>
        <v>-3.7868515499999998E-2</v>
      </c>
      <c r="P36" t="s">
        <v>227</v>
      </c>
      <c r="U36">
        <v>-7.5737030999999996E-2</v>
      </c>
    </row>
    <row r="37" spans="2:21" x14ac:dyDescent="0.3">
      <c r="B37" s="8" t="str">
        <f t="shared" si="0"/>
        <v>RCUC-Lo_C_ES-SH-SL_HET</v>
      </c>
      <c r="C37" s="8"/>
      <c r="D37" s="8" t="str">
        <f t="shared" si="1"/>
        <v>NR_ES-SL-SpHeat</v>
      </c>
      <c r="E37" s="8"/>
      <c r="F37" s="9" t="str">
        <f t="shared" si="2"/>
        <v>LV</v>
      </c>
      <c r="G37" s="8" t="s">
        <v>255</v>
      </c>
      <c r="H37" s="8" t="s">
        <v>10</v>
      </c>
      <c r="I37" s="9" t="s">
        <v>258</v>
      </c>
      <c r="J37" s="8"/>
      <c r="K37" s="8">
        <f t="shared" si="3"/>
        <v>-0.28645984299999999</v>
      </c>
      <c r="L37" s="8">
        <f t="shared" si="5"/>
        <v>-0.17187590579999998</v>
      </c>
      <c r="M37" s="8">
        <f t="shared" si="4"/>
        <v>-0.1432299215</v>
      </c>
      <c r="P37" t="s">
        <v>228</v>
      </c>
      <c r="U37">
        <v>-0.28645984299999999</v>
      </c>
    </row>
    <row r="38" spans="2:21" x14ac:dyDescent="0.3">
      <c r="B38" s="8" t="str">
        <f t="shared" si="0"/>
        <v>RCUC-Lo_C_ES-SH-SL_HET</v>
      </c>
      <c r="C38" s="8"/>
      <c r="D38" s="8" t="str">
        <f t="shared" si="1"/>
        <v>NR_ES-SL-SpHeat</v>
      </c>
      <c r="E38" s="8"/>
      <c r="F38" s="9" t="str">
        <f t="shared" si="2"/>
        <v>NL</v>
      </c>
      <c r="G38" s="8" t="s">
        <v>255</v>
      </c>
      <c r="H38" s="8" t="s">
        <v>10</v>
      </c>
      <c r="I38" s="9" t="s">
        <v>258</v>
      </c>
      <c r="J38" s="8"/>
      <c r="K38" s="8">
        <f t="shared" si="3"/>
        <v>-2.7414517999999999E-2</v>
      </c>
      <c r="L38" s="8">
        <f t="shared" si="5"/>
        <v>-1.6448710799999999E-2</v>
      </c>
      <c r="M38" s="8">
        <f t="shared" si="4"/>
        <v>-1.3707258999999999E-2</v>
      </c>
      <c r="P38" t="s">
        <v>229</v>
      </c>
      <c r="U38">
        <v>-2.7414517999999999E-2</v>
      </c>
    </row>
    <row r="39" spans="2:21" x14ac:dyDescent="0.3">
      <c r="B39" s="8" t="str">
        <f t="shared" ref="B39:B57" si="6">MID(P39,4,22)</f>
        <v>RCUC-Lo_C_ES-SH-SL_HET</v>
      </c>
      <c r="C39" s="8"/>
      <c r="D39" s="8" t="str">
        <f t="shared" ref="D39:D57" si="7">MID(P39,27,20)</f>
        <v>NR_ES-SL-SpHeat</v>
      </c>
      <c r="E39" s="8"/>
      <c r="F39" s="9" t="str">
        <f t="shared" ref="F39:F57" si="8">LEFT(P39,2)</f>
        <v>SI</v>
      </c>
      <c r="G39" s="8" t="s">
        <v>255</v>
      </c>
      <c r="H39" s="8" t="s">
        <v>10</v>
      </c>
      <c r="I39" s="9" t="s">
        <v>258</v>
      </c>
      <c r="J39" s="8"/>
      <c r="K39" s="8">
        <f t="shared" ref="K39:K57" si="9">U39</f>
        <v>-0.13354876199999999</v>
      </c>
      <c r="L39" s="8">
        <f t="shared" si="5"/>
        <v>-8.0129257199999998E-2</v>
      </c>
      <c r="M39" s="8">
        <f t="shared" ref="M39:M57" si="10">K39*L$3</f>
        <v>-6.6774380999999994E-2</v>
      </c>
      <c r="P39" t="s">
        <v>230</v>
      </c>
      <c r="U39">
        <v>-0.13354876199999999</v>
      </c>
    </row>
    <row r="40" spans="2:21" x14ac:dyDescent="0.3">
      <c r="B40" s="8" t="str">
        <f t="shared" si="6"/>
        <v>RCUC-Lo_C_ES-SH-SL_HET</v>
      </c>
      <c r="C40" s="8"/>
      <c r="D40" s="8" t="str">
        <f t="shared" si="7"/>
        <v>NR_ES-SL-SpHeat</v>
      </c>
      <c r="E40" s="8"/>
      <c r="F40" s="9" t="str">
        <f t="shared" si="8"/>
        <v>SK</v>
      </c>
      <c r="G40" s="8" t="s">
        <v>255</v>
      </c>
      <c r="H40" s="8" t="s">
        <v>10</v>
      </c>
      <c r="I40" s="9" t="s">
        <v>258</v>
      </c>
      <c r="J40" s="8"/>
      <c r="K40" s="8">
        <f t="shared" si="9"/>
        <v>-5.6126798999999998E-2</v>
      </c>
      <c r="L40" s="8">
        <f t="shared" si="5"/>
        <v>-3.3676079399999996E-2</v>
      </c>
      <c r="M40" s="8">
        <f t="shared" si="10"/>
        <v>-2.8063399499999999E-2</v>
      </c>
      <c r="P40" t="s">
        <v>231</v>
      </c>
      <c r="U40">
        <v>-5.6126798999999998E-2</v>
      </c>
    </row>
    <row r="41" spans="2:21" x14ac:dyDescent="0.3">
      <c r="B41" s="8" t="str">
        <f t="shared" si="6"/>
        <v>RCUC-Lo_C_ES-SH-SR_HET</v>
      </c>
      <c r="C41" s="8"/>
      <c r="D41" s="8" t="str">
        <f t="shared" si="7"/>
        <v>NR_ES-SR-SpHeat</v>
      </c>
      <c r="E41" s="8"/>
      <c r="F41" s="9" t="str">
        <f t="shared" si="8"/>
        <v>DE</v>
      </c>
      <c r="G41" s="8" t="s">
        <v>255</v>
      </c>
      <c r="H41" s="8" t="s">
        <v>10</v>
      </c>
      <c r="I41" s="9" t="s">
        <v>258</v>
      </c>
      <c r="J41" s="8"/>
      <c r="K41" s="8">
        <f t="shared" si="9"/>
        <v>-5.9525646000000002E-2</v>
      </c>
      <c r="L41" s="8">
        <f t="shared" si="5"/>
        <v>-3.5715387600000002E-2</v>
      </c>
      <c r="M41" s="8">
        <f t="shared" si="10"/>
        <v>-2.9762823000000001E-2</v>
      </c>
      <c r="P41" t="s">
        <v>232</v>
      </c>
      <c r="U41">
        <v>-5.9525646000000002E-2</v>
      </c>
    </row>
    <row r="42" spans="2:21" x14ac:dyDescent="0.3">
      <c r="B42" s="8" t="str">
        <f t="shared" si="6"/>
        <v>RCUC-Lo_C_ES-SH-SR_HET</v>
      </c>
      <c r="C42" s="8"/>
      <c r="D42" s="8" t="str">
        <f t="shared" si="7"/>
        <v>NR_ES-SR-SpHeat</v>
      </c>
      <c r="E42" s="8"/>
      <c r="F42" s="9" t="str">
        <f t="shared" si="8"/>
        <v>EE</v>
      </c>
      <c r="G42" s="8" t="s">
        <v>255</v>
      </c>
      <c r="H42" s="8" t="s">
        <v>10</v>
      </c>
      <c r="I42" s="9" t="s">
        <v>258</v>
      </c>
      <c r="J42" s="8"/>
      <c r="K42" s="8">
        <f t="shared" si="9"/>
        <v>-0.42589154099999998</v>
      </c>
      <c r="L42" s="8">
        <f t="shared" si="5"/>
        <v>-0.25553492459999999</v>
      </c>
      <c r="M42" s="8">
        <f t="shared" si="10"/>
        <v>-0.21294577049999999</v>
      </c>
      <c r="P42" t="s">
        <v>233</v>
      </c>
      <c r="U42">
        <v>-0.42589154099999998</v>
      </c>
    </row>
    <row r="43" spans="2:21" x14ac:dyDescent="0.3">
      <c r="B43" s="8" t="str">
        <f t="shared" si="6"/>
        <v>RCUC-Lo_C_ES-SH-SR_HET</v>
      </c>
      <c r="C43" s="8"/>
      <c r="D43" s="8" t="str">
        <f t="shared" si="7"/>
        <v>NR_ES-SR-SpHeat</v>
      </c>
      <c r="E43" s="8"/>
      <c r="F43" s="9" t="str">
        <f t="shared" si="8"/>
        <v>LV</v>
      </c>
      <c r="G43" s="8" t="s">
        <v>255</v>
      </c>
      <c r="H43" s="8" t="s">
        <v>10</v>
      </c>
      <c r="I43" s="9" t="s">
        <v>258</v>
      </c>
      <c r="J43" s="8"/>
      <c r="K43" s="8">
        <f t="shared" si="9"/>
        <v>-0.26951604499999998</v>
      </c>
      <c r="L43" s="8">
        <f t="shared" si="5"/>
        <v>-0.16170962699999997</v>
      </c>
      <c r="M43" s="8">
        <f t="shared" si="10"/>
        <v>-0.13475802249999999</v>
      </c>
      <c r="P43" t="s">
        <v>234</v>
      </c>
      <c r="U43">
        <v>-0.26951604499999998</v>
      </c>
    </row>
    <row r="44" spans="2:21" x14ac:dyDescent="0.3">
      <c r="B44" s="8" t="str">
        <f t="shared" si="6"/>
        <v>RCUC-Lo_C_ES-SH-SR_HET</v>
      </c>
      <c r="C44" s="8"/>
      <c r="D44" s="8" t="str">
        <f t="shared" si="7"/>
        <v>NR_ES-SR-SpHeat</v>
      </c>
      <c r="E44" s="8"/>
      <c r="F44" s="9" t="str">
        <f t="shared" si="8"/>
        <v>NL</v>
      </c>
      <c r="G44" s="8" t="s">
        <v>255</v>
      </c>
      <c r="H44" s="8" t="s">
        <v>10</v>
      </c>
      <c r="I44" s="9" t="s">
        <v>258</v>
      </c>
      <c r="J44" s="8"/>
      <c r="K44" s="8">
        <f t="shared" si="9"/>
        <v>-2.7414747999999999E-2</v>
      </c>
      <c r="L44" s="8">
        <f t="shared" si="5"/>
        <v>-1.6448848799999999E-2</v>
      </c>
      <c r="M44" s="8">
        <f t="shared" si="10"/>
        <v>-1.3707374E-2</v>
      </c>
      <c r="P44" t="s">
        <v>235</v>
      </c>
      <c r="U44">
        <v>-2.7414747999999999E-2</v>
      </c>
    </row>
    <row r="45" spans="2:21" x14ac:dyDescent="0.3">
      <c r="B45" s="8" t="str">
        <f t="shared" si="6"/>
        <v>RCUC-Lo_C_ES-SH-SR_HET</v>
      </c>
      <c r="C45" s="8"/>
      <c r="D45" s="8" t="str">
        <f t="shared" si="7"/>
        <v>NR_ES-SR-SpHeat</v>
      </c>
      <c r="E45" s="8"/>
      <c r="F45" s="9" t="str">
        <f t="shared" si="8"/>
        <v>SK</v>
      </c>
      <c r="G45" s="8" t="s">
        <v>255</v>
      </c>
      <c r="H45" s="8" t="s">
        <v>10</v>
      </c>
      <c r="I45" s="9" t="s">
        <v>258</v>
      </c>
      <c r="J45" s="8"/>
      <c r="K45" s="8">
        <f t="shared" si="9"/>
        <v>0</v>
      </c>
      <c r="L45" s="8">
        <f t="shared" si="5"/>
        <v>0</v>
      </c>
      <c r="M45" s="8">
        <f t="shared" si="10"/>
        <v>0</v>
      </c>
      <c r="P45" t="s">
        <v>236</v>
      </c>
      <c r="U45">
        <v>0</v>
      </c>
    </row>
    <row r="46" spans="2:21" x14ac:dyDescent="0.3">
      <c r="B46" s="8" t="str">
        <f t="shared" si="6"/>
        <v>RCUC-Lo_C_ES-SH-SS_HET</v>
      </c>
      <c r="C46" s="8"/>
      <c r="D46" s="8" t="str">
        <f t="shared" si="7"/>
        <v>NR_ES-SS-SpHeat</v>
      </c>
      <c r="E46" s="8"/>
      <c r="F46" s="9" t="str">
        <f t="shared" si="8"/>
        <v>BE</v>
      </c>
      <c r="G46" s="8" t="s">
        <v>255</v>
      </c>
      <c r="H46" s="8" t="s">
        <v>10</v>
      </c>
      <c r="I46" s="9" t="s">
        <v>258</v>
      </c>
      <c r="J46" s="8"/>
      <c r="K46" s="8">
        <f t="shared" si="9"/>
        <v>-3.0381807E-2</v>
      </c>
      <c r="L46" s="8">
        <f t="shared" si="5"/>
        <v>-1.8229084200000002E-2</v>
      </c>
      <c r="M46" s="8">
        <f t="shared" si="10"/>
        <v>-1.51909035E-2</v>
      </c>
      <c r="P46" t="s">
        <v>237</v>
      </c>
      <c r="U46">
        <v>-3.0381807E-2</v>
      </c>
    </row>
    <row r="47" spans="2:21" x14ac:dyDescent="0.3">
      <c r="B47" s="8" t="str">
        <f t="shared" si="6"/>
        <v>RCUC-Lo_C_ES-SH-SS_HET</v>
      </c>
      <c r="C47" s="8"/>
      <c r="D47" s="8" t="str">
        <f t="shared" si="7"/>
        <v>NR_ES-SS-SpHeat</v>
      </c>
      <c r="E47" s="8"/>
      <c r="F47" s="9" t="str">
        <f t="shared" si="8"/>
        <v>BG</v>
      </c>
      <c r="G47" s="8" t="s">
        <v>255</v>
      </c>
      <c r="H47" s="8" t="s">
        <v>10</v>
      </c>
      <c r="I47" s="9" t="s">
        <v>258</v>
      </c>
      <c r="J47" s="8"/>
      <c r="K47" s="8">
        <f t="shared" si="9"/>
        <v>-0.214916306</v>
      </c>
      <c r="L47" s="8">
        <f t="shared" si="5"/>
        <v>-0.12894978360000001</v>
      </c>
      <c r="M47" s="8">
        <f t="shared" si="10"/>
        <v>-0.107458153</v>
      </c>
      <c r="P47" t="s">
        <v>238</v>
      </c>
      <c r="U47">
        <v>-0.214916306</v>
      </c>
    </row>
    <row r="48" spans="2:21" x14ac:dyDescent="0.3">
      <c r="B48" s="8" t="str">
        <f t="shared" si="6"/>
        <v>RCUC-Lo_C_ES-SH-SS_HET</v>
      </c>
      <c r="C48" s="8"/>
      <c r="D48" s="8" t="str">
        <f t="shared" si="7"/>
        <v>NR_ES-SS-SpHeat</v>
      </c>
      <c r="E48" s="8"/>
      <c r="F48" s="9" t="str">
        <f t="shared" si="8"/>
        <v>DE</v>
      </c>
      <c r="G48" s="8" t="s">
        <v>255</v>
      </c>
      <c r="H48" s="8" t="s">
        <v>10</v>
      </c>
      <c r="I48" s="9" t="s">
        <v>258</v>
      </c>
      <c r="J48" s="8"/>
      <c r="K48" s="8">
        <f t="shared" si="9"/>
        <v>-6.6362719000000001E-2</v>
      </c>
      <c r="L48" s="8">
        <f t="shared" si="5"/>
        <v>-3.9817631399999998E-2</v>
      </c>
      <c r="M48" s="8">
        <f t="shared" si="10"/>
        <v>-3.31813595E-2</v>
      </c>
      <c r="P48" t="s">
        <v>239</v>
      </c>
      <c r="U48">
        <v>-6.6362719000000001E-2</v>
      </c>
    </row>
    <row r="49" spans="2:21" x14ac:dyDescent="0.3">
      <c r="B49" s="8" t="str">
        <f t="shared" si="6"/>
        <v>RCUC-Lo_C_ES-SH-SS_HET</v>
      </c>
      <c r="C49" s="8"/>
      <c r="D49" s="8" t="str">
        <f t="shared" si="7"/>
        <v>NR_ES-SS-SpHeat</v>
      </c>
      <c r="E49" s="8"/>
      <c r="F49" s="9" t="str">
        <f t="shared" si="8"/>
        <v>EE</v>
      </c>
      <c r="G49" s="8" t="s">
        <v>255</v>
      </c>
      <c r="H49" s="8" t="s">
        <v>10</v>
      </c>
      <c r="I49" s="9" t="s">
        <v>258</v>
      </c>
      <c r="J49" s="8"/>
      <c r="K49" s="8">
        <f t="shared" si="9"/>
        <v>-0.20272855000000001</v>
      </c>
      <c r="L49" s="8">
        <f t="shared" si="5"/>
        <v>-0.12163713000000001</v>
      </c>
      <c r="M49" s="8">
        <f t="shared" si="10"/>
        <v>-0.101364275</v>
      </c>
      <c r="P49" t="s">
        <v>240</v>
      </c>
      <c r="U49">
        <v>-0.20272855000000001</v>
      </c>
    </row>
    <row r="50" spans="2:21" x14ac:dyDescent="0.3">
      <c r="B50" s="8" t="str">
        <f t="shared" si="6"/>
        <v>RCUC-Lo_C_ES-SH-SS_HET</v>
      </c>
      <c r="C50" s="8"/>
      <c r="D50" s="8" t="str">
        <f t="shared" si="7"/>
        <v>NR_ES-SS-SpHeat</v>
      </c>
      <c r="E50" s="8"/>
      <c r="F50" s="9" t="str">
        <f t="shared" si="8"/>
        <v>FI</v>
      </c>
      <c r="G50" s="8" t="s">
        <v>255</v>
      </c>
      <c r="H50" s="8" t="s">
        <v>10</v>
      </c>
      <c r="I50" s="9" t="s">
        <v>258</v>
      </c>
      <c r="J50" s="8"/>
      <c r="K50" s="8">
        <f t="shared" si="9"/>
        <v>-0.26259205800000002</v>
      </c>
      <c r="L50" s="8">
        <f t="shared" si="5"/>
        <v>-0.1575552348</v>
      </c>
      <c r="M50" s="8">
        <f t="shared" si="10"/>
        <v>-0.13129602900000001</v>
      </c>
      <c r="P50" t="s">
        <v>241</v>
      </c>
      <c r="U50">
        <v>-0.26259205800000002</v>
      </c>
    </row>
    <row r="51" spans="2:21" x14ac:dyDescent="0.3">
      <c r="B51" s="8" t="str">
        <f t="shared" si="6"/>
        <v>RCUC-Lo_C_ES-SH-SS_HET</v>
      </c>
      <c r="C51" s="8"/>
      <c r="D51" s="8" t="str">
        <f t="shared" si="7"/>
        <v>NR_ES-SS-SpHeat</v>
      </c>
      <c r="E51" s="8"/>
      <c r="F51" s="9" t="str">
        <f t="shared" si="8"/>
        <v>FR</v>
      </c>
      <c r="G51" s="8" t="s">
        <v>255</v>
      </c>
      <c r="H51" s="8" t="s">
        <v>10</v>
      </c>
      <c r="I51" s="9" t="s">
        <v>258</v>
      </c>
      <c r="J51" s="8"/>
      <c r="K51" s="8">
        <f t="shared" si="9"/>
        <v>-5.2995222000000002E-2</v>
      </c>
      <c r="L51" s="8">
        <f t="shared" si="5"/>
        <v>-3.1797133200000001E-2</v>
      </c>
      <c r="M51" s="8">
        <f t="shared" si="10"/>
        <v>-2.6497611000000001E-2</v>
      </c>
      <c r="P51" t="s">
        <v>242</v>
      </c>
      <c r="U51">
        <v>-5.2995222000000002E-2</v>
      </c>
    </row>
    <row r="52" spans="2:21" x14ac:dyDescent="0.3">
      <c r="B52" s="8" t="str">
        <f t="shared" si="6"/>
        <v>RCUC-Lo_C_ES-SH-SS_HET</v>
      </c>
      <c r="C52" s="8"/>
      <c r="D52" s="8" t="str">
        <f t="shared" si="7"/>
        <v>NR_ES-SS-SpHeat</v>
      </c>
      <c r="E52" s="8"/>
      <c r="F52" s="9" t="str">
        <f t="shared" si="8"/>
        <v>HU</v>
      </c>
      <c r="G52" s="8" t="s">
        <v>255</v>
      </c>
      <c r="H52" s="8" t="s">
        <v>10</v>
      </c>
      <c r="I52" s="9" t="s">
        <v>258</v>
      </c>
      <c r="J52" s="8"/>
      <c r="K52" s="8">
        <f t="shared" si="9"/>
        <v>-9.7307683000000006E-2</v>
      </c>
      <c r="L52" s="8">
        <f t="shared" si="5"/>
        <v>-5.8384609800000001E-2</v>
      </c>
      <c r="M52" s="8">
        <f t="shared" si="10"/>
        <v>-4.8653841500000003E-2</v>
      </c>
      <c r="P52" t="s">
        <v>243</v>
      </c>
      <c r="U52">
        <v>-9.7307683000000006E-2</v>
      </c>
    </row>
    <row r="53" spans="2:21" x14ac:dyDescent="0.3">
      <c r="B53" s="8" t="str">
        <f t="shared" si="6"/>
        <v>RCUC-Lo_C_ES-SH-SS_HET</v>
      </c>
      <c r="C53" s="8"/>
      <c r="D53" s="8" t="str">
        <f t="shared" si="7"/>
        <v>NR_ES-SS-SpHeat</v>
      </c>
      <c r="E53" s="8"/>
      <c r="F53" s="9" t="str">
        <f t="shared" si="8"/>
        <v>LT</v>
      </c>
      <c r="G53" s="8" t="s">
        <v>255</v>
      </c>
      <c r="H53" s="8" t="s">
        <v>10</v>
      </c>
      <c r="I53" s="9" t="s">
        <v>258</v>
      </c>
      <c r="J53" s="8"/>
      <c r="K53" s="8">
        <f t="shared" si="9"/>
        <v>-0.522650116</v>
      </c>
      <c r="L53" s="8">
        <f t="shared" si="5"/>
        <v>-0.31359006960000002</v>
      </c>
      <c r="M53" s="8">
        <f t="shared" si="10"/>
        <v>-0.261325058</v>
      </c>
      <c r="P53" t="s">
        <v>244</v>
      </c>
      <c r="U53">
        <v>-0.522650116</v>
      </c>
    </row>
    <row r="54" spans="2:21" x14ac:dyDescent="0.3">
      <c r="B54" s="8" t="str">
        <f t="shared" si="6"/>
        <v>RCUC-Lo_C_ES-SH-SS_HET</v>
      </c>
      <c r="C54" s="8"/>
      <c r="D54" s="8" t="str">
        <f t="shared" si="7"/>
        <v>NR_ES-SS-SpHeat</v>
      </c>
      <c r="E54" s="8"/>
      <c r="F54" s="9" t="str">
        <f t="shared" si="8"/>
        <v>LV</v>
      </c>
      <c r="G54" s="8" t="s">
        <v>255</v>
      </c>
      <c r="H54" s="8" t="s">
        <v>10</v>
      </c>
      <c r="I54" s="9" t="s">
        <v>258</v>
      </c>
      <c r="J54" s="8"/>
      <c r="K54" s="8">
        <f t="shared" si="9"/>
        <v>-0.190038175</v>
      </c>
      <c r="L54" s="8">
        <f t="shared" si="5"/>
        <v>-0.11402290500000001</v>
      </c>
      <c r="M54" s="8">
        <f t="shared" si="10"/>
        <v>-9.5019087500000002E-2</v>
      </c>
      <c r="P54" t="s">
        <v>245</v>
      </c>
      <c r="U54">
        <v>-0.190038175</v>
      </c>
    </row>
    <row r="55" spans="2:21" x14ac:dyDescent="0.3">
      <c r="B55" s="8" t="str">
        <f t="shared" si="6"/>
        <v>RCUC-Lo_C_ES-SH-SS_HET</v>
      </c>
      <c r="C55" s="8"/>
      <c r="D55" s="8" t="str">
        <f t="shared" si="7"/>
        <v>NR_ES-SS-SpHeat</v>
      </c>
      <c r="E55" s="8"/>
      <c r="F55" s="9" t="str">
        <f t="shared" si="8"/>
        <v>NL</v>
      </c>
      <c r="G55" s="8" t="s">
        <v>255</v>
      </c>
      <c r="H55" s="8" t="s">
        <v>10</v>
      </c>
      <c r="I55" s="9" t="s">
        <v>258</v>
      </c>
      <c r="J55" s="8"/>
      <c r="K55" s="8">
        <f t="shared" si="9"/>
        <v>-2.9109883999999999E-2</v>
      </c>
      <c r="L55" s="8">
        <f t="shared" si="5"/>
        <v>-1.7465930399999999E-2</v>
      </c>
      <c r="M55" s="8">
        <f t="shared" si="10"/>
        <v>-1.4554942E-2</v>
      </c>
      <c r="P55" t="s">
        <v>246</v>
      </c>
      <c r="U55">
        <v>-2.9109883999999999E-2</v>
      </c>
    </row>
    <row r="56" spans="2:21" x14ac:dyDescent="0.3">
      <c r="B56" s="8" t="str">
        <f t="shared" si="6"/>
        <v>RCUC-Lo_C_ES-SH-SS_HET</v>
      </c>
      <c r="C56" s="8"/>
      <c r="D56" s="8" t="str">
        <f t="shared" si="7"/>
        <v>NR_ES-SS-SpHeat</v>
      </c>
      <c r="E56" s="8"/>
      <c r="F56" s="9" t="str">
        <f t="shared" si="8"/>
        <v>RO</v>
      </c>
      <c r="G56" s="8" t="s">
        <v>255</v>
      </c>
      <c r="H56" s="8" t="s">
        <v>10</v>
      </c>
      <c r="I56" s="9" t="s">
        <v>258</v>
      </c>
      <c r="J56" s="8"/>
      <c r="K56" s="8">
        <f t="shared" si="9"/>
        <v>-0.14338672399999999</v>
      </c>
      <c r="L56" s="8">
        <f t="shared" si="5"/>
        <v>-8.6032034399999999E-2</v>
      </c>
      <c r="M56" s="8">
        <f t="shared" si="10"/>
        <v>-7.1693361999999997E-2</v>
      </c>
      <c r="P56" t="s">
        <v>247</v>
      </c>
      <c r="U56">
        <v>-0.14338672399999999</v>
      </c>
    </row>
    <row r="57" spans="2:21" x14ac:dyDescent="0.3">
      <c r="B57" s="8" t="str">
        <f t="shared" si="6"/>
        <v>RCUC-Lo_C_ES-SH-SS_HET</v>
      </c>
      <c r="C57" s="8"/>
      <c r="D57" s="8" t="str">
        <f t="shared" si="7"/>
        <v>NR_ES-SS-SpHeat</v>
      </c>
      <c r="E57" s="8"/>
      <c r="F57" s="9" t="str">
        <f t="shared" si="8"/>
        <v>SK</v>
      </c>
      <c r="G57" s="8" t="s">
        <v>255</v>
      </c>
      <c r="H57" s="8" t="s">
        <v>10</v>
      </c>
      <c r="I57" s="9" t="s">
        <v>258</v>
      </c>
      <c r="J57" s="8"/>
      <c r="K57" s="8">
        <f t="shared" si="9"/>
        <v>0</v>
      </c>
      <c r="L57" s="8">
        <f t="shared" si="5"/>
        <v>0</v>
      </c>
      <c r="M57" s="8">
        <f t="shared" si="10"/>
        <v>0</v>
      </c>
      <c r="P57" t="s">
        <v>248</v>
      </c>
      <c r="U57">
        <v>0</v>
      </c>
    </row>
    <row r="58" spans="2:21" x14ac:dyDescent="0.3">
      <c r="B58" s="10" t="str">
        <f>LEFT(P62,22)</f>
        <v>RCUC-Lo_R_ES-SH-DH_HET</v>
      </c>
      <c r="C58" s="10"/>
      <c r="D58" s="10" t="str">
        <f>MID(P62,SEARCH("2020",P62)+5,14)</f>
        <v>R_ES-DH-SpHeat</v>
      </c>
      <c r="E58" s="10"/>
      <c r="F58" s="11" t="s">
        <v>259</v>
      </c>
      <c r="G58" s="10" t="s">
        <v>255</v>
      </c>
      <c r="H58" s="10" t="s">
        <v>10</v>
      </c>
      <c r="I58" s="11" t="s">
        <v>258</v>
      </c>
      <c r="J58" s="10"/>
      <c r="K58" s="10">
        <v>0</v>
      </c>
      <c r="L58" s="10"/>
      <c r="M58" s="10">
        <v>0</v>
      </c>
      <c r="P58" t="s">
        <v>172</v>
      </c>
    </row>
    <row r="59" spans="2:21" x14ac:dyDescent="0.3">
      <c r="B59" s="10" t="str">
        <f>LEFT(P63,25)</f>
        <v>RCUC-Lo_R_ES-SH-DH-70_HET</v>
      </c>
      <c r="C59" s="10"/>
      <c r="D59" s="10" t="str">
        <f>MID(P63,SEARCH("2020",P63)+5,17)</f>
        <v>R_ES-DH-70-SpHeat</v>
      </c>
      <c r="E59" s="10"/>
      <c r="F59" s="11" t="s">
        <v>259</v>
      </c>
      <c r="G59" s="10" t="s">
        <v>255</v>
      </c>
      <c r="H59" s="10" t="s">
        <v>10</v>
      </c>
      <c r="I59" s="11" t="s">
        <v>258</v>
      </c>
      <c r="J59" s="10"/>
      <c r="K59" s="10">
        <v>0</v>
      </c>
      <c r="L59" s="10"/>
      <c r="M59" s="10">
        <v>0</v>
      </c>
      <c r="P59" t="s">
        <v>249</v>
      </c>
    </row>
    <row r="60" spans="2:21" x14ac:dyDescent="0.3">
      <c r="B60" s="10" t="str">
        <f>LEFT(P64,22)</f>
        <v>RCUC-Lo_R_ES-SH-FL_HET</v>
      </c>
      <c r="C60" s="10"/>
      <c r="D60" s="10" t="str">
        <f>MID(P64,SEARCH("2020",P64)+5,14)</f>
        <v>R_ES-FL-SpHeat</v>
      </c>
      <c r="E60" s="10"/>
      <c r="F60" s="11" t="s">
        <v>259</v>
      </c>
      <c r="G60" s="10" t="s">
        <v>255</v>
      </c>
      <c r="H60" s="10" t="s">
        <v>10</v>
      </c>
      <c r="I60" s="11" t="s">
        <v>258</v>
      </c>
      <c r="J60" s="10"/>
      <c r="K60" s="10">
        <v>0</v>
      </c>
      <c r="L60" s="10"/>
      <c r="M60" s="10">
        <v>0</v>
      </c>
    </row>
    <row r="61" spans="2:21" x14ac:dyDescent="0.3">
      <c r="B61" s="10" t="str">
        <f>LEFT(P65,22)</f>
        <v>RCUC-Lo_R_ES-SH-SD_HET</v>
      </c>
      <c r="C61" s="10"/>
      <c r="D61" s="10" t="str">
        <f>MID(P65,SEARCH("2020",P65)+5,14)</f>
        <v>R_ES-SD-SpHeat</v>
      </c>
      <c r="E61" s="10"/>
      <c r="F61" s="11" t="s">
        <v>259</v>
      </c>
      <c r="G61" s="10" t="s">
        <v>255</v>
      </c>
      <c r="H61" s="10" t="s">
        <v>10</v>
      </c>
      <c r="I61" s="11" t="s">
        <v>258</v>
      </c>
      <c r="J61" s="10"/>
      <c r="K61" s="10">
        <v>0</v>
      </c>
      <c r="L61" s="10"/>
      <c r="M61" s="10">
        <v>0</v>
      </c>
      <c r="P61" t="s">
        <v>250</v>
      </c>
    </row>
    <row r="62" spans="2:21" x14ac:dyDescent="0.3">
      <c r="B62" s="13" t="str">
        <f>MID(P70,2,20)</f>
        <v>UELC_UpShare-CoalELC</v>
      </c>
      <c r="C62" s="13"/>
      <c r="D62" s="13" t="s">
        <v>273</v>
      </c>
      <c r="E62" s="13"/>
      <c r="F62" s="14" t="s">
        <v>189</v>
      </c>
      <c r="G62" s="13" t="s">
        <v>255</v>
      </c>
      <c r="H62" s="13" t="s">
        <v>10</v>
      </c>
      <c r="I62" s="14" t="s">
        <v>258</v>
      </c>
      <c r="J62" s="13">
        <v>-0.44400000000000001</v>
      </c>
      <c r="K62" s="13"/>
      <c r="L62" s="13"/>
      <c r="M62" s="13"/>
      <c r="P62" t="s">
        <v>251</v>
      </c>
    </row>
    <row r="63" spans="2:21" x14ac:dyDescent="0.3">
      <c r="P63" t="s">
        <v>252</v>
      </c>
    </row>
    <row r="64" spans="2:21" x14ac:dyDescent="0.3">
      <c r="P64" t="s">
        <v>253</v>
      </c>
    </row>
    <row r="65" spans="2:16" x14ac:dyDescent="0.3">
      <c r="P65" t="s">
        <v>254</v>
      </c>
    </row>
    <row r="66" spans="2:16" x14ac:dyDescent="0.3">
      <c r="G66" s="5">
        <v>0.55000000000000004</v>
      </c>
      <c r="H66" s="5">
        <f>G66/2</f>
        <v>0.27500000000000002</v>
      </c>
      <c r="P66" t="s">
        <v>172</v>
      </c>
    </row>
    <row r="68" spans="2:16" x14ac:dyDescent="0.3">
      <c r="B68" s="7" t="s">
        <v>124</v>
      </c>
      <c r="P68" t="s">
        <v>270</v>
      </c>
    </row>
    <row r="69" spans="2:16" x14ac:dyDescent="0.3">
      <c r="B69" s="1" t="s">
        <v>0</v>
      </c>
      <c r="C69" s="1" t="s">
        <v>1</v>
      </c>
      <c r="D69" s="1" t="s">
        <v>2</v>
      </c>
      <c r="E69" s="1" t="s">
        <v>3</v>
      </c>
      <c r="F69" s="1" t="s">
        <v>125</v>
      </c>
      <c r="G69" s="2" t="s">
        <v>4</v>
      </c>
      <c r="H69" s="12" t="s">
        <v>636</v>
      </c>
      <c r="I69" s="1" t="s">
        <v>58</v>
      </c>
      <c r="J69" s="1" t="s">
        <v>59</v>
      </c>
      <c r="K69" s="1" t="s">
        <v>102</v>
      </c>
      <c r="L69" s="1"/>
      <c r="P69" t="s">
        <v>271</v>
      </c>
    </row>
    <row r="70" spans="2:16" x14ac:dyDescent="0.3">
      <c r="B70" s="10" t="s">
        <v>10</v>
      </c>
      <c r="C70" s="10"/>
      <c r="D70" s="10" t="s">
        <v>255</v>
      </c>
      <c r="E70" s="11">
        <v>2015</v>
      </c>
      <c r="F70" s="11">
        <v>2029</v>
      </c>
      <c r="G70" s="11" t="str">
        <f t="shared" ref="G70:H75" si="11">"*"&amp;G$66</f>
        <v>*0.55</v>
      </c>
      <c r="H70" s="11"/>
      <c r="I70" s="10" t="s">
        <v>310</v>
      </c>
      <c r="J70" s="10"/>
      <c r="K70" s="10" t="s">
        <v>303</v>
      </c>
      <c r="L70" s="10"/>
      <c r="P70" t="s">
        <v>272</v>
      </c>
    </row>
    <row r="71" spans="2:16" x14ac:dyDescent="0.3">
      <c r="B71" s="10" t="s">
        <v>10</v>
      </c>
      <c r="C71" s="10"/>
      <c r="D71" s="10" t="s">
        <v>255</v>
      </c>
      <c r="E71" s="11">
        <v>2015</v>
      </c>
      <c r="F71" s="11">
        <v>2029</v>
      </c>
      <c r="G71" s="11" t="str">
        <f t="shared" si="11"/>
        <v>*0.55</v>
      </c>
      <c r="H71" s="11"/>
      <c r="I71" s="10" t="s">
        <v>311</v>
      </c>
      <c r="J71" s="10"/>
      <c r="K71" s="10" t="s">
        <v>304</v>
      </c>
      <c r="L71" s="10"/>
      <c r="P71" t="s">
        <v>172</v>
      </c>
    </row>
    <row r="72" spans="2:16" x14ac:dyDescent="0.3">
      <c r="B72" s="10" t="s">
        <v>10</v>
      </c>
      <c r="C72" s="10"/>
      <c r="D72" s="10" t="s">
        <v>255</v>
      </c>
      <c r="E72" s="11">
        <v>2015</v>
      </c>
      <c r="F72" s="11">
        <v>2029</v>
      </c>
      <c r="G72" s="11" t="str">
        <f t="shared" si="11"/>
        <v>*0.55</v>
      </c>
      <c r="H72" s="11"/>
      <c r="I72" s="10" t="s">
        <v>309</v>
      </c>
      <c r="J72" s="10"/>
      <c r="K72" s="10" t="s">
        <v>305</v>
      </c>
      <c r="L72" s="10"/>
    </row>
    <row r="73" spans="2:16" x14ac:dyDescent="0.3">
      <c r="B73" s="10" t="s">
        <v>10</v>
      </c>
      <c r="C73" s="10"/>
      <c r="D73" s="10" t="s">
        <v>255</v>
      </c>
      <c r="E73" s="11">
        <v>2015</v>
      </c>
      <c r="F73" s="11">
        <v>2029</v>
      </c>
      <c r="G73" s="11" t="str">
        <f t="shared" si="11"/>
        <v>*0.55</v>
      </c>
      <c r="H73" s="11" t="str">
        <f t="shared" si="11"/>
        <v>*0.275</v>
      </c>
      <c r="I73" s="10" t="s">
        <v>312</v>
      </c>
      <c r="J73" s="10"/>
      <c r="K73" s="10" t="s">
        <v>306</v>
      </c>
      <c r="L73" s="10"/>
    </row>
    <row r="74" spans="2:16" x14ac:dyDescent="0.3">
      <c r="B74" s="10" t="s">
        <v>10</v>
      </c>
      <c r="C74" s="10"/>
      <c r="D74" s="10" t="s">
        <v>255</v>
      </c>
      <c r="E74" s="11">
        <v>2015</v>
      </c>
      <c r="F74" s="11">
        <v>2029</v>
      </c>
      <c r="G74" s="11" t="str">
        <f t="shared" si="11"/>
        <v>*0.55</v>
      </c>
      <c r="H74" s="11" t="str">
        <f t="shared" si="11"/>
        <v>*0.275</v>
      </c>
      <c r="I74" s="10" t="s">
        <v>313</v>
      </c>
      <c r="J74" s="10"/>
      <c r="K74" s="10" t="s">
        <v>307</v>
      </c>
      <c r="L74" s="10"/>
    </row>
    <row r="75" spans="2:16" x14ac:dyDescent="0.3">
      <c r="B75" s="10" t="s">
        <v>10</v>
      </c>
      <c r="C75" s="10"/>
      <c r="D75" s="10" t="s">
        <v>255</v>
      </c>
      <c r="E75" s="11">
        <v>2015</v>
      </c>
      <c r="F75" s="11">
        <v>2029</v>
      </c>
      <c r="G75" s="11" t="str">
        <f t="shared" si="11"/>
        <v>*0.55</v>
      </c>
      <c r="H75" s="11" t="str">
        <f t="shared" si="11"/>
        <v>*0.275</v>
      </c>
      <c r="I75" s="10" t="s">
        <v>314</v>
      </c>
      <c r="J75" s="10"/>
      <c r="K75" s="10" t="s">
        <v>308</v>
      </c>
      <c r="L75" s="10"/>
    </row>
    <row r="76" spans="2:16" x14ac:dyDescent="0.3">
      <c r="B76" s="10"/>
      <c r="C76" s="10"/>
      <c r="D76" s="10" t="s">
        <v>122</v>
      </c>
      <c r="E76" s="10"/>
      <c r="F76" s="10"/>
      <c r="G76" s="10"/>
      <c r="H76" s="10"/>
      <c r="I76" s="10"/>
      <c r="J76" s="10"/>
      <c r="K76" s="10"/>
      <c r="L76" s="10"/>
    </row>
    <row r="77" spans="2:16" x14ac:dyDescent="0.3">
      <c r="B77" s="10"/>
      <c r="C77" s="10" t="s">
        <v>123</v>
      </c>
      <c r="D77" s="10" t="s">
        <v>103</v>
      </c>
      <c r="E77" s="11">
        <v>2015</v>
      </c>
      <c r="F77" s="11">
        <v>2020</v>
      </c>
      <c r="G77" s="11" t="s">
        <v>352</v>
      </c>
      <c r="H77" s="11"/>
      <c r="I77" s="10"/>
      <c r="J77" s="10"/>
      <c r="K77" s="10" t="s">
        <v>303</v>
      </c>
      <c r="L77" s="10"/>
    </row>
    <row r="78" spans="2:16" x14ac:dyDescent="0.3">
      <c r="B78" s="10"/>
      <c r="C78" s="10" t="s">
        <v>123</v>
      </c>
      <c r="D78" s="10" t="s">
        <v>103</v>
      </c>
      <c r="E78" s="11">
        <v>2015</v>
      </c>
      <c r="F78" s="11">
        <v>2020</v>
      </c>
      <c r="G78" s="11" t="s">
        <v>352</v>
      </c>
      <c r="H78" s="11"/>
      <c r="I78" s="10"/>
      <c r="J78" s="10"/>
      <c r="K78" s="10" t="s">
        <v>304</v>
      </c>
      <c r="L78" s="10"/>
    </row>
    <row r="79" spans="2:16" x14ac:dyDescent="0.3">
      <c r="B79" s="10"/>
      <c r="C79" s="10" t="s">
        <v>123</v>
      </c>
      <c r="D79" s="10" t="s">
        <v>103</v>
      </c>
      <c r="E79" s="11">
        <v>2015</v>
      </c>
      <c r="F79" s="11">
        <v>2020</v>
      </c>
      <c r="G79" s="11" t="s">
        <v>352</v>
      </c>
      <c r="H79" s="11"/>
      <c r="I79" s="10"/>
      <c r="J79" s="10"/>
      <c r="K79" s="10" t="s">
        <v>305</v>
      </c>
      <c r="L79" s="10"/>
    </row>
    <row r="80" spans="2:16" x14ac:dyDescent="0.3">
      <c r="B80" s="10"/>
      <c r="C80" s="10" t="s">
        <v>123</v>
      </c>
      <c r="D80" s="10" t="s">
        <v>103</v>
      </c>
      <c r="E80" s="11">
        <v>2015</v>
      </c>
      <c r="F80" s="11">
        <v>2020</v>
      </c>
      <c r="G80" s="11" t="s">
        <v>352</v>
      </c>
      <c r="H80" s="11"/>
      <c r="I80" s="10"/>
      <c r="J80" s="10"/>
      <c r="K80" s="10" t="s">
        <v>306</v>
      </c>
      <c r="L80" s="10"/>
    </row>
    <row r="81" spans="2:16" x14ac:dyDescent="0.3">
      <c r="B81" s="10"/>
      <c r="C81" s="10" t="s">
        <v>123</v>
      </c>
      <c r="D81" s="10" t="s">
        <v>103</v>
      </c>
      <c r="E81" s="11">
        <v>2015</v>
      </c>
      <c r="F81" s="11">
        <v>2020</v>
      </c>
      <c r="G81" s="11" t="s">
        <v>352</v>
      </c>
      <c r="H81" s="11"/>
      <c r="I81" s="10"/>
      <c r="J81" s="10"/>
      <c r="K81" s="10" t="s">
        <v>307</v>
      </c>
      <c r="L81" s="10"/>
    </row>
    <row r="82" spans="2:16" x14ac:dyDescent="0.3">
      <c r="B82" s="10"/>
      <c r="C82" s="10" t="s">
        <v>123</v>
      </c>
      <c r="D82" s="10" t="s">
        <v>103</v>
      </c>
      <c r="E82" s="11">
        <v>2015</v>
      </c>
      <c r="F82" s="11">
        <v>2020</v>
      </c>
      <c r="G82" s="11" t="s">
        <v>352</v>
      </c>
      <c r="H82" s="11"/>
      <c r="I82" s="10"/>
      <c r="J82" s="10"/>
      <c r="K82" s="10" t="s">
        <v>308</v>
      </c>
      <c r="L82" s="10"/>
      <c r="P82" t="s">
        <v>536</v>
      </c>
    </row>
    <row r="83" spans="2:16" x14ac:dyDescent="0.3">
      <c r="B83" s="10"/>
      <c r="C83" s="10" t="s">
        <v>123</v>
      </c>
      <c r="D83" s="10" t="s">
        <v>103</v>
      </c>
      <c r="E83" s="11">
        <v>2015</v>
      </c>
      <c r="F83" s="11">
        <v>2020</v>
      </c>
      <c r="G83" s="11" t="s">
        <v>352</v>
      </c>
      <c r="H83" s="11"/>
      <c r="I83" s="10"/>
      <c r="J83" s="10"/>
      <c r="K83" s="10" t="str">
        <f t="shared" ref="K83:K88" si="12">"RCUC-Lo_C_ES-SH-"&amp;MID(K77,17,3)&amp;"ELC"</f>
        <v>RCUC-Lo_C_ES-SH-HO_ELC</v>
      </c>
      <c r="L83" s="10"/>
      <c r="P83" t="s">
        <v>537</v>
      </c>
    </row>
    <row r="84" spans="2:16" x14ac:dyDescent="0.3">
      <c r="B84" s="10"/>
      <c r="C84" s="10" t="s">
        <v>123</v>
      </c>
      <c r="D84" s="10" t="s">
        <v>103</v>
      </c>
      <c r="E84" s="11">
        <v>2015</v>
      </c>
      <c r="F84" s="11">
        <v>2020</v>
      </c>
      <c r="G84" s="11" t="s">
        <v>352</v>
      </c>
      <c r="H84" s="11"/>
      <c r="I84" s="10"/>
      <c r="J84" s="10"/>
      <c r="K84" s="10" t="str">
        <f t="shared" si="12"/>
        <v>RCUC-Lo_C_ES-SH-HR_ELC</v>
      </c>
      <c r="L84" s="10"/>
      <c r="P84" t="s">
        <v>538</v>
      </c>
    </row>
    <row r="85" spans="2:16" x14ac:dyDescent="0.3">
      <c r="B85" s="10"/>
      <c r="C85" s="10" t="s">
        <v>123</v>
      </c>
      <c r="D85" s="10" t="s">
        <v>103</v>
      </c>
      <c r="E85" s="11">
        <v>2015</v>
      </c>
      <c r="F85" s="11">
        <v>2020</v>
      </c>
      <c r="G85" s="11" t="s">
        <v>352</v>
      </c>
      <c r="H85" s="11"/>
      <c r="I85" s="10"/>
      <c r="J85" s="10"/>
      <c r="K85" s="10" t="str">
        <f t="shared" si="12"/>
        <v>RCUC-Lo_C_ES-SH-OF_ELC</v>
      </c>
      <c r="L85" s="10"/>
      <c r="P85" t="s">
        <v>539</v>
      </c>
    </row>
    <row r="86" spans="2:16" x14ac:dyDescent="0.3">
      <c r="B86" s="10"/>
      <c r="C86" s="10" t="s">
        <v>123</v>
      </c>
      <c r="D86" s="10" t="s">
        <v>103</v>
      </c>
      <c r="E86" s="11">
        <v>2015</v>
      </c>
      <c r="F86" s="11">
        <v>2020</v>
      </c>
      <c r="G86" s="11" t="s">
        <v>352</v>
      </c>
      <c r="H86" s="11"/>
      <c r="I86" s="10"/>
      <c r="J86" s="10"/>
      <c r="K86" s="10" t="str">
        <f t="shared" si="12"/>
        <v>RCUC-Lo_C_ES-SH-SL_ELC</v>
      </c>
      <c r="L86" s="10"/>
      <c r="P86" t="s">
        <v>538</v>
      </c>
    </row>
    <row r="87" spans="2:16" x14ac:dyDescent="0.3">
      <c r="B87" s="10"/>
      <c r="C87" s="10" t="s">
        <v>123</v>
      </c>
      <c r="D87" s="10" t="s">
        <v>103</v>
      </c>
      <c r="E87" s="11">
        <v>2015</v>
      </c>
      <c r="F87" s="11">
        <v>2020</v>
      </c>
      <c r="G87" s="11" t="s">
        <v>352</v>
      </c>
      <c r="H87" s="11"/>
      <c r="I87" s="10"/>
      <c r="J87" s="10"/>
      <c r="K87" s="10" t="str">
        <f t="shared" si="12"/>
        <v>RCUC-Lo_C_ES-SH-SR_ELC</v>
      </c>
      <c r="L87" s="10"/>
    </row>
    <row r="88" spans="2:16" x14ac:dyDescent="0.3">
      <c r="B88" s="10"/>
      <c r="C88" s="10" t="s">
        <v>123</v>
      </c>
      <c r="D88" s="10" t="s">
        <v>103</v>
      </c>
      <c r="E88" s="11">
        <v>2015</v>
      </c>
      <c r="F88" s="11">
        <v>2020</v>
      </c>
      <c r="G88" s="11" t="s">
        <v>352</v>
      </c>
      <c r="H88" s="11"/>
      <c r="I88" s="10"/>
      <c r="J88" s="10"/>
      <c r="K88" s="10" t="str">
        <f t="shared" si="12"/>
        <v>RCUC-Lo_C_ES-SH-SS_ELC</v>
      </c>
      <c r="L88" s="10"/>
    </row>
    <row r="89" spans="2:16" x14ac:dyDescent="0.3">
      <c r="B89" s="10"/>
      <c r="C89" s="10" t="s">
        <v>123</v>
      </c>
      <c r="D89" s="10" t="s">
        <v>103</v>
      </c>
      <c r="E89" s="11">
        <v>2015</v>
      </c>
      <c r="F89" s="11">
        <v>2020</v>
      </c>
      <c r="G89" s="11" t="s">
        <v>352</v>
      </c>
      <c r="H89" s="11"/>
      <c r="I89" s="10"/>
      <c r="J89" s="10"/>
      <c r="K89" s="10" t="str">
        <f t="shared" ref="K89:K94" si="13">"RCUC-Lo_C_ES-WH-"&amp;MID(K77,17,3)&amp;"ELC"</f>
        <v>RCUC-Lo_C_ES-WH-HO_ELC</v>
      </c>
      <c r="L89" s="10"/>
    </row>
    <row r="90" spans="2:16" x14ac:dyDescent="0.3">
      <c r="B90" s="10"/>
      <c r="C90" s="10" t="s">
        <v>123</v>
      </c>
      <c r="D90" s="10" t="s">
        <v>103</v>
      </c>
      <c r="E90" s="11">
        <v>2015</v>
      </c>
      <c r="F90" s="11">
        <v>2020</v>
      </c>
      <c r="G90" s="11" t="s">
        <v>352</v>
      </c>
      <c r="H90" s="11"/>
      <c r="I90" s="10"/>
      <c r="J90" s="10"/>
      <c r="K90" s="10" t="str">
        <f t="shared" si="13"/>
        <v>RCUC-Lo_C_ES-WH-HR_ELC</v>
      </c>
      <c r="L90" s="10"/>
    </row>
    <row r="91" spans="2:16" x14ac:dyDescent="0.3">
      <c r="B91" s="10"/>
      <c r="C91" s="10" t="s">
        <v>123</v>
      </c>
      <c r="D91" s="10" t="s">
        <v>103</v>
      </c>
      <c r="E91" s="11">
        <v>2015</v>
      </c>
      <c r="F91" s="11">
        <v>2020</v>
      </c>
      <c r="G91" s="11" t="s">
        <v>352</v>
      </c>
      <c r="H91" s="11"/>
      <c r="I91" s="10"/>
      <c r="J91" s="10"/>
      <c r="K91" s="10" t="str">
        <f t="shared" si="13"/>
        <v>RCUC-Lo_C_ES-WH-OF_ELC</v>
      </c>
      <c r="L91" s="10"/>
    </row>
    <row r="92" spans="2:16" x14ac:dyDescent="0.3">
      <c r="B92" s="10"/>
      <c r="C92" s="10" t="s">
        <v>123</v>
      </c>
      <c r="D92" s="10" t="s">
        <v>103</v>
      </c>
      <c r="E92" s="11">
        <v>2015</v>
      </c>
      <c r="F92" s="11">
        <v>2020</v>
      </c>
      <c r="G92" s="11" t="s">
        <v>352</v>
      </c>
      <c r="H92" s="11"/>
      <c r="I92" s="10"/>
      <c r="J92" s="10"/>
      <c r="K92" s="10" t="str">
        <f t="shared" si="13"/>
        <v>RCUC-Lo_C_ES-WH-SL_ELC</v>
      </c>
      <c r="L92" s="10"/>
    </row>
    <row r="93" spans="2:16" x14ac:dyDescent="0.3">
      <c r="B93" s="10"/>
      <c r="C93" s="10" t="s">
        <v>123</v>
      </c>
      <c r="D93" s="10" t="s">
        <v>103</v>
      </c>
      <c r="E93" s="11">
        <v>2015</v>
      </c>
      <c r="F93" s="11">
        <v>2020</v>
      </c>
      <c r="G93" s="11" t="s">
        <v>352</v>
      </c>
      <c r="H93" s="11"/>
      <c r="I93" s="10"/>
      <c r="J93" s="10"/>
      <c r="K93" s="10" t="str">
        <f t="shared" si="13"/>
        <v>RCUC-Lo_C_ES-WH-SR_ELC</v>
      </c>
      <c r="L93" s="10"/>
      <c r="P93">
        <f>SEARCH(K99,P85)</f>
        <v>17</v>
      </c>
    </row>
    <row r="94" spans="2:16" x14ac:dyDescent="0.3">
      <c r="B94" s="10"/>
      <c r="C94" s="10" t="s">
        <v>123</v>
      </c>
      <c r="D94" s="10" t="s">
        <v>103</v>
      </c>
      <c r="E94" s="11">
        <v>2015</v>
      </c>
      <c r="F94" s="11">
        <v>2020</v>
      </c>
      <c r="G94" s="11" t="s">
        <v>352</v>
      </c>
      <c r="H94" s="11"/>
      <c r="I94" s="10"/>
      <c r="J94" s="10"/>
      <c r="K94" s="10" t="str">
        <f t="shared" si="13"/>
        <v>RCUC-Lo_C_ES-WH-SS_ELC</v>
      </c>
      <c r="L94" s="10"/>
      <c r="P94">
        <f>SEARCH(K101,P83)</f>
        <v>17</v>
      </c>
    </row>
    <row r="95" spans="2:16" x14ac:dyDescent="0.3">
      <c r="B95" s="10"/>
      <c r="C95" s="10" t="s">
        <v>123</v>
      </c>
      <c r="D95" s="10" t="s">
        <v>103</v>
      </c>
      <c r="E95" s="11">
        <v>2015</v>
      </c>
      <c r="F95" s="11">
        <v>2020</v>
      </c>
      <c r="G95" s="11" t="s">
        <v>352</v>
      </c>
      <c r="H95" s="11"/>
      <c r="I95" s="10"/>
      <c r="J95" s="10"/>
      <c r="K95" s="10" t="s">
        <v>348</v>
      </c>
      <c r="L95" s="10"/>
    </row>
    <row r="96" spans="2:16" x14ac:dyDescent="0.3">
      <c r="B96" s="10"/>
      <c r="C96" s="10" t="s">
        <v>123</v>
      </c>
      <c r="D96" s="10" t="s">
        <v>103</v>
      </c>
      <c r="E96" s="11">
        <v>2015</v>
      </c>
      <c r="F96" s="11">
        <v>2020</v>
      </c>
      <c r="G96" s="11" t="s">
        <v>352</v>
      </c>
      <c r="H96" s="11"/>
      <c r="I96" s="10"/>
      <c r="J96" s="10"/>
      <c r="K96" s="10" t="s">
        <v>349</v>
      </c>
      <c r="L96" s="10"/>
    </row>
    <row r="97" spans="2:15" x14ac:dyDescent="0.3">
      <c r="B97" s="10"/>
      <c r="C97" s="10" t="s">
        <v>123</v>
      </c>
      <c r="D97" s="10" t="s">
        <v>103</v>
      </c>
      <c r="E97" s="11">
        <v>2015</v>
      </c>
      <c r="F97" s="11">
        <v>2020</v>
      </c>
      <c r="G97" s="11" t="s">
        <v>352</v>
      </c>
      <c r="H97" s="11"/>
      <c r="I97" s="10"/>
      <c r="J97" s="10"/>
      <c r="K97" s="10" t="s">
        <v>350</v>
      </c>
      <c r="L97" s="10"/>
    </row>
    <row r="98" spans="2:15" x14ac:dyDescent="0.3">
      <c r="B98" s="10"/>
      <c r="C98" s="10" t="s">
        <v>123</v>
      </c>
      <c r="D98" s="10" t="s">
        <v>103</v>
      </c>
      <c r="E98" s="11">
        <v>2015</v>
      </c>
      <c r="F98" s="11">
        <v>2020</v>
      </c>
      <c r="G98" s="11" t="s">
        <v>352</v>
      </c>
      <c r="H98" s="11"/>
      <c r="I98" s="10"/>
      <c r="J98" s="10"/>
      <c r="K98" s="10" t="s">
        <v>351</v>
      </c>
      <c r="L98" s="10"/>
    </row>
    <row r="99" spans="2:15" x14ac:dyDescent="0.3">
      <c r="B99" s="17"/>
      <c r="C99" s="17"/>
      <c r="D99" s="17" t="s">
        <v>255</v>
      </c>
      <c r="E99" s="18">
        <v>2050</v>
      </c>
      <c r="F99" s="18">
        <v>2050</v>
      </c>
      <c r="G99" s="19" t="str">
        <f>"-0.01"</f>
        <v>-0.01</v>
      </c>
      <c r="H99" s="17"/>
      <c r="I99" s="17" t="s">
        <v>547</v>
      </c>
      <c r="J99" s="17"/>
      <c r="K99" s="17" t="s">
        <v>545</v>
      </c>
      <c r="L99" s="17"/>
    </row>
    <row r="100" spans="2:15" x14ac:dyDescent="0.3">
      <c r="B100" s="17"/>
      <c r="C100" s="17"/>
      <c r="D100" s="17" t="s">
        <v>255</v>
      </c>
      <c r="E100" s="18">
        <v>2050</v>
      </c>
      <c r="F100" s="18">
        <v>2050</v>
      </c>
      <c r="G100" s="19" t="str">
        <f>"-0.01"</f>
        <v>-0.01</v>
      </c>
      <c r="H100" s="17"/>
      <c r="I100" s="17" t="str">
        <f>MID(O100,43,17)</f>
        <v>R_ES-DH-70-SpHeat</v>
      </c>
      <c r="J100" s="17"/>
      <c r="K100" s="17" t="str">
        <f>LEFT(O100,25)</f>
        <v>RCUC-Up_R_ES-SH-DH-70_HET</v>
      </c>
      <c r="L100" s="17"/>
      <c r="O100" t="s">
        <v>609</v>
      </c>
    </row>
    <row r="101" spans="2:15" x14ac:dyDescent="0.3">
      <c r="B101" s="17"/>
      <c r="C101" s="17"/>
      <c r="D101" s="17" t="s">
        <v>255</v>
      </c>
      <c r="E101" s="18">
        <v>2050</v>
      </c>
      <c r="F101" s="18">
        <v>2050</v>
      </c>
      <c r="G101" s="19" t="str">
        <f>"-0.01"</f>
        <v>-0.01</v>
      </c>
      <c r="H101" s="17"/>
      <c r="I101" s="17" t="s">
        <v>548</v>
      </c>
      <c r="J101" s="17"/>
      <c r="K101" s="17" t="s">
        <v>546</v>
      </c>
      <c r="L101" s="17"/>
    </row>
    <row r="104" spans="2:15" x14ac:dyDescent="0.3">
      <c r="B104" s="7" t="s">
        <v>8</v>
      </c>
    </row>
    <row r="105" spans="2:15" x14ac:dyDescent="0.3">
      <c r="B105" s="1" t="s">
        <v>0</v>
      </c>
      <c r="C105" s="1" t="s">
        <v>1</v>
      </c>
      <c r="D105" s="1" t="s">
        <v>2</v>
      </c>
      <c r="E105" s="1" t="s">
        <v>360</v>
      </c>
      <c r="F105" s="1" t="s">
        <v>3</v>
      </c>
      <c r="G105" s="2" t="s">
        <v>4</v>
      </c>
      <c r="H105" s="1" t="s">
        <v>58</v>
      </c>
      <c r="I105" s="1" t="s">
        <v>59</v>
      </c>
      <c r="J105" s="1" t="s">
        <v>102</v>
      </c>
      <c r="K105" s="1"/>
      <c r="L105" s="1"/>
    </row>
    <row r="106" spans="2:15" x14ac:dyDescent="0.3">
      <c r="B106" s="10"/>
      <c r="C106" s="10" t="s">
        <v>123</v>
      </c>
      <c r="D106" s="10" t="s">
        <v>103</v>
      </c>
      <c r="E106" s="11"/>
      <c r="F106" s="11" t="s">
        <v>101</v>
      </c>
      <c r="G106" s="11">
        <v>5</v>
      </c>
      <c r="H106" s="11"/>
      <c r="I106" s="10"/>
      <c r="J106" s="10" t="s">
        <v>303</v>
      </c>
      <c r="K106" s="20"/>
      <c r="L106" s="20"/>
    </row>
    <row r="107" spans="2:15" x14ac:dyDescent="0.3">
      <c r="B107" s="10"/>
      <c r="C107" s="10" t="s">
        <v>123</v>
      </c>
      <c r="D107" s="10" t="s">
        <v>103</v>
      </c>
      <c r="E107" s="11"/>
      <c r="F107" s="11" t="s">
        <v>101</v>
      </c>
      <c r="G107" s="11">
        <v>5</v>
      </c>
      <c r="H107" s="11"/>
      <c r="I107" s="10"/>
      <c r="J107" s="10" t="s">
        <v>304</v>
      </c>
      <c r="K107" s="20"/>
      <c r="L107" s="20"/>
    </row>
    <row r="108" spans="2:15" x14ac:dyDescent="0.3">
      <c r="B108" s="10"/>
      <c r="C108" s="10" t="s">
        <v>123</v>
      </c>
      <c r="D108" s="10" t="s">
        <v>103</v>
      </c>
      <c r="E108" s="11"/>
      <c r="F108" s="11" t="s">
        <v>101</v>
      </c>
      <c r="G108" s="11">
        <v>5</v>
      </c>
      <c r="H108" s="11"/>
      <c r="I108" s="10"/>
      <c r="J108" s="10" t="s">
        <v>305</v>
      </c>
      <c r="K108" s="20"/>
      <c r="L108" s="20"/>
    </row>
    <row r="109" spans="2:15" x14ac:dyDescent="0.3">
      <c r="B109" s="10"/>
      <c r="C109" s="10" t="s">
        <v>123</v>
      </c>
      <c r="D109" s="10" t="s">
        <v>103</v>
      </c>
      <c r="E109" s="11"/>
      <c r="F109" s="11" t="s">
        <v>101</v>
      </c>
      <c r="G109" s="11">
        <v>5</v>
      </c>
      <c r="H109" s="11"/>
      <c r="I109" s="10"/>
      <c r="J109" s="10" t="s">
        <v>306</v>
      </c>
      <c r="K109" s="20"/>
      <c r="L109" s="20"/>
    </row>
    <row r="110" spans="2:15" x14ac:dyDescent="0.3">
      <c r="B110" s="10"/>
      <c r="C110" s="10" t="s">
        <v>123</v>
      </c>
      <c r="D110" s="10" t="s">
        <v>103</v>
      </c>
      <c r="E110" s="11"/>
      <c r="F110" s="11" t="s">
        <v>101</v>
      </c>
      <c r="G110" s="11">
        <v>5</v>
      </c>
      <c r="H110" s="11"/>
      <c r="I110" s="10"/>
      <c r="J110" s="10" t="s">
        <v>307</v>
      </c>
      <c r="K110" s="20"/>
      <c r="L110" s="20"/>
    </row>
    <row r="111" spans="2:15" x14ac:dyDescent="0.3">
      <c r="B111" s="10"/>
      <c r="C111" s="10" t="s">
        <v>123</v>
      </c>
      <c r="D111" s="10" t="s">
        <v>103</v>
      </c>
      <c r="E111" s="11"/>
      <c r="F111" s="11" t="s">
        <v>101</v>
      </c>
      <c r="G111" s="11">
        <v>5</v>
      </c>
      <c r="H111" s="11"/>
      <c r="I111" s="10"/>
      <c r="J111" s="10" t="s">
        <v>308</v>
      </c>
      <c r="K111" s="20"/>
      <c r="L111" s="20"/>
    </row>
    <row r="112" spans="2:15" x14ac:dyDescent="0.3">
      <c r="B112" s="10"/>
      <c r="C112" s="10" t="s">
        <v>123</v>
      </c>
      <c r="D112" s="10" t="s">
        <v>103</v>
      </c>
      <c r="E112" s="11"/>
      <c r="F112" s="11" t="s">
        <v>101</v>
      </c>
      <c r="G112" s="11">
        <v>5</v>
      </c>
      <c r="H112" s="11"/>
      <c r="I112" s="10"/>
      <c r="J112" s="10" t="str">
        <f t="shared" ref="J112:J117" si="14">"RCUC-Lo_C_ES-SH-"&amp;MID(J106,17,3)&amp;"ELC"</f>
        <v>RCUC-Lo_C_ES-SH-HO_ELC</v>
      </c>
      <c r="K112" s="20"/>
      <c r="L112" s="20"/>
    </row>
    <row r="113" spans="2:12" x14ac:dyDescent="0.3">
      <c r="B113" s="10"/>
      <c r="C113" s="10" t="s">
        <v>123</v>
      </c>
      <c r="D113" s="10" t="s">
        <v>103</v>
      </c>
      <c r="E113" s="11"/>
      <c r="F113" s="11" t="s">
        <v>101</v>
      </c>
      <c r="G113" s="11">
        <v>5</v>
      </c>
      <c r="H113" s="11"/>
      <c r="I113" s="10"/>
      <c r="J113" s="10" t="str">
        <f t="shared" si="14"/>
        <v>RCUC-Lo_C_ES-SH-HR_ELC</v>
      </c>
      <c r="K113" s="20"/>
      <c r="L113" s="20"/>
    </row>
    <row r="114" spans="2:12" x14ac:dyDescent="0.3">
      <c r="B114" s="10"/>
      <c r="C114" s="10" t="s">
        <v>123</v>
      </c>
      <c r="D114" s="10" t="s">
        <v>103</v>
      </c>
      <c r="E114" s="11"/>
      <c r="F114" s="11" t="s">
        <v>101</v>
      </c>
      <c r="G114" s="11">
        <v>5</v>
      </c>
      <c r="H114" s="11"/>
      <c r="I114" s="10"/>
      <c r="J114" s="10" t="str">
        <f t="shared" si="14"/>
        <v>RCUC-Lo_C_ES-SH-OF_ELC</v>
      </c>
      <c r="K114" s="20"/>
      <c r="L114" s="20"/>
    </row>
    <row r="115" spans="2:12" x14ac:dyDescent="0.3">
      <c r="B115" s="10"/>
      <c r="C115" s="10" t="s">
        <v>123</v>
      </c>
      <c r="D115" s="10" t="s">
        <v>103</v>
      </c>
      <c r="E115" s="11"/>
      <c r="F115" s="11" t="s">
        <v>101</v>
      </c>
      <c r="G115" s="11">
        <v>5</v>
      </c>
      <c r="H115" s="11"/>
      <c r="I115" s="10"/>
      <c r="J115" s="10" t="str">
        <f t="shared" si="14"/>
        <v>RCUC-Lo_C_ES-SH-SL_ELC</v>
      </c>
      <c r="K115" s="20"/>
      <c r="L115" s="20"/>
    </row>
    <row r="116" spans="2:12" x14ac:dyDescent="0.3">
      <c r="B116" s="10"/>
      <c r="C116" s="10" t="s">
        <v>123</v>
      </c>
      <c r="D116" s="10" t="s">
        <v>103</v>
      </c>
      <c r="E116" s="11"/>
      <c r="F116" s="11" t="s">
        <v>101</v>
      </c>
      <c r="G116" s="11">
        <v>5</v>
      </c>
      <c r="H116" s="11"/>
      <c r="I116" s="10"/>
      <c r="J116" s="10" t="str">
        <f t="shared" si="14"/>
        <v>RCUC-Lo_C_ES-SH-SR_ELC</v>
      </c>
      <c r="K116" s="20"/>
      <c r="L116" s="20"/>
    </row>
    <row r="117" spans="2:12" x14ac:dyDescent="0.3">
      <c r="B117" s="10"/>
      <c r="C117" s="10" t="s">
        <v>123</v>
      </c>
      <c r="D117" s="10" t="s">
        <v>103</v>
      </c>
      <c r="E117" s="11"/>
      <c r="F117" s="11" t="s">
        <v>101</v>
      </c>
      <c r="G117" s="11">
        <v>5</v>
      </c>
      <c r="H117" s="11"/>
      <c r="I117" s="10"/>
      <c r="J117" s="10" t="str">
        <f t="shared" si="14"/>
        <v>RCUC-Lo_C_ES-SH-SS_ELC</v>
      </c>
      <c r="K117" s="20"/>
      <c r="L117" s="20"/>
    </row>
    <row r="118" spans="2:12" x14ac:dyDescent="0.3">
      <c r="B118" s="10"/>
      <c r="C118" s="10" t="s">
        <v>123</v>
      </c>
      <c r="D118" s="10" t="s">
        <v>103</v>
      </c>
      <c r="E118" s="11"/>
      <c r="F118" s="11" t="s">
        <v>101</v>
      </c>
      <c r="G118" s="11">
        <v>5</v>
      </c>
      <c r="H118" s="11"/>
      <c r="I118" s="10"/>
      <c r="J118" s="10" t="str">
        <f t="shared" ref="J118:J123" si="15">"RCUC-Lo_C_ES-WH-"&amp;MID(J106,17,3)&amp;"ELC"</f>
        <v>RCUC-Lo_C_ES-WH-HO_ELC</v>
      </c>
      <c r="K118" s="20"/>
      <c r="L118" s="20"/>
    </row>
    <row r="119" spans="2:12" x14ac:dyDescent="0.3">
      <c r="B119" s="10"/>
      <c r="C119" s="10" t="s">
        <v>123</v>
      </c>
      <c r="D119" s="10" t="s">
        <v>103</v>
      </c>
      <c r="E119" s="11"/>
      <c r="F119" s="11" t="s">
        <v>101</v>
      </c>
      <c r="G119" s="11">
        <v>5</v>
      </c>
      <c r="H119" s="11"/>
      <c r="I119" s="10"/>
      <c r="J119" s="10" t="str">
        <f t="shared" si="15"/>
        <v>RCUC-Lo_C_ES-WH-HR_ELC</v>
      </c>
      <c r="K119" s="20"/>
      <c r="L119" s="20"/>
    </row>
    <row r="120" spans="2:12" x14ac:dyDescent="0.3">
      <c r="B120" s="10"/>
      <c r="C120" s="10" t="s">
        <v>123</v>
      </c>
      <c r="D120" s="10" t="s">
        <v>103</v>
      </c>
      <c r="E120" s="11"/>
      <c r="F120" s="11" t="s">
        <v>101</v>
      </c>
      <c r="G120" s="11">
        <v>5</v>
      </c>
      <c r="H120" s="11"/>
      <c r="I120" s="10"/>
      <c r="J120" s="10" t="str">
        <f t="shared" si="15"/>
        <v>RCUC-Lo_C_ES-WH-OF_ELC</v>
      </c>
      <c r="K120" s="20"/>
      <c r="L120" s="20"/>
    </row>
    <row r="121" spans="2:12" x14ac:dyDescent="0.3">
      <c r="B121" s="10"/>
      <c r="C121" s="10" t="s">
        <v>123</v>
      </c>
      <c r="D121" s="10" t="s">
        <v>103</v>
      </c>
      <c r="E121" s="11"/>
      <c r="F121" s="11" t="s">
        <v>101</v>
      </c>
      <c r="G121" s="11">
        <v>5</v>
      </c>
      <c r="H121" s="11"/>
      <c r="I121" s="10"/>
      <c r="J121" s="10" t="str">
        <f t="shared" si="15"/>
        <v>RCUC-Lo_C_ES-WH-SL_ELC</v>
      </c>
      <c r="K121" s="20"/>
      <c r="L121" s="20"/>
    </row>
    <row r="122" spans="2:12" x14ac:dyDescent="0.3">
      <c r="B122" s="10"/>
      <c r="C122" s="10" t="s">
        <v>123</v>
      </c>
      <c r="D122" s="10" t="s">
        <v>103</v>
      </c>
      <c r="E122" s="11"/>
      <c r="F122" s="11" t="s">
        <v>101</v>
      </c>
      <c r="G122" s="11">
        <v>5</v>
      </c>
      <c r="H122" s="11"/>
      <c r="I122" s="10"/>
      <c r="J122" s="10" t="str">
        <f t="shared" si="15"/>
        <v>RCUC-Lo_C_ES-WH-SR_ELC</v>
      </c>
      <c r="K122" s="20"/>
      <c r="L122" s="20"/>
    </row>
    <row r="123" spans="2:12" x14ac:dyDescent="0.3">
      <c r="B123" s="10"/>
      <c r="C123" s="10" t="s">
        <v>123</v>
      </c>
      <c r="D123" s="10" t="s">
        <v>103</v>
      </c>
      <c r="E123" s="11"/>
      <c r="F123" s="11" t="s">
        <v>101</v>
      </c>
      <c r="G123" s="11">
        <v>5</v>
      </c>
      <c r="H123" s="11"/>
      <c r="I123" s="10"/>
      <c r="J123" s="10" t="str">
        <f t="shared" si="15"/>
        <v>RCUC-Lo_C_ES-WH-SS_ELC</v>
      </c>
      <c r="K123" s="20"/>
      <c r="L123" s="20"/>
    </row>
    <row r="124" spans="2:12" x14ac:dyDescent="0.3">
      <c r="B124" s="10"/>
      <c r="C124" s="10" t="s">
        <v>123</v>
      </c>
      <c r="D124" s="10" t="s">
        <v>103</v>
      </c>
      <c r="E124" s="11"/>
      <c r="F124" s="11" t="s">
        <v>101</v>
      </c>
      <c r="G124" s="11">
        <v>5</v>
      </c>
      <c r="H124" s="11"/>
      <c r="I124" s="10"/>
      <c r="J124" s="10" t="s">
        <v>348</v>
      </c>
      <c r="K124" s="20"/>
      <c r="L124" s="20"/>
    </row>
    <row r="125" spans="2:12" x14ac:dyDescent="0.3">
      <c r="B125" s="10"/>
      <c r="C125" s="10" t="s">
        <v>123</v>
      </c>
      <c r="D125" s="10" t="s">
        <v>103</v>
      </c>
      <c r="E125" s="11"/>
      <c r="F125" s="11" t="s">
        <v>101</v>
      </c>
      <c r="G125" s="11">
        <v>5</v>
      </c>
      <c r="H125" s="11"/>
      <c r="I125" s="10"/>
      <c r="J125" s="10" t="s">
        <v>349</v>
      </c>
      <c r="K125" s="20"/>
      <c r="L125" s="20"/>
    </row>
    <row r="126" spans="2:12" x14ac:dyDescent="0.3">
      <c r="B126" s="10"/>
      <c r="C126" s="10" t="s">
        <v>123</v>
      </c>
      <c r="D126" s="10" t="s">
        <v>103</v>
      </c>
      <c r="E126" s="11"/>
      <c r="F126" s="11" t="s">
        <v>101</v>
      </c>
      <c r="G126" s="11">
        <v>5</v>
      </c>
      <c r="H126" s="11"/>
      <c r="I126" s="10"/>
      <c r="J126" s="10" t="s">
        <v>350</v>
      </c>
      <c r="K126" s="20"/>
      <c r="L126" s="20"/>
    </row>
    <row r="127" spans="2:12" x14ac:dyDescent="0.3">
      <c r="B127" s="10"/>
      <c r="C127" s="10" t="s">
        <v>123</v>
      </c>
      <c r="D127" s="10" t="s">
        <v>103</v>
      </c>
      <c r="E127" s="11"/>
      <c r="F127" s="11" t="s">
        <v>101</v>
      </c>
      <c r="G127" s="11">
        <v>5</v>
      </c>
      <c r="H127" s="11"/>
      <c r="I127" s="10"/>
      <c r="J127" s="10" t="s">
        <v>351</v>
      </c>
      <c r="K127" s="20"/>
      <c r="L127" s="20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G49"/>
  <sheetViews>
    <sheetView workbookViewId="0"/>
  </sheetViews>
  <sheetFormatPr defaultRowHeight="14.4" x14ac:dyDescent="0.3"/>
  <cols>
    <col min="3" max="3" width="6.44140625" customWidth="1"/>
    <col min="4" max="4" width="11" customWidth="1"/>
    <col min="10" max="10" width="10" customWidth="1"/>
  </cols>
  <sheetData>
    <row r="1" spans="2:33" x14ac:dyDescent="0.3">
      <c r="G1" s="12">
        <v>2020</v>
      </c>
      <c r="H1" s="12">
        <v>2030</v>
      </c>
      <c r="I1" s="12">
        <v>2050</v>
      </c>
    </row>
    <row r="3" spans="2:33" x14ac:dyDescent="0.3">
      <c r="B3" s="7" t="s">
        <v>361</v>
      </c>
      <c r="N3" t="s">
        <v>167</v>
      </c>
      <c r="R3" s="13" t="s">
        <v>179</v>
      </c>
      <c r="S3" s="13"/>
      <c r="T3" s="13"/>
      <c r="U3" s="13"/>
      <c r="V3" s="13"/>
      <c r="W3" s="13"/>
    </row>
    <row r="4" spans="2:33" x14ac:dyDescent="0.3">
      <c r="B4" s="1" t="s">
        <v>0</v>
      </c>
      <c r="C4" s="1" t="s">
        <v>1</v>
      </c>
      <c r="D4" s="1" t="s">
        <v>2</v>
      </c>
      <c r="E4" s="1" t="s">
        <v>188</v>
      </c>
      <c r="F4" s="12">
        <v>2015</v>
      </c>
      <c r="G4" s="12">
        <v>2020</v>
      </c>
      <c r="H4" s="12">
        <v>2030</v>
      </c>
      <c r="I4" s="12">
        <v>2050</v>
      </c>
      <c r="J4" s="1" t="s">
        <v>102</v>
      </c>
      <c r="K4" s="1"/>
      <c r="R4" s="13" t="s">
        <v>293</v>
      </c>
      <c r="S4" s="13"/>
      <c r="T4" s="13"/>
      <c r="U4" s="13"/>
      <c r="V4" s="13"/>
      <c r="W4" s="13" t="s">
        <v>295</v>
      </c>
      <c r="X4" s="13"/>
      <c r="Y4" s="13"/>
    </row>
    <row r="5" spans="2:33" x14ac:dyDescent="0.3">
      <c r="B5" s="10" t="s">
        <v>10</v>
      </c>
      <c r="C5" s="10" t="s">
        <v>9</v>
      </c>
      <c r="D5" s="28" t="s">
        <v>104</v>
      </c>
      <c r="E5" s="11" t="s">
        <v>624</v>
      </c>
      <c r="F5" s="10"/>
      <c r="G5" s="11">
        <f>SUMIF($U$12:$U$50,$E5&amp;"."&amp;$J5&amp;"."&amp;G$1,$T$12:$T$50)</f>
        <v>3.0599999999999999E-2</v>
      </c>
      <c r="H5" s="37">
        <f>SUMIF($U$12:$U$50,$E5&amp;"."&amp;$J5&amp;"."&amp;H$1,$T$12:$T$50)*2</f>
        <v>0.15920000000000001</v>
      </c>
      <c r="I5" s="11"/>
      <c r="J5" s="10" t="s">
        <v>637</v>
      </c>
      <c r="K5" s="10"/>
      <c r="N5" t="s">
        <v>301</v>
      </c>
    </row>
    <row r="6" spans="2:33" x14ac:dyDescent="0.3">
      <c r="B6" s="10" t="s">
        <v>10</v>
      </c>
      <c r="C6" s="10" t="s">
        <v>9</v>
      </c>
      <c r="D6" s="28" t="s">
        <v>104</v>
      </c>
      <c r="E6" s="11" t="s">
        <v>300</v>
      </c>
      <c r="F6" s="10"/>
      <c r="G6" s="11"/>
      <c r="H6" s="37">
        <f>MID(R4,37,10)*1</f>
        <v>0.1</v>
      </c>
      <c r="I6" s="37">
        <f>MAX(MID(W4,37,10)*1,H6*3)</f>
        <v>0.30000000000000004</v>
      </c>
      <c r="J6" s="10" t="str">
        <f>MID(R4,4,15)</f>
        <v>AU_ELC_WONCAP_H</v>
      </c>
      <c r="K6" s="10"/>
      <c r="N6" t="s">
        <v>302</v>
      </c>
    </row>
    <row r="7" spans="2:33" x14ac:dyDescent="0.3">
      <c r="B7" s="10" t="s">
        <v>10</v>
      </c>
      <c r="C7" s="10" t="s">
        <v>9</v>
      </c>
      <c r="D7" s="28" t="s">
        <v>104</v>
      </c>
      <c r="E7" s="11" t="s">
        <v>191</v>
      </c>
      <c r="F7" s="10"/>
      <c r="G7" s="37">
        <f>MID(N5,37,10)*1</f>
        <v>2.4500000000000002</v>
      </c>
      <c r="H7" s="11"/>
      <c r="I7" s="11"/>
      <c r="J7" s="10" t="str">
        <f>MID(N5,4,15)</f>
        <v>AU_ELC_WONCAP_H</v>
      </c>
      <c r="K7" s="10"/>
      <c r="R7" s="13" t="s">
        <v>294</v>
      </c>
      <c r="S7" s="13"/>
      <c r="T7" s="13"/>
      <c r="U7" s="13"/>
      <c r="V7" s="13"/>
      <c r="W7" s="13" t="s">
        <v>296</v>
      </c>
      <c r="X7" s="13"/>
      <c r="Y7" s="13"/>
    </row>
    <row r="8" spans="2:33" x14ac:dyDescent="0.3">
      <c r="B8" s="10" t="s">
        <v>10</v>
      </c>
      <c r="C8" s="10" t="s">
        <v>9</v>
      </c>
      <c r="D8" s="28" t="s">
        <v>104</v>
      </c>
      <c r="E8" s="11" t="s">
        <v>634</v>
      </c>
      <c r="F8" s="10"/>
      <c r="G8" s="11">
        <f t="shared" ref="G8:G16" si="0">SUMIF($U$12:$U$50,$E8&amp;"."&amp;$J8&amp;"."&amp;G$1,$T$12:$T$50)</f>
        <v>1.8496999999999999</v>
      </c>
      <c r="H8" s="11"/>
      <c r="I8" s="11"/>
      <c r="J8" s="10" t="s">
        <v>637</v>
      </c>
      <c r="K8" s="10"/>
      <c r="N8" t="s">
        <v>176</v>
      </c>
      <c r="R8" s="13" t="s">
        <v>172</v>
      </c>
      <c r="S8" s="13"/>
      <c r="T8" s="13"/>
      <c r="U8" s="13"/>
      <c r="V8" s="13"/>
      <c r="W8" s="13"/>
    </row>
    <row r="9" spans="2:33" x14ac:dyDescent="0.3">
      <c r="B9" s="10" t="s">
        <v>10</v>
      </c>
      <c r="C9" s="10" t="s">
        <v>9</v>
      </c>
      <c r="D9" s="28" t="s">
        <v>104</v>
      </c>
      <c r="E9" s="11" t="s">
        <v>625</v>
      </c>
      <c r="F9" s="10"/>
      <c r="G9" s="11">
        <f t="shared" si="0"/>
        <v>13.0265</v>
      </c>
      <c r="H9" s="11"/>
      <c r="I9" s="11"/>
      <c r="J9" s="10" t="s">
        <v>637</v>
      </c>
      <c r="K9" s="10"/>
      <c r="N9" t="s">
        <v>177</v>
      </c>
      <c r="U9" t="s">
        <v>298</v>
      </c>
    </row>
    <row r="10" spans="2:33" x14ac:dyDescent="0.3">
      <c r="B10" s="10" t="s">
        <v>10</v>
      </c>
      <c r="C10" s="10" t="s">
        <v>9</v>
      </c>
      <c r="D10" s="28" t="s">
        <v>104</v>
      </c>
      <c r="E10" s="11" t="s">
        <v>635</v>
      </c>
      <c r="F10" s="10"/>
      <c r="G10" s="11">
        <f t="shared" si="0"/>
        <v>1.2415</v>
      </c>
      <c r="H10" s="11"/>
      <c r="I10" s="11"/>
      <c r="J10" s="10" t="s">
        <v>637</v>
      </c>
      <c r="K10" s="10"/>
    </row>
    <row r="11" spans="2:33" x14ac:dyDescent="0.3">
      <c r="B11" s="10" t="s">
        <v>10</v>
      </c>
      <c r="C11" s="10" t="s">
        <v>9</v>
      </c>
      <c r="D11" s="28" t="s">
        <v>104</v>
      </c>
      <c r="E11" s="11" t="s">
        <v>626</v>
      </c>
      <c r="F11" s="10"/>
      <c r="G11" s="11">
        <f t="shared" si="0"/>
        <v>7.9817</v>
      </c>
      <c r="H11" s="11"/>
      <c r="I11" s="11"/>
      <c r="J11" s="10" t="s">
        <v>637</v>
      </c>
      <c r="K11" s="10"/>
    </row>
    <row r="12" spans="2:33" x14ac:dyDescent="0.3">
      <c r="B12" s="10" t="s">
        <v>10</v>
      </c>
      <c r="C12" s="10" t="s">
        <v>9</v>
      </c>
      <c r="D12" s="28" t="s">
        <v>104</v>
      </c>
      <c r="E12" s="11" t="s">
        <v>636</v>
      </c>
      <c r="F12" s="10"/>
      <c r="G12" s="11">
        <f t="shared" si="0"/>
        <v>0.40350000000000003</v>
      </c>
      <c r="H12" s="11"/>
      <c r="I12" s="11"/>
      <c r="J12" s="10" t="s">
        <v>637</v>
      </c>
      <c r="K12" s="10"/>
      <c r="N12" t="s">
        <v>639</v>
      </c>
      <c r="T12">
        <f>RIGHT(N12,LEN(N12)-34)*1</f>
        <v>3.0599999999999999E-2</v>
      </c>
      <c r="U12" t="str">
        <f t="shared" ref="U12:U30" si="1">LEFT(N12,23)</f>
        <v>CH.AU_ELC_WONCAP_H.2020</v>
      </c>
      <c r="Z12" t="s">
        <v>678</v>
      </c>
      <c r="AA12" t="s">
        <v>679</v>
      </c>
      <c r="AB12" t="s">
        <v>680</v>
      </c>
      <c r="AC12" t="s">
        <v>681</v>
      </c>
      <c r="AD12" t="s">
        <v>682</v>
      </c>
      <c r="AE12">
        <v>2020</v>
      </c>
      <c r="AF12">
        <v>2030</v>
      </c>
      <c r="AG12">
        <v>2050</v>
      </c>
    </row>
    <row r="13" spans="2:33" x14ac:dyDescent="0.3">
      <c r="B13" s="10" t="s">
        <v>10</v>
      </c>
      <c r="C13" s="10" t="s">
        <v>9</v>
      </c>
      <c r="D13" s="28" t="s">
        <v>104</v>
      </c>
      <c r="E13" s="11" t="s">
        <v>268</v>
      </c>
      <c r="F13" s="10"/>
      <c r="G13" s="11">
        <f t="shared" si="0"/>
        <v>6.7599999999999993E-2</v>
      </c>
      <c r="H13" s="37">
        <f>SUMIF($U$12:$U$50,$E13&amp;"."&amp;$J13&amp;"."&amp;H$1,$T$12:$T$50)</f>
        <v>0.1166</v>
      </c>
      <c r="I13" s="37">
        <f>MAX(MID(W7,37,10)*1,H13*3)</f>
        <v>0.3498</v>
      </c>
      <c r="J13" s="10" t="str">
        <f>MID(R7,4,15)</f>
        <v>AU_ELC_WONCAP_H</v>
      </c>
      <c r="K13" s="10"/>
      <c r="N13" t="s">
        <v>640</v>
      </c>
      <c r="T13">
        <f t="shared" ref="T13:T31" si="2">RIGHT(N13,LEN(N13)-34)*1</f>
        <v>1.8496999999999999</v>
      </c>
      <c r="U13" t="str">
        <f t="shared" si="1"/>
        <v>EL.AU_ELC_WONCAP_H.2020</v>
      </c>
      <c r="Z13" t="s">
        <v>104</v>
      </c>
      <c r="AA13" t="s">
        <v>683</v>
      </c>
      <c r="AB13" t="s">
        <v>683</v>
      </c>
      <c r="AC13" t="s">
        <v>684</v>
      </c>
      <c r="AD13" t="s">
        <v>685</v>
      </c>
    </row>
    <row r="14" spans="2:33" x14ac:dyDescent="0.3">
      <c r="B14" s="10" t="s">
        <v>10</v>
      </c>
      <c r="C14" s="10" t="s">
        <v>9</v>
      </c>
      <c r="D14" s="28" t="s">
        <v>104</v>
      </c>
      <c r="E14" s="11" t="s">
        <v>551</v>
      </c>
      <c r="F14" s="10"/>
      <c r="G14" s="11">
        <f t="shared" si="0"/>
        <v>1E-3</v>
      </c>
      <c r="H14" s="11">
        <f>SUMIF($U$12:$U$50,$E14&amp;"."&amp;$J14&amp;"."&amp;H$1,$T$12:$T$50)</f>
        <v>1E-3</v>
      </c>
      <c r="I14" s="37">
        <f>H14*2+0.001</f>
        <v>3.0000000000000001E-3</v>
      </c>
      <c r="J14" s="10" t="s">
        <v>637</v>
      </c>
      <c r="K14" s="10"/>
      <c r="N14" t="s">
        <v>641</v>
      </c>
      <c r="T14">
        <f t="shared" si="2"/>
        <v>13.0265</v>
      </c>
      <c r="U14" t="str">
        <f t="shared" si="1"/>
        <v>ES.AU_ELC_WONCAP_H.2020</v>
      </c>
      <c r="Z14" t="s">
        <v>104</v>
      </c>
      <c r="AA14" t="s">
        <v>683</v>
      </c>
      <c r="AB14" t="s">
        <v>683</v>
      </c>
      <c r="AC14" t="s">
        <v>684</v>
      </c>
      <c r="AD14" t="s">
        <v>686</v>
      </c>
      <c r="AE14">
        <v>1.62627795</v>
      </c>
      <c r="AF14">
        <v>3.2525558999999999</v>
      </c>
      <c r="AG14">
        <v>5.120829305</v>
      </c>
    </row>
    <row r="15" spans="2:33" x14ac:dyDescent="0.3">
      <c r="B15" s="10" t="s">
        <v>10</v>
      </c>
      <c r="C15" s="10" t="s">
        <v>9</v>
      </c>
      <c r="D15" s="28" t="s">
        <v>104</v>
      </c>
      <c r="E15" s="11" t="s">
        <v>630</v>
      </c>
      <c r="F15" s="10"/>
      <c r="G15" s="11">
        <f t="shared" si="0"/>
        <v>1.7374000000000001</v>
      </c>
      <c r="H15" s="11">
        <f>SUMIF($U$12:$U$50,$E15&amp;"."&amp;$J15&amp;"."&amp;H$1,$T$12:$T$50)</f>
        <v>2.9413999999999998</v>
      </c>
      <c r="I15" s="11"/>
      <c r="J15" s="10" t="s">
        <v>637</v>
      </c>
      <c r="K15" s="10"/>
      <c r="N15" t="s">
        <v>642</v>
      </c>
      <c r="T15">
        <f t="shared" si="2"/>
        <v>1.2415</v>
      </c>
      <c r="U15" t="str">
        <f t="shared" si="1"/>
        <v>FI.AU_ELC_WONCAP_H.2020</v>
      </c>
      <c r="Z15" t="s">
        <v>104</v>
      </c>
      <c r="AA15" t="s">
        <v>683</v>
      </c>
      <c r="AB15" t="s">
        <v>683</v>
      </c>
      <c r="AC15" t="s">
        <v>684</v>
      </c>
      <c r="AD15" t="s">
        <v>687</v>
      </c>
    </row>
    <row r="16" spans="2:33" x14ac:dyDescent="0.3">
      <c r="B16" s="10" t="s">
        <v>10</v>
      </c>
      <c r="C16" s="10" t="s">
        <v>9</v>
      </c>
      <c r="D16" s="28" t="s">
        <v>104</v>
      </c>
      <c r="E16" s="11" t="s">
        <v>608</v>
      </c>
      <c r="F16" s="10"/>
      <c r="G16" s="11">
        <f t="shared" si="0"/>
        <v>4.9385000000000003</v>
      </c>
      <c r="H16" s="11"/>
      <c r="I16" s="11"/>
      <c r="J16" s="10" t="s">
        <v>637</v>
      </c>
      <c r="K16" s="10"/>
      <c r="N16" t="s">
        <v>643</v>
      </c>
      <c r="T16">
        <f t="shared" si="2"/>
        <v>7.9817</v>
      </c>
      <c r="U16" t="str">
        <f t="shared" si="1"/>
        <v>FR.AU_ELC_WONCAP_H.2020</v>
      </c>
      <c r="Z16" t="s">
        <v>104</v>
      </c>
      <c r="AA16" t="s">
        <v>683</v>
      </c>
      <c r="AB16" t="s">
        <v>683</v>
      </c>
      <c r="AC16" t="s">
        <v>684</v>
      </c>
      <c r="AD16" t="s">
        <v>259</v>
      </c>
      <c r="AE16">
        <v>1.1583825000000001</v>
      </c>
      <c r="AF16">
        <v>2.3167650000000002</v>
      </c>
      <c r="AG16">
        <v>5.9299601879999999</v>
      </c>
    </row>
    <row r="17" spans="2:33" x14ac:dyDescent="0.3">
      <c r="B17" s="10" t="s">
        <v>10</v>
      </c>
      <c r="C17" s="10" t="s">
        <v>9</v>
      </c>
      <c r="D17" s="28" t="s">
        <v>104</v>
      </c>
      <c r="E17" s="11" t="s">
        <v>192</v>
      </c>
      <c r="F17" s="10"/>
      <c r="G17" s="37">
        <f>MAX(MID(N8,27,10)*1,0.01)</f>
        <v>0.01</v>
      </c>
      <c r="H17" s="11">
        <f>MAX(1,G17*3)</f>
        <v>1</v>
      </c>
      <c r="I17" s="11"/>
      <c r="J17" s="10" t="str">
        <f>MID(N8,4,15)</f>
        <v>AU_ELC_WONCAP_H</v>
      </c>
      <c r="K17" s="10"/>
      <c r="N17" t="s">
        <v>644</v>
      </c>
      <c r="T17">
        <f t="shared" si="2"/>
        <v>0.40350000000000003</v>
      </c>
      <c r="U17" t="str">
        <f t="shared" si="1"/>
        <v>HR.AU_ELC_WONCAP_H.2020</v>
      </c>
      <c r="Z17" t="s">
        <v>104</v>
      </c>
      <c r="AA17" t="s">
        <v>683</v>
      </c>
      <c r="AB17" t="s">
        <v>683</v>
      </c>
      <c r="AC17" t="s">
        <v>684</v>
      </c>
      <c r="AD17" t="s">
        <v>189</v>
      </c>
      <c r="AE17">
        <v>0.40575204999999998</v>
      </c>
      <c r="AF17">
        <v>0.81150409999999995</v>
      </c>
      <c r="AG17">
        <v>46.682063278999998</v>
      </c>
    </row>
    <row r="18" spans="2:33" x14ac:dyDescent="0.3">
      <c r="B18" s="10"/>
      <c r="C18" s="10"/>
      <c r="D18" s="28" t="s">
        <v>122</v>
      </c>
      <c r="E18" s="11"/>
      <c r="F18" s="10"/>
      <c r="G18" s="11"/>
      <c r="H18" s="11"/>
      <c r="I18" s="11"/>
      <c r="J18" s="10"/>
      <c r="K18" s="10"/>
      <c r="N18" t="s">
        <v>645</v>
      </c>
      <c r="T18">
        <f t="shared" si="2"/>
        <v>6.7599999999999993E-2</v>
      </c>
      <c r="U18" t="str">
        <f t="shared" si="1"/>
        <v>LU.AU_ELC_WONCAP_H.2020</v>
      </c>
      <c r="Z18" t="s">
        <v>104</v>
      </c>
      <c r="AA18" t="s">
        <v>683</v>
      </c>
      <c r="AB18" t="s">
        <v>683</v>
      </c>
      <c r="AC18" t="s">
        <v>684</v>
      </c>
      <c r="AD18" t="s">
        <v>624</v>
      </c>
      <c r="AE18">
        <v>0</v>
      </c>
      <c r="AF18">
        <v>0</v>
      </c>
      <c r="AG18">
        <v>3</v>
      </c>
    </row>
    <row r="19" spans="2:33" x14ac:dyDescent="0.3">
      <c r="B19" s="10" t="s">
        <v>10</v>
      </c>
      <c r="C19" s="10" t="s">
        <v>9</v>
      </c>
      <c r="D19" s="28" t="s">
        <v>104</v>
      </c>
      <c r="E19" s="11" t="s">
        <v>624</v>
      </c>
      <c r="F19" s="10"/>
      <c r="G19" s="11">
        <f>SUMIF($U$12:$U$50,$E19&amp;"."&amp;$J19&amp;"."&amp;G$1,$T$12:$T$50)</f>
        <v>3.0599999999999999E-2</v>
      </c>
      <c r="H19" s="37">
        <f>SUMIF($U$12:$U$50,$E19&amp;"."&amp;$J19&amp;"."&amp;H$1,$T$12:$T$50)*2</f>
        <v>0.15920000000000001</v>
      </c>
      <c r="I19" s="11"/>
      <c r="J19" s="10" t="s">
        <v>638</v>
      </c>
      <c r="K19" s="10"/>
      <c r="N19" t="s">
        <v>646</v>
      </c>
      <c r="T19">
        <f t="shared" si="2"/>
        <v>1E-3</v>
      </c>
      <c r="U19" t="str">
        <f t="shared" si="1"/>
        <v>Mt.AU_ELC_WONCAP_H.2020</v>
      </c>
      <c r="Z19" t="s">
        <v>104</v>
      </c>
      <c r="AA19" t="s">
        <v>683</v>
      </c>
      <c r="AB19" t="s">
        <v>683</v>
      </c>
      <c r="AC19" t="s">
        <v>684</v>
      </c>
      <c r="AD19" t="s">
        <v>300</v>
      </c>
      <c r="AE19">
        <v>9.8284999999999997E-2</v>
      </c>
      <c r="AF19">
        <v>0.19656999999999999</v>
      </c>
      <c r="AG19">
        <v>1.937654902</v>
      </c>
    </row>
    <row r="20" spans="2:33" x14ac:dyDescent="0.3">
      <c r="B20" s="10" t="s">
        <v>10</v>
      </c>
      <c r="C20" s="10" t="s">
        <v>9</v>
      </c>
      <c r="D20" s="28" t="s">
        <v>104</v>
      </c>
      <c r="E20" s="11" t="s">
        <v>300</v>
      </c>
      <c r="F20" s="10"/>
      <c r="G20" s="11"/>
      <c r="H20" s="11"/>
      <c r="I20" s="11"/>
      <c r="J20" s="10" t="s">
        <v>638</v>
      </c>
      <c r="K20" s="10"/>
      <c r="N20" t="s">
        <v>647</v>
      </c>
      <c r="T20">
        <f t="shared" si="2"/>
        <v>1.7374000000000001</v>
      </c>
      <c r="U20" t="str">
        <f t="shared" si="1"/>
        <v>NO.AU_ELC_WONCAP_H.2020</v>
      </c>
      <c r="Z20" t="s">
        <v>104</v>
      </c>
      <c r="AA20" t="s">
        <v>683</v>
      </c>
      <c r="AB20" t="s">
        <v>683</v>
      </c>
      <c r="AC20" t="s">
        <v>684</v>
      </c>
      <c r="AD20" t="s">
        <v>688</v>
      </c>
      <c r="AE20">
        <v>0.17531635000000001</v>
      </c>
      <c r="AF20">
        <v>0.35063270000000002</v>
      </c>
      <c r="AG20">
        <v>37.784031206000002</v>
      </c>
    </row>
    <row r="21" spans="2:33" x14ac:dyDescent="0.3">
      <c r="B21" s="10" t="s">
        <v>10</v>
      </c>
      <c r="C21" s="10" t="s">
        <v>9</v>
      </c>
      <c r="D21" s="28" t="s">
        <v>104</v>
      </c>
      <c r="E21" s="11" t="s">
        <v>191</v>
      </c>
      <c r="F21" s="10"/>
      <c r="G21" s="37">
        <f>MID(N6,37,10)*1</f>
        <v>2.4500000000000002</v>
      </c>
      <c r="H21" s="11"/>
      <c r="I21" s="11"/>
      <c r="J21" s="10" t="str">
        <f>MID(N6,4,15)</f>
        <v>AU_ELC_WONCAP_M</v>
      </c>
      <c r="K21" s="10"/>
      <c r="N21" t="s">
        <v>648</v>
      </c>
      <c r="T21">
        <f t="shared" si="2"/>
        <v>4.9385000000000003</v>
      </c>
      <c r="U21" t="str">
        <f t="shared" si="1"/>
        <v>SE.AU_ELC_WONCAP_H.2020</v>
      </c>
      <c r="Z21" t="s">
        <v>104</v>
      </c>
      <c r="AA21" t="s">
        <v>683</v>
      </c>
      <c r="AB21" t="s">
        <v>683</v>
      </c>
      <c r="AC21" t="s">
        <v>684</v>
      </c>
      <c r="AD21" t="s">
        <v>299</v>
      </c>
      <c r="AE21">
        <v>27.733156000000001</v>
      </c>
      <c r="AF21">
        <v>55.466312000000002</v>
      </c>
      <c r="AG21">
        <v>64.781399544999999</v>
      </c>
    </row>
    <row r="22" spans="2:33" x14ac:dyDescent="0.3">
      <c r="B22" s="10" t="s">
        <v>10</v>
      </c>
      <c r="C22" s="10" t="s">
        <v>9</v>
      </c>
      <c r="D22" s="28" t="s">
        <v>104</v>
      </c>
      <c r="E22" s="11" t="s">
        <v>634</v>
      </c>
      <c r="F22" s="10"/>
      <c r="G22" s="11">
        <f t="shared" ref="G22:G30" si="3">SUMIF($U$12:$U$50,$E22&amp;"."&amp;$J22&amp;"."&amp;G$1,$T$12:$T$50)</f>
        <v>1.8496999999999999</v>
      </c>
      <c r="H22" s="11"/>
      <c r="I22" s="11"/>
      <c r="J22" s="10" t="s">
        <v>638</v>
      </c>
      <c r="K22" s="10"/>
      <c r="N22" t="s">
        <v>649</v>
      </c>
      <c r="T22">
        <f t="shared" si="2"/>
        <v>3.0599999999999999E-2</v>
      </c>
      <c r="U22" t="str">
        <f t="shared" si="1"/>
        <v>CH.AU_ELC_WONCAP_M.2020</v>
      </c>
      <c r="Z22" t="s">
        <v>104</v>
      </c>
      <c r="AA22" t="s">
        <v>683</v>
      </c>
      <c r="AB22" t="s">
        <v>683</v>
      </c>
      <c r="AC22" t="s">
        <v>684</v>
      </c>
      <c r="AD22" t="s">
        <v>191</v>
      </c>
      <c r="AE22">
        <v>2.2497034999999999</v>
      </c>
      <c r="AF22">
        <v>4.4994069999999997</v>
      </c>
      <c r="AG22">
        <v>4.4994069999999997</v>
      </c>
    </row>
    <row r="23" spans="2:33" x14ac:dyDescent="0.3">
      <c r="B23" s="10" t="s">
        <v>10</v>
      </c>
      <c r="C23" s="10" t="s">
        <v>9</v>
      </c>
      <c r="D23" s="28" t="s">
        <v>104</v>
      </c>
      <c r="E23" s="11" t="s">
        <v>625</v>
      </c>
      <c r="F23" s="10"/>
      <c r="G23" s="11">
        <f t="shared" si="3"/>
        <v>13.0265</v>
      </c>
      <c r="H23" s="11"/>
      <c r="I23" s="11"/>
      <c r="J23" s="10" t="s">
        <v>638</v>
      </c>
      <c r="K23" s="10"/>
      <c r="N23" t="s">
        <v>650</v>
      </c>
      <c r="T23">
        <f t="shared" si="2"/>
        <v>1.8496999999999999</v>
      </c>
      <c r="U23" t="str">
        <f t="shared" si="1"/>
        <v>EL.AU_ELC_WONCAP_M.2020</v>
      </c>
      <c r="Z23" t="s">
        <v>104</v>
      </c>
      <c r="AA23" t="s">
        <v>683</v>
      </c>
      <c r="AB23" t="s">
        <v>683</v>
      </c>
      <c r="AC23" t="s">
        <v>684</v>
      </c>
      <c r="AD23" t="s">
        <v>410</v>
      </c>
      <c r="AE23">
        <v>0.1740013</v>
      </c>
      <c r="AF23">
        <v>0.3480026</v>
      </c>
      <c r="AG23">
        <v>6.7575947709999999</v>
      </c>
    </row>
    <row r="24" spans="2:33" x14ac:dyDescent="0.3">
      <c r="B24" s="10" t="s">
        <v>10</v>
      </c>
      <c r="C24" s="10" t="s">
        <v>9</v>
      </c>
      <c r="D24" s="28" t="s">
        <v>104</v>
      </c>
      <c r="E24" s="11" t="s">
        <v>635</v>
      </c>
      <c r="F24" s="10"/>
      <c r="G24" s="11">
        <f t="shared" si="3"/>
        <v>1.2415</v>
      </c>
      <c r="H24" s="11"/>
      <c r="I24" s="11"/>
      <c r="J24" s="10" t="s">
        <v>638</v>
      </c>
      <c r="K24" s="10"/>
      <c r="N24" t="s">
        <v>651</v>
      </c>
      <c r="T24">
        <f t="shared" si="2"/>
        <v>13.0265</v>
      </c>
      <c r="U24" t="str">
        <f t="shared" si="1"/>
        <v>ES.AU_ELC_WONCAP_M.2020</v>
      </c>
      <c r="Z24" t="s">
        <v>104</v>
      </c>
      <c r="AA24" t="s">
        <v>683</v>
      </c>
      <c r="AB24" t="s">
        <v>683</v>
      </c>
      <c r="AC24" t="s">
        <v>684</v>
      </c>
      <c r="AD24" t="s">
        <v>634</v>
      </c>
      <c r="AE24">
        <v>1.5523750000000001</v>
      </c>
      <c r="AF24">
        <v>3.1047500000000001</v>
      </c>
      <c r="AG24">
        <v>66.070294439999998</v>
      </c>
    </row>
    <row r="25" spans="2:33" x14ac:dyDescent="0.3">
      <c r="B25" s="10" t="s">
        <v>10</v>
      </c>
      <c r="C25" s="10" t="s">
        <v>9</v>
      </c>
      <c r="D25" s="28" t="s">
        <v>104</v>
      </c>
      <c r="E25" s="11" t="s">
        <v>626</v>
      </c>
      <c r="F25" s="10"/>
      <c r="G25" s="11">
        <f t="shared" si="3"/>
        <v>7.9817</v>
      </c>
      <c r="H25" s="11"/>
      <c r="I25" s="11"/>
      <c r="J25" s="10" t="s">
        <v>638</v>
      </c>
      <c r="K25" s="10"/>
      <c r="N25" t="s">
        <v>652</v>
      </c>
      <c r="T25">
        <f t="shared" si="2"/>
        <v>1.2415</v>
      </c>
      <c r="U25" t="str">
        <f t="shared" si="1"/>
        <v>FI.AU_ELC_WONCAP_M.2020</v>
      </c>
      <c r="Z25" t="s">
        <v>104</v>
      </c>
      <c r="AA25" t="s">
        <v>683</v>
      </c>
      <c r="AB25" t="s">
        <v>683</v>
      </c>
      <c r="AC25" t="s">
        <v>684</v>
      </c>
      <c r="AD25" t="s">
        <v>625</v>
      </c>
      <c r="AE25">
        <v>12.951832850000001</v>
      </c>
      <c r="AF25">
        <v>25.903665700000001</v>
      </c>
      <c r="AG25">
        <v>382.95874247500001</v>
      </c>
    </row>
    <row r="26" spans="2:33" x14ac:dyDescent="0.3">
      <c r="B26" s="10" t="s">
        <v>10</v>
      </c>
      <c r="C26" s="10" t="s">
        <v>9</v>
      </c>
      <c r="D26" s="28" t="s">
        <v>104</v>
      </c>
      <c r="E26" s="11" t="s">
        <v>636</v>
      </c>
      <c r="F26" s="10"/>
      <c r="G26" s="11">
        <f t="shared" si="3"/>
        <v>0.40350000000000003</v>
      </c>
      <c r="H26" s="11"/>
      <c r="I26" s="11"/>
      <c r="J26" s="10" t="s">
        <v>638</v>
      </c>
      <c r="K26" s="10"/>
      <c r="N26" t="s">
        <v>653</v>
      </c>
      <c r="T26">
        <f t="shared" si="2"/>
        <v>7.9817</v>
      </c>
      <c r="U26" t="str">
        <f t="shared" si="1"/>
        <v>FR.AU_ELC_WONCAP_M.2020</v>
      </c>
      <c r="Z26" t="s">
        <v>104</v>
      </c>
      <c r="AA26" t="s">
        <v>683</v>
      </c>
      <c r="AB26" t="s">
        <v>683</v>
      </c>
      <c r="AC26" t="s">
        <v>684</v>
      </c>
      <c r="AD26" t="s">
        <v>635</v>
      </c>
      <c r="AE26">
        <v>1.1007039999999999</v>
      </c>
      <c r="AF26">
        <v>2.2014079999999998</v>
      </c>
      <c r="AG26">
        <v>11.033346504000001</v>
      </c>
    </row>
    <row r="27" spans="2:33" x14ac:dyDescent="0.3">
      <c r="B27" s="10" t="s">
        <v>10</v>
      </c>
      <c r="C27" s="10" t="s">
        <v>9</v>
      </c>
      <c r="D27" s="28" t="s">
        <v>104</v>
      </c>
      <c r="E27" s="11" t="s">
        <v>268</v>
      </c>
      <c r="F27" s="10"/>
      <c r="G27" s="11">
        <f t="shared" si="3"/>
        <v>6.7599999999999993E-2</v>
      </c>
      <c r="H27" s="11">
        <f>SUMIF($U$12:$U$50,$E27&amp;"."&amp;$J27&amp;"."&amp;H$1,$T$12:$T$50)</f>
        <v>0.18260000000000001</v>
      </c>
      <c r="I27" s="11"/>
      <c r="J27" s="10" t="s">
        <v>638</v>
      </c>
      <c r="K27" s="10"/>
      <c r="N27" t="s">
        <v>654</v>
      </c>
      <c r="T27">
        <f t="shared" si="2"/>
        <v>0.40350000000000003</v>
      </c>
      <c r="U27" t="str">
        <f t="shared" si="1"/>
        <v>HR.AU_ELC_WONCAP_M.2020</v>
      </c>
      <c r="Z27" t="s">
        <v>104</v>
      </c>
      <c r="AA27" t="s">
        <v>683</v>
      </c>
      <c r="AB27" t="s">
        <v>683</v>
      </c>
      <c r="AC27" t="s">
        <v>684</v>
      </c>
      <c r="AD27" t="s">
        <v>626</v>
      </c>
      <c r="AE27">
        <v>7.5222125000000002</v>
      </c>
      <c r="AF27">
        <v>15.044425</v>
      </c>
      <c r="AG27">
        <v>262.45609799200002</v>
      </c>
    </row>
    <row r="28" spans="2:33" x14ac:dyDescent="0.3">
      <c r="B28" s="10" t="s">
        <v>10</v>
      </c>
      <c r="C28" s="10" t="s">
        <v>9</v>
      </c>
      <c r="D28" s="28" t="s">
        <v>104</v>
      </c>
      <c r="E28" s="11" t="s">
        <v>551</v>
      </c>
      <c r="F28" s="10"/>
      <c r="G28" s="11">
        <f t="shared" si="3"/>
        <v>1E-3</v>
      </c>
      <c r="H28" s="11">
        <f>SUMIF($U$12:$U$50,$E28&amp;"."&amp;$J28&amp;"."&amp;H$1,$T$12:$T$50)</f>
        <v>1E-3</v>
      </c>
      <c r="I28" s="37">
        <f>H28*2+0.001</f>
        <v>3.0000000000000001E-3</v>
      </c>
      <c r="J28" s="10" t="s">
        <v>638</v>
      </c>
      <c r="K28" s="10"/>
      <c r="N28" t="s">
        <v>655</v>
      </c>
      <c r="T28">
        <f t="shared" si="2"/>
        <v>6.7599999999999993E-2</v>
      </c>
      <c r="U28" t="str">
        <f t="shared" si="1"/>
        <v>LU.AU_ELC_WONCAP_M.2020</v>
      </c>
      <c r="Z28" t="s">
        <v>104</v>
      </c>
      <c r="AA28" t="s">
        <v>683</v>
      </c>
      <c r="AB28" t="s">
        <v>683</v>
      </c>
      <c r="AC28" t="s">
        <v>684</v>
      </c>
      <c r="AD28" t="s">
        <v>636</v>
      </c>
      <c r="AE28">
        <v>0.30831789999999998</v>
      </c>
      <c r="AF28">
        <v>0.61663579999999996</v>
      </c>
      <c r="AG28">
        <v>17.359652864000001</v>
      </c>
    </row>
    <row r="29" spans="2:33" x14ac:dyDescent="0.3">
      <c r="B29" s="10" t="s">
        <v>10</v>
      </c>
      <c r="C29" s="10" t="s">
        <v>9</v>
      </c>
      <c r="D29" s="28" t="s">
        <v>104</v>
      </c>
      <c r="E29" s="11" t="s">
        <v>630</v>
      </c>
      <c r="F29" s="10"/>
      <c r="G29" s="11">
        <f t="shared" si="3"/>
        <v>1.7374000000000001</v>
      </c>
      <c r="H29" s="11">
        <f>SUMIF($U$12:$U$50,$E29&amp;"."&amp;$J29&amp;"."&amp;H$1,$T$12:$T$50)</f>
        <v>2.9413999999999998</v>
      </c>
      <c r="I29" s="11"/>
      <c r="J29" s="10" t="s">
        <v>638</v>
      </c>
      <c r="K29" s="10"/>
      <c r="N29" t="s">
        <v>656</v>
      </c>
      <c r="T29">
        <f t="shared" si="2"/>
        <v>1E-3</v>
      </c>
      <c r="U29" t="str">
        <f t="shared" si="1"/>
        <v>Mt.AU_ELC_WONCAP_M.2020</v>
      </c>
      <c r="Z29" t="s">
        <v>104</v>
      </c>
      <c r="AA29" t="s">
        <v>683</v>
      </c>
      <c r="AB29" t="s">
        <v>683</v>
      </c>
      <c r="AC29" t="s">
        <v>684</v>
      </c>
      <c r="AD29" t="s">
        <v>689</v>
      </c>
      <c r="AE29">
        <v>0.18143124999999999</v>
      </c>
      <c r="AF29">
        <v>0.36286249999999998</v>
      </c>
      <c r="AG29">
        <v>40.376514764</v>
      </c>
    </row>
    <row r="30" spans="2:33" x14ac:dyDescent="0.3">
      <c r="B30" s="10" t="s">
        <v>10</v>
      </c>
      <c r="C30" s="10" t="s">
        <v>9</v>
      </c>
      <c r="D30" s="28" t="s">
        <v>104</v>
      </c>
      <c r="E30" s="11" t="s">
        <v>608</v>
      </c>
      <c r="F30" s="10"/>
      <c r="G30" s="11">
        <f t="shared" si="3"/>
        <v>4.9385000000000003</v>
      </c>
      <c r="H30" s="11"/>
      <c r="I30" s="11"/>
      <c r="J30" s="10" t="s">
        <v>638</v>
      </c>
      <c r="K30" s="10"/>
      <c r="N30" t="s">
        <v>657</v>
      </c>
      <c r="T30">
        <f t="shared" si="2"/>
        <v>1.7374000000000001</v>
      </c>
      <c r="U30" t="str">
        <f t="shared" si="1"/>
        <v>NO.AU_ELC_WONCAP_M.2020</v>
      </c>
      <c r="Z30" t="s">
        <v>104</v>
      </c>
      <c r="AA30" t="s">
        <v>683</v>
      </c>
      <c r="AB30" t="s">
        <v>683</v>
      </c>
      <c r="AC30" t="s">
        <v>684</v>
      </c>
      <c r="AD30" t="s">
        <v>565</v>
      </c>
      <c r="AE30">
        <v>2.28745055</v>
      </c>
      <c r="AF30">
        <v>4.5749010999999999</v>
      </c>
      <c r="AG30">
        <v>4.5749010999999999</v>
      </c>
    </row>
    <row r="31" spans="2:33" x14ac:dyDescent="0.3">
      <c r="B31" s="10" t="s">
        <v>10</v>
      </c>
      <c r="C31" s="10" t="s">
        <v>9</v>
      </c>
      <c r="D31" s="28" t="s">
        <v>104</v>
      </c>
      <c r="E31" s="11" t="s">
        <v>192</v>
      </c>
      <c r="F31" s="10"/>
      <c r="G31" s="37">
        <f>MAX(MID(N9,27,10)*1,0.01)</f>
        <v>0.01</v>
      </c>
      <c r="H31" s="11">
        <f>MAX(1,G31*3)</f>
        <v>1</v>
      </c>
      <c r="I31" s="11"/>
      <c r="J31" s="10" t="str">
        <f>MID(N9,4,15)</f>
        <v>AU_ELC_WONCAP_M</v>
      </c>
      <c r="K31" s="10"/>
      <c r="N31" t="s">
        <v>658</v>
      </c>
      <c r="T31">
        <f t="shared" si="2"/>
        <v>4.9385000000000003</v>
      </c>
      <c r="U31" t="str">
        <f>LEFT(N31,23)</f>
        <v>SE.AU_ELC_WONCAP_M.2020</v>
      </c>
      <c r="Z31" t="s">
        <v>104</v>
      </c>
      <c r="AA31" t="s">
        <v>683</v>
      </c>
      <c r="AB31" t="s">
        <v>683</v>
      </c>
      <c r="AC31" t="s">
        <v>684</v>
      </c>
      <c r="AD31" t="s">
        <v>558</v>
      </c>
    </row>
    <row r="32" spans="2:33" x14ac:dyDescent="0.3">
      <c r="B32" s="10"/>
      <c r="C32" s="10"/>
      <c r="D32" s="28" t="s">
        <v>122</v>
      </c>
      <c r="E32" s="11"/>
      <c r="F32" s="10"/>
      <c r="G32" s="11"/>
      <c r="H32" s="11"/>
      <c r="I32" s="11"/>
      <c r="J32" s="10"/>
      <c r="K32" s="10"/>
      <c r="N32" t="s">
        <v>122</v>
      </c>
      <c r="U32" t="str">
        <f t="shared" ref="U32:U41" si="4">LEFT(N32,26)</f>
        <v>*</v>
      </c>
      <c r="Z32" t="s">
        <v>104</v>
      </c>
      <c r="AA32" t="s">
        <v>683</v>
      </c>
      <c r="AB32" t="s">
        <v>683</v>
      </c>
      <c r="AC32" t="s">
        <v>684</v>
      </c>
      <c r="AD32" t="s">
        <v>690</v>
      </c>
      <c r="AE32">
        <v>5.8043699999999996</v>
      </c>
      <c r="AF32">
        <v>11.608739999999999</v>
      </c>
      <c r="AG32">
        <v>113.773009612</v>
      </c>
    </row>
    <row r="33" spans="2:33" x14ac:dyDescent="0.3">
      <c r="B33" s="10" t="s">
        <v>10</v>
      </c>
      <c r="C33" s="10" t="s">
        <v>9</v>
      </c>
      <c r="D33" s="28" t="s">
        <v>104</v>
      </c>
      <c r="E33" s="11" t="s">
        <v>630</v>
      </c>
      <c r="F33" s="10"/>
      <c r="G33" s="11">
        <f t="shared" ref="G33:I34" si="5">SUMIF($U$12:$U$50,$E33&amp;"."&amp;$J33&amp;"."&amp;G$1,$T$12:$T$50)</f>
        <v>1.1000000000000001</v>
      </c>
      <c r="H33" s="11">
        <f t="shared" si="5"/>
        <v>10.1</v>
      </c>
      <c r="I33" s="11">
        <f t="shared" si="5"/>
        <v>31</v>
      </c>
      <c r="J33" s="10" t="s">
        <v>674</v>
      </c>
      <c r="K33" s="10"/>
      <c r="N33" t="s">
        <v>659</v>
      </c>
      <c r="T33">
        <f t="shared" ref="T33:T40" si="6">RIGHT(N33,LEN(N33)-34)*1</f>
        <v>7.9600000000000004E-2</v>
      </c>
      <c r="U33" t="str">
        <f t="shared" ref="U33:U40" si="7">LEFT(N33,23)</f>
        <v>CH.AU_ELC_WONCAP_H.2030</v>
      </c>
      <c r="Z33" t="s">
        <v>104</v>
      </c>
      <c r="AA33" t="s">
        <v>683</v>
      </c>
      <c r="AB33" t="s">
        <v>683</v>
      </c>
      <c r="AC33" t="s">
        <v>684</v>
      </c>
      <c r="AD33" t="s">
        <v>691</v>
      </c>
    </row>
    <row r="34" spans="2:33" x14ac:dyDescent="0.3">
      <c r="B34" s="10" t="s">
        <v>10</v>
      </c>
      <c r="C34" s="10" t="s">
        <v>9</v>
      </c>
      <c r="D34" s="28" t="s">
        <v>104</v>
      </c>
      <c r="E34" s="11" t="s">
        <v>673</v>
      </c>
      <c r="F34" s="10"/>
      <c r="G34" s="11">
        <f t="shared" si="5"/>
        <v>0.1</v>
      </c>
      <c r="H34" s="11">
        <f t="shared" si="5"/>
        <v>0.5</v>
      </c>
      <c r="I34" s="11">
        <f t="shared" si="5"/>
        <v>3</v>
      </c>
      <c r="J34" s="10" t="s">
        <v>674</v>
      </c>
      <c r="K34" s="10"/>
      <c r="N34" t="s">
        <v>660</v>
      </c>
      <c r="T34">
        <f t="shared" si="6"/>
        <v>0.1166</v>
      </c>
      <c r="U34" t="str">
        <f t="shared" si="7"/>
        <v>LU.AU_ELC_WONCAP_H.2030</v>
      </c>
      <c r="Z34" t="s">
        <v>104</v>
      </c>
      <c r="AA34" t="s">
        <v>683</v>
      </c>
      <c r="AB34" t="s">
        <v>683</v>
      </c>
      <c r="AC34" t="s">
        <v>684</v>
      </c>
      <c r="AD34" t="s">
        <v>408</v>
      </c>
      <c r="AE34">
        <v>0.3327698</v>
      </c>
      <c r="AF34">
        <v>0.66553960000000001</v>
      </c>
      <c r="AG34">
        <v>17.064245524</v>
      </c>
    </row>
    <row r="35" spans="2:33" x14ac:dyDescent="0.3">
      <c r="N35" t="s">
        <v>661</v>
      </c>
      <c r="T35">
        <f t="shared" si="6"/>
        <v>1E-3</v>
      </c>
      <c r="U35" t="str">
        <f t="shared" si="7"/>
        <v>Mt.AU_ELC_WONCAP_H.2030</v>
      </c>
      <c r="Z35" t="s">
        <v>104</v>
      </c>
      <c r="AA35" t="s">
        <v>683</v>
      </c>
      <c r="AB35" t="s">
        <v>683</v>
      </c>
      <c r="AC35" t="s">
        <v>684</v>
      </c>
      <c r="AD35" t="s">
        <v>268</v>
      </c>
      <c r="AE35">
        <v>6.6000000000000003E-2</v>
      </c>
      <c r="AF35">
        <v>0.13200000000000001</v>
      </c>
      <c r="AG35">
        <v>0.69380672268907495</v>
      </c>
    </row>
    <row r="36" spans="2:33" x14ac:dyDescent="0.3">
      <c r="N36" t="s">
        <v>662</v>
      </c>
      <c r="T36">
        <f t="shared" si="6"/>
        <v>2.9413999999999998</v>
      </c>
      <c r="U36" t="str">
        <f t="shared" si="7"/>
        <v>NO.AU_ELC_WONCAP_H.2030</v>
      </c>
      <c r="Z36" t="s">
        <v>104</v>
      </c>
      <c r="AA36" t="s">
        <v>683</v>
      </c>
      <c r="AB36" t="s">
        <v>683</v>
      </c>
      <c r="AC36" t="s">
        <v>684</v>
      </c>
      <c r="AD36" t="s">
        <v>557</v>
      </c>
      <c r="AE36">
        <v>6.6000000000000003E-2</v>
      </c>
      <c r="AF36">
        <v>0.13200000000000001</v>
      </c>
      <c r="AG36">
        <v>19.396367647000002</v>
      </c>
    </row>
    <row r="37" spans="2:33" x14ac:dyDescent="0.3">
      <c r="N37" t="s">
        <v>663</v>
      </c>
      <c r="T37">
        <f t="shared" si="6"/>
        <v>7.9600000000000004E-2</v>
      </c>
      <c r="U37" t="str">
        <f t="shared" si="7"/>
        <v>CH.AU_ELC_WONCAP_M.2030</v>
      </c>
      <c r="Z37" t="s">
        <v>104</v>
      </c>
      <c r="AA37" t="s">
        <v>683</v>
      </c>
      <c r="AB37" t="s">
        <v>683</v>
      </c>
      <c r="AC37" t="s">
        <v>684</v>
      </c>
      <c r="AD37" t="s">
        <v>692</v>
      </c>
    </row>
    <row r="38" spans="2:33" x14ac:dyDescent="0.3">
      <c r="N38" t="s">
        <v>664</v>
      </c>
      <c r="T38">
        <f t="shared" si="6"/>
        <v>0.18260000000000001</v>
      </c>
      <c r="U38" t="str">
        <f t="shared" si="7"/>
        <v>LU.AU_ELC_WONCAP_M.2030</v>
      </c>
      <c r="Z38" t="s">
        <v>104</v>
      </c>
      <c r="AA38" t="s">
        <v>683</v>
      </c>
      <c r="AB38" t="s">
        <v>683</v>
      </c>
      <c r="AC38" t="s">
        <v>684</v>
      </c>
      <c r="AD38" t="s">
        <v>693</v>
      </c>
    </row>
    <row r="39" spans="2:33" x14ac:dyDescent="0.3">
      <c r="N39" t="s">
        <v>665</v>
      </c>
      <c r="T39">
        <f t="shared" si="6"/>
        <v>1E-3</v>
      </c>
      <c r="U39" t="str">
        <f t="shared" si="7"/>
        <v>Mt.AU_ELC_WONCAP_M.2030</v>
      </c>
      <c r="Z39" t="s">
        <v>104</v>
      </c>
      <c r="AA39" t="s">
        <v>683</v>
      </c>
      <c r="AB39" t="s">
        <v>683</v>
      </c>
      <c r="AC39" t="s">
        <v>684</v>
      </c>
      <c r="AD39" t="s">
        <v>551</v>
      </c>
      <c r="AE39">
        <v>0</v>
      </c>
      <c r="AF39">
        <v>0</v>
      </c>
      <c r="AG39">
        <v>0</v>
      </c>
    </row>
    <row r="40" spans="2:33" x14ac:dyDescent="0.3">
      <c r="N40" t="s">
        <v>666</v>
      </c>
      <c r="T40">
        <f t="shared" si="6"/>
        <v>2.9413999999999998</v>
      </c>
      <c r="U40" t="str">
        <f t="shared" si="7"/>
        <v>NO.AU_ELC_WONCAP_M.2030</v>
      </c>
      <c r="Z40" t="s">
        <v>104</v>
      </c>
      <c r="AA40" t="s">
        <v>683</v>
      </c>
      <c r="AB40" t="s">
        <v>683</v>
      </c>
      <c r="AC40" t="s">
        <v>684</v>
      </c>
      <c r="AD40" t="s">
        <v>261</v>
      </c>
      <c r="AE40">
        <v>2.5579619999999998</v>
      </c>
      <c r="AF40">
        <v>5.1159239999999997</v>
      </c>
      <c r="AG40">
        <v>5.5288740809999997</v>
      </c>
    </row>
    <row r="41" spans="2:33" x14ac:dyDescent="0.3">
      <c r="N41" t="s">
        <v>122</v>
      </c>
      <c r="U41" t="str">
        <f t="shared" si="4"/>
        <v>*</v>
      </c>
      <c r="Z41" t="s">
        <v>104</v>
      </c>
      <c r="AA41" t="s">
        <v>683</v>
      </c>
      <c r="AB41" t="s">
        <v>683</v>
      </c>
      <c r="AC41" t="s">
        <v>684</v>
      </c>
      <c r="AD41" t="s">
        <v>630</v>
      </c>
      <c r="AE41">
        <v>0.60499999999999998</v>
      </c>
      <c r="AF41">
        <v>1.21</v>
      </c>
      <c r="AG41">
        <v>10</v>
      </c>
    </row>
    <row r="42" spans="2:33" x14ac:dyDescent="0.3">
      <c r="N42" t="s">
        <v>667</v>
      </c>
      <c r="T42">
        <f t="shared" ref="T42:T47" si="8">RIGHT(N42,LEN(N42)-34)*1</f>
        <v>1.1000000000000001</v>
      </c>
      <c r="U42" t="str">
        <f t="shared" ref="U42:U47" si="9">LEFT(N42,23)</f>
        <v>NO.AU_ELC_WOFCAP_H.2020</v>
      </c>
      <c r="Z42" t="s">
        <v>104</v>
      </c>
      <c r="AA42" t="s">
        <v>683</v>
      </c>
      <c r="AB42" t="s">
        <v>683</v>
      </c>
      <c r="AC42" t="s">
        <v>684</v>
      </c>
      <c r="AD42" t="s">
        <v>627</v>
      </c>
      <c r="AE42">
        <v>3.6428479999999999</v>
      </c>
      <c r="AF42">
        <v>7.2856959999999997</v>
      </c>
      <c r="AG42">
        <v>22.776481781000001</v>
      </c>
    </row>
    <row r="43" spans="2:33" x14ac:dyDescent="0.3">
      <c r="N43" t="s">
        <v>668</v>
      </c>
      <c r="T43">
        <f t="shared" si="8"/>
        <v>10.1</v>
      </c>
      <c r="U43" t="str">
        <f t="shared" si="9"/>
        <v>NO.AU_ELC_WOFCAP_H.2030</v>
      </c>
      <c r="Z43" t="s">
        <v>104</v>
      </c>
      <c r="AA43" t="s">
        <v>683</v>
      </c>
      <c r="AB43" t="s">
        <v>683</v>
      </c>
      <c r="AC43" t="s">
        <v>684</v>
      </c>
      <c r="AD43" t="s">
        <v>673</v>
      </c>
      <c r="AE43">
        <v>2.9206650000000001</v>
      </c>
      <c r="AF43">
        <v>5.8413300000000001</v>
      </c>
      <c r="AG43">
        <v>34.029316010000002</v>
      </c>
    </row>
    <row r="44" spans="2:33" x14ac:dyDescent="0.3">
      <c r="N44" t="s">
        <v>669</v>
      </c>
      <c r="T44">
        <f t="shared" si="8"/>
        <v>31</v>
      </c>
      <c r="U44" t="str">
        <f t="shared" si="9"/>
        <v>NO.AU_ELC_WOFCAP_H.2050</v>
      </c>
      <c r="Z44" t="s">
        <v>104</v>
      </c>
      <c r="AA44" t="s">
        <v>683</v>
      </c>
      <c r="AB44" t="s">
        <v>683</v>
      </c>
      <c r="AC44" t="s">
        <v>684</v>
      </c>
      <c r="AD44" t="s">
        <v>190</v>
      </c>
      <c r="AE44">
        <v>1.81555</v>
      </c>
      <c r="AF44">
        <v>3.6311</v>
      </c>
      <c r="AG44">
        <v>139.65842273000001</v>
      </c>
    </row>
    <row r="45" spans="2:33" x14ac:dyDescent="0.3">
      <c r="N45" t="s">
        <v>670</v>
      </c>
      <c r="T45">
        <f t="shared" si="8"/>
        <v>0.1</v>
      </c>
      <c r="U45" t="str">
        <f t="shared" si="9"/>
        <v>PT.AU_ELC_WOFCAP_H.2020</v>
      </c>
      <c r="Z45" t="s">
        <v>104</v>
      </c>
      <c r="AA45" t="s">
        <v>683</v>
      </c>
      <c r="AB45" t="s">
        <v>683</v>
      </c>
      <c r="AC45" t="s">
        <v>684</v>
      </c>
      <c r="AD45" t="s">
        <v>694</v>
      </c>
    </row>
    <row r="46" spans="2:33" x14ac:dyDescent="0.3">
      <c r="N46" t="s">
        <v>671</v>
      </c>
      <c r="T46">
        <f t="shared" si="8"/>
        <v>0.5</v>
      </c>
      <c r="U46" t="str">
        <f t="shared" si="9"/>
        <v>PT.AU_ELC_WOFCAP_H.2030</v>
      </c>
      <c r="Z46" t="s">
        <v>104</v>
      </c>
      <c r="AA46" t="s">
        <v>683</v>
      </c>
      <c r="AB46" t="s">
        <v>683</v>
      </c>
      <c r="AC46" t="s">
        <v>684</v>
      </c>
      <c r="AD46" t="s">
        <v>608</v>
      </c>
      <c r="AE46">
        <v>4.3819600000000003</v>
      </c>
      <c r="AF46">
        <v>8.7639200000000006</v>
      </c>
      <c r="AG46">
        <v>24.103476472000001</v>
      </c>
    </row>
    <row r="47" spans="2:33" x14ac:dyDescent="0.3">
      <c r="N47" t="s">
        <v>672</v>
      </c>
      <c r="T47">
        <f t="shared" si="8"/>
        <v>3</v>
      </c>
      <c r="U47" t="str">
        <f t="shared" si="9"/>
        <v>PT.AU_ELC_WOFCAP_H.2050</v>
      </c>
      <c r="Z47" t="s">
        <v>104</v>
      </c>
      <c r="AA47" t="s">
        <v>683</v>
      </c>
      <c r="AB47" t="s">
        <v>683</v>
      </c>
      <c r="AC47" t="s">
        <v>684</v>
      </c>
      <c r="AD47" t="s">
        <v>377</v>
      </c>
      <c r="AE47">
        <v>4.0150000000000003E-3</v>
      </c>
      <c r="AF47">
        <v>8.0300000000000007E-3</v>
      </c>
      <c r="AG47">
        <v>2.0578955589999999</v>
      </c>
    </row>
    <row r="48" spans="2:33" x14ac:dyDescent="0.3">
      <c r="Z48" t="s">
        <v>104</v>
      </c>
      <c r="AA48" t="s">
        <v>683</v>
      </c>
      <c r="AB48" t="s">
        <v>683</v>
      </c>
      <c r="AC48" t="s">
        <v>684</v>
      </c>
      <c r="AD48" t="s">
        <v>192</v>
      </c>
      <c r="AE48">
        <v>1.9250000000000001E-3</v>
      </c>
      <c r="AF48">
        <v>3.8500000000000001E-3</v>
      </c>
      <c r="AG48">
        <v>15.124249636</v>
      </c>
    </row>
    <row r="49" spans="26:33" x14ac:dyDescent="0.3">
      <c r="Z49" t="s">
        <v>104</v>
      </c>
      <c r="AA49" t="s">
        <v>683</v>
      </c>
      <c r="AB49" t="s">
        <v>683</v>
      </c>
      <c r="AC49" t="s">
        <v>684</v>
      </c>
      <c r="AD49" t="s">
        <v>695</v>
      </c>
      <c r="AE49">
        <v>7.6067530000000003</v>
      </c>
      <c r="AF49">
        <v>9.8081817789999999</v>
      </c>
      <c r="AG49">
        <v>9.8081817789999999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W47"/>
  <sheetViews>
    <sheetView workbookViewId="0"/>
  </sheetViews>
  <sheetFormatPr defaultRowHeight="14.4" x14ac:dyDescent="0.3"/>
  <cols>
    <col min="4" max="4" width="12.109375" customWidth="1"/>
  </cols>
  <sheetData>
    <row r="1" spans="2:17" x14ac:dyDescent="0.3">
      <c r="Q1" t="s">
        <v>362</v>
      </c>
    </row>
    <row r="2" spans="2:17" x14ac:dyDescent="0.3">
      <c r="Q2" t="s">
        <v>363</v>
      </c>
    </row>
    <row r="3" spans="2:17" x14ac:dyDescent="0.3">
      <c r="B3" s="7" t="s">
        <v>361</v>
      </c>
      <c r="Q3" t="s">
        <v>172</v>
      </c>
    </row>
    <row r="4" spans="2:17" x14ac:dyDescent="0.3">
      <c r="B4" s="1" t="s">
        <v>0</v>
      </c>
      <c r="C4" s="1" t="s">
        <v>1</v>
      </c>
      <c r="D4" s="1" t="s">
        <v>2</v>
      </c>
      <c r="E4" s="1" t="s">
        <v>188</v>
      </c>
      <c r="F4" s="12">
        <v>2015</v>
      </c>
      <c r="G4" s="12">
        <v>2020</v>
      </c>
      <c r="H4" s="12">
        <v>2030</v>
      </c>
      <c r="I4" s="12">
        <v>2040</v>
      </c>
      <c r="J4" s="12">
        <v>2050</v>
      </c>
      <c r="K4" s="1" t="s">
        <v>6</v>
      </c>
      <c r="L4" s="1" t="s">
        <v>5</v>
      </c>
      <c r="M4" s="1" t="s">
        <v>58</v>
      </c>
      <c r="N4" s="1" t="s">
        <v>550</v>
      </c>
      <c r="O4" s="1" t="s">
        <v>631</v>
      </c>
      <c r="Q4" t="s">
        <v>262</v>
      </c>
    </row>
    <row r="5" spans="2:17" x14ac:dyDescent="0.3">
      <c r="B5" s="38" t="s">
        <v>10</v>
      </c>
      <c r="C5" s="39" t="s">
        <v>9</v>
      </c>
      <c r="D5" s="38" t="s">
        <v>7</v>
      </c>
      <c r="E5" s="39" t="s">
        <v>268</v>
      </c>
      <c r="F5" s="39">
        <v>0.55000000000000004</v>
      </c>
      <c r="G5" s="39">
        <v>0.4</v>
      </c>
      <c r="H5" s="39">
        <v>0.4</v>
      </c>
      <c r="I5" s="39">
        <v>0.4</v>
      </c>
      <c r="J5" s="39">
        <v>0.4</v>
      </c>
      <c r="K5" s="38" t="s">
        <v>269</v>
      </c>
      <c r="L5" s="38"/>
      <c r="M5" s="38"/>
      <c r="N5" s="38"/>
      <c r="O5" s="38"/>
      <c r="Q5" t="s">
        <v>364</v>
      </c>
    </row>
    <row r="6" spans="2:17" x14ac:dyDescent="0.3">
      <c r="B6" s="38" t="s">
        <v>10</v>
      </c>
      <c r="C6" s="39" t="s">
        <v>9</v>
      </c>
      <c r="D6" s="38" t="s">
        <v>376</v>
      </c>
      <c r="E6" s="39" t="str">
        <f t="shared" ref="E6:E16" si="0">MID($Q6,2,2)</f>
        <v>FR</v>
      </c>
      <c r="F6" s="39">
        <f t="shared" ref="F6:F16" si="1">MID($Q6,41,7)*1</f>
        <v>33.483600000000003</v>
      </c>
      <c r="G6" s="38"/>
      <c r="H6" s="38"/>
      <c r="I6" s="38"/>
      <c r="J6" s="38"/>
      <c r="K6" s="38" t="str">
        <f>MID($Q6,12,8)</f>
        <v>COMHTH00</v>
      </c>
      <c r="L6" s="38"/>
      <c r="M6" s="38" t="str">
        <f t="shared" ref="M6:M16" si="2">MID($Q6,23,6)</f>
        <v>HETHTH</v>
      </c>
      <c r="N6" s="38"/>
      <c r="O6" s="38"/>
      <c r="Q6" t="s">
        <v>365</v>
      </c>
    </row>
    <row r="7" spans="2:17" x14ac:dyDescent="0.3">
      <c r="B7" s="38" t="s">
        <v>10</v>
      </c>
      <c r="C7" s="39" t="s">
        <v>9</v>
      </c>
      <c r="D7" s="38" t="s">
        <v>376</v>
      </c>
      <c r="E7" s="39" t="str">
        <f t="shared" si="0"/>
        <v>IS</v>
      </c>
      <c r="F7" s="39">
        <f t="shared" si="1"/>
        <v>10.644500000000001</v>
      </c>
      <c r="G7" s="38"/>
      <c r="H7" s="38"/>
      <c r="I7" s="38"/>
      <c r="J7" s="38"/>
      <c r="K7" s="38" t="str">
        <f t="shared" ref="K7:K16" si="3">MID(Q7,12,8)</f>
        <v>COMHTH00</v>
      </c>
      <c r="L7" s="38"/>
      <c r="M7" s="38" t="str">
        <f t="shared" si="2"/>
        <v>HETHTH</v>
      </c>
      <c r="N7" s="38"/>
      <c r="O7" s="38"/>
      <c r="Q7" t="s">
        <v>366</v>
      </c>
    </row>
    <row r="8" spans="2:17" x14ac:dyDescent="0.3">
      <c r="B8" s="38" t="s">
        <v>10</v>
      </c>
      <c r="C8" s="39" t="s">
        <v>9</v>
      </c>
      <c r="D8" s="38" t="s">
        <v>376</v>
      </c>
      <c r="E8" s="39" t="str">
        <f t="shared" si="0"/>
        <v>MT</v>
      </c>
      <c r="F8" s="39">
        <f t="shared" si="1"/>
        <v>0.5</v>
      </c>
      <c r="G8" s="38"/>
      <c r="H8" s="38"/>
      <c r="I8" s="38"/>
      <c r="J8" s="38"/>
      <c r="K8" s="38" t="str">
        <f t="shared" si="3"/>
        <v>COMHTH00</v>
      </c>
      <c r="L8" s="38"/>
      <c r="M8" s="38" t="str">
        <f t="shared" si="2"/>
        <v>HETHTH</v>
      </c>
      <c r="N8" s="38"/>
      <c r="O8" s="38"/>
      <c r="Q8" t="s">
        <v>367</v>
      </c>
    </row>
    <row r="9" spans="2:17" x14ac:dyDescent="0.3">
      <c r="B9" s="38" t="s">
        <v>10</v>
      </c>
      <c r="C9" s="39" t="s">
        <v>9</v>
      </c>
      <c r="D9" s="38" t="s">
        <v>376</v>
      </c>
      <c r="E9" s="39" t="str">
        <f t="shared" si="0"/>
        <v>NO</v>
      </c>
      <c r="F9" s="39">
        <f t="shared" si="1"/>
        <v>12</v>
      </c>
      <c r="G9" s="38"/>
      <c r="H9" s="38"/>
      <c r="I9" s="38"/>
      <c r="J9" s="38"/>
      <c r="K9" s="38" t="str">
        <f t="shared" si="3"/>
        <v>COMHTH00</v>
      </c>
      <c r="L9" s="38"/>
      <c r="M9" s="38" t="str">
        <f t="shared" si="2"/>
        <v>HETHTH</v>
      </c>
      <c r="N9" s="38"/>
      <c r="O9" s="38"/>
      <c r="Q9" t="s">
        <v>368</v>
      </c>
    </row>
    <row r="10" spans="2:17" x14ac:dyDescent="0.3">
      <c r="B10" s="38" t="s">
        <v>10</v>
      </c>
      <c r="C10" s="39" t="s">
        <v>9</v>
      </c>
      <c r="D10" s="38" t="s">
        <v>376</v>
      </c>
      <c r="E10" s="39" t="str">
        <f t="shared" si="0"/>
        <v>PT</v>
      </c>
      <c r="F10" s="39">
        <f t="shared" si="1"/>
        <v>1.1000000000000001</v>
      </c>
      <c r="G10" s="38"/>
      <c r="H10" s="38"/>
      <c r="I10" s="38"/>
      <c r="J10" s="38"/>
      <c r="K10" s="38" t="str">
        <f t="shared" si="3"/>
        <v>COMHTH00</v>
      </c>
      <c r="L10" s="38"/>
      <c r="M10" s="38" t="str">
        <f t="shared" si="2"/>
        <v>HETHTH</v>
      </c>
      <c r="N10" s="38"/>
      <c r="O10" s="38"/>
      <c r="Q10" t="s">
        <v>369</v>
      </c>
    </row>
    <row r="11" spans="2:17" x14ac:dyDescent="0.3">
      <c r="B11" s="38" t="s">
        <v>10</v>
      </c>
      <c r="C11" s="39" t="s">
        <v>9</v>
      </c>
      <c r="D11" s="38" t="s">
        <v>376</v>
      </c>
      <c r="E11" s="39" t="str">
        <f t="shared" si="0"/>
        <v>SI</v>
      </c>
      <c r="F11" s="39">
        <f t="shared" si="1"/>
        <v>2</v>
      </c>
      <c r="G11" s="38"/>
      <c r="H11" s="38"/>
      <c r="I11" s="38"/>
      <c r="J11" s="38"/>
      <c r="K11" s="38" t="str">
        <f t="shared" si="3"/>
        <v>COMHTH00</v>
      </c>
      <c r="L11" s="38"/>
      <c r="M11" s="38" t="str">
        <f t="shared" si="2"/>
        <v>HETHTH</v>
      </c>
      <c r="N11" s="38"/>
      <c r="O11" s="38"/>
      <c r="Q11" t="s">
        <v>370</v>
      </c>
    </row>
    <row r="12" spans="2:17" x14ac:dyDescent="0.3">
      <c r="B12" s="38" t="s">
        <v>10</v>
      </c>
      <c r="C12" s="39" t="s">
        <v>9</v>
      </c>
      <c r="D12" s="38" t="s">
        <v>376</v>
      </c>
      <c r="E12" s="39" t="str">
        <f t="shared" si="0"/>
        <v>DE</v>
      </c>
      <c r="F12" s="39">
        <f t="shared" si="1"/>
        <v>162</v>
      </c>
      <c r="G12" s="38"/>
      <c r="H12" s="38"/>
      <c r="I12" s="38"/>
      <c r="J12" s="38"/>
      <c r="K12" s="38" t="str">
        <f t="shared" si="3"/>
        <v>RSDHET00</v>
      </c>
      <c r="L12" s="38"/>
      <c r="M12" s="38" t="str">
        <f t="shared" si="2"/>
        <v>HETHTH</v>
      </c>
      <c r="N12" s="38"/>
      <c r="O12" s="38"/>
      <c r="Q12" t="s">
        <v>371</v>
      </c>
    </row>
    <row r="13" spans="2:17" x14ac:dyDescent="0.3">
      <c r="B13" s="38" t="s">
        <v>10</v>
      </c>
      <c r="C13" s="39" t="s">
        <v>9</v>
      </c>
      <c r="D13" s="38" t="s">
        <v>376</v>
      </c>
      <c r="E13" s="39" t="str">
        <f t="shared" si="0"/>
        <v>FR</v>
      </c>
      <c r="F13" s="39">
        <f t="shared" si="1"/>
        <v>55</v>
      </c>
      <c r="G13" s="38"/>
      <c r="H13" s="38"/>
      <c r="I13" s="38"/>
      <c r="J13" s="38"/>
      <c r="K13" s="38" t="str">
        <f t="shared" si="3"/>
        <v>RSDHET00</v>
      </c>
      <c r="L13" s="38"/>
      <c r="M13" s="38" t="str">
        <f t="shared" si="2"/>
        <v>HETHTH</v>
      </c>
      <c r="N13" s="38"/>
      <c r="O13" s="38"/>
      <c r="Q13" t="s">
        <v>372</v>
      </c>
    </row>
    <row r="14" spans="2:17" x14ac:dyDescent="0.3">
      <c r="B14" s="38" t="s">
        <v>10</v>
      </c>
      <c r="C14" s="39" t="s">
        <v>9</v>
      </c>
      <c r="D14" s="38" t="s">
        <v>376</v>
      </c>
      <c r="E14" s="39" t="str">
        <f t="shared" si="0"/>
        <v>IT</v>
      </c>
      <c r="F14" s="39">
        <f t="shared" si="1"/>
        <v>36.200000000000003</v>
      </c>
      <c r="G14" s="38"/>
      <c r="H14" s="38"/>
      <c r="I14" s="38"/>
      <c r="J14" s="38"/>
      <c r="K14" s="38" t="str">
        <f t="shared" si="3"/>
        <v>RSDHET00</v>
      </c>
      <c r="L14" s="38"/>
      <c r="M14" s="38" t="str">
        <f t="shared" si="2"/>
        <v>HETHTH</v>
      </c>
      <c r="N14" s="38"/>
      <c r="O14" s="38"/>
      <c r="Q14" t="s">
        <v>373</v>
      </c>
    </row>
    <row r="15" spans="2:17" x14ac:dyDescent="0.3">
      <c r="B15" s="38" t="s">
        <v>10</v>
      </c>
      <c r="C15" s="39" t="s">
        <v>9</v>
      </c>
      <c r="D15" s="38" t="s">
        <v>376</v>
      </c>
      <c r="E15" s="39" t="str">
        <f t="shared" si="0"/>
        <v>NL</v>
      </c>
      <c r="F15" s="39">
        <f t="shared" si="1"/>
        <v>12</v>
      </c>
      <c r="G15" s="38"/>
      <c r="H15" s="38"/>
      <c r="I15" s="38"/>
      <c r="J15" s="38"/>
      <c r="K15" s="38" t="str">
        <f t="shared" si="3"/>
        <v>RSDHET00</v>
      </c>
      <c r="L15" s="38"/>
      <c r="M15" s="38" t="str">
        <f t="shared" si="2"/>
        <v>HETHTH</v>
      </c>
      <c r="N15" s="38"/>
      <c r="O15" s="38"/>
      <c r="Q15" t="s">
        <v>374</v>
      </c>
    </row>
    <row r="16" spans="2:17" x14ac:dyDescent="0.3">
      <c r="B16" s="38" t="s">
        <v>10</v>
      </c>
      <c r="C16" s="39" t="s">
        <v>9</v>
      </c>
      <c r="D16" s="38" t="s">
        <v>376</v>
      </c>
      <c r="E16" s="39" t="str">
        <f t="shared" si="0"/>
        <v>SI</v>
      </c>
      <c r="F16" s="39">
        <f t="shared" si="1"/>
        <v>3.5</v>
      </c>
      <c r="G16" s="38"/>
      <c r="H16" s="38"/>
      <c r="I16" s="38"/>
      <c r="J16" s="38"/>
      <c r="K16" s="38" t="str">
        <f t="shared" si="3"/>
        <v>RSDHET00</v>
      </c>
      <c r="L16" s="38"/>
      <c r="M16" s="38" t="str">
        <f t="shared" si="2"/>
        <v>HETHTH</v>
      </c>
      <c r="N16" s="38"/>
      <c r="O16" s="38"/>
      <c r="Q16" t="s">
        <v>375</v>
      </c>
    </row>
    <row r="17" spans="2:21" x14ac:dyDescent="0.3">
      <c r="B17" s="38" t="s">
        <v>10</v>
      </c>
      <c r="C17" s="39" t="s">
        <v>9</v>
      </c>
      <c r="D17" s="38" t="s">
        <v>556</v>
      </c>
      <c r="E17" s="39" t="s">
        <v>551</v>
      </c>
      <c r="F17" s="39">
        <v>3.5</v>
      </c>
      <c r="G17" s="38"/>
      <c r="H17" s="38"/>
      <c r="I17" s="38"/>
      <c r="J17" s="38"/>
      <c r="K17" s="38"/>
      <c r="L17" s="38"/>
      <c r="M17" s="38" t="s">
        <v>559</v>
      </c>
      <c r="N17" s="38"/>
      <c r="O17" s="38"/>
      <c r="Q17" t="s">
        <v>172</v>
      </c>
    </row>
    <row r="18" spans="2:21" x14ac:dyDescent="0.3">
      <c r="B18" s="38" t="s">
        <v>10</v>
      </c>
      <c r="C18" s="39" t="s">
        <v>9</v>
      </c>
      <c r="D18" s="38" t="s">
        <v>556</v>
      </c>
      <c r="E18" s="39" t="s">
        <v>551</v>
      </c>
      <c r="F18" s="39">
        <v>20</v>
      </c>
      <c r="G18" s="38"/>
      <c r="H18" s="38"/>
      <c r="I18" s="38"/>
      <c r="J18" s="38"/>
      <c r="K18" s="38"/>
      <c r="L18" s="38"/>
      <c r="M18" s="38" t="s">
        <v>560</v>
      </c>
      <c r="N18" s="38"/>
      <c r="O18" s="38"/>
      <c r="Q18" t="s">
        <v>479</v>
      </c>
    </row>
    <row r="19" spans="2:21" x14ac:dyDescent="0.3">
      <c r="B19" s="38" t="s">
        <v>10</v>
      </c>
      <c r="C19" s="39" t="s">
        <v>9</v>
      </c>
      <c r="D19" s="38" t="s">
        <v>556</v>
      </c>
      <c r="E19" s="39" t="s">
        <v>300</v>
      </c>
      <c r="F19" s="39">
        <v>1</v>
      </c>
      <c r="G19" s="38"/>
      <c r="H19" s="39">
        <v>1</v>
      </c>
      <c r="I19" s="38"/>
      <c r="J19" s="38"/>
      <c r="K19" s="38"/>
      <c r="L19" s="38"/>
      <c r="M19" s="38" t="s">
        <v>561</v>
      </c>
      <c r="N19" s="38"/>
      <c r="O19" s="38"/>
      <c r="Q19" t="s">
        <v>480</v>
      </c>
      <c r="U19" t="s">
        <v>480</v>
      </c>
    </row>
    <row r="20" spans="2:21" x14ac:dyDescent="0.3">
      <c r="B20" s="38" t="s">
        <v>10</v>
      </c>
      <c r="C20" s="39" t="s">
        <v>9</v>
      </c>
      <c r="D20" s="38" t="s">
        <v>556</v>
      </c>
      <c r="E20" s="39" t="s">
        <v>558</v>
      </c>
      <c r="F20" s="39">
        <v>1</v>
      </c>
      <c r="G20" s="38"/>
      <c r="H20" s="39">
        <v>1</v>
      </c>
      <c r="I20" s="38"/>
      <c r="J20" s="38"/>
      <c r="K20" s="38"/>
      <c r="L20" s="38"/>
      <c r="M20" s="38" t="s">
        <v>561</v>
      </c>
      <c r="N20" s="38"/>
      <c r="O20" s="38"/>
      <c r="Q20" t="s">
        <v>481</v>
      </c>
      <c r="U20" t="s">
        <v>534</v>
      </c>
    </row>
    <row r="21" spans="2:21" x14ac:dyDescent="0.3">
      <c r="B21" s="38" t="s">
        <v>10</v>
      </c>
      <c r="C21" s="39" t="s">
        <v>9</v>
      </c>
      <c r="D21" s="38" t="s">
        <v>556</v>
      </c>
      <c r="E21" s="39" t="s">
        <v>557</v>
      </c>
      <c r="F21" s="39">
        <v>8.3000000000000007</v>
      </c>
      <c r="G21" s="38"/>
      <c r="H21" s="38"/>
      <c r="I21" s="38"/>
      <c r="J21" s="38"/>
      <c r="K21" s="38"/>
      <c r="L21" s="38"/>
      <c r="M21" s="38" t="s">
        <v>561</v>
      </c>
      <c r="N21" s="38"/>
      <c r="O21" s="38"/>
      <c r="Q21" t="s">
        <v>482</v>
      </c>
      <c r="U21" t="s">
        <v>535</v>
      </c>
    </row>
    <row r="22" spans="2:21" x14ac:dyDescent="0.3">
      <c r="B22" s="38"/>
      <c r="C22" s="39" t="s">
        <v>121</v>
      </c>
      <c r="D22" s="38" t="s">
        <v>562</v>
      </c>
      <c r="E22" s="39" t="s">
        <v>190</v>
      </c>
      <c r="F22" s="39">
        <v>1.4</v>
      </c>
      <c r="G22" s="39">
        <v>1.4</v>
      </c>
      <c r="H22" s="39"/>
      <c r="I22" s="38"/>
      <c r="J22" s="38"/>
      <c r="K22" s="38" t="str">
        <f>MID(Q26,19,18)</f>
        <v>TB_ELCHIG_HU_RO_01</v>
      </c>
      <c r="L22" s="38"/>
      <c r="M22" s="38"/>
      <c r="N22" s="39"/>
      <c r="O22" s="38"/>
      <c r="Q22" t="s">
        <v>483</v>
      </c>
      <c r="U22" t="s">
        <v>172</v>
      </c>
    </row>
    <row r="23" spans="2:21" x14ac:dyDescent="0.3">
      <c r="B23" s="38"/>
      <c r="C23" s="39" t="s">
        <v>9</v>
      </c>
      <c r="D23" s="38" t="s">
        <v>562</v>
      </c>
      <c r="E23" s="39" t="s">
        <v>190</v>
      </c>
      <c r="F23" s="39">
        <v>1.4</v>
      </c>
      <c r="G23" s="39">
        <v>1.4</v>
      </c>
      <c r="H23" s="39">
        <v>1.4</v>
      </c>
      <c r="I23" s="38"/>
      <c r="J23" s="38"/>
      <c r="K23" s="38" t="str">
        <f>K22</f>
        <v>TB_ELCHIG_HU_RO_01</v>
      </c>
      <c r="L23" s="38"/>
      <c r="M23" s="38"/>
      <c r="N23" s="39">
        <v>0</v>
      </c>
      <c r="O23" s="38"/>
      <c r="Q23" t="s">
        <v>484</v>
      </c>
    </row>
    <row r="24" spans="2:21" x14ac:dyDescent="0.3">
      <c r="B24" s="38" t="s">
        <v>10</v>
      </c>
      <c r="C24" s="39" t="s">
        <v>123</v>
      </c>
      <c r="D24" s="38" t="s">
        <v>563</v>
      </c>
      <c r="E24" s="39" t="s">
        <v>192</v>
      </c>
      <c r="F24" s="39"/>
      <c r="G24" s="40">
        <v>0</v>
      </c>
      <c r="H24" s="39">
        <v>0</v>
      </c>
      <c r="I24" s="38"/>
      <c r="J24" s="38"/>
      <c r="K24" s="38" t="str">
        <f>MID(Q29,12,10)</f>
        <v>IOIOTH-NRG</v>
      </c>
      <c r="L24" s="38"/>
      <c r="M24" s="38" t="s">
        <v>564</v>
      </c>
      <c r="N24" s="38"/>
      <c r="O24" s="38"/>
      <c r="Q24" t="s">
        <v>485</v>
      </c>
    </row>
    <row r="25" spans="2:21" x14ac:dyDescent="0.3">
      <c r="B25" s="38" t="s">
        <v>10</v>
      </c>
      <c r="C25" s="38"/>
      <c r="D25" s="38" t="s">
        <v>633</v>
      </c>
      <c r="E25" s="39" t="s">
        <v>630</v>
      </c>
      <c r="F25" s="39"/>
      <c r="G25" s="39"/>
      <c r="H25" s="40">
        <f>J25*2.5</f>
        <v>-487.5</v>
      </c>
      <c r="I25" s="38"/>
      <c r="J25" s="39">
        <v>-195</v>
      </c>
      <c r="K25" s="38" t="s">
        <v>628</v>
      </c>
      <c r="L25" s="38"/>
      <c r="M25" s="38" t="s">
        <v>629</v>
      </c>
      <c r="N25" s="38"/>
      <c r="O25" s="38" t="s">
        <v>632</v>
      </c>
      <c r="Q25" t="s">
        <v>172</v>
      </c>
    </row>
    <row r="26" spans="2:21" x14ac:dyDescent="0.3">
      <c r="Q26" t="s">
        <v>493</v>
      </c>
    </row>
    <row r="27" spans="2:21" x14ac:dyDescent="0.3">
      <c r="Q27" t="s">
        <v>494</v>
      </c>
    </row>
    <row r="28" spans="2:21" x14ac:dyDescent="0.3">
      <c r="B28" s="7" t="s">
        <v>124</v>
      </c>
      <c r="Q28" t="s">
        <v>525</v>
      </c>
    </row>
    <row r="29" spans="2:21" x14ac:dyDescent="0.3">
      <c r="B29" s="1" t="s">
        <v>0</v>
      </c>
      <c r="C29" s="1" t="s">
        <v>1</v>
      </c>
      <c r="D29" s="1" t="s">
        <v>2</v>
      </c>
      <c r="E29" s="6" t="s">
        <v>3</v>
      </c>
      <c r="F29" s="6" t="s">
        <v>125</v>
      </c>
      <c r="G29" s="12" t="s">
        <v>551</v>
      </c>
      <c r="H29" s="2" t="s">
        <v>4</v>
      </c>
      <c r="I29" s="1" t="s">
        <v>569</v>
      </c>
      <c r="J29" s="1" t="s">
        <v>6</v>
      </c>
      <c r="K29" s="1" t="s">
        <v>5</v>
      </c>
      <c r="L29" s="1" t="s">
        <v>58</v>
      </c>
      <c r="M29" s="1" t="s">
        <v>59</v>
      </c>
      <c r="N29" s="1" t="s">
        <v>102</v>
      </c>
      <c r="Q29" t="s">
        <v>526</v>
      </c>
    </row>
    <row r="30" spans="2:21" x14ac:dyDescent="0.3">
      <c r="B30" s="38" t="s">
        <v>10</v>
      </c>
      <c r="C30" s="38"/>
      <c r="D30" s="38" t="s">
        <v>552</v>
      </c>
      <c r="E30" s="39">
        <v>2015</v>
      </c>
      <c r="F30" s="39">
        <v>2015</v>
      </c>
      <c r="G30" s="38"/>
      <c r="H30" s="39" t="str">
        <f>"*"&amp;$R$37</f>
        <v>*1.75</v>
      </c>
      <c r="I30" s="38"/>
      <c r="J30" s="38" t="s">
        <v>553</v>
      </c>
      <c r="K30" s="38"/>
      <c r="L30" s="38" t="s">
        <v>273</v>
      </c>
      <c r="M30" s="38"/>
      <c r="N30" s="38" t="s">
        <v>436</v>
      </c>
      <c r="Q30" t="s">
        <v>172</v>
      </c>
    </row>
    <row r="31" spans="2:21" x14ac:dyDescent="0.3">
      <c r="B31" s="38" t="s">
        <v>10</v>
      </c>
      <c r="C31" s="38"/>
      <c r="D31" s="38" t="s">
        <v>255</v>
      </c>
      <c r="E31" s="39">
        <v>2015</v>
      </c>
      <c r="F31" s="39">
        <v>2015</v>
      </c>
      <c r="G31" s="39" t="str">
        <f>"*.556"</f>
        <v>*.556</v>
      </c>
      <c r="H31" s="39" t="str">
        <f>"*.95"</f>
        <v>*.95</v>
      </c>
      <c r="I31" s="38"/>
      <c r="J31" s="38"/>
      <c r="K31" s="38"/>
      <c r="L31" s="38" t="s">
        <v>555</v>
      </c>
      <c r="M31" s="38"/>
      <c r="N31" s="38" t="str">
        <f>MID(Q41,2,15)</f>
        <v>TUC_TRA_Car-Gsl</v>
      </c>
    </row>
    <row r="32" spans="2:21" x14ac:dyDescent="0.3">
      <c r="B32" s="38" t="s">
        <v>10</v>
      </c>
      <c r="C32" s="38"/>
      <c r="D32" s="38" t="s">
        <v>255</v>
      </c>
      <c r="E32" s="39">
        <v>2011</v>
      </c>
      <c r="F32" s="39">
        <v>2015</v>
      </c>
      <c r="G32" s="39">
        <v>-0.2</v>
      </c>
      <c r="H32" s="39"/>
      <c r="I32" s="38"/>
      <c r="J32" s="38"/>
      <c r="K32" s="38"/>
      <c r="L32" s="38" t="s">
        <v>716</v>
      </c>
      <c r="M32" s="38"/>
      <c r="N32" s="38" t="s">
        <v>717</v>
      </c>
      <c r="Q32" t="s">
        <v>353</v>
      </c>
    </row>
    <row r="33" spans="2:23" x14ac:dyDescent="0.3">
      <c r="B33" s="38"/>
      <c r="C33" s="39" t="s">
        <v>9</v>
      </c>
      <c r="D33" s="38" t="s">
        <v>566</v>
      </c>
      <c r="E33" s="39">
        <v>2010</v>
      </c>
      <c r="F33" s="39">
        <v>2010</v>
      </c>
      <c r="G33" s="38"/>
      <c r="H33" s="39" t="s">
        <v>572</v>
      </c>
      <c r="I33" s="39" t="s">
        <v>570</v>
      </c>
      <c r="J33" s="38" t="s">
        <v>571</v>
      </c>
      <c r="K33" s="38"/>
      <c r="L33" s="38"/>
      <c r="M33" s="38"/>
      <c r="N33" s="38"/>
      <c r="Q33" t="s">
        <v>354</v>
      </c>
    </row>
    <row r="34" spans="2:23" x14ac:dyDescent="0.3">
      <c r="B34" s="38"/>
      <c r="C34" s="39" t="s">
        <v>9</v>
      </c>
      <c r="D34" s="38" t="s">
        <v>566</v>
      </c>
      <c r="E34" s="39">
        <v>2010</v>
      </c>
      <c r="F34" s="39">
        <v>2010</v>
      </c>
      <c r="G34" s="38"/>
      <c r="H34" s="39">
        <v>2.9999999999999997E-4</v>
      </c>
      <c r="I34" s="39" t="s">
        <v>576</v>
      </c>
      <c r="J34" s="38" t="s">
        <v>571</v>
      </c>
      <c r="K34" s="38"/>
      <c r="L34" s="38"/>
      <c r="M34" s="38"/>
      <c r="N34" s="38"/>
      <c r="Q34" t="s">
        <v>355</v>
      </c>
    </row>
    <row r="35" spans="2:23" x14ac:dyDescent="0.3">
      <c r="B35" s="38"/>
      <c r="C35" s="38"/>
      <c r="D35" s="38" t="s">
        <v>567</v>
      </c>
      <c r="E35" s="39">
        <v>2010</v>
      </c>
      <c r="F35" s="39">
        <v>2020</v>
      </c>
      <c r="G35" s="38"/>
      <c r="H35" s="39" t="s">
        <v>568</v>
      </c>
      <c r="I35" s="38"/>
      <c r="J35" s="38" t="s">
        <v>571</v>
      </c>
      <c r="K35" s="38"/>
      <c r="L35" s="38"/>
      <c r="M35" s="38"/>
      <c r="N35" s="38"/>
    </row>
    <row r="36" spans="2:23" x14ac:dyDescent="0.3">
      <c r="B36" s="38"/>
      <c r="C36" s="38"/>
      <c r="D36" s="38" t="s">
        <v>573</v>
      </c>
      <c r="E36" s="39">
        <v>2010</v>
      </c>
      <c r="F36" s="39">
        <v>2010</v>
      </c>
      <c r="G36" s="38"/>
      <c r="H36" s="39" t="s">
        <v>575</v>
      </c>
      <c r="I36" s="39" t="s">
        <v>574</v>
      </c>
      <c r="J36" s="38" t="s">
        <v>122</v>
      </c>
      <c r="K36" s="38"/>
      <c r="L36" s="38"/>
      <c r="M36" s="38"/>
      <c r="N36" s="38"/>
    </row>
    <row r="37" spans="2:23" x14ac:dyDescent="0.3">
      <c r="Q37" t="s">
        <v>554</v>
      </c>
      <c r="R37" s="5">
        <v>1.75</v>
      </c>
    </row>
    <row r="38" spans="2:23" x14ac:dyDescent="0.3">
      <c r="Q38" t="s">
        <v>427</v>
      </c>
    </row>
    <row r="39" spans="2:23" x14ac:dyDescent="0.3">
      <c r="Q39" t="s">
        <v>428</v>
      </c>
    </row>
    <row r="40" spans="2:23" x14ac:dyDescent="0.3">
      <c r="Q40" t="s">
        <v>250</v>
      </c>
    </row>
    <row r="41" spans="2:23" x14ac:dyDescent="0.3">
      <c r="Q41" t="s">
        <v>478</v>
      </c>
      <c r="W41">
        <f>0.4/0.72</f>
        <v>0.55555555555555558</v>
      </c>
    </row>
    <row r="42" spans="2:23" x14ac:dyDescent="0.3">
      <c r="Q42" t="s">
        <v>172</v>
      </c>
    </row>
    <row r="44" spans="2:23" x14ac:dyDescent="0.3">
      <c r="Q44" t="s">
        <v>414</v>
      </c>
    </row>
    <row r="45" spans="2:23" x14ac:dyDescent="0.3">
      <c r="Q45" t="s">
        <v>415</v>
      </c>
    </row>
    <row r="47" spans="2:23" x14ac:dyDescent="0.3">
      <c r="Q47" t="s">
        <v>396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84"/>
  <sheetViews>
    <sheetView topLeftCell="A156" workbookViewId="0">
      <selection activeCell="A177" sqref="A177"/>
    </sheetView>
  </sheetViews>
  <sheetFormatPr defaultRowHeight="14.4" x14ac:dyDescent="0.3"/>
  <cols>
    <col min="1" max="1" width="30" customWidth="1"/>
  </cols>
  <sheetData>
    <row r="1" spans="1:10" x14ac:dyDescent="0.3">
      <c r="J1" t="s">
        <v>416</v>
      </c>
    </row>
    <row r="2" spans="1:10" x14ac:dyDescent="0.3">
      <c r="A2" t="s">
        <v>395</v>
      </c>
    </row>
    <row r="3" spans="1:10" x14ac:dyDescent="0.3">
      <c r="A3" t="s">
        <v>396</v>
      </c>
      <c r="J3" s="13"/>
    </row>
    <row r="5" spans="1:10" x14ac:dyDescent="0.3">
      <c r="A5" t="s">
        <v>397</v>
      </c>
    </row>
    <row r="6" spans="1:10" x14ac:dyDescent="0.3">
      <c r="A6" t="s">
        <v>398</v>
      </c>
      <c r="J6" t="s">
        <v>417</v>
      </c>
    </row>
    <row r="7" spans="1:10" x14ac:dyDescent="0.3">
      <c r="A7" t="s">
        <v>399</v>
      </c>
      <c r="J7" t="s">
        <v>417</v>
      </c>
    </row>
    <row r="8" spans="1:10" x14ac:dyDescent="0.3">
      <c r="A8" t="s">
        <v>400</v>
      </c>
      <c r="J8" t="s">
        <v>417</v>
      </c>
    </row>
    <row r="9" spans="1:10" x14ac:dyDescent="0.3">
      <c r="A9" t="s">
        <v>401</v>
      </c>
      <c r="J9" t="s">
        <v>417</v>
      </c>
    </row>
    <row r="10" spans="1:10" x14ac:dyDescent="0.3">
      <c r="A10" t="s">
        <v>172</v>
      </c>
      <c r="J10" t="s">
        <v>417</v>
      </c>
    </row>
    <row r="11" spans="1:10" x14ac:dyDescent="0.3">
      <c r="J11" t="s">
        <v>417</v>
      </c>
    </row>
    <row r="12" spans="1:10" x14ac:dyDescent="0.3">
      <c r="A12" t="s">
        <v>402</v>
      </c>
      <c r="J12" t="s">
        <v>417</v>
      </c>
    </row>
    <row r="15" spans="1:10" x14ac:dyDescent="0.3">
      <c r="A15" t="s">
        <v>167</v>
      </c>
    </row>
    <row r="16" spans="1:10" x14ac:dyDescent="0.3">
      <c r="A16" t="s">
        <v>315</v>
      </c>
      <c r="J16" t="s">
        <v>418</v>
      </c>
    </row>
    <row r="17" spans="1:11" x14ac:dyDescent="0.3">
      <c r="A17" t="s">
        <v>316</v>
      </c>
      <c r="J17" t="s">
        <v>418</v>
      </c>
    </row>
    <row r="18" spans="1:11" x14ac:dyDescent="0.3">
      <c r="A18" t="s">
        <v>317</v>
      </c>
      <c r="J18" t="s">
        <v>418</v>
      </c>
    </row>
    <row r="19" spans="1:11" x14ac:dyDescent="0.3">
      <c r="A19" t="s">
        <v>318</v>
      </c>
      <c r="J19" t="s">
        <v>418</v>
      </c>
    </row>
    <row r="20" spans="1:11" x14ac:dyDescent="0.3">
      <c r="A20" t="s">
        <v>319</v>
      </c>
      <c r="J20" t="s">
        <v>418</v>
      </c>
    </row>
    <row r="21" spans="1:11" x14ac:dyDescent="0.3">
      <c r="A21" t="s">
        <v>320</v>
      </c>
      <c r="J21" t="s">
        <v>418</v>
      </c>
    </row>
    <row r="22" spans="1:11" x14ac:dyDescent="0.3">
      <c r="A22" t="s">
        <v>321</v>
      </c>
      <c r="J22" t="s">
        <v>418</v>
      </c>
    </row>
    <row r="23" spans="1:11" x14ac:dyDescent="0.3">
      <c r="A23" t="s">
        <v>322</v>
      </c>
      <c r="J23" t="s">
        <v>418</v>
      </c>
    </row>
    <row r="24" spans="1:11" x14ac:dyDescent="0.3">
      <c r="A24" t="s">
        <v>323</v>
      </c>
      <c r="J24" t="s">
        <v>418</v>
      </c>
    </row>
    <row r="25" spans="1:11" x14ac:dyDescent="0.3">
      <c r="A25" t="s">
        <v>324</v>
      </c>
      <c r="J25" t="s">
        <v>418</v>
      </c>
    </row>
    <row r="26" spans="1:11" x14ac:dyDescent="0.3">
      <c r="A26" t="s">
        <v>172</v>
      </c>
    </row>
    <row r="29" spans="1:11" x14ac:dyDescent="0.3">
      <c r="A29" t="s">
        <v>403</v>
      </c>
      <c r="J29" s="24" t="s">
        <v>417</v>
      </c>
      <c r="K29" s="17"/>
    </row>
    <row r="30" spans="1:11" x14ac:dyDescent="0.3">
      <c r="A30" t="s">
        <v>404</v>
      </c>
      <c r="J30" s="24" t="s">
        <v>417</v>
      </c>
      <c r="K30" s="17"/>
    </row>
    <row r="32" spans="1:11" x14ac:dyDescent="0.3">
      <c r="A32" t="s">
        <v>405</v>
      </c>
    </row>
    <row r="33" spans="1:10" x14ac:dyDescent="0.3">
      <c r="A33" t="s">
        <v>377</v>
      </c>
      <c r="B33" t="s">
        <v>123</v>
      </c>
      <c r="C33">
        <v>36.747900000000001</v>
      </c>
      <c r="D33" t="s">
        <v>406</v>
      </c>
      <c r="G33">
        <v>35.275132200000002</v>
      </c>
      <c r="J33" t="s">
        <v>418</v>
      </c>
    </row>
    <row r="34" spans="1:10" x14ac:dyDescent="0.3">
      <c r="A34" t="s">
        <v>377</v>
      </c>
      <c r="B34" t="s">
        <v>123</v>
      </c>
      <c r="C34">
        <v>29.497499999999999</v>
      </c>
      <c r="D34" t="s">
        <v>407</v>
      </c>
      <c r="G34">
        <v>27.122226000000001</v>
      </c>
      <c r="J34" t="s">
        <v>418</v>
      </c>
    </row>
    <row r="35" spans="1:10" x14ac:dyDescent="0.3">
      <c r="A35" t="s">
        <v>408</v>
      </c>
      <c r="B35" t="s">
        <v>123</v>
      </c>
      <c r="C35">
        <v>27.954699999999999</v>
      </c>
      <c r="D35" t="s">
        <v>407</v>
      </c>
      <c r="G35">
        <v>22.352350000000001</v>
      </c>
      <c r="J35" t="s">
        <v>418</v>
      </c>
    </row>
    <row r="36" spans="1:10" x14ac:dyDescent="0.3">
      <c r="A36" t="s">
        <v>190</v>
      </c>
      <c r="B36" t="s">
        <v>9</v>
      </c>
      <c r="C36" t="s">
        <v>409</v>
      </c>
      <c r="F36">
        <v>10.885594599999999</v>
      </c>
      <c r="J36" t="s">
        <v>418</v>
      </c>
    </row>
    <row r="37" spans="1:10" x14ac:dyDescent="0.3">
      <c r="A37" t="s">
        <v>410</v>
      </c>
      <c r="B37" t="s">
        <v>9</v>
      </c>
      <c r="C37">
        <v>4.1382000000000003</v>
      </c>
      <c r="D37" t="s">
        <v>411</v>
      </c>
      <c r="G37">
        <v>7.2612360000000002</v>
      </c>
      <c r="J37" t="s">
        <v>418</v>
      </c>
    </row>
    <row r="38" spans="1:10" x14ac:dyDescent="0.3">
      <c r="A38" t="s">
        <v>412</v>
      </c>
    </row>
    <row r="39" spans="1:10" x14ac:dyDescent="0.3">
      <c r="A39" t="s">
        <v>413</v>
      </c>
    </row>
    <row r="40" spans="1:10" x14ac:dyDescent="0.3">
      <c r="A40" t="s">
        <v>325</v>
      </c>
      <c r="J40" t="s">
        <v>418</v>
      </c>
    </row>
    <row r="41" spans="1:10" x14ac:dyDescent="0.3">
      <c r="A41" t="s">
        <v>326</v>
      </c>
      <c r="J41" t="s">
        <v>418</v>
      </c>
    </row>
    <row r="42" spans="1:10" x14ac:dyDescent="0.3">
      <c r="A42" t="s">
        <v>327</v>
      </c>
      <c r="J42" t="s">
        <v>418</v>
      </c>
    </row>
    <row r="43" spans="1:10" x14ac:dyDescent="0.3">
      <c r="A43" t="s">
        <v>328</v>
      </c>
      <c r="J43" t="s">
        <v>418</v>
      </c>
    </row>
    <row r="44" spans="1:10" x14ac:dyDescent="0.3">
      <c r="A44" t="s">
        <v>329</v>
      </c>
      <c r="J44" t="s">
        <v>418</v>
      </c>
    </row>
    <row r="45" spans="1:10" x14ac:dyDescent="0.3">
      <c r="A45" t="s">
        <v>413</v>
      </c>
    </row>
    <row r="48" spans="1:10" x14ac:dyDescent="0.3">
      <c r="A48" t="s">
        <v>179</v>
      </c>
    </row>
    <row r="49" spans="1:14" x14ac:dyDescent="0.3">
      <c r="A49" t="s">
        <v>330</v>
      </c>
      <c r="J49" t="s">
        <v>418</v>
      </c>
    </row>
    <row r="50" spans="1:14" x14ac:dyDescent="0.3">
      <c r="A50" t="s">
        <v>331</v>
      </c>
      <c r="J50" t="s">
        <v>418</v>
      </c>
    </row>
    <row r="51" spans="1:14" x14ac:dyDescent="0.3">
      <c r="A51" t="s">
        <v>332</v>
      </c>
      <c r="J51" t="s">
        <v>418</v>
      </c>
    </row>
    <row r="52" spans="1:14" x14ac:dyDescent="0.3">
      <c r="A52" t="s">
        <v>333</v>
      </c>
      <c r="J52" t="s">
        <v>418</v>
      </c>
    </row>
    <row r="53" spans="1:14" x14ac:dyDescent="0.3">
      <c r="A53" t="s">
        <v>334</v>
      </c>
      <c r="J53" t="s">
        <v>418</v>
      </c>
    </row>
    <row r="54" spans="1:14" x14ac:dyDescent="0.3">
      <c r="A54" t="s">
        <v>335</v>
      </c>
      <c r="J54" t="s">
        <v>418</v>
      </c>
    </row>
    <row r="55" spans="1:14" x14ac:dyDescent="0.3">
      <c r="A55" t="s">
        <v>172</v>
      </c>
    </row>
    <row r="57" spans="1:14" x14ac:dyDescent="0.3">
      <c r="A57" t="s">
        <v>414</v>
      </c>
      <c r="J57" s="13" t="s">
        <v>488</v>
      </c>
    </row>
    <row r="58" spans="1:14" x14ac:dyDescent="0.3">
      <c r="A58" t="s">
        <v>415</v>
      </c>
      <c r="J58" s="13" t="s">
        <v>488</v>
      </c>
    </row>
    <row r="60" spans="1:14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2" spans="1:14" x14ac:dyDescent="0.3">
      <c r="A62" t="s">
        <v>419</v>
      </c>
    </row>
    <row r="63" spans="1:14" x14ac:dyDescent="0.3">
      <c r="A63" t="s">
        <v>420</v>
      </c>
    </row>
    <row r="64" spans="1:14" x14ac:dyDescent="0.3">
      <c r="A64" t="s">
        <v>336</v>
      </c>
      <c r="J64" t="s">
        <v>486</v>
      </c>
    </row>
    <row r="65" spans="1:10" x14ac:dyDescent="0.3">
      <c r="A65" t="s">
        <v>303</v>
      </c>
      <c r="J65" t="s">
        <v>486</v>
      </c>
    </row>
    <row r="66" spans="1:10" x14ac:dyDescent="0.3">
      <c r="A66" t="s">
        <v>337</v>
      </c>
      <c r="J66" t="s">
        <v>486</v>
      </c>
    </row>
    <row r="67" spans="1:10" x14ac:dyDescent="0.3">
      <c r="A67" t="s">
        <v>304</v>
      </c>
      <c r="J67" t="s">
        <v>486</v>
      </c>
    </row>
    <row r="68" spans="1:10" x14ac:dyDescent="0.3">
      <c r="A68" t="s">
        <v>338</v>
      </c>
      <c r="J68" t="s">
        <v>486</v>
      </c>
    </row>
    <row r="69" spans="1:10" x14ac:dyDescent="0.3">
      <c r="A69" t="s">
        <v>305</v>
      </c>
      <c r="J69" t="s">
        <v>486</v>
      </c>
    </row>
    <row r="70" spans="1:10" x14ac:dyDescent="0.3">
      <c r="A70" t="s">
        <v>339</v>
      </c>
      <c r="J70" t="s">
        <v>486</v>
      </c>
    </row>
    <row r="71" spans="1:10" x14ac:dyDescent="0.3">
      <c r="A71" t="s">
        <v>306</v>
      </c>
      <c r="J71" t="s">
        <v>486</v>
      </c>
    </row>
    <row r="72" spans="1:10" x14ac:dyDescent="0.3">
      <c r="A72" t="s">
        <v>340</v>
      </c>
      <c r="J72" t="s">
        <v>486</v>
      </c>
    </row>
    <row r="73" spans="1:10" x14ac:dyDescent="0.3">
      <c r="A73" t="s">
        <v>307</v>
      </c>
      <c r="J73" t="s">
        <v>486</v>
      </c>
    </row>
    <row r="74" spans="1:10" x14ac:dyDescent="0.3">
      <c r="A74" t="s">
        <v>341</v>
      </c>
      <c r="J74" t="s">
        <v>486</v>
      </c>
    </row>
    <row r="75" spans="1:10" x14ac:dyDescent="0.3">
      <c r="A75" t="s">
        <v>308</v>
      </c>
      <c r="J75" t="s">
        <v>486</v>
      </c>
    </row>
    <row r="76" spans="1:10" x14ac:dyDescent="0.3">
      <c r="A76" t="s">
        <v>342</v>
      </c>
      <c r="J76" t="s">
        <v>486</v>
      </c>
    </row>
    <row r="77" spans="1:10" x14ac:dyDescent="0.3">
      <c r="A77" t="s">
        <v>343</v>
      </c>
      <c r="J77" t="s">
        <v>486</v>
      </c>
    </row>
    <row r="78" spans="1:10" x14ac:dyDescent="0.3">
      <c r="A78" t="s">
        <v>344</v>
      </c>
      <c r="J78" t="s">
        <v>486</v>
      </c>
    </row>
    <row r="79" spans="1:10" x14ac:dyDescent="0.3">
      <c r="A79" t="s">
        <v>345</v>
      </c>
      <c r="J79" t="s">
        <v>486</v>
      </c>
    </row>
    <row r="80" spans="1:10" x14ac:dyDescent="0.3">
      <c r="A80" t="s">
        <v>346</v>
      </c>
      <c r="J80" t="s">
        <v>486</v>
      </c>
    </row>
    <row r="81" spans="1:11" x14ac:dyDescent="0.3">
      <c r="A81" t="s">
        <v>347</v>
      </c>
      <c r="J81" t="s">
        <v>486</v>
      </c>
    </row>
    <row r="82" spans="1:11" x14ac:dyDescent="0.3">
      <c r="A82" t="s">
        <v>348</v>
      </c>
      <c r="J82" t="s">
        <v>486</v>
      </c>
    </row>
    <row r="83" spans="1:11" x14ac:dyDescent="0.3">
      <c r="A83" t="s">
        <v>349</v>
      </c>
      <c r="J83" t="s">
        <v>486</v>
      </c>
    </row>
    <row r="84" spans="1:11" x14ac:dyDescent="0.3">
      <c r="A84" t="s">
        <v>350</v>
      </c>
      <c r="J84" t="s">
        <v>486</v>
      </c>
    </row>
    <row r="85" spans="1:11" x14ac:dyDescent="0.3">
      <c r="A85" t="s">
        <v>351</v>
      </c>
      <c r="J85" t="s">
        <v>486</v>
      </c>
    </row>
    <row r="86" spans="1:11" x14ac:dyDescent="0.3">
      <c r="A86" t="s">
        <v>172</v>
      </c>
    </row>
    <row r="88" spans="1:11" x14ac:dyDescent="0.3">
      <c r="A88" t="s">
        <v>421</v>
      </c>
      <c r="J88" t="s">
        <v>486</v>
      </c>
    </row>
    <row r="89" spans="1:11" x14ac:dyDescent="0.3">
      <c r="A89" t="s">
        <v>422</v>
      </c>
      <c r="J89" t="s">
        <v>486</v>
      </c>
    </row>
    <row r="92" spans="1:11" x14ac:dyDescent="0.3">
      <c r="A92" t="s">
        <v>423</v>
      </c>
    </row>
    <row r="93" spans="1:11" x14ac:dyDescent="0.3">
      <c r="A93" t="s">
        <v>424</v>
      </c>
      <c r="J93" s="24" t="s">
        <v>417</v>
      </c>
      <c r="K93" s="17"/>
    </row>
    <row r="94" spans="1:11" x14ac:dyDescent="0.3">
      <c r="A94" t="s">
        <v>425</v>
      </c>
      <c r="J94" s="24" t="s">
        <v>417</v>
      </c>
      <c r="K94" s="17"/>
    </row>
    <row r="96" spans="1:11" x14ac:dyDescent="0.3">
      <c r="A96" t="s">
        <v>270</v>
      </c>
    </row>
    <row r="97" spans="1:11" x14ac:dyDescent="0.3">
      <c r="A97" t="s">
        <v>271</v>
      </c>
      <c r="J97" s="24" t="s">
        <v>486</v>
      </c>
      <c r="K97" s="17"/>
    </row>
    <row r="98" spans="1:11" x14ac:dyDescent="0.3">
      <c r="A98" t="s">
        <v>272</v>
      </c>
      <c r="J98" s="24" t="s">
        <v>486</v>
      </c>
      <c r="K98" s="17"/>
    </row>
    <row r="99" spans="1:11" x14ac:dyDescent="0.3">
      <c r="A99" t="s">
        <v>172</v>
      </c>
    </row>
    <row r="100" spans="1:11" x14ac:dyDescent="0.3">
      <c r="A100" t="s">
        <v>426</v>
      </c>
    </row>
    <row r="102" spans="1:11" x14ac:dyDescent="0.3">
      <c r="A102" t="s">
        <v>274</v>
      </c>
    </row>
    <row r="103" spans="1:11" x14ac:dyDescent="0.3">
      <c r="A103" t="s">
        <v>167</v>
      </c>
    </row>
    <row r="104" spans="1:11" x14ac:dyDescent="0.3">
      <c r="A104" t="s">
        <v>275</v>
      </c>
      <c r="J104" t="s">
        <v>418</v>
      </c>
    </row>
    <row r="105" spans="1:11" x14ac:dyDescent="0.3">
      <c r="A105" t="s">
        <v>276</v>
      </c>
      <c r="J105" t="s">
        <v>418</v>
      </c>
    </row>
    <row r="106" spans="1:11" x14ac:dyDescent="0.3">
      <c r="A106" t="s">
        <v>277</v>
      </c>
      <c r="J106" t="s">
        <v>418</v>
      </c>
    </row>
    <row r="107" spans="1:11" x14ac:dyDescent="0.3">
      <c r="A107" t="s">
        <v>172</v>
      </c>
    </row>
    <row r="110" spans="1:11" x14ac:dyDescent="0.3">
      <c r="A110" t="s">
        <v>179</v>
      </c>
    </row>
    <row r="111" spans="1:11" x14ac:dyDescent="0.3">
      <c r="A111" t="s">
        <v>278</v>
      </c>
      <c r="J111" t="s">
        <v>418</v>
      </c>
    </row>
    <row r="112" spans="1:11" x14ac:dyDescent="0.3">
      <c r="A112" t="s">
        <v>279</v>
      </c>
      <c r="J112" t="s">
        <v>418</v>
      </c>
    </row>
    <row r="113" spans="1:11" x14ac:dyDescent="0.3">
      <c r="A113" t="s">
        <v>280</v>
      </c>
      <c r="J113" t="s">
        <v>418</v>
      </c>
    </row>
    <row r="114" spans="1:11" x14ac:dyDescent="0.3">
      <c r="A114" t="s">
        <v>281</v>
      </c>
      <c r="J114" t="s">
        <v>418</v>
      </c>
    </row>
    <row r="115" spans="1:11" x14ac:dyDescent="0.3">
      <c r="A115" t="s">
        <v>282</v>
      </c>
      <c r="J115" t="s">
        <v>418</v>
      </c>
    </row>
    <row r="116" spans="1:11" x14ac:dyDescent="0.3">
      <c r="A116" t="s">
        <v>172</v>
      </c>
    </row>
    <row r="118" spans="1:11" x14ac:dyDescent="0.3">
      <c r="A118" t="s">
        <v>427</v>
      </c>
    </row>
    <row r="119" spans="1:11" x14ac:dyDescent="0.3">
      <c r="A119" t="s">
        <v>428</v>
      </c>
      <c r="J119" s="25" t="s">
        <v>488</v>
      </c>
      <c r="K119" s="17"/>
    </row>
    <row r="121" spans="1:11" x14ac:dyDescent="0.3">
      <c r="A121" t="s">
        <v>429</v>
      </c>
    </row>
    <row r="122" spans="1:11" x14ac:dyDescent="0.3">
      <c r="A122" t="s">
        <v>430</v>
      </c>
    </row>
    <row r="123" spans="1:11" x14ac:dyDescent="0.3">
      <c r="A123" t="s">
        <v>431</v>
      </c>
    </row>
    <row r="124" spans="1:11" x14ac:dyDescent="0.3">
      <c r="A124" t="s">
        <v>432</v>
      </c>
      <c r="J124" t="s">
        <v>498</v>
      </c>
    </row>
    <row r="125" spans="1:11" x14ac:dyDescent="0.3">
      <c r="A125" t="s">
        <v>433</v>
      </c>
      <c r="J125" t="s">
        <v>498</v>
      </c>
    </row>
    <row r="126" spans="1:11" x14ac:dyDescent="0.3">
      <c r="A126" t="s">
        <v>105</v>
      </c>
      <c r="J126" t="s">
        <v>498</v>
      </c>
    </row>
    <row r="127" spans="1:11" x14ac:dyDescent="0.3">
      <c r="A127" t="s">
        <v>106</v>
      </c>
      <c r="J127" t="s">
        <v>498</v>
      </c>
    </row>
    <row r="128" spans="1:11" x14ac:dyDescent="0.3">
      <c r="A128" t="s">
        <v>107</v>
      </c>
      <c r="J128" t="s">
        <v>498</v>
      </c>
    </row>
    <row r="129" spans="1:10" x14ac:dyDescent="0.3">
      <c r="A129" t="s">
        <v>108</v>
      </c>
      <c r="J129" t="s">
        <v>498</v>
      </c>
    </row>
    <row r="130" spans="1:10" x14ac:dyDescent="0.3">
      <c r="A130" t="s">
        <v>109</v>
      </c>
      <c r="J130" t="s">
        <v>498</v>
      </c>
    </row>
    <row r="131" spans="1:10" x14ac:dyDescent="0.3">
      <c r="A131" t="s">
        <v>110</v>
      </c>
      <c r="J131" t="s">
        <v>498</v>
      </c>
    </row>
    <row r="132" spans="1:10" x14ac:dyDescent="0.3">
      <c r="A132" t="s">
        <v>434</v>
      </c>
      <c r="J132" t="s">
        <v>498</v>
      </c>
    </row>
    <row r="133" spans="1:10" x14ac:dyDescent="0.3">
      <c r="A133" t="s">
        <v>435</v>
      </c>
      <c r="J133" t="s">
        <v>498</v>
      </c>
    </row>
    <row r="134" spans="1:10" x14ac:dyDescent="0.3">
      <c r="A134" t="s">
        <v>436</v>
      </c>
      <c r="J134" t="s">
        <v>498</v>
      </c>
    </row>
    <row r="135" spans="1:10" x14ac:dyDescent="0.3">
      <c r="A135" t="s">
        <v>114</v>
      </c>
      <c r="J135" t="s">
        <v>498</v>
      </c>
    </row>
    <row r="136" spans="1:10" x14ac:dyDescent="0.3">
      <c r="A136" t="s">
        <v>115</v>
      </c>
      <c r="J136" t="s">
        <v>498</v>
      </c>
    </row>
    <row r="137" spans="1:10" x14ac:dyDescent="0.3">
      <c r="A137" t="s">
        <v>116</v>
      </c>
      <c r="J137" t="s">
        <v>498</v>
      </c>
    </row>
    <row r="138" spans="1:10" x14ac:dyDescent="0.3">
      <c r="A138" t="s">
        <v>117</v>
      </c>
      <c r="J138" t="s">
        <v>498</v>
      </c>
    </row>
    <row r="139" spans="1:10" x14ac:dyDescent="0.3">
      <c r="A139" t="s">
        <v>118</v>
      </c>
      <c r="J139" t="s">
        <v>498</v>
      </c>
    </row>
    <row r="140" spans="1:10" x14ac:dyDescent="0.3">
      <c r="A140" t="s">
        <v>119</v>
      </c>
      <c r="J140" t="s">
        <v>498</v>
      </c>
    </row>
    <row r="141" spans="1:10" x14ac:dyDescent="0.3">
      <c r="A141" t="s">
        <v>120</v>
      </c>
      <c r="J141" t="s">
        <v>498</v>
      </c>
    </row>
    <row r="142" spans="1:10" x14ac:dyDescent="0.3">
      <c r="A142" t="s">
        <v>172</v>
      </c>
      <c r="J142" t="s">
        <v>498</v>
      </c>
    </row>
    <row r="143" spans="1:10" x14ac:dyDescent="0.3">
      <c r="J143" t="s">
        <v>498</v>
      </c>
    </row>
    <row r="144" spans="1:10" x14ac:dyDescent="0.3">
      <c r="A144" t="s">
        <v>437</v>
      </c>
      <c r="J144" t="s">
        <v>498</v>
      </c>
    </row>
    <row r="145" spans="1:10" x14ac:dyDescent="0.3">
      <c r="A145" t="s">
        <v>438</v>
      </c>
      <c r="J145" t="s">
        <v>498</v>
      </c>
    </row>
    <row r="146" spans="1:10" x14ac:dyDescent="0.3">
      <c r="A146" t="s">
        <v>439</v>
      </c>
      <c r="J146" t="s">
        <v>498</v>
      </c>
    </row>
    <row r="148" spans="1:10" x14ac:dyDescent="0.3">
      <c r="A148" t="s">
        <v>353</v>
      </c>
    </row>
    <row r="149" spans="1:10" x14ac:dyDescent="0.3">
      <c r="A149" t="s">
        <v>354</v>
      </c>
      <c r="J149" t="s">
        <v>488</v>
      </c>
    </row>
    <row r="150" spans="1:10" x14ac:dyDescent="0.3">
      <c r="A150" t="s">
        <v>355</v>
      </c>
      <c r="J150" t="s">
        <v>488</v>
      </c>
    </row>
    <row r="152" spans="1:10" x14ac:dyDescent="0.3">
      <c r="A152" t="s">
        <v>429</v>
      </c>
    </row>
    <row r="153" spans="1:10" x14ac:dyDescent="0.3">
      <c r="A153" t="s">
        <v>440</v>
      </c>
    </row>
    <row r="154" spans="1:10" x14ac:dyDescent="0.3">
      <c r="A154" t="s">
        <v>167</v>
      </c>
    </row>
    <row r="155" spans="1:10" x14ac:dyDescent="0.3">
      <c r="A155" t="s">
        <v>392</v>
      </c>
      <c r="J155" t="s">
        <v>418</v>
      </c>
    </row>
    <row r="156" spans="1:10" x14ac:dyDescent="0.3">
      <c r="A156" t="s">
        <v>393</v>
      </c>
      <c r="J156" t="s">
        <v>418</v>
      </c>
    </row>
    <row r="157" spans="1:10" x14ac:dyDescent="0.3">
      <c r="A157" t="s">
        <v>394</v>
      </c>
      <c r="J157" t="s">
        <v>418</v>
      </c>
    </row>
    <row r="158" spans="1:10" x14ac:dyDescent="0.3">
      <c r="A158" t="s">
        <v>172</v>
      </c>
    </row>
    <row r="160" spans="1:10" x14ac:dyDescent="0.3">
      <c r="A160" t="s">
        <v>179</v>
      </c>
    </row>
    <row r="161" spans="1:11" x14ac:dyDescent="0.3">
      <c r="A161" t="s">
        <v>380</v>
      </c>
      <c r="J161" t="s">
        <v>418</v>
      </c>
    </row>
    <row r="162" spans="1:11" x14ac:dyDescent="0.3">
      <c r="A162" t="s">
        <v>381</v>
      </c>
      <c r="J162" t="s">
        <v>418</v>
      </c>
    </row>
    <row r="163" spans="1:11" x14ac:dyDescent="0.3">
      <c r="A163" t="s">
        <v>382</v>
      </c>
      <c r="J163" t="s">
        <v>418</v>
      </c>
    </row>
    <row r="164" spans="1:11" x14ac:dyDescent="0.3">
      <c r="A164" t="s">
        <v>383</v>
      </c>
      <c r="J164" t="s">
        <v>418</v>
      </c>
    </row>
    <row r="165" spans="1:11" x14ac:dyDescent="0.3">
      <c r="A165" t="s">
        <v>384</v>
      </c>
      <c r="J165" t="s">
        <v>418</v>
      </c>
    </row>
    <row r="166" spans="1:11" x14ac:dyDescent="0.3">
      <c r="A166" t="s">
        <v>385</v>
      </c>
      <c r="J166" t="s">
        <v>418</v>
      </c>
    </row>
    <row r="167" spans="1:11" x14ac:dyDescent="0.3">
      <c r="A167" t="s">
        <v>386</v>
      </c>
      <c r="J167" t="s">
        <v>418</v>
      </c>
    </row>
    <row r="168" spans="1:11" x14ac:dyDescent="0.3">
      <c r="A168" t="s">
        <v>387</v>
      </c>
      <c r="J168" t="s">
        <v>418</v>
      </c>
    </row>
    <row r="169" spans="1:11" x14ac:dyDescent="0.3">
      <c r="A169" t="s">
        <v>388</v>
      </c>
      <c r="J169" t="s">
        <v>418</v>
      </c>
    </row>
    <row r="170" spans="1:11" x14ac:dyDescent="0.3">
      <c r="A170" s="17" t="s">
        <v>389</v>
      </c>
      <c r="B170" s="17"/>
      <c r="C170" s="17"/>
      <c r="D170" s="17"/>
      <c r="E170" s="17"/>
      <c r="F170" s="17"/>
      <c r="G170" s="17"/>
      <c r="H170" s="17"/>
      <c r="I170" s="17"/>
      <c r="J170" s="17" t="s">
        <v>418</v>
      </c>
      <c r="K170" s="17"/>
    </row>
    <row r="171" spans="1:11" x14ac:dyDescent="0.3">
      <c r="A171" s="17" t="s">
        <v>390</v>
      </c>
      <c r="B171" s="17"/>
      <c r="C171" s="17"/>
      <c r="D171" s="17"/>
      <c r="E171" s="17"/>
      <c r="F171" s="17"/>
      <c r="G171" s="17"/>
      <c r="H171" s="17"/>
      <c r="I171" s="17"/>
      <c r="J171" s="17" t="s">
        <v>418</v>
      </c>
      <c r="K171" s="17"/>
    </row>
    <row r="172" spans="1:11" x14ac:dyDescent="0.3">
      <c r="A172" t="s">
        <v>391</v>
      </c>
      <c r="J172" t="s">
        <v>418</v>
      </c>
    </row>
    <row r="173" spans="1:11" x14ac:dyDescent="0.3">
      <c r="A173" t="s">
        <v>172</v>
      </c>
    </row>
    <row r="177" spans="1:10" x14ac:dyDescent="0.3">
      <c r="A177" t="s">
        <v>378</v>
      </c>
      <c r="J177" t="s">
        <v>418</v>
      </c>
    </row>
    <row r="178" spans="1:10" x14ac:dyDescent="0.3">
      <c r="A178" t="s">
        <v>379</v>
      </c>
      <c r="J178" t="s">
        <v>418</v>
      </c>
    </row>
    <row r="180" spans="1:10" x14ac:dyDescent="0.3">
      <c r="A180" t="s">
        <v>441</v>
      </c>
    </row>
    <row r="181" spans="1:10" x14ac:dyDescent="0.3">
      <c r="A181" t="s">
        <v>442</v>
      </c>
    </row>
    <row r="183" spans="1:10" x14ac:dyDescent="0.3">
      <c r="A183" t="s">
        <v>443</v>
      </c>
      <c r="B183" t="s">
        <v>444</v>
      </c>
      <c r="C183" t="s">
        <v>445</v>
      </c>
      <c r="D183" t="s">
        <v>446</v>
      </c>
      <c r="E183">
        <v>30.483599999999999</v>
      </c>
      <c r="J183" t="s">
        <v>488</v>
      </c>
    </row>
    <row r="184" spans="1:10" x14ac:dyDescent="0.3">
      <c r="A184" t="s">
        <v>447</v>
      </c>
      <c r="B184" t="s">
        <v>444</v>
      </c>
      <c r="C184" t="s">
        <v>445</v>
      </c>
      <c r="D184" t="s">
        <v>446</v>
      </c>
      <c r="E184">
        <v>3.6445500000000002</v>
      </c>
      <c r="J184" t="s">
        <v>488</v>
      </c>
    </row>
    <row r="185" spans="1:10" x14ac:dyDescent="0.3">
      <c r="A185" t="s">
        <v>448</v>
      </c>
      <c r="B185" t="s">
        <v>444</v>
      </c>
      <c r="C185" t="s">
        <v>445</v>
      </c>
      <c r="D185" t="s">
        <v>446</v>
      </c>
      <c r="E185">
        <v>1.0499999999999999E-3</v>
      </c>
      <c r="J185" t="s">
        <v>488</v>
      </c>
    </row>
    <row r="186" spans="1:10" x14ac:dyDescent="0.3">
      <c r="A186" t="s">
        <v>449</v>
      </c>
      <c r="B186" t="s">
        <v>444</v>
      </c>
      <c r="C186" t="s">
        <v>445</v>
      </c>
      <c r="D186" t="s">
        <v>446</v>
      </c>
      <c r="E186">
        <v>11.66025</v>
      </c>
      <c r="J186" t="s">
        <v>488</v>
      </c>
    </row>
    <row r="187" spans="1:10" x14ac:dyDescent="0.3">
      <c r="A187" t="s">
        <v>450</v>
      </c>
      <c r="B187" t="s">
        <v>444</v>
      </c>
      <c r="C187" t="s">
        <v>445</v>
      </c>
      <c r="D187" t="s">
        <v>446</v>
      </c>
      <c r="E187">
        <v>0.93764999999999998</v>
      </c>
      <c r="J187" t="s">
        <v>488</v>
      </c>
    </row>
    <row r="188" spans="1:10" x14ac:dyDescent="0.3">
      <c r="A188" t="s">
        <v>451</v>
      </c>
      <c r="B188" t="s">
        <v>444</v>
      </c>
      <c r="C188" t="s">
        <v>445</v>
      </c>
      <c r="D188" t="s">
        <v>446</v>
      </c>
      <c r="E188">
        <v>1.6947000000000001</v>
      </c>
      <c r="J188" t="s">
        <v>488</v>
      </c>
    </row>
    <row r="189" spans="1:10" x14ac:dyDescent="0.3">
      <c r="A189" t="s">
        <v>452</v>
      </c>
      <c r="J189" t="s">
        <v>488</v>
      </c>
    </row>
    <row r="190" spans="1:10" x14ac:dyDescent="0.3">
      <c r="A190" t="s">
        <v>453</v>
      </c>
      <c r="B190" t="s">
        <v>444</v>
      </c>
      <c r="C190" t="s">
        <v>445</v>
      </c>
      <c r="D190" t="s">
        <v>454</v>
      </c>
      <c r="E190">
        <v>161.00909999999999</v>
      </c>
      <c r="J190" t="s">
        <v>488</v>
      </c>
    </row>
    <row r="191" spans="1:10" x14ac:dyDescent="0.3">
      <c r="A191" t="s">
        <v>443</v>
      </c>
      <c r="B191" t="s">
        <v>444</v>
      </c>
      <c r="C191" t="s">
        <v>445</v>
      </c>
      <c r="D191" t="s">
        <v>454</v>
      </c>
      <c r="E191">
        <v>51.337649999999996</v>
      </c>
      <c r="J191" t="s">
        <v>488</v>
      </c>
    </row>
    <row r="192" spans="1:10" x14ac:dyDescent="0.3">
      <c r="A192" t="s">
        <v>455</v>
      </c>
      <c r="B192" t="s">
        <v>444</v>
      </c>
      <c r="C192" t="s">
        <v>445</v>
      </c>
      <c r="D192" t="s">
        <v>454</v>
      </c>
      <c r="E192">
        <v>35.977200000000003</v>
      </c>
      <c r="J192" t="s">
        <v>488</v>
      </c>
    </row>
    <row r="193" spans="1:10" x14ac:dyDescent="0.3">
      <c r="A193" t="s">
        <v>456</v>
      </c>
      <c r="B193" t="s">
        <v>444</v>
      </c>
      <c r="C193" t="s">
        <v>445</v>
      </c>
      <c r="D193" t="s">
        <v>454</v>
      </c>
      <c r="E193">
        <v>11.463900000000001</v>
      </c>
      <c r="J193" t="s">
        <v>488</v>
      </c>
    </row>
    <row r="194" spans="1:10" x14ac:dyDescent="0.3">
      <c r="A194" t="s">
        <v>451</v>
      </c>
      <c r="B194" t="s">
        <v>444</v>
      </c>
      <c r="C194" t="s">
        <v>445</v>
      </c>
      <c r="D194" t="s">
        <v>454</v>
      </c>
      <c r="E194">
        <v>2.9379</v>
      </c>
      <c r="J194" t="s">
        <v>488</v>
      </c>
    </row>
    <row r="196" spans="1:10" x14ac:dyDescent="0.3">
      <c r="A196" t="s">
        <v>364</v>
      </c>
    </row>
    <row r="197" spans="1:10" x14ac:dyDescent="0.3">
      <c r="A197" t="s">
        <v>365</v>
      </c>
      <c r="J197" t="s">
        <v>488</v>
      </c>
    </row>
    <row r="198" spans="1:10" x14ac:dyDescent="0.3">
      <c r="A198" t="s">
        <v>366</v>
      </c>
      <c r="J198" t="s">
        <v>488</v>
      </c>
    </row>
    <row r="199" spans="1:10" x14ac:dyDescent="0.3">
      <c r="A199" t="s">
        <v>367</v>
      </c>
      <c r="J199" t="s">
        <v>488</v>
      </c>
    </row>
    <row r="200" spans="1:10" x14ac:dyDescent="0.3">
      <c r="A200" t="s">
        <v>368</v>
      </c>
      <c r="J200" t="s">
        <v>488</v>
      </c>
    </row>
    <row r="201" spans="1:10" x14ac:dyDescent="0.3">
      <c r="A201" t="s">
        <v>369</v>
      </c>
      <c r="J201" t="s">
        <v>488</v>
      </c>
    </row>
    <row r="202" spans="1:10" x14ac:dyDescent="0.3">
      <c r="A202" t="s">
        <v>370</v>
      </c>
      <c r="J202" t="s">
        <v>488</v>
      </c>
    </row>
    <row r="203" spans="1:10" x14ac:dyDescent="0.3">
      <c r="A203" t="s">
        <v>371</v>
      </c>
      <c r="J203" t="s">
        <v>488</v>
      </c>
    </row>
    <row r="204" spans="1:10" x14ac:dyDescent="0.3">
      <c r="A204" t="s">
        <v>372</v>
      </c>
      <c r="J204" t="s">
        <v>488</v>
      </c>
    </row>
    <row r="205" spans="1:10" x14ac:dyDescent="0.3">
      <c r="A205" t="s">
        <v>373</v>
      </c>
      <c r="J205" t="s">
        <v>488</v>
      </c>
    </row>
    <row r="206" spans="1:10" x14ac:dyDescent="0.3">
      <c r="A206" t="s">
        <v>374</v>
      </c>
      <c r="J206" t="s">
        <v>488</v>
      </c>
    </row>
    <row r="207" spans="1:10" x14ac:dyDescent="0.3">
      <c r="A207" t="s">
        <v>375</v>
      </c>
      <c r="J207" t="s">
        <v>488</v>
      </c>
    </row>
    <row r="208" spans="1:10" x14ac:dyDescent="0.3">
      <c r="A208" t="s">
        <v>172</v>
      </c>
    </row>
    <row r="210" spans="1:10" x14ac:dyDescent="0.3">
      <c r="A210" t="s">
        <v>362</v>
      </c>
    </row>
    <row r="211" spans="1:10" x14ac:dyDescent="0.3">
      <c r="A211" t="s">
        <v>363</v>
      </c>
      <c r="J211" t="s">
        <v>488</v>
      </c>
    </row>
    <row r="212" spans="1:10" x14ac:dyDescent="0.3">
      <c r="A212" t="s">
        <v>172</v>
      </c>
    </row>
    <row r="214" spans="1:10" x14ac:dyDescent="0.3">
      <c r="A214" t="s">
        <v>457</v>
      </c>
    </row>
    <row r="215" spans="1:10" x14ac:dyDescent="0.3">
      <c r="A215" t="s">
        <v>458</v>
      </c>
      <c r="J215" s="13"/>
    </row>
    <row r="216" spans="1:10" x14ac:dyDescent="0.3">
      <c r="A216" t="s">
        <v>459</v>
      </c>
      <c r="J216" s="13"/>
    </row>
    <row r="217" spans="1:10" x14ac:dyDescent="0.3">
      <c r="A217" t="s">
        <v>460</v>
      </c>
      <c r="J217" s="13"/>
    </row>
    <row r="218" spans="1:10" x14ac:dyDescent="0.3">
      <c r="A218" t="s">
        <v>461</v>
      </c>
      <c r="J218" s="13"/>
    </row>
    <row r="219" spans="1:10" x14ac:dyDescent="0.3">
      <c r="A219" t="s">
        <v>462</v>
      </c>
      <c r="J219" s="13"/>
    </row>
    <row r="220" spans="1:10" x14ac:dyDescent="0.3">
      <c r="A220" t="s">
        <v>463</v>
      </c>
      <c r="J220" s="13"/>
    </row>
    <row r="221" spans="1:10" x14ac:dyDescent="0.3">
      <c r="A221" t="s">
        <v>464</v>
      </c>
      <c r="J221" s="13"/>
    </row>
    <row r="222" spans="1:10" x14ac:dyDescent="0.3">
      <c r="A222" t="s">
        <v>465</v>
      </c>
      <c r="J222" s="13"/>
    </row>
    <row r="223" spans="1:10" x14ac:dyDescent="0.3">
      <c r="A223" t="s">
        <v>466</v>
      </c>
      <c r="J223" s="13"/>
    </row>
    <row r="224" spans="1:10" x14ac:dyDescent="0.3">
      <c r="A224" t="s">
        <v>467</v>
      </c>
      <c r="J224" s="13"/>
    </row>
    <row r="225" spans="1:10" x14ac:dyDescent="0.3">
      <c r="A225" t="s">
        <v>468</v>
      </c>
      <c r="J225" s="13"/>
    </row>
    <row r="226" spans="1:10" x14ac:dyDescent="0.3">
      <c r="A226" t="s">
        <v>469</v>
      </c>
      <c r="J226" s="13"/>
    </row>
    <row r="227" spans="1:10" x14ac:dyDescent="0.3">
      <c r="A227" t="s">
        <v>470</v>
      </c>
      <c r="J227" s="13"/>
    </row>
    <row r="228" spans="1:10" x14ac:dyDescent="0.3">
      <c r="A228" t="s">
        <v>471</v>
      </c>
      <c r="J228" s="13"/>
    </row>
    <row r="229" spans="1:10" x14ac:dyDescent="0.3">
      <c r="A229" t="s">
        <v>472</v>
      </c>
      <c r="J229" s="13"/>
    </row>
    <row r="230" spans="1:10" x14ac:dyDescent="0.3">
      <c r="A230" t="s">
        <v>172</v>
      </c>
      <c r="J230" s="13"/>
    </row>
    <row r="231" spans="1:10" x14ac:dyDescent="0.3">
      <c r="J231" s="13"/>
    </row>
    <row r="232" spans="1:10" x14ac:dyDescent="0.3">
      <c r="J232" s="13"/>
    </row>
    <row r="233" spans="1:10" x14ac:dyDescent="0.3">
      <c r="A233" t="s">
        <v>473</v>
      </c>
      <c r="J233" s="13"/>
    </row>
    <row r="234" spans="1:10" x14ac:dyDescent="0.3">
      <c r="A234" t="s">
        <v>474</v>
      </c>
      <c r="J234" s="13"/>
    </row>
    <row r="237" spans="1:10" x14ac:dyDescent="0.3">
      <c r="A237" t="s">
        <v>475</v>
      </c>
    </row>
    <row r="238" spans="1:10" x14ac:dyDescent="0.3">
      <c r="A238" t="s">
        <v>476</v>
      </c>
    </row>
    <row r="240" spans="1:10" x14ac:dyDescent="0.3">
      <c r="A240" t="s">
        <v>477</v>
      </c>
    </row>
    <row r="242" spans="1:14" x14ac:dyDescent="0.3">
      <c r="A242" t="s">
        <v>250</v>
      </c>
      <c r="J242" s="25" t="s">
        <v>488</v>
      </c>
      <c r="K242" s="17"/>
    </row>
    <row r="243" spans="1:14" x14ac:dyDescent="0.3">
      <c r="A243" t="s">
        <v>478</v>
      </c>
      <c r="J243" s="25" t="s">
        <v>488</v>
      </c>
      <c r="K243" s="17"/>
    </row>
    <row r="244" spans="1:14" x14ac:dyDescent="0.3">
      <c r="A244" t="s">
        <v>172</v>
      </c>
      <c r="J244" s="25" t="s">
        <v>488</v>
      </c>
      <c r="K244" s="17"/>
    </row>
    <row r="246" spans="1:14" x14ac:dyDescent="0.3">
      <c r="A246" t="s">
        <v>479</v>
      </c>
    </row>
    <row r="247" spans="1:14" x14ac:dyDescent="0.3">
      <c r="A247" t="s">
        <v>480</v>
      </c>
      <c r="J247" s="25" t="s">
        <v>488</v>
      </c>
      <c r="K247" s="17"/>
    </row>
    <row r="248" spans="1:14" x14ac:dyDescent="0.3">
      <c r="A248" t="s">
        <v>481</v>
      </c>
      <c r="J248" s="25" t="s">
        <v>488</v>
      </c>
      <c r="K248" s="17"/>
    </row>
    <row r="249" spans="1:14" x14ac:dyDescent="0.3">
      <c r="A249" t="s">
        <v>482</v>
      </c>
      <c r="J249" s="25" t="s">
        <v>488</v>
      </c>
      <c r="K249" s="17"/>
    </row>
    <row r="250" spans="1:14" x14ac:dyDescent="0.3">
      <c r="A250" t="s">
        <v>483</v>
      </c>
      <c r="J250" s="25" t="s">
        <v>488</v>
      </c>
      <c r="K250" s="17"/>
    </row>
    <row r="251" spans="1:14" x14ac:dyDescent="0.3">
      <c r="A251" t="s">
        <v>484</v>
      </c>
      <c r="J251" s="25" t="s">
        <v>488</v>
      </c>
      <c r="K251" s="17"/>
    </row>
    <row r="252" spans="1:14" x14ac:dyDescent="0.3">
      <c r="A252" t="s">
        <v>485</v>
      </c>
      <c r="J252" s="25" t="s">
        <v>488</v>
      </c>
      <c r="K252" s="17"/>
    </row>
    <row r="253" spans="1:14" x14ac:dyDescent="0.3">
      <c r="A253" t="s">
        <v>172</v>
      </c>
    </row>
    <row r="255" spans="1:14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3">
      <c r="A256" s="4" t="s">
        <v>500</v>
      </c>
    </row>
    <row r="257" spans="1:10" x14ac:dyDescent="0.3">
      <c r="A257" t="s">
        <v>429</v>
      </c>
    </row>
    <row r="258" spans="1:10" x14ac:dyDescent="0.3">
      <c r="A258" t="s">
        <v>430</v>
      </c>
    </row>
    <row r="259" spans="1:10" x14ac:dyDescent="0.3">
      <c r="A259" t="s">
        <v>431</v>
      </c>
    </row>
    <row r="260" spans="1:10" x14ac:dyDescent="0.3">
      <c r="A260" t="s">
        <v>489</v>
      </c>
    </row>
    <row r="261" spans="1:10" x14ac:dyDescent="0.3">
      <c r="A261" t="s">
        <v>433</v>
      </c>
      <c r="J261" t="s">
        <v>498</v>
      </c>
    </row>
    <row r="262" spans="1:10" x14ac:dyDescent="0.3">
      <c r="A262" t="s">
        <v>105</v>
      </c>
      <c r="J262" t="s">
        <v>498</v>
      </c>
    </row>
    <row r="263" spans="1:10" x14ac:dyDescent="0.3">
      <c r="A263" t="s">
        <v>106</v>
      </c>
      <c r="J263" t="s">
        <v>498</v>
      </c>
    </row>
    <row r="264" spans="1:10" x14ac:dyDescent="0.3">
      <c r="A264" t="s">
        <v>107</v>
      </c>
      <c r="J264" t="s">
        <v>498</v>
      </c>
    </row>
    <row r="265" spans="1:10" x14ac:dyDescent="0.3">
      <c r="A265" t="s">
        <v>108</v>
      </c>
      <c r="J265" t="s">
        <v>498</v>
      </c>
    </row>
    <row r="266" spans="1:10" x14ac:dyDescent="0.3">
      <c r="A266" t="s">
        <v>109</v>
      </c>
      <c r="J266" t="s">
        <v>498</v>
      </c>
    </row>
    <row r="267" spans="1:10" x14ac:dyDescent="0.3">
      <c r="A267" t="s">
        <v>110</v>
      </c>
      <c r="J267" t="s">
        <v>498</v>
      </c>
    </row>
    <row r="268" spans="1:10" x14ac:dyDescent="0.3">
      <c r="A268" t="s">
        <v>111</v>
      </c>
      <c r="J268" t="s">
        <v>498</v>
      </c>
    </row>
    <row r="269" spans="1:10" x14ac:dyDescent="0.3">
      <c r="A269" t="s">
        <v>112</v>
      </c>
      <c r="J269" t="s">
        <v>498</v>
      </c>
    </row>
    <row r="270" spans="1:10" x14ac:dyDescent="0.3">
      <c r="A270" t="s">
        <v>113</v>
      </c>
      <c r="J270" t="s">
        <v>498</v>
      </c>
    </row>
    <row r="271" spans="1:10" x14ac:dyDescent="0.3">
      <c r="A271" t="s">
        <v>114</v>
      </c>
      <c r="J271" t="s">
        <v>498</v>
      </c>
    </row>
    <row r="272" spans="1:10" x14ac:dyDescent="0.3">
      <c r="A272" t="s">
        <v>115</v>
      </c>
      <c r="J272" t="s">
        <v>498</v>
      </c>
    </row>
    <row r="273" spans="1:10" x14ac:dyDescent="0.3">
      <c r="A273" t="s">
        <v>116</v>
      </c>
      <c r="J273" t="s">
        <v>498</v>
      </c>
    </row>
    <row r="274" spans="1:10" x14ac:dyDescent="0.3">
      <c r="A274" t="s">
        <v>117</v>
      </c>
      <c r="J274" t="s">
        <v>498</v>
      </c>
    </row>
    <row r="275" spans="1:10" x14ac:dyDescent="0.3">
      <c r="A275" t="s">
        <v>118</v>
      </c>
      <c r="J275" t="s">
        <v>498</v>
      </c>
    </row>
    <row r="276" spans="1:10" x14ac:dyDescent="0.3">
      <c r="A276" t="s">
        <v>119</v>
      </c>
      <c r="J276" t="s">
        <v>498</v>
      </c>
    </row>
    <row r="277" spans="1:10" x14ac:dyDescent="0.3">
      <c r="A277" t="s">
        <v>120</v>
      </c>
      <c r="J277" t="s">
        <v>498</v>
      </c>
    </row>
    <row r="278" spans="1:10" x14ac:dyDescent="0.3">
      <c r="A278" t="s">
        <v>122</v>
      </c>
    </row>
    <row r="279" spans="1:10" x14ac:dyDescent="0.3">
      <c r="A279" t="s">
        <v>60</v>
      </c>
      <c r="J279" t="s">
        <v>499</v>
      </c>
    </row>
    <row r="280" spans="1:10" x14ac:dyDescent="0.3">
      <c r="A280" t="s">
        <v>61</v>
      </c>
      <c r="J280" t="s">
        <v>499</v>
      </c>
    </row>
    <row r="281" spans="1:10" x14ac:dyDescent="0.3">
      <c r="A281" t="s">
        <v>62</v>
      </c>
      <c r="J281" t="s">
        <v>499</v>
      </c>
    </row>
    <row r="282" spans="1:10" x14ac:dyDescent="0.3">
      <c r="A282" t="s">
        <v>63</v>
      </c>
      <c r="J282" t="s">
        <v>499</v>
      </c>
    </row>
    <row r="283" spans="1:10" x14ac:dyDescent="0.3">
      <c r="A283" t="s">
        <v>64</v>
      </c>
      <c r="J283" t="s">
        <v>499</v>
      </c>
    </row>
    <row r="284" spans="1:10" x14ac:dyDescent="0.3">
      <c r="A284" t="s">
        <v>65</v>
      </c>
      <c r="J284" t="s">
        <v>499</v>
      </c>
    </row>
    <row r="285" spans="1:10" x14ac:dyDescent="0.3">
      <c r="A285" t="s">
        <v>66</v>
      </c>
      <c r="J285" t="s">
        <v>499</v>
      </c>
    </row>
    <row r="286" spans="1:10" x14ac:dyDescent="0.3">
      <c r="A286" t="s">
        <v>67</v>
      </c>
      <c r="J286" t="s">
        <v>499</v>
      </c>
    </row>
    <row r="287" spans="1:10" x14ac:dyDescent="0.3">
      <c r="A287" t="s">
        <v>68</v>
      </c>
      <c r="J287" t="s">
        <v>499</v>
      </c>
    </row>
    <row r="288" spans="1:10" x14ac:dyDescent="0.3">
      <c r="A288" t="s">
        <v>69</v>
      </c>
      <c r="J288" t="s">
        <v>499</v>
      </c>
    </row>
    <row r="289" spans="1:10" x14ac:dyDescent="0.3">
      <c r="A289" t="s">
        <v>70</v>
      </c>
      <c r="J289" t="s">
        <v>499</v>
      </c>
    </row>
    <row r="290" spans="1:10" x14ac:dyDescent="0.3">
      <c r="A290" t="s">
        <v>71</v>
      </c>
      <c r="J290" t="s">
        <v>499</v>
      </c>
    </row>
    <row r="291" spans="1:10" x14ac:dyDescent="0.3">
      <c r="A291" t="s">
        <v>72</v>
      </c>
      <c r="J291" t="s">
        <v>499</v>
      </c>
    </row>
    <row r="292" spans="1:10" x14ac:dyDescent="0.3">
      <c r="A292" t="s">
        <v>73</v>
      </c>
      <c r="J292" t="s">
        <v>499</v>
      </c>
    </row>
    <row r="293" spans="1:10" x14ac:dyDescent="0.3">
      <c r="A293" t="s">
        <v>74</v>
      </c>
      <c r="J293" t="s">
        <v>499</v>
      </c>
    </row>
    <row r="294" spans="1:10" x14ac:dyDescent="0.3">
      <c r="A294" t="s">
        <v>75</v>
      </c>
      <c r="J294" t="s">
        <v>499</v>
      </c>
    </row>
    <row r="295" spans="1:10" x14ac:dyDescent="0.3">
      <c r="A295" t="s">
        <v>76</v>
      </c>
      <c r="J295" t="s">
        <v>499</v>
      </c>
    </row>
    <row r="296" spans="1:10" x14ac:dyDescent="0.3">
      <c r="A296" t="s">
        <v>77</v>
      </c>
      <c r="J296" t="s">
        <v>499</v>
      </c>
    </row>
    <row r="297" spans="1:10" x14ac:dyDescent="0.3">
      <c r="A297" t="s">
        <v>78</v>
      </c>
      <c r="J297" t="s">
        <v>499</v>
      </c>
    </row>
    <row r="298" spans="1:10" x14ac:dyDescent="0.3">
      <c r="A298" t="s">
        <v>79</v>
      </c>
      <c r="J298" t="s">
        <v>499</v>
      </c>
    </row>
    <row r="299" spans="1:10" x14ac:dyDescent="0.3">
      <c r="A299" t="s">
        <v>80</v>
      </c>
      <c r="J299" t="s">
        <v>499</v>
      </c>
    </row>
    <row r="300" spans="1:10" x14ac:dyDescent="0.3">
      <c r="A300" t="s">
        <v>81</v>
      </c>
      <c r="J300" t="s">
        <v>499</v>
      </c>
    </row>
    <row r="301" spans="1:10" x14ac:dyDescent="0.3">
      <c r="A301" t="s">
        <v>82</v>
      </c>
      <c r="J301" t="s">
        <v>499</v>
      </c>
    </row>
    <row r="302" spans="1:10" x14ac:dyDescent="0.3">
      <c r="A302" t="s">
        <v>83</v>
      </c>
      <c r="J302" t="s">
        <v>499</v>
      </c>
    </row>
    <row r="303" spans="1:10" x14ac:dyDescent="0.3">
      <c r="A303" t="s">
        <v>84</v>
      </c>
      <c r="J303" t="s">
        <v>499</v>
      </c>
    </row>
    <row r="304" spans="1:10" x14ac:dyDescent="0.3">
      <c r="A304" t="s">
        <v>85</v>
      </c>
      <c r="J304" t="s">
        <v>499</v>
      </c>
    </row>
    <row r="305" spans="1:10" x14ac:dyDescent="0.3">
      <c r="A305" t="s">
        <v>86</v>
      </c>
      <c r="J305" t="s">
        <v>499</v>
      </c>
    </row>
    <row r="306" spans="1:10" x14ac:dyDescent="0.3">
      <c r="A306" t="s">
        <v>87</v>
      </c>
      <c r="J306" t="s">
        <v>499</v>
      </c>
    </row>
    <row r="307" spans="1:10" x14ac:dyDescent="0.3">
      <c r="A307" t="s">
        <v>88</v>
      </c>
      <c r="J307" t="s">
        <v>499</v>
      </c>
    </row>
    <row r="308" spans="1:10" x14ac:dyDescent="0.3">
      <c r="A308" t="s">
        <v>89</v>
      </c>
      <c r="J308" t="s">
        <v>499</v>
      </c>
    </row>
    <row r="309" spans="1:10" x14ac:dyDescent="0.3">
      <c r="A309" t="s">
        <v>90</v>
      </c>
      <c r="J309" t="s">
        <v>499</v>
      </c>
    </row>
    <row r="310" spans="1:10" x14ac:dyDescent="0.3">
      <c r="A310" t="s">
        <v>91</v>
      </c>
      <c r="J310" t="s">
        <v>499</v>
      </c>
    </row>
    <row r="311" spans="1:10" x14ac:dyDescent="0.3">
      <c r="A311" t="s">
        <v>92</v>
      </c>
      <c r="J311" t="s">
        <v>499</v>
      </c>
    </row>
    <row r="312" spans="1:10" x14ac:dyDescent="0.3">
      <c r="A312" t="s">
        <v>93</v>
      </c>
      <c r="J312" t="s">
        <v>499</v>
      </c>
    </row>
    <row r="313" spans="1:10" x14ac:dyDescent="0.3">
      <c r="A313" t="s">
        <v>94</v>
      </c>
      <c r="J313" t="s">
        <v>499</v>
      </c>
    </row>
    <row r="314" spans="1:10" x14ac:dyDescent="0.3">
      <c r="A314" t="s">
        <v>95</v>
      </c>
      <c r="J314" t="s">
        <v>499</v>
      </c>
    </row>
    <row r="315" spans="1:10" x14ac:dyDescent="0.3">
      <c r="A315" t="s">
        <v>96</v>
      </c>
      <c r="J315" t="s">
        <v>499</v>
      </c>
    </row>
    <row r="316" spans="1:10" x14ac:dyDescent="0.3">
      <c r="A316" t="s">
        <v>97</v>
      </c>
      <c r="J316" t="s">
        <v>499</v>
      </c>
    </row>
    <row r="317" spans="1:10" x14ac:dyDescent="0.3">
      <c r="A317" t="s">
        <v>98</v>
      </c>
      <c r="J317" t="s">
        <v>499</v>
      </c>
    </row>
    <row r="318" spans="1:10" x14ac:dyDescent="0.3">
      <c r="A318" t="s">
        <v>99</v>
      </c>
      <c r="J318" t="s">
        <v>499</v>
      </c>
    </row>
    <row r="319" spans="1:10" x14ac:dyDescent="0.3">
      <c r="A319" t="s">
        <v>100</v>
      </c>
      <c r="J319" t="s">
        <v>499</v>
      </c>
    </row>
    <row r="320" spans="1:10" x14ac:dyDescent="0.3">
      <c r="A320" t="s">
        <v>122</v>
      </c>
      <c r="J320" t="s">
        <v>499</v>
      </c>
    </row>
    <row r="321" spans="1:10" x14ac:dyDescent="0.3">
      <c r="A321" t="s">
        <v>126</v>
      </c>
      <c r="J321" t="s">
        <v>499</v>
      </c>
    </row>
    <row r="322" spans="1:10" x14ac:dyDescent="0.3">
      <c r="A322" t="s">
        <v>127</v>
      </c>
      <c r="J322" t="s">
        <v>499</v>
      </c>
    </row>
    <row r="323" spans="1:10" x14ac:dyDescent="0.3">
      <c r="A323" t="s">
        <v>128</v>
      </c>
      <c r="J323" t="s">
        <v>499</v>
      </c>
    </row>
    <row r="324" spans="1:10" x14ac:dyDescent="0.3">
      <c r="A324" t="s">
        <v>129</v>
      </c>
      <c r="J324" t="s">
        <v>499</v>
      </c>
    </row>
    <row r="325" spans="1:10" x14ac:dyDescent="0.3">
      <c r="A325" t="s">
        <v>130</v>
      </c>
      <c r="J325" t="s">
        <v>499</v>
      </c>
    </row>
    <row r="326" spans="1:10" x14ac:dyDescent="0.3">
      <c r="A326" t="s">
        <v>131</v>
      </c>
      <c r="J326" t="s">
        <v>499</v>
      </c>
    </row>
    <row r="327" spans="1:10" x14ac:dyDescent="0.3">
      <c r="A327" t="s">
        <v>132</v>
      </c>
      <c r="J327" t="s">
        <v>499</v>
      </c>
    </row>
    <row r="328" spans="1:10" x14ac:dyDescent="0.3">
      <c r="A328" t="s">
        <v>133</v>
      </c>
      <c r="J328" t="s">
        <v>499</v>
      </c>
    </row>
    <row r="329" spans="1:10" x14ac:dyDescent="0.3">
      <c r="A329" t="s">
        <v>134</v>
      </c>
      <c r="J329" t="s">
        <v>499</v>
      </c>
    </row>
    <row r="330" spans="1:10" x14ac:dyDescent="0.3">
      <c r="A330" t="s">
        <v>135</v>
      </c>
      <c r="J330" t="s">
        <v>499</v>
      </c>
    </row>
    <row r="331" spans="1:10" x14ac:dyDescent="0.3">
      <c r="A331" t="s">
        <v>136</v>
      </c>
      <c r="J331" t="s">
        <v>499</v>
      </c>
    </row>
    <row r="332" spans="1:10" x14ac:dyDescent="0.3">
      <c r="A332" t="s">
        <v>137</v>
      </c>
      <c r="J332" t="s">
        <v>499</v>
      </c>
    </row>
    <row r="333" spans="1:10" x14ac:dyDescent="0.3">
      <c r="A333" t="s">
        <v>138</v>
      </c>
      <c r="J333" t="s">
        <v>499</v>
      </c>
    </row>
    <row r="334" spans="1:10" x14ac:dyDescent="0.3">
      <c r="A334" t="s">
        <v>139</v>
      </c>
      <c r="J334" t="s">
        <v>499</v>
      </c>
    </row>
    <row r="335" spans="1:10" x14ac:dyDescent="0.3">
      <c r="A335" t="s">
        <v>140</v>
      </c>
      <c r="J335" t="s">
        <v>499</v>
      </c>
    </row>
    <row r="336" spans="1:10" x14ac:dyDescent="0.3">
      <c r="A336" t="s">
        <v>141</v>
      </c>
      <c r="J336" t="s">
        <v>499</v>
      </c>
    </row>
    <row r="337" spans="1:10" x14ac:dyDescent="0.3">
      <c r="A337" t="s">
        <v>142</v>
      </c>
      <c r="J337" t="s">
        <v>499</v>
      </c>
    </row>
    <row r="338" spans="1:10" x14ac:dyDescent="0.3">
      <c r="A338" t="s">
        <v>143</v>
      </c>
      <c r="J338" t="s">
        <v>499</v>
      </c>
    </row>
    <row r="339" spans="1:10" x14ac:dyDescent="0.3">
      <c r="A339" t="s">
        <v>144</v>
      </c>
      <c r="J339" t="s">
        <v>499</v>
      </c>
    </row>
    <row r="340" spans="1:10" x14ac:dyDescent="0.3">
      <c r="A340" t="s">
        <v>145</v>
      </c>
      <c r="J340" t="s">
        <v>499</v>
      </c>
    </row>
    <row r="341" spans="1:10" x14ac:dyDescent="0.3">
      <c r="A341" t="s">
        <v>146</v>
      </c>
      <c r="J341" t="s">
        <v>499</v>
      </c>
    </row>
    <row r="342" spans="1:10" x14ac:dyDescent="0.3">
      <c r="A342" t="s">
        <v>147</v>
      </c>
      <c r="J342" t="s">
        <v>499</v>
      </c>
    </row>
    <row r="343" spans="1:10" x14ac:dyDescent="0.3">
      <c r="A343" t="s">
        <v>148</v>
      </c>
      <c r="J343" t="s">
        <v>499</v>
      </c>
    </row>
    <row r="344" spans="1:10" x14ac:dyDescent="0.3">
      <c r="A344" t="s">
        <v>149</v>
      </c>
      <c r="J344" t="s">
        <v>499</v>
      </c>
    </row>
    <row r="345" spans="1:10" x14ac:dyDescent="0.3">
      <c r="A345" t="s">
        <v>150</v>
      </c>
      <c r="J345" t="s">
        <v>499</v>
      </c>
    </row>
    <row r="346" spans="1:10" x14ac:dyDescent="0.3">
      <c r="A346" t="s">
        <v>151</v>
      </c>
      <c r="J346" t="s">
        <v>499</v>
      </c>
    </row>
    <row r="347" spans="1:10" x14ac:dyDescent="0.3">
      <c r="A347" t="s">
        <v>152</v>
      </c>
      <c r="J347" t="s">
        <v>499</v>
      </c>
    </row>
    <row r="348" spans="1:10" x14ac:dyDescent="0.3">
      <c r="A348" t="s">
        <v>153</v>
      </c>
      <c r="J348" t="s">
        <v>499</v>
      </c>
    </row>
    <row r="349" spans="1:10" x14ac:dyDescent="0.3">
      <c r="A349" t="s">
        <v>154</v>
      </c>
      <c r="J349" t="s">
        <v>499</v>
      </c>
    </row>
    <row r="350" spans="1:10" x14ac:dyDescent="0.3">
      <c r="A350" t="s">
        <v>155</v>
      </c>
      <c r="J350" t="s">
        <v>499</v>
      </c>
    </row>
    <row r="351" spans="1:10" x14ac:dyDescent="0.3">
      <c r="A351" t="s">
        <v>156</v>
      </c>
      <c r="J351" t="s">
        <v>499</v>
      </c>
    </row>
    <row r="352" spans="1:10" x14ac:dyDescent="0.3">
      <c r="A352" t="s">
        <v>157</v>
      </c>
      <c r="J352" t="s">
        <v>499</v>
      </c>
    </row>
    <row r="353" spans="1:10" x14ac:dyDescent="0.3">
      <c r="A353" t="s">
        <v>158</v>
      </c>
      <c r="J353" t="s">
        <v>499</v>
      </c>
    </row>
    <row r="354" spans="1:10" x14ac:dyDescent="0.3">
      <c r="A354" t="s">
        <v>159</v>
      </c>
      <c r="J354" t="s">
        <v>499</v>
      </c>
    </row>
    <row r="355" spans="1:10" x14ac:dyDescent="0.3">
      <c r="A355" t="s">
        <v>160</v>
      </c>
      <c r="J355" t="s">
        <v>499</v>
      </c>
    </row>
    <row r="356" spans="1:10" x14ac:dyDescent="0.3">
      <c r="A356" t="s">
        <v>161</v>
      </c>
      <c r="J356" t="s">
        <v>499</v>
      </c>
    </row>
    <row r="357" spans="1:10" x14ac:dyDescent="0.3">
      <c r="A357" t="s">
        <v>162</v>
      </c>
      <c r="J357" t="s">
        <v>499</v>
      </c>
    </row>
    <row r="358" spans="1:10" x14ac:dyDescent="0.3">
      <c r="A358" t="s">
        <v>163</v>
      </c>
      <c r="J358" t="s">
        <v>499</v>
      </c>
    </row>
    <row r="359" spans="1:10" x14ac:dyDescent="0.3">
      <c r="A359" t="s">
        <v>164</v>
      </c>
      <c r="J359" t="s">
        <v>499</v>
      </c>
    </row>
    <row r="360" spans="1:10" x14ac:dyDescent="0.3">
      <c r="A360" t="s">
        <v>165</v>
      </c>
      <c r="J360" t="s">
        <v>499</v>
      </c>
    </row>
    <row r="361" spans="1:10" x14ac:dyDescent="0.3">
      <c r="A361" t="s">
        <v>166</v>
      </c>
      <c r="J361" t="s">
        <v>499</v>
      </c>
    </row>
    <row r="362" spans="1:10" x14ac:dyDescent="0.3">
      <c r="A362" t="s">
        <v>172</v>
      </c>
    </row>
    <row r="364" spans="1:10" x14ac:dyDescent="0.3">
      <c r="A364" t="s">
        <v>437</v>
      </c>
    </row>
    <row r="365" spans="1:10" x14ac:dyDescent="0.3">
      <c r="A365" t="s">
        <v>490</v>
      </c>
      <c r="J365" t="s">
        <v>499</v>
      </c>
    </row>
    <row r="366" spans="1:10" x14ac:dyDescent="0.3">
      <c r="A366" t="s">
        <v>491</v>
      </c>
      <c r="J366" t="s">
        <v>499</v>
      </c>
    </row>
    <row r="367" spans="1:10" x14ac:dyDescent="0.3">
      <c r="A367" t="s">
        <v>492</v>
      </c>
      <c r="J367" t="s">
        <v>499</v>
      </c>
    </row>
    <row r="369" spans="1:10" x14ac:dyDescent="0.3">
      <c r="A369" t="s">
        <v>429</v>
      </c>
    </row>
    <row r="370" spans="1:10" x14ac:dyDescent="0.3">
      <c r="A370" t="s">
        <v>440</v>
      </c>
    </row>
    <row r="371" spans="1:10" x14ac:dyDescent="0.3">
      <c r="A371" t="s">
        <v>167</v>
      </c>
    </row>
    <row r="372" spans="1:10" x14ac:dyDescent="0.3">
      <c r="A372" t="s">
        <v>168</v>
      </c>
      <c r="J372" t="s">
        <v>418</v>
      </c>
    </row>
    <row r="373" spans="1:10" x14ac:dyDescent="0.3">
      <c r="A373" t="s">
        <v>169</v>
      </c>
      <c r="J373" t="s">
        <v>418</v>
      </c>
    </row>
    <row r="374" spans="1:10" x14ac:dyDescent="0.3">
      <c r="A374" t="s">
        <v>170</v>
      </c>
      <c r="J374" t="s">
        <v>418</v>
      </c>
    </row>
    <row r="375" spans="1:10" x14ac:dyDescent="0.3">
      <c r="A375" t="s">
        <v>171</v>
      </c>
      <c r="J375" t="s">
        <v>418</v>
      </c>
    </row>
    <row r="376" spans="1:10" x14ac:dyDescent="0.3">
      <c r="A376" t="s">
        <v>172</v>
      </c>
    </row>
    <row r="378" spans="1:10" x14ac:dyDescent="0.3">
      <c r="A378" t="s">
        <v>167</v>
      </c>
    </row>
    <row r="379" spans="1:10" x14ac:dyDescent="0.3">
      <c r="A379" t="s">
        <v>173</v>
      </c>
      <c r="J379" t="s">
        <v>418</v>
      </c>
    </row>
    <row r="380" spans="1:10" x14ac:dyDescent="0.3">
      <c r="A380" t="s">
        <v>174</v>
      </c>
      <c r="J380" t="s">
        <v>418</v>
      </c>
    </row>
    <row r="381" spans="1:10" x14ac:dyDescent="0.3">
      <c r="A381" t="s">
        <v>175</v>
      </c>
      <c r="J381" t="s">
        <v>418</v>
      </c>
    </row>
    <row r="382" spans="1:10" x14ac:dyDescent="0.3">
      <c r="A382" t="s">
        <v>176</v>
      </c>
      <c r="J382" t="s">
        <v>418</v>
      </c>
    </row>
    <row r="383" spans="1:10" x14ac:dyDescent="0.3">
      <c r="A383" t="s">
        <v>177</v>
      </c>
      <c r="J383" t="s">
        <v>418</v>
      </c>
    </row>
    <row r="384" spans="1:10" x14ac:dyDescent="0.3">
      <c r="A384" t="s">
        <v>172</v>
      </c>
    </row>
    <row r="386" spans="1:11" x14ac:dyDescent="0.3">
      <c r="A386" t="s">
        <v>178</v>
      </c>
      <c r="J386" t="s">
        <v>418</v>
      </c>
    </row>
    <row r="387" spans="1:11" x14ac:dyDescent="0.3">
      <c r="A387" t="s">
        <v>493</v>
      </c>
      <c r="J387" s="25" t="s">
        <v>488</v>
      </c>
      <c r="K387" s="17"/>
    </row>
    <row r="388" spans="1:11" x14ac:dyDescent="0.3">
      <c r="A388" t="s">
        <v>494</v>
      </c>
      <c r="J388" s="25" t="s">
        <v>488</v>
      </c>
      <c r="K388" s="17"/>
    </row>
    <row r="390" spans="1:11" x14ac:dyDescent="0.3">
      <c r="A390" t="s">
        <v>179</v>
      </c>
    </row>
    <row r="391" spans="1:11" x14ac:dyDescent="0.3">
      <c r="A391" t="s">
        <v>180</v>
      </c>
      <c r="J391" t="s">
        <v>418</v>
      </c>
    </row>
    <row r="392" spans="1:11" x14ac:dyDescent="0.3">
      <c r="A392" t="s">
        <v>181</v>
      </c>
      <c r="J392" t="s">
        <v>418</v>
      </c>
    </row>
    <row r="393" spans="1:11" x14ac:dyDescent="0.3">
      <c r="A393" t="s">
        <v>182</v>
      </c>
      <c r="J393" t="s">
        <v>418</v>
      </c>
    </row>
    <row r="394" spans="1:11" x14ac:dyDescent="0.3">
      <c r="A394" t="s">
        <v>183</v>
      </c>
      <c r="J394" t="s">
        <v>418</v>
      </c>
    </row>
    <row r="395" spans="1:11" x14ac:dyDescent="0.3">
      <c r="A395" t="s">
        <v>184</v>
      </c>
      <c r="J395" t="s">
        <v>418</v>
      </c>
    </row>
    <row r="396" spans="1:11" x14ac:dyDescent="0.3">
      <c r="A396" t="s">
        <v>185</v>
      </c>
      <c r="J396" t="s">
        <v>418</v>
      </c>
    </row>
    <row r="397" spans="1:11" x14ac:dyDescent="0.3">
      <c r="A397" t="s">
        <v>186</v>
      </c>
      <c r="J397" t="s">
        <v>418</v>
      </c>
    </row>
    <row r="398" spans="1:11" x14ac:dyDescent="0.3">
      <c r="A398" t="s">
        <v>187</v>
      </c>
      <c r="J398" t="s">
        <v>418</v>
      </c>
    </row>
    <row r="399" spans="1:11" x14ac:dyDescent="0.3">
      <c r="A399" t="s">
        <v>172</v>
      </c>
    </row>
    <row r="401" spans="1:10" x14ac:dyDescent="0.3">
      <c r="A401" t="s">
        <v>495</v>
      </c>
    </row>
    <row r="402" spans="1:10" x14ac:dyDescent="0.3">
      <c r="A402" t="s">
        <v>496</v>
      </c>
    </row>
    <row r="403" spans="1:10" x14ac:dyDescent="0.3">
      <c r="A403" t="s">
        <v>198</v>
      </c>
      <c r="B403">
        <v>0</v>
      </c>
      <c r="J403" t="s">
        <v>486</v>
      </c>
    </row>
    <row r="404" spans="1:10" x14ac:dyDescent="0.3">
      <c r="A404" t="s">
        <v>199</v>
      </c>
      <c r="B404">
        <v>-2.5821561999999999E-2</v>
      </c>
      <c r="J404" t="s">
        <v>486</v>
      </c>
    </row>
    <row r="405" spans="1:10" x14ac:dyDescent="0.3">
      <c r="A405" t="s">
        <v>200</v>
      </c>
      <c r="B405">
        <v>-7.1943584000000005E-2</v>
      </c>
      <c r="J405" t="s">
        <v>486</v>
      </c>
    </row>
    <row r="406" spans="1:10" x14ac:dyDescent="0.3">
      <c r="A406" t="s">
        <v>201</v>
      </c>
      <c r="B406">
        <v>-0.30842335599999998</v>
      </c>
      <c r="J406" t="s">
        <v>486</v>
      </c>
    </row>
    <row r="407" spans="1:10" x14ac:dyDescent="0.3">
      <c r="A407" t="s">
        <v>202</v>
      </c>
      <c r="B407">
        <v>-0.116453453</v>
      </c>
      <c r="J407" t="s">
        <v>486</v>
      </c>
    </row>
    <row r="408" spans="1:10" x14ac:dyDescent="0.3">
      <c r="A408" t="s">
        <v>203</v>
      </c>
      <c r="B408">
        <v>-9.2785686000000006E-2</v>
      </c>
      <c r="J408" t="s">
        <v>486</v>
      </c>
    </row>
    <row r="409" spans="1:10" x14ac:dyDescent="0.3">
      <c r="A409" t="s">
        <v>204</v>
      </c>
      <c r="B409">
        <v>-0.34920402</v>
      </c>
      <c r="J409" t="s">
        <v>486</v>
      </c>
    </row>
    <row r="410" spans="1:10" x14ac:dyDescent="0.3">
      <c r="A410" t="s">
        <v>205</v>
      </c>
      <c r="B410">
        <v>-2.7414646000000001E-2</v>
      </c>
      <c r="J410" t="s">
        <v>486</v>
      </c>
    </row>
    <row r="411" spans="1:10" x14ac:dyDescent="0.3">
      <c r="A411" t="s">
        <v>206</v>
      </c>
      <c r="B411">
        <v>-0.18871505</v>
      </c>
      <c r="J411" t="s">
        <v>486</v>
      </c>
    </row>
    <row r="412" spans="1:10" x14ac:dyDescent="0.3">
      <c r="A412" t="s">
        <v>207</v>
      </c>
      <c r="B412">
        <v>-4.2374818000000002E-2</v>
      </c>
      <c r="J412" t="s">
        <v>486</v>
      </c>
    </row>
    <row r="413" spans="1:10" x14ac:dyDescent="0.3">
      <c r="A413" t="s">
        <v>208</v>
      </c>
      <c r="B413">
        <v>-2.0604602E-2</v>
      </c>
      <c r="J413" t="s">
        <v>486</v>
      </c>
    </row>
    <row r="414" spans="1:10" x14ac:dyDescent="0.3">
      <c r="A414" t="s">
        <v>209</v>
      </c>
      <c r="B414">
        <v>-5.9525482999999997E-2</v>
      </c>
      <c r="J414" t="s">
        <v>486</v>
      </c>
    </row>
    <row r="415" spans="1:10" x14ac:dyDescent="0.3">
      <c r="A415" t="s">
        <v>210</v>
      </c>
      <c r="B415">
        <v>-0.31948262399999999</v>
      </c>
      <c r="J415" t="s">
        <v>486</v>
      </c>
    </row>
    <row r="416" spans="1:10" x14ac:dyDescent="0.3">
      <c r="A416" t="s">
        <v>211</v>
      </c>
      <c r="B416">
        <v>-0.48607881800000002</v>
      </c>
      <c r="J416" t="s">
        <v>486</v>
      </c>
    </row>
    <row r="417" spans="1:10" x14ac:dyDescent="0.3">
      <c r="A417" t="s">
        <v>212</v>
      </c>
      <c r="B417">
        <v>-0.132021841</v>
      </c>
      <c r="J417" t="s">
        <v>486</v>
      </c>
    </row>
    <row r="418" spans="1:10" x14ac:dyDescent="0.3">
      <c r="A418" t="s">
        <v>213</v>
      </c>
      <c r="B418">
        <v>-5.5975430999999999E-2</v>
      </c>
      <c r="J418" t="s">
        <v>486</v>
      </c>
    </row>
    <row r="419" spans="1:10" x14ac:dyDescent="0.3">
      <c r="A419" t="s">
        <v>214</v>
      </c>
      <c r="B419">
        <v>-0.16445589099999999</v>
      </c>
      <c r="J419" t="s">
        <v>486</v>
      </c>
    </row>
    <row r="420" spans="1:10" x14ac:dyDescent="0.3">
      <c r="A420" t="s">
        <v>215</v>
      </c>
      <c r="B420">
        <v>-5.2178064000000003E-2</v>
      </c>
      <c r="J420" t="s">
        <v>486</v>
      </c>
    </row>
    <row r="421" spans="1:10" x14ac:dyDescent="0.3">
      <c r="A421" t="s">
        <v>216</v>
      </c>
      <c r="B421">
        <v>0</v>
      </c>
      <c r="J421" t="s">
        <v>486</v>
      </c>
    </row>
    <row r="422" spans="1:10" x14ac:dyDescent="0.3">
      <c r="A422" t="s">
        <v>217</v>
      </c>
      <c r="B422">
        <v>-0.44990544399999999</v>
      </c>
      <c r="J422" t="s">
        <v>486</v>
      </c>
    </row>
    <row r="423" spans="1:10" x14ac:dyDescent="0.3">
      <c r="A423" t="s">
        <v>218</v>
      </c>
      <c r="B423">
        <v>-4.3231341E-2</v>
      </c>
      <c r="J423" t="s">
        <v>486</v>
      </c>
    </row>
    <row r="424" spans="1:10" x14ac:dyDescent="0.3">
      <c r="A424" t="s">
        <v>219</v>
      </c>
      <c r="B424">
        <v>-0.10406538</v>
      </c>
      <c r="J424" t="s">
        <v>486</v>
      </c>
    </row>
    <row r="425" spans="1:10" x14ac:dyDescent="0.3">
      <c r="A425" t="s">
        <v>220</v>
      </c>
      <c r="B425">
        <v>-2.7412501999999998E-2</v>
      </c>
      <c r="J425" t="s">
        <v>486</v>
      </c>
    </row>
    <row r="426" spans="1:10" x14ac:dyDescent="0.3">
      <c r="A426" t="s">
        <v>221</v>
      </c>
      <c r="B426">
        <v>0</v>
      </c>
      <c r="J426" t="s">
        <v>486</v>
      </c>
    </row>
    <row r="427" spans="1:10" x14ac:dyDescent="0.3">
      <c r="A427" t="s">
        <v>222</v>
      </c>
      <c r="B427">
        <v>-2.0604511999999998E-2</v>
      </c>
      <c r="J427" t="s">
        <v>486</v>
      </c>
    </row>
    <row r="428" spans="1:10" x14ac:dyDescent="0.3">
      <c r="A428" t="s">
        <v>223</v>
      </c>
      <c r="B428">
        <v>-9.8434289999999994E-2</v>
      </c>
      <c r="J428" t="s">
        <v>486</v>
      </c>
    </row>
    <row r="429" spans="1:10" x14ac:dyDescent="0.3">
      <c r="A429" t="s">
        <v>224</v>
      </c>
      <c r="B429">
        <v>-0.236125697</v>
      </c>
      <c r="J429" t="s">
        <v>486</v>
      </c>
    </row>
    <row r="430" spans="1:10" x14ac:dyDescent="0.3">
      <c r="A430" t="s">
        <v>225</v>
      </c>
      <c r="B430">
        <v>-0.345665736</v>
      </c>
      <c r="J430" t="s">
        <v>486</v>
      </c>
    </row>
    <row r="431" spans="1:10" x14ac:dyDescent="0.3">
      <c r="A431" t="s">
        <v>226</v>
      </c>
      <c r="B431">
        <v>-6.9904252E-2</v>
      </c>
      <c r="J431" t="s">
        <v>486</v>
      </c>
    </row>
    <row r="432" spans="1:10" x14ac:dyDescent="0.3">
      <c r="A432" t="s">
        <v>227</v>
      </c>
      <c r="B432">
        <v>-7.5737030999999996E-2</v>
      </c>
      <c r="J432" t="s">
        <v>486</v>
      </c>
    </row>
    <row r="433" spans="1:10" x14ac:dyDescent="0.3">
      <c r="A433" t="s">
        <v>228</v>
      </c>
      <c r="B433">
        <v>-0.28645984299999999</v>
      </c>
      <c r="J433" t="s">
        <v>486</v>
      </c>
    </row>
    <row r="434" spans="1:10" x14ac:dyDescent="0.3">
      <c r="A434" t="s">
        <v>229</v>
      </c>
      <c r="B434">
        <v>-2.7414517999999999E-2</v>
      </c>
      <c r="J434" t="s">
        <v>486</v>
      </c>
    </row>
    <row r="435" spans="1:10" x14ac:dyDescent="0.3">
      <c r="A435" t="s">
        <v>230</v>
      </c>
      <c r="B435">
        <v>-0.13354876199999999</v>
      </c>
      <c r="J435" t="s">
        <v>486</v>
      </c>
    </row>
    <row r="436" spans="1:10" x14ac:dyDescent="0.3">
      <c r="A436" t="s">
        <v>231</v>
      </c>
      <c r="B436">
        <v>-5.6126798999999998E-2</v>
      </c>
      <c r="J436" t="s">
        <v>486</v>
      </c>
    </row>
    <row r="437" spans="1:10" x14ac:dyDescent="0.3">
      <c r="A437" t="s">
        <v>232</v>
      </c>
      <c r="B437">
        <v>-5.9525646000000002E-2</v>
      </c>
      <c r="J437" t="s">
        <v>486</v>
      </c>
    </row>
    <row r="438" spans="1:10" x14ac:dyDescent="0.3">
      <c r="A438" t="s">
        <v>233</v>
      </c>
      <c r="B438">
        <v>-0.42589154099999998</v>
      </c>
      <c r="J438" t="s">
        <v>486</v>
      </c>
    </row>
    <row r="439" spans="1:10" x14ac:dyDescent="0.3">
      <c r="A439" t="s">
        <v>234</v>
      </c>
      <c r="B439">
        <v>-0.26951604499999998</v>
      </c>
      <c r="J439" t="s">
        <v>486</v>
      </c>
    </row>
    <row r="440" spans="1:10" x14ac:dyDescent="0.3">
      <c r="A440" t="s">
        <v>235</v>
      </c>
      <c r="B440">
        <v>-2.7414747999999999E-2</v>
      </c>
      <c r="J440" t="s">
        <v>486</v>
      </c>
    </row>
    <row r="441" spans="1:10" x14ac:dyDescent="0.3">
      <c r="A441" t="s">
        <v>236</v>
      </c>
      <c r="B441">
        <v>0</v>
      </c>
      <c r="J441" t="s">
        <v>486</v>
      </c>
    </row>
    <row r="442" spans="1:10" x14ac:dyDescent="0.3">
      <c r="A442" t="s">
        <v>237</v>
      </c>
      <c r="B442">
        <v>-3.0381807E-2</v>
      </c>
      <c r="J442" t="s">
        <v>486</v>
      </c>
    </row>
    <row r="443" spans="1:10" x14ac:dyDescent="0.3">
      <c r="A443" t="s">
        <v>238</v>
      </c>
      <c r="B443">
        <v>-0.214916306</v>
      </c>
      <c r="J443" t="s">
        <v>486</v>
      </c>
    </row>
    <row r="444" spans="1:10" x14ac:dyDescent="0.3">
      <c r="A444" t="s">
        <v>239</v>
      </c>
      <c r="B444">
        <v>-6.6362719000000001E-2</v>
      </c>
      <c r="J444" t="s">
        <v>486</v>
      </c>
    </row>
    <row r="445" spans="1:10" x14ac:dyDescent="0.3">
      <c r="A445" t="s">
        <v>240</v>
      </c>
      <c r="B445">
        <v>-0.20272855000000001</v>
      </c>
      <c r="J445" t="s">
        <v>486</v>
      </c>
    </row>
    <row r="446" spans="1:10" x14ac:dyDescent="0.3">
      <c r="A446" t="s">
        <v>241</v>
      </c>
      <c r="B446">
        <v>-0.26259205800000002</v>
      </c>
      <c r="J446" t="s">
        <v>486</v>
      </c>
    </row>
    <row r="447" spans="1:10" x14ac:dyDescent="0.3">
      <c r="A447" t="s">
        <v>242</v>
      </c>
      <c r="B447">
        <v>-5.2995222000000002E-2</v>
      </c>
      <c r="J447" t="s">
        <v>486</v>
      </c>
    </row>
    <row r="448" spans="1:10" x14ac:dyDescent="0.3">
      <c r="A448" t="s">
        <v>243</v>
      </c>
      <c r="B448">
        <v>-9.7307683000000006E-2</v>
      </c>
      <c r="J448" t="s">
        <v>486</v>
      </c>
    </row>
    <row r="449" spans="1:10" x14ac:dyDescent="0.3">
      <c r="A449" t="s">
        <v>244</v>
      </c>
      <c r="B449">
        <v>-0.522650116</v>
      </c>
      <c r="J449" t="s">
        <v>486</v>
      </c>
    </row>
    <row r="450" spans="1:10" x14ac:dyDescent="0.3">
      <c r="A450" t="s">
        <v>245</v>
      </c>
      <c r="B450">
        <v>-0.190038175</v>
      </c>
      <c r="J450" t="s">
        <v>486</v>
      </c>
    </row>
    <row r="451" spans="1:10" x14ac:dyDescent="0.3">
      <c r="A451" t="s">
        <v>246</v>
      </c>
      <c r="B451">
        <v>-2.9109883999999999E-2</v>
      </c>
      <c r="J451" t="s">
        <v>486</v>
      </c>
    </row>
    <row r="452" spans="1:10" x14ac:dyDescent="0.3">
      <c r="A452" t="s">
        <v>247</v>
      </c>
      <c r="B452">
        <v>-0.14338672399999999</v>
      </c>
      <c r="J452" t="s">
        <v>486</v>
      </c>
    </row>
    <row r="453" spans="1:10" x14ac:dyDescent="0.3">
      <c r="A453" t="s">
        <v>248</v>
      </c>
      <c r="B453">
        <v>0</v>
      </c>
      <c r="J453" t="s">
        <v>486</v>
      </c>
    </row>
    <row r="454" spans="1:10" x14ac:dyDescent="0.3">
      <c r="A454" t="s">
        <v>172</v>
      </c>
    </row>
    <row r="458" spans="1:10" x14ac:dyDescent="0.3">
      <c r="A458" t="s">
        <v>249</v>
      </c>
      <c r="J458" t="s">
        <v>486</v>
      </c>
    </row>
    <row r="460" spans="1:10" x14ac:dyDescent="0.3">
      <c r="A460" t="s">
        <v>250</v>
      </c>
    </row>
    <row r="461" spans="1:10" x14ac:dyDescent="0.3">
      <c r="A461" t="s">
        <v>251</v>
      </c>
      <c r="J461" t="s">
        <v>486</v>
      </c>
    </row>
    <row r="462" spans="1:10" x14ac:dyDescent="0.3">
      <c r="A462" t="s">
        <v>252</v>
      </c>
      <c r="J462" t="s">
        <v>486</v>
      </c>
    </row>
    <row r="463" spans="1:10" x14ac:dyDescent="0.3">
      <c r="A463" t="s">
        <v>253</v>
      </c>
      <c r="J463" t="s">
        <v>486</v>
      </c>
    </row>
    <row r="464" spans="1:10" x14ac:dyDescent="0.3">
      <c r="A464" t="s">
        <v>254</v>
      </c>
      <c r="J464" t="s">
        <v>486</v>
      </c>
    </row>
    <row r="465" spans="1:10" x14ac:dyDescent="0.3">
      <c r="A465" t="s">
        <v>172</v>
      </c>
    </row>
    <row r="468" spans="1:10" x14ac:dyDescent="0.3">
      <c r="A468" t="s">
        <v>262</v>
      </c>
      <c r="J468" t="s">
        <v>488</v>
      </c>
    </row>
    <row r="470" spans="1:10" x14ac:dyDescent="0.3">
      <c r="A470" t="s">
        <v>263</v>
      </c>
    </row>
    <row r="471" spans="1:10" x14ac:dyDescent="0.3">
      <c r="A471" t="s">
        <v>264</v>
      </c>
      <c r="J471" s="13"/>
    </row>
    <row r="472" spans="1:10" x14ac:dyDescent="0.3">
      <c r="A472" t="s">
        <v>265</v>
      </c>
      <c r="J472" s="13"/>
    </row>
    <row r="473" spans="1:10" x14ac:dyDescent="0.3">
      <c r="A473" t="s">
        <v>266</v>
      </c>
      <c r="J473" s="13"/>
    </row>
    <row r="474" spans="1:10" x14ac:dyDescent="0.3">
      <c r="A474" t="s">
        <v>265</v>
      </c>
      <c r="J474" s="13"/>
    </row>
    <row r="475" spans="1:10" x14ac:dyDescent="0.3">
      <c r="A475" t="s">
        <v>267</v>
      </c>
      <c r="J475" s="13"/>
    </row>
    <row r="476" spans="1:10" x14ac:dyDescent="0.3">
      <c r="A476" t="s">
        <v>265</v>
      </c>
      <c r="J476" s="13"/>
    </row>
    <row r="478" spans="1:10" x14ac:dyDescent="0.3">
      <c r="A478" t="s">
        <v>497</v>
      </c>
    </row>
    <row r="479" spans="1:10" x14ac:dyDescent="0.3">
      <c r="A479" t="s">
        <v>193</v>
      </c>
    </row>
    <row r="480" spans="1:10" x14ac:dyDescent="0.3">
      <c r="A480" t="s">
        <v>194</v>
      </c>
    </row>
    <row r="481" spans="1:14" x14ac:dyDescent="0.3">
      <c r="A481" t="s">
        <v>195</v>
      </c>
      <c r="J481" t="s">
        <v>417</v>
      </c>
    </row>
    <row r="482" spans="1:14" x14ac:dyDescent="0.3">
      <c r="A482" t="s">
        <v>196</v>
      </c>
      <c r="J482" t="s">
        <v>417</v>
      </c>
    </row>
    <row r="486" spans="1:14" x14ac:dyDescent="0.3">
      <c r="A486" t="s">
        <v>179</v>
      </c>
    </row>
    <row r="487" spans="1:14" x14ac:dyDescent="0.3">
      <c r="A487" t="s">
        <v>260</v>
      </c>
      <c r="J487" t="s">
        <v>418</v>
      </c>
    </row>
    <row r="488" spans="1:14" x14ac:dyDescent="0.3">
      <c r="A488" t="s">
        <v>172</v>
      </c>
    </row>
    <row r="490" spans="1:14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3">
      <c r="A491" s="4" t="s">
        <v>501</v>
      </c>
    </row>
    <row r="493" spans="1:14" x14ac:dyDescent="0.3">
      <c r="A493" t="s">
        <v>502</v>
      </c>
    </row>
    <row r="494" spans="1:14" x14ac:dyDescent="0.3">
      <c r="A494" t="s">
        <v>503</v>
      </c>
    </row>
    <row r="495" spans="1:14" x14ac:dyDescent="0.3">
      <c r="A495" t="s">
        <v>504</v>
      </c>
      <c r="J495" s="34"/>
    </row>
    <row r="496" spans="1:14" x14ac:dyDescent="0.3">
      <c r="A496" t="s">
        <v>505</v>
      </c>
      <c r="J496" s="34"/>
    </row>
    <row r="497" spans="1:10" x14ac:dyDescent="0.3">
      <c r="A497" t="s">
        <v>506</v>
      </c>
      <c r="J497" s="34"/>
    </row>
    <row r="498" spans="1:10" x14ac:dyDescent="0.3">
      <c r="A498" t="s">
        <v>507</v>
      </c>
      <c r="J498" s="34"/>
    </row>
    <row r="499" spans="1:10" x14ac:dyDescent="0.3">
      <c r="A499" t="s">
        <v>508</v>
      </c>
      <c r="J499" s="34"/>
    </row>
    <row r="500" spans="1:10" x14ac:dyDescent="0.3">
      <c r="A500" t="s">
        <v>509</v>
      </c>
      <c r="J500" s="34"/>
    </row>
    <row r="501" spans="1:10" x14ac:dyDescent="0.3">
      <c r="A501" t="s">
        <v>510</v>
      </c>
      <c r="J501" s="34"/>
    </row>
    <row r="502" spans="1:10" x14ac:dyDescent="0.3">
      <c r="A502" t="s">
        <v>511</v>
      </c>
      <c r="J502" s="34"/>
    </row>
    <row r="503" spans="1:10" x14ac:dyDescent="0.3">
      <c r="A503" t="s">
        <v>512</v>
      </c>
      <c r="J503" s="34"/>
    </row>
    <row r="504" spans="1:10" x14ac:dyDescent="0.3">
      <c r="A504" t="s">
        <v>513</v>
      </c>
      <c r="J504" s="34"/>
    </row>
    <row r="505" spans="1:10" x14ac:dyDescent="0.3">
      <c r="A505" t="s">
        <v>514</v>
      </c>
      <c r="J505" s="34"/>
    </row>
    <row r="506" spans="1:10" x14ac:dyDescent="0.3">
      <c r="A506" t="s">
        <v>515</v>
      </c>
      <c r="J506" s="34"/>
    </row>
    <row r="507" spans="1:10" x14ac:dyDescent="0.3">
      <c r="A507" t="s">
        <v>516</v>
      </c>
      <c r="J507" s="34"/>
    </row>
    <row r="508" spans="1:10" x14ac:dyDescent="0.3">
      <c r="A508" t="s">
        <v>517</v>
      </c>
      <c r="J508" s="34"/>
    </row>
    <row r="509" spans="1:10" x14ac:dyDescent="0.3">
      <c r="A509" t="s">
        <v>518</v>
      </c>
      <c r="J509" s="34"/>
    </row>
    <row r="510" spans="1:10" x14ac:dyDescent="0.3">
      <c r="A510" t="s">
        <v>519</v>
      </c>
      <c r="J510" s="34"/>
    </row>
    <row r="512" spans="1:10" x14ac:dyDescent="0.3">
      <c r="A512" t="s">
        <v>502</v>
      </c>
    </row>
    <row r="513" spans="1:10" x14ac:dyDescent="0.3">
      <c r="A513" t="s">
        <v>520</v>
      </c>
    </row>
    <row r="514" spans="1:10" x14ac:dyDescent="0.3">
      <c r="A514" t="s">
        <v>303</v>
      </c>
      <c r="J514" t="s">
        <v>486</v>
      </c>
    </row>
    <row r="515" spans="1:10" x14ac:dyDescent="0.3">
      <c r="A515" t="s">
        <v>304</v>
      </c>
      <c r="J515" t="s">
        <v>486</v>
      </c>
    </row>
    <row r="516" spans="1:10" x14ac:dyDescent="0.3">
      <c r="A516" t="s">
        <v>305</v>
      </c>
      <c r="J516" t="s">
        <v>486</v>
      </c>
    </row>
    <row r="517" spans="1:10" x14ac:dyDescent="0.3">
      <c r="A517" t="s">
        <v>306</v>
      </c>
      <c r="J517" t="s">
        <v>486</v>
      </c>
    </row>
    <row r="518" spans="1:10" x14ac:dyDescent="0.3">
      <c r="A518" t="s">
        <v>307</v>
      </c>
      <c r="J518" t="s">
        <v>486</v>
      </c>
    </row>
    <row r="519" spans="1:10" x14ac:dyDescent="0.3">
      <c r="A519" t="s">
        <v>308</v>
      </c>
      <c r="J519" t="s">
        <v>486</v>
      </c>
    </row>
    <row r="520" spans="1:10" x14ac:dyDescent="0.3">
      <c r="A520" t="s">
        <v>172</v>
      </c>
      <c r="J520" t="s">
        <v>486</v>
      </c>
    </row>
    <row r="521" spans="1:10" x14ac:dyDescent="0.3">
      <c r="J521" t="s">
        <v>486</v>
      </c>
    </row>
    <row r="522" spans="1:10" x14ac:dyDescent="0.3">
      <c r="A522" t="s">
        <v>521</v>
      </c>
      <c r="J522" t="s">
        <v>486</v>
      </c>
    </row>
    <row r="523" spans="1:10" x14ac:dyDescent="0.3">
      <c r="A523" t="s">
        <v>522</v>
      </c>
      <c r="J523" t="s">
        <v>486</v>
      </c>
    </row>
    <row r="524" spans="1:10" x14ac:dyDescent="0.3">
      <c r="A524" t="s">
        <v>523</v>
      </c>
      <c r="J524" t="s">
        <v>486</v>
      </c>
    </row>
    <row r="525" spans="1:10" x14ac:dyDescent="0.3">
      <c r="A525" t="s">
        <v>524</v>
      </c>
      <c r="J525" t="s">
        <v>486</v>
      </c>
    </row>
    <row r="528" spans="1:10" x14ac:dyDescent="0.3">
      <c r="A528" t="s">
        <v>167</v>
      </c>
    </row>
    <row r="529" spans="1:10" x14ac:dyDescent="0.3">
      <c r="A529" t="s">
        <v>283</v>
      </c>
      <c r="J529" t="s">
        <v>418</v>
      </c>
    </row>
    <row r="530" spans="1:10" x14ac:dyDescent="0.3">
      <c r="A530" t="s">
        <v>284</v>
      </c>
      <c r="J530" t="s">
        <v>418</v>
      </c>
    </row>
    <row r="531" spans="1:10" x14ac:dyDescent="0.3">
      <c r="A531" t="s">
        <v>285</v>
      </c>
      <c r="J531" t="s">
        <v>418</v>
      </c>
    </row>
    <row r="532" spans="1:10" x14ac:dyDescent="0.3">
      <c r="A532" t="s">
        <v>286</v>
      </c>
      <c r="J532" t="s">
        <v>418</v>
      </c>
    </row>
    <row r="533" spans="1:10" x14ac:dyDescent="0.3">
      <c r="A533" t="s">
        <v>287</v>
      </c>
      <c r="J533" t="s">
        <v>418</v>
      </c>
    </row>
    <row r="534" spans="1:10" x14ac:dyDescent="0.3">
      <c r="A534" t="s">
        <v>288</v>
      </c>
      <c r="J534" t="s">
        <v>418</v>
      </c>
    </row>
    <row r="535" spans="1:10" x14ac:dyDescent="0.3">
      <c r="A535" t="s">
        <v>289</v>
      </c>
      <c r="J535" t="s">
        <v>418</v>
      </c>
    </row>
    <row r="536" spans="1:10" x14ac:dyDescent="0.3">
      <c r="A536" t="s">
        <v>290</v>
      </c>
      <c r="J536" t="s">
        <v>418</v>
      </c>
    </row>
    <row r="537" spans="1:10" x14ac:dyDescent="0.3">
      <c r="A537" t="s">
        <v>291</v>
      </c>
      <c r="J537" t="s">
        <v>418</v>
      </c>
    </row>
    <row r="538" spans="1:10" x14ac:dyDescent="0.3">
      <c r="A538" t="s">
        <v>122</v>
      </c>
      <c r="J538" t="s">
        <v>418</v>
      </c>
    </row>
    <row r="539" spans="1:10" x14ac:dyDescent="0.3">
      <c r="A539" t="s">
        <v>292</v>
      </c>
      <c r="J539" t="s">
        <v>418</v>
      </c>
    </row>
    <row r="540" spans="1:10" x14ac:dyDescent="0.3">
      <c r="A540" t="s">
        <v>172</v>
      </c>
    </row>
    <row r="542" spans="1:10" x14ac:dyDescent="0.3">
      <c r="A542" t="s">
        <v>179</v>
      </c>
    </row>
    <row r="543" spans="1:10" x14ac:dyDescent="0.3">
      <c r="A543" t="s">
        <v>293</v>
      </c>
      <c r="J543" t="s">
        <v>418</v>
      </c>
    </row>
    <row r="544" spans="1:10" x14ac:dyDescent="0.3">
      <c r="A544" t="s">
        <v>294</v>
      </c>
      <c r="J544" t="s">
        <v>418</v>
      </c>
    </row>
    <row r="545" spans="1:11" x14ac:dyDescent="0.3">
      <c r="A545" t="s">
        <v>295</v>
      </c>
      <c r="J545" t="s">
        <v>418</v>
      </c>
    </row>
    <row r="546" spans="1:11" x14ac:dyDescent="0.3">
      <c r="A546" t="s">
        <v>296</v>
      </c>
      <c r="J546" t="s">
        <v>418</v>
      </c>
    </row>
    <row r="547" spans="1:11" x14ac:dyDescent="0.3">
      <c r="A547" t="s">
        <v>172</v>
      </c>
    </row>
    <row r="549" spans="1:11" x14ac:dyDescent="0.3">
      <c r="A549" t="s">
        <v>179</v>
      </c>
    </row>
    <row r="550" spans="1:11" x14ac:dyDescent="0.3">
      <c r="A550" t="s">
        <v>297</v>
      </c>
      <c r="J550" t="s">
        <v>418</v>
      </c>
    </row>
    <row r="551" spans="1:11" x14ac:dyDescent="0.3">
      <c r="A551" t="s">
        <v>172</v>
      </c>
    </row>
    <row r="553" spans="1:11" x14ac:dyDescent="0.3">
      <c r="A553" t="s">
        <v>525</v>
      </c>
    </row>
    <row r="554" spans="1:11" x14ac:dyDescent="0.3">
      <c r="A554" t="s">
        <v>526</v>
      </c>
      <c r="J554" s="25" t="s">
        <v>488</v>
      </c>
      <c r="K554" s="17"/>
    </row>
    <row r="555" spans="1:11" x14ac:dyDescent="0.3">
      <c r="A555" t="s">
        <v>172</v>
      </c>
    </row>
    <row r="557" spans="1:11" x14ac:dyDescent="0.3">
      <c r="A557" t="s">
        <v>527</v>
      </c>
    </row>
    <row r="558" spans="1:11" x14ac:dyDescent="0.3">
      <c r="A558" t="s">
        <v>528</v>
      </c>
    </row>
    <row r="560" spans="1:11" x14ac:dyDescent="0.3">
      <c r="A560" t="s">
        <v>529</v>
      </c>
    </row>
    <row r="561" spans="1:11" x14ac:dyDescent="0.3">
      <c r="A561" t="s">
        <v>530</v>
      </c>
      <c r="J561" s="24" t="s">
        <v>417</v>
      </c>
      <c r="K561" s="17"/>
    </row>
    <row r="562" spans="1:11" x14ac:dyDescent="0.3">
      <c r="A562" t="s">
        <v>531</v>
      </c>
      <c r="J562" s="24" t="s">
        <v>417</v>
      </c>
      <c r="K562" s="17"/>
    </row>
    <row r="563" spans="1:11" x14ac:dyDescent="0.3">
      <c r="A563" t="s">
        <v>532</v>
      </c>
      <c r="J563" s="24" t="s">
        <v>417</v>
      </c>
      <c r="K563" s="17"/>
    </row>
    <row r="564" spans="1:11" x14ac:dyDescent="0.3">
      <c r="A564" t="s">
        <v>533</v>
      </c>
      <c r="J564" s="24" t="s">
        <v>417</v>
      </c>
      <c r="K564" s="17"/>
    </row>
    <row r="568" spans="1:11" x14ac:dyDescent="0.3">
      <c r="A568" t="s">
        <v>480</v>
      </c>
    </row>
    <row r="569" spans="1:11" x14ac:dyDescent="0.3">
      <c r="A569" t="s">
        <v>534</v>
      </c>
      <c r="J569" s="25" t="s">
        <v>488</v>
      </c>
      <c r="K569" s="17"/>
    </row>
    <row r="570" spans="1:11" x14ac:dyDescent="0.3">
      <c r="A570" t="s">
        <v>535</v>
      </c>
      <c r="J570" s="25" t="s">
        <v>488</v>
      </c>
      <c r="K570" s="17"/>
    </row>
    <row r="571" spans="1:11" x14ac:dyDescent="0.3">
      <c r="A571" t="s">
        <v>172</v>
      </c>
    </row>
    <row r="573" spans="1:11" x14ac:dyDescent="0.3">
      <c r="A573" t="s">
        <v>536</v>
      </c>
    </row>
    <row r="574" spans="1:11" x14ac:dyDescent="0.3">
      <c r="A574" t="s">
        <v>537</v>
      </c>
      <c r="J574" t="s">
        <v>486</v>
      </c>
    </row>
    <row r="575" spans="1:11" x14ac:dyDescent="0.3">
      <c r="A575" t="s">
        <v>538</v>
      </c>
      <c r="J575" t="s">
        <v>486</v>
      </c>
    </row>
    <row r="576" spans="1:11" x14ac:dyDescent="0.3">
      <c r="A576" t="s">
        <v>539</v>
      </c>
      <c r="J576" t="s">
        <v>486</v>
      </c>
    </row>
    <row r="577" spans="1:10" x14ac:dyDescent="0.3">
      <c r="A577" t="s">
        <v>538</v>
      </c>
      <c r="J577" t="s">
        <v>486</v>
      </c>
    </row>
    <row r="580" spans="1:10" x14ac:dyDescent="0.3">
      <c r="A580" t="s">
        <v>540</v>
      </c>
    </row>
    <row r="581" spans="1:10" x14ac:dyDescent="0.3">
      <c r="A581" t="s">
        <v>541</v>
      </c>
    </row>
    <row r="582" spans="1:10" x14ac:dyDescent="0.3">
      <c r="A582" t="s">
        <v>542</v>
      </c>
    </row>
    <row r="583" spans="1:10" x14ac:dyDescent="0.3">
      <c r="A583" t="s">
        <v>543</v>
      </c>
    </row>
    <row r="584" spans="1:10" x14ac:dyDescent="0.3">
      <c r="A584" t="s">
        <v>172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S13"/>
  <sheetViews>
    <sheetView workbookViewId="0"/>
  </sheetViews>
  <sheetFormatPr defaultRowHeight="14.4" x14ac:dyDescent="0.3"/>
  <cols>
    <col min="1" max="1" width="5.44140625" customWidth="1"/>
    <col min="2" max="2" width="7.33203125" customWidth="1"/>
    <col min="3" max="3" width="9.44140625" customWidth="1"/>
    <col min="4" max="4" width="64" customWidth="1"/>
  </cols>
  <sheetData>
    <row r="1" spans="2:19" x14ac:dyDescent="0.3">
      <c r="B1" s="46"/>
      <c r="K1" t="s">
        <v>607</v>
      </c>
    </row>
    <row r="3" spans="2:19" ht="15" thickBot="1" x14ac:dyDescent="0.35">
      <c r="B3" s="32" t="s">
        <v>696</v>
      </c>
      <c r="K3" s="33" t="s">
        <v>2</v>
      </c>
      <c r="L3" s="33" t="s">
        <v>3</v>
      </c>
      <c r="M3" s="33" t="s">
        <v>4</v>
      </c>
      <c r="N3" s="33" t="s">
        <v>360</v>
      </c>
      <c r="O3" s="33" t="s">
        <v>591</v>
      </c>
      <c r="P3" s="33" t="s">
        <v>357</v>
      </c>
      <c r="Q3" s="33" t="s">
        <v>6</v>
      </c>
      <c r="R3" s="33" t="s">
        <v>58</v>
      </c>
      <c r="S3" s="33" t="s">
        <v>592</v>
      </c>
    </row>
    <row r="4" spans="2:19" x14ac:dyDescent="0.3">
      <c r="B4" s="41" t="s">
        <v>704</v>
      </c>
      <c r="C4" s="41" t="s">
        <v>6</v>
      </c>
      <c r="D4" s="41" t="s">
        <v>360</v>
      </c>
      <c r="E4" s="41"/>
      <c r="F4" s="41"/>
      <c r="G4" s="41"/>
      <c r="H4" s="41"/>
      <c r="K4" s="45" t="s">
        <v>593</v>
      </c>
      <c r="L4" s="45"/>
      <c r="M4" s="45" t="s">
        <v>594</v>
      </c>
      <c r="N4" s="45"/>
      <c r="O4" s="45"/>
      <c r="P4" s="45"/>
      <c r="Q4" s="45"/>
      <c r="R4" s="45" t="s">
        <v>595</v>
      </c>
      <c r="S4" s="45"/>
    </row>
    <row r="5" spans="2:19" x14ac:dyDescent="0.3">
      <c r="B5" s="43">
        <v>3</v>
      </c>
      <c r="C5" s="44" t="s">
        <v>606</v>
      </c>
      <c r="D5" s="42" t="s">
        <v>697</v>
      </c>
      <c r="K5" s="45" t="s">
        <v>596</v>
      </c>
      <c r="L5" s="45"/>
      <c r="M5" s="45" t="s">
        <v>594</v>
      </c>
      <c r="N5" s="45"/>
      <c r="O5" s="45" t="s">
        <v>595</v>
      </c>
      <c r="P5" s="45"/>
      <c r="Q5" s="45" t="s">
        <v>597</v>
      </c>
      <c r="R5" s="45"/>
      <c r="S5" s="45"/>
    </row>
    <row r="6" spans="2:19" x14ac:dyDescent="0.3">
      <c r="B6" s="43">
        <v>4</v>
      </c>
      <c r="C6" s="44" t="s">
        <v>606</v>
      </c>
      <c r="D6" s="42" t="s">
        <v>698</v>
      </c>
      <c r="K6" s="45" t="s">
        <v>593</v>
      </c>
      <c r="L6" s="45"/>
      <c r="M6" s="45" t="s">
        <v>598</v>
      </c>
      <c r="N6" s="45"/>
      <c r="O6" s="45"/>
      <c r="P6" s="45"/>
      <c r="Q6" s="45"/>
      <c r="R6" s="45" t="s">
        <v>599</v>
      </c>
      <c r="S6" s="45"/>
    </row>
    <row r="7" spans="2:19" x14ac:dyDescent="0.3">
      <c r="B7" s="43">
        <v>5</v>
      </c>
      <c r="C7" s="44" t="s">
        <v>606</v>
      </c>
      <c r="D7" s="42" t="s">
        <v>699</v>
      </c>
      <c r="K7" s="45" t="s">
        <v>593</v>
      </c>
      <c r="L7" s="45"/>
      <c r="M7" s="45" t="s">
        <v>598</v>
      </c>
      <c r="N7" s="45"/>
      <c r="O7" s="45"/>
      <c r="P7" s="45"/>
      <c r="Q7" s="45"/>
      <c r="R7" s="45" t="s">
        <v>600</v>
      </c>
      <c r="S7" s="45"/>
    </row>
    <row r="8" spans="2:19" x14ac:dyDescent="0.3">
      <c r="B8" s="43">
        <v>6</v>
      </c>
      <c r="C8" s="44" t="s">
        <v>606</v>
      </c>
      <c r="D8" s="42" t="s">
        <v>700</v>
      </c>
      <c r="K8" s="45" t="s">
        <v>596</v>
      </c>
      <c r="L8" s="45"/>
      <c r="M8" s="45" t="s">
        <v>598</v>
      </c>
      <c r="N8" s="45"/>
      <c r="O8" s="45" t="s">
        <v>601</v>
      </c>
      <c r="P8" s="45"/>
      <c r="Q8" s="45" t="s">
        <v>597</v>
      </c>
      <c r="R8" s="45"/>
      <c r="S8" s="45"/>
    </row>
    <row r="9" spans="2:19" x14ac:dyDescent="0.3">
      <c r="B9" s="43">
        <v>7</v>
      </c>
      <c r="C9" s="44" t="s">
        <v>606</v>
      </c>
      <c r="D9" s="42" t="s">
        <v>701</v>
      </c>
      <c r="K9" s="45" t="s">
        <v>596</v>
      </c>
      <c r="L9" s="45"/>
      <c r="M9" s="45" t="s">
        <v>598</v>
      </c>
      <c r="N9" s="45"/>
      <c r="O9" s="45"/>
      <c r="P9" s="45" t="s">
        <v>602</v>
      </c>
      <c r="Q9" s="45" t="s">
        <v>597</v>
      </c>
      <c r="R9" s="45"/>
      <c r="S9" s="45"/>
    </row>
    <row r="10" spans="2:19" x14ac:dyDescent="0.3">
      <c r="B10" s="43">
        <v>8</v>
      </c>
      <c r="C10" s="44" t="s">
        <v>606</v>
      </c>
      <c r="D10" s="42" t="s">
        <v>702</v>
      </c>
      <c r="K10" s="45" t="s">
        <v>596</v>
      </c>
      <c r="L10" s="45"/>
      <c r="M10" s="45" t="s">
        <v>598</v>
      </c>
      <c r="N10" s="45"/>
      <c r="O10" s="45"/>
      <c r="P10" s="45"/>
      <c r="Q10" s="45" t="s">
        <v>603</v>
      </c>
      <c r="R10" s="45"/>
      <c r="S10" s="45"/>
    </row>
    <row r="11" spans="2:19" x14ac:dyDescent="0.3">
      <c r="B11" s="43">
        <v>9</v>
      </c>
      <c r="C11" s="44" t="s">
        <v>606</v>
      </c>
      <c r="D11" s="42" t="s">
        <v>703</v>
      </c>
      <c r="K11" s="45" t="s">
        <v>596</v>
      </c>
      <c r="L11" s="45"/>
      <c r="M11" s="45" t="s">
        <v>10</v>
      </c>
      <c r="N11" s="45"/>
      <c r="O11" s="45"/>
      <c r="P11" s="45"/>
      <c r="Q11" s="45" t="s">
        <v>604</v>
      </c>
      <c r="R11" s="45"/>
      <c r="S11" s="45"/>
    </row>
    <row r="12" spans="2:19" x14ac:dyDescent="0.3">
      <c r="K12" s="45" t="s">
        <v>596</v>
      </c>
      <c r="L12" s="45"/>
      <c r="M12" s="45" t="s">
        <v>10</v>
      </c>
      <c r="N12" s="45"/>
      <c r="O12" s="45"/>
      <c r="P12" s="45"/>
      <c r="Q12" s="45" t="s">
        <v>605</v>
      </c>
      <c r="R12" s="45"/>
      <c r="S12" s="45"/>
    </row>
    <row r="13" spans="2:19" x14ac:dyDescent="0.3">
      <c r="K13" s="45" t="s">
        <v>596</v>
      </c>
      <c r="L13" s="45"/>
      <c r="M13" s="45" t="s">
        <v>10</v>
      </c>
      <c r="N13" s="45"/>
      <c r="O13" s="45"/>
      <c r="P13" s="45"/>
      <c r="Q13" s="45" t="s">
        <v>606</v>
      </c>
      <c r="R13" s="45"/>
      <c r="S13" s="45"/>
    </row>
  </sheetData>
  <phoneticPr fontId="3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66"/>
  <sheetViews>
    <sheetView workbookViewId="0">
      <selection activeCell="B58" sqref="B58"/>
    </sheetView>
  </sheetViews>
  <sheetFormatPr defaultColWidth="8.88671875" defaultRowHeight="14.4" x14ac:dyDescent="0.3"/>
  <cols>
    <col min="1" max="1" width="16.6640625" style="101" customWidth="1"/>
    <col min="2" max="3" width="8.88671875" style="101"/>
    <col min="4" max="4" width="16.33203125" style="101" customWidth="1"/>
    <col min="5" max="5" width="8.88671875" style="101"/>
    <col min="6" max="6" width="11.5546875" style="101" bestFit="1" customWidth="1"/>
    <col min="7" max="7" width="12.88671875" style="101" customWidth="1"/>
    <col min="8" max="8" width="10.44140625" style="101" customWidth="1"/>
    <col min="9" max="14" width="8.88671875" style="101"/>
    <col min="15" max="15" width="10.44140625" style="101" customWidth="1"/>
    <col min="16" max="16" width="12.5546875" style="101" customWidth="1"/>
    <col min="17" max="23" width="8.88671875" style="101"/>
    <col min="24" max="25" width="9.109375" customWidth="1"/>
    <col min="26" max="16384" width="8.88671875" style="101"/>
  </cols>
  <sheetData>
    <row r="1" spans="1:30" x14ac:dyDescent="0.3">
      <c r="K1" s="100"/>
      <c r="L1" s="100"/>
      <c r="M1" s="100"/>
    </row>
    <row r="2" spans="1:30" x14ac:dyDescent="0.3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30" x14ac:dyDescent="0.3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</row>
    <row r="4" spans="1:30" x14ac:dyDescent="0.3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</row>
    <row r="5" spans="1:30" s="103" customFormat="1" ht="11.4" x14ac:dyDescent="0.2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1:30" x14ac:dyDescent="0.3">
      <c r="A6" s="104" t="s">
        <v>754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Z6" s="95"/>
      <c r="AC6" s="95"/>
      <c r="AD6" s="95"/>
    </row>
    <row r="7" spans="1:30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Z7" s="95"/>
      <c r="AC7" s="95"/>
      <c r="AD7" s="95"/>
    </row>
    <row r="8" spans="1:30" x14ac:dyDescent="0.3">
      <c r="A8" s="98" t="s">
        <v>361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Z8" s="96"/>
      <c r="AC8" s="96"/>
      <c r="AD8" s="96"/>
    </row>
    <row r="9" spans="1:30" x14ac:dyDescent="0.3">
      <c r="A9" s="99" t="s">
        <v>188</v>
      </c>
      <c r="B9" s="99" t="s">
        <v>2</v>
      </c>
      <c r="C9" s="99" t="s">
        <v>762</v>
      </c>
      <c r="D9" s="99">
        <v>0</v>
      </c>
      <c r="E9" s="99">
        <v>1970</v>
      </c>
      <c r="F9" s="99">
        <v>1980</v>
      </c>
      <c r="G9" s="99">
        <v>1990</v>
      </c>
      <c r="H9" s="99">
        <v>2000</v>
      </c>
      <c r="I9" s="99">
        <v>2010</v>
      </c>
      <c r="J9" s="99">
        <v>2011</v>
      </c>
      <c r="K9" s="99">
        <v>2012</v>
      </c>
      <c r="L9" s="99">
        <v>2013</v>
      </c>
      <c r="M9" s="99">
        <v>2014</v>
      </c>
      <c r="N9" s="99">
        <v>2015</v>
      </c>
      <c r="O9" s="99"/>
      <c r="P9" s="99">
        <v>2017</v>
      </c>
      <c r="Q9" s="99"/>
      <c r="R9" s="99">
        <v>2018</v>
      </c>
      <c r="S9" s="99">
        <v>2020</v>
      </c>
      <c r="T9" s="99">
        <v>2021</v>
      </c>
      <c r="U9" s="99">
        <v>2022</v>
      </c>
      <c r="V9" s="99"/>
      <c r="W9" s="99"/>
      <c r="Z9" s="99">
        <v>2024</v>
      </c>
      <c r="AC9" s="99"/>
      <c r="AD9" s="99">
        <v>2023</v>
      </c>
    </row>
    <row r="10" spans="1:30" x14ac:dyDescent="0.3">
      <c r="A10" s="96" t="s">
        <v>635</v>
      </c>
      <c r="B10" s="96" t="s">
        <v>763</v>
      </c>
      <c r="C10" s="97" t="s">
        <v>766</v>
      </c>
      <c r="D10" s="96">
        <v>1</v>
      </c>
      <c r="E10" s="96" t="s">
        <v>764</v>
      </c>
      <c r="F10" s="96" t="s">
        <v>764</v>
      </c>
      <c r="G10" s="96" t="s">
        <v>764</v>
      </c>
      <c r="H10" s="96"/>
      <c r="I10" s="97">
        <v>0.19600000000000001</v>
      </c>
      <c r="J10" s="97">
        <v>2.0000000000000018E-3</v>
      </c>
      <c r="K10" s="97">
        <v>5.8999999999999997E-2</v>
      </c>
      <c r="L10" s="97">
        <v>0.21999999999999997</v>
      </c>
      <c r="M10" s="97">
        <v>0.15000000000000002</v>
      </c>
      <c r="N10" s="97">
        <v>0.37799999999999989</v>
      </c>
      <c r="O10" s="97"/>
      <c r="P10" s="97">
        <v>0.51100000000000012</v>
      </c>
      <c r="Q10" s="97"/>
      <c r="R10" s="97">
        <v>0</v>
      </c>
      <c r="S10" s="97">
        <v>0.30200000000000005</v>
      </c>
      <c r="T10" s="97">
        <v>0.66099999999999959</v>
      </c>
      <c r="U10" s="97">
        <v>2.3592999999999997</v>
      </c>
      <c r="V10" s="97"/>
      <c r="W10" s="97"/>
      <c r="Z10" s="97">
        <v>0.34551000000000087</v>
      </c>
      <c r="AC10" s="97"/>
      <c r="AD10" s="97">
        <v>1.2690000000000001</v>
      </c>
    </row>
    <row r="11" spans="1:30" x14ac:dyDescent="0.3">
      <c r="A11" s="96" t="s">
        <v>635</v>
      </c>
      <c r="B11" s="96" t="s">
        <v>763</v>
      </c>
      <c r="C11" s="97" t="s">
        <v>765</v>
      </c>
      <c r="D11" s="96">
        <v>1</v>
      </c>
      <c r="E11" s="96" t="s">
        <v>764</v>
      </c>
      <c r="F11" s="96" t="s">
        <v>764</v>
      </c>
      <c r="G11" s="96" t="s">
        <v>764</v>
      </c>
      <c r="H11" s="96" t="s">
        <v>764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/>
      <c r="P11" s="97">
        <v>0</v>
      </c>
      <c r="Q11" s="97"/>
      <c r="R11" s="97">
        <v>0</v>
      </c>
      <c r="S11" s="97">
        <v>0</v>
      </c>
      <c r="T11" s="97">
        <v>0</v>
      </c>
      <c r="U11" s="97">
        <v>7.0699999999999999E-2</v>
      </c>
      <c r="V11" s="97"/>
      <c r="W11" s="97"/>
      <c r="Z11" s="97">
        <v>0</v>
      </c>
      <c r="AC11" s="97"/>
      <c r="AD11" s="97">
        <v>0</v>
      </c>
    </row>
    <row r="12" spans="1:30" x14ac:dyDescent="0.3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Z12" s="95"/>
      <c r="AC12" s="95"/>
      <c r="AD12" s="95"/>
    </row>
    <row r="13" spans="1:30" x14ac:dyDescent="0.3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Z13" s="95"/>
      <c r="AC13" s="95"/>
      <c r="AD13" s="95"/>
    </row>
    <row r="14" spans="1:30" x14ac:dyDescent="0.3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Z14" s="95"/>
      <c r="AC14" s="95"/>
      <c r="AD14" s="95"/>
    </row>
    <row r="15" spans="1:30" x14ac:dyDescent="0.3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Z15" s="95"/>
      <c r="AC15" s="95"/>
      <c r="AD15" s="95"/>
    </row>
    <row r="16" spans="1:30" x14ac:dyDescent="0.3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Z16" s="95"/>
      <c r="AC16" s="95"/>
      <c r="AD16" s="95"/>
    </row>
    <row r="17" spans="1:30" s="103" customFormat="1" ht="11.4" x14ac:dyDescent="0.2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Z17" s="94"/>
      <c r="AC17" s="94"/>
      <c r="AD17" s="94"/>
    </row>
    <row r="19" spans="1:30" x14ac:dyDescent="0.3">
      <c r="A19" s="105" t="s">
        <v>8</v>
      </c>
      <c r="B19" s="106"/>
      <c r="C19" s="106"/>
      <c r="D19" s="106"/>
      <c r="E19" s="106"/>
    </row>
    <row r="20" spans="1:30" ht="15" thickBot="1" x14ac:dyDescent="0.35">
      <c r="A20" s="107" t="s">
        <v>762</v>
      </c>
      <c r="B20" s="107" t="s">
        <v>2</v>
      </c>
      <c r="C20" s="107" t="s">
        <v>1</v>
      </c>
      <c r="D20" s="107" t="s">
        <v>188</v>
      </c>
      <c r="E20" s="107">
        <v>2020</v>
      </c>
      <c r="F20" s="120">
        <v>0</v>
      </c>
    </row>
    <row r="21" spans="1:30" x14ac:dyDescent="0.3">
      <c r="A21" s="117" t="s">
        <v>767</v>
      </c>
      <c r="B21" s="118" t="s">
        <v>761</v>
      </c>
      <c r="C21" s="117" t="s">
        <v>9</v>
      </c>
      <c r="D21" s="117" t="s">
        <v>122</v>
      </c>
      <c r="E21" s="117">
        <v>0</v>
      </c>
      <c r="F21" s="117">
        <v>5</v>
      </c>
    </row>
    <row r="22" spans="1:30" x14ac:dyDescent="0.3">
      <c r="A22" s="119" t="s">
        <v>768</v>
      </c>
      <c r="B22" s="118" t="s">
        <v>761</v>
      </c>
      <c r="C22" s="117" t="s">
        <v>9</v>
      </c>
      <c r="D22" s="119" t="s">
        <v>122</v>
      </c>
      <c r="E22" s="119">
        <v>0</v>
      </c>
      <c r="F22" s="119">
        <v>5</v>
      </c>
    </row>
    <row r="23" spans="1:30" x14ac:dyDescent="0.3">
      <c r="A23" s="119" t="s">
        <v>769</v>
      </c>
      <c r="B23" s="118" t="s">
        <v>761</v>
      </c>
      <c r="C23" s="117" t="s">
        <v>9</v>
      </c>
      <c r="D23" s="119" t="s">
        <v>122</v>
      </c>
      <c r="E23" s="119">
        <v>0</v>
      </c>
      <c r="F23" s="119">
        <v>5</v>
      </c>
    </row>
    <row r="24" spans="1:30" x14ac:dyDescent="0.3">
      <c r="A24" s="119" t="s">
        <v>770</v>
      </c>
      <c r="B24" s="118" t="s">
        <v>761</v>
      </c>
      <c r="C24" s="117" t="s">
        <v>9</v>
      </c>
      <c r="D24" s="119" t="s">
        <v>122</v>
      </c>
      <c r="E24" s="119">
        <v>0</v>
      </c>
      <c r="F24" s="119">
        <v>5</v>
      </c>
    </row>
    <row r="27" spans="1:30" x14ac:dyDescent="0.3">
      <c r="A27" s="108"/>
      <c r="B27" s="108"/>
      <c r="C27" s="108"/>
      <c r="D27" s="108"/>
      <c r="E27" s="108"/>
      <c r="F27" s="108"/>
      <c r="G27" s="108"/>
      <c r="H27" s="108"/>
      <c r="I27" s="108"/>
    </row>
    <row r="28" spans="1:30" s="103" customFormat="1" ht="11.4" x14ac:dyDescent="0.2"/>
    <row r="30" spans="1:30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</row>
    <row r="31" spans="1:30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</row>
    <row r="32" spans="1:30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spans="1:18" x14ac:dyDescent="0.3">
      <c r="A33" s="109" t="s">
        <v>753</v>
      </c>
      <c r="B33" s="109"/>
      <c r="C33" s="110" t="s">
        <v>8</v>
      </c>
      <c r="D33" s="109"/>
      <c r="E33" s="109"/>
      <c r="F33" s="109"/>
      <c r="G33" s="111"/>
      <c r="H33" s="111"/>
      <c r="I33" s="109"/>
      <c r="J33" s="109"/>
      <c r="K33" s="109"/>
      <c r="L33" s="109"/>
      <c r="M33" s="109"/>
      <c r="N33" s="109"/>
      <c r="O33" s="109"/>
      <c r="P33" s="109"/>
      <c r="Q33" s="109"/>
      <c r="R33" s="109"/>
    </row>
    <row r="34" spans="1:18" ht="15" thickBot="1" x14ac:dyDescent="0.35">
      <c r="A34" s="109"/>
      <c r="B34" s="109"/>
      <c r="C34" s="112" t="s">
        <v>1</v>
      </c>
      <c r="D34" s="112" t="s">
        <v>2</v>
      </c>
      <c r="E34" s="112" t="s">
        <v>3</v>
      </c>
      <c r="F34" s="113" t="s">
        <v>4</v>
      </c>
      <c r="G34" s="114" t="s">
        <v>6</v>
      </c>
      <c r="H34" s="114" t="s">
        <v>58</v>
      </c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x14ac:dyDescent="0.3">
      <c r="A35" s="109"/>
      <c r="B35" s="109"/>
      <c r="C35" s="109" t="s">
        <v>123</v>
      </c>
      <c r="D35" s="109" t="s">
        <v>742</v>
      </c>
      <c r="E35" s="109">
        <v>2040</v>
      </c>
      <c r="F35" s="109">
        <v>0</v>
      </c>
      <c r="G35" s="109" t="s">
        <v>747</v>
      </c>
      <c r="H35" s="109" t="s">
        <v>752</v>
      </c>
      <c r="I35" s="109"/>
      <c r="J35" s="109"/>
      <c r="K35" s="109"/>
      <c r="L35" s="109"/>
      <c r="M35" s="109"/>
      <c r="N35" s="109"/>
      <c r="O35" s="109"/>
      <c r="P35" s="109"/>
      <c r="Q35" s="109"/>
      <c r="R35" s="109"/>
    </row>
    <row r="36" spans="1:18" x14ac:dyDescent="0.3">
      <c r="A36" s="109"/>
      <c r="B36" s="109"/>
      <c r="C36" s="109" t="s">
        <v>123</v>
      </c>
      <c r="D36" s="109" t="s">
        <v>742</v>
      </c>
      <c r="E36" s="109">
        <v>2040</v>
      </c>
      <c r="F36" s="109">
        <v>0</v>
      </c>
      <c r="G36" s="109" t="s">
        <v>747</v>
      </c>
      <c r="H36" s="109" t="s">
        <v>751</v>
      </c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3">
      <c r="A37" s="109"/>
      <c r="B37" s="109"/>
      <c r="C37" s="109" t="s">
        <v>123</v>
      </c>
      <c r="D37" s="109" t="s">
        <v>742</v>
      </c>
      <c r="E37" s="109">
        <v>2040</v>
      </c>
      <c r="F37" s="109">
        <v>0</v>
      </c>
      <c r="G37" s="109" t="s">
        <v>747</v>
      </c>
      <c r="H37" s="109" t="s">
        <v>564</v>
      </c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3">
      <c r="A38" s="109"/>
      <c r="B38" s="109"/>
      <c r="C38" s="109" t="s">
        <v>123</v>
      </c>
      <c r="D38" s="109" t="s">
        <v>742</v>
      </c>
      <c r="E38" s="109">
        <v>2040</v>
      </c>
      <c r="F38" s="109">
        <v>0</v>
      </c>
      <c r="G38" s="109" t="s">
        <v>747</v>
      </c>
      <c r="H38" s="109" t="s">
        <v>750</v>
      </c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3">
      <c r="A39" s="109"/>
      <c r="B39" s="109"/>
      <c r="C39" s="109" t="s">
        <v>123</v>
      </c>
      <c r="D39" s="109" t="s">
        <v>742</v>
      </c>
      <c r="E39" s="109">
        <v>2040</v>
      </c>
      <c r="F39" s="109">
        <v>0</v>
      </c>
      <c r="G39" s="109" t="s">
        <v>747</v>
      </c>
      <c r="H39" s="109" t="s">
        <v>749</v>
      </c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1:18" x14ac:dyDescent="0.3">
      <c r="A40" s="109"/>
      <c r="B40" s="109"/>
      <c r="C40" s="109" t="s">
        <v>123</v>
      </c>
      <c r="D40" s="109" t="s">
        <v>742</v>
      </c>
      <c r="E40" s="109">
        <v>2040</v>
      </c>
      <c r="F40" s="109">
        <v>0</v>
      </c>
      <c r="G40" s="109" t="s">
        <v>747</v>
      </c>
      <c r="H40" s="109" t="s">
        <v>746</v>
      </c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1:18" x14ac:dyDescent="0.3">
      <c r="A41" s="109"/>
      <c r="B41" s="109"/>
      <c r="C41" s="109" t="s">
        <v>123</v>
      </c>
      <c r="D41" s="109" t="s">
        <v>742</v>
      </c>
      <c r="E41" s="109">
        <v>2040</v>
      </c>
      <c r="F41" s="109">
        <v>0</v>
      </c>
      <c r="G41" s="109" t="s">
        <v>747</v>
      </c>
      <c r="H41" s="109" t="s">
        <v>745</v>
      </c>
      <c r="I41" s="109"/>
      <c r="J41" s="109"/>
      <c r="K41" s="109"/>
      <c r="L41" s="109"/>
      <c r="M41" s="109"/>
      <c r="N41" s="109"/>
      <c r="O41" s="109"/>
      <c r="P41" s="109"/>
      <c r="Q41" s="109"/>
      <c r="R41" s="109"/>
    </row>
    <row r="42" spans="1:18" x14ac:dyDescent="0.3">
      <c r="A42" s="109"/>
      <c r="B42" s="109"/>
      <c r="C42" s="109" t="s">
        <v>123</v>
      </c>
      <c r="D42" s="109" t="s">
        <v>742</v>
      </c>
      <c r="E42" s="109">
        <v>2040</v>
      </c>
      <c r="F42" s="109">
        <v>0</v>
      </c>
      <c r="G42" s="109" t="s">
        <v>747</v>
      </c>
      <c r="H42" s="109" t="s">
        <v>744</v>
      </c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3">
      <c r="A43" s="109"/>
      <c r="B43" s="109"/>
      <c r="C43" s="109" t="s">
        <v>123</v>
      </c>
      <c r="D43" s="109" t="s">
        <v>742</v>
      </c>
      <c r="E43" s="109">
        <v>2040</v>
      </c>
      <c r="F43" s="109">
        <v>0</v>
      </c>
      <c r="G43" s="109" t="s">
        <v>747</v>
      </c>
      <c r="H43" s="109" t="s">
        <v>743</v>
      </c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3">
      <c r="A44" s="109"/>
      <c r="B44" s="109"/>
      <c r="C44" s="109" t="s">
        <v>123</v>
      </c>
      <c r="D44" s="109" t="s">
        <v>742</v>
      </c>
      <c r="E44" s="109">
        <v>2040</v>
      </c>
      <c r="F44" s="109">
        <v>0</v>
      </c>
      <c r="G44" s="109" t="s">
        <v>747</v>
      </c>
      <c r="H44" s="109" t="s">
        <v>748</v>
      </c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3">
      <c r="A45" s="109"/>
      <c r="B45" s="109"/>
      <c r="C45" s="109" t="s">
        <v>123</v>
      </c>
      <c r="D45" s="109" t="s">
        <v>742</v>
      </c>
      <c r="E45" s="109">
        <v>2040</v>
      </c>
      <c r="F45" s="109">
        <v>0</v>
      </c>
      <c r="G45" s="109" t="s">
        <v>747</v>
      </c>
      <c r="H45" s="109" t="s">
        <v>740</v>
      </c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6" spans="1:18" x14ac:dyDescent="0.3">
      <c r="A46" s="109"/>
      <c r="B46" s="109"/>
      <c r="C46" s="109" t="s">
        <v>123</v>
      </c>
      <c r="D46" s="109" t="s">
        <v>742</v>
      </c>
      <c r="E46" s="109">
        <v>2040</v>
      </c>
      <c r="F46" s="109">
        <v>0</v>
      </c>
      <c r="G46" s="109" t="s">
        <v>741</v>
      </c>
      <c r="H46" s="109" t="s">
        <v>564</v>
      </c>
      <c r="I46" s="109"/>
      <c r="J46" s="109"/>
      <c r="K46" s="109"/>
      <c r="L46" s="109"/>
      <c r="M46" s="109"/>
      <c r="N46" s="109"/>
      <c r="O46" s="109"/>
      <c r="P46" s="109"/>
      <c r="Q46" s="109"/>
      <c r="R46" s="109"/>
    </row>
    <row r="47" spans="1:18" x14ac:dyDescent="0.3">
      <c r="A47" s="109"/>
      <c r="B47" s="109"/>
      <c r="C47" s="109" t="s">
        <v>123</v>
      </c>
      <c r="D47" s="109" t="s">
        <v>742</v>
      </c>
      <c r="E47" s="109">
        <v>2040</v>
      </c>
      <c r="F47" s="109">
        <v>0</v>
      </c>
      <c r="G47" s="109" t="s">
        <v>741</v>
      </c>
      <c r="H47" s="109" t="s">
        <v>719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</row>
    <row r="48" spans="1:18" x14ac:dyDescent="0.3">
      <c r="A48" s="109"/>
      <c r="B48" s="109"/>
      <c r="C48" s="109" t="s">
        <v>123</v>
      </c>
      <c r="D48" s="109" t="s">
        <v>742</v>
      </c>
      <c r="E48" s="109">
        <v>2040</v>
      </c>
      <c r="F48" s="109">
        <v>0</v>
      </c>
      <c r="G48" s="109" t="s">
        <v>741</v>
      </c>
      <c r="H48" s="109" t="s">
        <v>746</v>
      </c>
      <c r="I48" s="109"/>
      <c r="J48" s="109"/>
      <c r="K48" s="109"/>
      <c r="L48" s="109"/>
      <c r="M48" s="109"/>
      <c r="N48" s="109"/>
      <c r="O48" s="109"/>
      <c r="P48" s="109"/>
      <c r="Q48" s="109"/>
      <c r="R48" s="109"/>
    </row>
    <row r="49" spans="1:18" x14ac:dyDescent="0.3">
      <c r="A49" s="109"/>
      <c r="B49" s="109"/>
      <c r="C49" s="109" t="s">
        <v>123</v>
      </c>
      <c r="D49" s="109" t="s">
        <v>742</v>
      </c>
      <c r="E49" s="109">
        <v>2040</v>
      </c>
      <c r="F49" s="109">
        <v>0</v>
      </c>
      <c r="G49" s="109" t="s">
        <v>741</v>
      </c>
      <c r="H49" s="109" t="s">
        <v>745</v>
      </c>
      <c r="I49" s="109"/>
      <c r="J49" s="109"/>
      <c r="K49" s="109"/>
      <c r="L49" s="109"/>
      <c r="M49" s="109"/>
      <c r="N49" s="109"/>
      <c r="O49" s="109"/>
      <c r="P49" s="109"/>
      <c r="Q49" s="109"/>
      <c r="R49" s="109"/>
    </row>
    <row r="50" spans="1:18" x14ac:dyDescent="0.3">
      <c r="A50" s="109"/>
      <c r="B50" s="109"/>
      <c r="C50" s="109" t="s">
        <v>123</v>
      </c>
      <c r="D50" s="109" t="s">
        <v>742</v>
      </c>
      <c r="E50" s="109">
        <v>2040</v>
      </c>
      <c r="F50" s="109">
        <v>0</v>
      </c>
      <c r="G50" s="109" t="s">
        <v>741</v>
      </c>
      <c r="H50" s="109" t="s">
        <v>744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x14ac:dyDescent="0.3">
      <c r="A51" s="109"/>
      <c r="B51" s="109"/>
      <c r="C51" s="109" t="s">
        <v>123</v>
      </c>
      <c r="D51" s="109" t="s">
        <v>742</v>
      </c>
      <c r="E51" s="109">
        <v>2040</v>
      </c>
      <c r="F51" s="109">
        <v>0</v>
      </c>
      <c r="G51" s="109" t="s">
        <v>741</v>
      </c>
      <c r="H51" s="109" t="s">
        <v>743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</row>
    <row r="52" spans="1:18" x14ac:dyDescent="0.3">
      <c r="A52" s="109"/>
      <c r="B52" s="109"/>
      <c r="C52" s="109" t="s">
        <v>123</v>
      </c>
      <c r="D52" s="109" t="s">
        <v>742</v>
      </c>
      <c r="E52" s="109">
        <v>2040</v>
      </c>
      <c r="F52" s="109">
        <v>0</v>
      </c>
      <c r="G52" s="109" t="s">
        <v>741</v>
      </c>
      <c r="H52" s="109" t="s">
        <v>740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</row>
    <row r="53" spans="1:18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</row>
    <row r="54" spans="1:18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3">
      <c r="A55" s="109"/>
      <c r="B55" s="106"/>
      <c r="C55" s="106"/>
      <c r="D55" s="106" t="s">
        <v>739</v>
      </c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</row>
    <row r="56" spans="1:18" x14ac:dyDescent="0.3">
      <c r="A56" s="109"/>
      <c r="B56" s="106"/>
      <c r="C56" s="106"/>
      <c r="D56" s="115" t="s">
        <v>738</v>
      </c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</row>
    <row r="57" spans="1:18" ht="15" thickBot="1" x14ac:dyDescent="0.35">
      <c r="A57" s="109"/>
      <c r="B57" s="77" t="s">
        <v>102</v>
      </c>
      <c r="C57" s="77" t="s">
        <v>6</v>
      </c>
      <c r="D57" s="76" t="s">
        <v>3</v>
      </c>
      <c r="E57" s="76" t="s">
        <v>259</v>
      </c>
      <c r="F57" s="76" t="s">
        <v>189</v>
      </c>
      <c r="G57" s="76" t="s">
        <v>300</v>
      </c>
      <c r="H57" s="76" t="s">
        <v>299</v>
      </c>
      <c r="I57" s="76" t="s">
        <v>191</v>
      </c>
      <c r="J57" s="76" t="s">
        <v>410</v>
      </c>
      <c r="K57" s="76" t="s">
        <v>625</v>
      </c>
      <c r="L57" s="76" t="s">
        <v>626</v>
      </c>
      <c r="M57" s="76" t="s">
        <v>634</v>
      </c>
      <c r="N57" s="76" t="s">
        <v>690</v>
      </c>
      <c r="O57" s="76" t="s">
        <v>408</v>
      </c>
      <c r="Q57" s="76"/>
    </row>
    <row r="58" spans="1:18" x14ac:dyDescent="0.3">
      <c r="A58" s="109"/>
      <c r="B58" s="106" t="s">
        <v>674</v>
      </c>
      <c r="C58" s="106" t="s">
        <v>737</v>
      </c>
      <c r="D58" s="106">
        <v>2030</v>
      </c>
      <c r="E58" s="116">
        <v>5.1331500000000005</v>
      </c>
      <c r="F58" s="116">
        <v>0.14833333333333334</v>
      </c>
      <c r="G58" s="106"/>
      <c r="H58" s="116">
        <v>21.532698000000003</v>
      </c>
      <c r="I58" s="116">
        <v>9.1033333333333335</v>
      </c>
      <c r="J58" s="116">
        <v>0.42666666666666669</v>
      </c>
      <c r="K58" s="116">
        <v>2</v>
      </c>
      <c r="L58" s="116">
        <v>5.2149999999999999</v>
      </c>
      <c r="M58" s="116">
        <v>5.9999999999999993E-3</v>
      </c>
      <c r="N58" s="116">
        <v>1.1363333333333334</v>
      </c>
      <c r="O58" s="116">
        <v>0.98000000000000009</v>
      </c>
      <c r="Q58" s="116"/>
    </row>
    <row r="59" spans="1:18" x14ac:dyDescent="0.3">
      <c r="A59" s="109"/>
      <c r="B59" s="106"/>
      <c r="C59" s="106" t="s">
        <v>737</v>
      </c>
      <c r="D59" s="106">
        <v>2050</v>
      </c>
      <c r="E59" s="116">
        <v>7.8674999999999997</v>
      </c>
      <c r="F59" s="116">
        <v>1.7476364300000002</v>
      </c>
      <c r="G59" s="116">
        <v>0</v>
      </c>
      <c r="H59" s="116">
        <v>53.03</v>
      </c>
      <c r="I59" s="116">
        <v>81.25</v>
      </c>
      <c r="J59" s="116">
        <v>7.2450000000000001</v>
      </c>
      <c r="K59" s="116">
        <v>3.9510949512917688</v>
      </c>
      <c r="L59" s="116">
        <v>42.55</v>
      </c>
      <c r="M59" s="116">
        <v>0.25430110381361254</v>
      </c>
      <c r="N59" s="116">
        <v>11.813647063679998</v>
      </c>
      <c r="O59" s="116">
        <v>7.2750000000000012</v>
      </c>
      <c r="Q59" s="116"/>
    </row>
    <row r="60" spans="1:18" x14ac:dyDescent="0.3">
      <c r="A60" s="109"/>
      <c r="B60" s="109"/>
      <c r="C60" s="109" t="s">
        <v>737</v>
      </c>
      <c r="D60" s="109">
        <v>2060</v>
      </c>
      <c r="E60" s="109">
        <v>8.9427808976718737</v>
      </c>
      <c r="F60" s="109">
        <v>2.1845455375000005</v>
      </c>
      <c r="G60" s="109"/>
      <c r="H60" s="109">
        <v>66.287499999999994</v>
      </c>
      <c r="I60" s="109">
        <v>101.5625</v>
      </c>
      <c r="J60" s="109">
        <v>9.0562500000000004</v>
      </c>
      <c r="K60" s="109">
        <v>4.8464496802488686</v>
      </c>
      <c r="L60" s="109">
        <v>53.1875</v>
      </c>
      <c r="M60" s="109">
        <v>0.31787637976701566</v>
      </c>
      <c r="N60" s="109">
        <v>14.767058829599996</v>
      </c>
      <c r="O60" s="109">
        <v>9.0937500000000018</v>
      </c>
      <c r="Q60" s="109"/>
    </row>
    <row r="61" spans="1:18" x14ac:dyDescent="0.3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P61" s="109"/>
      <c r="Q61" s="109"/>
      <c r="R61" s="109"/>
    </row>
    <row r="62" spans="1:18" x14ac:dyDescent="0.3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M62" s="109"/>
      <c r="N62" s="109"/>
      <c r="O62" s="109"/>
      <c r="P62" s="109"/>
      <c r="Q62" s="109"/>
      <c r="R62" s="109"/>
    </row>
    <row r="63" spans="1:18" ht="15" thickBot="1" x14ac:dyDescent="0.3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76" t="s">
        <v>635</v>
      </c>
      <c r="M63" s="109"/>
      <c r="N63" s="109"/>
      <c r="O63" s="109"/>
      <c r="P63" s="109"/>
      <c r="Q63" s="109"/>
      <c r="R63" s="109"/>
    </row>
    <row r="64" spans="1:18" x14ac:dyDescent="0.3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16">
        <v>7.0883333333333338</v>
      </c>
      <c r="M64" s="109"/>
      <c r="N64" s="109"/>
      <c r="O64" s="109"/>
      <c r="P64" s="109"/>
      <c r="Q64" s="109"/>
      <c r="R64" s="109"/>
    </row>
    <row r="65" spans="12:12" x14ac:dyDescent="0.3">
      <c r="L65" s="116">
        <v>35.372609619999999</v>
      </c>
    </row>
    <row r="66" spans="12:12" x14ac:dyDescent="0.3">
      <c r="L66" s="109">
        <v>44.215762024999997</v>
      </c>
    </row>
  </sheetData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PulpPaper</vt:lpstr>
      <vt:lpstr>DISVARUC</vt:lpstr>
      <vt:lpstr>DISLOWAF</vt:lpstr>
      <vt:lpstr>DISOTUC</vt:lpstr>
      <vt:lpstr>FIXUCRHS</vt:lpstr>
      <vt:lpstr>RCUCS</vt:lpstr>
      <vt:lpstr>WINCAP</vt:lpstr>
      <vt:lpstr>MISC</vt:lpstr>
      <vt:lpstr>FIXDD</vt:lpstr>
      <vt:lpstr>Sheet7</vt:lpstr>
      <vt:lpstr>transferred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</dc:creator>
  <cp:lastModifiedBy>Johanna Markkanen</cp:lastModifiedBy>
  <dcterms:created xsi:type="dcterms:W3CDTF">2008-02-08T15:25:24Z</dcterms:created>
  <dcterms:modified xsi:type="dcterms:W3CDTF">2025-07-30T08:15:07Z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264784216880798</vt:r8>
  </property>
</Properties>
</file>